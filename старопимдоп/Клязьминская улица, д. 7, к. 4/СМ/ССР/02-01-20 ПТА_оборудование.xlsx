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Fs_mjp03\smeta\ПРОЕКТНЫЙ ОТДЕЛ\СМЕТЫ 2025 год\ШКОЛЫ\Клязьминская ул., д.7, к. 4\Сметы\"/>
    </mc:Choice>
  </mc:AlternateContent>
  <xr:revisionPtr revIDLastSave="0" documentId="13_ncr:1_{75C34A1A-6536-4ADB-BA90-F4A099889F56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02-01-20" sheetId="7" r:id="rId1"/>
    <sheet name="Ведомость объемов работ" sheetId="8" r:id="rId2"/>
    <sheet name="Source" sheetId="1" r:id="rId3"/>
    <sheet name="SourceObSm" sheetId="2" r:id="rId4"/>
    <sheet name="SmtRes" sheetId="3" r:id="rId5"/>
    <sheet name="EtalonRes" sheetId="4" r:id="rId6"/>
    <sheet name="SrcPoprs" sheetId="5" r:id="rId7"/>
    <sheet name="SrcKA" sheetId="6" r:id="rId8"/>
  </sheets>
  <definedNames>
    <definedName name="_xlnm.Print_Titles" localSheetId="0">'02-01-20'!$27:$27</definedName>
    <definedName name="_xlnm.Print_Titles" localSheetId="1">'Ведомость объемов работ'!$17:$17</definedName>
    <definedName name="_xlnm.Print_Area" localSheetId="0">'02-01-20'!$A$1:$K$94</definedName>
    <definedName name="_xlnm.Print_Area" localSheetId="1">'Ведомость объемов работ'!$A$1:$H$37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5" i="8" l="1"/>
  <c r="D33" i="8"/>
  <c r="F30" i="8"/>
  <c r="E30" i="8"/>
  <c r="C30" i="8"/>
  <c r="B30" i="8"/>
  <c r="F29" i="8"/>
  <c r="E29" i="8"/>
  <c r="C29" i="8"/>
  <c r="B29" i="8"/>
  <c r="G28" i="8"/>
  <c r="F28" i="8"/>
  <c r="E28" i="8"/>
  <c r="C28" i="8"/>
  <c r="B28" i="8"/>
  <c r="G27" i="8"/>
  <c r="F27" i="8"/>
  <c r="E27" i="8"/>
  <c r="C27" i="8"/>
  <c r="B27" i="8"/>
  <c r="G26" i="8"/>
  <c r="F26" i="8"/>
  <c r="E26" i="8"/>
  <c r="C26" i="8"/>
  <c r="B26" i="8"/>
  <c r="G25" i="8"/>
  <c r="F25" i="8"/>
  <c r="E25" i="8"/>
  <c r="C25" i="8"/>
  <c r="B25" i="8"/>
  <c r="G24" i="8"/>
  <c r="F24" i="8"/>
  <c r="E24" i="8"/>
  <c r="C24" i="8"/>
  <c r="B24" i="8"/>
  <c r="G23" i="8"/>
  <c r="F23" i="8"/>
  <c r="E23" i="8"/>
  <c r="C23" i="8"/>
  <c r="B23" i="8"/>
  <c r="G22" i="8"/>
  <c r="F22" i="8"/>
  <c r="E22" i="8"/>
  <c r="C22" i="8"/>
  <c r="B22" i="8"/>
  <c r="G21" i="8"/>
  <c r="F21" i="8"/>
  <c r="E21" i="8"/>
  <c r="C21" i="8"/>
  <c r="B21" i="8"/>
  <c r="G20" i="8"/>
  <c r="F20" i="8"/>
  <c r="E20" i="8"/>
  <c r="C20" i="8"/>
  <c r="B20" i="8"/>
  <c r="A19" i="8"/>
  <c r="A18" i="8"/>
  <c r="B13" i="8"/>
  <c r="B12" i="8"/>
  <c r="A1" i="8"/>
  <c r="H92" i="7"/>
  <c r="H89" i="7"/>
  <c r="C92" i="7"/>
  <c r="C89" i="7"/>
  <c r="J22" i="7"/>
  <c r="J19" i="7"/>
  <c r="J18" i="7"/>
  <c r="J17" i="7"/>
  <c r="J14" i="7" s="1"/>
  <c r="J16" i="7"/>
  <c r="J15" i="7"/>
  <c r="I22" i="7"/>
  <c r="I20" i="7"/>
  <c r="I19" i="7"/>
  <c r="I18" i="7"/>
  <c r="I17" i="7"/>
  <c r="I14" i="7" s="1"/>
  <c r="I16" i="7"/>
  <c r="I15" i="7"/>
  <c r="I86" i="7"/>
  <c r="J86" i="7"/>
  <c r="I85" i="7"/>
  <c r="J85" i="7"/>
  <c r="AQ84" i="7"/>
  <c r="A84" i="7"/>
  <c r="I82" i="7"/>
  <c r="J82" i="7"/>
  <c r="I81" i="7"/>
  <c r="J81" i="7"/>
  <c r="A80" i="7"/>
  <c r="I76" i="7"/>
  <c r="H76" i="7"/>
  <c r="G76" i="7"/>
  <c r="E76" i="7"/>
  <c r="J75" i="7"/>
  <c r="E75" i="7"/>
  <c r="J74" i="7"/>
  <c r="E74" i="7"/>
  <c r="K73" i="7"/>
  <c r="J73" i="7"/>
  <c r="H73" i="7"/>
  <c r="I73" i="7"/>
  <c r="F73" i="7"/>
  <c r="V73" i="7"/>
  <c r="T73" i="7"/>
  <c r="R73" i="7"/>
  <c r="U73" i="7"/>
  <c r="S73" i="7"/>
  <c r="Q73" i="7"/>
  <c r="E73" i="7"/>
  <c r="D73" i="7"/>
  <c r="B73" i="7"/>
  <c r="K72" i="7"/>
  <c r="J72" i="7"/>
  <c r="H72" i="7"/>
  <c r="I72" i="7"/>
  <c r="F72" i="7"/>
  <c r="V72" i="7"/>
  <c r="T72" i="7"/>
  <c r="R72" i="7"/>
  <c r="U72" i="7"/>
  <c r="S72" i="7"/>
  <c r="Q72" i="7"/>
  <c r="E72" i="7"/>
  <c r="D72" i="7"/>
  <c r="B72" i="7"/>
  <c r="K71" i="7"/>
  <c r="J71" i="7"/>
  <c r="I71" i="7"/>
  <c r="H71" i="7"/>
  <c r="G71" i="7"/>
  <c r="F71" i="7"/>
  <c r="K70" i="7"/>
  <c r="J70" i="7"/>
  <c r="I70" i="7"/>
  <c r="H70" i="7"/>
  <c r="G70" i="7"/>
  <c r="F70" i="7"/>
  <c r="K69" i="7"/>
  <c r="J69" i="7"/>
  <c r="I69" i="7"/>
  <c r="H69" i="7"/>
  <c r="G69" i="7"/>
  <c r="F69" i="7"/>
  <c r="C68" i="7"/>
  <c r="V67" i="7"/>
  <c r="T67" i="7"/>
  <c r="K75" i="7" s="1"/>
  <c r="R67" i="7"/>
  <c r="K74" i="7" s="1"/>
  <c r="U67" i="7"/>
  <c r="S67" i="7"/>
  <c r="I75" i="7" s="1"/>
  <c r="Q67" i="7"/>
  <c r="I74" i="7" s="1"/>
  <c r="E67" i="7"/>
  <c r="D67" i="7"/>
  <c r="P65" i="7"/>
  <c r="K64" i="7"/>
  <c r="J65" i="7" s="1"/>
  <c r="J64" i="7"/>
  <c r="I64" i="7"/>
  <c r="H65" i="7" s="1"/>
  <c r="H64" i="7"/>
  <c r="G64" i="7"/>
  <c r="F64" i="7"/>
  <c r="V64" i="7"/>
  <c r="T64" i="7"/>
  <c r="R64" i="7"/>
  <c r="U64" i="7"/>
  <c r="S64" i="7"/>
  <c r="Q64" i="7"/>
  <c r="E64" i="7"/>
  <c r="D64" i="7"/>
  <c r="B64" i="7"/>
  <c r="I61" i="7"/>
  <c r="H61" i="7"/>
  <c r="G61" i="7"/>
  <c r="E61" i="7"/>
  <c r="J60" i="7"/>
  <c r="I60" i="7"/>
  <c r="E60" i="7"/>
  <c r="J59" i="7"/>
  <c r="E59" i="7"/>
  <c r="K58" i="7"/>
  <c r="J58" i="7"/>
  <c r="I58" i="7"/>
  <c r="H58" i="7"/>
  <c r="G58" i="7"/>
  <c r="F58" i="7"/>
  <c r="K57" i="7"/>
  <c r="J57" i="7"/>
  <c r="I57" i="7"/>
  <c r="H57" i="7"/>
  <c r="G57" i="7"/>
  <c r="F57" i="7"/>
  <c r="K56" i="7"/>
  <c r="J56" i="7"/>
  <c r="I56" i="7"/>
  <c r="H56" i="7"/>
  <c r="G56" i="7"/>
  <c r="F56" i="7"/>
  <c r="K55" i="7"/>
  <c r="J55" i="7"/>
  <c r="I55" i="7"/>
  <c r="H55" i="7"/>
  <c r="G55" i="7"/>
  <c r="F55" i="7"/>
  <c r="C54" i="7"/>
  <c r="V53" i="7"/>
  <c r="T53" i="7"/>
  <c r="K60" i="7" s="1"/>
  <c r="R53" i="7"/>
  <c r="K59" i="7" s="1"/>
  <c r="J62" i="7" s="1"/>
  <c r="U53" i="7"/>
  <c r="S53" i="7"/>
  <c r="Q53" i="7"/>
  <c r="I59" i="7" s="1"/>
  <c r="E53" i="7"/>
  <c r="D53" i="7"/>
  <c r="P51" i="7"/>
  <c r="J51" i="7"/>
  <c r="K50" i="7"/>
  <c r="J50" i="7"/>
  <c r="I50" i="7"/>
  <c r="O51" i="7" s="1"/>
  <c r="H50" i="7"/>
  <c r="G50" i="7"/>
  <c r="F50" i="7"/>
  <c r="V50" i="7"/>
  <c r="T50" i="7"/>
  <c r="R50" i="7"/>
  <c r="U50" i="7"/>
  <c r="S50" i="7"/>
  <c r="Q50" i="7"/>
  <c r="E50" i="7"/>
  <c r="D50" i="7"/>
  <c r="B50" i="7"/>
  <c r="P48" i="7"/>
  <c r="J48" i="7"/>
  <c r="K47" i="7"/>
  <c r="J47" i="7"/>
  <c r="I47" i="7"/>
  <c r="O48" i="7" s="1"/>
  <c r="H47" i="7"/>
  <c r="G47" i="7"/>
  <c r="F47" i="7"/>
  <c r="V47" i="7"/>
  <c r="T47" i="7"/>
  <c r="R47" i="7"/>
  <c r="U47" i="7"/>
  <c r="S47" i="7"/>
  <c r="Q47" i="7"/>
  <c r="E47" i="7"/>
  <c r="D47" i="7"/>
  <c r="B47" i="7"/>
  <c r="O45" i="7"/>
  <c r="K44" i="7"/>
  <c r="P45" i="7" s="1"/>
  <c r="J44" i="7"/>
  <c r="I44" i="7"/>
  <c r="H45" i="7" s="1"/>
  <c r="H44" i="7"/>
  <c r="G44" i="7"/>
  <c r="F44" i="7"/>
  <c r="V44" i="7"/>
  <c r="T44" i="7"/>
  <c r="R44" i="7"/>
  <c r="U44" i="7"/>
  <c r="S44" i="7"/>
  <c r="Q44" i="7"/>
  <c r="E44" i="7"/>
  <c r="D44" i="7"/>
  <c r="B44" i="7"/>
  <c r="O42" i="7"/>
  <c r="H42" i="7"/>
  <c r="K41" i="7"/>
  <c r="P42" i="7" s="1"/>
  <c r="J41" i="7"/>
  <c r="I41" i="7"/>
  <c r="H41" i="7"/>
  <c r="G41" i="7"/>
  <c r="F41" i="7"/>
  <c r="V41" i="7"/>
  <c r="T41" i="7"/>
  <c r="R41" i="7"/>
  <c r="U41" i="7"/>
  <c r="S41" i="7"/>
  <c r="Q41" i="7"/>
  <c r="E41" i="7"/>
  <c r="D41" i="7"/>
  <c r="B41" i="7"/>
  <c r="P39" i="7"/>
  <c r="J39" i="7"/>
  <c r="K38" i="7"/>
  <c r="J38" i="7"/>
  <c r="I38" i="7"/>
  <c r="O39" i="7" s="1"/>
  <c r="H38" i="7"/>
  <c r="G38" i="7"/>
  <c r="F38" i="7"/>
  <c r="V38" i="7"/>
  <c r="T38" i="7"/>
  <c r="R38" i="7"/>
  <c r="U38" i="7"/>
  <c r="S38" i="7"/>
  <c r="Q38" i="7"/>
  <c r="E38" i="7"/>
  <c r="D38" i="7"/>
  <c r="B38" i="7"/>
  <c r="I35" i="7"/>
  <c r="H35" i="7"/>
  <c r="G35" i="7"/>
  <c r="E35" i="7"/>
  <c r="J34" i="7"/>
  <c r="I34" i="7"/>
  <c r="E34" i="7"/>
  <c r="J33" i="7"/>
  <c r="I33" i="7"/>
  <c r="E33" i="7"/>
  <c r="K32" i="7"/>
  <c r="J32" i="7"/>
  <c r="I32" i="7"/>
  <c r="H32" i="7"/>
  <c r="G32" i="7"/>
  <c r="F32" i="7"/>
  <c r="K31" i="7"/>
  <c r="J31" i="7"/>
  <c r="I31" i="7"/>
  <c r="O36" i="7" s="1"/>
  <c r="H31" i="7"/>
  <c r="G31" i="7"/>
  <c r="F31" i="7"/>
  <c r="V30" i="7"/>
  <c r="T30" i="7"/>
  <c r="K34" i="7" s="1"/>
  <c r="R30" i="7"/>
  <c r="K33" i="7" s="1"/>
  <c r="J36" i="7" s="1"/>
  <c r="U30" i="7"/>
  <c r="S30" i="7"/>
  <c r="Q30" i="7"/>
  <c r="E30" i="7"/>
  <c r="D30" i="7"/>
  <c r="A29" i="7"/>
  <c r="A11" i="7"/>
  <c r="A8" i="7"/>
  <c r="A6" i="7"/>
  <c r="A1" i="7"/>
  <c r="A1" i="4"/>
  <c r="A2" i="4"/>
  <c r="A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1" i="3"/>
  <c r="Y1" i="3"/>
  <c r="CY1" i="3"/>
  <c r="CZ1" i="3"/>
  <c r="DB1" i="3" s="1"/>
  <c r="DA1" i="3"/>
  <c r="DC1" i="3"/>
  <c r="A2" i="3"/>
  <c r="Y2" i="3"/>
  <c r="CY2" i="3"/>
  <c r="CZ2" i="3"/>
  <c r="DA2" i="3"/>
  <c r="DB2" i="3"/>
  <c r="DC2" i="3"/>
  <c r="A3" i="3"/>
  <c r="Y3" i="3"/>
  <c r="CW3" i="3" s="1"/>
  <c r="CY3" i="3"/>
  <c r="CZ3" i="3"/>
  <c r="DB3" i="3" s="1"/>
  <c r="DA3" i="3"/>
  <c r="DC3" i="3"/>
  <c r="A4" i="3"/>
  <c r="Y4" i="3"/>
  <c r="CY4" i="3"/>
  <c r="CZ4" i="3"/>
  <c r="DB4" i="3" s="1"/>
  <c r="DA4" i="3"/>
  <c r="DC4" i="3"/>
  <c r="A5" i="3"/>
  <c r="Y5" i="3"/>
  <c r="CY5" i="3"/>
  <c r="CZ5" i="3"/>
  <c r="DA5" i="3"/>
  <c r="DB5" i="3"/>
  <c r="DC5" i="3"/>
  <c r="A6" i="3"/>
  <c r="Y6" i="3"/>
  <c r="CY6" i="3"/>
  <c r="CZ6" i="3"/>
  <c r="DB6" i="3" s="1"/>
  <c r="DA6" i="3"/>
  <c r="DC6" i="3"/>
  <c r="A7" i="3"/>
  <c r="Y7" i="3"/>
  <c r="CY7" i="3"/>
  <c r="CZ7" i="3"/>
  <c r="DA7" i="3"/>
  <c r="DB7" i="3"/>
  <c r="DC7" i="3"/>
  <c r="A8" i="3"/>
  <c r="Y8" i="3"/>
  <c r="CY8" i="3"/>
  <c r="CZ8" i="3"/>
  <c r="DB8" i="3" s="1"/>
  <c r="DA8" i="3"/>
  <c r="DC8" i="3"/>
  <c r="A9" i="3"/>
  <c r="Y9" i="3"/>
  <c r="CY9" i="3"/>
  <c r="CZ9" i="3"/>
  <c r="DA9" i="3"/>
  <c r="DB9" i="3"/>
  <c r="DC9" i="3"/>
  <c r="A10" i="3"/>
  <c r="Y10" i="3"/>
  <c r="CY10" i="3"/>
  <c r="CZ10" i="3"/>
  <c r="DA10" i="3"/>
  <c r="DB10" i="3"/>
  <c r="DC10" i="3"/>
  <c r="A11" i="3"/>
  <c r="Y11" i="3"/>
  <c r="CY11" i="3"/>
  <c r="CZ11" i="3"/>
  <c r="DA11" i="3"/>
  <c r="DB11" i="3"/>
  <c r="DC11" i="3"/>
  <c r="A12" i="3"/>
  <c r="Y12" i="3"/>
  <c r="CY12" i="3"/>
  <c r="CZ12" i="3"/>
  <c r="DB12" i="3" s="1"/>
  <c r="DA12" i="3"/>
  <c r="DC12" i="3"/>
  <c r="A13" i="3"/>
  <c r="Y13" i="3"/>
  <c r="CY13" i="3"/>
  <c r="CZ13" i="3"/>
  <c r="DB13" i="3" s="1"/>
  <c r="DA13" i="3"/>
  <c r="DC13" i="3"/>
  <c r="A14" i="3"/>
  <c r="Y14" i="3"/>
  <c r="CY14" i="3"/>
  <c r="CZ14" i="3"/>
  <c r="DA14" i="3"/>
  <c r="DB14" i="3"/>
  <c r="DC14" i="3"/>
  <c r="A15" i="3"/>
  <c r="Y15" i="3"/>
  <c r="CY15" i="3"/>
  <c r="CZ15" i="3"/>
  <c r="DB15" i="3" s="1"/>
  <c r="DA15" i="3"/>
  <c r="DC15" i="3"/>
  <c r="A16" i="3"/>
  <c r="Y16" i="3"/>
  <c r="CY16" i="3"/>
  <c r="CZ16" i="3"/>
  <c r="DA16" i="3"/>
  <c r="DB16" i="3"/>
  <c r="DC16" i="3"/>
  <c r="A17" i="3"/>
  <c r="Y17" i="3"/>
  <c r="CY17" i="3"/>
  <c r="CZ17" i="3"/>
  <c r="DB17" i="3" s="1"/>
  <c r="DA17" i="3"/>
  <c r="DC17" i="3"/>
  <c r="A18" i="3"/>
  <c r="Y18" i="3"/>
  <c r="CY18" i="3"/>
  <c r="CZ18" i="3"/>
  <c r="DA18" i="3"/>
  <c r="DB18" i="3"/>
  <c r="DC18" i="3"/>
  <c r="A19" i="3"/>
  <c r="Y19" i="3"/>
  <c r="CY19" i="3"/>
  <c r="CZ19" i="3"/>
  <c r="DA19" i="3"/>
  <c r="DB19" i="3"/>
  <c r="DC19" i="3"/>
  <c r="A20" i="3"/>
  <c r="Y20" i="3"/>
  <c r="CY20" i="3"/>
  <c r="CZ20" i="3"/>
  <c r="DA20" i="3"/>
  <c r="DB20" i="3"/>
  <c r="DC20" i="3"/>
  <c r="A21" i="3"/>
  <c r="Y21" i="3"/>
  <c r="CY21" i="3"/>
  <c r="CZ21" i="3"/>
  <c r="DB21" i="3" s="1"/>
  <c r="DA21" i="3"/>
  <c r="DC21" i="3"/>
  <c r="A22" i="3"/>
  <c r="Y22" i="3"/>
  <c r="CY22" i="3"/>
  <c r="CZ22" i="3"/>
  <c r="DA22" i="3"/>
  <c r="DB22" i="3"/>
  <c r="DC22" i="3"/>
  <c r="A23" i="3"/>
  <c r="Y23" i="3"/>
  <c r="CY23" i="3"/>
  <c r="CZ23" i="3"/>
  <c r="DA23" i="3"/>
  <c r="DB23" i="3"/>
  <c r="DC23" i="3"/>
  <c r="A24" i="3"/>
  <c r="Y24" i="3"/>
  <c r="CY24" i="3"/>
  <c r="CZ24" i="3"/>
  <c r="DB24" i="3" s="1"/>
  <c r="DA24" i="3"/>
  <c r="DC24" i="3"/>
  <c r="D12" i="1"/>
  <c r="E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AL18" i="1"/>
  <c r="AM18" i="1"/>
  <c r="AN18" i="1"/>
  <c r="BE18" i="1"/>
  <c r="BF18" i="1"/>
  <c r="BG18" i="1"/>
  <c r="BH18" i="1"/>
  <c r="BI18" i="1"/>
  <c r="BJ18" i="1"/>
  <c r="BK18" i="1"/>
  <c r="BL18" i="1"/>
  <c r="BM18" i="1"/>
  <c r="BN18" i="1"/>
  <c r="BO18" i="1"/>
  <c r="BP18" i="1"/>
  <c r="BQ18" i="1"/>
  <c r="BR18" i="1"/>
  <c r="BS18" i="1"/>
  <c r="BT18" i="1"/>
  <c r="BU18" i="1"/>
  <c r="BV18" i="1"/>
  <c r="BW18" i="1"/>
  <c r="BX18" i="1"/>
  <c r="BY18" i="1"/>
  <c r="BZ18" i="1"/>
  <c r="CA18" i="1"/>
  <c r="CB18" i="1"/>
  <c r="CC18" i="1"/>
  <c r="CD18" i="1"/>
  <c r="CE18" i="1"/>
  <c r="CF18" i="1"/>
  <c r="CG18" i="1"/>
  <c r="CH18" i="1"/>
  <c r="CI18" i="1"/>
  <c r="CJ18" i="1"/>
  <c r="CK18" i="1"/>
  <c r="CL18" i="1"/>
  <c r="CM18" i="1"/>
  <c r="CN18" i="1"/>
  <c r="CO18" i="1"/>
  <c r="CP18" i="1"/>
  <c r="CQ18" i="1"/>
  <c r="CR18" i="1"/>
  <c r="CS18" i="1"/>
  <c r="CT18" i="1"/>
  <c r="CU18" i="1"/>
  <c r="CV18" i="1"/>
  <c r="CW18" i="1"/>
  <c r="CX18" i="1"/>
  <c r="CY18" i="1"/>
  <c r="CZ18" i="1"/>
  <c r="DA18" i="1"/>
  <c r="DB18" i="1"/>
  <c r="DC18" i="1"/>
  <c r="DD18" i="1"/>
  <c r="DE18" i="1"/>
  <c r="DF18" i="1"/>
  <c r="DR18" i="1"/>
  <c r="DS18" i="1"/>
  <c r="DT18" i="1"/>
  <c r="DU18" i="1"/>
  <c r="DV18" i="1"/>
  <c r="DW18" i="1"/>
  <c r="DX18" i="1"/>
  <c r="DY18" i="1"/>
  <c r="DZ18" i="1"/>
  <c r="EA18" i="1"/>
  <c r="EB18" i="1"/>
  <c r="EC18" i="1"/>
  <c r="ED18" i="1"/>
  <c r="EE18" i="1"/>
  <c r="EF18" i="1"/>
  <c r="EW18" i="1"/>
  <c r="EX18" i="1"/>
  <c r="EY18" i="1"/>
  <c r="EZ18" i="1"/>
  <c r="FA18" i="1"/>
  <c r="FB18" i="1"/>
  <c r="FC18" i="1"/>
  <c r="FD18" i="1"/>
  <c r="FE18" i="1"/>
  <c r="FF18" i="1"/>
  <c r="FG18" i="1"/>
  <c r="FH18" i="1"/>
  <c r="FI18" i="1"/>
  <c r="FJ18" i="1"/>
  <c r="FK18" i="1"/>
  <c r="FL18" i="1"/>
  <c r="FM18" i="1"/>
  <c r="FN18" i="1"/>
  <c r="FO18" i="1"/>
  <c r="FP18" i="1"/>
  <c r="FQ18" i="1"/>
  <c r="FR18" i="1"/>
  <c r="FS18" i="1"/>
  <c r="FT18" i="1"/>
  <c r="FU18" i="1"/>
  <c r="FV18" i="1"/>
  <c r="FW18" i="1"/>
  <c r="FX18" i="1"/>
  <c r="FY18" i="1"/>
  <c r="FZ18" i="1"/>
  <c r="GA18" i="1"/>
  <c r="GB18" i="1"/>
  <c r="GC18" i="1"/>
  <c r="GD18" i="1"/>
  <c r="GE18" i="1"/>
  <c r="GF18" i="1"/>
  <c r="GG18" i="1"/>
  <c r="GH18" i="1"/>
  <c r="GI18" i="1"/>
  <c r="GJ18" i="1"/>
  <c r="GK18" i="1"/>
  <c r="GL18" i="1"/>
  <c r="GM18" i="1"/>
  <c r="GN18" i="1"/>
  <c r="GO18" i="1"/>
  <c r="GP18" i="1"/>
  <c r="GQ18" i="1"/>
  <c r="GR18" i="1"/>
  <c r="GS18" i="1"/>
  <c r="GT18" i="1"/>
  <c r="GU18" i="1"/>
  <c r="GV18" i="1"/>
  <c r="GW18" i="1"/>
  <c r="GX18" i="1"/>
  <c r="D20" i="1"/>
  <c r="E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AL22" i="1"/>
  <c r="AM22" i="1"/>
  <c r="AN22" i="1"/>
  <c r="BE22" i="1"/>
  <c r="BF22" i="1"/>
  <c r="BG22" i="1"/>
  <c r="BH22" i="1"/>
  <c r="BI22" i="1"/>
  <c r="BJ22" i="1"/>
  <c r="BK22" i="1"/>
  <c r="BL22" i="1"/>
  <c r="BM22" i="1"/>
  <c r="BN22" i="1"/>
  <c r="BO22" i="1"/>
  <c r="BP22" i="1"/>
  <c r="BQ22" i="1"/>
  <c r="BR22" i="1"/>
  <c r="BS22" i="1"/>
  <c r="BT22" i="1"/>
  <c r="BU22" i="1"/>
  <c r="BV22" i="1"/>
  <c r="BW22" i="1"/>
  <c r="BX22" i="1"/>
  <c r="BY22" i="1"/>
  <c r="BZ22" i="1"/>
  <c r="CA22" i="1"/>
  <c r="CB22" i="1"/>
  <c r="CC22" i="1"/>
  <c r="CD22" i="1"/>
  <c r="CE22" i="1"/>
  <c r="CF22" i="1"/>
  <c r="CG22" i="1"/>
  <c r="CH22" i="1"/>
  <c r="CI22" i="1"/>
  <c r="CJ22" i="1"/>
  <c r="CK22" i="1"/>
  <c r="CL22" i="1"/>
  <c r="CM22" i="1"/>
  <c r="CN22" i="1"/>
  <c r="CO22" i="1"/>
  <c r="CP22" i="1"/>
  <c r="CQ22" i="1"/>
  <c r="CR22" i="1"/>
  <c r="CS22" i="1"/>
  <c r="CT22" i="1"/>
  <c r="CU22" i="1"/>
  <c r="CV22" i="1"/>
  <c r="CW22" i="1"/>
  <c r="CX22" i="1"/>
  <c r="CY22" i="1"/>
  <c r="CZ22" i="1"/>
  <c r="DA22" i="1"/>
  <c r="DB22" i="1"/>
  <c r="DC22" i="1"/>
  <c r="DD22" i="1"/>
  <c r="DE22" i="1"/>
  <c r="DF22" i="1"/>
  <c r="DR22" i="1"/>
  <c r="DS22" i="1"/>
  <c r="DT22" i="1"/>
  <c r="DU22" i="1"/>
  <c r="DV22" i="1"/>
  <c r="DW22" i="1"/>
  <c r="DX22" i="1"/>
  <c r="DY22" i="1"/>
  <c r="DZ22" i="1"/>
  <c r="EA22" i="1"/>
  <c r="EB22" i="1"/>
  <c r="EC22" i="1"/>
  <c r="ED22" i="1"/>
  <c r="EE22" i="1"/>
  <c r="EF22" i="1"/>
  <c r="EW22" i="1"/>
  <c r="EX22" i="1"/>
  <c r="EY22" i="1"/>
  <c r="EZ22" i="1"/>
  <c r="FA22" i="1"/>
  <c r="FB22" i="1"/>
  <c r="FC22" i="1"/>
  <c r="FD22" i="1"/>
  <c r="FE22" i="1"/>
  <c r="FF22" i="1"/>
  <c r="FG22" i="1"/>
  <c r="FH22" i="1"/>
  <c r="FI22" i="1"/>
  <c r="FJ22" i="1"/>
  <c r="FK22" i="1"/>
  <c r="FL22" i="1"/>
  <c r="FM22" i="1"/>
  <c r="FN22" i="1"/>
  <c r="FO22" i="1"/>
  <c r="FP22" i="1"/>
  <c r="FQ22" i="1"/>
  <c r="FR22" i="1"/>
  <c r="FS22" i="1"/>
  <c r="FT22" i="1"/>
  <c r="FU22" i="1"/>
  <c r="FV22" i="1"/>
  <c r="FW22" i="1"/>
  <c r="FX22" i="1"/>
  <c r="FY22" i="1"/>
  <c r="FZ22" i="1"/>
  <c r="GA22" i="1"/>
  <c r="GB22" i="1"/>
  <c r="GC22" i="1"/>
  <c r="GD22" i="1"/>
  <c r="GE22" i="1"/>
  <c r="GF22" i="1"/>
  <c r="GG22" i="1"/>
  <c r="GH22" i="1"/>
  <c r="GI22" i="1"/>
  <c r="GJ22" i="1"/>
  <c r="GK22" i="1"/>
  <c r="GL22" i="1"/>
  <c r="GM22" i="1"/>
  <c r="GN22" i="1"/>
  <c r="GO22" i="1"/>
  <c r="GP22" i="1"/>
  <c r="GQ22" i="1"/>
  <c r="GR22" i="1"/>
  <c r="GS22" i="1"/>
  <c r="GT22" i="1"/>
  <c r="GU22" i="1"/>
  <c r="GV22" i="1"/>
  <c r="GW22" i="1"/>
  <c r="GX22" i="1"/>
  <c r="D24" i="1"/>
  <c r="E26" i="1"/>
  <c r="Z26" i="1"/>
  <c r="AA26" i="1"/>
  <c r="AM26" i="1"/>
  <c r="AN26" i="1"/>
  <c r="BE26" i="1"/>
  <c r="BF26" i="1"/>
  <c r="BG26" i="1"/>
  <c r="BH26" i="1"/>
  <c r="BI26" i="1"/>
  <c r="BJ26" i="1"/>
  <c r="BK26" i="1"/>
  <c r="BL26" i="1"/>
  <c r="BM26" i="1"/>
  <c r="BN26" i="1"/>
  <c r="BO26" i="1"/>
  <c r="BP26" i="1"/>
  <c r="BQ26" i="1"/>
  <c r="BR26" i="1"/>
  <c r="BS26" i="1"/>
  <c r="BT26" i="1"/>
  <c r="BU26" i="1"/>
  <c r="BV26" i="1"/>
  <c r="BW26" i="1"/>
  <c r="CN26" i="1"/>
  <c r="CO26" i="1"/>
  <c r="CP26" i="1"/>
  <c r="CQ26" i="1"/>
  <c r="CR26" i="1"/>
  <c r="CS26" i="1"/>
  <c r="CT26" i="1"/>
  <c r="CU26" i="1"/>
  <c r="CV26" i="1"/>
  <c r="CW26" i="1"/>
  <c r="CX26" i="1"/>
  <c r="CY26" i="1"/>
  <c r="CZ26" i="1"/>
  <c r="DA26" i="1"/>
  <c r="DB26" i="1"/>
  <c r="DC26" i="1"/>
  <c r="DD26" i="1"/>
  <c r="DE26" i="1"/>
  <c r="DF26" i="1"/>
  <c r="DR26" i="1"/>
  <c r="DS26" i="1"/>
  <c r="EE26" i="1"/>
  <c r="EF26" i="1"/>
  <c r="EW26" i="1"/>
  <c r="EX26" i="1"/>
  <c r="EY26" i="1"/>
  <c r="EZ26" i="1"/>
  <c r="FA26" i="1"/>
  <c r="FB26" i="1"/>
  <c r="FC26" i="1"/>
  <c r="FD26" i="1"/>
  <c r="FE26" i="1"/>
  <c r="FF26" i="1"/>
  <c r="FG26" i="1"/>
  <c r="FH26" i="1"/>
  <c r="FI26" i="1"/>
  <c r="FJ26" i="1"/>
  <c r="FK26" i="1"/>
  <c r="FL26" i="1"/>
  <c r="FM26" i="1"/>
  <c r="FN26" i="1"/>
  <c r="FO26" i="1"/>
  <c r="GF26" i="1"/>
  <c r="GG26" i="1"/>
  <c r="GH26" i="1"/>
  <c r="GI26" i="1"/>
  <c r="GJ26" i="1"/>
  <c r="GK26" i="1"/>
  <c r="GL26" i="1"/>
  <c r="GM26" i="1"/>
  <c r="GN26" i="1"/>
  <c r="GO26" i="1"/>
  <c r="GP26" i="1"/>
  <c r="GQ26" i="1"/>
  <c r="GR26" i="1"/>
  <c r="GS26" i="1"/>
  <c r="GT26" i="1"/>
  <c r="GU26" i="1"/>
  <c r="GV26" i="1"/>
  <c r="GW26" i="1"/>
  <c r="GX26" i="1"/>
  <c r="C28" i="1"/>
  <c r="D28" i="1"/>
  <c r="I28" i="1"/>
  <c r="K28" i="1"/>
  <c r="R28" i="1"/>
  <c r="S28" i="1"/>
  <c r="AC28" i="1"/>
  <c r="AD28" i="1"/>
  <c r="AE28" i="1"/>
  <c r="Q28" i="1" s="1"/>
  <c r="AF28" i="1"/>
  <c r="AG28" i="1"/>
  <c r="CU28" i="1" s="1"/>
  <c r="T28" i="1" s="1"/>
  <c r="AH28" i="1"/>
  <c r="AI28" i="1"/>
  <c r="AJ28" i="1"/>
  <c r="CR28" i="1"/>
  <c r="CS28" i="1"/>
  <c r="CT28" i="1"/>
  <c r="CV28" i="1"/>
  <c r="U28" i="1" s="1"/>
  <c r="CW28" i="1"/>
  <c r="V28" i="1" s="1"/>
  <c r="CX28" i="1"/>
  <c r="W28" i="1" s="1"/>
  <c r="GL28" i="1"/>
  <c r="GN28" i="1"/>
  <c r="GP28" i="1"/>
  <c r="GV28" i="1"/>
  <c r="HC28" i="1" s="1"/>
  <c r="GX28" i="1" s="1"/>
  <c r="C29" i="1"/>
  <c r="D29" i="1"/>
  <c r="I29" i="1"/>
  <c r="K29" i="1"/>
  <c r="P29" i="1"/>
  <c r="S29" i="1"/>
  <c r="T29" i="1"/>
  <c r="AC29" i="1"/>
  <c r="AD29" i="1"/>
  <c r="AE29" i="1"/>
  <c r="Q29" i="1" s="1"/>
  <c r="AF29" i="1"/>
  <c r="AG29" i="1"/>
  <c r="AH29" i="1"/>
  <c r="CV29" i="1" s="1"/>
  <c r="U29" i="1" s="1"/>
  <c r="AI29" i="1"/>
  <c r="CW29" i="1" s="1"/>
  <c r="V29" i="1" s="1"/>
  <c r="AJ29" i="1"/>
  <c r="CQ29" i="1"/>
  <c r="CR29" i="1"/>
  <c r="CT29" i="1"/>
  <c r="CU29" i="1"/>
  <c r="CX29" i="1"/>
  <c r="W29" i="1" s="1"/>
  <c r="GL29" i="1"/>
  <c r="GN29" i="1"/>
  <c r="GP29" i="1"/>
  <c r="GV29" i="1"/>
  <c r="HC29" i="1" s="1"/>
  <c r="GX29" i="1" s="1"/>
  <c r="I30" i="1"/>
  <c r="K30" i="1"/>
  <c r="R30" i="1"/>
  <c r="S30" i="1"/>
  <c r="AC30" i="1"/>
  <c r="AD30" i="1"/>
  <c r="AE30" i="1"/>
  <c r="Q30" i="1" s="1"/>
  <c r="AF30" i="1"/>
  <c r="AG30" i="1"/>
  <c r="CU30" i="1" s="1"/>
  <c r="T30" i="1" s="1"/>
  <c r="AH30" i="1"/>
  <c r="CV30" i="1" s="1"/>
  <c r="U30" i="1" s="1"/>
  <c r="AI30" i="1"/>
  <c r="AJ30" i="1"/>
  <c r="CR30" i="1"/>
  <c r="CS30" i="1"/>
  <c r="CT30" i="1"/>
  <c r="CW30" i="1"/>
  <c r="V30" i="1" s="1"/>
  <c r="CX30" i="1"/>
  <c r="W30" i="1" s="1"/>
  <c r="GL30" i="1"/>
  <c r="GN30" i="1"/>
  <c r="GO30" i="1"/>
  <c r="GP30" i="1"/>
  <c r="GV30" i="1"/>
  <c r="HC30" i="1"/>
  <c r="GX30" i="1" s="1"/>
  <c r="I31" i="1"/>
  <c r="P31" i="1" s="1"/>
  <c r="K31" i="1"/>
  <c r="AC31" i="1"/>
  <c r="AE31" i="1"/>
  <c r="AF31" i="1"/>
  <c r="AG31" i="1"/>
  <c r="AH31" i="1"/>
  <c r="AI31" i="1"/>
  <c r="CW31" i="1" s="1"/>
  <c r="AJ31" i="1"/>
  <c r="CX31" i="1" s="1"/>
  <c r="CQ31" i="1"/>
  <c r="CR31" i="1"/>
  <c r="CU31" i="1"/>
  <c r="CV31" i="1"/>
  <c r="U31" i="1" s="1"/>
  <c r="GL31" i="1"/>
  <c r="GN31" i="1"/>
  <c r="GO31" i="1"/>
  <c r="GP31" i="1"/>
  <c r="GV31" i="1"/>
  <c r="HC31" i="1" s="1"/>
  <c r="GX31" i="1" s="1"/>
  <c r="I32" i="1"/>
  <c r="K32" i="1"/>
  <c r="R32" i="1"/>
  <c r="S32" i="1"/>
  <c r="W32" i="1"/>
  <c r="AC32" i="1"/>
  <c r="AD32" i="1"/>
  <c r="AE32" i="1"/>
  <c r="Q32" i="1" s="1"/>
  <c r="AF32" i="1"/>
  <c r="AG32" i="1"/>
  <c r="CU32" i="1" s="1"/>
  <c r="T32" i="1" s="1"/>
  <c r="AH32" i="1"/>
  <c r="AI32" i="1"/>
  <c r="AJ32" i="1"/>
  <c r="CR32" i="1"/>
  <c r="CS32" i="1"/>
  <c r="CT32" i="1"/>
  <c r="CV32" i="1"/>
  <c r="U32" i="1" s="1"/>
  <c r="CW32" i="1"/>
  <c r="V32" i="1" s="1"/>
  <c r="CX32" i="1"/>
  <c r="GL32" i="1"/>
  <c r="GN32" i="1"/>
  <c r="GO32" i="1"/>
  <c r="GP32" i="1"/>
  <c r="GV32" i="1"/>
  <c r="HC32" i="1"/>
  <c r="GX32" i="1" s="1"/>
  <c r="I33" i="1"/>
  <c r="P33" i="1" s="1"/>
  <c r="K33" i="1"/>
  <c r="AC33" i="1"/>
  <c r="AE33" i="1"/>
  <c r="Q33" i="1" s="1"/>
  <c r="AF33" i="1"/>
  <c r="S33" i="1" s="1"/>
  <c r="AG33" i="1"/>
  <c r="AH33" i="1"/>
  <c r="AI33" i="1"/>
  <c r="CW33" i="1" s="1"/>
  <c r="V33" i="1" s="1"/>
  <c r="AJ33" i="1"/>
  <c r="CQ33" i="1"/>
  <c r="CT33" i="1"/>
  <c r="CU33" i="1"/>
  <c r="T33" i="1" s="1"/>
  <c r="CV33" i="1"/>
  <c r="U33" i="1" s="1"/>
  <c r="CX33" i="1"/>
  <c r="GL33" i="1"/>
  <c r="GN33" i="1"/>
  <c r="GO33" i="1"/>
  <c r="GP33" i="1"/>
  <c r="GV33" i="1"/>
  <c r="HC33" i="1" s="1"/>
  <c r="GX33" i="1" s="1"/>
  <c r="I34" i="1"/>
  <c r="K34" i="1"/>
  <c r="R34" i="1"/>
  <c r="S34" i="1"/>
  <c r="W34" i="1"/>
  <c r="AC34" i="1"/>
  <c r="AE34" i="1"/>
  <c r="AD34" i="1" s="1"/>
  <c r="AF34" i="1"/>
  <c r="AG34" i="1"/>
  <c r="CU34" i="1" s="1"/>
  <c r="T34" i="1" s="1"/>
  <c r="AH34" i="1"/>
  <c r="AI34" i="1"/>
  <c r="AJ34" i="1"/>
  <c r="CR34" i="1"/>
  <c r="CS34" i="1"/>
  <c r="CT34" i="1"/>
  <c r="CV34" i="1"/>
  <c r="U34" i="1" s="1"/>
  <c r="CW34" i="1"/>
  <c r="V34" i="1" s="1"/>
  <c r="CX34" i="1"/>
  <c r="GL34" i="1"/>
  <c r="GN34" i="1"/>
  <c r="GO34" i="1"/>
  <c r="GP34" i="1"/>
  <c r="GV34" i="1"/>
  <c r="HC34" i="1"/>
  <c r="GX34" i="1" s="1"/>
  <c r="I35" i="1"/>
  <c r="K35" i="1"/>
  <c r="U35" i="1"/>
  <c r="AC35" i="1"/>
  <c r="AE35" i="1"/>
  <c r="AF35" i="1"/>
  <c r="AG35" i="1"/>
  <c r="AH35" i="1"/>
  <c r="AI35" i="1"/>
  <c r="CW35" i="1" s="1"/>
  <c r="AJ35" i="1"/>
  <c r="CQ35" i="1"/>
  <c r="CR35" i="1"/>
  <c r="CT35" i="1"/>
  <c r="CU35" i="1"/>
  <c r="T35" i="1" s="1"/>
  <c r="CV35" i="1"/>
  <c r="CX35" i="1"/>
  <c r="W35" i="1" s="1"/>
  <c r="GL35" i="1"/>
  <c r="GN35" i="1"/>
  <c r="GO35" i="1"/>
  <c r="GP35" i="1"/>
  <c r="GV35" i="1"/>
  <c r="HC35" i="1" s="1"/>
  <c r="GX35" i="1" s="1"/>
  <c r="I36" i="1"/>
  <c r="K36" i="1"/>
  <c r="R36" i="1"/>
  <c r="S36" i="1"/>
  <c r="AC36" i="1"/>
  <c r="AE36" i="1"/>
  <c r="AD36" i="1" s="1"/>
  <c r="AF36" i="1"/>
  <c r="AG36" i="1"/>
  <c r="CU36" i="1" s="1"/>
  <c r="T36" i="1" s="1"/>
  <c r="AH36" i="1"/>
  <c r="AI36" i="1"/>
  <c r="AJ36" i="1"/>
  <c r="CX36" i="1" s="1"/>
  <c r="W36" i="1" s="1"/>
  <c r="CR36" i="1"/>
  <c r="CS36" i="1"/>
  <c r="CT36" i="1"/>
  <c r="CV36" i="1"/>
  <c r="U36" i="1" s="1"/>
  <c r="CW36" i="1"/>
  <c r="V36" i="1" s="1"/>
  <c r="GL36" i="1"/>
  <c r="GN36" i="1"/>
  <c r="GO36" i="1"/>
  <c r="GP36" i="1"/>
  <c r="GV36" i="1"/>
  <c r="HC36" i="1"/>
  <c r="GX36" i="1" s="1"/>
  <c r="I37" i="1"/>
  <c r="S37" i="1" s="1"/>
  <c r="K37" i="1"/>
  <c r="Q37" i="1"/>
  <c r="AC37" i="1"/>
  <c r="AD37" i="1"/>
  <c r="AE37" i="1"/>
  <c r="AF37" i="1"/>
  <c r="AG37" i="1"/>
  <c r="AH37" i="1"/>
  <c r="AI37" i="1"/>
  <c r="CW37" i="1" s="1"/>
  <c r="AJ37" i="1"/>
  <c r="CQ37" i="1"/>
  <c r="CR37" i="1"/>
  <c r="CT37" i="1"/>
  <c r="CU37" i="1"/>
  <c r="T37" i="1" s="1"/>
  <c r="CV37" i="1"/>
  <c r="U37" i="1" s="1"/>
  <c r="CX37" i="1"/>
  <c r="W37" i="1" s="1"/>
  <c r="GL37" i="1"/>
  <c r="GN37" i="1"/>
  <c r="GO37" i="1"/>
  <c r="GP37" i="1"/>
  <c r="GV37" i="1"/>
  <c r="HC37" i="1" s="1"/>
  <c r="GX37" i="1" s="1"/>
  <c r="I38" i="1"/>
  <c r="K38" i="1"/>
  <c r="R38" i="1"/>
  <c r="S38" i="1"/>
  <c r="AC38" i="1"/>
  <c r="AE38" i="1"/>
  <c r="AD38" i="1" s="1"/>
  <c r="AF38" i="1"/>
  <c r="AG38" i="1"/>
  <c r="CU38" i="1" s="1"/>
  <c r="T38" i="1" s="1"/>
  <c r="AH38" i="1"/>
  <c r="AI38" i="1"/>
  <c r="AJ38" i="1"/>
  <c r="CR38" i="1"/>
  <c r="CS38" i="1"/>
  <c r="CT38" i="1"/>
  <c r="CV38" i="1"/>
  <c r="U38" i="1" s="1"/>
  <c r="CW38" i="1"/>
  <c r="V38" i="1" s="1"/>
  <c r="CX38" i="1"/>
  <c r="W38" i="1" s="1"/>
  <c r="GL38" i="1"/>
  <c r="GN38" i="1"/>
  <c r="GO38" i="1"/>
  <c r="GP38" i="1"/>
  <c r="GV38" i="1"/>
  <c r="GX38" i="1"/>
  <c r="HC38" i="1"/>
  <c r="I39" i="1"/>
  <c r="S39" i="1" s="1"/>
  <c r="K39" i="1"/>
  <c r="Q39" i="1"/>
  <c r="T39" i="1"/>
  <c r="W39" i="1"/>
  <c r="AC39" i="1"/>
  <c r="AD39" i="1"/>
  <c r="AE39" i="1"/>
  <c r="AF39" i="1"/>
  <c r="AG39" i="1"/>
  <c r="AH39" i="1"/>
  <c r="AI39" i="1"/>
  <c r="CW39" i="1" s="1"/>
  <c r="AJ39" i="1"/>
  <c r="CQ39" i="1"/>
  <c r="CR39" i="1"/>
  <c r="CT39" i="1"/>
  <c r="CU39" i="1"/>
  <c r="CV39" i="1"/>
  <c r="U39" i="1" s="1"/>
  <c r="CX39" i="1"/>
  <c r="GL39" i="1"/>
  <c r="GN39" i="1"/>
  <c r="GO39" i="1"/>
  <c r="GP39" i="1"/>
  <c r="GV39" i="1"/>
  <c r="HC39" i="1" s="1"/>
  <c r="GX39" i="1"/>
  <c r="C40" i="1"/>
  <c r="D40" i="1"/>
  <c r="I40" i="1"/>
  <c r="K40" i="1"/>
  <c r="S40" i="1"/>
  <c r="U40" i="1"/>
  <c r="AC40" i="1"/>
  <c r="AE40" i="1"/>
  <c r="AF40" i="1"/>
  <c r="AG40" i="1"/>
  <c r="AH40" i="1"/>
  <c r="AI40" i="1"/>
  <c r="CW40" i="1" s="1"/>
  <c r="V40" i="1" s="1"/>
  <c r="AJ40" i="1"/>
  <c r="CR40" i="1"/>
  <c r="CT40" i="1"/>
  <c r="CU40" i="1"/>
  <c r="T40" i="1" s="1"/>
  <c r="CV40" i="1"/>
  <c r="CX40" i="1"/>
  <c r="W40" i="1" s="1"/>
  <c r="GL40" i="1"/>
  <c r="GO40" i="1"/>
  <c r="GP40" i="1"/>
  <c r="GV40" i="1"/>
  <c r="HC40" i="1" s="1"/>
  <c r="GX40" i="1" s="1"/>
  <c r="C41" i="1"/>
  <c r="D41" i="1"/>
  <c r="I41" i="1"/>
  <c r="K41" i="1"/>
  <c r="P41" i="1"/>
  <c r="R41" i="1"/>
  <c r="AC41" i="1"/>
  <c r="AD41" i="1"/>
  <c r="AB41" i="1" s="1"/>
  <c r="AE41" i="1"/>
  <c r="Q41" i="1" s="1"/>
  <c r="AF41" i="1"/>
  <c r="S41" i="1" s="1"/>
  <c r="CZ41" i="1" s="1"/>
  <c r="Y41" i="1" s="1"/>
  <c r="AG41" i="1"/>
  <c r="AH41" i="1"/>
  <c r="CV41" i="1" s="1"/>
  <c r="U41" i="1" s="1"/>
  <c r="AI41" i="1"/>
  <c r="AJ41" i="1"/>
  <c r="CX41" i="1" s="1"/>
  <c r="W41" i="1" s="1"/>
  <c r="CQ41" i="1"/>
  <c r="CR41" i="1"/>
  <c r="CS41" i="1"/>
  <c r="CU41" i="1"/>
  <c r="T41" i="1" s="1"/>
  <c r="CW41" i="1"/>
  <c r="V41" i="1" s="1"/>
  <c r="GL41" i="1"/>
  <c r="GO41" i="1"/>
  <c r="GP41" i="1"/>
  <c r="GV41" i="1"/>
  <c r="GX41" i="1"/>
  <c r="HC41" i="1"/>
  <c r="I42" i="1"/>
  <c r="K42" i="1"/>
  <c r="S42" i="1"/>
  <c r="AC42" i="1"/>
  <c r="AE42" i="1"/>
  <c r="R42" i="1" s="1"/>
  <c r="AF42" i="1"/>
  <c r="AG42" i="1"/>
  <c r="CU42" i="1" s="1"/>
  <c r="T42" i="1" s="1"/>
  <c r="AH42" i="1"/>
  <c r="AI42" i="1"/>
  <c r="CW42" i="1" s="1"/>
  <c r="V42" i="1" s="1"/>
  <c r="AJ42" i="1"/>
  <c r="CR42" i="1"/>
  <c r="CT42" i="1"/>
  <c r="CV42" i="1"/>
  <c r="U42" i="1" s="1"/>
  <c r="CX42" i="1"/>
  <c r="W42" i="1" s="1"/>
  <c r="GL42" i="1"/>
  <c r="GN42" i="1"/>
  <c r="GO42" i="1"/>
  <c r="GP42" i="1"/>
  <c r="GV42" i="1"/>
  <c r="HC42" i="1" s="1"/>
  <c r="GX42" i="1" s="1"/>
  <c r="I43" i="1"/>
  <c r="S43" i="1" s="1"/>
  <c r="K43" i="1"/>
  <c r="AC43" i="1"/>
  <c r="AE43" i="1"/>
  <c r="AF43" i="1"/>
  <c r="AG43" i="1"/>
  <c r="CU43" i="1" s="1"/>
  <c r="T43" i="1" s="1"/>
  <c r="AH43" i="1"/>
  <c r="AI43" i="1"/>
  <c r="CW43" i="1" s="1"/>
  <c r="AJ43" i="1"/>
  <c r="CR43" i="1"/>
  <c r="CT43" i="1"/>
  <c r="CV43" i="1"/>
  <c r="U43" i="1" s="1"/>
  <c r="CX43" i="1"/>
  <c r="GL43" i="1"/>
  <c r="GN43" i="1"/>
  <c r="GO43" i="1"/>
  <c r="GP43" i="1"/>
  <c r="GV43" i="1"/>
  <c r="HC43" i="1"/>
  <c r="C44" i="1"/>
  <c r="D44" i="1"/>
  <c r="I44" i="1"/>
  <c r="S44" i="1" s="1"/>
  <c r="K44" i="1"/>
  <c r="Q44" i="1"/>
  <c r="U44" i="1"/>
  <c r="AC44" i="1"/>
  <c r="AE44" i="1"/>
  <c r="CR44" i="1" s="1"/>
  <c r="AF44" i="1"/>
  <c r="AG44" i="1"/>
  <c r="CU44" i="1" s="1"/>
  <c r="T44" i="1" s="1"/>
  <c r="AH44" i="1"/>
  <c r="AI44" i="1"/>
  <c r="CW44" i="1" s="1"/>
  <c r="V44" i="1" s="1"/>
  <c r="AJ44" i="1"/>
  <c r="CT44" i="1"/>
  <c r="CV44" i="1"/>
  <c r="CX44" i="1"/>
  <c r="W44" i="1" s="1"/>
  <c r="GL44" i="1"/>
  <c r="GO44" i="1"/>
  <c r="GP44" i="1"/>
  <c r="GV44" i="1"/>
  <c r="HC44" i="1" s="1"/>
  <c r="GX44" i="1" s="1"/>
  <c r="C45" i="1"/>
  <c r="D45" i="1"/>
  <c r="I45" i="1"/>
  <c r="K45" i="1"/>
  <c r="P45" i="1"/>
  <c r="R45" i="1"/>
  <c r="T45" i="1"/>
  <c r="AC45" i="1"/>
  <c r="AD45" i="1"/>
  <c r="AB45" i="1" s="1"/>
  <c r="AE45" i="1"/>
  <c r="Q45" i="1" s="1"/>
  <c r="AF45" i="1"/>
  <c r="AG45" i="1"/>
  <c r="AH45" i="1"/>
  <c r="CV45" i="1" s="1"/>
  <c r="U45" i="1" s="1"/>
  <c r="AI45" i="1"/>
  <c r="AJ45" i="1"/>
  <c r="CX45" i="1" s="1"/>
  <c r="W45" i="1" s="1"/>
  <c r="CQ45" i="1"/>
  <c r="CR45" i="1"/>
  <c r="CS45" i="1"/>
  <c r="CU45" i="1"/>
  <c r="CW45" i="1"/>
  <c r="V45" i="1" s="1"/>
  <c r="GL45" i="1"/>
  <c r="GO45" i="1"/>
  <c r="GP45" i="1"/>
  <c r="GV45" i="1"/>
  <c r="HC45" i="1" s="1"/>
  <c r="GX45" i="1" s="1"/>
  <c r="I46" i="1"/>
  <c r="Q46" i="1" s="1"/>
  <c r="R46" i="1"/>
  <c r="V46" i="1"/>
  <c r="AC46" i="1"/>
  <c r="AD46" i="1"/>
  <c r="AE46" i="1"/>
  <c r="AF46" i="1"/>
  <c r="AG46" i="1"/>
  <c r="AH46" i="1"/>
  <c r="CV46" i="1" s="1"/>
  <c r="U46" i="1" s="1"/>
  <c r="AI46" i="1"/>
  <c r="AJ46" i="1"/>
  <c r="CX46" i="1" s="1"/>
  <c r="W46" i="1" s="1"/>
  <c r="CQ46" i="1"/>
  <c r="CR46" i="1"/>
  <c r="CS46" i="1"/>
  <c r="CU46" i="1"/>
  <c r="T46" i="1" s="1"/>
  <c r="CW46" i="1"/>
  <c r="GL46" i="1"/>
  <c r="GO46" i="1"/>
  <c r="GP46" i="1"/>
  <c r="GV46" i="1"/>
  <c r="HC46" i="1" s="1"/>
  <c r="GX46" i="1"/>
  <c r="I47" i="1"/>
  <c r="Q47" i="1" s="1"/>
  <c r="P47" i="1"/>
  <c r="CP47" i="1" s="1"/>
  <c r="O47" i="1" s="1"/>
  <c r="R47" i="1"/>
  <c r="T47" i="1"/>
  <c r="AC47" i="1"/>
  <c r="AD47" i="1"/>
  <c r="AE47" i="1"/>
  <c r="AF47" i="1"/>
  <c r="S47" i="1" s="1"/>
  <c r="CZ47" i="1" s="1"/>
  <c r="Y47" i="1" s="1"/>
  <c r="AG47" i="1"/>
  <c r="AH47" i="1"/>
  <c r="CV47" i="1" s="1"/>
  <c r="U47" i="1" s="1"/>
  <c r="AI47" i="1"/>
  <c r="AJ47" i="1"/>
  <c r="CQ47" i="1"/>
  <c r="CR47" i="1"/>
  <c r="CS47" i="1"/>
  <c r="CU47" i="1"/>
  <c r="CW47" i="1"/>
  <c r="V47" i="1" s="1"/>
  <c r="CX47" i="1"/>
  <c r="W47" i="1" s="1"/>
  <c r="GL47" i="1"/>
  <c r="GO47" i="1"/>
  <c r="GP47" i="1"/>
  <c r="GV47" i="1"/>
  <c r="HC47" i="1" s="1"/>
  <c r="GX47" i="1"/>
  <c r="AC48" i="1"/>
  <c r="AD48" i="1"/>
  <c r="AE48" i="1"/>
  <c r="AF48" i="1"/>
  <c r="AB48" i="1" s="1"/>
  <c r="AG48" i="1"/>
  <c r="AH48" i="1"/>
  <c r="CV48" i="1" s="1"/>
  <c r="AI48" i="1"/>
  <c r="AJ48" i="1"/>
  <c r="CX48" i="1" s="1"/>
  <c r="CQ48" i="1"/>
  <c r="CR48" i="1"/>
  <c r="CS48" i="1"/>
  <c r="CU48" i="1"/>
  <c r="CW48" i="1"/>
  <c r="GL48" i="1"/>
  <c r="GO48" i="1"/>
  <c r="GP48" i="1"/>
  <c r="GV48" i="1"/>
  <c r="HC48" i="1"/>
  <c r="I49" i="1"/>
  <c r="P49" i="1" s="1"/>
  <c r="R49" i="1"/>
  <c r="AC49" i="1"/>
  <c r="AD49" i="1"/>
  <c r="AE49" i="1"/>
  <c r="AF49" i="1"/>
  <c r="AB49" i="1" s="1"/>
  <c r="AG49" i="1"/>
  <c r="AH49" i="1"/>
  <c r="CV49" i="1" s="1"/>
  <c r="U49" i="1" s="1"/>
  <c r="AI49" i="1"/>
  <c r="AJ49" i="1"/>
  <c r="CX49" i="1" s="1"/>
  <c r="W49" i="1" s="1"/>
  <c r="CQ49" i="1"/>
  <c r="CR49" i="1"/>
  <c r="CS49" i="1"/>
  <c r="CU49" i="1"/>
  <c r="T49" i="1" s="1"/>
  <c r="CW49" i="1"/>
  <c r="V49" i="1" s="1"/>
  <c r="GL49" i="1"/>
  <c r="GO49" i="1"/>
  <c r="GP49" i="1"/>
  <c r="GV49" i="1"/>
  <c r="HC49" i="1"/>
  <c r="B51" i="1"/>
  <c r="B26" i="1" s="1"/>
  <c r="C51" i="1"/>
  <c r="C26" i="1" s="1"/>
  <c r="D51" i="1"/>
  <c r="D26" i="1" s="1"/>
  <c r="F51" i="1"/>
  <c r="F26" i="1" s="1"/>
  <c r="G51" i="1"/>
  <c r="G26" i="1" s="1"/>
  <c r="BX51" i="1"/>
  <c r="BX26" i="1" s="1"/>
  <c r="BZ51" i="1"/>
  <c r="BZ26" i="1" s="1"/>
  <c r="CD51" i="1"/>
  <c r="CD26" i="1" s="1"/>
  <c r="CK51" i="1"/>
  <c r="CK26" i="1" s="1"/>
  <c r="CL51" i="1"/>
  <c r="CL26" i="1" s="1"/>
  <c r="CM51" i="1"/>
  <c r="CM26" i="1" s="1"/>
  <c r="FP51" i="1"/>
  <c r="FP26" i="1" s="1"/>
  <c r="FR51" i="1"/>
  <c r="FR26" i="1" s="1"/>
  <c r="FV51" i="1"/>
  <c r="FV26" i="1" s="1"/>
  <c r="GC51" i="1"/>
  <c r="GC26" i="1" s="1"/>
  <c r="GD51" i="1"/>
  <c r="GD26" i="1" s="1"/>
  <c r="GE51" i="1"/>
  <c r="GE26" i="1" s="1"/>
  <c r="B81" i="1"/>
  <c r="B22" i="1" s="1"/>
  <c r="C81" i="1"/>
  <c r="C22" i="1" s="1"/>
  <c r="D81" i="1"/>
  <c r="D22" i="1" s="1"/>
  <c r="F81" i="1"/>
  <c r="F22" i="1" s="1"/>
  <c r="G81" i="1"/>
  <c r="G22" i="1" s="1"/>
  <c r="B111" i="1"/>
  <c r="B18" i="1" s="1"/>
  <c r="C111" i="1"/>
  <c r="C18" i="1" s="1"/>
  <c r="D111" i="1"/>
  <c r="D18" i="1" s="1"/>
  <c r="F111" i="1"/>
  <c r="F18" i="1" s="1"/>
  <c r="G111" i="1"/>
  <c r="G18" i="1" s="1"/>
  <c r="F12" i="6"/>
  <c r="G12" i="6"/>
  <c r="P62" i="7" l="1"/>
  <c r="P36" i="7"/>
  <c r="O62" i="7"/>
  <c r="H84" i="7" s="1"/>
  <c r="H77" i="7"/>
  <c r="P77" i="7"/>
  <c r="O77" i="7"/>
  <c r="H39" i="7"/>
  <c r="J45" i="7"/>
  <c r="H51" i="7"/>
  <c r="H36" i="7"/>
  <c r="J42" i="7"/>
  <c r="H48" i="7"/>
  <c r="H62" i="7"/>
  <c r="O65" i="7"/>
  <c r="H80" i="7" s="1"/>
  <c r="J77" i="7"/>
  <c r="CP49" i="1"/>
  <c r="O49" i="1" s="1"/>
  <c r="DZ51" i="1"/>
  <c r="EG51" i="1"/>
  <c r="BC51" i="1"/>
  <c r="AU51" i="1"/>
  <c r="AQ51" i="1"/>
  <c r="CT49" i="1"/>
  <c r="S49" i="1"/>
  <c r="CT48" i="1"/>
  <c r="I48" i="1"/>
  <c r="T48" i="1" s="1"/>
  <c r="AG51" i="1" s="1"/>
  <c r="CY47" i="1"/>
  <c r="X47" i="1" s="1"/>
  <c r="GM47" i="1" s="1"/>
  <c r="GN47" i="1" s="1"/>
  <c r="CT47" i="1"/>
  <c r="S45" i="1"/>
  <c r="CP45" i="1" s="1"/>
  <c r="O45" i="1" s="1"/>
  <c r="CT45" i="1"/>
  <c r="P44" i="1"/>
  <c r="CP44" i="1" s="1"/>
  <c r="O44" i="1" s="1"/>
  <c r="CQ44" i="1"/>
  <c r="P43" i="1"/>
  <c r="CY42" i="1"/>
  <c r="X42" i="1" s="1"/>
  <c r="CZ42" i="1"/>
  <c r="Y42" i="1" s="1"/>
  <c r="CP41" i="1"/>
  <c r="O41" i="1" s="1"/>
  <c r="R40" i="1"/>
  <c r="CZ40" i="1" s="1"/>
  <c r="Y40" i="1" s="1"/>
  <c r="CS40" i="1"/>
  <c r="Q40" i="1"/>
  <c r="AD40" i="1"/>
  <c r="CY40" i="1"/>
  <c r="X40" i="1" s="1"/>
  <c r="P38" i="1"/>
  <c r="CQ38" i="1"/>
  <c r="AB38" i="1"/>
  <c r="EV51" i="1"/>
  <c r="CG51" i="1"/>
  <c r="BB51" i="1"/>
  <c r="AB47" i="1"/>
  <c r="S46" i="1"/>
  <c r="CT46" i="1"/>
  <c r="AB46" i="1"/>
  <c r="CY43" i="1"/>
  <c r="X43" i="1" s="1"/>
  <c r="CY38" i="1"/>
  <c r="X38" i="1" s="1"/>
  <c r="CZ38" i="1"/>
  <c r="Y38" i="1" s="1"/>
  <c r="EU51" i="1"/>
  <c r="EM51" i="1"/>
  <c r="EI51" i="1"/>
  <c r="AO51" i="1"/>
  <c r="Q49" i="1"/>
  <c r="P46" i="1"/>
  <c r="CP46" i="1" s="1"/>
  <c r="O46" i="1" s="1"/>
  <c r="W43" i="1"/>
  <c r="P42" i="1"/>
  <c r="CQ42" i="1"/>
  <c r="P36" i="1"/>
  <c r="CQ36" i="1"/>
  <c r="AB36" i="1"/>
  <c r="AD33" i="1"/>
  <c r="R33" i="1"/>
  <c r="CZ33" i="1" s="1"/>
  <c r="Y33" i="1" s="1"/>
  <c r="CS33" i="1"/>
  <c r="CR33" i="1"/>
  <c r="FY51" i="1"/>
  <c r="ET51" i="1"/>
  <c r="BD51" i="1"/>
  <c r="GX49" i="1"/>
  <c r="AD44" i="1"/>
  <c r="AB44" i="1" s="1"/>
  <c r="R44" i="1"/>
  <c r="CY44" i="1" s="1"/>
  <c r="X44" i="1" s="1"/>
  <c r="CS44" i="1"/>
  <c r="CU15" i="3"/>
  <c r="CX16" i="3"/>
  <c r="CW16" i="3"/>
  <c r="CX18" i="3"/>
  <c r="GX43" i="1"/>
  <c r="GB51" i="1" s="1"/>
  <c r="V43" i="1"/>
  <c r="AD43" i="1"/>
  <c r="AB43" i="1" s="1"/>
  <c r="R43" i="1"/>
  <c r="CZ43" i="1" s="1"/>
  <c r="Y43" i="1" s="1"/>
  <c r="CS43" i="1"/>
  <c r="Q43" i="1"/>
  <c r="CY41" i="1"/>
  <c r="X41" i="1" s="1"/>
  <c r="CY36" i="1"/>
  <c r="X36" i="1" s="1"/>
  <c r="CZ36" i="1"/>
  <c r="Y36" i="1" s="1"/>
  <c r="Q42" i="1"/>
  <c r="AB40" i="1"/>
  <c r="P40" i="1"/>
  <c r="CP40" i="1" s="1"/>
  <c r="O40" i="1" s="1"/>
  <c r="FR33" i="1"/>
  <c r="CP33" i="1"/>
  <c r="O33" i="1" s="1"/>
  <c r="T31" i="1"/>
  <c r="DY51" i="1" s="1"/>
  <c r="V31" i="1"/>
  <c r="AD31" i="1"/>
  <c r="AB31" i="1" s="1"/>
  <c r="R31" i="1"/>
  <c r="CS31" i="1"/>
  <c r="Q31" i="1"/>
  <c r="CY30" i="1"/>
  <c r="X30" i="1" s="1"/>
  <c r="CZ30" i="1"/>
  <c r="Y30" i="1" s="1"/>
  <c r="AD42" i="1"/>
  <c r="AB42" i="1" s="1"/>
  <c r="CU11" i="3"/>
  <c r="CX11" i="3"/>
  <c r="CX14" i="3"/>
  <c r="AB39" i="1"/>
  <c r="P39" i="1"/>
  <c r="AB37" i="1"/>
  <c r="P35" i="1"/>
  <c r="S35" i="1"/>
  <c r="AB34" i="1"/>
  <c r="P34" i="1"/>
  <c r="CQ34" i="1"/>
  <c r="AB32" i="1"/>
  <c r="P32" i="1"/>
  <c r="CQ32" i="1"/>
  <c r="CY28" i="1"/>
  <c r="X28" i="1" s="1"/>
  <c r="CZ28" i="1"/>
  <c r="Y28" i="1" s="1"/>
  <c r="FR31" i="1"/>
  <c r="AB30" i="1"/>
  <c r="P30" i="1"/>
  <c r="CQ30" i="1"/>
  <c r="CU20" i="3"/>
  <c r="CX20" i="3"/>
  <c r="CX22" i="3"/>
  <c r="CQ43" i="1"/>
  <c r="CS42" i="1"/>
  <c r="CT41" i="1"/>
  <c r="CQ40" i="1"/>
  <c r="CX7" i="3"/>
  <c r="CU7" i="3"/>
  <c r="CV7" i="3"/>
  <c r="CX9" i="3"/>
  <c r="V39" i="1"/>
  <c r="R39" i="1"/>
  <c r="CY39" i="1" s="1"/>
  <c r="X39" i="1" s="1"/>
  <c r="CS39" i="1"/>
  <c r="V37" i="1"/>
  <c r="R37" i="1"/>
  <c r="CZ37" i="1" s="1"/>
  <c r="Y37" i="1" s="1"/>
  <c r="CS37" i="1"/>
  <c r="P37" i="1"/>
  <c r="V35" i="1"/>
  <c r="AD35" i="1"/>
  <c r="AB35" i="1" s="1"/>
  <c r="R35" i="1"/>
  <c r="CS35" i="1"/>
  <c r="Q35" i="1"/>
  <c r="CY34" i="1"/>
  <c r="X34" i="1" s="1"/>
  <c r="CZ34" i="1"/>
  <c r="Y34" i="1" s="1"/>
  <c r="W33" i="1"/>
  <c r="AB33" i="1"/>
  <c r="CY32" i="1"/>
  <c r="X32" i="1" s="1"/>
  <c r="CZ32" i="1"/>
  <c r="Y32" i="1" s="1"/>
  <c r="W31" i="1"/>
  <c r="S31" i="1"/>
  <c r="AB29" i="1"/>
  <c r="CP29" i="1"/>
  <c r="O29" i="1" s="1"/>
  <c r="AB28" i="1"/>
  <c r="P28" i="1"/>
  <c r="CQ28" i="1"/>
  <c r="Q38" i="1"/>
  <c r="Q36" i="1"/>
  <c r="Q34" i="1"/>
  <c r="CT31" i="1"/>
  <c r="CS29" i="1"/>
  <c r="R29" i="1"/>
  <c r="CU1" i="3"/>
  <c r="CX2" i="3"/>
  <c r="CW2" i="3"/>
  <c r="CX23" i="3"/>
  <c r="CV20" i="3"/>
  <c r="CW17" i="3"/>
  <c r="CW12" i="3"/>
  <c r="CW6" i="3"/>
  <c r="CV1" i="3"/>
  <c r="CV4" i="3"/>
  <c r="CX4" i="3"/>
  <c r="CU4" i="3"/>
  <c r="CX5" i="3"/>
  <c r="CX24" i="3"/>
  <c r="CW21" i="3"/>
  <c r="CV15" i="3"/>
  <c r="CX13" i="3"/>
  <c r="CX10" i="3"/>
  <c r="CW22" i="3"/>
  <c r="CX19" i="3"/>
  <c r="CV11" i="3"/>
  <c r="CW8" i="3"/>
  <c r="CW5" i="3"/>
  <c r="CX17" i="3"/>
  <c r="CX15" i="3"/>
  <c r="CX8" i="3"/>
  <c r="CX3" i="3"/>
  <c r="CX1" i="3"/>
  <c r="CX21" i="3"/>
  <c r="CX12" i="3"/>
  <c r="CX6" i="3"/>
  <c r="J80" i="7" l="1"/>
  <c r="J84" i="7"/>
  <c r="AG26" i="1"/>
  <c r="T51" i="1"/>
  <c r="DG21" i="3"/>
  <c r="DJ21" i="3" s="1"/>
  <c r="DH21" i="3"/>
  <c r="DI21" i="3"/>
  <c r="DF21" i="3"/>
  <c r="CP28" i="1"/>
  <c r="O28" i="1" s="1"/>
  <c r="FR32" i="1"/>
  <c r="CP32" i="1"/>
  <c r="O32" i="1" s="1"/>
  <c r="GM32" i="1" s="1"/>
  <c r="ET26" i="1"/>
  <c r="ET81" i="1"/>
  <c r="P64" i="1"/>
  <c r="DF1" i="3"/>
  <c r="DG1" i="3"/>
  <c r="DH1" i="3"/>
  <c r="DI1" i="3"/>
  <c r="DJ1" i="3" s="1"/>
  <c r="DH19" i="3"/>
  <c r="DI19" i="3"/>
  <c r="DF19" i="3"/>
  <c r="DJ19" i="3" s="1"/>
  <c r="DG19" i="3"/>
  <c r="EB51" i="1"/>
  <c r="DG6" i="3"/>
  <c r="DJ6" i="3" s="1"/>
  <c r="DH6" i="3"/>
  <c r="DI6" i="3"/>
  <c r="DF6" i="3"/>
  <c r="DF3" i="3"/>
  <c r="DG3" i="3"/>
  <c r="DJ3" i="3" s="1"/>
  <c r="DH3" i="3"/>
  <c r="DI3" i="3"/>
  <c r="DG4" i="3"/>
  <c r="DH4" i="3"/>
  <c r="DI4" i="3"/>
  <c r="DJ4" i="3" s="1"/>
  <c r="DF4" i="3"/>
  <c r="CY33" i="1"/>
  <c r="X33" i="1" s="1"/>
  <c r="CY35" i="1"/>
  <c r="X35" i="1" s="1"/>
  <c r="CZ35" i="1"/>
  <c r="Y35" i="1" s="1"/>
  <c r="DV51" i="1"/>
  <c r="EA51" i="1"/>
  <c r="GB26" i="1"/>
  <c r="ES51" i="1"/>
  <c r="FR42" i="1"/>
  <c r="CP42" i="1"/>
  <c r="O42" i="1" s="1"/>
  <c r="GM42" i="1" s="1"/>
  <c r="EU26" i="1"/>
  <c r="P67" i="1"/>
  <c r="EU81" i="1"/>
  <c r="CY37" i="1"/>
  <c r="X37" i="1" s="1"/>
  <c r="CZ39" i="1"/>
  <c r="Y39" i="1" s="1"/>
  <c r="AU26" i="1"/>
  <c r="F70" i="1"/>
  <c r="AU81" i="1"/>
  <c r="DZ26" i="1"/>
  <c r="DM51" i="1"/>
  <c r="CY31" i="1"/>
  <c r="X31" i="1" s="1"/>
  <c r="DX51" i="1"/>
  <c r="CZ31" i="1"/>
  <c r="Y31" i="1" s="1"/>
  <c r="DI9" i="3"/>
  <c r="DF9" i="3"/>
  <c r="DJ9" i="3" s="1"/>
  <c r="DG9" i="3"/>
  <c r="DH9" i="3"/>
  <c r="GM33" i="1"/>
  <c r="DF17" i="3"/>
  <c r="DG17" i="3"/>
  <c r="DJ17" i="3" s="1"/>
  <c r="DH17" i="3"/>
  <c r="DI17" i="3"/>
  <c r="DH23" i="3"/>
  <c r="DI23" i="3"/>
  <c r="DF23" i="3"/>
  <c r="DJ23" i="3" s="1"/>
  <c r="DG23" i="3"/>
  <c r="CY29" i="1"/>
  <c r="X29" i="1" s="1"/>
  <c r="DW51" i="1"/>
  <c r="FR30" i="1"/>
  <c r="CP30" i="1"/>
  <c r="O30" i="1" s="1"/>
  <c r="GM30" i="1" s="1"/>
  <c r="DG12" i="3"/>
  <c r="DJ12" i="3" s="1"/>
  <c r="DH12" i="3"/>
  <c r="DI12" i="3"/>
  <c r="DF12" i="3"/>
  <c r="DF8" i="3"/>
  <c r="DG8" i="3"/>
  <c r="DJ8" i="3" s="1"/>
  <c r="DH8" i="3"/>
  <c r="DI8" i="3"/>
  <c r="DH10" i="3"/>
  <c r="DI10" i="3"/>
  <c r="DF10" i="3"/>
  <c r="DJ10" i="3" s="1"/>
  <c r="DG10" i="3"/>
  <c r="DG24" i="3"/>
  <c r="DH24" i="3"/>
  <c r="DI24" i="3"/>
  <c r="DF24" i="3"/>
  <c r="DJ24" i="3" s="1"/>
  <c r="DH2" i="3"/>
  <c r="DI2" i="3"/>
  <c r="DF2" i="3"/>
  <c r="DG2" i="3"/>
  <c r="DJ2" i="3" s="1"/>
  <c r="DH7" i="3"/>
  <c r="DI7" i="3"/>
  <c r="DJ7" i="3" s="1"/>
  <c r="DF7" i="3"/>
  <c r="DG7" i="3"/>
  <c r="CZ29" i="1"/>
  <c r="Y29" i="1" s="1"/>
  <c r="CP31" i="1"/>
  <c r="O31" i="1" s="1"/>
  <c r="FR35" i="1"/>
  <c r="FQ51" i="1" s="1"/>
  <c r="CP35" i="1"/>
  <c r="O35" i="1" s="1"/>
  <c r="DU51" i="1"/>
  <c r="DI14" i="3"/>
  <c r="DF14" i="3"/>
  <c r="DJ14" i="3" s="1"/>
  <c r="DG14" i="3"/>
  <c r="DH14" i="3"/>
  <c r="DY26" i="1"/>
  <c r="DL51" i="1"/>
  <c r="GM40" i="1"/>
  <c r="GN40" i="1" s="1"/>
  <c r="DI18" i="3"/>
  <c r="DF18" i="3"/>
  <c r="DJ18" i="3" s="1"/>
  <c r="DG18" i="3"/>
  <c r="DH18" i="3"/>
  <c r="BD26" i="1"/>
  <c r="BD81" i="1"/>
  <c r="F76" i="1"/>
  <c r="AO26" i="1"/>
  <c r="AO81" i="1"/>
  <c r="F55" i="1"/>
  <c r="BB26" i="1"/>
  <c r="F64" i="1"/>
  <c r="BB81" i="1"/>
  <c r="CY49" i="1"/>
  <c r="X49" i="1" s="1"/>
  <c r="GM49" i="1" s="1"/>
  <c r="GN49" i="1" s="1"/>
  <c r="CZ49" i="1"/>
  <c r="Y49" i="1" s="1"/>
  <c r="BC26" i="1"/>
  <c r="F67" i="1"/>
  <c r="BC81" i="1"/>
  <c r="CZ44" i="1"/>
  <c r="Y44" i="1" s="1"/>
  <c r="GM44" i="1" s="1"/>
  <c r="GN44" i="1" s="1"/>
  <c r="DI5" i="3"/>
  <c r="DF5" i="3"/>
  <c r="DG5" i="3"/>
  <c r="DJ5" i="3" s="1"/>
  <c r="DH5" i="3"/>
  <c r="DI22" i="3"/>
  <c r="DF22" i="3"/>
  <c r="DG22" i="3"/>
  <c r="DJ22" i="3" s="1"/>
  <c r="DH22" i="3"/>
  <c r="FR34" i="1"/>
  <c r="CP34" i="1"/>
  <c r="O34" i="1" s="1"/>
  <c r="GM34" i="1" s="1"/>
  <c r="CP36" i="1"/>
  <c r="O36" i="1" s="1"/>
  <c r="GM36" i="1" s="1"/>
  <c r="FR36" i="1"/>
  <c r="EI26" i="1"/>
  <c r="P61" i="1"/>
  <c r="EI81" i="1"/>
  <c r="CG26" i="1"/>
  <c r="AX51" i="1"/>
  <c r="FR43" i="1"/>
  <c r="CP43" i="1"/>
  <c r="O43" i="1" s="1"/>
  <c r="GM43" i="1" s="1"/>
  <c r="Q48" i="1"/>
  <c r="AD51" i="1" s="1"/>
  <c r="GX48" i="1"/>
  <c r="CJ51" i="1" s="1"/>
  <c r="P48" i="1"/>
  <c r="R48" i="1"/>
  <c r="AE51" i="1" s="1"/>
  <c r="EG26" i="1"/>
  <c r="P55" i="1"/>
  <c r="EG81" i="1"/>
  <c r="V48" i="1"/>
  <c r="AI51" i="1" s="1"/>
  <c r="DF15" i="3"/>
  <c r="DG15" i="3"/>
  <c r="DH15" i="3"/>
  <c r="DI15" i="3"/>
  <c r="DJ15" i="3" s="1"/>
  <c r="DF13" i="3"/>
  <c r="DJ13" i="3" s="1"/>
  <c r="DG13" i="3"/>
  <c r="DH13" i="3"/>
  <c r="DI13" i="3"/>
  <c r="DI11" i="3"/>
  <c r="DJ11" i="3" s="1"/>
  <c r="DF11" i="3"/>
  <c r="DG11" i="3"/>
  <c r="DH11" i="3"/>
  <c r="FR37" i="1"/>
  <c r="CP37" i="1"/>
  <c r="O37" i="1" s="1"/>
  <c r="GM37" i="1" s="1"/>
  <c r="DI20" i="3"/>
  <c r="DJ20" i="3" s="1"/>
  <c r="DF20" i="3"/>
  <c r="DG20" i="3"/>
  <c r="DH20" i="3"/>
  <c r="FR39" i="1"/>
  <c r="CP39" i="1"/>
  <c r="O39" i="1" s="1"/>
  <c r="GM39" i="1" s="1"/>
  <c r="DH16" i="3"/>
  <c r="DI16" i="3"/>
  <c r="DF16" i="3"/>
  <c r="DG16" i="3"/>
  <c r="DJ16" i="3" s="1"/>
  <c r="FY26" i="1"/>
  <c r="EP51" i="1"/>
  <c r="EM26" i="1"/>
  <c r="P70" i="1"/>
  <c r="EM81" i="1"/>
  <c r="CZ46" i="1"/>
  <c r="Y46" i="1" s="1"/>
  <c r="CY46" i="1"/>
  <c r="X46" i="1" s="1"/>
  <c r="EV26" i="1"/>
  <c r="P76" i="1"/>
  <c r="EV81" i="1"/>
  <c r="CP38" i="1"/>
  <c r="O38" i="1" s="1"/>
  <c r="GM38" i="1" s="1"/>
  <c r="FR38" i="1"/>
  <c r="GM41" i="1"/>
  <c r="GN41" i="1" s="1"/>
  <c r="CZ45" i="1"/>
  <c r="Y45" i="1" s="1"/>
  <c r="CY45" i="1"/>
  <c r="X45" i="1" s="1"/>
  <c r="GM45" i="1" s="1"/>
  <c r="GN45" i="1" s="1"/>
  <c r="S48" i="1"/>
  <c r="AQ26" i="1"/>
  <c r="F61" i="1"/>
  <c r="AQ81" i="1"/>
  <c r="W48" i="1"/>
  <c r="AJ51" i="1" s="1"/>
  <c r="U48" i="1"/>
  <c r="AH51" i="1" s="1"/>
  <c r="AD26" i="1" l="1"/>
  <c r="Q51" i="1"/>
  <c r="FQ26" i="1"/>
  <c r="EH51" i="1"/>
  <c r="GA51" i="1"/>
  <c r="AE26" i="1"/>
  <c r="R51" i="1"/>
  <c r="CP48" i="1"/>
  <c r="O48" i="1" s="1"/>
  <c r="GM48" i="1" s="1"/>
  <c r="GN48" i="1" s="1"/>
  <c r="EI22" i="1"/>
  <c r="P91" i="1"/>
  <c r="EI111" i="1"/>
  <c r="BY51" i="1"/>
  <c r="DM26" i="1"/>
  <c r="P73" i="1"/>
  <c r="DM81" i="1"/>
  <c r="AQ22" i="1"/>
  <c r="F91" i="1"/>
  <c r="AQ111" i="1"/>
  <c r="CJ26" i="1"/>
  <c r="BA51" i="1"/>
  <c r="EV22" i="1"/>
  <c r="EV111" i="1"/>
  <c r="P106" i="1"/>
  <c r="GM46" i="1"/>
  <c r="GN46" i="1" s="1"/>
  <c r="CB51" i="1" s="1"/>
  <c r="AI26" i="1"/>
  <c r="V51" i="1"/>
  <c r="AX26" i="1"/>
  <c r="F58" i="1"/>
  <c r="AX81" i="1"/>
  <c r="BB22" i="1"/>
  <c r="F94" i="1"/>
  <c r="BB111" i="1"/>
  <c r="AO22" i="1"/>
  <c r="F85" i="1"/>
  <c r="AO111" i="1"/>
  <c r="DU26" i="1"/>
  <c r="FZ51" i="1"/>
  <c r="DH51" i="1"/>
  <c r="FW51" i="1"/>
  <c r="FX51" i="1"/>
  <c r="ED51" i="1"/>
  <c r="EC51" i="1"/>
  <c r="AU22" i="1"/>
  <c r="AU111" i="1"/>
  <c r="F100" i="1"/>
  <c r="EA26" i="1"/>
  <c r="DN51" i="1"/>
  <c r="AL51" i="1"/>
  <c r="GM28" i="1"/>
  <c r="AJ26" i="1"/>
  <c r="W51" i="1"/>
  <c r="AH26" i="1"/>
  <c r="U51" i="1"/>
  <c r="FT51" i="1"/>
  <c r="EM22" i="1"/>
  <c r="P100" i="1"/>
  <c r="EM111" i="1"/>
  <c r="EP26" i="1"/>
  <c r="EP81" i="1"/>
  <c r="P58" i="1"/>
  <c r="GM35" i="1"/>
  <c r="EU22" i="1"/>
  <c r="P97" i="1"/>
  <c r="EU111" i="1"/>
  <c r="DV26" i="1"/>
  <c r="DI51" i="1"/>
  <c r="EB26" i="1"/>
  <c r="DO51" i="1"/>
  <c r="BC22" i="1"/>
  <c r="F97" i="1"/>
  <c r="BC111" i="1"/>
  <c r="DT51" i="1"/>
  <c r="T26" i="1"/>
  <c r="F72" i="1"/>
  <c r="T81" i="1"/>
  <c r="CY48" i="1"/>
  <c r="X48" i="1" s="1"/>
  <c r="AK51" i="1" s="1"/>
  <c r="CZ48" i="1"/>
  <c r="Y48" i="1" s="1"/>
  <c r="AF51" i="1"/>
  <c r="EG22" i="1"/>
  <c r="P85" i="1"/>
  <c r="EG111" i="1"/>
  <c r="DL26" i="1"/>
  <c r="P72" i="1"/>
  <c r="DL81" i="1"/>
  <c r="ES26" i="1"/>
  <c r="P71" i="1"/>
  <c r="ES81" i="1"/>
  <c r="BD22" i="1"/>
  <c r="F106" i="1"/>
  <c r="BD111" i="1"/>
  <c r="GM31" i="1"/>
  <c r="DW26" i="1"/>
  <c r="DJ51" i="1"/>
  <c r="DX26" i="1"/>
  <c r="DK51" i="1"/>
  <c r="GM29" i="1"/>
  <c r="ET22" i="1"/>
  <c r="ET111" i="1"/>
  <c r="P94" i="1"/>
  <c r="AC51" i="1"/>
  <c r="CB26" i="1" l="1"/>
  <c r="AS51" i="1"/>
  <c r="AK26" i="1"/>
  <c r="X51" i="1"/>
  <c r="AL26" i="1"/>
  <c r="Y51" i="1"/>
  <c r="AU18" i="1"/>
  <c r="F130" i="1"/>
  <c r="BB18" i="1"/>
  <c r="F124" i="1"/>
  <c r="BA26" i="1"/>
  <c r="BA81" i="1"/>
  <c r="F71" i="1"/>
  <c r="GA26" i="1"/>
  <c r="ER51" i="1"/>
  <c r="DJ26" i="1"/>
  <c r="P65" i="1"/>
  <c r="DJ81" i="1"/>
  <c r="EG18" i="1"/>
  <c r="P115" i="1"/>
  <c r="FT26" i="1"/>
  <c r="EK51" i="1"/>
  <c r="DN26" i="1"/>
  <c r="DN81" i="1"/>
  <c r="P74" i="1"/>
  <c r="FW26" i="1"/>
  <c r="EN51" i="1"/>
  <c r="AO18" i="1"/>
  <c r="F115" i="1"/>
  <c r="DM22" i="1"/>
  <c r="DM111" i="1"/>
  <c r="P103" i="1"/>
  <c r="EI18" i="1"/>
  <c r="P121" i="1"/>
  <c r="EH26" i="1"/>
  <c r="EH81" i="1"/>
  <c r="P60" i="1"/>
  <c r="AF26" i="1"/>
  <c r="S51" i="1"/>
  <c r="EP22" i="1"/>
  <c r="EP111" i="1"/>
  <c r="P88" i="1"/>
  <c r="W26" i="1"/>
  <c r="W81" i="1"/>
  <c r="F75" i="1"/>
  <c r="FX26" i="1"/>
  <c r="EO51" i="1"/>
  <c r="AC26" i="1"/>
  <c r="P51" i="1"/>
  <c r="CE51" i="1"/>
  <c r="CF51" i="1"/>
  <c r="CH51" i="1"/>
  <c r="DT26" i="1"/>
  <c r="DG51" i="1"/>
  <c r="EU18" i="1"/>
  <c r="P127" i="1"/>
  <c r="AB51" i="1"/>
  <c r="EC26" i="1"/>
  <c r="DP51" i="1"/>
  <c r="DH26" i="1"/>
  <c r="P54" i="1"/>
  <c r="DH81" i="1"/>
  <c r="V26" i="1"/>
  <c r="F74" i="1"/>
  <c r="V81" i="1"/>
  <c r="EV18" i="1"/>
  <c r="P136" i="1"/>
  <c r="AQ18" i="1"/>
  <c r="F121" i="1"/>
  <c r="R26" i="1"/>
  <c r="R81" i="1"/>
  <c r="F65" i="1"/>
  <c r="ET18" i="1"/>
  <c r="P124" i="1"/>
  <c r="BD18" i="1"/>
  <c r="F136" i="1"/>
  <c r="DI26" i="1"/>
  <c r="P63" i="1"/>
  <c r="DI81" i="1"/>
  <c r="BY26" i="1"/>
  <c r="CI51" i="1"/>
  <c r="AP51" i="1"/>
  <c r="GO29" i="1"/>
  <c r="FU51" i="1" s="1"/>
  <c r="FS51" i="1"/>
  <c r="DL22" i="1"/>
  <c r="P102" i="1"/>
  <c r="DL111" i="1"/>
  <c r="DO26" i="1"/>
  <c r="P75" i="1"/>
  <c r="DO81" i="1"/>
  <c r="EM18" i="1"/>
  <c r="P130" i="1"/>
  <c r="U26" i="1"/>
  <c r="U81" i="1"/>
  <c r="F73" i="1"/>
  <c r="DK26" i="1"/>
  <c r="DK81" i="1"/>
  <c r="P66" i="1"/>
  <c r="ES22" i="1"/>
  <c r="ES111" i="1"/>
  <c r="P101" i="1"/>
  <c r="T22" i="1"/>
  <c r="T111" i="1"/>
  <c r="F102" i="1"/>
  <c r="BC18" i="1"/>
  <c r="F127" i="1"/>
  <c r="H16" i="2"/>
  <c r="GO28" i="1"/>
  <c r="CC51" i="1" s="1"/>
  <c r="CA51" i="1"/>
  <c r="ED26" i="1"/>
  <c r="DQ51" i="1"/>
  <c r="FZ26" i="1"/>
  <c r="EQ51" i="1"/>
  <c r="AX22" i="1"/>
  <c r="F88" i="1"/>
  <c r="AX111" i="1"/>
  <c r="Q26" i="1"/>
  <c r="Q81" i="1"/>
  <c r="F63" i="1"/>
  <c r="T18" i="1" l="1"/>
  <c r="F132" i="1"/>
  <c r="DL18" i="1"/>
  <c r="P132" i="1"/>
  <c r="AX18" i="1"/>
  <c r="F118" i="1"/>
  <c r="DQ26" i="1"/>
  <c r="P78" i="1"/>
  <c r="DQ81" i="1"/>
  <c r="CC26" i="1"/>
  <c r="AT51" i="1"/>
  <c r="ES18" i="1"/>
  <c r="P131" i="1"/>
  <c r="FS26" i="1"/>
  <c r="EJ51" i="1"/>
  <c r="CH26" i="1"/>
  <c r="AY51" i="1"/>
  <c r="W22" i="1"/>
  <c r="F105" i="1"/>
  <c r="W111" i="1"/>
  <c r="EH22" i="1"/>
  <c r="EH111" i="1"/>
  <c r="P90" i="1"/>
  <c r="G16" i="2" s="1"/>
  <c r="DN22" i="1"/>
  <c r="P104" i="1"/>
  <c r="DN111" i="1"/>
  <c r="BA22" i="1"/>
  <c r="F101" i="1"/>
  <c r="W16" i="2" s="1"/>
  <c r="BA111" i="1"/>
  <c r="X26" i="1"/>
  <c r="F77" i="1"/>
  <c r="X81" i="1"/>
  <c r="FU26" i="1"/>
  <c r="EL51" i="1"/>
  <c r="DI22" i="1"/>
  <c r="DI111" i="1"/>
  <c r="P93" i="1"/>
  <c r="R22" i="1"/>
  <c r="F95" i="1"/>
  <c r="R111" i="1"/>
  <c r="DP26" i="1"/>
  <c r="P77" i="1"/>
  <c r="DP81" i="1"/>
  <c r="CF26" i="1"/>
  <c r="AW51" i="1"/>
  <c r="EO26" i="1"/>
  <c r="P57" i="1"/>
  <c r="EO81" i="1"/>
  <c r="S26" i="1"/>
  <c r="F66" i="1"/>
  <c r="S81" i="1"/>
  <c r="DM18" i="1"/>
  <c r="P133" i="1"/>
  <c r="EN26" i="1"/>
  <c r="P56" i="1"/>
  <c r="EN81" i="1"/>
  <c r="ER26" i="1"/>
  <c r="P62" i="1"/>
  <c r="ER81" i="1"/>
  <c r="EQ26" i="1"/>
  <c r="P59" i="1"/>
  <c r="EQ81" i="1"/>
  <c r="U22" i="1"/>
  <c r="F103" i="1"/>
  <c r="U111" i="1"/>
  <c r="DO22" i="1"/>
  <c r="DO111" i="1"/>
  <c r="P105" i="1"/>
  <c r="AP26" i="1"/>
  <c r="F60" i="1"/>
  <c r="AP81" i="1"/>
  <c r="DH22" i="1"/>
  <c r="P84" i="1"/>
  <c r="DH111" i="1"/>
  <c r="DG26" i="1"/>
  <c r="P53" i="1"/>
  <c r="DG81" i="1"/>
  <c r="CE26" i="1"/>
  <c r="AV51" i="1"/>
  <c r="EK26" i="1"/>
  <c r="EK81" i="1"/>
  <c r="P68" i="1"/>
  <c r="DJ22" i="1"/>
  <c r="P95" i="1"/>
  <c r="DJ111" i="1"/>
  <c r="Y26" i="1"/>
  <c r="Y81" i="1"/>
  <c r="F78" i="1"/>
  <c r="AS26" i="1"/>
  <c r="F68" i="1"/>
  <c r="AS81" i="1"/>
  <c r="Q22" i="1"/>
  <c r="F93" i="1"/>
  <c r="Q111" i="1"/>
  <c r="CA26" i="1"/>
  <c r="AR51" i="1"/>
  <c r="DK22" i="1"/>
  <c r="DK111" i="1"/>
  <c r="P96" i="1"/>
  <c r="J16" i="2" s="1"/>
  <c r="CI26" i="1"/>
  <c r="AZ51" i="1"/>
  <c r="V22" i="1"/>
  <c r="F104" i="1"/>
  <c r="V111" i="1"/>
  <c r="AB26" i="1"/>
  <c r="O51" i="1"/>
  <c r="P26" i="1"/>
  <c r="F54" i="1"/>
  <c r="P81" i="1"/>
  <c r="EP18" i="1"/>
  <c r="P118" i="1"/>
  <c r="P22" i="1" l="1"/>
  <c r="P111" i="1"/>
  <c r="F84" i="1"/>
  <c r="AZ26" i="1"/>
  <c r="AZ81" i="1"/>
  <c r="F62" i="1"/>
  <c r="DJ18" i="1"/>
  <c r="P125" i="1"/>
  <c r="EK22" i="1"/>
  <c r="P98" i="1"/>
  <c r="E16" i="2" s="1"/>
  <c r="EK111" i="1"/>
  <c r="DG22" i="1"/>
  <c r="P83" i="1"/>
  <c r="DG111" i="1"/>
  <c r="U18" i="1"/>
  <c r="F133" i="1"/>
  <c r="AW26" i="1"/>
  <c r="AW81" i="1"/>
  <c r="F57" i="1"/>
  <c r="BA18" i="1"/>
  <c r="F131" i="1"/>
  <c r="AY26" i="1"/>
  <c r="F59" i="1"/>
  <c r="AY81" i="1"/>
  <c r="DQ22" i="1"/>
  <c r="DQ111" i="1"/>
  <c r="P108" i="1"/>
  <c r="V18" i="1"/>
  <c r="F134" i="1"/>
  <c r="AR26" i="1"/>
  <c r="AR81" i="1"/>
  <c r="F79" i="1"/>
  <c r="EN22" i="1"/>
  <c r="EN111" i="1"/>
  <c r="P86" i="1"/>
  <c r="EO22" i="1"/>
  <c r="P87" i="1"/>
  <c r="EO111" i="1"/>
  <c r="R18" i="1"/>
  <c r="F125" i="1"/>
  <c r="DI18" i="1"/>
  <c r="P123" i="1"/>
  <c r="X22" i="1"/>
  <c r="F107" i="1"/>
  <c r="X111" i="1"/>
  <c r="W18" i="1"/>
  <c r="F135" i="1"/>
  <c r="AS22" i="1"/>
  <c r="F98" i="1"/>
  <c r="T16" i="2" s="1"/>
  <c r="AS111" i="1"/>
  <c r="Y22" i="1"/>
  <c r="F108" i="1"/>
  <c r="Y111" i="1"/>
  <c r="AV26" i="1"/>
  <c r="AV81" i="1"/>
  <c r="F56" i="1"/>
  <c r="AP22" i="1"/>
  <c r="F90" i="1"/>
  <c r="V16" i="2" s="1"/>
  <c r="AP111" i="1"/>
  <c r="DO18" i="1"/>
  <c r="P135" i="1"/>
  <c r="ER22" i="1"/>
  <c r="ER111" i="1"/>
  <c r="P92" i="1"/>
  <c r="S22" i="1"/>
  <c r="F96" i="1"/>
  <c r="Y16" i="2" s="1"/>
  <c r="S111" i="1"/>
  <c r="DP22" i="1"/>
  <c r="DP111" i="1"/>
  <c r="P107" i="1"/>
  <c r="EJ26" i="1"/>
  <c r="P79" i="1"/>
  <c r="EJ81" i="1"/>
  <c r="AT26" i="1"/>
  <c r="AT81" i="1"/>
  <c r="F69" i="1"/>
  <c r="O26" i="1"/>
  <c r="O81" i="1"/>
  <c r="F53" i="1"/>
  <c r="DK18" i="1"/>
  <c r="P126" i="1"/>
  <c r="Q18" i="1"/>
  <c r="F123" i="1"/>
  <c r="DH18" i="1"/>
  <c r="P114" i="1"/>
  <c r="EQ22" i="1"/>
  <c r="P89" i="1"/>
  <c r="EQ111" i="1"/>
  <c r="EL26" i="1"/>
  <c r="P69" i="1"/>
  <c r="EL81" i="1"/>
  <c r="DN18" i="1"/>
  <c r="P134" i="1"/>
  <c r="EH18" i="1"/>
  <c r="P120" i="1"/>
  <c r="S18" i="1" l="1"/>
  <c r="F126" i="1"/>
  <c r="AP18" i="1"/>
  <c r="F120" i="1"/>
  <c r="EJ22" i="1"/>
  <c r="EJ111" i="1"/>
  <c r="P109" i="1"/>
  <c r="DP18" i="1"/>
  <c r="P137" i="1"/>
  <c r="Y18" i="1"/>
  <c r="F138" i="1"/>
  <c r="X18" i="1"/>
  <c r="F137" i="1"/>
  <c r="AZ22" i="1"/>
  <c r="F92" i="1"/>
  <c r="AZ111" i="1"/>
  <c r="EQ18" i="1"/>
  <c r="P119" i="1"/>
  <c r="AY22" i="1"/>
  <c r="F89" i="1"/>
  <c r="AY111" i="1"/>
  <c r="EL22" i="1"/>
  <c r="P99" i="1"/>
  <c r="F16" i="2" s="1"/>
  <c r="EL111" i="1"/>
  <c r="AT22" i="1"/>
  <c r="F99" i="1"/>
  <c r="U16" i="2" s="1"/>
  <c r="X16" i="2" s="1"/>
  <c r="AC16" i="2" s="1"/>
  <c r="AT111" i="1"/>
  <c r="ER18" i="1"/>
  <c r="P122" i="1"/>
  <c r="AV22" i="1"/>
  <c r="F86" i="1"/>
  <c r="AV111" i="1"/>
  <c r="AR22" i="1"/>
  <c r="F109" i="1"/>
  <c r="AR111" i="1"/>
  <c r="EK18" i="1"/>
  <c r="P128" i="1"/>
  <c r="O22" i="1"/>
  <c r="F83" i="1"/>
  <c r="O111" i="1"/>
  <c r="AS18" i="1"/>
  <c r="F128" i="1"/>
  <c r="EO18" i="1"/>
  <c r="P117" i="1"/>
  <c r="EN18" i="1"/>
  <c r="P116" i="1"/>
  <c r="DQ18" i="1"/>
  <c r="P138" i="1"/>
  <c r="AW22" i="1"/>
  <c r="F87" i="1"/>
  <c r="AW111" i="1"/>
  <c r="DG18" i="1"/>
  <c r="P113" i="1"/>
  <c r="I16" i="2"/>
  <c r="N16" i="2" s="1"/>
  <c r="P18" i="1"/>
  <c r="F114" i="1"/>
  <c r="O18" i="1" l="1"/>
  <c r="F113" i="1"/>
  <c r="EL18" i="1"/>
  <c r="P129" i="1"/>
  <c r="AW18" i="1"/>
  <c r="F117" i="1"/>
  <c r="AR18" i="1"/>
  <c r="F139" i="1"/>
  <c r="AT18" i="1"/>
  <c r="F129" i="1"/>
  <c r="AZ18" i="1"/>
  <c r="F122" i="1"/>
  <c r="AV18" i="1"/>
  <c r="F116" i="1"/>
  <c r="AY18" i="1"/>
  <c r="F119" i="1"/>
  <c r="EJ18" i="1"/>
  <c r="P139" i="1"/>
</calcChain>
</file>

<file path=xl/sharedStrings.xml><?xml version="1.0" encoding="utf-8"?>
<sst xmlns="http://schemas.openxmlformats.org/spreadsheetml/2006/main" count="2284" uniqueCount="263">
  <si>
    <t>Smeta.RU  (495) 974-1589</t>
  </si>
  <si>
    <t>_PS_</t>
  </si>
  <si>
    <t>Smeta.RU</t>
  </si>
  <si>
    <t/>
  </si>
  <si>
    <t>Капитальный ремонт здания Государственного бюджетного общеобразовательного учреждения города Москвы "Школа № 236" по адресу: г. Москва ул. Клязьминская, д. 7 к. 4. 1 этап</t>
  </si>
  <si>
    <t>Новый объект (ТСН-2001 (Мосгосэкспертиза))</t>
  </si>
  <si>
    <t>02-01-20 ПТА</t>
  </si>
  <si>
    <t>Кузнецова Е.А.</t>
  </si>
  <si>
    <t>Сметные нормы списания</t>
  </si>
  <si>
    <t>Коды ОКП для ТСН-2001 МГЭ Дополнение 80</t>
  </si>
  <si>
    <t>Типовой расчет для ТСН-2001 МГЭ, Дополнение 80, строительство</t>
  </si>
  <si>
    <t>Территориальные сметные нормативы для Москвы ТСН-2001 (МГЭ), дополнение 80</t>
  </si>
  <si>
    <t>Поправки для ТСН-2001 от 03.10.2025 г. доп.79</t>
  </si>
  <si>
    <t>Территориальные сметные нормативы для Москвы (ТСН-2001)</t>
  </si>
  <si>
    <t>ТЕР</t>
  </si>
  <si>
    <t>02-01-20</t>
  </si>
  <si>
    <t>Мероприятия по противодействию террористическим актам</t>
  </si>
  <si>
    <t>2024-00272-01-0-ПТА</t>
  </si>
  <si>
    <t>Новый раздел</t>
  </si>
  <si>
    <t>Оборудование</t>
  </si>
  <si>
    <t>1</t>
  </si>
  <si>
    <t>4.10-161-1</t>
  </si>
  <si>
    <t>Монтаж стационарного металлодетектора арочного типа</t>
  </si>
  <si>
    <t>1  ШТ.</t>
  </si>
  <si>
    <t>ТСН-2001.4 Доп. 68, Сб. 10, т. 161, поз. 1</t>
  </si>
  <si>
    <t>*1</t>
  </si>
  <si>
    <t>*1,1</t>
  </si>
  <si>
    <t>Монтаж оборудования</t>
  </si>
  <si>
    <t>ТСН-2001.4-10. Прокладка и монтаж сетей связи</t>
  </si>
  <si>
    <t>ТСН-2001.4-10-1</t>
  </si>
  <si>
    <t>Поправка: Гл.12.Прил.8.п.8. 5_12.00.01.11.003</t>
  </si>
  <si>
    <t>2</t>
  </si>
  <si>
    <t>КА 1</t>
  </si>
  <si>
    <t>Металлодетектор арочный Паутина-Н2-1</t>
  </si>
  <si>
    <t>шт.</t>
  </si>
  <si>
    <t>Сметная стоимость оборудования</t>
  </si>
  <si>
    <t>ТСН-2001.13. Сметная стоимость оборудования</t>
  </si>
  <si>
    <t>ТСН-2001.13</t>
  </si>
  <si>
    <t>[291 500 / 1,2 /  7,66] +  3% Трансп +  1,2% Заг.скл</t>
  </si>
  <si>
    <t>3</t>
  </si>
  <si>
    <t>1,2</t>
  </si>
  <si>
    <t>КА 2</t>
  </si>
  <si>
    <t>Ручной металлодетектор «СФИНКС ВМ-611 РД-2.0»</t>
  </si>
  <si>
    <t>[59 950 / 1,2 /  7,66] +  3% Трансп +  1,2% Заг.скл</t>
  </si>
  <si>
    <t>4</t>
  </si>
  <si>
    <t>КА 3</t>
  </si>
  <si>
    <t>Газоанализатор паров взрывчатых веществ «Кербер-Т»</t>
  </si>
  <si>
    <t>[2 200 000 / 1,2 /  7,66] +  3% Трансп +  1,2% Заг.скл</t>
  </si>
  <si>
    <t>5</t>
  </si>
  <si>
    <t>13.3-9-180</t>
  </si>
  <si>
    <t>6</t>
  </si>
  <si>
    <t>13.1-2-203</t>
  </si>
  <si>
    <t>КОМПЛЕКТ</t>
  </si>
  <si>
    <t>7</t>
  </si>
  <si>
    <t>3.10-33-1</t>
  </si>
  <si>
    <t>Установка штучных изделий столов, шкафов под мойки, холодильных шкафов и других</t>
  </si>
  <si>
    <t>100 изделий</t>
  </si>
  <si>
    <t>ТСН-2001.3 Доп. 79, Сб. 10, т. 33, поз. 1</t>
  </si>
  <si>
    <t>Строительные работы</t>
  </si>
  <si>
    <t>ТСН-2001.3-10. Элементы и конструкции из дерева и пластмасс</t>
  </si>
  <si>
    <t>ТСН-2001.3-10-1</t>
  </si>
  <si>
    <t>Поправка: О.П. п.3.4.30.в</t>
  </si>
  <si>
    <t>8</t>
  </si>
  <si>
    <t>КА 4</t>
  </si>
  <si>
    <t>Стол досмотровый СД-950 (500х400х900)</t>
  </si>
  <si>
    <t>[10 100 / 1,2 /  7,66] +  3% Трансп +  1,2% Заг.скл</t>
  </si>
  <si>
    <t>9</t>
  </si>
  <si>
    <t>3.7-60-4</t>
  </si>
  <si>
    <t>Установка металлических ограждений без поручня</t>
  </si>
  <si>
    <t>100 м ограждений</t>
  </si>
  <si>
    <t>ТСН-2001.3 Доп. 70, Сб. 7, т. 60, поз. 4</t>
  </si>
  <si>
    <t>ТСН-2001.3-7. Бетонные и железобетонные конструкции сборные</t>
  </si>
  <si>
    <t>ТСН-2001.3-7-1</t>
  </si>
  <si>
    <t>9,1</t>
  </si>
  <si>
    <t>КА 5</t>
  </si>
  <si>
    <t>Ограждение полуростовое BH02 PERCo</t>
  </si>
  <si>
    <t>м.п.</t>
  </si>
  <si>
    <t>[36 941 / 1,2 /  9,88] +  2% Заг.скл</t>
  </si>
  <si>
    <t>0</t>
  </si>
  <si>
    <t>9,2</t>
  </si>
  <si>
    <t>КА 6</t>
  </si>
  <si>
    <t>Калитка одностворчатая PERCo</t>
  </si>
  <si>
    <t>[115 764,37 / 1,2 /  9,88] +  2% Заг.скл</t>
  </si>
  <si>
    <t>ПЗ</t>
  </si>
  <si>
    <t>Прямые затраты</t>
  </si>
  <si>
    <t>СтМатОб</t>
  </si>
  <si>
    <t>Стоимость материальных ресурсов (всего)</t>
  </si>
  <si>
    <t>СтМатОбЗак</t>
  </si>
  <si>
    <t>Стоимость материалов и оборудования заказчика</t>
  </si>
  <si>
    <t>СтМатОбПод</t>
  </si>
  <si>
    <t>Стоимость материалов и оборудования подрядчика</t>
  </si>
  <si>
    <t>СтМат</t>
  </si>
  <si>
    <t>Стоимость материалов (всего)</t>
  </si>
  <si>
    <t>СтМатЗак</t>
  </si>
  <si>
    <t>Стоимость материалов заказчика</t>
  </si>
  <si>
    <t>СтМатПод</t>
  </si>
  <si>
    <t>Стоимость материалов подрядчика</t>
  </si>
  <si>
    <t>Оборуд</t>
  </si>
  <si>
    <t>Стоимость оборудования (всего)</t>
  </si>
  <si>
    <t>ОборудЗак</t>
  </si>
  <si>
    <t>Стоимость оборудования заказчика</t>
  </si>
  <si>
    <t>ОборудПод</t>
  </si>
  <si>
    <t>Стоимость оборудования подрядчика</t>
  </si>
  <si>
    <t>ЭММ</t>
  </si>
  <si>
    <t>Эксплуатация машин</t>
  </si>
  <si>
    <t>ЭММсНРиСП</t>
  </si>
  <si>
    <t>Эксплуатация машин по ТСН-2001.16</t>
  </si>
  <si>
    <t>ЗПМ</t>
  </si>
  <si>
    <t>ЗП машинистов</t>
  </si>
  <si>
    <t>ОЗП</t>
  </si>
  <si>
    <t>Основная ЗП рабочих</t>
  </si>
  <si>
    <t>ОЗПсНРиСП</t>
  </si>
  <si>
    <t>Основная ЗП рабочих по ТСН-2001.16</t>
  </si>
  <si>
    <t>Строит</t>
  </si>
  <si>
    <t>Строительные работы с НР и СП</t>
  </si>
  <si>
    <t>Монтаж</t>
  </si>
  <si>
    <t>Монтажные работы с НР и СП</t>
  </si>
  <si>
    <t>Прочие</t>
  </si>
  <si>
    <t>Прочие работы с НР и СП</t>
  </si>
  <si>
    <t>ПрочиеЗатр</t>
  </si>
  <si>
    <t>Прочие затраты по ТСН-2001.16</t>
  </si>
  <si>
    <t>ВозврМат</t>
  </si>
  <si>
    <t>Возврат материалов</t>
  </si>
  <si>
    <t>ТрудСтр</t>
  </si>
  <si>
    <t>Трудозатраты строителей</t>
  </si>
  <si>
    <t>ТрудМаш</t>
  </si>
  <si>
    <t>Трудозатраты машинистов</t>
  </si>
  <si>
    <t>ТранспМат</t>
  </si>
  <si>
    <t>Транспорт материалов</t>
  </si>
  <si>
    <t>Перевозка</t>
  </si>
  <si>
    <t>Перевозка грузов</t>
  </si>
  <si>
    <t>НР</t>
  </si>
  <si>
    <t>Накладные расходы</t>
  </si>
  <si>
    <t>СмПриб</t>
  </si>
  <si>
    <t>Сметная прибыль</t>
  </si>
  <si>
    <t>Всего</t>
  </si>
  <si>
    <t>Всего с НР и СП</t>
  </si>
  <si>
    <t>ОБ_ПР</t>
  </si>
  <si>
    <t>Объект производственного назначения</t>
  </si>
  <si>
    <t>ОБ_НПР</t>
  </si>
  <si>
    <t>Объект непроизводственного назначения</t>
  </si>
  <si>
    <t>3.27_АВТО</t>
  </si>
  <si>
    <t>{вкл} - НР и СП по п.18.1 "Автомобильные дороги"  {выкл} - НР и СП по п.18.2 "Устройство покрытий дорожек, тротуаров, мостовых и площадок и прочее"  3.27 Табл. 3.27-121, расценки 3.27-26-1...4</t>
  </si>
  <si>
    <t>3.29_ЗАКР</t>
  </si>
  <si>
    <t>{вкл} - Тоннели и метрополитены: закрытый способ работ  {выкл} - Тоннели и метрополитены: открытый способ работ  3.29 Отдел 1.5; табл. 3.29-1905...1906</t>
  </si>
  <si>
    <t>4.10_МЕЖГ</t>
  </si>
  <si>
    <t>{вкл} - Прокладка и монтаж междугородных линий связи  {выкл} - Прокладка и монтаж сетей связи  4.10 Раздел 1.7.3...1.7.5</t>
  </si>
  <si>
    <t>Текущий уровень цен</t>
  </si>
  <si>
    <t>Сборник индексов</t>
  </si>
  <si>
    <t>Коэффициенты к ТСН-2001 МГЭ Дополнение 80, строительство</t>
  </si>
  <si>
    <t>217/80</t>
  </si>
  <si>
    <t>Коэффициенты к ТСН-2001.13-2 Дополнение 46</t>
  </si>
  <si>
    <t>62/46</t>
  </si>
  <si>
    <t>Базовый уровень цен</t>
  </si>
  <si>
    <t>_OBSM_</t>
  </si>
  <si>
    <t>9999990008</t>
  </si>
  <si>
    <t>Трудозатраты рабочих</t>
  </si>
  <si>
    <t>чел.-ч.</t>
  </si>
  <si>
    <t>2.1-30-106</t>
  </si>
  <si>
    <t>ТСН-2001.2. Доп. 68. п.1-30-106 (304105)</t>
  </si>
  <si>
    <t>Перфораторы, мощность до 1,5 кВт</t>
  </si>
  <si>
    <t>маш.-ч</t>
  </si>
  <si>
    <t>2.1-30-56</t>
  </si>
  <si>
    <t>ТСН-2001.2. Доп. 68. п.1-30-56 (309101)</t>
  </si>
  <si>
    <t>Шуруповерты</t>
  </si>
  <si>
    <t>2.1-18-7</t>
  </si>
  <si>
    <t>ТСН-2001.2. Доп. 68. п.1-18-7 (183001)</t>
  </si>
  <si>
    <t>Автомобили грузовые бортовые, грузоподъемность до 5 т</t>
  </si>
  <si>
    <t>9999990009</t>
  </si>
  <si>
    <t>1.1-1-132</t>
  </si>
  <si>
    <t>ТСН-2001.1 Доп. 79, Р. 1, о. 1, поз. 132</t>
  </si>
  <si>
    <t>Гвозди строительные</t>
  </si>
  <si>
    <t>т</t>
  </si>
  <si>
    <t>1.1-1-924</t>
  </si>
  <si>
    <t>ТСН-2001.1 Доп. 79, Р. 1, о. 1, поз. 924</t>
  </si>
  <si>
    <t>Поковки строительные (скобы, закрепы, хомуты) простые, масса от 2,5 до 4 кг</t>
  </si>
  <si>
    <t>2.1-3-38</t>
  </si>
  <si>
    <t>ТСН-2001.2. Доп. 68. п.1-3-38 (032009)</t>
  </si>
  <si>
    <t>Краны на автомобильном ходу, грузоподъемность до 16 т</t>
  </si>
  <si>
    <t>4372910000</t>
  </si>
  <si>
    <t>Стационарные металлодетекторы арочного типа</t>
  </si>
  <si>
    <t>5361750000</t>
  </si>
  <si>
    <t>Раскладка, размером 19х19 мм</t>
  </si>
  <si>
    <t>м</t>
  </si>
  <si>
    <t>5369680000</t>
  </si>
  <si>
    <t>Кухонные подстолья</t>
  </si>
  <si>
    <t>5262420000</t>
  </si>
  <si>
    <t>Лестницы, косоуры, площадки, ограждения</t>
  </si>
  <si>
    <t>5733110000</t>
  </si>
  <si>
    <t>Цемент</t>
  </si>
  <si>
    <t>Гл.12.Прил.8.п.8. 5_12.00.01.11.003</t>
  </si>
  <si>
    <t>Глава 12</t>
  </si>
  <si>
    <t>О.П. п.3.4.30.в</t>
  </si>
  <si>
    <t>При наличии усложненных условий производства работ (стесненность, сложность складирования и транспортной логистики, наличие в зоне производства работ действующего технологического оборудования или движения технологического транспорта и т.п.) для объектов, расположенных за пределами территории круговой магистральной системы улиц "Садовое кольцо" и за пределами Третьего транспортного кольца города Москвы пунктов "а" и "б", но в пределах Московской кольцевой автомобильной дороги</t>
  </si>
  <si>
    <t>Поправка: Гл.12.Прил.8.п.8. 5_12.00.01.11.003 Наименование: При наличии усложненных условий производства работ (стесненность, сложность складирования и транспортной логистики, наличие в зоне производства работ действующего технологического оборудования или движения технологического транспорта и т.п.) для объектов, расположенных за пределами территории круговой магистральной системы улиц "Садовое кольцо" и за пределами Третьего транспортного кольца города Москвы пунктов "а" и "б", но в пределах Московской кольцевой автомобильной дороги</t>
  </si>
  <si>
    <t>Устройство для защиты от взрыва типа Фонтан-2 10У. Мобильное устройство для подавления не более 1000 г ТНТ, локализуемый объем до 15 дм3, выполнено в форме купола с двумя ручками, стенки и верх купола наполнены специальным диспенсером, поглощающим тепловую и ударную волну, габаритные размеры 610х610х365 мм</t>
  </si>
  <si>
    <t>Устройство досмотровое (зеркало) для осмотра грузов, транспортных средств, неосвещенных и труднодоступных мест в помещениях. В составе: телескопическая штанга со встроенными светодиодами, с регулировкой длины от 600 до 1850 мм, набор зеркал различного размера и формы - 4 шт. Время непрерывной работы светодиодов не менее 9 часов, диапазон рабочих температур от -20 до +50°С</t>
  </si>
  <si>
    <t>При применении территориальных сметных нормативов для города Москвы затраты, учитывающие напряженные и стесненные условия производства работ (стесненность, сложность складирования и транспортной логистики и т.п.), исчисляются с применением коэффициентов к затратам труда и заработной плате рабочих, машинистов, времени эксплуатации машин и механизмов, стоимости эксплуатации машин в размере: для объектов, расположенных за пределами Третьего транспортного кольца города Москвы, но в пределах Московской кольцевой автомобильной дороги</t>
  </si>
  <si>
    <t>Поправка: О.П. п.3.4.30.в Наименование: При применении территориальных сметных нормативов для города Москвы затраты, учитывающие напряженные и стесненные условия производства работ (стесненность, сложность складирования и транспортной логистики и т.п.), исчисляются с применением коэффициентов к затратам труда и заработной плате рабочих, машинистов, времени эксплуатации машин и механизмов, стоимости эксплуатации машин в размере: для объектов, расположенных за пределами Третьего транспортного кольца города Москвы, но в пределах Московской кольцевой автомобильной дороги</t>
  </si>
  <si>
    <t>(наименование стройки и/или объекта)</t>
  </si>
  <si>
    <t>(наименование работ и затрат)</t>
  </si>
  <si>
    <t>В
базисном
уровне
цен</t>
  </si>
  <si>
    <t>В
текущем
уровне
цен</t>
  </si>
  <si>
    <t>Сметная стоимость</t>
  </si>
  <si>
    <t>Работы по монтажу оборудования</t>
  </si>
  <si>
    <t>Прочие работы и затраты</t>
  </si>
  <si>
    <t>Средства на оплату труда</t>
  </si>
  <si>
    <t>Затраты труда</t>
  </si>
  <si>
    <t xml:space="preserve">Кроме того: </t>
  </si>
  <si>
    <t>№ п/п</t>
  </si>
  <si>
    <t>Шифр расценки и коды ресурсов</t>
  </si>
  <si>
    <t>Наименование работ и затрат</t>
  </si>
  <si>
    <t>Ед. изм.</t>
  </si>
  <si>
    <t>Кол-во
единиц</t>
  </si>
  <si>
    <t>Цена на
ед. изм.,
руб.</t>
  </si>
  <si>
    <t>Попра-
вочные
коэффи-
циенты</t>
  </si>
  <si>
    <t>Коэффи-
циенты
зимних
удорожа-
ний</t>
  </si>
  <si>
    <t>Коэффи-
циенты
(индек-
сы) пере-
счета,
нормы
НР и СП</t>
  </si>
  <si>
    <t>ВСЕГО
затрат в
текущем
уровне цен,
руб.</t>
  </si>
  <si>
    <t>Форма № 4б</t>
  </si>
  <si>
    <t>Капитальный ремонт здания Государственного бюджетного общеобразовательного учреждения города Москвы "Школа № 236" по адресу: г. Москва ул. Клязьминская, д. 7 к. 4. 1 этап. 02-01-20 ПТА</t>
  </si>
  <si>
    <t>Составлен(а) по ТСН-2001 с учетом Дополнения №: 80</t>
  </si>
  <si>
    <t>№ и период сборника коэффициентов (индексов) пересчета: Коэффициенты к ТСН-2001 МГЭ Дополнение 80, строительство №217/80 III квартал 2025 года и Коэффициенты к ТСН-2001.13-2 Дополнение 46 №62/46 III квартал 2025 года</t>
  </si>
  <si>
    <t>Всего в
ценах на
январь 2000 года,
руб.</t>
  </si>
  <si>
    <r>
      <t>4.10-161-1</t>
    </r>
    <r>
      <rPr>
        <i/>
        <sz val="10"/>
        <rFont val="Arial"/>
        <family val="2"/>
        <charset val="204"/>
      </rPr>
      <t xml:space="preserve">
Поправка: Гл.12.Прил.8.п.8. 5_12.00.01.11.003</t>
    </r>
  </si>
  <si>
    <t>ЗП</t>
  </si>
  <si>
    <t>ЭМ</t>
  </si>
  <si>
    <t>НР от ФОТ</t>
  </si>
  <si>
    <t>%</t>
  </si>
  <si>
    <t>СП от ФОТ</t>
  </si>
  <si>
    <t>ЗТР</t>
  </si>
  <si>
    <t>чел-ч</t>
  </si>
  <si>
    <t>Всего по позиции:</t>
  </si>
  <si>
    <r>
      <t>ОБОРУДОВАНИЕ:_x000D_
Металлодетектор арочный Паутина-Н2-1</t>
    </r>
    <r>
      <rPr>
        <i/>
        <sz val="10"/>
        <color rgb="FF821E82"/>
        <rFont val="Arial"/>
        <family val="2"/>
        <charset val="204"/>
      </rPr>
      <t xml:space="preserve">
33 055,69 = [291 500 / 1,2 /  7,66] +  3% Трансп +  1,2% Заг.скл</t>
    </r>
  </si>
  <si>
    <r>
      <t>ОБОРУДОВАНИЕ:_x000D_
Ручной металлодетектор «СФИНКС ВМ-611 РД-2.0»</t>
    </r>
    <r>
      <rPr>
        <i/>
        <sz val="10"/>
        <color rgb="FF821E82"/>
        <rFont val="Arial"/>
        <family val="2"/>
        <charset val="204"/>
      </rPr>
      <t xml:space="preserve">
6 798,25 = [59 950 / 1,2 /  7,66] +  3% Трансп +  1,2% Заг.скл</t>
    </r>
  </si>
  <si>
    <r>
      <t>ОБОРУДОВАНИЕ:_x000D_
Газоанализатор паров взрывчатых веществ «Кербер-Т»</t>
    </r>
    <r>
      <rPr>
        <i/>
        <sz val="10"/>
        <color rgb="FF821E82"/>
        <rFont val="Arial"/>
        <family val="2"/>
        <charset val="204"/>
      </rPr>
      <t xml:space="preserve">
249 476,94 = [2 200 000 / 1,2 /  7,66] +  3% Трансп +  1,2% Заг.скл</t>
    </r>
  </si>
  <si>
    <t>ОБОРУДОВАНИЕ:_x000D_
Устройство для защиты от взрыва типа Фонтан-2 10У. Мобильное устройство для подавления не более 1000 г ТНТ, локализуемый объем до 15 дм3, выполнено в форме купола с двумя ручками, стенки и верх купола наполнены специальным диспенсером, поглощающим тепловую и ударную волну, габаритные размеры 610х610х365 мм</t>
  </si>
  <si>
    <t>ОБОРУДОВАНИЕ:_x000D_
Устройство досмотровое (зеркало) для осмотра грузов, транспортных средств, неосвещенных и труднодоступных мест в помещениях. В составе: телескопическая штанга со встроенными светодиодами, с регулировкой длины от 600 до 1850 мм, набор зеркал различного размера и формы - 4 шт. Время непрерывной работы светодиодов не менее 9 часов, диапазон рабочих температур от -20 до +50°С</t>
  </si>
  <si>
    <r>
      <t>3.10-33-1</t>
    </r>
    <r>
      <rPr>
        <i/>
        <sz val="10"/>
        <rFont val="Arial"/>
        <family val="2"/>
        <charset val="204"/>
      </rPr>
      <t xml:space="preserve">
Поправка: О.П. п.3.4.30.в</t>
    </r>
  </si>
  <si>
    <t>в т.ч. ЗПМ</t>
  </si>
  <si>
    <t>МР</t>
  </si>
  <si>
    <r>
      <t>ОБОРУДОВАНИЕ:_x000D_
Стол досмотровый СД-950 (500х400х900)</t>
    </r>
    <r>
      <rPr>
        <i/>
        <sz val="10"/>
        <color rgb="FF821E82"/>
        <rFont val="Arial"/>
        <family val="2"/>
        <charset val="204"/>
      </rPr>
      <t xml:space="preserve">
1 145,32 = [10 100 / 1,2 /  7,66] +  3% Трансп +  1,2% Заг.скл</t>
    </r>
  </si>
  <si>
    <r>
      <t>3.7-60-4</t>
    </r>
    <r>
      <rPr>
        <i/>
        <sz val="10"/>
        <rFont val="Arial"/>
        <family val="2"/>
        <charset val="204"/>
      </rPr>
      <t xml:space="preserve">
Поправка: О.П. п.3.4.30.в</t>
    </r>
  </si>
  <si>
    <r>
      <t>Ограждение полуростовое BH02 PERCo</t>
    </r>
    <r>
      <rPr>
        <i/>
        <sz val="10"/>
        <rFont val="Arial"/>
        <family val="2"/>
        <charset val="204"/>
      </rPr>
      <t xml:space="preserve">
3 178,13 = [36 941 / 1,2 /  9,88] +  2% Заг.скл</t>
    </r>
  </si>
  <si>
    <r>
      <t>Калитка одностворчатая PERCo</t>
    </r>
    <r>
      <rPr>
        <i/>
        <sz val="10"/>
        <rFont val="Arial"/>
        <family val="2"/>
        <charset val="204"/>
      </rPr>
      <t xml:space="preserve">
9 959,48 = [115 764,37 / 1,2 /  9,88] +  2% Заг.скл</t>
    </r>
  </si>
  <si>
    <t xml:space="preserve">   Итого по ТСН-2001.16</t>
  </si>
  <si>
    <t xml:space="preserve">   Итого возвратных сумм</t>
  </si>
  <si>
    <t xml:space="preserve"> тыс.руб.</t>
  </si>
  <si>
    <t xml:space="preserve">Составил   </t>
  </si>
  <si>
    <t>(должность, подпись, инициалы, фамилия)</t>
  </si>
  <si>
    <t xml:space="preserve">Проверил   </t>
  </si>
  <si>
    <t>"УТВЕРЖДАЮ"</t>
  </si>
  <si>
    <t>___________________________</t>
  </si>
  <si>
    <t>" ___ " ___________ 20 ___ г.</t>
  </si>
  <si>
    <t>№ в ЛСР</t>
  </si>
  <si>
    <t>Единица измерения</t>
  </si>
  <si>
    <t>Количество</t>
  </si>
  <si>
    <t>Ссылка на чертежи, спецификации</t>
  </si>
  <si>
    <t>Формула расчета, расчет объемов работ и расхода материалов</t>
  </si>
  <si>
    <t>Примечание</t>
  </si>
  <si>
    <t>Главный инженер проекта _________________</t>
  </si>
  <si>
    <t>Составил _________________</t>
  </si>
  <si>
    <t xml:space="preserve">Капитальный ремонт здания Государственного бюджетного общеобразовательного учреждения города Москвы "Школа № 236" по адресу: г. Москва ул. Клязьминская, д. 7 к. 4. 1 этап.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</si>
</sst>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[Red]\-\ #,##0.00"/>
  </numFmts>
  <fonts count="25" x14ac:knownFonts="1">
    <font>
      <sz val="10"/>
      <name val="Arial"/>
      <charset val="204"/>
    </font>
    <font>
      <b/>
      <sz val="10"/>
      <color indexed="12"/>
      <name val="Arial"/>
      <charset val="204"/>
    </font>
    <font>
      <sz val="10"/>
      <color indexed="18"/>
      <name val="Arial"/>
      <charset val="204"/>
    </font>
    <font>
      <b/>
      <sz val="10"/>
      <color indexed="16"/>
      <name val="Arial"/>
      <charset val="204"/>
    </font>
    <font>
      <b/>
      <sz val="10"/>
      <color indexed="20"/>
      <name val="Arial"/>
      <charset val="204"/>
    </font>
    <font>
      <b/>
      <sz val="10"/>
      <color indexed="17"/>
      <name val="Arial"/>
      <charset val="204"/>
    </font>
    <font>
      <sz val="10"/>
      <color indexed="17"/>
      <name val="Arial"/>
      <charset val="204"/>
    </font>
    <font>
      <sz val="10"/>
      <color indexed="12"/>
      <name val="Arial"/>
      <charset val="204"/>
    </font>
    <font>
      <sz val="10"/>
      <color indexed="14"/>
      <name val="Arial"/>
      <charset val="204"/>
    </font>
    <font>
      <sz val="10"/>
      <color indexed="16"/>
      <name val="Arial"/>
      <charset val="204"/>
    </font>
    <font>
      <sz val="10"/>
      <name val="Arial"/>
      <family val="2"/>
      <charset val="204"/>
    </font>
    <font>
      <sz val="9"/>
      <name val="Arial"/>
      <family val="2"/>
      <charset val="204"/>
    </font>
    <font>
      <sz val="11"/>
      <name val="Arial"/>
      <family val="2"/>
      <charset val="204"/>
    </font>
    <font>
      <b/>
      <sz val="12"/>
      <name val="Arial"/>
      <family val="2"/>
      <charset val="204"/>
    </font>
    <font>
      <sz val="12"/>
      <name val="Arial"/>
      <family val="2"/>
      <charset val="204"/>
    </font>
    <font>
      <b/>
      <sz val="14"/>
      <name val="Arial"/>
      <family val="2"/>
      <charset val="204"/>
    </font>
    <font>
      <b/>
      <sz val="11"/>
      <name val="Arial"/>
      <family val="2"/>
      <charset val="204"/>
    </font>
    <font>
      <b/>
      <sz val="13"/>
      <name val="Arial"/>
      <family val="2"/>
      <charset val="204"/>
    </font>
    <font>
      <i/>
      <sz val="11"/>
      <name val="Arial"/>
      <family val="2"/>
      <charset val="204"/>
    </font>
    <font>
      <i/>
      <sz val="10"/>
      <name val="Arial"/>
      <family val="2"/>
      <charset val="204"/>
    </font>
    <font>
      <sz val="11"/>
      <color rgb="FF821E82"/>
      <name val="Arial"/>
      <family val="2"/>
      <charset val="204"/>
    </font>
    <font>
      <i/>
      <sz val="11"/>
      <color rgb="FF821E82"/>
      <name val="Arial"/>
      <family val="2"/>
      <charset val="204"/>
    </font>
    <font>
      <i/>
      <sz val="10"/>
      <color rgb="FF821E82"/>
      <name val="Arial"/>
      <family val="2"/>
      <charset val="204"/>
    </font>
    <font>
      <sz val="10"/>
      <color rgb="FF821E82"/>
      <name val="Arial"/>
      <family val="2"/>
      <charset val="204"/>
    </font>
    <font>
      <b/>
      <sz val="11"/>
      <color rgb="FF821E82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0" fillId="0" borderId="0"/>
  </cellStyleXfs>
  <cellXfs count="7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1" fillId="0" borderId="0" xfId="0" applyFont="1"/>
    <xf numFmtId="0" fontId="12" fillId="0" borderId="0" xfId="0" applyFont="1"/>
    <xf numFmtId="0" fontId="13" fillId="0" borderId="1" xfId="0" applyFont="1" applyBorder="1" applyAlignment="1">
      <alignment horizontal="center" wrapText="1"/>
    </xf>
    <xf numFmtId="0" fontId="11" fillId="0" borderId="2" xfId="0" applyFont="1" applyBorder="1" applyAlignment="1">
      <alignment horizontal="center"/>
    </xf>
    <xf numFmtId="0" fontId="14" fillId="0" borderId="1" xfId="0" applyFont="1" applyBorder="1" applyAlignment="1">
      <alignment horizontal="center" wrapText="1"/>
    </xf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center" wrapText="1"/>
    </xf>
    <xf numFmtId="0" fontId="0" fillId="0" borderId="0" xfId="0"/>
    <xf numFmtId="0" fontId="12" fillId="0" borderId="1" xfId="0" applyFont="1" applyBorder="1" applyAlignment="1">
      <alignment horizontal="left" wrapText="1"/>
    </xf>
    <xf numFmtId="0" fontId="12" fillId="0" borderId="0" xfId="0" applyFont="1" applyAlignment="1">
      <alignment horizontal="left" wrapText="1"/>
    </xf>
    <xf numFmtId="0" fontId="12" fillId="0" borderId="0" xfId="0" applyFont="1" applyAlignment="1">
      <alignment horizontal="center" vertical="center" wrapText="1"/>
    </xf>
    <xf numFmtId="0" fontId="16" fillId="0" borderId="0" xfId="0" applyFont="1" applyAlignment="1">
      <alignment horizontal="left"/>
    </xf>
    <xf numFmtId="164" fontId="16" fillId="0" borderId="0" xfId="0" applyNumberFormat="1" applyFont="1"/>
    <xf numFmtId="0" fontId="16" fillId="0" borderId="0" xfId="0" applyFont="1"/>
    <xf numFmtId="0" fontId="12" fillId="0" borderId="0" xfId="0" applyFont="1" applyAlignment="1">
      <alignment horizontal="left"/>
    </xf>
    <xf numFmtId="164" fontId="12" fillId="0" borderId="0" xfId="0" applyNumberFormat="1" applyFont="1"/>
    <xf numFmtId="0" fontId="12" fillId="0" borderId="0" xfId="1" applyFont="1" applyAlignment="1">
      <alignment horizontal="left"/>
    </xf>
    <xf numFmtId="0" fontId="12" fillId="0" borderId="0" xfId="0" applyFont="1" applyAlignment="1">
      <alignment horizontal="left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0" xfId="0" applyFont="1" applyAlignment="1">
      <alignment horizontal="right"/>
    </xf>
    <xf numFmtId="0" fontId="13" fillId="0" borderId="1" xfId="0" applyFont="1" applyBorder="1" applyAlignment="1">
      <alignment horizontal="center" wrapText="1"/>
    </xf>
    <xf numFmtId="0" fontId="12" fillId="0" borderId="1" xfId="0" applyFont="1" applyBorder="1" applyAlignment="1">
      <alignment horizontal="left" wrapText="1"/>
    </xf>
    <xf numFmtId="0" fontId="17" fillId="0" borderId="0" xfId="0" applyFont="1" applyAlignment="1">
      <alignment horizontal="center" vertical="top" wrapText="1"/>
    </xf>
    <xf numFmtId="0" fontId="12" fillId="0" borderId="0" xfId="0" applyFont="1" applyAlignment="1">
      <alignment horizontal="left" vertical="top" wrapText="1"/>
    </xf>
    <xf numFmtId="0" fontId="12" fillId="0" borderId="0" xfId="0" applyFont="1" applyAlignment="1">
      <alignment horizontal="right" vertical="top"/>
    </xf>
    <xf numFmtId="0" fontId="18" fillId="0" borderId="0" xfId="0" applyFont="1" applyAlignment="1">
      <alignment horizontal="right" vertical="top" wrapText="1"/>
    </xf>
    <xf numFmtId="0" fontId="12" fillId="0" borderId="0" xfId="0" applyFont="1" applyAlignment="1">
      <alignment horizontal="right" vertical="top" wrapText="1"/>
    </xf>
    <xf numFmtId="164" fontId="12" fillId="0" borderId="0" xfId="0" applyNumberFormat="1" applyFont="1" applyAlignment="1">
      <alignment horizontal="right" vertical="top"/>
    </xf>
    <xf numFmtId="0" fontId="12" fillId="0" borderId="1" xfId="0" applyFont="1" applyBorder="1" applyAlignment="1">
      <alignment horizontal="left" vertical="top" wrapText="1"/>
    </xf>
    <xf numFmtId="0" fontId="18" fillId="0" borderId="1" xfId="0" applyFont="1" applyBorder="1" applyAlignment="1">
      <alignment horizontal="right" vertical="top" wrapText="1"/>
    </xf>
    <xf numFmtId="0" fontId="12" fillId="0" borderId="1" xfId="0" applyFont="1" applyBorder="1" applyAlignment="1">
      <alignment horizontal="right" vertical="top"/>
    </xf>
    <xf numFmtId="164" fontId="12" fillId="0" borderId="1" xfId="0" applyNumberFormat="1" applyFont="1" applyBorder="1" applyAlignment="1">
      <alignment horizontal="right" vertical="top"/>
    </xf>
    <xf numFmtId="0" fontId="12" fillId="0" borderId="1" xfId="0" applyFont="1" applyBorder="1" applyAlignment="1">
      <alignment horizontal="right" vertical="top" wrapText="1"/>
    </xf>
    <xf numFmtId="0" fontId="16" fillId="0" borderId="0" xfId="0" applyFont="1" applyAlignment="1">
      <alignment vertical="top"/>
    </xf>
    <xf numFmtId="164" fontId="16" fillId="0" borderId="2" xfId="0" applyNumberFormat="1" applyFont="1" applyBorder="1" applyAlignment="1">
      <alignment horizontal="right" vertical="top"/>
    </xf>
    <xf numFmtId="164" fontId="0" fillId="0" borderId="0" xfId="0" applyNumberFormat="1"/>
    <xf numFmtId="0" fontId="20" fillId="0" borderId="1" xfId="0" applyFont="1" applyBorder="1" applyAlignment="1">
      <alignment horizontal="left" vertical="top" wrapText="1"/>
    </xf>
    <xf numFmtId="0" fontId="21" fillId="0" borderId="1" xfId="0" applyFont="1" applyBorder="1" applyAlignment="1">
      <alignment horizontal="right" vertical="top" wrapText="1"/>
    </xf>
    <xf numFmtId="0" fontId="20" fillId="0" borderId="1" xfId="0" applyFont="1" applyBorder="1" applyAlignment="1">
      <alignment horizontal="right" vertical="top"/>
    </xf>
    <xf numFmtId="164" fontId="20" fillId="0" borderId="1" xfId="0" applyNumberFormat="1" applyFont="1" applyBorder="1" applyAlignment="1">
      <alignment horizontal="right" vertical="top"/>
    </xf>
    <xf numFmtId="0" fontId="20" fillId="0" borderId="1" xfId="0" applyFont="1" applyBorder="1" applyAlignment="1">
      <alignment horizontal="right" vertical="top" wrapText="1"/>
    </xf>
    <xf numFmtId="0" fontId="23" fillId="0" borderId="0" xfId="0" applyFont="1"/>
    <xf numFmtId="0" fontId="24" fillId="0" borderId="0" xfId="0" applyFont="1" applyAlignment="1">
      <alignment vertical="top"/>
    </xf>
    <xf numFmtId="164" fontId="24" fillId="0" borderId="2" xfId="0" applyNumberFormat="1" applyFont="1" applyBorder="1" applyAlignment="1">
      <alignment horizontal="right" vertical="top"/>
    </xf>
    <xf numFmtId="0" fontId="10" fillId="0" borderId="0" xfId="0" applyFont="1" applyAlignment="1">
      <alignment vertical="top" wrapText="1"/>
    </xf>
    <xf numFmtId="164" fontId="18" fillId="0" borderId="0" xfId="0" applyNumberFormat="1" applyFont="1" applyAlignment="1">
      <alignment horizontal="right" vertical="top"/>
    </xf>
    <xf numFmtId="0" fontId="12" fillId="0" borderId="0" xfId="0" quotePrefix="1" applyFont="1" applyAlignment="1">
      <alignment horizontal="right" vertical="top" wrapText="1"/>
    </xf>
    <xf numFmtId="0" fontId="16" fillId="0" borderId="0" xfId="0" applyFont="1" applyAlignment="1">
      <alignment horizontal="right"/>
    </xf>
    <xf numFmtId="0" fontId="16" fillId="0" borderId="0" xfId="0" applyFont="1" applyAlignment="1">
      <alignment horizontal="right" vertical="top"/>
    </xf>
    <xf numFmtId="164" fontId="16" fillId="0" borderId="0" xfId="0" applyNumberFormat="1" applyFont="1" applyAlignment="1">
      <alignment horizontal="right" vertical="top"/>
    </xf>
    <xf numFmtId="0" fontId="16" fillId="0" borderId="0" xfId="0" applyFont="1" applyAlignment="1">
      <alignment horizontal="left" wrapText="1"/>
    </xf>
    <xf numFmtId="0" fontId="16" fillId="0" borderId="0" xfId="0" applyFont="1" applyAlignment="1">
      <alignment horizontal="left" wrapText="1"/>
    </xf>
    <xf numFmtId="0" fontId="12" fillId="0" borderId="0" xfId="0" applyFont="1" applyAlignment="1">
      <alignment horizontal="right" vertical="center"/>
    </xf>
    <xf numFmtId="0" fontId="12" fillId="0" borderId="1" xfId="0" applyFont="1" applyBorder="1"/>
    <xf numFmtId="0" fontId="16" fillId="0" borderId="0" xfId="0" applyFont="1" applyAlignment="1">
      <alignment horizontal="right"/>
    </xf>
    <xf numFmtId="0" fontId="13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7" fillId="0" borderId="4" xfId="0" applyFont="1" applyBorder="1" applyAlignment="1">
      <alignment horizontal="center" wrapText="1"/>
    </xf>
    <xf numFmtId="0" fontId="12" fillId="0" borderId="3" xfId="0" applyFont="1" applyBorder="1" applyAlignment="1">
      <alignment horizontal="left" vertical="center" wrapText="1"/>
    </xf>
    <xf numFmtId="0" fontId="12" fillId="0" borderId="3" xfId="0" applyFont="1" applyBorder="1" applyAlignment="1">
      <alignment horizontal="center" vertical="center"/>
    </xf>
    <xf numFmtId="0" fontId="12" fillId="0" borderId="4" xfId="0" applyFont="1" applyBorder="1" applyAlignment="1">
      <alignment horizontal="left" vertical="center" wrapText="1"/>
    </xf>
    <xf numFmtId="0" fontId="12" fillId="0" borderId="4" xfId="0" applyFont="1" applyBorder="1" applyAlignment="1">
      <alignment horizontal="center" vertical="center"/>
    </xf>
    <xf numFmtId="0" fontId="16" fillId="0" borderId="0" xfId="0" applyFont="1" applyAlignment="1">
      <alignment horizontal="left"/>
    </xf>
  </cellXfs>
  <cellStyles count="2">
    <cellStyle name="Обычный" xfId="0" builtinId="0"/>
    <cellStyle name="Обычный 4" xfId="1" xr:uid="{3DBC1571-5A18-413A-8BD8-56074447860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D8CAF-C114-4FA3-96B1-69D4DDCEA1F2}">
  <sheetPr>
    <pageSetUpPr fitToPage="1"/>
  </sheetPr>
  <dimension ref="A1:AQ93"/>
  <sheetViews>
    <sheetView tabSelected="1" zoomScaleNormal="100" workbookViewId="0">
      <selection activeCell="AV13" sqref="AV13"/>
    </sheetView>
  </sheetViews>
  <sheetFormatPr defaultRowHeight="12.75" x14ac:dyDescent="0.2"/>
  <cols>
    <col min="1" max="1" width="5.7109375" customWidth="1"/>
    <col min="2" max="2" width="11.7109375" customWidth="1"/>
    <col min="3" max="3" width="40.7109375" customWidth="1"/>
    <col min="4" max="4" width="11.7109375" customWidth="1"/>
    <col min="5" max="5" width="8.140625" bestFit="1" customWidth="1"/>
    <col min="6" max="6" width="11.28515625" bestFit="1" customWidth="1"/>
    <col min="7" max="7" width="8.5703125" bestFit="1" customWidth="1"/>
    <col min="9" max="9" width="11.28515625" bestFit="1" customWidth="1"/>
    <col min="11" max="11" width="13.140625" bestFit="1" customWidth="1"/>
    <col min="15" max="41" width="0" hidden="1" customWidth="1"/>
    <col min="42" max="42" width="129.7109375" hidden="1" customWidth="1"/>
    <col min="43" max="43" width="96" hidden="1" customWidth="1"/>
    <col min="44" max="47" width="0" hidden="1" customWidth="1"/>
  </cols>
  <sheetData>
    <row r="1" spans="1:42" x14ac:dyDescent="0.2">
      <c r="A1" s="10" t="str">
        <f>Source!B1</f>
        <v>Smeta.RU  (495) 974-1589</v>
      </c>
    </row>
    <row r="2" spans="1:42" ht="14.25" x14ac:dyDescent="0.2">
      <c r="A2" s="11"/>
      <c r="B2" s="11"/>
      <c r="C2" s="11"/>
      <c r="D2" s="11"/>
      <c r="E2" s="11"/>
      <c r="F2" s="11"/>
      <c r="G2" s="11"/>
      <c r="H2" s="11"/>
      <c r="I2" s="11"/>
      <c r="J2" s="30" t="s">
        <v>219</v>
      </c>
      <c r="K2" s="30"/>
    </row>
    <row r="3" spans="1:42" ht="31.5" x14ac:dyDescent="0.25">
      <c r="A3" s="12" t="s">
        <v>262</v>
      </c>
      <c r="B3" s="12"/>
      <c r="C3" s="12"/>
      <c r="D3" s="12"/>
      <c r="E3" s="12"/>
      <c r="F3" s="12"/>
      <c r="G3" s="12"/>
      <c r="H3" s="12"/>
      <c r="I3" s="12"/>
      <c r="J3" s="12"/>
      <c r="K3" s="12"/>
      <c r="AP3" s="31" t="s">
        <v>220</v>
      </c>
    </row>
    <row r="4" spans="1:42" x14ac:dyDescent="0.2">
      <c r="A4" s="13" t="s">
        <v>199</v>
      </c>
      <c r="B4" s="13"/>
      <c r="C4" s="13"/>
      <c r="D4" s="13"/>
      <c r="E4" s="13"/>
      <c r="F4" s="13"/>
      <c r="G4" s="13"/>
      <c r="H4" s="13"/>
      <c r="I4" s="13"/>
      <c r="J4" s="13"/>
      <c r="K4" s="13"/>
    </row>
    <row r="5" spans="1:42" ht="14.25" x14ac:dyDescent="0.2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42" ht="15.75" x14ac:dyDescent="0.25">
      <c r="A6" s="12" t="str">
        <f>CONCATENATE( "ЛОКАЛЬНАЯ СМЕТА № ",IF(Source!F20&lt;&gt;"Новая локальная смета", Source!F20, ""))</f>
        <v>ЛОКАЛЬНАЯ СМЕТА № 02-01-20</v>
      </c>
      <c r="B6" s="14"/>
      <c r="C6" s="14"/>
      <c r="D6" s="14"/>
      <c r="E6" s="14"/>
      <c r="F6" s="14"/>
      <c r="G6" s="14"/>
      <c r="H6" s="14"/>
      <c r="I6" s="14"/>
      <c r="J6" s="14"/>
      <c r="K6" s="14"/>
    </row>
    <row r="7" spans="1:42" ht="14.25" x14ac:dyDescent="0.2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</row>
    <row r="8" spans="1:42" ht="18" x14ac:dyDescent="0.25">
      <c r="A8" s="15" t="str">
        <f>IF(Source!G20&lt;&gt;"Новая локальная смета", Source!G20, "")</f>
        <v>Мероприятия по противодействию террористическим актам</v>
      </c>
      <c r="B8" s="15"/>
      <c r="C8" s="15"/>
      <c r="D8" s="15"/>
      <c r="E8" s="15"/>
      <c r="F8" s="15"/>
      <c r="G8" s="15"/>
      <c r="H8" s="15"/>
      <c r="I8" s="15"/>
      <c r="J8" s="15"/>
      <c r="K8" s="15"/>
    </row>
    <row r="9" spans="1:42" x14ac:dyDescent="0.2">
      <c r="A9" s="16" t="s">
        <v>200</v>
      </c>
      <c r="B9" s="17"/>
      <c r="C9" s="17"/>
      <c r="D9" s="17"/>
      <c r="E9" s="17"/>
      <c r="F9" s="17"/>
      <c r="G9" s="17"/>
      <c r="H9" s="17"/>
      <c r="I9" s="17"/>
      <c r="J9" s="17"/>
      <c r="K9" s="17"/>
    </row>
    <row r="10" spans="1:42" ht="14.25" x14ac:dyDescent="0.2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42" ht="14.25" x14ac:dyDescent="0.2">
      <c r="A11" s="18" t="str">
        <f>CONCATENATE( "Основание: чертежи № ", Source!J20)</f>
        <v>Основание: чертежи № 2024-00272-01-0-ПТА</v>
      </c>
      <c r="B11" s="18"/>
      <c r="C11" s="18"/>
      <c r="D11" s="18"/>
      <c r="E11" s="18"/>
      <c r="F11" s="18"/>
      <c r="G11" s="18"/>
      <c r="H11" s="18"/>
      <c r="I11" s="18"/>
      <c r="J11" s="18"/>
      <c r="K11" s="18"/>
    </row>
    <row r="12" spans="1:42" ht="14.25" x14ac:dyDescent="0.2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</row>
    <row r="13" spans="1:42" ht="71.25" x14ac:dyDescent="0.2">
      <c r="A13" s="11"/>
      <c r="B13" s="11"/>
      <c r="C13" s="11"/>
      <c r="D13" s="11"/>
      <c r="E13" s="11"/>
      <c r="F13" s="11"/>
      <c r="G13" s="11"/>
      <c r="H13" s="11"/>
      <c r="I13" s="20" t="s">
        <v>201</v>
      </c>
      <c r="J13" s="20" t="s">
        <v>202</v>
      </c>
      <c r="K13" s="11"/>
    </row>
    <row r="14" spans="1:42" ht="15" x14ac:dyDescent="0.25">
      <c r="A14" s="11"/>
      <c r="B14" s="11"/>
      <c r="C14" s="11"/>
      <c r="D14" s="11"/>
      <c r="E14" s="21" t="s">
        <v>203</v>
      </c>
      <c r="F14" s="21"/>
      <c r="G14" s="21"/>
      <c r="H14" s="21"/>
      <c r="I14" s="22">
        <f>I15+I16+I17+I18</f>
        <v>376.17</v>
      </c>
      <c r="J14" s="22">
        <f>J15+J16+J17+J18</f>
        <v>2977.26</v>
      </c>
      <c r="K14" s="23" t="s">
        <v>247</v>
      </c>
    </row>
    <row r="15" spans="1:42" ht="14.25" x14ac:dyDescent="0.2">
      <c r="A15" s="11"/>
      <c r="B15" s="11"/>
      <c r="C15" s="11"/>
      <c r="D15" s="11"/>
      <c r="E15" s="24" t="s">
        <v>58</v>
      </c>
      <c r="F15" s="24"/>
      <c r="G15" s="24"/>
      <c r="H15" s="24"/>
      <c r="I15" s="25">
        <f>ROUND((Source!F98)/1000, 2)</f>
        <v>26.42</v>
      </c>
      <c r="J15" s="25">
        <f>ROUND((Source!P98)/1000, 2)</f>
        <v>266.61</v>
      </c>
      <c r="K15" s="11" t="s">
        <v>247</v>
      </c>
    </row>
    <row r="16" spans="1:42" ht="14.25" x14ac:dyDescent="0.2">
      <c r="A16" s="11"/>
      <c r="B16" s="11"/>
      <c r="C16" s="11"/>
      <c r="D16" s="11"/>
      <c r="E16" s="24" t="s">
        <v>204</v>
      </c>
      <c r="F16" s="24"/>
      <c r="G16" s="24"/>
      <c r="H16" s="24"/>
      <c r="I16" s="25">
        <f>ROUND((Source!F99)/1000, 2)</f>
        <v>0.13</v>
      </c>
      <c r="J16" s="25">
        <f>ROUND((Source!P99)/1000, 2)</f>
        <v>7.19</v>
      </c>
      <c r="K16" s="11" t="s">
        <v>247</v>
      </c>
    </row>
    <row r="17" spans="1:42" ht="14.25" x14ac:dyDescent="0.2">
      <c r="A17" s="11"/>
      <c r="B17" s="11"/>
      <c r="C17" s="11"/>
      <c r="D17" s="11"/>
      <c r="E17" s="24" t="s">
        <v>19</v>
      </c>
      <c r="F17" s="24"/>
      <c r="G17" s="24"/>
      <c r="H17" s="24"/>
      <c r="I17" s="25">
        <f>ROUND((Source!F90)/1000, 2)</f>
        <v>349.62</v>
      </c>
      <c r="J17" s="25">
        <f>ROUND((Source!P90)/1000, 2)</f>
        <v>2703.46</v>
      </c>
      <c r="K17" s="11" t="s">
        <v>247</v>
      </c>
    </row>
    <row r="18" spans="1:42" ht="14.25" x14ac:dyDescent="0.2">
      <c r="A18" s="11"/>
      <c r="B18" s="11"/>
      <c r="C18" s="11"/>
      <c r="D18" s="11"/>
      <c r="E18" s="24" t="s">
        <v>205</v>
      </c>
      <c r="F18" s="24"/>
      <c r="G18" s="24"/>
      <c r="H18" s="24"/>
      <c r="I18" s="25">
        <f>ROUND((Source!F100+Source!F101)/1000, 2)</f>
        <v>0</v>
      </c>
      <c r="J18" s="25">
        <f>ROUND((Source!P100+Source!P101)/1000, 2)</f>
        <v>0</v>
      </c>
      <c r="K18" s="11" t="s">
        <v>247</v>
      </c>
    </row>
    <row r="19" spans="1:42" ht="14.25" x14ac:dyDescent="0.2">
      <c r="A19" s="11"/>
      <c r="B19" s="11"/>
      <c r="C19" s="11"/>
      <c r="D19" s="11"/>
      <c r="E19" s="24" t="s">
        <v>206</v>
      </c>
      <c r="F19" s="24"/>
      <c r="G19" s="24"/>
      <c r="H19" s="24"/>
      <c r="I19" s="25">
        <f>(Source!F96+ Source!F95)/1000</f>
        <v>0.10155</v>
      </c>
      <c r="J19" s="25">
        <f>((Source!P96 + Source!P95)/1000)</f>
        <v>5.5842399999999994</v>
      </c>
      <c r="K19" s="11" t="s">
        <v>247</v>
      </c>
    </row>
    <row r="20" spans="1:42" ht="14.25" x14ac:dyDescent="0.2">
      <c r="A20" s="11"/>
      <c r="B20" s="11"/>
      <c r="C20" s="11"/>
      <c r="D20" s="11"/>
      <c r="E20" s="24" t="s">
        <v>207</v>
      </c>
      <c r="F20" s="24"/>
      <c r="G20" s="24"/>
      <c r="H20" s="24"/>
      <c r="I20" s="25">
        <f>Source!F103</f>
        <v>8.0418206000000012</v>
      </c>
      <c r="J20" s="25"/>
      <c r="K20" s="11" t="s">
        <v>157</v>
      </c>
    </row>
    <row r="21" spans="1:42" ht="14.25" hidden="1" x14ac:dyDescent="0.2">
      <c r="A21" s="11"/>
      <c r="B21" s="11"/>
      <c r="C21" s="11"/>
      <c r="D21" s="11"/>
      <c r="E21" s="24" t="s">
        <v>208</v>
      </c>
      <c r="F21" s="24"/>
      <c r="G21" s="24"/>
      <c r="H21" s="24"/>
      <c r="I21" s="25"/>
      <c r="J21" s="25"/>
      <c r="K21" s="11"/>
    </row>
    <row r="22" spans="1:42" ht="14.25" hidden="1" x14ac:dyDescent="0.2">
      <c r="A22" s="11"/>
      <c r="B22" s="11"/>
      <c r="C22" s="11"/>
      <c r="D22" s="11"/>
      <c r="E22" s="26" t="s">
        <v>122</v>
      </c>
      <c r="F22" s="26"/>
      <c r="G22" s="26"/>
      <c r="H22" s="26"/>
      <c r="I22" s="25">
        <f>SUM(Y28:Y86)/1000</f>
        <v>0</v>
      </c>
      <c r="J22" s="25">
        <f>SUM(Z28:Z86)/1000</f>
        <v>0</v>
      </c>
      <c r="K22" s="11" t="s">
        <v>247</v>
      </c>
    </row>
    <row r="23" spans="1:42" ht="14.25" x14ac:dyDescent="0.2">
      <c r="A23" s="11"/>
      <c r="B23" s="11"/>
      <c r="C23" s="11"/>
      <c r="D23" s="11"/>
      <c r="E23" s="11"/>
      <c r="F23" s="27"/>
      <c r="G23" s="27"/>
      <c r="H23" s="27"/>
      <c r="I23" s="25"/>
      <c r="J23" s="25"/>
      <c r="K23" s="11"/>
    </row>
    <row r="24" spans="1:42" ht="14.25" x14ac:dyDescent="0.2">
      <c r="A24" s="11" t="s">
        <v>221</v>
      </c>
      <c r="B24" s="11"/>
      <c r="C24" s="11"/>
      <c r="D24" s="11"/>
      <c r="E24" s="11"/>
      <c r="F24" s="27"/>
      <c r="G24" s="27"/>
      <c r="H24" s="27"/>
      <c r="I24" s="25"/>
      <c r="J24" s="25"/>
      <c r="K24" s="11"/>
    </row>
    <row r="25" spans="1:42" ht="28.5" x14ac:dyDescent="0.2">
      <c r="A25" s="18" t="s">
        <v>222</v>
      </c>
      <c r="B25" s="18"/>
      <c r="C25" s="18"/>
      <c r="D25" s="18"/>
      <c r="E25" s="18"/>
      <c r="F25" s="18"/>
      <c r="G25" s="18"/>
      <c r="H25" s="18"/>
      <c r="I25" s="18"/>
      <c r="J25" s="18"/>
      <c r="K25" s="18"/>
      <c r="AP25" s="32" t="s">
        <v>222</v>
      </c>
    </row>
    <row r="26" spans="1:42" ht="114" x14ac:dyDescent="0.2">
      <c r="A26" s="28" t="s">
        <v>209</v>
      </c>
      <c r="B26" s="28" t="s">
        <v>210</v>
      </c>
      <c r="C26" s="28" t="s">
        <v>211</v>
      </c>
      <c r="D26" s="28" t="s">
        <v>212</v>
      </c>
      <c r="E26" s="28" t="s">
        <v>213</v>
      </c>
      <c r="F26" s="28" t="s">
        <v>214</v>
      </c>
      <c r="G26" s="29" t="s">
        <v>215</v>
      </c>
      <c r="H26" s="29" t="s">
        <v>216</v>
      </c>
      <c r="I26" s="28" t="s">
        <v>223</v>
      </c>
      <c r="J26" s="28" t="s">
        <v>217</v>
      </c>
      <c r="K26" s="28" t="s">
        <v>218</v>
      </c>
    </row>
    <row r="27" spans="1:42" ht="14.25" x14ac:dyDescent="0.2">
      <c r="A27" s="28">
        <v>1</v>
      </c>
      <c r="B27" s="28">
        <v>2</v>
      </c>
      <c r="C27" s="28">
        <v>3</v>
      </c>
      <c r="D27" s="28">
        <v>4</v>
      </c>
      <c r="E27" s="28">
        <v>5</v>
      </c>
      <c r="F27" s="28">
        <v>6</v>
      </c>
      <c r="G27" s="28">
        <v>7</v>
      </c>
      <c r="H27" s="28">
        <v>8</v>
      </c>
      <c r="I27" s="28">
        <v>9</v>
      </c>
      <c r="J27" s="28">
        <v>10</v>
      </c>
      <c r="K27" s="28">
        <v>11</v>
      </c>
    </row>
    <row r="29" spans="1:42" ht="16.5" x14ac:dyDescent="0.2">
      <c r="A29" s="33" t="str">
        <f>CONCATENATE("Раздел: ",IF(Source!G24&lt;&gt;"Новый раздел", Source!G24, ""))</f>
        <v>Раздел: Оборудование</v>
      </c>
      <c r="B29" s="33"/>
      <c r="C29" s="33"/>
      <c r="D29" s="33"/>
      <c r="E29" s="33"/>
      <c r="F29" s="33"/>
      <c r="G29" s="33"/>
      <c r="H29" s="33"/>
      <c r="I29" s="33"/>
      <c r="J29" s="33"/>
      <c r="K29" s="33"/>
    </row>
    <row r="30" spans="1:42" ht="78" x14ac:dyDescent="0.2">
      <c r="A30" s="34">
        <v>1</v>
      </c>
      <c r="B30" s="34" t="s">
        <v>224</v>
      </c>
      <c r="C30" s="34" t="s">
        <v>22</v>
      </c>
      <c r="D30" s="36" t="str">
        <f>Source!H28</f>
        <v>1  ШТ.</v>
      </c>
      <c r="E30" s="35">
        <f>Source!I28</f>
        <v>2</v>
      </c>
      <c r="F30" s="38"/>
      <c r="G30" s="37"/>
      <c r="H30" s="35"/>
      <c r="I30" s="38"/>
      <c r="J30" s="35"/>
      <c r="K30" s="38"/>
      <c r="Q30">
        <f>Source!X28</f>
        <v>49.82</v>
      </c>
      <c r="R30">
        <f>Source!X29</f>
        <v>2739.33</v>
      </c>
      <c r="S30">
        <f>Source!Y28</f>
        <v>25.46</v>
      </c>
      <c r="T30">
        <f>Source!Y29</f>
        <v>1400.1</v>
      </c>
      <c r="U30">
        <f>ROUND((175/100)*ROUND(Source!R28, 2), 2)</f>
        <v>0</v>
      </c>
      <c r="V30">
        <f>ROUND((0/100)*ROUND(Source!R29, 2), 2)</f>
        <v>0</v>
      </c>
      <c r="AC30">
        <v>0</v>
      </c>
    </row>
    <row r="31" spans="1:42" ht="14.25" x14ac:dyDescent="0.2">
      <c r="A31" s="34"/>
      <c r="B31" s="34"/>
      <c r="C31" s="34" t="s">
        <v>225</v>
      </c>
      <c r="D31" s="36"/>
      <c r="E31" s="35"/>
      <c r="F31" s="38">
        <f>Source!AO28</f>
        <v>23.58</v>
      </c>
      <c r="G31" s="37" t="str">
        <f>Source!DG28</f>
        <v>*1,1</v>
      </c>
      <c r="H31" s="35">
        <f>Source!AV29</f>
        <v>1.0669999999999999</v>
      </c>
      <c r="I31" s="38">
        <f>Source!S28</f>
        <v>55.35</v>
      </c>
      <c r="J31" s="35">
        <f>IF(Source!BA29&lt;&gt; 0, Source!BA29, 1)</f>
        <v>54.99</v>
      </c>
      <c r="K31" s="38">
        <f>Source!S29</f>
        <v>3043.7</v>
      </c>
    </row>
    <row r="32" spans="1:42" ht="14.25" x14ac:dyDescent="0.2">
      <c r="A32" s="34"/>
      <c r="B32" s="34"/>
      <c r="C32" s="34" t="s">
        <v>226</v>
      </c>
      <c r="D32" s="36"/>
      <c r="E32" s="35"/>
      <c r="F32" s="38">
        <f>Source!AM28</f>
        <v>0.51</v>
      </c>
      <c r="G32" s="37" t="str">
        <f>Source!DE28</f>
        <v>*1,1</v>
      </c>
      <c r="H32" s="35">
        <f>Source!AV29</f>
        <v>1.0669999999999999</v>
      </c>
      <c r="I32" s="38">
        <f>Source!Q28</f>
        <v>1.2</v>
      </c>
      <c r="J32" s="35">
        <f>IF(Source!BB29&lt;&gt; 0, Source!BB29, 1)</f>
        <v>8.6300000000000008</v>
      </c>
      <c r="K32" s="38">
        <f>Source!Q29</f>
        <v>10.36</v>
      </c>
    </row>
    <row r="33" spans="1:29" ht="14.25" x14ac:dyDescent="0.2">
      <c r="A33" s="34"/>
      <c r="B33" s="34"/>
      <c r="C33" s="34" t="s">
        <v>227</v>
      </c>
      <c r="D33" s="36" t="s">
        <v>228</v>
      </c>
      <c r="E33" s="35">
        <f>Source!BZ29</f>
        <v>90</v>
      </c>
      <c r="F33" s="38"/>
      <c r="G33" s="37"/>
      <c r="H33" s="35"/>
      <c r="I33" s="38">
        <f>SUM(Q30:Q32)</f>
        <v>49.82</v>
      </c>
      <c r="J33" s="35">
        <f>Source!AT29</f>
        <v>90</v>
      </c>
      <c r="K33" s="38">
        <f>SUM(R30:R32)</f>
        <v>2739.33</v>
      </c>
    </row>
    <row r="34" spans="1:29" ht="14.25" x14ac:dyDescent="0.2">
      <c r="A34" s="34"/>
      <c r="B34" s="34"/>
      <c r="C34" s="34" t="s">
        <v>229</v>
      </c>
      <c r="D34" s="36" t="s">
        <v>228</v>
      </c>
      <c r="E34" s="35">
        <f>Source!CA29</f>
        <v>46</v>
      </c>
      <c r="F34" s="38"/>
      <c r="G34" s="37"/>
      <c r="H34" s="35"/>
      <c r="I34" s="38">
        <f>SUM(S30:S33)</f>
        <v>25.46</v>
      </c>
      <c r="J34" s="35">
        <f>Source!AU29</f>
        <v>46</v>
      </c>
      <c r="K34" s="38">
        <f>SUM(T30:T33)</f>
        <v>1400.1</v>
      </c>
    </row>
    <row r="35" spans="1:29" ht="14.25" x14ac:dyDescent="0.2">
      <c r="A35" s="39"/>
      <c r="B35" s="39"/>
      <c r="C35" s="39" t="s">
        <v>230</v>
      </c>
      <c r="D35" s="40" t="s">
        <v>231</v>
      </c>
      <c r="E35" s="41">
        <f>Source!AQ28</f>
        <v>1.69</v>
      </c>
      <c r="F35" s="42"/>
      <c r="G35" s="43" t="str">
        <f>Source!DI28</f>
        <v>*1,1</v>
      </c>
      <c r="H35" s="41">
        <f>Source!AV29</f>
        <v>1.0669999999999999</v>
      </c>
      <c r="I35" s="42">
        <f>Source!U28</f>
        <v>3.9671059999999998</v>
      </c>
      <c r="J35" s="41"/>
      <c r="K35" s="42"/>
    </row>
    <row r="36" spans="1:29" ht="15" x14ac:dyDescent="0.2">
      <c r="C36" s="44" t="s">
        <v>232</v>
      </c>
      <c r="H36" s="45">
        <f>I31+I32+I33+I34+0</f>
        <v>131.83000000000001</v>
      </c>
      <c r="I36" s="45"/>
      <c r="J36" s="45">
        <f>K31+K32+K33+K34+0</f>
        <v>7193.49</v>
      </c>
      <c r="K36" s="45"/>
      <c r="O36" s="46">
        <f>I31+I32+I33+I34+0</f>
        <v>131.83000000000001</v>
      </c>
      <c r="P36" s="46">
        <f>K31+K32+K33+K34+0</f>
        <v>7193.49</v>
      </c>
    </row>
    <row r="38" spans="1:29" ht="68.25" x14ac:dyDescent="0.2">
      <c r="A38" s="47">
        <v>2</v>
      </c>
      <c r="B38" s="47" t="str">
        <f>Source!F30</f>
        <v>КА 1</v>
      </c>
      <c r="C38" s="47" t="s">
        <v>233</v>
      </c>
      <c r="D38" s="48" t="str">
        <f>Source!H30</f>
        <v>шт.</v>
      </c>
      <c r="E38" s="49">
        <f>Source!I30</f>
        <v>2</v>
      </c>
      <c r="F38" s="50">
        <f>Source!AL30</f>
        <v>33055.69</v>
      </c>
      <c r="G38" s="51" t="str">
        <f>Source!DD30</f>
        <v/>
      </c>
      <c r="H38" s="49">
        <f>Source!AW31</f>
        <v>1</v>
      </c>
      <c r="I38" s="50">
        <f>Source!P30</f>
        <v>66111.38</v>
      </c>
      <c r="J38" s="49">
        <f>IF(Source!BC31&lt;&gt; 0, Source!BC31, 1)</f>
        <v>7.66</v>
      </c>
      <c r="K38" s="50">
        <f>Source!P31</f>
        <v>506413.17</v>
      </c>
      <c r="Q38">
        <f>Source!X30</f>
        <v>0</v>
      </c>
      <c r="R38">
        <f>Source!X31</f>
        <v>0</v>
      </c>
      <c r="S38">
        <f>Source!Y30</f>
        <v>0</v>
      </c>
      <c r="T38">
        <f>Source!Y31</f>
        <v>0</v>
      </c>
      <c r="U38">
        <f>ROUND((175/100)*ROUND(Source!R30, 2), 2)</f>
        <v>0</v>
      </c>
      <c r="V38">
        <f>ROUND((0/100)*ROUND(Source!R31, 2), 2)</f>
        <v>0</v>
      </c>
      <c r="AC38">
        <v>5</v>
      </c>
    </row>
    <row r="39" spans="1:29" ht="15" x14ac:dyDescent="0.2">
      <c r="A39" s="52"/>
      <c r="B39" s="52"/>
      <c r="C39" s="53" t="s">
        <v>232</v>
      </c>
      <c r="D39" s="52"/>
      <c r="E39" s="52"/>
      <c r="F39" s="52"/>
      <c r="G39" s="52"/>
      <c r="H39" s="54">
        <f>I38+0</f>
        <v>66111.38</v>
      </c>
      <c r="I39" s="54"/>
      <c r="J39" s="54">
        <f>K38+0</f>
        <v>506413.17</v>
      </c>
      <c r="K39" s="54"/>
      <c r="O39" s="46">
        <f>I38+0</f>
        <v>66111.38</v>
      </c>
      <c r="P39" s="46">
        <f>K38+0</f>
        <v>506413.17</v>
      </c>
    </row>
    <row r="41" spans="1:29" ht="68.25" x14ac:dyDescent="0.2">
      <c r="A41" s="47">
        <v>3</v>
      </c>
      <c r="B41" s="47" t="str">
        <f>Source!F32</f>
        <v>КА 2</v>
      </c>
      <c r="C41" s="47" t="s">
        <v>234</v>
      </c>
      <c r="D41" s="48" t="str">
        <f>Source!H32</f>
        <v>шт.</v>
      </c>
      <c r="E41" s="49">
        <f>Source!I32</f>
        <v>3</v>
      </c>
      <c r="F41" s="50">
        <f>Source!AL32</f>
        <v>6798.2499999999991</v>
      </c>
      <c r="G41" s="51" t="str">
        <f>Source!DD32</f>
        <v/>
      </c>
      <c r="H41" s="49">
        <f>Source!AW33</f>
        <v>1</v>
      </c>
      <c r="I41" s="50">
        <f>Source!P32</f>
        <v>20394.75</v>
      </c>
      <c r="J41" s="49">
        <f>IF(Source!BC33&lt;&gt; 0, Source!BC33, 1)</f>
        <v>7.66</v>
      </c>
      <c r="K41" s="50">
        <f>Source!P33</f>
        <v>156223.79</v>
      </c>
      <c r="Q41">
        <f>Source!X32</f>
        <v>0</v>
      </c>
      <c r="R41">
        <f>Source!X33</f>
        <v>0</v>
      </c>
      <c r="S41">
        <f>Source!Y32</f>
        <v>0</v>
      </c>
      <c r="T41">
        <f>Source!Y33</f>
        <v>0</v>
      </c>
      <c r="U41">
        <f>ROUND((175/100)*ROUND(Source!R32, 2), 2)</f>
        <v>0</v>
      </c>
      <c r="V41">
        <f>ROUND((0/100)*ROUND(Source!R33, 2), 2)</f>
        <v>0</v>
      </c>
      <c r="AC41">
        <v>5</v>
      </c>
    </row>
    <row r="42" spans="1:29" ht="15" x14ac:dyDescent="0.2">
      <c r="A42" s="52"/>
      <c r="B42" s="52"/>
      <c r="C42" s="53" t="s">
        <v>232</v>
      </c>
      <c r="D42" s="52"/>
      <c r="E42" s="52"/>
      <c r="F42" s="52"/>
      <c r="G42" s="52"/>
      <c r="H42" s="54">
        <f>I41+0</f>
        <v>20394.75</v>
      </c>
      <c r="I42" s="54"/>
      <c r="J42" s="54">
        <f>K41+0</f>
        <v>156223.79</v>
      </c>
      <c r="K42" s="54"/>
      <c r="O42" s="46">
        <f>I41+0</f>
        <v>20394.75</v>
      </c>
      <c r="P42" s="46">
        <f>K41+0</f>
        <v>156223.79</v>
      </c>
    </row>
    <row r="44" spans="1:29" ht="68.25" x14ac:dyDescent="0.2">
      <c r="A44" s="47">
        <v>4</v>
      </c>
      <c r="B44" s="47" t="str">
        <f>Source!F34</f>
        <v>КА 3</v>
      </c>
      <c r="C44" s="47" t="s">
        <v>235</v>
      </c>
      <c r="D44" s="48" t="str">
        <f>Source!H34</f>
        <v>шт.</v>
      </c>
      <c r="E44" s="49">
        <f>Source!I34</f>
        <v>1</v>
      </c>
      <c r="F44" s="50">
        <f>Source!AL34</f>
        <v>249476.94</v>
      </c>
      <c r="G44" s="51" t="str">
        <f>Source!DD34</f>
        <v/>
      </c>
      <c r="H44" s="49">
        <f>Source!AW35</f>
        <v>1</v>
      </c>
      <c r="I44" s="50">
        <f>Source!P34</f>
        <v>249476.94</v>
      </c>
      <c r="J44" s="49">
        <f>IF(Source!BC35&lt;&gt; 0, Source!BC35, 1)</f>
        <v>7.66</v>
      </c>
      <c r="K44" s="50">
        <f>Source!P35</f>
        <v>1910993.36</v>
      </c>
      <c r="Q44">
        <f>Source!X34</f>
        <v>0</v>
      </c>
      <c r="R44">
        <f>Source!X35</f>
        <v>0</v>
      </c>
      <c r="S44">
        <f>Source!Y34</f>
        <v>0</v>
      </c>
      <c r="T44">
        <f>Source!Y35</f>
        <v>0</v>
      </c>
      <c r="U44">
        <f>ROUND((175/100)*ROUND(Source!R34, 2), 2)</f>
        <v>0</v>
      </c>
      <c r="V44">
        <f>ROUND((0/100)*ROUND(Source!R35, 2), 2)</f>
        <v>0</v>
      </c>
      <c r="AC44">
        <v>5</v>
      </c>
    </row>
    <row r="45" spans="1:29" ht="15" x14ac:dyDescent="0.2">
      <c r="A45" s="52"/>
      <c r="B45" s="52"/>
      <c r="C45" s="53" t="s">
        <v>232</v>
      </c>
      <c r="D45" s="52"/>
      <c r="E45" s="52"/>
      <c r="F45" s="52"/>
      <c r="G45" s="52"/>
      <c r="H45" s="54">
        <f>I44+0</f>
        <v>249476.94</v>
      </c>
      <c r="I45" s="54"/>
      <c r="J45" s="54">
        <f>K44+0</f>
        <v>1910993.36</v>
      </c>
      <c r="K45" s="54"/>
      <c r="O45" s="46">
        <f>I44+0</f>
        <v>249476.94</v>
      </c>
      <c r="P45" s="46">
        <f>K44+0</f>
        <v>1910993.36</v>
      </c>
    </row>
    <row r="47" spans="1:29" ht="156.75" x14ac:dyDescent="0.2">
      <c r="A47" s="47">
        <v>5</v>
      </c>
      <c r="B47" s="47" t="str">
        <f>Source!F36</f>
        <v>13.3-9-180</v>
      </c>
      <c r="C47" s="47" t="s">
        <v>236</v>
      </c>
      <c r="D47" s="48" t="str">
        <f>Source!H36</f>
        <v>шт.</v>
      </c>
      <c r="E47" s="49">
        <f>Source!I36</f>
        <v>1</v>
      </c>
      <c r="F47" s="50">
        <f>Source!AL36</f>
        <v>8188.38</v>
      </c>
      <c r="G47" s="51" t="str">
        <f>Source!DD36</f>
        <v/>
      </c>
      <c r="H47" s="49">
        <f>Source!AW37</f>
        <v>1</v>
      </c>
      <c r="I47" s="50">
        <f>Source!P36</f>
        <v>8188.38</v>
      </c>
      <c r="J47" s="49">
        <f>IF(Source!BC37&lt;&gt; 0, Source!BC37, 1)</f>
        <v>10.36</v>
      </c>
      <c r="K47" s="50">
        <f>Source!P37</f>
        <v>84831.62</v>
      </c>
      <c r="Q47">
        <f>Source!X36</f>
        <v>0</v>
      </c>
      <c r="R47">
        <f>Source!X37</f>
        <v>0</v>
      </c>
      <c r="S47">
        <f>Source!Y36</f>
        <v>0</v>
      </c>
      <c r="T47">
        <f>Source!Y37</f>
        <v>0</v>
      </c>
      <c r="U47">
        <f>ROUND((175/100)*ROUND(Source!R36, 2), 2)</f>
        <v>0</v>
      </c>
      <c r="V47">
        <f>ROUND((0/100)*ROUND(Source!R37, 2), 2)</f>
        <v>0</v>
      </c>
      <c r="AC47">
        <v>5</v>
      </c>
    </row>
    <row r="48" spans="1:29" ht="15" x14ac:dyDescent="0.2">
      <c r="A48" s="52"/>
      <c r="B48" s="52"/>
      <c r="C48" s="53" t="s">
        <v>232</v>
      </c>
      <c r="D48" s="52"/>
      <c r="E48" s="52"/>
      <c r="F48" s="52"/>
      <c r="G48" s="52"/>
      <c r="H48" s="54">
        <f>I47+0</f>
        <v>8188.38</v>
      </c>
      <c r="I48" s="54"/>
      <c r="J48" s="54">
        <f>K47+0</f>
        <v>84831.62</v>
      </c>
      <c r="K48" s="54"/>
      <c r="O48" s="46">
        <f>I47+0</f>
        <v>8188.38</v>
      </c>
      <c r="P48" s="46">
        <f>K47+0</f>
        <v>84831.62</v>
      </c>
    </row>
    <row r="50" spans="1:29" ht="185.25" x14ac:dyDescent="0.2">
      <c r="A50" s="47">
        <v>6</v>
      </c>
      <c r="B50" s="47" t="str">
        <f>Source!F38</f>
        <v>13.1-2-203</v>
      </c>
      <c r="C50" s="47" t="s">
        <v>237</v>
      </c>
      <c r="D50" s="48" t="str">
        <f>Source!H38</f>
        <v>КОМПЛЕКТ</v>
      </c>
      <c r="E50" s="49">
        <f>Source!I38</f>
        <v>1</v>
      </c>
      <c r="F50" s="50">
        <f>Source!AL38</f>
        <v>866.44</v>
      </c>
      <c r="G50" s="51" t="str">
        <f>Source!DD38</f>
        <v/>
      </c>
      <c r="H50" s="49">
        <f>Source!AW39</f>
        <v>1</v>
      </c>
      <c r="I50" s="50">
        <f>Source!P38</f>
        <v>866.44</v>
      </c>
      <c r="J50" s="49">
        <f>IF(Source!BC39&lt;&gt; 0, Source!BC39, 1)</f>
        <v>11.43</v>
      </c>
      <c r="K50" s="50">
        <f>Source!P39</f>
        <v>9903.41</v>
      </c>
      <c r="Q50">
        <f>Source!X38</f>
        <v>0</v>
      </c>
      <c r="R50">
        <f>Source!X39</f>
        <v>0</v>
      </c>
      <c r="S50">
        <f>Source!Y38</f>
        <v>0</v>
      </c>
      <c r="T50">
        <f>Source!Y39</f>
        <v>0</v>
      </c>
      <c r="U50">
        <f>ROUND((175/100)*ROUND(Source!R38, 2), 2)</f>
        <v>0</v>
      </c>
      <c r="V50">
        <f>ROUND((0/100)*ROUND(Source!R39, 2), 2)</f>
        <v>0</v>
      </c>
      <c r="AC50">
        <v>5</v>
      </c>
    </row>
    <row r="51" spans="1:29" ht="15" x14ac:dyDescent="0.2">
      <c r="A51" s="52"/>
      <c r="B51" s="52"/>
      <c r="C51" s="53" t="s">
        <v>232</v>
      </c>
      <c r="D51" s="52"/>
      <c r="E51" s="52"/>
      <c r="F51" s="52"/>
      <c r="G51" s="52"/>
      <c r="H51" s="54">
        <f>I50+0</f>
        <v>866.44</v>
      </c>
      <c r="I51" s="54"/>
      <c r="J51" s="54">
        <f>K50+0</f>
        <v>9903.41</v>
      </c>
      <c r="K51" s="54"/>
      <c r="O51" s="46">
        <f>I50+0</f>
        <v>866.44</v>
      </c>
      <c r="P51" s="46">
        <f>K50+0</f>
        <v>9903.41</v>
      </c>
    </row>
    <row r="53" spans="1:29" ht="52.5" x14ac:dyDescent="0.2">
      <c r="A53" s="34">
        <v>7</v>
      </c>
      <c r="B53" s="34" t="s">
        <v>238</v>
      </c>
      <c r="C53" s="34" t="s">
        <v>55</v>
      </c>
      <c r="D53" s="36" t="str">
        <f>Source!H40</f>
        <v>100 изделий</v>
      </c>
      <c r="E53" s="35">
        <f>Source!I40</f>
        <v>0.04</v>
      </c>
      <c r="F53" s="38"/>
      <c r="G53" s="37"/>
      <c r="H53" s="35"/>
      <c r="I53" s="38"/>
      <c r="J53" s="35"/>
      <c r="K53" s="38"/>
      <c r="Q53">
        <f>Source!X40</f>
        <v>36.99</v>
      </c>
      <c r="R53">
        <f>Source!X41</f>
        <v>2034.08</v>
      </c>
      <c r="S53">
        <f>Source!Y40</f>
        <v>18.84</v>
      </c>
      <c r="T53">
        <f>Source!Y41</f>
        <v>1035.8800000000001</v>
      </c>
      <c r="U53">
        <f>ROUND((175/100)*ROUND(Source!R40, 2), 2)</f>
        <v>2.52</v>
      </c>
      <c r="V53">
        <f>ROUND((0/100)*ROUND(Source!R41, 2), 2)</f>
        <v>0</v>
      </c>
      <c r="AC53">
        <v>0</v>
      </c>
    </row>
    <row r="54" spans="1:29" x14ac:dyDescent="0.2">
      <c r="C54" s="55" t="str">
        <f>"Объем: "&amp;Source!I40&amp;"=4/"&amp;"100"</f>
        <v>Объем: 0,04=4/100</v>
      </c>
    </row>
    <row r="55" spans="1:29" ht="14.25" x14ac:dyDescent="0.2">
      <c r="A55" s="34"/>
      <c r="B55" s="34"/>
      <c r="C55" s="34" t="s">
        <v>225</v>
      </c>
      <c r="D55" s="36"/>
      <c r="E55" s="35"/>
      <c r="F55" s="38">
        <f>Source!AO40</f>
        <v>712.2</v>
      </c>
      <c r="G55" s="37" t="str">
        <f>Source!DG40</f>
        <v>*1,1</v>
      </c>
      <c r="H55" s="35">
        <f>Source!AV41</f>
        <v>1.0469999999999999</v>
      </c>
      <c r="I55" s="38">
        <f>Source!S40</f>
        <v>32.81</v>
      </c>
      <c r="J55" s="35">
        <f>IF(Source!BA41&lt;&gt; 0, Source!BA41, 1)</f>
        <v>54.99</v>
      </c>
      <c r="K55" s="38">
        <f>Source!S41</f>
        <v>1804.22</v>
      </c>
    </row>
    <row r="56" spans="1:29" ht="14.25" x14ac:dyDescent="0.2">
      <c r="A56" s="34"/>
      <c r="B56" s="34"/>
      <c r="C56" s="34" t="s">
        <v>226</v>
      </c>
      <c r="D56" s="36"/>
      <c r="E56" s="35"/>
      <c r="F56" s="38">
        <f>Source!AM40</f>
        <v>205.26</v>
      </c>
      <c r="G56" s="37" t="str">
        <f>Source!DE40</f>
        <v>*1,1</v>
      </c>
      <c r="H56" s="35">
        <f>Source!AV41</f>
        <v>1.0469999999999999</v>
      </c>
      <c r="I56" s="38">
        <f>Source!Q40</f>
        <v>9.4600000000000009</v>
      </c>
      <c r="J56" s="35">
        <f>IF(Source!BB41&lt;&gt; 0, Source!BB41, 1)</f>
        <v>16.3</v>
      </c>
      <c r="K56" s="38">
        <f>Source!Q41</f>
        <v>154.19999999999999</v>
      </c>
    </row>
    <row r="57" spans="1:29" ht="14.25" x14ac:dyDescent="0.2">
      <c r="A57" s="34"/>
      <c r="B57" s="34"/>
      <c r="C57" s="34" t="s">
        <v>239</v>
      </c>
      <c r="D57" s="36"/>
      <c r="E57" s="35"/>
      <c r="F57" s="38">
        <f>Source!AN40</f>
        <v>31.17</v>
      </c>
      <c r="G57" s="37" t="str">
        <f>Source!DF40</f>
        <v>*1,1</v>
      </c>
      <c r="H57" s="35">
        <f>Source!AV41</f>
        <v>1.0469999999999999</v>
      </c>
      <c r="I57" s="56">
        <f>Source!R40</f>
        <v>1.44</v>
      </c>
      <c r="J57" s="35">
        <f>IF(Source!BS41&lt;&gt; 0, Source!BS41, 1)</f>
        <v>54.99</v>
      </c>
      <c r="K57" s="56">
        <f>Source!R41</f>
        <v>79.19</v>
      </c>
    </row>
    <row r="58" spans="1:29" ht="14.25" x14ac:dyDescent="0.2">
      <c r="A58" s="34"/>
      <c r="B58" s="34"/>
      <c r="C58" s="34" t="s">
        <v>240</v>
      </c>
      <c r="D58" s="36"/>
      <c r="E58" s="35"/>
      <c r="F58" s="38">
        <f>Source!AL40</f>
        <v>318.27999999999997</v>
      </c>
      <c r="G58" s="37" t="str">
        <f>Source!DD40</f>
        <v/>
      </c>
      <c r="H58" s="35">
        <f>Source!AW41</f>
        <v>1</v>
      </c>
      <c r="I58" s="38">
        <f>Source!P40</f>
        <v>12.73</v>
      </c>
      <c r="J58" s="35">
        <f>IF(Source!BC41&lt;&gt; 0, Source!BC41, 1)</f>
        <v>9.11</v>
      </c>
      <c r="K58" s="38">
        <f>Source!P41</f>
        <v>115.97</v>
      </c>
    </row>
    <row r="59" spans="1:29" ht="14.25" x14ac:dyDescent="0.2">
      <c r="A59" s="34"/>
      <c r="B59" s="34"/>
      <c r="C59" s="34" t="s">
        <v>227</v>
      </c>
      <c r="D59" s="36" t="s">
        <v>228</v>
      </c>
      <c r="E59" s="35">
        <f>Source!BZ41</f>
        <v>108</v>
      </c>
      <c r="F59" s="38"/>
      <c r="G59" s="37"/>
      <c r="H59" s="35"/>
      <c r="I59" s="38">
        <f>SUM(Q53:Q58)</f>
        <v>36.99</v>
      </c>
      <c r="J59" s="35">
        <f>Source!AT41</f>
        <v>108</v>
      </c>
      <c r="K59" s="38">
        <f>SUM(R53:R58)</f>
        <v>2034.08</v>
      </c>
    </row>
    <row r="60" spans="1:29" ht="14.25" x14ac:dyDescent="0.2">
      <c r="A60" s="34"/>
      <c r="B60" s="34"/>
      <c r="C60" s="34" t="s">
        <v>229</v>
      </c>
      <c r="D60" s="36" t="s">
        <v>228</v>
      </c>
      <c r="E60" s="35">
        <f>Source!CA41</f>
        <v>55</v>
      </c>
      <c r="F60" s="38"/>
      <c r="G60" s="37"/>
      <c r="H60" s="35"/>
      <c r="I60" s="38">
        <f>SUM(S53:S59)</f>
        <v>18.84</v>
      </c>
      <c r="J60" s="35">
        <f>Source!AU41</f>
        <v>55</v>
      </c>
      <c r="K60" s="38">
        <f>SUM(T53:T59)</f>
        <v>1035.8800000000001</v>
      </c>
    </row>
    <row r="61" spans="1:29" ht="14.25" x14ac:dyDescent="0.2">
      <c r="A61" s="39"/>
      <c r="B61" s="39"/>
      <c r="C61" s="39" t="s">
        <v>230</v>
      </c>
      <c r="D61" s="40" t="s">
        <v>231</v>
      </c>
      <c r="E61" s="41">
        <f>Source!AQ40</f>
        <v>67.7</v>
      </c>
      <c r="F61" s="42"/>
      <c r="G61" s="43" t="str">
        <f>Source!DI40</f>
        <v>*1,1</v>
      </c>
      <c r="H61" s="41">
        <f>Source!AV41</f>
        <v>1.0469999999999999</v>
      </c>
      <c r="I61" s="42">
        <f>Source!U40</f>
        <v>3.1188036000000006</v>
      </c>
      <c r="J61" s="41"/>
      <c r="K61" s="42"/>
    </row>
    <row r="62" spans="1:29" ht="15" x14ac:dyDescent="0.2">
      <c r="C62" s="44" t="s">
        <v>232</v>
      </c>
      <c r="H62" s="45">
        <f>I55+I56+I58+I59+I60+0</f>
        <v>110.83000000000001</v>
      </c>
      <c r="I62" s="45"/>
      <c r="J62" s="45">
        <f>K55+K56+K58+K59+K60+0</f>
        <v>5144.3499999999995</v>
      </c>
      <c r="K62" s="45"/>
      <c r="O62" s="46">
        <f>I55+I56+I58+I59+I60+0</f>
        <v>110.83000000000001</v>
      </c>
      <c r="P62" s="46">
        <f>K55+K56+K58+K59+K60+0</f>
        <v>5144.3499999999995</v>
      </c>
    </row>
    <row r="64" spans="1:29" ht="68.25" x14ac:dyDescent="0.2">
      <c r="A64" s="47">
        <v>8</v>
      </c>
      <c r="B64" s="47" t="str">
        <f>Source!F42</f>
        <v>КА 4</v>
      </c>
      <c r="C64" s="47" t="s">
        <v>241</v>
      </c>
      <c r="D64" s="48" t="str">
        <f>Source!H42</f>
        <v>шт.</v>
      </c>
      <c r="E64" s="49">
        <f>Source!I42</f>
        <v>4</v>
      </c>
      <c r="F64" s="50">
        <f>Source!AL42</f>
        <v>1145.32</v>
      </c>
      <c r="G64" s="51" t="str">
        <f>Source!DD42</f>
        <v/>
      </c>
      <c r="H64" s="49">
        <f>Source!AW43</f>
        <v>1</v>
      </c>
      <c r="I64" s="50">
        <f>Source!P42</f>
        <v>4581.28</v>
      </c>
      <c r="J64" s="49">
        <f>IF(Source!BC43&lt;&gt; 0, Source!BC43, 1)</f>
        <v>7.66</v>
      </c>
      <c r="K64" s="50">
        <f>Source!P43</f>
        <v>35092.6</v>
      </c>
      <c r="Q64">
        <f>Source!X42</f>
        <v>0</v>
      </c>
      <c r="R64">
        <f>Source!X43</f>
        <v>0</v>
      </c>
      <c r="S64">
        <f>Source!Y42</f>
        <v>0</v>
      </c>
      <c r="T64">
        <f>Source!Y43</f>
        <v>0</v>
      </c>
      <c r="U64">
        <f>ROUND((175/100)*ROUND(Source!R42, 2), 2)</f>
        <v>0</v>
      </c>
      <c r="V64">
        <f>ROUND((0/100)*ROUND(Source!R43, 2), 2)</f>
        <v>0</v>
      </c>
      <c r="AC64">
        <v>5</v>
      </c>
    </row>
    <row r="65" spans="1:29" ht="15" x14ac:dyDescent="0.2">
      <c r="A65" s="52"/>
      <c r="B65" s="52"/>
      <c r="C65" s="53" t="s">
        <v>232</v>
      </c>
      <c r="D65" s="52"/>
      <c r="E65" s="52"/>
      <c r="F65" s="52"/>
      <c r="G65" s="52"/>
      <c r="H65" s="54">
        <f>I64+0</f>
        <v>4581.28</v>
      </c>
      <c r="I65" s="54"/>
      <c r="J65" s="54">
        <f>K64+0</f>
        <v>35092.6</v>
      </c>
      <c r="K65" s="54"/>
      <c r="O65" s="46">
        <f>I64+0</f>
        <v>4581.28</v>
      </c>
      <c r="P65" s="46">
        <f>K64+0</f>
        <v>35092.6</v>
      </c>
    </row>
    <row r="67" spans="1:29" ht="52.5" x14ac:dyDescent="0.2">
      <c r="A67" s="34">
        <v>9</v>
      </c>
      <c r="B67" s="34" t="s">
        <v>242</v>
      </c>
      <c r="C67" s="34" t="s">
        <v>68</v>
      </c>
      <c r="D67" s="36" t="str">
        <f>Source!H44</f>
        <v>100 м ограждений</v>
      </c>
      <c r="E67" s="35">
        <f>Source!I44</f>
        <v>0.02</v>
      </c>
      <c r="F67" s="38"/>
      <c r="G67" s="37"/>
      <c r="H67" s="35"/>
      <c r="I67" s="38"/>
      <c r="J67" s="35"/>
      <c r="K67" s="38"/>
      <c r="Q67">
        <f>Source!X44</f>
        <v>13.15</v>
      </c>
      <c r="R67">
        <f>Source!X45</f>
        <v>722.84</v>
      </c>
      <c r="S67">
        <f>Source!Y44</f>
        <v>8.7200000000000006</v>
      </c>
      <c r="T67">
        <f>Source!Y45</f>
        <v>479.7</v>
      </c>
      <c r="U67">
        <f>ROUND((175/100)*ROUND(Source!R44, 2), 2)</f>
        <v>0.28000000000000003</v>
      </c>
      <c r="V67">
        <f>ROUND((0/100)*ROUND(Source!R45, 2), 2)</f>
        <v>0</v>
      </c>
      <c r="AC67">
        <v>0</v>
      </c>
    </row>
    <row r="68" spans="1:29" x14ac:dyDescent="0.2">
      <c r="C68" s="55" t="str">
        <f>"Объем: "&amp;Source!I44&amp;"=2/"&amp;"100"</f>
        <v>Объем: 0,02=2/100</v>
      </c>
    </row>
    <row r="69" spans="1:29" ht="14.25" x14ac:dyDescent="0.2">
      <c r="A69" s="34"/>
      <c r="B69" s="34"/>
      <c r="C69" s="34" t="s">
        <v>225</v>
      </c>
      <c r="D69" s="36"/>
      <c r="E69" s="35"/>
      <c r="F69" s="38">
        <f>Source!AO44</f>
        <v>511.69</v>
      </c>
      <c r="G69" s="37" t="str">
        <f>Source!DG44</f>
        <v>*1,1</v>
      </c>
      <c r="H69" s="35">
        <f>Source!AV45</f>
        <v>1.0469999999999999</v>
      </c>
      <c r="I69" s="38">
        <f>Source!S44</f>
        <v>11.79</v>
      </c>
      <c r="J69" s="35">
        <f>IF(Source!BA45&lt;&gt; 0, Source!BA45, 1)</f>
        <v>54.99</v>
      </c>
      <c r="K69" s="38">
        <f>Source!S45</f>
        <v>648.33000000000004</v>
      </c>
    </row>
    <row r="70" spans="1:29" ht="14.25" x14ac:dyDescent="0.2">
      <c r="A70" s="34"/>
      <c r="B70" s="34"/>
      <c r="C70" s="34" t="s">
        <v>226</v>
      </c>
      <c r="D70" s="36"/>
      <c r="E70" s="35"/>
      <c r="F70" s="38">
        <f>Source!AM44</f>
        <v>58.27</v>
      </c>
      <c r="G70" s="37" t="str">
        <f>Source!DE44</f>
        <v>*1,1</v>
      </c>
      <c r="H70" s="35">
        <f>Source!AV45</f>
        <v>1.0469999999999999</v>
      </c>
      <c r="I70" s="38">
        <f>Source!Q44</f>
        <v>1.34</v>
      </c>
      <c r="J70" s="35">
        <f>IF(Source!BB45&lt;&gt; 0, Source!BB45, 1)</f>
        <v>14.73</v>
      </c>
      <c r="K70" s="38">
        <f>Source!Q45</f>
        <v>19.739999999999998</v>
      </c>
    </row>
    <row r="71" spans="1:29" ht="14.25" x14ac:dyDescent="0.2">
      <c r="A71" s="34"/>
      <c r="B71" s="34"/>
      <c r="C71" s="34" t="s">
        <v>239</v>
      </c>
      <c r="D71" s="36"/>
      <c r="E71" s="35"/>
      <c r="F71" s="38">
        <f>Source!AN44</f>
        <v>6.79</v>
      </c>
      <c r="G71" s="37" t="str">
        <f>Source!DF44</f>
        <v>*1,1</v>
      </c>
      <c r="H71" s="35">
        <f>Source!AV45</f>
        <v>1.0469999999999999</v>
      </c>
      <c r="I71" s="56">
        <f>Source!R44</f>
        <v>0.16</v>
      </c>
      <c r="J71" s="35">
        <f>IF(Source!BS45&lt;&gt; 0, Source!BS45, 1)</f>
        <v>54.99</v>
      </c>
      <c r="K71" s="56">
        <f>Source!R45</f>
        <v>8.8000000000000007</v>
      </c>
    </row>
    <row r="72" spans="1:29" ht="54" x14ac:dyDescent="0.2">
      <c r="A72" s="34" t="s">
        <v>73</v>
      </c>
      <c r="B72" s="34" t="str">
        <f>Source!F46</f>
        <v>КА 5</v>
      </c>
      <c r="C72" s="34" t="s">
        <v>243</v>
      </c>
      <c r="D72" s="36" t="str">
        <f>Source!H46</f>
        <v>м.п.</v>
      </c>
      <c r="E72" s="35">
        <f>Source!I46</f>
        <v>2</v>
      </c>
      <c r="F72" s="38">
        <f>Source!AK46</f>
        <v>3178.13</v>
      </c>
      <c r="G72" s="57" t="s">
        <v>3</v>
      </c>
      <c r="H72" s="35">
        <f>Source!AW47</f>
        <v>1</v>
      </c>
      <c r="I72" s="38">
        <f>Source!O46</f>
        <v>6356.26</v>
      </c>
      <c r="J72" s="35">
        <f>IF(Source!BC47&lt;&gt; 0, Source!BC47, 1)</f>
        <v>9.8800000000000008</v>
      </c>
      <c r="K72" s="38">
        <f>Source!O47</f>
        <v>62799.85</v>
      </c>
      <c r="Q72">
        <f>Source!X46</f>
        <v>0</v>
      </c>
      <c r="R72">
        <f>Source!X47</f>
        <v>0</v>
      </c>
      <c r="S72">
        <f>Source!Y46</f>
        <v>0</v>
      </c>
      <c r="T72">
        <f>Source!Y47</f>
        <v>0</v>
      </c>
      <c r="U72">
        <f>ROUND((175/100)*ROUND(Source!R46, 2), 2)</f>
        <v>0</v>
      </c>
      <c r="V72">
        <f>ROUND((0/100)*ROUND(Source!R47, 2), 2)</f>
        <v>0</v>
      </c>
      <c r="AC72">
        <v>3</v>
      </c>
    </row>
    <row r="73" spans="1:29" ht="39.75" x14ac:dyDescent="0.2">
      <c r="A73" s="34" t="s">
        <v>79</v>
      </c>
      <c r="B73" s="34" t="str">
        <f>Source!F48</f>
        <v>КА 6</v>
      </c>
      <c r="C73" s="34" t="s">
        <v>244</v>
      </c>
      <c r="D73" s="36" t="str">
        <f>Source!H48</f>
        <v>шт.</v>
      </c>
      <c r="E73" s="35">
        <f>Source!I48</f>
        <v>2</v>
      </c>
      <c r="F73" s="38">
        <f>Source!AK48</f>
        <v>9959.4800000000014</v>
      </c>
      <c r="G73" s="57" t="s">
        <v>3</v>
      </c>
      <c r="H73" s="35">
        <f>Source!AW49</f>
        <v>1</v>
      </c>
      <c r="I73" s="38">
        <f>Source!O48</f>
        <v>19918.96</v>
      </c>
      <c r="J73" s="35">
        <f>IF(Source!BC49&lt;&gt; 0, Source!BC49, 1)</f>
        <v>9.8800000000000008</v>
      </c>
      <c r="K73" s="38">
        <f>Source!O49</f>
        <v>196799.32</v>
      </c>
      <c r="Q73">
        <f>Source!X48</f>
        <v>0</v>
      </c>
      <c r="R73">
        <f>Source!X49</f>
        <v>0</v>
      </c>
      <c r="S73">
        <f>Source!Y48</f>
        <v>0</v>
      </c>
      <c r="T73">
        <f>Source!Y49</f>
        <v>0</v>
      </c>
      <c r="U73">
        <f>ROUND((175/100)*ROUND(Source!R48, 2), 2)</f>
        <v>0</v>
      </c>
      <c r="V73">
        <f>ROUND((0/100)*ROUND(Source!R49, 2), 2)</f>
        <v>0</v>
      </c>
      <c r="AC73">
        <v>3</v>
      </c>
    </row>
    <row r="74" spans="1:29" ht="14.25" x14ac:dyDescent="0.2">
      <c r="A74" s="34"/>
      <c r="B74" s="34"/>
      <c r="C74" s="34" t="s">
        <v>227</v>
      </c>
      <c r="D74" s="36" t="s">
        <v>228</v>
      </c>
      <c r="E74" s="35">
        <f>Source!BZ45</f>
        <v>110</v>
      </c>
      <c r="F74" s="38"/>
      <c r="G74" s="37"/>
      <c r="H74" s="35"/>
      <c r="I74" s="38">
        <f>SUM(Q67:Q73)</f>
        <v>13.15</v>
      </c>
      <c r="J74" s="35">
        <f>Source!AT45</f>
        <v>110</v>
      </c>
      <c r="K74" s="38">
        <f>SUM(R67:R73)</f>
        <v>722.84</v>
      </c>
    </row>
    <row r="75" spans="1:29" ht="14.25" x14ac:dyDescent="0.2">
      <c r="A75" s="34"/>
      <c r="B75" s="34"/>
      <c r="C75" s="34" t="s">
        <v>229</v>
      </c>
      <c r="D75" s="36" t="s">
        <v>228</v>
      </c>
      <c r="E75" s="35">
        <f>Source!CA45</f>
        <v>73</v>
      </c>
      <c r="F75" s="38"/>
      <c r="G75" s="37"/>
      <c r="H75" s="35"/>
      <c r="I75" s="38">
        <f>SUM(S67:S74)</f>
        <v>8.7200000000000006</v>
      </c>
      <c r="J75" s="35">
        <f>Source!AU45</f>
        <v>73</v>
      </c>
      <c r="K75" s="38">
        <f>SUM(T67:T74)</f>
        <v>479.7</v>
      </c>
    </row>
    <row r="76" spans="1:29" ht="14.25" x14ac:dyDescent="0.2">
      <c r="A76" s="39"/>
      <c r="B76" s="39"/>
      <c r="C76" s="39" t="s">
        <v>230</v>
      </c>
      <c r="D76" s="40" t="s">
        <v>231</v>
      </c>
      <c r="E76" s="41">
        <f>Source!AQ44</f>
        <v>41.5</v>
      </c>
      <c r="F76" s="42"/>
      <c r="G76" s="43" t="str">
        <f>Source!DI44</f>
        <v>*1,1</v>
      </c>
      <c r="H76" s="41">
        <f>Source!AV45</f>
        <v>1.0469999999999999</v>
      </c>
      <c r="I76" s="42">
        <f>Source!U44</f>
        <v>0.95591100000000018</v>
      </c>
      <c r="J76" s="41"/>
      <c r="K76" s="42"/>
    </row>
    <row r="77" spans="1:29" ht="15" x14ac:dyDescent="0.2">
      <c r="C77" s="44" t="s">
        <v>232</v>
      </c>
      <c r="H77" s="45">
        <f>I69+I70+I74+I75+SUM(I72:I73)</f>
        <v>26310.22</v>
      </c>
      <c r="I77" s="45"/>
      <c r="J77" s="45">
        <f>K69+K70+K74+K75+SUM(K72:K73)</f>
        <v>261469.78</v>
      </c>
      <c r="K77" s="45"/>
      <c r="O77" s="46">
        <f>I69+I70+I74+I75+SUM(I72:I73)</f>
        <v>26310.22</v>
      </c>
      <c r="P77" s="46">
        <f>K69+K70+K74+K75+SUM(K72:K73)</f>
        <v>261469.78</v>
      </c>
    </row>
    <row r="80" spans="1:29" ht="15" x14ac:dyDescent="0.25">
      <c r="A80" s="61" t="str">
        <f>CONCATENATE("Итого по разделу: ",IF(Source!G51&lt;&gt;"Новый раздел", Source!G51, ""))</f>
        <v>Итого по разделу: Оборудование</v>
      </c>
      <c r="B80" s="61"/>
      <c r="C80" s="61"/>
      <c r="D80" s="61"/>
      <c r="E80" s="61"/>
      <c r="F80" s="61"/>
      <c r="G80" s="61"/>
      <c r="H80" s="60">
        <f>SUM(O29:O79)</f>
        <v>376172.05000000005</v>
      </c>
      <c r="I80" s="59"/>
      <c r="J80" s="60">
        <f>SUM(P29:P79)</f>
        <v>2977265.5700000003</v>
      </c>
      <c r="K80" s="59"/>
    </row>
    <row r="81" spans="1:43" hidden="1" x14ac:dyDescent="0.2">
      <c r="A81" t="s">
        <v>245</v>
      </c>
      <c r="I81">
        <f>SUM(W29:W80)</f>
        <v>0</v>
      </c>
      <c r="J81">
        <f>SUM(X29:X80)</f>
        <v>0</v>
      </c>
    </row>
    <row r="82" spans="1:43" hidden="1" x14ac:dyDescent="0.2">
      <c r="A82" t="s">
        <v>246</v>
      </c>
      <c r="I82">
        <f>SUM(Y29:Y81)</f>
        <v>0</v>
      </c>
      <c r="J82">
        <f>SUM(Z29:Z81)</f>
        <v>0</v>
      </c>
    </row>
    <row r="84" spans="1:43" ht="30" x14ac:dyDescent="0.25">
      <c r="A84" s="61" t="str">
        <f>CONCATENATE("Итого по локальной смете: ",IF(Source!G81&lt;&gt;"Новая локальная смета", Source!G81, ""))</f>
        <v>Итого по локальной смете: Мероприятия по противодействию террористическим актам</v>
      </c>
      <c r="B84" s="61"/>
      <c r="C84" s="61"/>
      <c r="D84" s="61"/>
      <c r="E84" s="61"/>
      <c r="F84" s="61"/>
      <c r="G84" s="61"/>
      <c r="H84" s="60">
        <f>SUM(O28:O83)</f>
        <v>376172.05000000005</v>
      </c>
      <c r="I84" s="59"/>
      <c r="J84" s="60">
        <f>SUM(P28:P83)</f>
        <v>2977265.5700000003</v>
      </c>
      <c r="K84" s="59"/>
      <c r="AQ84" s="62" t="str">
        <f>CONCATENATE("Итого по локальной смете: ",IF(Source!G81&lt;&gt;"Новая локальная смета", Source!G81, ""))</f>
        <v>Итого по локальной смете: Мероприятия по противодействию террористическим актам</v>
      </c>
    </row>
    <row r="85" spans="1:43" hidden="1" x14ac:dyDescent="0.2">
      <c r="A85" t="s">
        <v>245</v>
      </c>
      <c r="I85">
        <f>SUM(W28:W84)</f>
        <v>0</v>
      </c>
      <c r="J85">
        <f>SUM(X28:X84)</f>
        <v>0</v>
      </c>
    </row>
    <row r="86" spans="1:43" hidden="1" x14ac:dyDescent="0.2">
      <c r="A86" t="s">
        <v>246</v>
      </c>
      <c r="I86">
        <f>SUM(Y28:Y85)</f>
        <v>0</v>
      </c>
      <c r="J86">
        <f>SUM(Z28:Z85)</f>
        <v>0</v>
      </c>
    </row>
    <row r="89" spans="1:43" ht="14.25" x14ac:dyDescent="0.2">
      <c r="A89" s="63" t="s">
        <v>248</v>
      </c>
      <c r="B89" s="63"/>
      <c r="C89" s="64" t="str">
        <f>IF(Source!AC12&lt;&gt;"", Source!AC12," ")</f>
        <v xml:space="preserve"> </v>
      </c>
      <c r="D89" s="64"/>
      <c r="E89" s="64"/>
      <c r="F89" s="64"/>
      <c r="G89" s="64"/>
      <c r="H89" s="24" t="str">
        <f>IF(Source!AB12&lt;&gt;"", Source!AB12," ")</f>
        <v>Кузнецова Е.А.</v>
      </c>
      <c r="I89" s="24"/>
      <c r="J89" s="24"/>
      <c r="K89" s="24"/>
    </row>
    <row r="90" spans="1:43" ht="14.25" x14ac:dyDescent="0.2">
      <c r="A90" s="11"/>
      <c r="B90" s="11"/>
      <c r="C90" s="13" t="s">
        <v>249</v>
      </c>
      <c r="D90" s="13"/>
      <c r="E90" s="13"/>
      <c r="F90" s="13"/>
      <c r="G90" s="13"/>
      <c r="H90" s="11"/>
      <c r="I90" s="11"/>
      <c r="J90" s="11"/>
      <c r="K90" s="11"/>
    </row>
    <row r="91" spans="1:43" ht="14.25" x14ac:dyDescent="0.2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</row>
    <row r="92" spans="1:43" ht="14.25" x14ac:dyDescent="0.2">
      <c r="A92" s="63" t="s">
        <v>250</v>
      </c>
      <c r="B92" s="63"/>
      <c r="C92" s="64" t="str">
        <f>IF(Source!AE12&lt;&gt;"", Source!AE12," ")</f>
        <v xml:space="preserve"> </v>
      </c>
      <c r="D92" s="64"/>
      <c r="E92" s="64"/>
      <c r="F92" s="64"/>
      <c r="G92" s="64"/>
      <c r="H92" s="24" t="str">
        <f>IF(Source!AD12&lt;&gt;"", Source!AD12," ")</f>
        <v xml:space="preserve"> </v>
      </c>
      <c r="I92" s="24"/>
      <c r="J92" s="24"/>
      <c r="K92" s="24"/>
    </row>
    <row r="93" spans="1:43" ht="14.25" x14ac:dyDescent="0.2">
      <c r="A93" s="11"/>
      <c r="B93" s="11"/>
      <c r="C93" s="13" t="s">
        <v>249</v>
      </c>
      <c r="D93" s="13"/>
      <c r="E93" s="13"/>
      <c r="F93" s="13"/>
      <c r="G93" s="13"/>
      <c r="H93" s="11"/>
      <c r="I93" s="11"/>
      <c r="J93" s="11"/>
      <c r="K93" s="11"/>
    </row>
  </sheetData>
  <mergeCells count="48">
    <mergeCell ref="A89:B89"/>
    <mergeCell ref="H89:K89"/>
    <mergeCell ref="C90:G90"/>
    <mergeCell ref="A92:B92"/>
    <mergeCell ref="H92:K92"/>
    <mergeCell ref="C93:G93"/>
    <mergeCell ref="J80:K80"/>
    <mergeCell ref="H80:I80"/>
    <mergeCell ref="A80:G80"/>
    <mergeCell ref="J84:K84"/>
    <mergeCell ref="H84:I84"/>
    <mergeCell ref="A84:G84"/>
    <mergeCell ref="H62:I62"/>
    <mergeCell ref="J62:K62"/>
    <mergeCell ref="H65:I65"/>
    <mergeCell ref="J65:K65"/>
    <mergeCell ref="H77:I77"/>
    <mergeCell ref="J77:K77"/>
    <mergeCell ref="H45:I45"/>
    <mergeCell ref="J45:K45"/>
    <mergeCell ref="H48:I48"/>
    <mergeCell ref="J48:K48"/>
    <mergeCell ref="H51:I51"/>
    <mergeCell ref="J51:K51"/>
    <mergeCell ref="H36:I36"/>
    <mergeCell ref="J36:K36"/>
    <mergeCell ref="H39:I39"/>
    <mergeCell ref="J39:K39"/>
    <mergeCell ref="H42:I42"/>
    <mergeCell ref="J42:K42"/>
    <mergeCell ref="E20:H20"/>
    <mergeCell ref="E21:H21"/>
    <mergeCell ref="E22:H22"/>
    <mergeCell ref="A25:K25"/>
    <mergeCell ref="J2:K2"/>
    <mergeCell ref="A29:K29"/>
    <mergeCell ref="E14:H14"/>
    <mergeCell ref="E15:H15"/>
    <mergeCell ref="E16:H16"/>
    <mergeCell ref="E17:H17"/>
    <mergeCell ref="E18:H18"/>
    <mergeCell ref="E19:H19"/>
    <mergeCell ref="A3:K3"/>
    <mergeCell ref="A4:K4"/>
    <mergeCell ref="A6:K6"/>
    <mergeCell ref="A8:K8"/>
    <mergeCell ref="A9:K9"/>
    <mergeCell ref="A11:K11"/>
  </mergeCells>
  <pageMargins left="0.4" right="0.2" top="0.2" bottom="0.4" header="0.2" footer="0.2"/>
  <pageSetup paperSize="9" scale="70" fitToHeight="0" orientation="portrait" r:id="rId1"/>
  <headerFooter>
    <oddHeader>&amp;L&amp;8</oddHeader>
    <oddFooter>&amp;R&amp;P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C101B-F779-41AB-9660-31115A2A28A4}">
  <sheetPr>
    <pageSetUpPr fitToPage="1"/>
  </sheetPr>
  <dimension ref="A1:H35"/>
  <sheetViews>
    <sheetView zoomScaleNormal="100" workbookViewId="0"/>
  </sheetViews>
  <sheetFormatPr defaultRowHeight="12.75" x14ac:dyDescent="0.2"/>
  <cols>
    <col min="1" max="2" width="6.7109375" customWidth="1"/>
    <col min="3" max="3" width="75.7109375" customWidth="1"/>
    <col min="4" max="8" width="15.7109375" customWidth="1"/>
    <col min="30" max="32" width="0" hidden="1" customWidth="1"/>
  </cols>
  <sheetData>
    <row r="1" spans="1:8" x14ac:dyDescent="0.2">
      <c r="A1" s="10" t="str">
        <f>Source!B1</f>
        <v>Smeta.RU  (495) 974-1589</v>
      </c>
    </row>
    <row r="2" spans="1:8" ht="14.25" x14ac:dyDescent="0.2">
      <c r="D2" s="11"/>
      <c r="E2" s="11"/>
    </row>
    <row r="3" spans="1:8" ht="15" x14ac:dyDescent="0.25">
      <c r="D3" s="11"/>
      <c r="E3" s="58" t="s">
        <v>251</v>
      </c>
    </row>
    <row r="4" spans="1:8" ht="15" x14ac:dyDescent="0.25">
      <c r="D4" s="58"/>
      <c r="E4" s="58"/>
    </row>
    <row r="5" spans="1:8" ht="15" x14ac:dyDescent="0.25">
      <c r="D5" s="65" t="s">
        <v>252</v>
      </c>
      <c r="E5" s="65"/>
    </row>
    <row r="6" spans="1:8" ht="15" x14ac:dyDescent="0.25">
      <c r="D6" s="58"/>
      <c r="E6" s="58"/>
    </row>
    <row r="7" spans="1:8" ht="15" x14ac:dyDescent="0.25">
      <c r="D7" s="65" t="s">
        <v>252</v>
      </c>
      <c r="E7" s="65"/>
    </row>
    <row r="8" spans="1:8" ht="15" x14ac:dyDescent="0.25">
      <c r="D8" s="58"/>
      <c r="E8" s="58"/>
    </row>
    <row r="9" spans="1:8" ht="15" x14ac:dyDescent="0.25">
      <c r="D9" s="58" t="s">
        <v>253</v>
      </c>
      <c r="E9" s="11"/>
    </row>
    <row r="10" spans="1:8" ht="14.25" x14ac:dyDescent="0.2">
      <c r="D10" s="11"/>
      <c r="E10" s="11"/>
    </row>
    <row r="12" spans="1:8" ht="15.75" x14ac:dyDescent="0.2">
      <c r="B12" s="66" t="str">
        <f>CONCATENATE("Ведомость объемов работ ", IF(Source!AN15&lt;&gt;"", Source!AN15," "))</f>
        <v xml:space="preserve">Ведомость объемов работ  </v>
      </c>
      <c r="C12" s="66"/>
      <c r="D12" s="66"/>
      <c r="E12" s="66"/>
    </row>
    <row r="13" spans="1:8" ht="15" x14ac:dyDescent="0.2">
      <c r="B13" s="67" t="str">
        <f>CONCATENATE(Source!F12, " ", Source!G12)</f>
        <v>Новый объект (ТСН-2001 (Мосгосэкспертиза)) 02-01-20 ПТА</v>
      </c>
      <c r="C13" s="67"/>
      <c r="D13" s="67"/>
      <c r="E13" s="67"/>
    </row>
    <row r="14" spans="1:8" hidden="1" x14ac:dyDescent="0.2"/>
    <row r="16" spans="1:8" ht="99.75" x14ac:dyDescent="0.2">
      <c r="A16" s="29" t="s">
        <v>209</v>
      </c>
      <c r="B16" s="29" t="s">
        <v>254</v>
      </c>
      <c r="C16" s="29" t="s">
        <v>211</v>
      </c>
      <c r="D16" s="29" t="s">
        <v>255</v>
      </c>
      <c r="E16" s="29" t="s">
        <v>256</v>
      </c>
      <c r="F16" s="29" t="s">
        <v>257</v>
      </c>
      <c r="G16" s="29" t="s">
        <v>258</v>
      </c>
      <c r="H16" s="29" t="s">
        <v>259</v>
      </c>
    </row>
    <row r="17" spans="1:8" ht="14.25" x14ac:dyDescent="0.2">
      <c r="A17" s="29">
        <v>1</v>
      </c>
      <c r="B17" s="29">
        <v>2</v>
      </c>
      <c r="C17" s="29">
        <v>3</v>
      </c>
      <c r="D17" s="29">
        <v>4</v>
      </c>
      <c r="E17" s="29">
        <v>5</v>
      </c>
      <c r="F17" s="29">
        <v>6</v>
      </c>
      <c r="G17" s="29">
        <v>7</v>
      </c>
      <c r="H17" s="29">
        <v>8</v>
      </c>
    </row>
    <row r="18" spans="1:8" ht="16.5" x14ac:dyDescent="0.25">
      <c r="A18" s="68" t="str">
        <f>CONCATENATE("Локальная смета: ", Source!G20)</f>
        <v>Локальная смета: Мероприятия по противодействию террористическим актам</v>
      </c>
      <c r="B18" s="68"/>
      <c r="C18" s="68"/>
      <c r="D18" s="68"/>
      <c r="E18" s="68"/>
      <c r="F18" s="68"/>
      <c r="G18" s="68"/>
      <c r="H18" s="68"/>
    </row>
    <row r="19" spans="1:8" ht="16.5" x14ac:dyDescent="0.25">
      <c r="A19" s="68" t="str">
        <f>CONCATENATE("Раздел: ", Source!G24)</f>
        <v>Раздел: Оборудование</v>
      </c>
      <c r="B19" s="68"/>
      <c r="C19" s="68"/>
      <c r="D19" s="68"/>
      <c r="E19" s="68"/>
      <c r="F19" s="68"/>
      <c r="G19" s="68"/>
      <c r="H19" s="68"/>
    </row>
    <row r="20" spans="1:8" ht="14.25" x14ac:dyDescent="0.2">
      <c r="A20" s="29">
        <v>1</v>
      </c>
      <c r="B20" s="29" t="str">
        <f>Source!E28</f>
        <v>1</v>
      </c>
      <c r="C20" s="71" t="str">
        <f>Source!G28</f>
        <v>Монтаж стационарного металлодетектора арочного типа</v>
      </c>
      <c r="D20" s="29" t="s">
        <v>23</v>
      </c>
      <c r="E20" s="72">
        <f>Source!I28</f>
        <v>2</v>
      </c>
      <c r="F20" s="29" t="str">
        <f>Source!U24</f>
        <v/>
      </c>
      <c r="G20" s="29">
        <f>Source!I28</f>
        <v>2</v>
      </c>
      <c r="H20" s="71"/>
    </row>
    <row r="21" spans="1:8" ht="14.25" x14ac:dyDescent="0.2">
      <c r="A21" s="29">
        <v>2</v>
      </c>
      <c r="B21" s="29" t="str">
        <f>Source!E30</f>
        <v>2</v>
      </c>
      <c r="C21" s="71" t="str">
        <f>Source!G30</f>
        <v>Металлодетектор арочный Паутина-Н2-1</v>
      </c>
      <c r="D21" s="29" t="s">
        <v>34</v>
      </c>
      <c r="E21" s="72">
        <f>Source!I30</f>
        <v>2</v>
      </c>
      <c r="F21" s="29" t="str">
        <f>Source!U24</f>
        <v/>
      </c>
      <c r="G21" s="29">
        <f>Source!I30</f>
        <v>2</v>
      </c>
      <c r="H21" s="71"/>
    </row>
    <row r="22" spans="1:8" ht="14.25" x14ac:dyDescent="0.2">
      <c r="A22" s="29">
        <v>3</v>
      </c>
      <c r="B22" s="29" t="str">
        <f>Source!E32</f>
        <v>3</v>
      </c>
      <c r="C22" s="71" t="str">
        <f>Source!G32</f>
        <v>Ручной металлодетектор «СФИНКС ВМ-611 РД-2.0»</v>
      </c>
      <c r="D22" s="29" t="s">
        <v>34</v>
      </c>
      <c r="E22" s="72">
        <f>Source!I32</f>
        <v>3</v>
      </c>
      <c r="F22" s="29" t="str">
        <f>Source!U24</f>
        <v/>
      </c>
      <c r="G22" s="29">
        <f>Source!I32</f>
        <v>3</v>
      </c>
      <c r="H22" s="71"/>
    </row>
    <row r="23" spans="1:8" ht="14.25" x14ac:dyDescent="0.2">
      <c r="A23" s="29">
        <v>4</v>
      </c>
      <c r="B23" s="29" t="str">
        <f>Source!E34</f>
        <v>4</v>
      </c>
      <c r="C23" s="71" t="str">
        <f>Source!G34</f>
        <v>Газоанализатор паров взрывчатых веществ «Кербер-Т»</v>
      </c>
      <c r="D23" s="29" t="s">
        <v>34</v>
      </c>
      <c r="E23" s="72">
        <f>Source!I34</f>
        <v>1</v>
      </c>
      <c r="F23" s="29" t="str">
        <f>Source!U24</f>
        <v/>
      </c>
      <c r="G23" s="29">
        <f>Source!I34</f>
        <v>1</v>
      </c>
      <c r="H23" s="71"/>
    </row>
    <row r="24" spans="1:8" ht="71.25" x14ac:dyDescent="0.2">
      <c r="A24" s="29">
        <v>5</v>
      </c>
      <c r="B24" s="29" t="str">
        <f>Source!E36</f>
        <v>5</v>
      </c>
      <c r="C24" s="71" t="str">
        <f>Source!G36</f>
        <v>Устройство для защиты от взрыва типа Фонтан-2 10У. Мобильное устройство для подавления не более 1000 г ТНТ, локализуемый объем до 15 дм3, выполнено в форме купола с двумя ручками, стенки и верх купола наполнены специальным диспенсером, поглощающим тепловую и ударную волну, габаритные размеры 610х610х365 мм</v>
      </c>
      <c r="D24" s="29" t="s">
        <v>34</v>
      </c>
      <c r="E24" s="72">
        <f>Source!I36</f>
        <v>1</v>
      </c>
      <c r="F24" s="29" t="str">
        <f>Source!U24</f>
        <v/>
      </c>
      <c r="G24" s="29">
        <f>Source!I36</f>
        <v>1</v>
      </c>
      <c r="H24" s="71"/>
    </row>
    <row r="25" spans="1:8" ht="85.5" x14ac:dyDescent="0.2">
      <c r="A25" s="29">
        <v>6</v>
      </c>
      <c r="B25" s="29" t="str">
        <f>Source!E38</f>
        <v>6</v>
      </c>
      <c r="C25" s="71" t="str">
        <f>Source!G38</f>
        <v>Устройство досмотровое (зеркало) для осмотра грузов, транспортных средств, неосвещенных и труднодоступных мест в помещениях. В составе: телескопическая штанга со встроенными светодиодами, с регулировкой длины от 600 до 1850 мм, набор зеркал различного размера и формы - 4 шт. Время непрерывной работы светодиодов не менее 9 часов, диапазон рабочих температур от -20 до +50°С</v>
      </c>
      <c r="D25" s="29" t="s">
        <v>52</v>
      </c>
      <c r="E25" s="72">
        <f>Source!I38</f>
        <v>1</v>
      </c>
      <c r="F25" s="29" t="str">
        <f>Source!U24</f>
        <v/>
      </c>
      <c r="G25" s="29">
        <f>Source!I38</f>
        <v>1</v>
      </c>
      <c r="H25" s="71"/>
    </row>
    <row r="26" spans="1:8" ht="28.5" x14ac:dyDescent="0.2">
      <c r="A26" s="29">
        <v>7</v>
      </c>
      <c r="B26" s="29" t="str">
        <f>Source!E40</f>
        <v>7</v>
      </c>
      <c r="C26" s="71" t="str">
        <f>Source!G40</f>
        <v>Установка штучных изделий столов, шкафов под мойки, холодильных шкафов и других</v>
      </c>
      <c r="D26" s="29" t="s">
        <v>56</v>
      </c>
      <c r="E26" s="72">
        <f>Source!I40</f>
        <v>0.04</v>
      </c>
      <c r="F26" s="29" t="str">
        <f>Source!U24</f>
        <v/>
      </c>
      <c r="G26" s="29" t="str">
        <f>"=4/"&amp;"100"</f>
        <v>=4/100</v>
      </c>
      <c r="H26" s="71"/>
    </row>
    <row r="27" spans="1:8" ht="14.25" x14ac:dyDescent="0.2">
      <c r="A27" s="29">
        <v>8</v>
      </c>
      <c r="B27" s="29" t="str">
        <f>Source!E42</f>
        <v>8</v>
      </c>
      <c r="C27" s="71" t="str">
        <f>Source!G42</f>
        <v>Стол досмотровый СД-950 (500х400х900)</v>
      </c>
      <c r="D27" s="29" t="s">
        <v>34</v>
      </c>
      <c r="E27" s="72">
        <f>Source!I42</f>
        <v>4</v>
      </c>
      <c r="F27" s="29" t="str">
        <f>Source!U24</f>
        <v/>
      </c>
      <c r="G27" s="29">
        <f>Source!I42</f>
        <v>4</v>
      </c>
      <c r="H27" s="71"/>
    </row>
    <row r="28" spans="1:8" ht="28.5" x14ac:dyDescent="0.2">
      <c r="A28" s="29">
        <v>9</v>
      </c>
      <c r="B28" s="29" t="str">
        <f>Source!E44</f>
        <v>9</v>
      </c>
      <c r="C28" s="71" t="str">
        <f>Source!G44</f>
        <v>Установка металлических ограждений без поручня</v>
      </c>
      <c r="D28" s="29" t="s">
        <v>69</v>
      </c>
      <c r="E28" s="72">
        <f>Source!I44</f>
        <v>0.02</v>
      </c>
      <c r="F28" s="29" t="str">
        <f>Source!U24</f>
        <v/>
      </c>
      <c r="G28" s="29" t="str">
        <f>"=2/"&amp;"100"</f>
        <v>=2/100</v>
      </c>
      <c r="H28" s="71"/>
    </row>
    <row r="29" spans="1:8" ht="14.25" x14ac:dyDescent="0.2">
      <c r="A29" s="29">
        <v>9.1</v>
      </c>
      <c r="B29" s="29" t="str">
        <f>Source!E46</f>
        <v>9,1</v>
      </c>
      <c r="C29" s="71" t="str">
        <f>Source!G46</f>
        <v>Ограждение полуростовое BH02 PERCo</v>
      </c>
      <c r="D29" s="29" t="s">
        <v>76</v>
      </c>
      <c r="E29" s="72">
        <f>Source!I46</f>
        <v>2</v>
      </c>
      <c r="F29" s="29" t="str">
        <f>Source!U24</f>
        <v/>
      </c>
      <c r="G29" s="29"/>
      <c r="H29" s="71"/>
    </row>
    <row r="30" spans="1:8" ht="14.25" x14ac:dyDescent="0.2">
      <c r="A30" s="28">
        <v>9.1999999999999993</v>
      </c>
      <c r="B30" s="28" t="str">
        <f>Source!E48</f>
        <v>9,2</v>
      </c>
      <c r="C30" s="69" t="str">
        <f>Source!G48</f>
        <v>Калитка одностворчатая PERCo</v>
      </c>
      <c r="D30" s="28" t="s">
        <v>34</v>
      </c>
      <c r="E30" s="70">
        <f>Source!I48</f>
        <v>2</v>
      </c>
      <c r="F30" s="28" t="str">
        <f>Source!U24</f>
        <v/>
      </c>
      <c r="G30" s="28"/>
      <c r="H30" s="69"/>
    </row>
    <row r="33" spans="3:5" ht="15" x14ac:dyDescent="0.25">
      <c r="C33" s="73" t="s">
        <v>260</v>
      </c>
      <c r="D33" s="73" t="str">
        <f>IF(Source!X12&lt;&gt;"", Source!X12," ")</f>
        <v xml:space="preserve"> </v>
      </c>
      <c r="E33" s="23"/>
    </row>
    <row r="34" spans="3:5" ht="15" x14ac:dyDescent="0.25">
      <c r="C34" s="11"/>
      <c r="D34" s="23"/>
      <c r="E34" s="23"/>
    </row>
    <row r="35" spans="3:5" ht="15" x14ac:dyDescent="0.25">
      <c r="C35" s="73" t="s">
        <v>261</v>
      </c>
      <c r="D35" s="73" t="str">
        <f>IF(Source!AB12&lt;&gt;"", Source!AB12," ")</f>
        <v>Кузнецова Е.А.</v>
      </c>
      <c r="E35" s="23"/>
    </row>
  </sheetData>
  <mergeCells count="6">
    <mergeCell ref="D5:E5"/>
    <mergeCell ref="D7:E7"/>
    <mergeCell ref="B12:E12"/>
    <mergeCell ref="B13:E13"/>
    <mergeCell ref="A18:H18"/>
    <mergeCell ref="A19:H19"/>
  </mergeCells>
  <pageMargins left="0.4" right="0.2" top="0.2" bottom="0.4" header="0.2" footer="0.2"/>
  <pageSetup paperSize="9" scale="59" fitToHeight="0" orientation="portrait" r:id="rId1"/>
  <headerFooter>
    <oddHeader>&amp;L&amp;8</oddHeader>
    <oddFooter>&amp;R&amp;P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U158"/>
  <sheetViews>
    <sheetView workbookViewId="0">
      <selection activeCell="A154" sqref="A154:AX154"/>
    </sheetView>
  </sheetViews>
  <sheetFormatPr defaultColWidth="9.140625" defaultRowHeight="12.75" x14ac:dyDescent="0.2"/>
  <cols>
    <col min="1" max="256" width="9.140625" customWidth="1"/>
  </cols>
  <sheetData>
    <row r="1" spans="1:133" x14ac:dyDescent="0.2">
      <c r="A1">
        <v>0</v>
      </c>
      <c r="B1" t="s">
        <v>0</v>
      </c>
      <c r="D1" t="s">
        <v>1</v>
      </c>
      <c r="F1">
        <v>0</v>
      </c>
      <c r="G1">
        <v>0</v>
      </c>
      <c r="H1">
        <v>0</v>
      </c>
      <c r="I1" t="s">
        <v>2</v>
      </c>
      <c r="J1" t="s">
        <v>3</v>
      </c>
      <c r="K1">
        <v>1</v>
      </c>
      <c r="L1">
        <v>74402</v>
      </c>
      <c r="M1">
        <v>10</v>
      </c>
      <c r="N1">
        <v>12</v>
      </c>
      <c r="O1">
        <v>0</v>
      </c>
      <c r="P1">
        <v>0</v>
      </c>
      <c r="Q1">
        <v>3</v>
      </c>
    </row>
    <row r="4" spans="1:133" x14ac:dyDescent="0.2">
      <c r="A4" s="1">
        <v>1</v>
      </c>
      <c r="B4" s="1">
        <v>1</v>
      </c>
      <c r="C4" s="1">
        <v>-1</v>
      </c>
      <c r="D4" s="1"/>
      <c r="E4" s="1"/>
      <c r="F4" s="1"/>
      <c r="G4" s="1" t="s">
        <v>4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>
        <v>0</v>
      </c>
    </row>
    <row r="12" spans="1:133" x14ac:dyDescent="0.2">
      <c r="A12" s="1">
        <v>1</v>
      </c>
      <c r="B12" s="1">
        <v>150</v>
      </c>
      <c r="C12" s="1">
        <v>0</v>
      </c>
      <c r="D12" s="1">
        <f>ROW(A111)</f>
        <v>111</v>
      </c>
      <c r="E12" s="1">
        <v>0</v>
      </c>
      <c r="F12" s="1" t="s">
        <v>5</v>
      </c>
      <c r="G12" s="1" t="s">
        <v>6</v>
      </c>
      <c r="H12" s="1" t="s">
        <v>3</v>
      </c>
      <c r="I12" s="1">
        <v>0</v>
      </c>
      <c r="J12" s="1" t="s">
        <v>3</v>
      </c>
      <c r="K12" s="1">
        <v>0</v>
      </c>
      <c r="L12" s="1">
        <v>0</v>
      </c>
      <c r="M12" s="1">
        <v>4098</v>
      </c>
      <c r="N12" s="1"/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1</v>
      </c>
      <c r="U12" s="1" t="s">
        <v>3</v>
      </c>
      <c r="V12" s="1">
        <v>0</v>
      </c>
      <c r="W12" s="1" t="s">
        <v>3</v>
      </c>
      <c r="X12" s="1" t="s">
        <v>3</v>
      </c>
      <c r="Y12" s="1" t="s">
        <v>3</v>
      </c>
      <c r="Z12" s="1" t="s">
        <v>3</v>
      </c>
      <c r="AA12" s="1" t="s">
        <v>3</v>
      </c>
      <c r="AB12" s="1" t="s">
        <v>7</v>
      </c>
      <c r="AC12" s="1" t="s">
        <v>3</v>
      </c>
      <c r="AD12" s="1" t="s">
        <v>3</v>
      </c>
      <c r="AE12" s="1" t="s">
        <v>3</v>
      </c>
      <c r="AF12" s="1" t="s">
        <v>3</v>
      </c>
      <c r="AG12" s="1" t="s">
        <v>3</v>
      </c>
      <c r="AH12" s="1" t="s">
        <v>3</v>
      </c>
      <c r="AI12" s="1" t="s">
        <v>3</v>
      </c>
      <c r="AJ12" s="1" t="s">
        <v>3</v>
      </c>
      <c r="AK12" s="1"/>
      <c r="AL12" s="1" t="s">
        <v>3</v>
      </c>
      <c r="AM12" s="1" t="s">
        <v>3</v>
      </c>
      <c r="AN12" s="1" t="s">
        <v>3</v>
      </c>
      <c r="AO12" s="1"/>
      <c r="AP12" s="1" t="s">
        <v>3</v>
      </c>
      <c r="AQ12" s="1" t="s">
        <v>3</v>
      </c>
      <c r="AR12" s="1" t="s">
        <v>3</v>
      </c>
      <c r="AS12" s="1"/>
      <c r="AT12" s="1"/>
      <c r="AU12" s="1"/>
      <c r="AV12" s="1"/>
      <c r="AW12" s="1"/>
      <c r="AX12" s="1" t="s">
        <v>3</v>
      </c>
      <c r="AY12" s="1" t="s">
        <v>3</v>
      </c>
      <c r="AZ12" s="1" t="s">
        <v>3</v>
      </c>
      <c r="BA12" s="1"/>
      <c r="BB12" s="1">
        <v>0</v>
      </c>
      <c r="BC12" s="1"/>
      <c r="BD12" s="1"/>
      <c r="BE12" s="1"/>
      <c r="BF12" s="1"/>
      <c r="BG12" s="1"/>
      <c r="BH12" s="1" t="s">
        <v>8</v>
      </c>
      <c r="BI12" s="1" t="s">
        <v>9</v>
      </c>
      <c r="BJ12" s="1">
        <v>1</v>
      </c>
      <c r="BK12" s="1">
        <v>1</v>
      </c>
      <c r="BL12" s="1">
        <v>0</v>
      </c>
      <c r="BM12" s="1">
        <v>0</v>
      </c>
      <c r="BN12" s="1">
        <v>1</v>
      </c>
      <c r="BO12" s="1">
        <v>0</v>
      </c>
      <c r="BP12" s="1">
        <v>6</v>
      </c>
      <c r="BQ12" s="1">
        <v>2</v>
      </c>
      <c r="BR12" s="1">
        <v>1</v>
      </c>
      <c r="BS12" s="1">
        <v>1</v>
      </c>
      <c r="BT12" s="1">
        <v>0</v>
      </c>
      <c r="BU12" s="1">
        <v>0</v>
      </c>
      <c r="BV12" s="1">
        <v>1</v>
      </c>
      <c r="BW12" s="1">
        <v>0</v>
      </c>
      <c r="BX12" s="1">
        <v>0</v>
      </c>
      <c r="BY12" s="1" t="s">
        <v>3</v>
      </c>
      <c r="BZ12" s="1" t="s">
        <v>10</v>
      </c>
      <c r="CA12" s="1" t="s">
        <v>11</v>
      </c>
      <c r="CB12" s="1" t="s">
        <v>11</v>
      </c>
      <c r="CC12" s="1" t="s">
        <v>11</v>
      </c>
      <c r="CD12" s="1" t="s">
        <v>11</v>
      </c>
      <c r="CE12" s="1" t="s">
        <v>12</v>
      </c>
      <c r="CF12" s="1">
        <v>0</v>
      </c>
      <c r="CG12" s="1">
        <v>0</v>
      </c>
      <c r="CH12" s="1">
        <v>327688</v>
      </c>
      <c r="CI12" s="1" t="s">
        <v>3</v>
      </c>
      <c r="CJ12" s="1" t="s">
        <v>3</v>
      </c>
      <c r="CK12" s="1">
        <v>80</v>
      </c>
      <c r="CL12" s="1"/>
      <c r="CM12" s="1"/>
      <c r="CN12" s="1"/>
      <c r="CO12" s="1"/>
      <c r="CP12" s="1"/>
      <c r="CQ12" s="1" t="s">
        <v>13</v>
      </c>
      <c r="CR12" s="1" t="s">
        <v>14</v>
      </c>
      <c r="CS12" s="1">
        <v>41660</v>
      </c>
      <c r="CT12" s="1">
        <v>1</v>
      </c>
      <c r="CU12" s="1">
        <v>80</v>
      </c>
      <c r="CV12" s="1"/>
      <c r="CW12" s="1"/>
      <c r="CX12" s="1"/>
      <c r="CY12" s="1">
        <v>0</v>
      </c>
      <c r="CZ12" s="1" t="s">
        <v>3</v>
      </c>
      <c r="DA12" s="1" t="s">
        <v>3</v>
      </c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>
        <v>0</v>
      </c>
    </row>
    <row r="15" spans="1:133" x14ac:dyDescent="0.2">
      <c r="A15" s="1">
        <v>15</v>
      </c>
      <c r="B15" s="1">
        <v>1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</row>
    <row r="18" spans="1:255" x14ac:dyDescent="0.2">
      <c r="A18" s="3">
        <v>52</v>
      </c>
      <c r="B18" s="3">
        <f t="shared" ref="B18:G18" si="0">B111</f>
        <v>150</v>
      </c>
      <c r="C18" s="3">
        <f t="shared" si="0"/>
        <v>1</v>
      </c>
      <c r="D18" s="3">
        <f t="shared" si="0"/>
        <v>12</v>
      </c>
      <c r="E18" s="3">
        <f t="shared" si="0"/>
        <v>0</v>
      </c>
      <c r="F18" s="3" t="str">
        <f t="shared" si="0"/>
        <v>Новый объект (ТСН-2001 (Мосгосэкспертиза))</v>
      </c>
      <c r="G18" s="3" t="str">
        <f t="shared" si="0"/>
        <v>02-01-20 ПТА</v>
      </c>
      <c r="H18" s="3"/>
      <c r="I18" s="3"/>
      <c r="J18" s="3"/>
      <c r="K18" s="3"/>
      <c r="L18" s="3"/>
      <c r="M18" s="3"/>
      <c r="N18" s="3"/>
      <c r="O18" s="3">
        <f t="shared" ref="O18:AT18" si="1">O111</f>
        <v>376019.07</v>
      </c>
      <c r="P18" s="3">
        <f t="shared" si="1"/>
        <v>375907.12</v>
      </c>
      <c r="Q18" s="3">
        <f t="shared" si="1"/>
        <v>12</v>
      </c>
      <c r="R18" s="3">
        <f t="shared" si="1"/>
        <v>1.6</v>
      </c>
      <c r="S18" s="3">
        <f t="shared" si="1"/>
        <v>99.95</v>
      </c>
      <c r="T18" s="3">
        <f t="shared" si="1"/>
        <v>0</v>
      </c>
      <c r="U18" s="3">
        <f t="shared" si="1"/>
        <v>8.0418206000000012</v>
      </c>
      <c r="V18" s="3">
        <f t="shared" si="1"/>
        <v>0</v>
      </c>
      <c r="W18" s="3">
        <f t="shared" si="1"/>
        <v>0</v>
      </c>
      <c r="X18" s="3">
        <f t="shared" si="1"/>
        <v>99.96</v>
      </c>
      <c r="Y18" s="3">
        <f t="shared" si="1"/>
        <v>53.02</v>
      </c>
      <c r="Z18" s="3">
        <f t="shared" si="1"/>
        <v>0</v>
      </c>
      <c r="AA18" s="3">
        <f t="shared" si="1"/>
        <v>0</v>
      </c>
      <c r="AB18" s="3">
        <f t="shared" si="1"/>
        <v>0</v>
      </c>
      <c r="AC18" s="3">
        <f t="shared" si="1"/>
        <v>0</v>
      </c>
      <c r="AD18" s="3">
        <f t="shared" si="1"/>
        <v>0</v>
      </c>
      <c r="AE18" s="3">
        <f t="shared" si="1"/>
        <v>0</v>
      </c>
      <c r="AF18" s="3">
        <f t="shared" si="1"/>
        <v>0</v>
      </c>
      <c r="AG18" s="3">
        <f t="shared" si="1"/>
        <v>0</v>
      </c>
      <c r="AH18" s="3">
        <f t="shared" si="1"/>
        <v>0</v>
      </c>
      <c r="AI18" s="3">
        <f t="shared" si="1"/>
        <v>0</v>
      </c>
      <c r="AJ18" s="3">
        <f t="shared" si="1"/>
        <v>0</v>
      </c>
      <c r="AK18" s="3">
        <f t="shared" si="1"/>
        <v>0</v>
      </c>
      <c r="AL18" s="3">
        <f t="shared" si="1"/>
        <v>0</v>
      </c>
      <c r="AM18" s="3">
        <f t="shared" si="1"/>
        <v>0</v>
      </c>
      <c r="AN18" s="3">
        <f t="shared" si="1"/>
        <v>0</v>
      </c>
      <c r="AO18" s="3">
        <f t="shared" si="1"/>
        <v>0</v>
      </c>
      <c r="AP18" s="3">
        <f t="shared" si="1"/>
        <v>349619.17</v>
      </c>
      <c r="AQ18" s="3">
        <f t="shared" si="1"/>
        <v>0</v>
      </c>
      <c r="AR18" s="3">
        <f t="shared" si="1"/>
        <v>376172.05</v>
      </c>
      <c r="AS18" s="3">
        <f t="shared" si="1"/>
        <v>26421.05</v>
      </c>
      <c r="AT18" s="3">
        <f t="shared" si="1"/>
        <v>131.83000000000001</v>
      </c>
      <c r="AU18" s="3">
        <f t="shared" ref="AU18:BZ18" si="2">AU111</f>
        <v>0</v>
      </c>
      <c r="AV18" s="3">
        <f t="shared" si="2"/>
        <v>375907.12</v>
      </c>
      <c r="AW18" s="3">
        <f t="shared" si="2"/>
        <v>26287.95</v>
      </c>
      <c r="AX18" s="3">
        <f t="shared" si="2"/>
        <v>0</v>
      </c>
      <c r="AY18" s="3">
        <f t="shared" si="2"/>
        <v>26287.95</v>
      </c>
      <c r="AZ18" s="3">
        <f t="shared" si="2"/>
        <v>349619.17</v>
      </c>
      <c r="BA18" s="3">
        <f t="shared" si="2"/>
        <v>0</v>
      </c>
      <c r="BB18" s="3">
        <f t="shared" si="2"/>
        <v>0</v>
      </c>
      <c r="BC18" s="3">
        <f t="shared" si="2"/>
        <v>0</v>
      </c>
      <c r="BD18" s="3">
        <f t="shared" si="2"/>
        <v>0</v>
      </c>
      <c r="BE18" s="3">
        <f t="shared" si="2"/>
        <v>0</v>
      </c>
      <c r="BF18" s="3">
        <f t="shared" si="2"/>
        <v>0</v>
      </c>
      <c r="BG18" s="3">
        <f t="shared" si="2"/>
        <v>0</v>
      </c>
      <c r="BH18" s="3">
        <f t="shared" si="2"/>
        <v>0</v>
      </c>
      <c r="BI18" s="3">
        <f t="shared" si="2"/>
        <v>0</v>
      </c>
      <c r="BJ18" s="3">
        <f t="shared" si="2"/>
        <v>0</v>
      </c>
      <c r="BK18" s="3">
        <f t="shared" si="2"/>
        <v>0</v>
      </c>
      <c r="BL18" s="3">
        <f t="shared" si="2"/>
        <v>0</v>
      </c>
      <c r="BM18" s="3">
        <f t="shared" si="2"/>
        <v>0</v>
      </c>
      <c r="BN18" s="3">
        <f t="shared" si="2"/>
        <v>0</v>
      </c>
      <c r="BO18" s="3">
        <f t="shared" si="2"/>
        <v>0</v>
      </c>
      <c r="BP18" s="3">
        <f t="shared" si="2"/>
        <v>0</v>
      </c>
      <c r="BQ18" s="3">
        <f t="shared" si="2"/>
        <v>0</v>
      </c>
      <c r="BR18" s="3">
        <f t="shared" si="2"/>
        <v>0</v>
      </c>
      <c r="BS18" s="3">
        <f t="shared" si="2"/>
        <v>0</v>
      </c>
      <c r="BT18" s="3">
        <f t="shared" si="2"/>
        <v>0</v>
      </c>
      <c r="BU18" s="3">
        <f t="shared" si="2"/>
        <v>0</v>
      </c>
      <c r="BV18" s="3">
        <f t="shared" si="2"/>
        <v>0</v>
      </c>
      <c r="BW18" s="3">
        <f t="shared" si="2"/>
        <v>0</v>
      </c>
      <c r="BX18" s="3">
        <f t="shared" si="2"/>
        <v>0</v>
      </c>
      <c r="BY18" s="3">
        <f t="shared" si="2"/>
        <v>0</v>
      </c>
      <c r="BZ18" s="3">
        <f t="shared" si="2"/>
        <v>0</v>
      </c>
      <c r="CA18" s="3">
        <f t="shared" ref="CA18:DF18" si="3">CA111</f>
        <v>0</v>
      </c>
      <c r="CB18" s="3">
        <f t="shared" si="3"/>
        <v>0</v>
      </c>
      <c r="CC18" s="3">
        <f t="shared" si="3"/>
        <v>0</v>
      </c>
      <c r="CD18" s="3">
        <f t="shared" si="3"/>
        <v>0</v>
      </c>
      <c r="CE18" s="3">
        <f t="shared" si="3"/>
        <v>0</v>
      </c>
      <c r="CF18" s="3">
        <f t="shared" si="3"/>
        <v>0</v>
      </c>
      <c r="CG18" s="3">
        <f t="shared" si="3"/>
        <v>0</v>
      </c>
      <c r="CH18" s="3">
        <f t="shared" si="3"/>
        <v>0</v>
      </c>
      <c r="CI18" s="3">
        <f t="shared" si="3"/>
        <v>0</v>
      </c>
      <c r="CJ18" s="3">
        <f t="shared" si="3"/>
        <v>0</v>
      </c>
      <c r="CK18" s="3">
        <f t="shared" si="3"/>
        <v>0</v>
      </c>
      <c r="CL18" s="3">
        <f t="shared" si="3"/>
        <v>0</v>
      </c>
      <c r="CM18" s="3">
        <f t="shared" si="3"/>
        <v>0</v>
      </c>
      <c r="CN18" s="3">
        <f t="shared" si="3"/>
        <v>0</v>
      </c>
      <c r="CO18" s="3">
        <f t="shared" si="3"/>
        <v>0</v>
      </c>
      <c r="CP18" s="3">
        <f t="shared" si="3"/>
        <v>0</v>
      </c>
      <c r="CQ18" s="3">
        <f t="shared" si="3"/>
        <v>0</v>
      </c>
      <c r="CR18" s="3">
        <f t="shared" si="3"/>
        <v>0</v>
      </c>
      <c r="CS18" s="3">
        <f t="shared" si="3"/>
        <v>0</v>
      </c>
      <c r="CT18" s="3">
        <f t="shared" si="3"/>
        <v>0</v>
      </c>
      <c r="CU18" s="3">
        <f t="shared" si="3"/>
        <v>0</v>
      </c>
      <c r="CV18" s="3">
        <f t="shared" si="3"/>
        <v>0</v>
      </c>
      <c r="CW18" s="3">
        <f t="shared" si="3"/>
        <v>0</v>
      </c>
      <c r="CX18" s="3">
        <f t="shared" si="3"/>
        <v>0</v>
      </c>
      <c r="CY18" s="3">
        <f t="shared" si="3"/>
        <v>0</v>
      </c>
      <c r="CZ18" s="3">
        <f t="shared" si="3"/>
        <v>0</v>
      </c>
      <c r="DA18" s="3">
        <f t="shared" si="3"/>
        <v>0</v>
      </c>
      <c r="DB18" s="3">
        <f t="shared" si="3"/>
        <v>0</v>
      </c>
      <c r="DC18" s="3">
        <f t="shared" si="3"/>
        <v>0</v>
      </c>
      <c r="DD18" s="3">
        <f t="shared" si="3"/>
        <v>0</v>
      </c>
      <c r="DE18" s="3">
        <f t="shared" si="3"/>
        <v>0</v>
      </c>
      <c r="DF18" s="3">
        <f t="shared" si="3"/>
        <v>0</v>
      </c>
      <c r="DG18" s="4">
        <f t="shared" ref="DG18:EL18" si="4">DG111</f>
        <v>2968853.64</v>
      </c>
      <c r="DH18" s="4">
        <f t="shared" si="4"/>
        <v>2963173.09</v>
      </c>
      <c r="DI18" s="4">
        <f t="shared" si="4"/>
        <v>184.3</v>
      </c>
      <c r="DJ18" s="4">
        <f t="shared" si="4"/>
        <v>87.99</v>
      </c>
      <c r="DK18" s="4">
        <f t="shared" si="4"/>
        <v>5496.25</v>
      </c>
      <c r="DL18" s="4">
        <f t="shared" si="4"/>
        <v>0</v>
      </c>
      <c r="DM18" s="4">
        <f t="shared" si="4"/>
        <v>8.0418206000000012</v>
      </c>
      <c r="DN18" s="4">
        <f t="shared" si="4"/>
        <v>0</v>
      </c>
      <c r="DO18" s="4">
        <f t="shared" si="4"/>
        <v>0</v>
      </c>
      <c r="DP18" s="4">
        <f t="shared" si="4"/>
        <v>5496.25</v>
      </c>
      <c r="DQ18" s="4">
        <f t="shared" si="4"/>
        <v>2915.68</v>
      </c>
      <c r="DR18" s="4">
        <f t="shared" si="4"/>
        <v>0</v>
      </c>
      <c r="DS18" s="4">
        <f t="shared" si="4"/>
        <v>0</v>
      </c>
      <c r="DT18" s="4">
        <f t="shared" si="4"/>
        <v>0</v>
      </c>
      <c r="DU18" s="4">
        <f t="shared" si="4"/>
        <v>0</v>
      </c>
      <c r="DV18" s="4">
        <f t="shared" si="4"/>
        <v>0</v>
      </c>
      <c r="DW18" s="4">
        <f t="shared" si="4"/>
        <v>0</v>
      </c>
      <c r="DX18" s="4">
        <f t="shared" si="4"/>
        <v>0</v>
      </c>
      <c r="DY18" s="4">
        <f t="shared" si="4"/>
        <v>0</v>
      </c>
      <c r="DZ18" s="4">
        <f t="shared" si="4"/>
        <v>0</v>
      </c>
      <c r="EA18" s="4">
        <f t="shared" si="4"/>
        <v>0</v>
      </c>
      <c r="EB18" s="4">
        <f t="shared" si="4"/>
        <v>0</v>
      </c>
      <c r="EC18" s="4">
        <f t="shared" si="4"/>
        <v>0</v>
      </c>
      <c r="ED18" s="4">
        <f t="shared" si="4"/>
        <v>0</v>
      </c>
      <c r="EE18" s="4">
        <f t="shared" si="4"/>
        <v>0</v>
      </c>
      <c r="EF18" s="4">
        <f t="shared" si="4"/>
        <v>0</v>
      </c>
      <c r="EG18" s="4">
        <f t="shared" si="4"/>
        <v>0</v>
      </c>
      <c r="EH18" s="4">
        <f t="shared" si="4"/>
        <v>2703457.95</v>
      </c>
      <c r="EI18" s="4">
        <f t="shared" si="4"/>
        <v>0</v>
      </c>
      <c r="EJ18" s="4">
        <f t="shared" si="4"/>
        <v>2977265.57</v>
      </c>
      <c r="EK18" s="4">
        <f t="shared" si="4"/>
        <v>266614.13</v>
      </c>
      <c r="EL18" s="4">
        <f t="shared" si="4"/>
        <v>7193.49</v>
      </c>
      <c r="EM18" s="4">
        <f t="shared" ref="EM18:FR18" si="5">EM111</f>
        <v>0</v>
      </c>
      <c r="EN18" s="4">
        <f t="shared" si="5"/>
        <v>2963173.09</v>
      </c>
      <c r="EO18" s="4">
        <f t="shared" si="5"/>
        <v>259715.14</v>
      </c>
      <c r="EP18" s="4">
        <f t="shared" si="5"/>
        <v>0</v>
      </c>
      <c r="EQ18" s="4">
        <f t="shared" si="5"/>
        <v>259715.14</v>
      </c>
      <c r="ER18" s="4">
        <f t="shared" si="5"/>
        <v>2703457.95</v>
      </c>
      <c r="ES18" s="4">
        <f t="shared" si="5"/>
        <v>0</v>
      </c>
      <c r="ET18" s="4">
        <f t="shared" si="5"/>
        <v>0</v>
      </c>
      <c r="EU18" s="4">
        <f t="shared" si="5"/>
        <v>0</v>
      </c>
      <c r="EV18" s="4">
        <f t="shared" si="5"/>
        <v>0</v>
      </c>
      <c r="EW18" s="4">
        <f t="shared" si="5"/>
        <v>0</v>
      </c>
      <c r="EX18" s="4">
        <f t="shared" si="5"/>
        <v>0</v>
      </c>
      <c r="EY18" s="4">
        <f t="shared" si="5"/>
        <v>0</v>
      </c>
      <c r="EZ18" s="4">
        <f t="shared" si="5"/>
        <v>0</v>
      </c>
      <c r="FA18" s="4">
        <f t="shared" si="5"/>
        <v>0</v>
      </c>
      <c r="FB18" s="4">
        <f t="shared" si="5"/>
        <v>0</v>
      </c>
      <c r="FC18" s="4">
        <f t="shared" si="5"/>
        <v>0</v>
      </c>
      <c r="FD18" s="4">
        <f t="shared" si="5"/>
        <v>0</v>
      </c>
      <c r="FE18" s="4">
        <f t="shared" si="5"/>
        <v>0</v>
      </c>
      <c r="FF18" s="4">
        <f t="shared" si="5"/>
        <v>0</v>
      </c>
      <c r="FG18" s="4">
        <f t="shared" si="5"/>
        <v>0</v>
      </c>
      <c r="FH18" s="4">
        <f t="shared" si="5"/>
        <v>0</v>
      </c>
      <c r="FI18" s="4">
        <f t="shared" si="5"/>
        <v>0</v>
      </c>
      <c r="FJ18" s="4">
        <f t="shared" si="5"/>
        <v>0</v>
      </c>
      <c r="FK18" s="4">
        <f t="shared" si="5"/>
        <v>0</v>
      </c>
      <c r="FL18" s="4">
        <f t="shared" si="5"/>
        <v>0</v>
      </c>
      <c r="FM18" s="4">
        <f t="shared" si="5"/>
        <v>0</v>
      </c>
      <c r="FN18" s="4">
        <f t="shared" si="5"/>
        <v>0</v>
      </c>
      <c r="FO18" s="4">
        <f t="shared" si="5"/>
        <v>0</v>
      </c>
      <c r="FP18" s="4">
        <f t="shared" si="5"/>
        <v>0</v>
      </c>
      <c r="FQ18" s="4">
        <f t="shared" si="5"/>
        <v>0</v>
      </c>
      <c r="FR18" s="4">
        <f t="shared" si="5"/>
        <v>0</v>
      </c>
      <c r="FS18" s="4">
        <f t="shared" ref="FS18:GX18" si="6">FS111</f>
        <v>0</v>
      </c>
      <c r="FT18" s="4">
        <f t="shared" si="6"/>
        <v>0</v>
      </c>
      <c r="FU18" s="4">
        <f t="shared" si="6"/>
        <v>0</v>
      </c>
      <c r="FV18" s="4">
        <f t="shared" si="6"/>
        <v>0</v>
      </c>
      <c r="FW18" s="4">
        <f t="shared" si="6"/>
        <v>0</v>
      </c>
      <c r="FX18" s="4">
        <f t="shared" si="6"/>
        <v>0</v>
      </c>
      <c r="FY18" s="4">
        <f t="shared" si="6"/>
        <v>0</v>
      </c>
      <c r="FZ18" s="4">
        <f t="shared" si="6"/>
        <v>0</v>
      </c>
      <c r="GA18" s="4">
        <f t="shared" si="6"/>
        <v>0</v>
      </c>
      <c r="GB18" s="4">
        <f t="shared" si="6"/>
        <v>0</v>
      </c>
      <c r="GC18" s="4">
        <f t="shared" si="6"/>
        <v>0</v>
      </c>
      <c r="GD18" s="4">
        <f t="shared" si="6"/>
        <v>0</v>
      </c>
      <c r="GE18" s="4">
        <f t="shared" si="6"/>
        <v>0</v>
      </c>
      <c r="GF18" s="4">
        <f t="shared" si="6"/>
        <v>0</v>
      </c>
      <c r="GG18" s="4">
        <f t="shared" si="6"/>
        <v>0</v>
      </c>
      <c r="GH18" s="4">
        <f t="shared" si="6"/>
        <v>0</v>
      </c>
      <c r="GI18" s="4">
        <f t="shared" si="6"/>
        <v>0</v>
      </c>
      <c r="GJ18" s="4">
        <f t="shared" si="6"/>
        <v>0</v>
      </c>
      <c r="GK18" s="4">
        <f t="shared" si="6"/>
        <v>0</v>
      </c>
      <c r="GL18" s="4">
        <f t="shared" si="6"/>
        <v>0</v>
      </c>
      <c r="GM18" s="4">
        <f t="shared" si="6"/>
        <v>0</v>
      </c>
      <c r="GN18" s="4">
        <f t="shared" si="6"/>
        <v>0</v>
      </c>
      <c r="GO18" s="4">
        <f t="shared" si="6"/>
        <v>0</v>
      </c>
      <c r="GP18" s="4">
        <f t="shared" si="6"/>
        <v>0</v>
      </c>
      <c r="GQ18" s="4">
        <f t="shared" si="6"/>
        <v>0</v>
      </c>
      <c r="GR18" s="4">
        <f t="shared" si="6"/>
        <v>0</v>
      </c>
      <c r="GS18" s="4">
        <f t="shared" si="6"/>
        <v>0</v>
      </c>
      <c r="GT18" s="4">
        <f t="shared" si="6"/>
        <v>0</v>
      </c>
      <c r="GU18" s="4">
        <f t="shared" si="6"/>
        <v>0</v>
      </c>
      <c r="GV18" s="4">
        <f t="shared" si="6"/>
        <v>0</v>
      </c>
      <c r="GW18" s="4">
        <f t="shared" si="6"/>
        <v>0</v>
      </c>
      <c r="GX18" s="4">
        <f t="shared" si="6"/>
        <v>0</v>
      </c>
    </row>
    <row r="20" spans="1:255" x14ac:dyDescent="0.2">
      <c r="A20" s="1">
        <v>3</v>
      </c>
      <c r="B20" s="1">
        <v>1</v>
      </c>
      <c r="C20" s="1"/>
      <c r="D20" s="1">
        <f>ROW(A81)</f>
        <v>81</v>
      </c>
      <c r="E20" s="1"/>
      <c r="F20" s="1" t="s">
        <v>15</v>
      </c>
      <c r="G20" s="1" t="s">
        <v>16</v>
      </c>
      <c r="H20" s="1" t="s">
        <v>3</v>
      </c>
      <c r="I20" s="1">
        <v>0</v>
      </c>
      <c r="J20" s="1" t="s">
        <v>17</v>
      </c>
      <c r="K20" s="1">
        <v>-1</v>
      </c>
      <c r="L20" s="1" t="s">
        <v>15</v>
      </c>
      <c r="M20" s="1" t="s">
        <v>3</v>
      </c>
      <c r="N20" s="1"/>
      <c r="O20" s="1"/>
      <c r="P20" s="1"/>
      <c r="Q20" s="1"/>
      <c r="R20" s="1"/>
      <c r="S20" s="1">
        <v>0</v>
      </c>
      <c r="T20" s="1">
        <v>0</v>
      </c>
      <c r="U20" s="1" t="s">
        <v>3</v>
      </c>
      <c r="V20" s="1">
        <v>2</v>
      </c>
      <c r="W20" s="1"/>
      <c r="X20" s="1"/>
      <c r="Y20" s="1"/>
      <c r="Z20" s="1"/>
      <c r="AA20" s="1"/>
      <c r="AB20" s="1" t="s">
        <v>3</v>
      </c>
      <c r="AC20" s="1" t="s">
        <v>3</v>
      </c>
      <c r="AD20" s="1" t="s">
        <v>3</v>
      </c>
      <c r="AE20" s="1" t="s">
        <v>3</v>
      </c>
      <c r="AF20" s="1" t="s">
        <v>3</v>
      </c>
      <c r="AG20" s="1" t="s">
        <v>3</v>
      </c>
      <c r="AH20" s="1"/>
      <c r="AI20" s="1"/>
      <c r="AJ20" s="1"/>
      <c r="AK20" s="1"/>
      <c r="AL20" s="1"/>
      <c r="AM20" s="1"/>
      <c r="AN20" s="1"/>
      <c r="AO20" s="1"/>
      <c r="AP20" s="1" t="s">
        <v>3</v>
      </c>
      <c r="AQ20" s="1" t="s">
        <v>3</v>
      </c>
      <c r="AR20" s="1" t="s">
        <v>3</v>
      </c>
      <c r="AS20" s="1"/>
      <c r="AT20" s="1"/>
      <c r="AU20" s="1"/>
      <c r="AV20" s="1"/>
      <c r="AW20" s="1"/>
      <c r="AX20" s="1"/>
      <c r="AY20" s="1"/>
      <c r="AZ20" s="1" t="s">
        <v>3</v>
      </c>
      <c r="BA20" s="1"/>
      <c r="BB20" s="1" t="s">
        <v>3</v>
      </c>
      <c r="BC20" s="1" t="s">
        <v>3</v>
      </c>
      <c r="BD20" s="1" t="s">
        <v>3</v>
      </c>
      <c r="BE20" s="1" t="s">
        <v>3</v>
      </c>
      <c r="BF20" s="1" t="s">
        <v>3</v>
      </c>
      <c r="BG20" s="1" t="s">
        <v>3</v>
      </c>
      <c r="BH20" s="1" t="s">
        <v>3</v>
      </c>
      <c r="BI20" s="1" t="s">
        <v>3</v>
      </c>
      <c r="BJ20" s="1" t="s">
        <v>3</v>
      </c>
      <c r="BK20" s="1" t="s">
        <v>3</v>
      </c>
      <c r="BL20" s="1" t="s">
        <v>3</v>
      </c>
      <c r="BM20" s="1" t="s">
        <v>3</v>
      </c>
      <c r="BN20" s="1" t="s">
        <v>3</v>
      </c>
      <c r="BO20" s="1" t="s">
        <v>3</v>
      </c>
      <c r="BP20" s="1" t="s">
        <v>3</v>
      </c>
      <c r="BQ20" s="1"/>
      <c r="BR20" s="1"/>
      <c r="BS20" s="1"/>
      <c r="BT20" s="1"/>
      <c r="BU20" s="1"/>
      <c r="BV20" s="1"/>
      <c r="BW20" s="1"/>
      <c r="BX20" s="1">
        <v>0</v>
      </c>
      <c r="BY20" s="1"/>
      <c r="BZ20" s="1"/>
      <c r="CA20" s="1"/>
      <c r="CB20" s="1"/>
      <c r="CC20" s="1"/>
      <c r="CD20" s="1"/>
      <c r="CE20" s="1"/>
      <c r="CF20" s="1">
        <v>0</v>
      </c>
      <c r="CG20" s="1">
        <v>0</v>
      </c>
      <c r="CH20" s="1"/>
      <c r="CI20" s="1" t="s">
        <v>3</v>
      </c>
      <c r="CJ20" s="1" t="s">
        <v>3</v>
      </c>
      <c r="CK20" t="s">
        <v>3</v>
      </c>
      <c r="CL20" t="s">
        <v>3</v>
      </c>
      <c r="CM20" t="s">
        <v>3</v>
      </c>
      <c r="CN20" t="s">
        <v>3</v>
      </c>
      <c r="CO20" t="s">
        <v>3</v>
      </c>
      <c r="CP20" t="s">
        <v>3</v>
      </c>
      <c r="CQ20" t="s">
        <v>3</v>
      </c>
    </row>
    <row r="22" spans="1:255" x14ac:dyDescent="0.2">
      <c r="A22" s="3">
        <v>52</v>
      </c>
      <c r="B22" s="3">
        <f t="shared" ref="B22:G22" si="7">B81</f>
        <v>1</v>
      </c>
      <c r="C22" s="3">
        <f t="shared" si="7"/>
        <v>3</v>
      </c>
      <c r="D22" s="3">
        <f t="shared" si="7"/>
        <v>20</v>
      </c>
      <c r="E22" s="3">
        <f t="shared" si="7"/>
        <v>0</v>
      </c>
      <c r="F22" s="3" t="str">
        <f t="shared" si="7"/>
        <v>02-01-20</v>
      </c>
      <c r="G22" s="3" t="str">
        <f t="shared" si="7"/>
        <v>Мероприятия по противодействию террористическим актам</v>
      </c>
      <c r="H22" s="3"/>
      <c r="I22" s="3"/>
      <c r="J22" s="3"/>
      <c r="K22" s="3"/>
      <c r="L22" s="3"/>
      <c r="M22" s="3"/>
      <c r="N22" s="3"/>
      <c r="O22" s="3">
        <f t="shared" ref="O22:AT22" si="8">O81</f>
        <v>376019.07</v>
      </c>
      <c r="P22" s="3">
        <f t="shared" si="8"/>
        <v>375907.12</v>
      </c>
      <c r="Q22" s="3">
        <f t="shared" si="8"/>
        <v>12</v>
      </c>
      <c r="R22" s="3">
        <f t="shared" si="8"/>
        <v>1.6</v>
      </c>
      <c r="S22" s="3">
        <f t="shared" si="8"/>
        <v>99.95</v>
      </c>
      <c r="T22" s="3">
        <f t="shared" si="8"/>
        <v>0</v>
      </c>
      <c r="U22" s="3">
        <f t="shared" si="8"/>
        <v>8.0418206000000012</v>
      </c>
      <c r="V22" s="3">
        <f t="shared" si="8"/>
        <v>0</v>
      </c>
      <c r="W22" s="3">
        <f t="shared" si="8"/>
        <v>0</v>
      </c>
      <c r="X22" s="3">
        <f t="shared" si="8"/>
        <v>99.96</v>
      </c>
      <c r="Y22" s="3">
        <f t="shared" si="8"/>
        <v>53.02</v>
      </c>
      <c r="Z22" s="3">
        <f t="shared" si="8"/>
        <v>0</v>
      </c>
      <c r="AA22" s="3">
        <f t="shared" si="8"/>
        <v>0</v>
      </c>
      <c r="AB22" s="3">
        <f t="shared" si="8"/>
        <v>0</v>
      </c>
      <c r="AC22" s="3">
        <f t="shared" si="8"/>
        <v>0</v>
      </c>
      <c r="AD22" s="3">
        <f t="shared" si="8"/>
        <v>0</v>
      </c>
      <c r="AE22" s="3">
        <f t="shared" si="8"/>
        <v>0</v>
      </c>
      <c r="AF22" s="3">
        <f t="shared" si="8"/>
        <v>0</v>
      </c>
      <c r="AG22" s="3">
        <f t="shared" si="8"/>
        <v>0</v>
      </c>
      <c r="AH22" s="3">
        <f t="shared" si="8"/>
        <v>0</v>
      </c>
      <c r="AI22" s="3">
        <f t="shared" si="8"/>
        <v>0</v>
      </c>
      <c r="AJ22" s="3">
        <f t="shared" si="8"/>
        <v>0</v>
      </c>
      <c r="AK22" s="3">
        <f t="shared" si="8"/>
        <v>0</v>
      </c>
      <c r="AL22" s="3">
        <f t="shared" si="8"/>
        <v>0</v>
      </c>
      <c r="AM22" s="3">
        <f t="shared" si="8"/>
        <v>0</v>
      </c>
      <c r="AN22" s="3">
        <f t="shared" si="8"/>
        <v>0</v>
      </c>
      <c r="AO22" s="3">
        <f t="shared" si="8"/>
        <v>0</v>
      </c>
      <c r="AP22" s="3">
        <f t="shared" si="8"/>
        <v>349619.17</v>
      </c>
      <c r="AQ22" s="3">
        <f t="shared" si="8"/>
        <v>0</v>
      </c>
      <c r="AR22" s="3">
        <f t="shared" si="8"/>
        <v>376172.05</v>
      </c>
      <c r="AS22" s="3">
        <f t="shared" si="8"/>
        <v>26421.05</v>
      </c>
      <c r="AT22" s="3">
        <f t="shared" si="8"/>
        <v>131.83000000000001</v>
      </c>
      <c r="AU22" s="3">
        <f t="shared" ref="AU22:BZ22" si="9">AU81</f>
        <v>0</v>
      </c>
      <c r="AV22" s="3">
        <f t="shared" si="9"/>
        <v>375907.12</v>
      </c>
      <c r="AW22" s="3">
        <f t="shared" si="9"/>
        <v>26287.95</v>
      </c>
      <c r="AX22" s="3">
        <f t="shared" si="9"/>
        <v>0</v>
      </c>
      <c r="AY22" s="3">
        <f t="shared" si="9"/>
        <v>26287.95</v>
      </c>
      <c r="AZ22" s="3">
        <f t="shared" si="9"/>
        <v>349619.17</v>
      </c>
      <c r="BA22" s="3">
        <f t="shared" si="9"/>
        <v>0</v>
      </c>
      <c r="BB22" s="3">
        <f t="shared" si="9"/>
        <v>0</v>
      </c>
      <c r="BC22" s="3">
        <f t="shared" si="9"/>
        <v>0</v>
      </c>
      <c r="BD22" s="3">
        <f t="shared" si="9"/>
        <v>0</v>
      </c>
      <c r="BE22" s="3">
        <f t="shared" si="9"/>
        <v>0</v>
      </c>
      <c r="BF22" s="3">
        <f t="shared" si="9"/>
        <v>0</v>
      </c>
      <c r="BG22" s="3">
        <f t="shared" si="9"/>
        <v>0</v>
      </c>
      <c r="BH22" s="3">
        <f t="shared" si="9"/>
        <v>0</v>
      </c>
      <c r="BI22" s="3">
        <f t="shared" si="9"/>
        <v>0</v>
      </c>
      <c r="BJ22" s="3">
        <f t="shared" si="9"/>
        <v>0</v>
      </c>
      <c r="BK22" s="3">
        <f t="shared" si="9"/>
        <v>0</v>
      </c>
      <c r="BL22" s="3">
        <f t="shared" si="9"/>
        <v>0</v>
      </c>
      <c r="BM22" s="3">
        <f t="shared" si="9"/>
        <v>0</v>
      </c>
      <c r="BN22" s="3">
        <f t="shared" si="9"/>
        <v>0</v>
      </c>
      <c r="BO22" s="3">
        <f t="shared" si="9"/>
        <v>0</v>
      </c>
      <c r="BP22" s="3">
        <f t="shared" si="9"/>
        <v>0</v>
      </c>
      <c r="BQ22" s="3">
        <f t="shared" si="9"/>
        <v>0</v>
      </c>
      <c r="BR22" s="3">
        <f t="shared" si="9"/>
        <v>0</v>
      </c>
      <c r="BS22" s="3">
        <f t="shared" si="9"/>
        <v>0</v>
      </c>
      <c r="BT22" s="3">
        <f t="shared" si="9"/>
        <v>0</v>
      </c>
      <c r="BU22" s="3">
        <f t="shared" si="9"/>
        <v>0</v>
      </c>
      <c r="BV22" s="3">
        <f t="shared" si="9"/>
        <v>0</v>
      </c>
      <c r="BW22" s="3">
        <f t="shared" si="9"/>
        <v>0</v>
      </c>
      <c r="BX22" s="3">
        <f t="shared" si="9"/>
        <v>0</v>
      </c>
      <c r="BY22" s="3">
        <f t="shared" si="9"/>
        <v>0</v>
      </c>
      <c r="BZ22" s="3">
        <f t="shared" si="9"/>
        <v>0</v>
      </c>
      <c r="CA22" s="3">
        <f t="shared" ref="CA22:DF22" si="10">CA81</f>
        <v>0</v>
      </c>
      <c r="CB22" s="3">
        <f t="shared" si="10"/>
        <v>0</v>
      </c>
      <c r="CC22" s="3">
        <f t="shared" si="10"/>
        <v>0</v>
      </c>
      <c r="CD22" s="3">
        <f t="shared" si="10"/>
        <v>0</v>
      </c>
      <c r="CE22" s="3">
        <f t="shared" si="10"/>
        <v>0</v>
      </c>
      <c r="CF22" s="3">
        <f t="shared" si="10"/>
        <v>0</v>
      </c>
      <c r="CG22" s="3">
        <f t="shared" si="10"/>
        <v>0</v>
      </c>
      <c r="CH22" s="3">
        <f t="shared" si="10"/>
        <v>0</v>
      </c>
      <c r="CI22" s="3">
        <f t="shared" si="10"/>
        <v>0</v>
      </c>
      <c r="CJ22" s="3">
        <f t="shared" si="10"/>
        <v>0</v>
      </c>
      <c r="CK22" s="3">
        <f t="shared" si="10"/>
        <v>0</v>
      </c>
      <c r="CL22" s="3">
        <f t="shared" si="10"/>
        <v>0</v>
      </c>
      <c r="CM22" s="3">
        <f t="shared" si="10"/>
        <v>0</v>
      </c>
      <c r="CN22" s="3">
        <f t="shared" si="10"/>
        <v>0</v>
      </c>
      <c r="CO22" s="3">
        <f t="shared" si="10"/>
        <v>0</v>
      </c>
      <c r="CP22" s="3">
        <f t="shared" si="10"/>
        <v>0</v>
      </c>
      <c r="CQ22" s="3">
        <f t="shared" si="10"/>
        <v>0</v>
      </c>
      <c r="CR22" s="3">
        <f t="shared" si="10"/>
        <v>0</v>
      </c>
      <c r="CS22" s="3">
        <f t="shared" si="10"/>
        <v>0</v>
      </c>
      <c r="CT22" s="3">
        <f t="shared" si="10"/>
        <v>0</v>
      </c>
      <c r="CU22" s="3">
        <f t="shared" si="10"/>
        <v>0</v>
      </c>
      <c r="CV22" s="3">
        <f t="shared" si="10"/>
        <v>0</v>
      </c>
      <c r="CW22" s="3">
        <f t="shared" si="10"/>
        <v>0</v>
      </c>
      <c r="CX22" s="3">
        <f t="shared" si="10"/>
        <v>0</v>
      </c>
      <c r="CY22" s="3">
        <f t="shared" si="10"/>
        <v>0</v>
      </c>
      <c r="CZ22" s="3">
        <f t="shared" si="10"/>
        <v>0</v>
      </c>
      <c r="DA22" s="3">
        <f t="shared" si="10"/>
        <v>0</v>
      </c>
      <c r="DB22" s="3">
        <f t="shared" si="10"/>
        <v>0</v>
      </c>
      <c r="DC22" s="3">
        <f t="shared" si="10"/>
        <v>0</v>
      </c>
      <c r="DD22" s="3">
        <f t="shared" si="10"/>
        <v>0</v>
      </c>
      <c r="DE22" s="3">
        <f t="shared" si="10"/>
        <v>0</v>
      </c>
      <c r="DF22" s="3">
        <f t="shared" si="10"/>
        <v>0</v>
      </c>
      <c r="DG22" s="4">
        <f t="shared" ref="DG22:EL22" si="11">DG81</f>
        <v>2968853.64</v>
      </c>
      <c r="DH22" s="4">
        <f t="shared" si="11"/>
        <v>2963173.09</v>
      </c>
      <c r="DI22" s="4">
        <f t="shared" si="11"/>
        <v>184.3</v>
      </c>
      <c r="DJ22" s="4">
        <f t="shared" si="11"/>
        <v>87.99</v>
      </c>
      <c r="DK22" s="4">
        <f t="shared" si="11"/>
        <v>5496.25</v>
      </c>
      <c r="DL22" s="4">
        <f t="shared" si="11"/>
        <v>0</v>
      </c>
      <c r="DM22" s="4">
        <f t="shared" si="11"/>
        <v>8.0418206000000012</v>
      </c>
      <c r="DN22" s="4">
        <f t="shared" si="11"/>
        <v>0</v>
      </c>
      <c r="DO22" s="4">
        <f t="shared" si="11"/>
        <v>0</v>
      </c>
      <c r="DP22" s="4">
        <f t="shared" si="11"/>
        <v>5496.25</v>
      </c>
      <c r="DQ22" s="4">
        <f t="shared" si="11"/>
        <v>2915.68</v>
      </c>
      <c r="DR22" s="4">
        <f t="shared" si="11"/>
        <v>0</v>
      </c>
      <c r="DS22" s="4">
        <f t="shared" si="11"/>
        <v>0</v>
      </c>
      <c r="DT22" s="4">
        <f t="shared" si="11"/>
        <v>0</v>
      </c>
      <c r="DU22" s="4">
        <f t="shared" si="11"/>
        <v>0</v>
      </c>
      <c r="DV22" s="4">
        <f t="shared" si="11"/>
        <v>0</v>
      </c>
      <c r="DW22" s="4">
        <f t="shared" si="11"/>
        <v>0</v>
      </c>
      <c r="DX22" s="4">
        <f t="shared" si="11"/>
        <v>0</v>
      </c>
      <c r="DY22" s="4">
        <f t="shared" si="11"/>
        <v>0</v>
      </c>
      <c r="DZ22" s="4">
        <f t="shared" si="11"/>
        <v>0</v>
      </c>
      <c r="EA22" s="4">
        <f t="shared" si="11"/>
        <v>0</v>
      </c>
      <c r="EB22" s="4">
        <f t="shared" si="11"/>
        <v>0</v>
      </c>
      <c r="EC22" s="4">
        <f t="shared" si="11"/>
        <v>0</v>
      </c>
      <c r="ED22" s="4">
        <f t="shared" si="11"/>
        <v>0</v>
      </c>
      <c r="EE22" s="4">
        <f t="shared" si="11"/>
        <v>0</v>
      </c>
      <c r="EF22" s="4">
        <f t="shared" si="11"/>
        <v>0</v>
      </c>
      <c r="EG22" s="4">
        <f t="shared" si="11"/>
        <v>0</v>
      </c>
      <c r="EH22" s="4">
        <f t="shared" si="11"/>
        <v>2703457.95</v>
      </c>
      <c r="EI22" s="4">
        <f t="shared" si="11"/>
        <v>0</v>
      </c>
      <c r="EJ22" s="4">
        <f t="shared" si="11"/>
        <v>2977265.57</v>
      </c>
      <c r="EK22" s="4">
        <f t="shared" si="11"/>
        <v>266614.13</v>
      </c>
      <c r="EL22" s="4">
        <f t="shared" si="11"/>
        <v>7193.49</v>
      </c>
      <c r="EM22" s="4">
        <f t="shared" ref="EM22:FR22" si="12">EM81</f>
        <v>0</v>
      </c>
      <c r="EN22" s="4">
        <f t="shared" si="12"/>
        <v>2963173.09</v>
      </c>
      <c r="EO22" s="4">
        <f t="shared" si="12"/>
        <v>259715.14</v>
      </c>
      <c r="EP22" s="4">
        <f t="shared" si="12"/>
        <v>0</v>
      </c>
      <c r="EQ22" s="4">
        <f t="shared" si="12"/>
        <v>259715.14</v>
      </c>
      <c r="ER22" s="4">
        <f t="shared" si="12"/>
        <v>2703457.95</v>
      </c>
      <c r="ES22" s="4">
        <f t="shared" si="12"/>
        <v>0</v>
      </c>
      <c r="ET22" s="4">
        <f t="shared" si="12"/>
        <v>0</v>
      </c>
      <c r="EU22" s="4">
        <f t="shared" si="12"/>
        <v>0</v>
      </c>
      <c r="EV22" s="4">
        <f t="shared" si="12"/>
        <v>0</v>
      </c>
      <c r="EW22" s="4">
        <f t="shared" si="12"/>
        <v>0</v>
      </c>
      <c r="EX22" s="4">
        <f t="shared" si="12"/>
        <v>0</v>
      </c>
      <c r="EY22" s="4">
        <f t="shared" si="12"/>
        <v>0</v>
      </c>
      <c r="EZ22" s="4">
        <f t="shared" si="12"/>
        <v>0</v>
      </c>
      <c r="FA22" s="4">
        <f t="shared" si="12"/>
        <v>0</v>
      </c>
      <c r="FB22" s="4">
        <f t="shared" si="12"/>
        <v>0</v>
      </c>
      <c r="FC22" s="4">
        <f t="shared" si="12"/>
        <v>0</v>
      </c>
      <c r="FD22" s="4">
        <f t="shared" si="12"/>
        <v>0</v>
      </c>
      <c r="FE22" s="4">
        <f t="shared" si="12"/>
        <v>0</v>
      </c>
      <c r="FF22" s="4">
        <f t="shared" si="12"/>
        <v>0</v>
      </c>
      <c r="FG22" s="4">
        <f t="shared" si="12"/>
        <v>0</v>
      </c>
      <c r="FH22" s="4">
        <f t="shared" si="12"/>
        <v>0</v>
      </c>
      <c r="FI22" s="4">
        <f t="shared" si="12"/>
        <v>0</v>
      </c>
      <c r="FJ22" s="4">
        <f t="shared" si="12"/>
        <v>0</v>
      </c>
      <c r="FK22" s="4">
        <f t="shared" si="12"/>
        <v>0</v>
      </c>
      <c r="FL22" s="4">
        <f t="shared" si="12"/>
        <v>0</v>
      </c>
      <c r="FM22" s="4">
        <f t="shared" si="12"/>
        <v>0</v>
      </c>
      <c r="FN22" s="4">
        <f t="shared" si="12"/>
        <v>0</v>
      </c>
      <c r="FO22" s="4">
        <f t="shared" si="12"/>
        <v>0</v>
      </c>
      <c r="FP22" s="4">
        <f t="shared" si="12"/>
        <v>0</v>
      </c>
      <c r="FQ22" s="4">
        <f t="shared" si="12"/>
        <v>0</v>
      </c>
      <c r="FR22" s="4">
        <f t="shared" si="12"/>
        <v>0</v>
      </c>
      <c r="FS22" s="4">
        <f t="shared" ref="FS22:GX22" si="13">FS81</f>
        <v>0</v>
      </c>
      <c r="FT22" s="4">
        <f t="shared" si="13"/>
        <v>0</v>
      </c>
      <c r="FU22" s="4">
        <f t="shared" si="13"/>
        <v>0</v>
      </c>
      <c r="FV22" s="4">
        <f t="shared" si="13"/>
        <v>0</v>
      </c>
      <c r="FW22" s="4">
        <f t="shared" si="13"/>
        <v>0</v>
      </c>
      <c r="FX22" s="4">
        <f t="shared" si="13"/>
        <v>0</v>
      </c>
      <c r="FY22" s="4">
        <f t="shared" si="13"/>
        <v>0</v>
      </c>
      <c r="FZ22" s="4">
        <f t="shared" si="13"/>
        <v>0</v>
      </c>
      <c r="GA22" s="4">
        <f t="shared" si="13"/>
        <v>0</v>
      </c>
      <c r="GB22" s="4">
        <f t="shared" si="13"/>
        <v>0</v>
      </c>
      <c r="GC22" s="4">
        <f t="shared" si="13"/>
        <v>0</v>
      </c>
      <c r="GD22" s="4">
        <f t="shared" si="13"/>
        <v>0</v>
      </c>
      <c r="GE22" s="4">
        <f t="shared" si="13"/>
        <v>0</v>
      </c>
      <c r="GF22" s="4">
        <f t="shared" si="13"/>
        <v>0</v>
      </c>
      <c r="GG22" s="4">
        <f t="shared" si="13"/>
        <v>0</v>
      </c>
      <c r="GH22" s="4">
        <f t="shared" si="13"/>
        <v>0</v>
      </c>
      <c r="GI22" s="4">
        <f t="shared" si="13"/>
        <v>0</v>
      </c>
      <c r="GJ22" s="4">
        <f t="shared" si="13"/>
        <v>0</v>
      </c>
      <c r="GK22" s="4">
        <f t="shared" si="13"/>
        <v>0</v>
      </c>
      <c r="GL22" s="4">
        <f t="shared" si="13"/>
        <v>0</v>
      </c>
      <c r="GM22" s="4">
        <f t="shared" si="13"/>
        <v>0</v>
      </c>
      <c r="GN22" s="4">
        <f t="shared" si="13"/>
        <v>0</v>
      </c>
      <c r="GO22" s="4">
        <f t="shared" si="13"/>
        <v>0</v>
      </c>
      <c r="GP22" s="4">
        <f t="shared" si="13"/>
        <v>0</v>
      </c>
      <c r="GQ22" s="4">
        <f t="shared" si="13"/>
        <v>0</v>
      </c>
      <c r="GR22" s="4">
        <f t="shared" si="13"/>
        <v>0</v>
      </c>
      <c r="GS22" s="4">
        <f t="shared" si="13"/>
        <v>0</v>
      </c>
      <c r="GT22" s="4">
        <f t="shared" si="13"/>
        <v>0</v>
      </c>
      <c r="GU22" s="4">
        <f t="shared" si="13"/>
        <v>0</v>
      </c>
      <c r="GV22" s="4">
        <f t="shared" si="13"/>
        <v>0</v>
      </c>
      <c r="GW22" s="4">
        <f t="shared" si="13"/>
        <v>0</v>
      </c>
      <c r="GX22" s="4">
        <f t="shared" si="13"/>
        <v>0</v>
      </c>
    </row>
    <row r="24" spans="1:255" x14ac:dyDescent="0.2">
      <c r="A24" s="1">
        <v>4</v>
      </c>
      <c r="B24" s="1">
        <v>1</v>
      </c>
      <c r="C24" s="1"/>
      <c r="D24" s="1">
        <f>ROW(A51)</f>
        <v>51</v>
      </c>
      <c r="E24" s="1"/>
      <c r="F24" s="1" t="s">
        <v>18</v>
      </c>
      <c r="G24" s="1" t="s">
        <v>19</v>
      </c>
      <c r="H24" s="1" t="s">
        <v>3</v>
      </c>
      <c r="I24" s="1">
        <v>0</v>
      </c>
      <c r="J24" s="1"/>
      <c r="K24" s="1">
        <v>0</v>
      </c>
      <c r="L24" s="1"/>
      <c r="M24" s="1" t="s">
        <v>3</v>
      </c>
      <c r="N24" s="1"/>
      <c r="O24" s="1"/>
      <c r="P24" s="1"/>
      <c r="Q24" s="1"/>
      <c r="R24" s="1"/>
      <c r="S24" s="1">
        <v>0</v>
      </c>
      <c r="T24" s="1">
        <v>0</v>
      </c>
      <c r="U24" s="1" t="s">
        <v>3</v>
      </c>
      <c r="V24" s="1">
        <v>2</v>
      </c>
      <c r="W24" s="1"/>
      <c r="X24" s="1"/>
      <c r="Y24" s="1"/>
      <c r="Z24" s="1"/>
      <c r="AA24" s="1"/>
      <c r="AB24" s="1" t="s">
        <v>3</v>
      </c>
      <c r="AC24" s="1" t="s">
        <v>3</v>
      </c>
      <c r="AD24" s="1" t="s">
        <v>3</v>
      </c>
      <c r="AE24" s="1" t="s">
        <v>3</v>
      </c>
      <c r="AF24" s="1" t="s">
        <v>3</v>
      </c>
      <c r="AG24" s="1" t="s">
        <v>3</v>
      </c>
      <c r="AH24" s="1"/>
      <c r="AI24" s="1"/>
      <c r="AJ24" s="1"/>
      <c r="AK24" s="1"/>
      <c r="AL24" s="1"/>
      <c r="AM24" s="1"/>
      <c r="AN24" s="1"/>
      <c r="AO24" s="1"/>
      <c r="AP24" s="1" t="s">
        <v>3</v>
      </c>
      <c r="AQ24" s="1" t="s">
        <v>3</v>
      </c>
      <c r="AR24" s="1" t="s">
        <v>3</v>
      </c>
      <c r="AS24" s="1"/>
      <c r="AT24" s="1"/>
      <c r="AU24" s="1"/>
      <c r="AV24" s="1"/>
      <c r="AW24" s="1"/>
      <c r="AX24" s="1"/>
      <c r="AY24" s="1"/>
      <c r="AZ24" s="1" t="s">
        <v>3</v>
      </c>
      <c r="BA24" s="1"/>
      <c r="BB24" s="1" t="s">
        <v>3</v>
      </c>
      <c r="BC24" s="1" t="s">
        <v>3</v>
      </c>
      <c r="BD24" s="1" t="s">
        <v>3</v>
      </c>
      <c r="BE24" s="1" t="s">
        <v>3</v>
      </c>
      <c r="BF24" s="1" t="s">
        <v>3</v>
      </c>
      <c r="BG24" s="1" t="s">
        <v>3</v>
      </c>
      <c r="BH24" s="1" t="s">
        <v>3</v>
      </c>
      <c r="BI24" s="1" t="s">
        <v>3</v>
      </c>
      <c r="BJ24" s="1" t="s">
        <v>3</v>
      </c>
      <c r="BK24" s="1" t="s">
        <v>3</v>
      </c>
      <c r="BL24" s="1" t="s">
        <v>3</v>
      </c>
      <c r="BM24" s="1" t="s">
        <v>3</v>
      </c>
      <c r="BN24" s="1" t="s">
        <v>3</v>
      </c>
      <c r="BO24" s="1" t="s">
        <v>3</v>
      </c>
      <c r="BP24" s="1" t="s">
        <v>3</v>
      </c>
      <c r="BQ24" s="1"/>
      <c r="BR24" s="1"/>
      <c r="BS24" s="1"/>
      <c r="BT24" s="1"/>
      <c r="BU24" s="1"/>
      <c r="BV24" s="1"/>
      <c r="BW24" s="1"/>
      <c r="BX24" s="1">
        <v>0</v>
      </c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>
        <v>0</v>
      </c>
    </row>
    <row r="26" spans="1:255" x14ac:dyDescent="0.2">
      <c r="A26" s="3">
        <v>52</v>
      </c>
      <c r="B26" s="3">
        <f t="shared" ref="B26:G26" si="14">B51</f>
        <v>1</v>
      </c>
      <c r="C26" s="3">
        <f t="shared" si="14"/>
        <v>4</v>
      </c>
      <c r="D26" s="3">
        <f t="shared" si="14"/>
        <v>24</v>
      </c>
      <c r="E26" s="3">
        <f t="shared" si="14"/>
        <v>0</v>
      </c>
      <c r="F26" s="3" t="str">
        <f t="shared" si="14"/>
        <v>Новый раздел</v>
      </c>
      <c r="G26" s="3" t="str">
        <f t="shared" si="14"/>
        <v>Оборудование</v>
      </c>
      <c r="H26" s="3"/>
      <c r="I26" s="3"/>
      <c r="J26" s="3"/>
      <c r="K26" s="3"/>
      <c r="L26" s="3"/>
      <c r="M26" s="3"/>
      <c r="N26" s="3"/>
      <c r="O26" s="3">
        <f t="shared" ref="O26:AT26" si="15">O51</f>
        <v>376019.07</v>
      </c>
      <c r="P26" s="3">
        <f t="shared" si="15"/>
        <v>375907.12</v>
      </c>
      <c r="Q26" s="3">
        <f t="shared" si="15"/>
        <v>12</v>
      </c>
      <c r="R26" s="3">
        <f t="shared" si="15"/>
        <v>1.6</v>
      </c>
      <c r="S26" s="3">
        <f t="shared" si="15"/>
        <v>99.95</v>
      </c>
      <c r="T26" s="3">
        <f t="shared" si="15"/>
        <v>0</v>
      </c>
      <c r="U26" s="3">
        <f t="shared" si="15"/>
        <v>8.0418206000000012</v>
      </c>
      <c r="V26" s="3">
        <f t="shared" si="15"/>
        <v>0</v>
      </c>
      <c r="W26" s="3">
        <f t="shared" si="15"/>
        <v>0</v>
      </c>
      <c r="X26" s="3">
        <f t="shared" si="15"/>
        <v>99.96</v>
      </c>
      <c r="Y26" s="3">
        <f t="shared" si="15"/>
        <v>53.02</v>
      </c>
      <c r="Z26" s="3">
        <f t="shared" si="15"/>
        <v>0</v>
      </c>
      <c r="AA26" s="3">
        <f t="shared" si="15"/>
        <v>0</v>
      </c>
      <c r="AB26" s="3">
        <f t="shared" si="15"/>
        <v>376019.07</v>
      </c>
      <c r="AC26" s="3">
        <f t="shared" si="15"/>
        <v>375907.12</v>
      </c>
      <c r="AD26" s="3">
        <f t="shared" si="15"/>
        <v>12</v>
      </c>
      <c r="AE26" s="3">
        <f t="shared" si="15"/>
        <v>1.6</v>
      </c>
      <c r="AF26" s="3">
        <f t="shared" si="15"/>
        <v>99.95</v>
      </c>
      <c r="AG26" s="3">
        <f t="shared" si="15"/>
        <v>0</v>
      </c>
      <c r="AH26" s="3">
        <f t="shared" si="15"/>
        <v>8.0418206000000012</v>
      </c>
      <c r="AI26" s="3">
        <f t="shared" si="15"/>
        <v>0</v>
      </c>
      <c r="AJ26" s="3">
        <f t="shared" si="15"/>
        <v>0</v>
      </c>
      <c r="AK26" s="3">
        <f t="shared" si="15"/>
        <v>99.96</v>
      </c>
      <c r="AL26" s="3">
        <f t="shared" si="15"/>
        <v>53.02</v>
      </c>
      <c r="AM26" s="3">
        <f t="shared" si="15"/>
        <v>0</v>
      </c>
      <c r="AN26" s="3">
        <f t="shared" si="15"/>
        <v>0</v>
      </c>
      <c r="AO26" s="3">
        <f t="shared" si="15"/>
        <v>0</v>
      </c>
      <c r="AP26" s="3">
        <f t="shared" si="15"/>
        <v>349619.17</v>
      </c>
      <c r="AQ26" s="3">
        <f t="shared" si="15"/>
        <v>0</v>
      </c>
      <c r="AR26" s="3">
        <f t="shared" si="15"/>
        <v>376172.05</v>
      </c>
      <c r="AS26" s="3">
        <f t="shared" si="15"/>
        <v>26421.05</v>
      </c>
      <c r="AT26" s="3">
        <f t="shared" si="15"/>
        <v>131.83000000000001</v>
      </c>
      <c r="AU26" s="3">
        <f t="shared" ref="AU26:BZ26" si="16">AU51</f>
        <v>0</v>
      </c>
      <c r="AV26" s="3">
        <f t="shared" si="16"/>
        <v>375907.12</v>
      </c>
      <c r="AW26" s="3">
        <f t="shared" si="16"/>
        <v>26287.95</v>
      </c>
      <c r="AX26" s="3">
        <f t="shared" si="16"/>
        <v>0</v>
      </c>
      <c r="AY26" s="3">
        <f t="shared" si="16"/>
        <v>26287.95</v>
      </c>
      <c r="AZ26" s="3">
        <f t="shared" si="16"/>
        <v>349619.17</v>
      </c>
      <c r="BA26" s="3">
        <f t="shared" si="16"/>
        <v>0</v>
      </c>
      <c r="BB26" s="3">
        <f t="shared" si="16"/>
        <v>0</v>
      </c>
      <c r="BC26" s="3">
        <f t="shared" si="16"/>
        <v>0</v>
      </c>
      <c r="BD26" s="3">
        <f t="shared" si="16"/>
        <v>0</v>
      </c>
      <c r="BE26" s="3">
        <f t="shared" si="16"/>
        <v>0</v>
      </c>
      <c r="BF26" s="3">
        <f t="shared" si="16"/>
        <v>0</v>
      </c>
      <c r="BG26" s="3">
        <f t="shared" si="16"/>
        <v>0</v>
      </c>
      <c r="BH26" s="3">
        <f t="shared" si="16"/>
        <v>0</v>
      </c>
      <c r="BI26" s="3">
        <f t="shared" si="16"/>
        <v>0</v>
      </c>
      <c r="BJ26" s="3">
        <f t="shared" si="16"/>
        <v>0</v>
      </c>
      <c r="BK26" s="3">
        <f t="shared" si="16"/>
        <v>0</v>
      </c>
      <c r="BL26" s="3">
        <f t="shared" si="16"/>
        <v>0</v>
      </c>
      <c r="BM26" s="3">
        <f t="shared" si="16"/>
        <v>0</v>
      </c>
      <c r="BN26" s="3">
        <f t="shared" si="16"/>
        <v>0</v>
      </c>
      <c r="BO26" s="3">
        <f t="shared" si="16"/>
        <v>0</v>
      </c>
      <c r="BP26" s="3">
        <f t="shared" si="16"/>
        <v>0</v>
      </c>
      <c r="BQ26" s="3">
        <f t="shared" si="16"/>
        <v>0</v>
      </c>
      <c r="BR26" s="3">
        <f t="shared" si="16"/>
        <v>0</v>
      </c>
      <c r="BS26" s="3">
        <f t="shared" si="16"/>
        <v>0</v>
      </c>
      <c r="BT26" s="3">
        <f t="shared" si="16"/>
        <v>0</v>
      </c>
      <c r="BU26" s="3">
        <f t="shared" si="16"/>
        <v>0</v>
      </c>
      <c r="BV26" s="3">
        <f t="shared" si="16"/>
        <v>0</v>
      </c>
      <c r="BW26" s="3">
        <f t="shared" si="16"/>
        <v>0</v>
      </c>
      <c r="BX26" s="3">
        <f t="shared" si="16"/>
        <v>0</v>
      </c>
      <c r="BY26" s="3">
        <f t="shared" si="16"/>
        <v>349619.17</v>
      </c>
      <c r="BZ26" s="3">
        <f t="shared" si="16"/>
        <v>0</v>
      </c>
      <c r="CA26" s="3">
        <f t="shared" ref="CA26:DF26" si="17">CA51</f>
        <v>376172.05</v>
      </c>
      <c r="CB26" s="3">
        <f t="shared" si="17"/>
        <v>26421.05</v>
      </c>
      <c r="CC26" s="3">
        <f t="shared" si="17"/>
        <v>131.83000000000001</v>
      </c>
      <c r="CD26" s="3">
        <f t="shared" si="17"/>
        <v>0</v>
      </c>
      <c r="CE26" s="3">
        <f t="shared" si="17"/>
        <v>375907.12</v>
      </c>
      <c r="CF26" s="3">
        <f t="shared" si="17"/>
        <v>26287.950000000012</v>
      </c>
      <c r="CG26" s="3">
        <f t="shared" si="17"/>
        <v>0</v>
      </c>
      <c r="CH26" s="3">
        <f t="shared" si="17"/>
        <v>26287.950000000012</v>
      </c>
      <c r="CI26" s="3">
        <f t="shared" si="17"/>
        <v>349619.17</v>
      </c>
      <c r="CJ26" s="3">
        <f t="shared" si="17"/>
        <v>0</v>
      </c>
      <c r="CK26" s="3">
        <f t="shared" si="17"/>
        <v>0</v>
      </c>
      <c r="CL26" s="3">
        <f t="shared" si="17"/>
        <v>0</v>
      </c>
      <c r="CM26" s="3">
        <f t="shared" si="17"/>
        <v>0</v>
      </c>
      <c r="CN26" s="3">
        <f t="shared" si="17"/>
        <v>0</v>
      </c>
      <c r="CO26" s="3">
        <f t="shared" si="17"/>
        <v>0</v>
      </c>
      <c r="CP26" s="3">
        <f t="shared" si="17"/>
        <v>0</v>
      </c>
      <c r="CQ26" s="3">
        <f t="shared" si="17"/>
        <v>0</v>
      </c>
      <c r="CR26" s="3">
        <f t="shared" si="17"/>
        <v>0</v>
      </c>
      <c r="CS26" s="3">
        <f t="shared" si="17"/>
        <v>0</v>
      </c>
      <c r="CT26" s="3">
        <f t="shared" si="17"/>
        <v>0</v>
      </c>
      <c r="CU26" s="3">
        <f t="shared" si="17"/>
        <v>0</v>
      </c>
      <c r="CV26" s="3">
        <f t="shared" si="17"/>
        <v>0</v>
      </c>
      <c r="CW26" s="3">
        <f t="shared" si="17"/>
        <v>0</v>
      </c>
      <c r="CX26" s="3">
        <f t="shared" si="17"/>
        <v>0</v>
      </c>
      <c r="CY26" s="3">
        <f t="shared" si="17"/>
        <v>0</v>
      </c>
      <c r="CZ26" s="3">
        <f t="shared" si="17"/>
        <v>0</v>
      </c>
      <c r="DA26" s="3">
        <f t="shared" si="17"/>
        <v>0</v>
      </c>
      <c r="DB26" s="3">
        <f t="shared" si="17"/>
        <v>0</v>
      </c>
      <c r="DC26" s="3">
        <f t="shared" si="17"/>
        <v>0</v>
      </c>
      <c r="DD26" s="3">
        <f t="shared" si="17"/>
        <v>0</v>
      </c>
      <c r="DE26" s="3">
        <f t="shared" si="17"/>
        <v>0</v>
      </c>
      <c r="DF26" s="3">
        <f t="shared" si="17"/>
        <v>0</v>
      </c>
      <c r="DG26" s="4">
        <f t="shared" ref="DG26:EL26" si="18">DG51</f>
        <v>2968853.64</v>
      </c>
      <c r="DH26" s="4">
        <f t="shared" si="18"/>
        <v>2963173.09</v>
      </c>
      <c r="DI26" s="4">
        <f t="shared" si="18"/>
        <v>184.3</v>
      </c>
      <c r="DJ26" s="4">
        <f t="shared" si="18"/>
        <v>87.99</v>
      </c>
      <c r="DK26" s="4">
        <f t="shared" si="18"/>
        <v>5496.25</v>
      </c>
      <c r="DL26" s="4">
        <f t="shared" si="18"/>
        <v>0</v>
      </c>
      <c r="DM26" s="4">
        <f t="shared" si="18"/>
        <v>8.0418206000000012</v>
      </c>
      <c r="DN26" s="4">
        <f t="shared" si="18"/>
        <v>0</v>
      </c>
      <c r="DO26" s="4">
        <f t="shared" si="18"/>
        <v>0</v>
      </c>
      <c r="DP26" s="4">
        <f t="shared" si="18"/>
        <v>5496.25</v>
      </c>
      <c r="DQ26" s="4">
        <f t="shared" si="18"/>
        <v>2915.68</v>
      </c>
      <c r="DR26" s="4">
        <f t="shared" si="18"/>
        <v>0</v>
      </c>
      <c r="DS26" s="4">
        <f t="shared" si="18"/>
        <v>0</v>
      </c>
      <c r="DT26" s="4">
        <f t="shared" si="18"/>
        <v>2968853.64</v>
      </c>
      <c r="DU26" s="4">
        <f t="shared" si="18"/>
        <v>2963173.09</v>
      </c>
      <c r="DV26" s="4">
        <f t="shared" si="18"/>
        <v>184.3</v>
      </c>
      <c r="DW26" s="4">
        <f t="shared" si="18"/>
        <v>87.99</v>
      </c>
      <c r="DX26" s="4">
        <f t="shared" si="18"/>
        <v>5496.25</v>
      </c>
      <c r="DY26" s="4">
        <f t="shared" si="18"/>
        <v>0</v>
      </c>
      <c r="DZ26" s="4">
        <f t="shared" si="18"/>
        <v>8.0418206000000012</v>
      </c>
      <c r="EA26" s="4">
        <f t="shared" si="18"/>
        <v>0</v>
      </c>
      <c r="EB26" s="4">
        <f t="shared" si="18"/>
        <v>0</v>
      </c>
      <c r="EC26" s="4">
        <f t="shared" si="18"/>
        <v>5496.25</v>
      </c>
      <c r="ED26" s="4">
        <f t="shared" si="18"/>
        <v>2915.68</v>
      </c>
      <c r="EE26" s="4">
        <f t="shared" si="18"/>
        <v>0</v>
      </c>
      <c r="EF26" s="4">
        <f t="shared" si="18"/>
        <v>0</v>
      </c>
      <c r="EG26" s="4">
        <f t="shared" si="18"/>
        <v>0</v>
      </c>
      <c r="EH26" s="4">
        <f t="shared" si="18"/>
        <v>2703457.95</v>
      </c>
      <c r="EI26" s="4">
        <f t="shared" si="18"/>
        <v>0</v>
      </c>
      <c r="EJ26" s="4">
        <f t="shared" si="18"/>
        <v>2977265.57</v>
      </c>
      <c r="EK26" s="4">
        <f t="shared" si="18"/>
        <v>266614.13</v>
      </c>
      <c r="EL26" s="4">
        <f t="shared" si="18"/>
        <v>7193.49</v>
      </c>
      <c r="EM26" s="4">
        <f t="shared" ref="EM26:FR26" si="19">EM51</f>
        <v>0</v>
      </c>
      <c r="EN26" s="4">
        <f t="shared" si="19"/>
        <v>2963173.09</v>
      </c>
      <c r="EO26" s="4">
        <f t="shared" si="19"/>
        <v>259715.14</v>
      </c>
      <c r="EP26" s="4">
        <f t="shared" si="19"/>
        <v>0</v>
      </c>
      <c r="EQ26" s="4">
        <f t="shared" si="19"/>
        <v>259715.14</v>
      </c>
      <c r="ER26" s="4">
        <f t="shared" si="19"/>
        <v>2703457.95</v>
      </c>
      <c r="ES26" s="4">
        <f t="shared" si="19"/>
        <v>0</v>
      </c>
      <c r="ET26" s="4">
        <f t="shared" si="19"/>
        <v>0</v>
      </c>
      <c r="EU26" s="4">
        <f t="shared" si="19"/>
        <v>0</v>
      </c>
      <c r="EV26" s="4">
        <f t="shared" si="19"/>
        <v>0</v>
      </c>
      <c r="EW26" s="4">
        <f t="shared" si="19"/>
        <v>0</v>
      </c>
      <c r="EX26" s="4">
        <f t="shared" si="19"/>
        <v>0</v>
      </c>
      <c r="EY26" s="4">
        <f t="shared" si="19"/>
        <v>0</v>
      </c>
      <c r="EZ26" s="4">
        <f t="shared" si="19"/>
        <v>0</v>
      </c>
      <c r="FA26" s="4">
        <f t="shared" si="19"/>
        <v>0</v>
      </c>
      <c r="FB26" s="4">
        <f t="shared" si="19"/>
        <v>0</v>
      </c>
      <c r="FC26" s="4">
        <f t="shared" si="19"/>
        <v>0</v>
      </c>
      <c r="FD26" s="4">
        <f t="shared" si="19"/>
        <v>0</v>
      </c>
      <c r="FE26" s="4">
        <f t="shared" si="19"/>
        <v>0</v>
      </c>
      <c r="FF26" s="4">
        <f t="shared" si="19"/>
        <v>0</v>
      </c>
      <c r="FG26" s="4">
        <f t="shared" si="19"/>
        <v>0</v>
      </c>
      <c r="FH26" s="4">
        <f t="shared" si="19"/>
        <v>0</v>
      </c>
      <c r="FI26" s="4">
        <f t="shared" si="19"/>
        <v>0</v>
      </c>
      <c r="FJ26" s="4">
        <f t="shared" si="19"/>
        <v>0</v>
      </c>
      <c r="FK26" s="4">
        <f t="shared" si="19"/>
        <v>0</v>
      </c>
      <c r="FL26" s="4">
        <f t="shared" si="19"/>
        <v>0</v>
      </c>
      <c r="FM26" s="4">
        <f t="shared" si="19"/>
        <v>0</v>
      </c>
      <c r="FN26" s="4">
        <f t="shared" si="19"/>
        <v>0</v>
      </c>
      <c r="FO26" s="4">
        <f t="shared" si="19"/>
        <v>0</v>
      </c>
      <c r="FP26" s="4">
        <f t="shared" si="19"/>
        <v>0</v>
      </c>
      <c r="FQ26" s="4">
        <f t="shared" si="19"/>
        <v>2703457.95</v>
      </c>
      <c r="FR26" s="4">
        <f t="shared" si="19"/>
        <v>0</v>
      </c>
      <c r="FS26" s="4">
        <f t="shared" ref="FS26:GX26" si="20">FS51</f>
        <v>2977265.57</v>
      </c>
      <c r="FT26" s="4">
        <f t="shared" si="20"/>
        <v>266614.13</v>
      </c>
      <c r="FU26" s="4">
        <f t="shared" si="20"/>
        <v>7193.49</v>
      </c>
      <c r="FV26" s="4">
        <f t="shared" si="20"/>
        <v>0</v>
      </c>
      <c r="FW26" s="4">
        <f t="shared" si="20"/>
        <v>2963173.09</v>
      </c>
      <c r="FX26" s="4">
        <f t="shared" si="20"/>
        <v>259715.13999999966</v>
      </c>
      <c r="FY26" s="4">
        <f t="shared" si="20"/>
        <v>0</v>
      </c>
      <c r="FZ26" s="4">
        <f t="shared" si="20"/>
        <v>259715.13999999966</v>
      </c>
      <c r="GA26" s="4">
        <f t="shared" si="20"/>
        <v>2703457.95</v>
      </c>
      <c r="GB26" s="4">
        <f t="shared" si="20"/>
        <v>0</v>
      </c>
      <c r="GC26" s="4">
        <f t="shared" si="20"/>
        <v>0</v>
      </c>
      <c r="GD26" s="4">
        <f t="shared" si="20"/>
        <v>0</v>
      </c>
      <c r="GE26" s="4">
        <f t="shared" si="20"/>
        <v>0</v>
      </c>
      <c r="GF26" s="4">
        <f t="shared" si="20"/>
        <v>0</v>
      </c>
      <c r="GG26" s="4">
        <f t="shared" si="20"/>
        <v>0</v>
      </c>
      <c r="GH26" s="4">
        <f t="shared" si="20"/>
        <v>0</v>
      </c>
      <c r="GI26" s="4">
        <f t="shared" si="20"/>
        <v>0</v>
      </c>
      <c r="GJ26" s="4">
        <f t="shared" si="20"/>
        <v>0</v>
      </c>
      <c r="GK26" s="4">
        <f t="shared" si="20"/>
        <v>0</v>
      </c>
      <c r="GL26" s="4">
        <f t="shared" si="20"/>
        <v>0</v>
      </c>
      <c r="GM26" s="4">
        <f t="shared" si="20"/>
        <v>0</v>
      </c>
      <c r="GN26" s="4">
        <f t="shared" si="20"/>
        <v>0</v>
      </c>
      <c r="GO26" s="4">
        <f t="shared" si="20"/>
        <v>0</v>
      </c>
      <c r="GP26" s="4">
        <f t="shared" si="20"/>
        <v>0</v>
      </c>
      <c r="GQ26" s="4">
        <f t="shared" si="20"/>
        <v>0</v>
      </c>
      <c r="GR26" s="4">
        <f t="shared" si="20"/>
        <v>0</v>
      </c>
      <c r="GS26" s="4">
        <f t="shared" si="20"/>
        <v>0</v>
      </c>
      <c r="GT26" s="4">
        <f t="shared" si="20"/>
        <v>0</v>
      </c>
      <c r="GU26" s="4">
        <f t="shared" si="20"/>
        <v>0</v>
      </c>
      <c r="GV26" s="4">
        <f t="shared" si="20"/>
        <v>0</v>
      </c>
      <c r="GW26" s="4">
        <f t="shared" si="20"/>
        <v>0</v>
      </c>
      <c r="GX26" s="4">
        <f t="shared" si="20"/>
        <v>0</v>
      </c>
    </row>
    <row r="28" spans="1:255" x14ac:dyDescent="0.2">
      <c r="A28" s="2">
        <v>17</v>
      </c>
      <c r="B28" s="2">
        <v>1</v>
      </c>
      <c r="C28" s="2">
        <f>ROW(SmtRes!A3)</f>
        <v>3</v>
      </c>
      <c r="D28" s="2">
        <f>ROW(EtalonRes!A4)</f>
        <v>4</v>
      </c>
      <c r="E28" s="2" t="s">
        <v>20</v>
      </c>
      <c r="F28" s="2" t="s">
        <v>21</v>
      </c>
      <c r="G28" s="2" t="s">
        <v>22</v>
      </c>
      <c r="H28" s="2" t="s">
        <v>23</v>
      </c>
      <c r="I28" s="2">
        <f>ROUND(ROUND(2,4),9)</f>
        <v>2</v>
      </c>
      <c r="J28" s="2">
        <v>0</v>
      </c>
      <c r="K28" s="2">
        <f>ROUND(ROUND(2,4),9)</f>
        <v>2</v>
      </c>
      <c r="L28" s="2"/>
      <c r="M28" s="2"/>
      <c r="N28" s="2"/>
      <c r="O28" s="2">
        <f t="shared" ref="O28:O49" si="21">ROUND(CP28,2)</f>
        <v>56.55</v>
      </c>
      <c r="P28" s="2">
        <f>ROUND((ROUND((AC28*AW28*I28),2)*BC28),2)</f>
        <v>0</v>
      </c>
      <c r="Q28" s="2">
        <f>(ROUND((ROUND((((ET28*1.1))*AV28*I28),2)*BB28),2)+ROUND((ROUND(((AE28-((EU28*1.1)))*AV28*I28),2)*BS28),2))</f>
        <v>1.2</v>
      </c>
      <c r="R28" s="2">
        <f t="shared" ref="R28:R49" si="22">ROUND((ROUND((AE28*AV28*I28),2)*BS28),2)</f>
        <v>0</v>
      </c>
      <c r="S28" s="2">
        <f t="shared" ref="S28:S49" si="23">ROUND((ROUND((AF28*AV28*I28),2)*BA28),2)</f>
        <v>55.35</v>
      </c>
      <c r="T28" s="2">
        <f t="shared" ref="T28:T49" si="24">ROUND(CU28*I28,2)</f>
        <v>0</v>
      </c>
      <c r="U28" s="2">
        <f t="shared" ref="U28:U49" si="25">CV28*I28</f>
        <v>3.9671059999999998</v>
      </c>
      <c r="V28" s="2">
        <f t="shared" ref="V28:V49" si="26">CW28*I28</f>
        <v>0</v>
      </c>
      <c r="W28" s="2">
        <f t="shared" ref="W28:W49" si="27">ROUND(CX28*I28,2)</f>
        <v>0</v>
      </c>
      <c r="X28" s="2">
        <f t="shared" ref="X28:X49" si="28">ROUND(CY28,2)</f>
        <v>49.82</v>
      </c>
      <c r="Y28" s="2">
        <f t="shared" ref="Y28:Y49" si="29">ROUND(CZ28,2)</f>
        <v>25.46</v>
      </c>
      <c r="Z28" s="2"/>
      <c r="AA28" s="2">
        <v>59214062</v>
      </c>
      <c r="AB28" s="2">
        <f t="shared" ref="AB28:AB49" si="30">ROUND((AC28+AD28+AF28),6)</f>
        <v>26.498999999999999</v>
      </c>
      <c r="AC28" s="2">
        <f>ROUND(((ES28*1)),6)</f>
        <v>0</v>
      </c>
      <c r="AD28" s="2">
        <f>ROUND(((((ET28*1.1))-((EU28*1.1)))+AE28),6)</f>
        <v>0.56100000000000005</v>
      </c>
      <c r="AE28" s="2">
        <f>ROUND(((EU28*1.1)),6)</f>
        <v>0</v>
      </c>
      <c r="AF28" s="2">
        <f>ROUND(((EV28*1.1)),6)</f>
        <v>25.937999999999999</v>
      </c>
      <c r="AG28" s="2">
        <f t="shared" ref="AG28:AG49" si="31">ROUND((AP28),6)</f>
        <v>0</v>
      </c>
      <c r="AH28" s="2">
        <f>((EW28*1.1))</f>
        <v>1.859</v>
      </c>
      <c r="AI28" s="2">
        <f>((EX28*1.1))</f>
        <v>0</v>
      </c>
      <c r="AJ28" s="2">
        <f t="shared" ref="AJ28:AJ49" si="32">(AS28)</f>
        <v>0</v>
      </c>
      <c r="AK28" s="2">
        <v>24.09</v>
      </c>
      <c r="AL28" s="2">
        <v>0</v>
      </c>
      <c r="AM28" s="2">
        <v>0.51</v>
      </c>
      <c r="AN28" s="2">
        <v>0</v>
      </c>
      <c r="AO28" s="2">
        <v>23.58</v>
      </c>
      <c r="AP28" s="2">
        <v>0</v>
      </c>
      <c r="AQ28" s="2">
        <v>1.69</v>
      </c>
      <c r="AR28" s="2">
        <v>0</v>
      </c>
      <c r="AS28" s="2">
        <v>0</v>
      </c>
      <c r="AT28" s="2">
        <v>90</v>
      </c>
      <c r="AU28" s="2">
        <v>46</v>
      </c>
      <c r="AV28" s="2">
        <v>1.0669999999999999</v>
      </c>
      <c r="AW28" s="2">
        <v>1.028</v>
      </c>
      <c r="AX28" s="2"/>
      <c r="AY28" s="2"/>
      <c r="AZ28" s="2">
        <v>1</v>
      </c>
      <c r="BA28" s="2">
        <v>1</v>
      </c>
      <c r="BB28" s="2">
        <v>1</v>
      </c>
      <c r="BC28" s="2">
        <v>1</v>
      </c>
      <c r="BD28" s="2" t="s">
        <v>3</v>
      </c>
      <c r="BE28" s="2" t="s">
        <v>3</v>
      </c>
      <c r="BF28" s="2" t="s">
        <v>3</v>
      </c>
      <c r="BG28" s="2" t="s">
        <v>3</v>
      </c>
      <c r="BH28" s="2">
        <v>0</v>
      </c>
      <c r="BI28" s="2">
        <v>2</v>
      </c>
      <c r="BJ28" s="2" t="s">
        <v>24</v>
      </c>
      <c r="BK28" s="2"/>
      <c r="BL28" s="2"/>
      <c r="BM28" s="2">
        <v>68</v>
      </c>
      <c r="BN28" s="2">
        <v>58808062</v>
      </c>
      <c r="BO28" s="2" t="s">
        <v>21</v>
      </c>
      <c r="BP28" s="2">
        <v>1</v>
      </c>
      <c r="BQ28" s="2">
        <v>40</v>
      </c>
      <c r="BR28" s="2">
        <v>0</v>
      </c>
      <c r="BS28" s="2">
        <v>1</v>
      </c>
      <c r="BT28" s="2">
        <v>1</v>
      </c>
      <c r="BU28" s="2">
        <v>1</v>
      </c>
      <c r="BV28" s="2">
        <v>1</v>
      </c>
      <c r="BW28" s="2">
        <v>1</v>
      </c>
      <c r="BX28" s="2">
        <v>1</v>
      </c>
      <c r="BY28" s="2" t="s">
        <v>3</v>
      </c>
      <c r="BZ28" s="2">
        <v>90</v>
      </c>
      <c r="CA28" s="2">
        <v>46</v>
      </c>
      <c r="CB28" s="2" t="s">
        <v>3</v>
      </c>
      <c r="CC28" s="2"/>
      <c r="CD28" s="2"/>
      <c r="CE28" s="2">
        <v>30</v>
      </c>
      <c r="CF28" s="2">
        <v>0</v>
      </c>
      <c r="CG28" s="2">
        <v>0</v>
      </c>
      <c r="CH28" s="2"/>
      <c r="CI28" s="2"/>
      <c r="CJ28" s="2"/>
      <c r="CK28" s="2"/>
      <c r="CL28" s="2"/>
      <c r="CM28" s="2">
        <v>0</v>
      </c>
      <c r="CN28" s="2" t="s">
        <v>194</v>
      </c>
      <c r="CO28" s="2">
        <v>0</v>
      </c>
      <c r="CP28" s="2">
        <f t="shared" ref="CP28:CP49" si="33">(P28+Q28+S28)</f>
        <v>56.550000000000004</v>
      </c>
      <c r="CQ28" s="2">
        <f>ROUND((ROUND((AC28*AW28*1),2)*BC28),2)</f>
        <v>0</v>
      </c>
      <c r="CR28" s="2">
        <f>(ROUND((ROUND((((ET28*1.1))*AV28*1),2)*BB28),2)+ROUND((ROUND(((AE28-((EU28*1.1)))*AV28*1),2)*BS28),2))</f>
        <v>0.6</v>
      </c>
      <c r="CS28" s="2">
        <f t="shared" ref="CS28:CS49" si="34">ROUND((ROUND((AE28*AV28*1),2)*BS28),2)</f>
        <v>0</v>
      </c>
      <c r="CT28" s="2">
        <f t="shared" ref="CT28:CT49" si="35">ROUND((ROUND((AF28*AV28*1),2)*BA28),2)</f>
        <v>27.68</v>
      </c>
      <c r="CU28" s="2">
        <f t="shared" ref="CU28:CU49" si="36">AG28</f>
        <v>0</v>
      </c>
      <c r="CV28" s="2">
        <f t="shared" ref="CV28:CV49" si="37">(AH28*AV28)</f>
        <v>1.9835529999999999</v>
      </c>
      <c r="CW28" s="2">
        <f t="shared" ref="CW28:CW49" si="38">AI28</f>
        <v>0</v>
      </c>
      <c r="CX28" s="2">
        <f t="shared" ref="CX28:CX49" si="39">AJ28</f>
        <v>0</v>
      </c>
      <c r="CY28" s="2">
        <f t="shared" ref="CY28:CY49" si="40">(((S28+R28)*AT28)/100)</f>
        <v>49.814999999999998</v>
      </c>
      <c r="CZ28" s="2">
        <f t="shared" ref="CZ28:CZ49" si="41">(((S28+R28)*AU28)/100)</f>
        <v>25.460999999999999</v>
      </c>
      <c r="DA28" s="2"/>
      <c r="DB28" s="2">
        <v>1</v>
      </c>
      <c r="DC28" s="2" t="s">
        <v>3</v>
      </c>
      <c r="DD28" s="2" t="s">
        <v>25</v>
      </c>
      <c r="DE28" s="2" t="s">
        <v>26</v>
      </c>
      <c r="DF28" s="2" t="s">
        <v>26</v>
      </c>
      <c r="DG28" s="2" t="s">
        <v>26</v>
      </c>
      <c r="DH28" s="2" t="s">
        <v>3</v>
      </c>
      <c r="DI28" s="2" t="s">
        <v>26</v>
      </c>
      <c r="DJ28" s="2" t="s">
        <v>26</v>
      </c>
      <c r="DK28" s="2" t="s">
        <v>3</v>
      </c>
      <c r="DL28" s="2" t="s">
        <v>3</v>
      </c>
      <c r="DM28" s="2" t="s">
        <v>3</v>
      </c>
      <c r="DN28" s="2">
        <v>0</v>
      </c>
      <c r="DO28" s="2">
        <v>0</v>
      </c>
      <c r="DP28" s="2">
        <v>1</v>
      </c>
      <c r="DQ28" s="2">
        <v>1</v>
      </c>
      <c r="DR28" s="2"/>
      <c r="DS28" s="2"/>
      <c r="DT28" s="2"/>
      <c r="DU28" s="2">
        <v>1013</v>
      </c>
      <c r="DV28" s="2" t="s">
        <v>23</v>
      </c>
      <c r="DW28" s="2" t="s">
        <v>23</v>
      </c>
      <c r="DX28" s="2">
        <v>1</v>
      </c>
      <c r="DY28" s="2"/>
      <c r="DZ28" s="2" t="s">
        <v>3</v>
      </c>
      <c r="EA28" s="2" t="s">
        <v>3</v>
      </c>
      <c r="EB28" s="2" t="s">
        <v>3</v>
      </c>
      <c r="EC28" s="2" t="s">
        <v>3</v>
      </c>
      <c r="ED28" s="2"/>
      <c r="EE28" s="2">
        <v>58808178</v>
      </c>
      <c r="EF28" s="2">
        <v>40</v>
      </c>
      <c r="EG28" s="2" t="s">
        <v>27</v>
      </c>
      <c r="EH28" s="2">
        <v>0</v>
      </c>
      <c r="EI28" s="2" t="s">
        <v>3</v>
      </c>
      <c r="EJ28" s="2">
        <v>2</v>
      </c>
      <c r="EK28" s="2">
        <v>68</v>
      </c>
      <c r="EL28" s="2" t="s">
        <v>28</v>
      </c>
      <c r="EM28" s="2" t="s">
        <v>29</v>
      </c>
      <c r="EN28" s="2"/>
      <c r="EO28" s="2" t="s">
        <v>30</v>
      </c>
      <c r="EP28" s="2"/>
      <c r="EQ28" s="2">
        <v>0</v>
      </c>
      <c r="ER28" s="2">
        <v>24.09</v>
      </c>
      <c r="ES28" s="2">
        <v>0</v>
      </c>
      <c r="ET28" s="2">
        <v>0.51</v>
      </c>
      <c r="EU28" s="2">
        <v>0</v>
      </c>
      <c r="EV28" s="2">
        <v>23.58</v>
      </c>
      <c r="EW28" s="2">
        <v>1.69</v>
      </c>
      <c r="EX28" s="2">
        <v>0</v>
      </c>
      <c r="EY28" s="2">
        <v>0</v>
      </c>
      <c r="EZ28" s="2"/>
      <c r="FA28" s="2"/>
      <c r="FB28" s="2"/>
      <c r="FC28" s="2"/>
      <c r="FD28" s="2"/>
      <c r="FE28" s="2"/>
      <c r="FF28" s="2"/>
      <c r="FG28" s="2"/>
      <c r="FH28" s="2"/>
      <c r="FI28" s="2"/>
      <c r="FJ28" s="2"/>
      <c r="FK28" s="2"/>
      <c r="FL28" s="2"/>
      <c r="FM28" s="2"/>
      <c r="FN28" s="2"/>
      <c r="FO28" s="2"/>
      <c r="FP28" s="2"/>
      <c r="FQ28" s="2">
        <v>0</v>
      </c>
      <c r="FR28" s="2">
        <v>0</v>
      </c>
      <c r="FS28" s="2">
        <v>0</v>
      </c>
      <c r="FT28" s="2"/>
      <c r="FU28" s="2"/>
      <c r="FV28" s="2"/>
      <c r="FW28" s="2"/>
      <c r="FX28" s="2">
        <v>90</v>
      </c>
      <c r="FY28" s="2">
        <v>46</v>
      </c>
      <c r="FZ28" s="2"/>
      <c r="GA28" s="2" t="s">
        <v>3</v>
      </c>
      <c r="GB28" s="2"/>
      <c r="GC28" s="2"/>
      <c r="GD28" s="2">
        <v>1</v>
      </c>
      <c r="GE28" s="2"/>
      <c r="GF28" s="2">
        <v>363374648</v>
      </c>
      <c r="GG28" s="2">
        <v>2</v>
      </c>
      <c r="GH28" s="2">
        <v>1</v>
      </c>
      <c r="GI28" s="2">
        <v>2</v>
      </c>
      <c r="GJ28" s="2">
        <v>0</v>
      </c>
      <c r="GK28" s="2">
        <v>0</v>
      </c>
      <c r="GL28" s="2">
        <f t="shared" ref="GL28:GL49" si="42">ROUND(IF(AND(BH28=3,BI28=3,FS28&lt;&gt;0),P28,0),2)</f>
        <v>0</v>
      </c>
      <c r="GM28" s="2">
        <f t="shared" ref="GM28:GM49" si="43">ROUND(O28+X28+Y28,2)+GX28</f>
        <v>131.83000000000001</v>
      </c>
      <c r="GN28" s="2">
        <f t="shared" ref="GN28:GN49" si="44">IF(OR(BI28=0,BI28=1),GM28-GX28,0)</f>
        <v>0</v>
      </c>
      <c r="GO28" s="2">
        <f t="shared" ref="GO28:GO49" si="45">IF(BI28=2,GM28-GX28,0)</f>
        <v>131.83000000000001</v>
      </c>
      <c r="GP28" s="2">
        <f t="shared" ref="GP28:GP49" si="46">IF(BI28=4,GM28-GX28,0)</f>
        <v>0</v>
      </c>
      <c r="GQ28" s="2"/>
      <c r="GR28" s="2">
        <v>0</v>
      </c>
      <c r="GS28" s="2">
        <v>3</v>
      </c>
      <c r="GT28" s="2">
        <v>0</v>
      </c>
      <c r="GU28" s="2" t="s">
        <v>3</v>
      </c>
      <c r="GV28" s="2">
        <f t="shared" ref="GV28:GV49" si="47">ROUND((GT28),6)</f>
        <v>0</v>
      </c>
      <c r="GW28" s="2">
        <v>1</v>
      </c>
      <c r="GX28" s="2">
        <f t="shared" ref="GX28:GX49" si="48">ROUND(HC28*I28,2)</f>
        <v>0</v>
      </c>
      <c r="GY28" s="2"/>
      <c r="GZ28" s="2"/>
      <c r="HA28" s="2">
        <v>0</v>
      </c>
      <c r="HB28" s="2">
        <v>0</v>
      </c>
      <c r="HC28" s="2">
        <f t="shared" ref="HC28:HC49" si="49">GV28*GW28</f>
        <v>0</v>
      </c>
      <c r="HD28" s="2"/>
      <c r="HE28" s="2" t="s">
        <v>3</v>
      </c>
      <c r="HF28" s="2" t="s">
        <v>3</v>
      </c>
      <c r="HG28" s="2"/>
      <c r="HH28" s="2"/>
      <c r="HI28" s="2"/>
      <c r="HJ28" s="2"/>
      <c r="HK28" s="2"/>
      <c r="HL28" s="2"/>
      <c r="HM28" s="2" t="s">
        <v>3</v>
      </c>
      <c r="HN28" s="2" t="s">
        <v>3</v>
      </c>
      <c r="HO28" s="2" t="s">
        <v>3</v>
      </c>
      <c r="HP28" s="2" t="s">
        <v>3</v>
      </c>
      <c r="HQ28" s="2" t="s">
        <v>3</v>
      </c>
      <c r="HR28" s="2"/>
      <c r="HS28" s="2">
        <v>0</v>
      </c>
      <c r="HT28" s="2"/>
      <c r="HU28" s="2"/>
      <c r="HV28" s="2"/>
      <c r="HW28" s="2"/>
      <c r="HX28" s="2"/>
      <c r="HY28" s="2"/>
      <c r="HZ28" s="2"/>
      <c r="IA28" s="2"/>
      <c r="IB28" s="2"/>
      <c r="IC28" s="2"/>
      <c r="ID28" s="2"/>
      <c r="IE28" s="2"/>
      <c r="IF28" s="2"/>
      <c r="IG28" s="2"/>
      <c r="IH28" s="2"/>
      <c r="II28" s="2"/>
      <c r="IJ28" s="2"/>
      <c r="IK28" s="2">
        <v>0</v>
      </c>
      <c r="IL28" s="2"/>
      <c r="IM28" s="2"/>
      <c r="IN28" s="2"/>
      <c r="IO28" s="2"/>
      <c r="IP28" s="2"/>
      <c r="IQ28" s="2"/>
      <c r="IR28" s="2"/>
      <c r="IS28" s="2"/>
      <c r="IT28" s="2"/>
      <c r="IU28" s="2"/>
    </row>
    <row r="29" spans="1:255" x14ac:dyDescent="0.2">
      <c r="A29">
        <v>17</v>
      </c>
      <c r="B29">
        <v>1</v>
      </c>
      <c r="C29">
        <f>ROW(SmtRes!A6)</f>
        <v>6</v>
      </c>
      <c r="D29">
        <f>ROW(EtalonRes!A8)</f>
        <v>8</v>
      </c>
      <c r="E29" t="s">
        <v>20</v>
      </c>
      <c r="F29" t="s">
        <v>21</v>
      </c>
      <c r="G29" t="s">
        <v>22</v>
      </c>
      <c r="H29" t="s">
        <v>23</v>
      </c>
      <c r="I29">
        <f>ROUND(ROUND(2,4),9)</f>
        <v>2</v>
      </c>
      <c r="J29">
        <v>0</v>
      </c>
      <c r="K29">
        <f>ROUND(ROUND(2,4),9)</f>
        <v>2</v>
      </c>
      <c r="O29">
        <f t="shared" si="21"/>
        <v>3054.06</v>
      </c>
      <c r="P29">
        <f>ROUND((ROUND((AC29*AW29*I29),2)*BC29),2)</f>
        <v>0</v>
      </c>
      <c r="Q29">
        <f>(ROUND((ROUND((((ET29*1.1))*AV29*I29),2)*BB29),2)+ROUND((ROUND(((AE29-((EU29*1.1)))*AV29*I29),2)*BS29),2))</f>
        <v>10.36</v>
      </c>
      <c r="R29">
        <f t="shared" si="22"/>
        <v>0</v>
      </c>
      <c r="S29">
        <f t="shared" si="23"/>
        <v>3043.7</v>
      </c>
      <c r="T29">
        <f t="shared" si="24"/>
        <v>0</v>
      </c>
      <c r="U29">
        <f t="shared" si="25"/>
        <v>3.9671059999999998</v>
      </c>
      <c r="V29">
        <f t="shared" si="26"/>
        <v>0</v>
      </c>
      <c r="W29">
        <f t="shared" si="27"/>
        <v>0</v>
      </c>
      <c r="X29">
        <f t="shared" si="28"/>
        <v>2739.33</v>
      </c>
      <c r="Y29">
        <f t="shared" si="29"/>
        <v>1400.1</v>
      </c>
      <c r="AA29">
        <v>59214059</v>
      </c>
      <c r="AB29">
        <f t="shared" si="30"/>
        <v>26.498999999999999</v>
      </c>
      <c r="AC29">
        <f>ROUND(((ES29*1)),6)</f>
        <v>0</v>
      </c>
      <c r="AD29">
        <f>ROUND(((((ET29*1.1))-((EU29*1.1)))+AE29),6)</f>
        <v>0.56100000000000005</v>
      </c>
      <c r="AE29">
        <f>ROUND(((EU29*1.1)),6)</f>
        <v>0</v>
      </c>
      <c r="AF29">
        <f>ROUND(((EV29*1.1)),6)</f>
        <v>25.937999999999999</v>
      </c>
      <c r="AG29">
        <f t="shared" si="31"/>
        <v>0</v>
      </c>
      <c r="AH29">
        <f>((EW29*1.1))</f>
        <v>1.859</v>
      </c>
      <c r="AI29">
        <f>((EX29*1.1))</f>
        <v>0</v>
      </c>
      <c r="AJ29">
        <f t="shared" si="32"/>
        <v>0</v>
      </c>
      <c r="AK29">
        <v>24.09</v>
      </c>
      <c r="AL29">
        <v>0</v>
      </c>
      <c r="AM29">
        <v>0.51</v>
      </c>
      <c r="AN29">
        <v>0</v>
      </c>
      <c r="AO29">
        <v>23.58</v>
      </c>
      <c r="AP29">
        <v>0</v>
      </c>
      <c r="AQ29">
        <v>1.69</v>
      </c>
      <c r="AR29">
        <v>0</v>
      </c>
      <c r="AS29">
        <v>0</v>
      </c>
      <c r="AT29">
        <v>90</v>
      </c>
      <c r="AU29">
        <v>46</v>
      </c>
      <c r="AV29">
        <v>1.0669999999999999</v>
      </c>
      <c r="AW29">
        <v>1.028</v>
      </c>
      <c r="AZ29">
        <v>1</v>
      </c>
      <c r="BA29">
        <v>54.99</v>
      </c>
      <c r="BB29">
        <v>8.6300000000000008</v>
      </c>
      <c r="BC29">
        <v>1</v>
      </c>
      <c r="BD29" t="s">
        <v>3</v>
      </c>
      <c r="BE29" t="s">
        <v>3</v>
      </c>
      <c r="BF29" t="s">
        <v>3</v>
      </c>
      <c r="BG29" t="s">
        <v>3</v>
      </c>
      <c r="BH29">
        <v>0</v>
      </c>
      <c r="BI29">
        <v>2</v>
      </c>
      <c r="BJ29" t="s">
        <v>24</v>
      </c>
      <c r="BM29">
        <v>68</v>
      </c>
      <c r="BN29">
        <v>58808062</v>
      </c>
      <c r="BO29" t="s">
        <v>21</v>
      </c>
      <c r="BP29">
        <v>1</v>
      </c>
      <c r="BQ29">
        <v>40</v>
      </c>
      <c r="BR29">
        <v>0</v>
      </c>
      <c r="BS29">
        <v>54.99</v>
      </c>
      <c r="BT29">
        <v>1</v>
      </c>
      <c r="BU29">
        <v>1</v>
      </c>
      <c r="BV29">
        <v>1</v>
      </c>
      <c r="BW29">
        <v>1</v>
      </c>
      <c r="BX29">
        <v>1</v>
      </c>
      <c r="BY29" t="s">
        <v>3</v>
      </c>
      <c r="BZ29">
        <v>90</v>
      </c>
      <c r="CA29">
        <v>46</v>
      </c>
      <c r="CB29" t="s">
        <v>3</v>
      </c>
      <c r="CE29">
        <v>30</v>
      </c>
      <c r="CF29">
        <v>0</v>
      </c>
      <c r="CG29">
        <v>0</v>
      </c>
      <c r="CM29">
        <v>0</v>
      </c>
      <c r="CN29" t="s">
        <v>194</v>
      </c>
      <c r="CO29">
        <v>0</v>
      </c>
      <c r="CP29">
        <f t="shared" si="33"/>
        <v>3054.06</v>
      </c>
      <c r="CQ29">
        <f>ROUND((ROUND((AC29*AW29*1),2)*BC29),2)</f>
        <v>0</v>
      </c>
      <c r="CR29">
        <f>(ROUND((ROUND((((ET29*1.1))*AV29*1),2)*BB29),2)+ROUND((ROUND(((AE29-((EU29*1.1)))*AV29*1),2)*BS29),2))</f>
        <v>5.18</v>
      </c>
      <c r="CS29">
        <f t="shared" si="34"/>
        <v>0</v>
      </c>
      <c r="CT29">
        <f t="shared" si="35"/>
        <v>1522.12</v>
      </c>
      <c r="CU29">
        <f t="shared" si="36"/>
        <v>0</v>
      </c>
      <c r="CV29">
        <f t="shared" si="37"/>
        <v>1.9835529999999999</v>
      </c>
      <c r="CW29">
        <f t="shared" si="38"/>
        <v>0</v>
      </c>
      <c r="CX29">
        <f t="shared" si="39"/>
        <v>0</v>
      </c>
      <c r="CY29">
        <f t="shared" si="40"/>
        <v>2739.33</v>
      </c>
      <c r="CZ29">
        <f t="shared" si="41"/>
        <v>1400.1019999999999</v>
      </c>
      <c r="DB29">
        <v>2</v>
      </c>
      <c r="DC29" t="s">
        <v>3</v>
      </c>
      <c r="DD29" t="s">
        <v>25</v>
      </c>
      <c r="DE29" t="s">
        <v>26</v>
      </c>
      <c r="DF29" t="s">
        <v>26</v>
      </c>
      <c r="DG29" t="s">
        <v>26</v>
      </c>
      <c r="DH29" t="s">
        <v>3</v>
      </c>
      <c r="DI29" t="s">
        <v>26</v>
      </c>
      <c r="DJ29" t="s">
        <v>26</v>
      </c>
      <c r="DK29" t="s">
        <v>3</v>
      </c>
      <c r="DL29" t="s">
        <v>3</v>
      </c>
      <c r="DM29" t="s">
        <v>3</v>
      </c>
      <c r="DN29">
        <v>0</v>
      </c>
      <c r="DO29">
        <v>0</v>
      </c>
      <c r="DP29">
        <v>1</v>
      </c>
      <c r="DQ29">
        <v>1</v>
      </c>
      <c r="DU29">
        <v>1013</v>
      </c>
      <c r="DV29" t="s">
        <v>23</v>
      </c>
      <c r="DW29" t="s">
        <v>23</v>
      </c>
      <c r="DX29">
        <v>1</v>
      </c>
      <c r="DZ29" t="s">
        <v>3</v>
      </c>
      <c r="EA29" t="s">
        <v>3</v>
      </c>
      <c r="EB29" t="s">
        <v>3</v>
      </c>
      <c r="EC29" t="s">
        <v>3</v>
      </c>
      <c r="EE29">
        <v>58808178</v>
      </c>
      <c r="EF29">
        <v>40</v>
      </c>
      <c r="EG29" t="s">
        <v>27</v>
      </c>
      <c r="EH29">
        <v>0</v>
      </c>
      <c r="EI29" t="s">
        <v>3</v>
      </c>
      <c r="EJ29">
        <v>2</v>
      </c>
      <c r="EK29">
        <v>68</v>
      </c>
      <c r="EL29" t="s">
        <v>28</v>
      </c>
      <c r="EM29" t="s">
        <v>29</v>
      </c>
      <c r="EO29" t="s">
        <v>30</v>
      </c>
      <c r="EQ29">
        <v>0</v>
      </c>
      <c r="ER29">
        <v>24.09</v>
      </c>
      <c r="ES29">
        <v>0</v>
      </c>
      <c r="ET29">
        <v>0.51</v>
      </c>
      <c r="EU29">
        <v>0</v>
      </c>
      <c r="EV29">
        <v>23.58</v>
      </c>
      <c r="EW29">
        <v>1.69</v>
      </c>
      <c r="EX29">
        <v>0</v>
      </c>
      <c r="EY29">
        <v>0</v>
      </c>
      <c r="FQ29">
        <v>0</v>
      </c>
      <c r="FR29">
        <v>0</v>
      </c>
      <c r="FS29">
        <v>0</v>
      </c>
      <c r="FX29">
        <v>90</v>
      </c>
      <c r="FY29">
        <v>46</v>
      </c>
      <c r="GA29" t="s">
        <v>3</v>
      </c>
      <c r="GD29">
        <v>1</v>
      </c>
      <c r="GF29">
        <v>363374648</v>
      </c>
      <c r="GG29">
        <v>2</v>
      </c>
      <c r="GH29">
        <v>1</v>
      </c>
      <c r="GI29">
        <v>2</v>
      </c>
      <c r="GJ29">
        <v>0</v>
      </c>
      <c r="GK29">
        <v>0</v>
      </c>
      <c r="GL29">
        <f t="shared" si="42"/>
        <v>0</v>
      </c>
      <c r="GM29">
        <f t="shared" si="43"/>
        <v>7193.49</v>
      </c>
      <c r="GN29">
        <f t="shared" si="44"/>
        <v>0</v>
      </c>
      <c r="GO29">
        <f t="shared" si="45"/>
        <v>7193.49</v>
      </c>
      <c r="GP29">
        <f t="shared" si="46"/>
        <v>0</v>
      </c>
      <c r="GR29">
        <v>0</v>
      </c>
      <c r="GS29">
        <v>3</v>
      </c>
      <c r="GT29">
        <v>0</v>
      </c>
      <c r="GU29" t="s">
        <v>3</v>
      </c>
      <c r="GV29">
        <f t="shared" si="47"/>
        <v>0</v>
      </c>
      <c r="GW29">
        <v>1</v>
      </c>
      <c r="GX29">
        <f t="shared" si="48"/>
        <v>0</v>
      </c>
      <c r="HA29">
        <v>0</v>
      </c>
      <c r="HB29">
        <v>0</v>
      </c>
      <c r="HC29">
        <f t="shared" si="49"/>
        <v>0</v>
      </c>
      <c r="HE29" t="s">
        <v>3</v>
      </c>
      <c r="HF29" t="s">
        <v>3</v>
      </c>
      <c r="HM29" t="s">
        <v>3</v>
      </c>
      <c r="HN29" t="s">
        <v>3</v>
      </c>
      <c r="HO29" t="s">
        <v>3</v>
      </c>
      <c r="HP29" t="s">
        <v>3</v>
      </c>
      <c r="HQ29" t="s">
        <v>3</v>
      </c>
      <c r="HS29">
        <v>0</v>
      </c>
      <c r="IK29">
        <v>0</v>
      </c>
    </row>
    <row r="30" spans="1:255" x14ac:dyDescent="0.2">
      <c r="A30" s="2">
        <v>17</v>
      </c>
      <c r="B30" s="2">
        <v>1</v>
      </c>
      <c r="C30" s="2"/>
      <c r="D30" s="2"/>
      <c r="E30" s="2" t="s">
        <v>31</v>
      </c>
      <c r="F30" s="2" t="s">
        <v>32</v>
      </c>
      <c r="G30" s="2" t="s">
        <v>33</v>
      </c>
      <c r="H30" s="2" t="s">
        <v>34</v>
      </c>
      <c r="I30" s="2">
        <f>ROUND(ROUND(2,4),9)</f>
        <v>2</v>
      </c>
      <c r="J30" s="2">
        <v>0</v>
      </c>
      <c r="K30" s="2">
        <f>ROUND(ROUND(2,4),9)</f>
        <v>2</v>
      </c>
      <c r="L30" s="2"/>
      <c r="M30" s="2"/>
      <c r="N30" s="2"/>
      <c r="O30" s="2">
        <f t="shared" si="21"/>
        <v>66111.38</v>
      </c>
      <c r="P30" s="2">
        <f t="shared" ref="P30:P39" si="50">ROUND((ROUND((AC30*I30),2)*BC30),2)</f>
        <v>66111.38</v>
      </c>
      <c r="Q30" s="2">
        <f t="shared" ref="Q30:Q39" si="51">(ROUND((ROUND(((ET30)*AV30*I30),2)*BB30),2)+ROUND((ROUND(((AE30-(EU30))*AV30*I30),2)*BS30),2))</f>
        <v>0</v>
      </c>
      <c r="R30" s="2">
        <f t="shared" si="22"/>
        <v>0</v>
      </c>
      <c r="S30" s="2">
        <f t="shared" si="23"/>
        <v>0</v>
      </c>
      <c r="T30" s="2">
        <f t="shared" si="24"/>
        <v>0</v>
      </c>
      <c r="U30" s="2">
        <f t="shared" si="25"/>
        <v>0</v>
      </c>
      <c r="V30" s="2">
        <f t="shared" si="26"/>
        <v>0</v>
      </c>
      <c r="W30" s="2">
        <f t="shared" si="27"/>
        <v>0</v>
      </c>
      <c r="X30" s="2">
        <f t="shared" si="28"/>
        <v>0</v>
      </c>
      <c r="Y30" s="2">
        <f t="shared" si="29"/>
        <v>0</v>
      </c>
      <c r="Z30" s="2"/>
      <c r="AA30" s="2">
        <v>59214062</v>
      </c>
      <c r="AB30" s="2">
        <f t="shared" si="30"/>
        <v>33055.69</v>
      </c>
      <c r="AC30" s="2">
        <f t="shared" ref="AC30:AC49" si="52">ROUND((ES30),6)</f>
        <v>33055.69</v>
      </c>
      <c r="AD30" s="2">
        <f t="shared" ref="AD30:AD39" si="53">ROUND((((ET30)-(EU30))+AE30),6)</f>
        <v>0</v>
      </c>
      <c r="AE30" s="2">
        <f t="shared" ref="AE30:AE39" si="54">ROUND((EU30),6)</f>
        <v>0</v>
      </c>
      <c r="AF30" s="2">
        <f t="shared" ref="AF30:AF39" si="55">ROUND((EV30),6)</f>
        <v>0</v>
      </c>
      <c r="AG30" s="2">
        <f t="shared" si="31"/>
        <v>0</v>
      </c>
      <c r="AH30" s="2">
        <f t="shared" ref="AH30:AH39" si="56">(EW30)</f>
        <v>0</v>
      </c>
      <c r="AI30" s="2">
        <f t="shared" ref="AI30:AI39" si="57">(EX30)</f>
        <v>0</v>
      </c>
      <c r="AJ30" s="2">
        <f t="shared" si="32"/>
        <v>0</v>
      </c>
      <c r="AK30" s="2">
        <v>33055.69</v>
      </c>
      <c r="AL30" s="2">
        <v>33055.69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  <c r="AS30" s="2">
        <v>0</v>
      </c>
      <c r="AT30" s="2">
        <v>0</v>
      </c>
      <c r="AU30" s="2">
        <v>0</v>
      </c>
      <c r="AV30" s="2">
        <v>1</v>
      </c>
      <c r="AW30" s="2">
        <v>1</v>
      </c>
      <c r="AX30" s="2"/>
      <c r="AY30" s="2"/>
      <c r="AZ30" s="2">
        <v>1</v>
      </c>
      <c r="BA30" s="2">
        <v>1</v>
      </c>
      <c r="BB30" s="2">
        <v>1</v>
      </c>
      <c r="BC30" s="2">
        <v>1</v>
      </c>
      <c r="BD30" s="2" t="s">
        <v>3</v>
      </c>
      <c r="BE30" s="2" t="s">
        <v>3</v>
      </c>
      <c r="BF30" s="2" t="s">
        <v>3</v>
      </c>
      <c r="BG30" s="2" t="s">
        <v>3</v>
      </c>
      <c r="BH30" s="2">
        <v>3</v>
      </c>
      <c r="BI30" s="2">
        <v>3</v>
      </c>
      <c r="BJ30" s="2" t="s">
        <v>3</v>
      </c>
      <c r="BK30" s="2"/>
      <c r="BL30" s="2"/>
      <c r="BM30" s="2">
        <v>746</v>
      </c>
      <c r="BN30" s="2">
        <v>0</v>
      </c>
      <c r="BO30" s="2" t="s">
        <v>3</v>
      </c>
      <c r="BP30" s="2">
        <v>0</v>
      </c>
      <c r="BQ30" s="2">
        <v>130</v>
      </c>
      <c r="BR30" s="2">
        <v>0</v>
      </c>
      <c r="BS30" s="2">
        <v>1</v>
      </c>
      <c r="BT30" s="2">
        <v>1</v>
      </c>
      <c r="BU30" s="2">
        <v>1</v>
      </c>
      <c r="BV30" s="2">
        <v>1</v>
      </c>
      <c r="BW30" s="2">
        <v>1</v>
      </c>
      <c r="BX30" s="2">
        <v>1</v>
      </c>
      <c r="BY30" s="2" t="s">
        <v>3</v>
      </c>
      <c r="BZ30" s="2">
        <v>0</v>
      </c>
      <c r="CA30" s="2">
        <v>0</v>
      </c>
      <c r="CB30" s="2" t="s">
        <v>3</v>
      </c>
      <c r="CC30" s="2"/>
      <c r="CD30" s="2"/>
      <c r="CE30" s="2">
        <v>30</v>
      </c>
      <c r="CF30" s="2">
        <v>0</v>
      </c>
      <c r="CG30" s="2">
        <v>0</v>
      </c>
      <c r="CH30" s="2"/>
      <c r="CI30" s="2"/>
      <c r="CJ30" s="2"/>
      <c r="CK30" s="2"/>
      <c r="CL30" s="2"/>
      <c r="CM30" s="2">
        <v>0</v>
      </c>
      <c r="CN30" s="2" t="s">
        <v>3</v>
      </c>
      <c r="CO30" s="2">
        <v>0</v>
      </c>
      <c r="CP30" s="2">
        <f t="shared" si="33"/>
        <v>66111.38</v>
      </c>
      <c r="CQ30" s="2">
        <f t="shared" ref="CQ30:CQ39" si="58">ROUND((ROUND((AC30*1),2)*BC30),2)</f>
        <v>33055.69</v>
      </c>
      <c r="CR30" s="2">
        <f t="shared" ref="CR30:CR39" si="59">(ROUND((ROUND(((ET30)*AV30*1),2)*BB30),2)+ROUND((ROUND(((AE30-(EU30))*AV30*1),2)*BS30),2))</f>
        <v>0</v>
      </c>
      <c r="CS30" s="2">
        <f t="shared" si="34"/>
        <v>0</v>
      </c>
      <c r="CT30" s="2">
        <f t="shared" si="35"/>
        <v>0</v>
      </c>
      <c r="CU30" s="2">
        <f t="shared" si="36"/>
        <v>0</v>
      </c>
      <c r="CV30" s="2">
        <f t="shared" si="37"/>
        <v>0</v>
      </c>
      <c r="CW30" s="2">
        <f t="shared" si="38"/>
        <v>0</v>
      </c>
      <c r="CX30" s="2">
        <f t="shared" si="39"/>
        <v>0</v>
      </c>
      <c r="CY30" s="2">
        <f t="shared" si="40"/>
        <v>0</v>
      </c>
      <c r="CZ30" s="2">
        <f t="shared" si="41"/>
        <v>0</v>
      </c>
      <c r="DA30" s="2"/>
      <c r="DB30" s="2"/>
      <c r="DC30" s="2" t="s">
        <v>3</v>
      </c>
      <c r="DD30" s="2" t="s">
        <v>3</v>
      </c>
      <c r="DE30" s="2" t="s">
        <v>3</v>
      </c>
      <c r="DF30" s="2" t="s">
        <v>3</v>
      </c>
      <c r="DG30" s="2" t="s">
        <v>3</v>
      </c>
      <c r="DH30" s="2" t="s">
        <v>3</v>
      </c>
      <c r="DI30" s="2" t="s">
        <v>3</v>
      </c>
      <c r="DJ30" s="2" t="s">
        <v>3</v>
      </c>
      <c r="DK30" s="2" t="s">
        <v>3</v>
      </c>
      <c r="DL30" s="2" t="s">
        <v>3</v>
      </c>
      <c r="DM30" s="2" t="s">
        <v>3</v>
      </c>
      <c r="DN30" s="2">
        <v>0</v>
      </c>
      <c r="DO30" s="2">
        <v>0</v>
      </c>
      <c r="DP30" s="2">
        <v>1</v>
      </c>
      <c r="DQ30" s="2">
        <v>1</v>
      </c>
      <c r="DR30" s="2"/>
      <c r="DS30" s="2"/>
      <c r="DT30" s="2"/>
      <c r="DU30" s="2">
        <v>1010</v>
      </c>
      <c r="DV30" s="2" t="s">
        <v>34</v>
      </c>
      <c r="DW30" s="2" t="s">
        <v>34</v>
      </c>
      <c r="DX30" s="2">
        <v>1</v>
      </c>
      <c r="DY30" s="2"/>
      <c r="DZ30" s="2" t="s">
        <v>3</v>
      </c>
      <c r="EA30" s="2" t="s">
        <v>3</v>
      </c>
      <c r="EB30" s="2" t="s">
        <v>3</v>
      </c>
      <c r="EC30" s="2" t="s">
        <v>3</v>
      </c>
      <c r="ED30" s="2"/>
      <c r="EE30" s="2">
        <v>58808284</v>
      </c>
      <c r="EF30" s="2">
        <v>130</v>
      </c>
      <c r="EG30" s="2" t="s">
        <v>35</v>
      </c>
      <c r="EH30" s="2">
        <v>0</v>
      </c>
      <c r="EI30" s="2" t="s">
        <v>3</v>
      </c>
      <c r="EJ30" s="2">
        <v>3</v>
      </c>
      <c r="EK30" s="2">
        <v>746</v>
      </c>
      <c r="EL30" s="2" t="s">
        <v>36</v>
      </c>
      <c r="EM30" s="2" t="s">
        <v>37</v>
      </c>
      <c r="EN30" s="2"/>
      <c r="EO30" s="2" t="s">
        <v>3</v>
      </c>
      <c r="EP30" s="2"/>
      <c r="EQ30" s="2">
        <v>0</v>
      </c>
      <c r="ER30" s="2">
        <v>0</v>
      </c>
      <c r="ES30" s="2">
        <v>33055.69</v>
      </c>
      <c r="ET30" s="2">
        <v>0</v>
      </c>
      <c r="EU30" s="2">
        <v>0</v>
      </c>
      <c r="EV30" s="2">
        <v>0</v>
      </c>
      <c r="EW30" s="2">
        <v>0</v>
      </c>
      <c r="EX30" s="2">
        <v>0</v>
      </c>
      <c r="EY30" s="2">
        <v>0</v>
      </c>
      <c r="EZ30" s="2"/>
      <c r="FA30" s="2"/>
      <c r="FB30" s="2"/>
      <c r="FC30" s="2"/>
      <c r="FD30" s="2"/>
      <c r="FE30" s="2"/>
      <c r="FF30" s="2"/>
      <c r="FG30" s="2"/>
      <c r="FH30" s="2"/>
      <c r="FI30" s="2"/>
      <c r="FJ30" s="2"/>
      <c r="FK30" s="2"/>
      <c r="FL30" s="2"/>
      <c r="FM30" s="2"/>
      <c r="FN30" s="2"/>
      <c r="FO30" s="2"/>
      <c r="FP30" s="2"/>
      <c r="FQ30" s="2">
        <v>0</v>
      </c>
      <c r="FR30" s="2">
        <f t="shared" ref="FR30:FR39" si="60">P30</f>
        <v>66111.38</v>
      </c>
      <c r="FS30" s="2">
        <v>0</v>
      </c>
      <c r="FT30" s="2"/>
      <c r="FU30" s="2"/>
      <c r="FV30" s="2"/>
      <c r="FW30" s="2"/>
      <c r="FX30" s="2">
        <v>0</v>
      </c>
      <c r="FY30" s="2">
        <v>0</v>
      </c>
      <c r="FZ30" s="2"/>
      <c r="GA30" s="2" t="s">
        <v>38</v>
      </c>
      <c r="GB30" s="2"/>
      <c r="GC30" s="2"/>
      <c r="GD30" s="2">
        <v>1</v>
      </c>
      <c r="GE30" s="2"/>
      <c r="GF30" s="2">
        <v>-1911462648</v>
      </c>
      <c r="GG30" s="2">
        <v>2</v>
      </c>
      <c r="GH30" s="2">
        <v>4</v>
      </c>
      <c r="GI30" s="2">
        <v>0</v>
      </c>
      <c r="GJ30" s="2">
        <v>0</v>
      </c>
      <c r="GK30" s="2">
        <v>0</v>
      </c>
      <c r="GL30" s="2">
        <f t="shared" si="42"/>
        <v>0</v>
      </c>
      <c r="GM30" s="2">
        <f t="shared" si="43"/>
        <v>66111.38</v>
      </c>
      <c r="GN30" s="2">
        <f t="shared" si="44"/>
        <v>0</v>
      </c>
      <c r="GO30" s="2">
        <f t="shared" si="45"/>
        <v>0</v>
      </c>
      <c r="GP30" s="2">
        <f t="shared" si="46"/>
        <v>0</v>
      </c>
      <c r="GQ30" s="2"/>
      <c r="GR30" s="2">
        <v>2</v>
      </c>
      <c r="GS30" s="2">
        <v>2</v>
      </c>
      <c r="GT30" s="2">
        <v>0</v>
      </c>
      <c r="GU30" s="2" t="s">
        <v>3</v>
      </c>
      <c r="GV30" s="2">
        <f t="shared" si="47"/>
        <v>0</v>
      </c>
      <c r="GW30" s="2">
        <v>1</v>
      </c>
      <c r="GX30" s="2">
        <f t="shared" si="48"/>
        <v>0</v>
      </c>
      <c r="GY30" s="2"/>
      <c r="GZ30" s="2"/>
      <c r="HA30" s="2">
        <v>0</v>
      </c>
      <c r="HB30" s="2">
        <v>0</v>
      </c>
      <c r="HC30" s="2">
        <f t="shared" si="49"/>
        <v>0</v>
      </c>
      <c r="HD30" s="2"/>
      <c r="HE30" s="2" t="s">
        <v>39</v>
      </c>
      <c r="HF30" s="2" t="s">
        <v>40</v>
      </c>
      <c r="HG30" s="2"/>
      <c r="HH30" s="2"/>
      <c r="HI30" s="2"/>
      <c r="HJ30" s="2"/>
      <c r="HK30" s="2"/>
      <c r="HL30" s="2"/>
      <c r="HM30" s="2" t="s">
        <v>3</v>
      </c>
      <c r="HN30" s="2" t="s">
        <v>3</v>
      </c>
      <c r="HO30" s="2" t="s">
        <v>3</v>
      </c>
      <c r="HP30" s="2" t="s">
        <v>3</v>
      </c>
      <c r="HQ30" s="2" t="s">
        <v>3</v>
      </c>
      <c r="HR30" s="2"/>
      <c r="HS30" s="2">
        <v>0</v>
      </c>
      <c r="HT30" s="2"/>
      <c r="HU30" s="2"/>
      <c r="HV30" s="2"/>
      <c r="HW30" s="2"/>
      <c r="HX30" s="2"/>
      <c r="HY30" s="2"/>
      <c r="HZ30" s="2"/>
      <c r="IA30" s="2"/>
      <c r="IB30" s="2"/>
      <c r="IC30" s="2"/>
      <c r="ID30" s="2"/>
      <c r="IE30" s="2"/>
      <c r="IF30" s="2"/>
      <c r="IG30" s="2"/>
      <c r="IH30" s="2"/>
      <c r="II30" s="2"/>
      <c r="IJ30" s="2"/>
      <c r="IK30" s="2">
        <v>0</v>
      </c>
      <c r="IL30" s="2"/>
      <c r="IM30" s="2"/>
      <c r="IN30" s="2"/>
      <c r="IO30" s="2"/>
      <c r="IP30" s="2"/>
      <c r="IQ30" s="2"/>
      <c r="IR30" s="2"/>
      <c r="IS30" s="2"/>
      <c r="IT30" s="2"/>
      <c r="IU30" s="2"/>
    </row>
    <row r="31" spans="1:255" x14ac:dyDescent="0.2">
      <c r="A31">
        <v>17</v>
      </c>
      <c r="B31">
        <v>1</v>
      </c>
      <c r="E31" t="s">
        <v>31</v>
      </c>
      <c r="F31" t="s">
        <v>32</v>
      </c>
      <c r="G31" t="s">
        <v>33</v>
      </c>
      <c r="H31" t="s">
        <v>34</v>
      </c>
      <c r="I31">
        <f>ROUND(ROUND(2,4),9)</f>
        <v>2</v>
      </c>
      <c r="J31">
        <v>0</v>
      </c>
      <c r="K31">
        <f>ROUND(ROUND(2,4),9)</f>
        <v>2</v>
      </c>
      <c r="O31">
        <f t="shared" si="21"/>
        <v>506413.17</v>
      </c>
      <c r="P31">
        <f t="shared" si="50"/>
        <v>506413.17</v>
      </c>
      <c r="Q31">
        <f t="shared" si="51"/>
        <v>0</v>
      </c>
      <c r="R31">
        <f t="shared" si="22"/>
        <v>0</v>
      </c>
      <c r="S31">
        <f t="shared" si="23"/>
        <v>0</v>
      </c>
      <c r="T31">
        <f t="shared" si="24"/>
        <v>0</v>
      </c>
      <c r="U31">
        <f t="shared" si="25"/>
        <v>0</v>
      </c>
      <c r="V31">
        <f t="shared" si="26"/>
        <v>0</v>
      </c>
      <c r="W31">
        <f t="shared" si="27"/>
        <v>0</v>
      </c>
      <c r="X31">
        <f t="shared" si="28"/>
        <v>0</v>
      </c>
      <c r="Y31">
        <f t="shared" si="29"/>
        <v>0</v>
      </c>
      <c r="AA31">
        <v>59214059</v>
      </c>
      <c r="AB31">
        <f t="shared" si="30"/>
        <v>33055.69</v>
      </c>
      <c r="AC31">
        <f t="shared" si="52"/>
        <v>33055.69</v>
      </c>
      <c r="AD31">
        <f t="shared" si="53"/>
        <v>0</v>
      </c>
      <c r="AE31">
        <f t="shared" si="54"/>
        <v>0</v>
      </c>
      <c r="AF31">
        <f t="shared" si="55"/>
        <v>0</v>
      </c>
      <c r="AG31">
        <f t="shared" si="31"/>
        <v>0</v>
      </c>
      <c r="AH31">
        <f t="shared" si="56"/>
        <v>0</v>
      </c>
      <c r="AI31">
        <f t="shared" si="57"/>
        <v>0</v>
      </c>
      <c r="AJ31">
        <f t="shared" si="32"/>
        <v>0</v>
      </c>
      <c r="AK31">
        <v>33055.69</v>
      </c>
      <c r="AL31">
        <v>33055.69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1</v>
      </c>
      <c r="AW31">
        <v>1</v>
      </c>
      <c r="AZ31">
        <v>1</v>
      </c>
      <c r="BA31">
        <v>1</v>
      </c>
      <c r="BB31">
        <v>1</v>
      </c>
      <c r="BC31">
        <v>7.66</v>
      </c>
      <c r="BD31" t="s">
        <v>3</v>
      </c>
      <c r="BE31" t="s">
        <v>3</v>
      </c>
      <c r="BF31" t="s">
        <v>3</v>
      </c>
      <c r="BG31" t="s">
        <v>3</v>
      </c>
      <c r="BH31">
        <v>3</v>
      </c>
      <c r="BI31">
        <v>3</v>
      </c>
      <c r="BJ31" t="s">
        <v>3</v>
      </c>
      <c r="BM31">
        <v>746</v>
      </c>
      <c r="BN31">
        <v>0</v>
      </c>
      <c r="BO31" t="s">
        <v>3</v>
      </c>
      <c r="BP31">
        <v>0</v>
      </c>
      <c r="BQ31">
        <v>130</v>
      </c>
      <c r="BR31">
        <v>0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 t="s">
        <v>3</v>
      </c>
      <c r="BZ31">
        <v>0</v>
      </c>
      <c r="CA31">
        <v>0</v>
      </c>
      <c r="CB31" t="s">
        <v>3</v>
      </c>
      <c r="CE31">
        <v>30</v>
      </c>
      <c r="CF31">
        <v>0</v>
      </c>
      <c r="CG31">
        <v>0</v>
      </c>
      <c r="CM31">
        <v>0</v>
      </c>
      <c r="CN31" t="s">
        <v>3</v>
      </c>
      <c r="CO31">
        <v>0</v>
      </c>
      <c r="CP31">
        <f t="shared" si="33"/>
        <v>506413.17</v>
      </c>
      <c r="CQ31">
        <f t="shared" si="58"/>
        <v>253206.59</v>
      </c>
      <c r="CR31">
        <f t="shared" si="59"/>
        <v>0</v>
      </c>
      <c r="CS31">
        <f t="shared" si="34"/>
        <v>0</v>
      </c>
      <c r="CT31">
        <f t="shared" si="35"/>
        <v>0</v>
      </c>
      <c r="CU31">
        <f t="shared" si="36"/>
        <v>0</v>
      </c>
      <c r="CV31">
        <f t="shared" si="37"/>
        <v>0</v>
      </c>
      <c r="CW31">
        <f t="shared" si="38"/>
        <v>0</v>
      </c>
      <c r="CX31">
        <f t="shared" si="39"/>
        <v>0</v>
      </c>
      <c r="CY31">
        <f t="shared" si="40"/>
        <v>0</v>
      </c>
      <c r="CZ31">
        <f t="shared" si="41"/>
        <v>0</v>
      </c>
      <c r="DC31" t="s">
        <v>3</v>
      </c>
      <c r="DD31" t="s">
        <v>3</v>
      </c>
      <c r="DE31" t="s">
        <v>3</v>
      </c>
      <c r="DF31" t="s">
        <v>3</v>
      </c>
      <c r="DG31" t="s">
        <v>3</v>
      </c>
      <c r="DH31" t="s">
        <v>3</v>
      </c>
      <c r="DI31" t="s">
        <v>3</v>
      </c>
      <c r="DJ31" t="s">
        <v>3</v>
      </c>
      <c r="DK31" t="s">
        <v>3</v>
      </c>
      <c r="DL31" t="s">
        <v>3</v>
      </c>
      <c r="DM31" t="s">
        <v>3</v>
      </c>
      <c r="DN31">
        <v>0</v>
      </c>
      <c r="DO31">
        <v>0</v>
      </c>
      <c r="DP31">
        <v>1</v>
      </c>
      <c r="DQ31">
        <v>1</v>
      </c>
      <c r="DU31">
        <v>1010</v>
      </c>
      <c r="DV31" t="s">
        <v>34</v>
      </c>
      <c r="DW31" t="s">
        <v>34</v>
      </c>
      <c r="DX31">
        <v>1</v>
      </c>
      <c r="DZ31" t="s">
        <v>3</v>
      </c>
      <c r="EA31" t="s">
        <v>3</v>
      </c>
      <c r="EB31" t="s">
        <v>3</v>
      </c>
      <c r="EC31" t="s">
        <v>3</v>
      </c>
      <c r="EE31">
        <v>58808284</v>
      </c>
      <c r="EF31">
        <v>130</v>
      </c>
      <c r="EG31" t="s">
        <v>35</v>
      </c>
      <c r="EH31">
        <v>0</v>
      </c>
      <c r="EI31" t="s">
        <v>3</v>
      </c>
      <c r="EJ31">
        <v>3</v>
      </c>
      <c r="EK31">
        <v>746</v>
      </c>
      <c r="EL31" t="s">
        <v>36</v>
      </c>
      <c r="EM31" t="s">
        <v>37</v>
      </c>
      <c r="EO31" t="s">
        <v>3</v>
      </c>
      <c r="EQ31">
        <v>0</v>
      </c>
      <c r="ER31">
        <v>0</v>
      </c>
      <c r="ES31">
        <v>33055.69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5</v>
      </c>
      <c r="FC31">
        <v>1</v>
      </c>
      <c r="FD31">
        <v>18</v>
      </c>
      <c r="FF31">
        <v>291500</v>
      </c>
      <c r="FQ31">
        <v>0</v>
      </c>
      <c r="FR31">
        <f t="shared" si="60"/>
        <v>506413.17</v>
      </c>
      <c r="FS31">
        <v>0</v>
      </c>
      <c r="FX31">
        <v>0</v>
      </c>
      <c r="FY31">
        <v>0</v>
      </c>
      <c r="GA31" t="s">
        <v>38</v>
      </c>
      <c r="GD31">
        <v>1</v>
      </c>
      <c r="GF31">
        <v>-1911462648</v>
      </c>
      <c r="GG31">
        <v>2</v>
      </c>
      <c r="GH31">
        <v>2</v>
      </c>
      <c r="GI31">
        <v>5</v>
      </c>
      <c r="GJ31">
        <v>0</v>
      </c>
      <c r="GK31">
        <v>0</v>
      </c>
      <c r="GL31">
        <f t="shared" si="42"/>
        <v>0</v>
      </c>
      <c r="GM31">
        <f t="shared" si="43"/>
        <v>506413.17</v>
      </c>
      <c r="GN31">
        <f t="shared" si="44"/>
        <v>0</v>
      </c>
      <c r="GO31">
        <f t="shared" si="45"/>
        <v>0</v>
      </c>
      <c r="GP31">
        <f t="shared" si="46"/>
        <v>0</v>
      </c>
      <c r="GR31">
        <v>2</v>
      </c>
      <c r="GS31">
        <v>1</v>
      </c>
      <c r="GT31">
        <v>0</v>
      </c>
      <c r="GU31" t="s">
        <v>3</v>
      </c>
      <c r="GV31">
        <f t="shared" si="47"/>
        <v>0</v>
      </c>
      <c r="GW31">
        <v>1</v>
      </c>
      <c r="GX31">
        <f t="shared" si="48"/>
        <v>0</v>
      </c>
      <c r="HA31">
        <v>0</v>
      </c>
      <c r="HB31">
        <v>0</v>
      </c>
      <c r="HC31">
        <f t="shared" si="49"/>
        <v>0</v>
      </c>
      <c r="HE31" t="s">
        <v>39</v>
      </c>
      <c r="HF31" t="s">
        <v>40</v>
      </c>
      <c r="HM31" t="s">
        <v>3</v>
      </c>
      <c r="HN31" t="s">
        <v>3</v>
      </c>
      <c r="HO31" t="s">
        <v>3</v>
      </c>
      <c r="HP31" t="s">
        <v>3</v>
      </c>
      <c r="HQ31" t="s">
        <v>3</v>
      </c>
      <c r="HS31">
        <v>0</v>
      </c>
      <c r="IK31">
        <v>0</v>
      </c>
    </row>
    <row r="32" spans="1:255" x14ac:dyDescent="0.2">
      <c r="A32" s="2">
        <v>17</v>
      </c>
      <c r="B32" s="2">
        <v>1</v>
      </c>
      <c r="C32" s="2"/>
      <c r="D32" s="2"/>
      <c r="E32" s="2" t="s">
        <v>39</v>
      </c>
      <c r="F32" s="2" t="s">
        <v>41</v>
      </c>
      <c r="G32" s="2" t="s">
        <v>42</v>
      </c>
      <c r="H32" s="2" t="s">
        <v>34</v>
      </c>
      <c r="I32" s="2">
        <f>ROUND(ROUND(3,4),9)</f>
        <v>3</v>
      </c>
      <c r="J32" s="2">
        <v>0</v>
      </c>
      <c r="K32" s="2">
        <f>ROUND(ROUND(3,4),9)</f>
        <v>3</v>
      </c>
      <c r="L32" s="2"/>
      <c r="M32" s="2"/>
      <c r="N32" s="2"/>
      <c r="O32" s="2">
        <f t="shared" si="21"/>
        <v>20394.75</v>
      </c>
      <c r="P32" s="2">
        <f t="shared" si="50"/>
        <v>20394.75</v>
      </c>
      <c r="Q32" s="2">
        <f t="shared" si="51"/>
        <v>0</v>
      </c>
      <c r="R32" s="2">
        <f t="shared" si="22"/>
        <v>0</v>
      </c>
      <c r="S32" s="2">
        <f t="shared" si="23"/>
        <v>0</v>
      </c>
      <c r="T32" s="2">
        <f t="shared" si="24"/>
        <v>0</v>
      </c>
      <c r="U32" s="2">
        <f t="shared" si="25"/>
        <v>0</v>
      </c>
      <c r="V32" s="2">
        <f t="shared" si="26"/>
        <v>0</v>
      </c>
      <c r="W32" s="2">
        <f t="shared" si="27"/>
        <v>0</v>
      </c>
      <c r="X32" s="2">
        <f t="shared" si="28"/>
        <v>0</v>
      </c>
      <c r="Y32" s="2">
        <f t="shared" si="29"/>
        <v>0</v>
      </c>
      <c r="Z32" s="2"/>
      <c r="AA32" s="2">
        <v>59214062</v>
      </c>
      <c r="AB32" s="2">
        <f t="shared" si="30"/>
        <v>6798.25</v>
      </c>
      <c r="AC32" s="2">
        <f t="shared" si="52"/>
        <v>6798.25</v>
      </c>
      <c r="AD32" s="2">
        <f t="shared" si="53"/>
        <v>0</v>
      </c>
      <c r="AE32" s="2">
        <f t="shared" si="54"/>
        <v>0</v>
      </c>
      <c r="AF32" s="2">
        <f t="shared" si="55"/>
        <v>0</v>
      </c>
      <c r="AG32" s="2">
        <f t="shared" si="31"/>
        <v>0</v>
      </c>
      <c r="AH32" s="2">
        <f t="shared" si="56"/>
        <v>0</v>
      </c>
      <c r="AI32" s="2">
        <f t="shared" si="57"/>
        <v>0</v>
      </c>
      <c r="AJ32" s="2">
        <f t="shared" si="32"/>
        <v>0</v>
      </c>
      <c r="AK32" s="2">
        <v>6798.2499999999991</v>
      </c>
      <c r="AL32" s="2">
        <v>6798.2499999999991</v>
      </c>
      <c r="AM32" s="2">
        <v>0</v>
      </c>
      <c r="AN32" s="2">
        <v>0</v>
      </c>
      <c r="AO32" s="2">
        <v>0</v>
      </c>
      <c r="AP32" s="2">
        <v>0</v>
      </c>
      <c r="AQ32" s="2">
        <v>0</v>
      </c>
      <c r="AR32" s="2">
        <v>0</v>
      </c>
      <c r="AS32" s="2">
        <v>0</v>
      </c>
      <c r="AT32" s="2">
        <v>0</v>
      </c>
      <c r="AU32" s="2">
        <v>0</v>
      </c>
      <c r="AV32" s="2">
        <v>1</v>
      </c>
      <c r="AW32" s="2">
        <v>1</v>
      </c>
      <c r="AX32" s="2"/>
      <c r="AY32" s="2"/>
      <c r="AZ32" s="2">
        <v>1</v>
      </c>
      <c r="BA32" s="2">
        <v>1</v>
      </c>
      <c r="BB32" s="2">
        <v>1</v>
      </c>
      <c r="BC32" s="2">
        <v>1</v>
      </c>
      <c r="BD32" s="2" t="s">
        <v>3</v>
      </c>
      <c r="BE32" s="2" t="s">
        <v>3</v>
      </c>
      <c r="BF32" s="2" t="s">
        <v>3</v>
      </c>
      <c r="BG32" s="2" t="s">
        <v>3</v>
      </c>
      <c r="BH32" s="2">
        <v>3</v>
      </c>
      <c r="BI32" s="2">
        <v>3</v>
      </c>
      <c r="BJ32" s="2" t="s">
        <v>3</v>
      </c>
      <c r="BK32" s="2"/>
      <c r="BL32" s="2"/>
      <c r="BM32" s="2">
        <v>746</v>
      </c>
      <c r="BN32" s="2">
        <v>0</v>
      </c>
      <c r="BO32" s="2" t="s">
        <v>3</v>
      </c>
      <c r="BP32" s="2">
        <v>0</v>
      </c>
      <c r="BQ32" s="2">
        <v>130</v>
      </c>
      <c r="BR32" s="2">
        <v>0</v>
      </c>
      <c r="BS32" s="2">
        <v>1</v>
      </c>
      <c r="BT32" s="2">
        <v>1</v>
      </c>
      <c r="BU32" s="2">
        <v>1</v>
      </c>
      <c r="BV32" s="2">
        <v>1</v>
      </c>
      <c r="BW32" s="2">
        <v>1</v>
      </c>
      <c r="BX32" s="2">
        <v>1</v>
      </c>
      <c r="BY32" s="2" t="s">
        <v>3</v>
      </c>
      <c r="BZ32" s="2">
        <v>0</v>
      </c>
      <c r="CA32" s="2">
        <v>0</v>
      </c>
      <c r="CB32" s="2" t="s">
        <v>3</v>
      </c>
      <c r="CC32" s="2"/>
      <c r="CD32" s="2"/>
      <c r="CE32" s="2">
        <v>30</v>
      </c>
      <c r="CF32" s="2">
        <v>0</v>
      </c>
      <c r="CG32" s="2">
        <v>0</v>
      </c>
      <c r="CH32" s="2"/>
      <c r="CI32" s="2"/>
      <c r="CJ32" s="2"/>
      <c r="CK32" s="2"/>
      <c r="CL32" s="2"/>
      <c r="CM32" s="2">
        <v>0</v>
      </c>
      <c r="CN32" s="2" t="s">
        <v>3</v>
      </c>
      <c r="CO32" s="2">
        <v>0</v>
      </c>
      <c r="CP32" s="2">
        <f t="shared" si="33"/>
        <v>20394.75</v>
      </c>
      <c r="CQ32" s="2">
        <f t="shared" si="58"/>
        <v>6798.25</v>
      </c>
      <c r="CR32" s="2">
        <f t="shared" si="59"/>
        <v>0</v>
      </c>
      <c r="CS32" s="2">
        <f t="shared" si="34"/>
        <v>0</v>
      </c>
      <c r="CT32" s="2">
        <f t="shared" si="35"/>
        <v>0</v>
      </c>
      <c r="CU32" s="2">
        <f t="shared" si="36"/>
        <v>0</v>
      </c>
      <c r="CV32" s="2">
        <f t="shared" si="37"/>
        <v>0</v>
      </c>
      <c r="CW32" s="2">
        <f t="shared" si="38"/>
        <v>0</v>
      </c>
      <c r="CX32" s="2">
        <f t="shared" si="39"/>
        <v>0</v>
      </c>
      <c r="CY32" s="2">
        <f t="shared" si="40"/>
        <v>0</v>
      </c>
      <c r="CZ32" s="2">
        <f t="shared" si="41"/>
        <v>0</v>
      </c>
      <c r="DA32" s="2"/>
      <c r="DB32" s="2"/>
      <c r="DC32" s="2" t="s">
        <v>3</v>
      </c>
      <c r="DD32" s="2" t="s">
        <v>3</v>
      </c>
      <c r="DE32" s="2" t="s">
        <v>3</v>
      </c>
      <c r="DF32" s="2" t="s">
        <v>3</v>
      </c>
      <c r="DG32" s="2" t="s">
        <v>3</v>
      </c>
      <c r="DH32" s="2" t="s">
        <v>3</v>
      </c>
      <c r="DI32" s="2" t="s">
        <v>3</v>
      </c>
      <c r="DJ32" s="2" t="s">
        <v>3</v>
      </c>
      <c r="DK32" s="2" t="s">
        <v>3</v>
      </c>
      <c r="DL32" s="2" t="s">
        <v>3</v>
      </c>
      <c r="DM32" s="2" t="s">
        <v>3</v>
      </c>
      <c r="DN32" s="2">
        <v>0</v>
      </c>
      <c r="DO32" s="2">
        <v>0</v>
      </c>
      <c r="DP32" s="2">
        <v>1</v>
      </c>
      <c r="DQ32" s="2">
        <v>1</v>
      </c>
      <c r="DR32" s="2"/>
      <c r="DS32" s="2"/>
      <c r="DT32" s="2"/>
      <c r="DU32" s="2">
        <v>1010</v>
      </c>
      <c r="DV32" s="2" t="s">
        <v>34</v>
      </c>
      <c r="DW32" s="2" t="s">
        <v>34</v>
      </c>
      <c r="DX32" s="2">
        <v>1</v>
      </c>
      <c r="DY32" s="2"/>
      <c r="DZ32" s="2" t="s">
        <v>3</v>
      </c>
      <c r="EA32" s="2" t="s">
        <v>3</v>
      </c>
      <c r="EB32" s="2" t="s">
        <v>3</v>
      </c>
      <c r="EC32" s="2" t="s">
        <v>3</v>
      </c>
      <c r="ED32" s="2"/>
      <c r="EE32" s="2">
        <v>58808284</v>
      </c>
      <c r="EF32" s="2">
        <v>130</v>
      </c>
      <c r="EG32" s="2" t="s">
        <v>35</v>
      </c>
      <c r="EH32" s="2">
        <v>0</v>
      </c>
      <c r="EI32" s="2" t="s">
        <v>3</v>
      </c>
      <c r="EJ32" s="2">
        <v>3</v>
      </c>
      <c r="EK32" s="2">
        <v>746</v>
      </c>
      <c r="EL32" s="2" t="s">
        <v>36</v>
      </c>
      <c r="EM32" s="2" t="s">
        <v>37</v>
      </c>
      <c r="EN32" s="2"/>
      <c r="EO32" s="2" t="s">
        <v>3</v>
      </c>
      <c r="EP32" s="2"/>
      <c r="EQ32" s="2">
        <v>0</v>
      </c>
      <c r="ER32" s="2">
        <v>0</v>
      </c>
      <c r="ES32" s="2">
        <v>6798.2499999999991</v>
      </c>
      <c r="ET32" s="2">
        <v>0</v>
      </c>
      <c r="EU32" s="2">
        <v>0</v>
      </c>
      <c r="EV32" s="2">
        <v>0</v>
      </c>
      <c r="EW32" s="2">
        <v>0</v>
      </c>
      <c r="EX32" s="2">
        <v>0</v>
      </c>
      <c r="EY32" s="2">
        <v>0</v>
      </c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  <c r="FK32" s="2"/>
      <c r="FL32" s="2"/>
      <c r="FM32" s="2"/>
      <c r="FN32" s="2"/>
      <c r="FO32" s="2"/>
      <c r="FP32" s="2"/>
      <c r="FQ32" s="2">
        <v>0</v>
      </c>
      <c r="FR32" s="2">
        <f t="shared" si="60"/>
        <v>20394.75</v>
      </c>
      <c r="FS32" s="2">
        <v>0</v>
      </c>
      <c r="FT32" s="2"/>
      <c r="FU32" s="2"/>
      <c r="FV32" s="2"/>
      <c r="FW32" s="2"/>
      <c r="FX32" s="2">
        <v>0</v>
      </c>
      <c r="FY32" s="2">
        <v>0</v>
      </c>
      <c r="FZ32" s="2"/>
      <c r="GA32" s="2" t="s">
        <v>43</v>
      </c>
      <c r="GB32" s="2"/>
      <c r="GC32" s="2"/>
      <c r="GD32" s="2">
        <v>1</v>
      </c>
      <c r="GE32" s="2"/>
      <c r="GF32" s="2">
        <v>-338370289</v>
      </c>
      <c r="GG32" s="2">
        <v>2</v>
      </c>
      <c r="GH32" s="2">
        <v>4</v>
      </c>
      <c r="GI32" s="2">
        <v>0</v>
      </c>
      <c r="GJ32" s="2">
        <v>0</v>
      </c>
      <c r="GK32" s="2">
        <v>0</v>
      </c>
      <c r="GL32" s="2">
        <f t="shared" si="42"/>
        <v>0</v>
      </c>
      <c r="GM32" s="2">
        <f t="shared" si="43"/>
        <v>20394.75</v>
      </c>
      <c r="GN32" s="2">
        <f t="shared" si="44"/>
        <v>0</v>
      </c>
      <c r="GO32" s="2">
        <f t="shared" si="45"/>
        <v>0</v>
      </c>
      <c r="GP32" s="2">
        <f t="shared" si="46"/>
        <v>0</v>
      </c>
      <c r="GQ32" s="2"/>
      <c r="GR32" s="2">
        <v>2</v>
      </c>
      <c r="GS32" s="2">
        <v>2</v>
      </c>
      <c r="GT32" s="2">
        <v>0</v>
      </c>
      <c r="GU32" s="2" t="s">
        <v>3</v>
      </c>
      <c r="GV32" s="2">
        <f t="shared" si="47"/>
        <v>0</v>
      </c>
      <c r="GW32" s="2">
        <v>1</v>
      </c>
      <c r="GX32" s="2">
        <f t="shared" si="48"/>
        <v>0</v>
      </c>
      <c r="GY32" s="2"/>
      <c r="GZ32" s="2"/>
      <c r="HA32" s="2">
        <v>0</v>
      </c>
      <c r="HB32" s="2">
        <v>0</v>
      </c>
      <c r="HC32" s="2">
        <f t="shared" si="49"/>
        <v>0</v>
      </c>
      <c r="HD32" s="2"/>
      <c r="HE32" s="2" t="s">
        <v>39</v>
      </c>
      <c r="HF32" s="2" t="s">
        <v>40</v>
      </c>
      <c r="HG32" s="2"/>
      <c r="HH32" s="2"/>
      <c r="HI32" s="2"/>
      <c r="HJ32" s="2"/>
      <c r="HK32" s="2"/>
      <c r="HL32" s="2"/>
      <c r="HM32" s="2" t="s">
        <v>3</v>
      </c>
      <c r="HN32" s="2" t="s">
        <v>3</v>
      </c>
      <c r="HO32" s="2" t="s">
        <v>3</v>
      </c>
      <c r="HP32" s="2" t="s">
        <v>3</v>
      </c>
      <c r="HQ32" s="2" t="s">
        <v>3</v>
      </c>
      <c r="HR32" s="2"/>
      <c r="HS32" s="2">
        <v>0</v>
      </c>
      <c r="HT32" s="2"/>
      <c r="HU32" s="2"/>
      <c r="HV32" s="2"/>
      <c r="HW32" s="2"/>
      <c r="HX32" s="2"/>
      <c r="HY32" s="2"/>
      <c r="HZ32" s="2"/>
      <c r="IA32" s="2"/>
      <c r="IB32" s="2"/>
      <c r="IC32" s="2"/>
      <c r="ID32" s="2"/>
      <c r="IE32" s="2"/>
      <c r="IF32" s="2"/>
      <c r="IG32" s="2"/>
      <c r="IH32" s="2"/>
      <c r="II32" s="2"/>
      <c r="IJ32" s="2"/>
      <c r="IK32" s="2">
        <v>0</v>
      </c>
      <c r="IL32" s="2"/>
      <c r="IM32" s="2"/>
      <c r="IN32" s="2"/>
      <c r="IO32" s="2"/>
      <c r="IP32" s="2"/>
      <c r="IQ32" s="2"/>
      <c r="IR32" s="2"/>
      <c r="IS32" s="2"/>
      <c r="IT32" s="2"/>
      <c r="IU32" s="2"/>
    </row>
    <row r="33" spans="1:255" x14ac:dyDescent="0.2">
      <c r="A33">
        <v>17</v>
      </c>
      <c r="B33">
        <v>1</v>
      </c>
      <c r="E33" t="s">
        <v>39</v>
      </c>
      <c r="F33" t="s">
        <v>41</v>
      </c>
      <c r="G33" t="s">
        <v>42</v>
      </c>
      <c r="H33" t="s">
        <v>34</v>
      </c>
      <c r="I33">
        <f>ROUND(ROUND(3,4),9)</f>
        <v>3</v>
      </c>
      <c r="J33">
        <v>0</v>
      </c>
      <c r="K33">
        <f>ROUND(ROUND(3,4),9)</f>
        <v>3</v>
      </c>
      <c r="O33">
        <f t="shared" si="21"/>
        <v>156223.79</v>
      </c>
      <c r="P33">
        <f t="shared" si="50"/>
        <v>156223.79</v>
      </c>
      <c r="Q33">
        <f t="shared" si="51"/>
        <v>0</v>
      </c>
      <c r="R33">
        <f t="shared" si="22"/>
        <v>0</v>
      </c>
      <c r="S33">
        <f t="shared" si="23"/>
        <v>0</v>
      </c>
      <c r="T33">
        <f t="shared" si="24"/>
        <v>0</v>
      </c>
      <c r="U33">
        <f t="shared" si="25"/>
        <v>0</v>
      </c>
      <c r="V33">
        <f t="shared" si="26"/>
        <v>0</v>
      </c>
      <c r="W33">
        <f t="shared" si="27"/>
        <v>0</v>
      </c>
      <c r="X33">
        <f t="shared" si="28"/>
        <v>0</v>
      </c>
      <c r="Y33">
        <f t="shared" si="29"/>
        <v>0</v>
      </c>
      <c r="AA33">
        <v>59214059</v>
      </c>
      <c r="AB33">
        <f t="shared" si="30"/>
        <v>6798.25</v>
      </c>
      <c r="AC33">
        <f t="shared" si="52"/>
        <v>6798.25</v>
      </c>
      <c r="AD33">
        <f t="shared" si="53"/>
        <v>0</v>
      </c>
      <c r="AE33">
        <f t="shared" si="54"/>
        <v>0</v>
      </c>
      <c r="AF33">
        <f t="shared" si="55"/>
        <v>0</v>
      </c>
      <c r="AG33">
        <f t="shared" si="31"/>
        <v>0</v>
      </c>
      <c r="AH33">
        <f t="shared" si="56"/>
        <v>0</v>
      </c>
      <c r="AI33">
        <f t="shared" si="57"/>
        <v>0</v>
      </c>
      <c r="AJ33">
        <f t="shared" si="32"/>
        <v>0</v>
      </c>
      <c r="AK33">
        <v>6798.2499999999991</v>
      </c>
      <c r="AL33">
        <v>6798.2499999999991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1</v>
      </c>
      <c r="AW33">
        <v>1</v>
      </c>
      <c r="AZ33">
        <v>1</v>
      </c>
      <c r="BA33">
        <v>1</v>
      </c>
      <c r="BB33">
        <v>1</v>
      </c>
      <c r="BC33">
        <v>7.66</v>
      </c>
      <c r="BD33" t="s">
        <v>3</v>
      </c>
      <c r="BE33" t="s">
        <v>3</v>
      </c>
      <c r="BF33" t="s">
        <v>3</v>
      </c>
      <c r="BG33" t="s">
        <v>3</v>
      </c>
      <c r="BH33">
        <v>3</v>
      </c>
      <c r="BI33">
        <v>3</v>
      </c>
      <c r="BJ33" t="s">
        <v>3</v>
      </c>
      <c r="BM33">
        <v>746</v>
      </c>
      <c r="BN33">
        <v>0</v>
      </c>
      <c r="BO33" t="s">
        <v>3</v>
      </c>
      <c r="BP33">
        <v>0</v>
      </c>
      <c r="BQ33">
        <v>130</v>
      </c>
      <c r="BR33">
        <v>0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 t="s">
        <v>3</v>
      </c>
      <c r="BZ33">
        <v>0</v>
      </c>
      <c r="CA33">
        <v>0</v>
      </c>
      <c r="CB33" t="s">
        <v>3</v>
      </c>
      <c r="CE33">
        <v>30</v>
      </c>
      <c r="CF33">
        <v>0</v>
      </c>
      <c r="CG33">
        <v>0</v>
      </c>
      <c r="CM33">
        <v>0</v>
      </c>
      <c r="CN33" t="s">
        <v>3</v>
      </c>
      <c r="CO33">
        <v>0</v>
      </c>
      <c r="CP33">
        <f t="shared" si="33"/>
        <v>156223.79</v>
      </c>
      <c r="CQ33">
        <f t="shared" si="58"/>
        <v>52074.6</v>
      </c>
      <c r="CR33">
        <f t="shared" si="59"/>
        <v>0</v>
      </c>
      <c r="CS33">
        <f t="shared" si="34"/>
        <v>0</v>
      </c>
      <c r="CT33">
        <f t="shared" si="35"/>
        <v>0</v>
      </c>
      <c r="CU33">
        <f t="shared" si="36"/>
        <v>0</v>
      </c>
      <c r="CV33">
        <f t="shared" si="37"/>
        <v>0</v>
      </c>
      <c r="CW33">
        <f t="shared" si="38"/>
        <v>0</v>
      </c>
      <c r="CX33">
        <f t="shared" si="39"/>
        <v>0</v>
      </c>
      <c r="CY33">
        <f t="shared" si="40"/>
        <v>0</v>
      </c>
      <c r="CZ33">
        <f t="shared" si="41"/>
        <v>0</v>
      </c>
      <c r="DC33" t="s">
        <v>3</v>
      </c>
      <c r="DD33" t="s">
        <v>3</v>
      </c>
      <c r="DE33" t="s">
        <v>3</v>
      </c>
      <c r="DF33" t="s">
        <v>3</v>
      </c>
      <c r="DG33" t="s">
        <v>3</v>
      </c>
      <c r="DH33" t="s">
        <v>3</v>
      </c>
      <c r="DI33" t="s">
        <v>3</v>
      </c>
      <c r="DJ33" t="s">
        <v>3</v>
      </c>
      <c r="DK33" t="s">
        <v>3</v>
      </c>
      <c r="DL33" t="s">
        <v>3</v>
      </c>
      <c r="DM33" t="s">
        <v>3</v>
      </c>
      <c r="DN33">
        <v>0</v>
      </c>
      <c r="DO33">
        <v>0</v>
      </c>
      <c r="DP33">
        <v>1</v>
      </c>
      <c r="DQ33">
        <v>1</v>
      </c>
      <c r="DU33">
        <v>1010</v>
      </c>
      <c r="DV33" t="s">
        <v>34</v>
      </c>
      <c r="DW33" t="s">
        <v>34</v>
      </c>
      <c r="DX33">
        <v>1</v>
      </c>
      <c r="DZ33" t="s">
        <v>3</v>
      </c>
      <c r="EA33" t="s">
        <v>3</v>
      </c>
      <c r="EB33" t="s">
        <v>3</v>
      </c>
      <c r="EC33" t="s">
        <v>3</v>
      </c>
      <c r="EE33">
        <v>58808284</v>
      </c>
      <c r="EF33">
        <v>130</v>
      </c>
      <c r="EG33" t="s">
        <v>35</v>
      </c>
      <c r="EH33">
        <v>0</v>
      </c>
      <c r="EI33" t="s">
        <v>3</v>
      </c>
      <c r="EJ33">
        <v>3</v>
      </c>
      <c r="EK33">
        <v>746</v>
      </c>
      <c r="EL33" t="s">
        <v>36</v>
      </c>
      <c r="EM33" t="s">
        <v>37</v>
      </c>
      <c r="EO33" t="s">
        <v>3</v>
      </c>
      <c r="EQ33">
        <v>0</v>
      </c>
      <c r="ER33">
        <v>0</v>
      </c>
      <c r="ES33">
        <v>6798.2499999999991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5</v>
      </c>
      <c r="FC33">
        <v>1</v>
      </c>
      <c r="FD33">
        <v>18</v>
      </c>
      <c r="FF33">
        <v>59950</v>
      </c>
      <c r="FQ33">
        <v>0</v>
      </c>
      <c r="FR33">
        <f t="shared" si="60"/>
        <v>156223.79</v>
      </c>
      <c r="FS33">
        <v>0</v>
      </c>
      <c r="FX33">
        <v>0</v>
      </c>
      <c r="FY33">
        <v>0</v>
      </c>
      <c r="GA33" t="s">
        <v>43</v>
      </c>
      <c r="GD33">
        <v>1</v>
      </c>
      <c r="GF33">
        <v>-338370289</v>
      </c>
      <c r="GG33">
        <v>2</v>
      </c>
      <c r="GH33">
        <v>2</v>
      </c>
      <c r="GI33">
        <v>5</v>
      </c>
      <c r="GJ33">
        <v>0</v>
      </c>
      <c r="GK33">
        <v>0</v>
      </c>
      <c r="GL33">
        <f t="shared" si="42"/>
        <v>0</v>
      </c>
      <c r="GM33">
        <f t="shared" si="43"/>
        <v>156223.79</v>
      </c>
      <c r="GN33">
        <f t="shared" si="44"/>
        <v>0</v>
      </c>
      <c r="GO33">
        <f t="shared" si="45"/>
        <v>0</v>
      </c>
      <c r="GP33">
        <f t="shared" si="46"/>
        <v>0</v>
      </c>
      <c r="GR33">
        <v>2</v>
      </c>
      <c r="GS33">
        <v>1</v>
      </c>
      <c r="GT33">
        <v>0</v>
      </c>
      <c r="GU33" t="s">
        <v>3</v>
      </c>
      <c r="GV33">
        <f t="shared" si="47"/>
        <v>0</v>
      </c>
      <c r="GW33">
        <v>1</v>
      </c>
      <c r="GX33">
        <f t="shared" si="48"/>
        <v>0</v>
      </c>
      <c r="HA33">
        <v>0</v>
      </c>
      <c r="HB33">
        <v>0</v>
      </c>
      <c r="HC33">
        <f t="shared" si="49"/>
        <v>0</v>
      </c>
      <c r="HE33" t="s">
        <v>39</v>
      </c>
      <c r="HF33" t="s">
        <v>40</v>
      </c>
      <c r="HM33" t="s">
        <v>3</v>
      </c>
      <c r="HN33" t="s">
        <v>3</v>
      </c>
      <c r="HO33" t="s">
        <v>3</v>
      </c>
      <c r="HP33" t="s">
        <v>3</v>
      </c>
      <c r="HQ33" t="s">
        <v>3</v>
      </c>
      <c r="HS33">
        <v>0</v>
      </c>
      <c r="IK33">
        <v>0</v>
      </c>
    </row>
    <row r="34" spans="1:255" x14ac:dyDescent="0.2">
      <c r="A34" s="2">
        <v>17</v>
      </c>
      <c r="B34" s="2">
        <v>1</v>
      </c>
      <c r="C34" s="2"/>
      <c r="D34" s="2"/>
      <c r="E34" s="2" t="s">
        <v>44</v>
      </c>
      <c r="F34" s="2" t="s">
        <v>45</v>
      </c>
      <c r="G34" s="2" t="s">
        <v>46</v>
      </c>
      <c r="H34" s="2" t="s">
        <v>34</v>
      </c>
      <c r="I34" s="2">
        <f t="shared" ref="I34:I39" si="61">ROUND(ROUND(1,4),9)</f>
        <v>1</v>
      </c>
      <c r="J34" s="2">
        <v>0</v>
      </c>
      <c r="K34" s="2">
        <f t="shared" ref="K34:K39" si="62">ROUND(ROUND(1,4),9)</f>
        <v>1</v>
      </c>
      <c r="L34" s="2"/>
      <c r="M34" s="2"/>
      <c r="N34" s="2"/>
      <c r="O34" s="2">
        <f t="shared" si="21"/>
        <v>249476.94</v>
      </c>
      <c r="P34" s="2">
        <f t="shared" si="50"/>
        <v>249476.94</v>
      </c>
      <c r="Q34" s="2">
        <f t="shared" si="51"/>
        <v>0</v>
      </c>
      <c r="R34" s="2">
        <f t="shared" si="22"/>
        <v>0</v>
      </c>
      <c r="S34" s="2">
        <f t="shared" si="23"/>
        <v>0</v>
      </c>
      <c r="T34" s="2">
        <f t="shared" si="24"/>
        <v>0</v>
      </c>
      <c r="U34" s="2">
        <f t="shared" si="25"/>
        <v>0</v>
      </c>
      <c r="V34" s="2">
        <f t="shared" si="26"/>
        <v>0</v>
      </c>
      <c r="W34" s="2">
        <f t="shared" si="27"/>
        <v>0</v>
      </c>
      <c r="X34" s="2">
        <f t="shared" si="28"/>
        <v>0</v>
      </c>
      <c r="Y34" s="2">
        <f t="shared" si="29"/>
        <v>0</v>
      </c>
      <c r="Z34" s="2"/>
      <c r="AA34" s="2">
        <v>59214062</v>
      </c>
      <c r="AB34" s="2">
        <f t="shared" si="30"/>
        <v>249476.94</v>
      </c>
      <c r="AC34" s="2">
        <f t="shared" si="52"/>
        <v>249476.94</v>
      </c>
      <c r="AD34" s="2">
        <f t="shared" si="53"/>
        <v>0</v>
      </c>
      <c r="AE34" s="2">
        <f t="shared" si="54"/>
        <v>0</v>
      </c>
      <c r="AF34" s="2">
        <f t="shared" si="55"/>
        <v>0</v>
      </c>
      <c r="AG34" s="2">
        <f t="shared" si="31"/>
        <v>0</v>
      </c>
      <c r="AH34" s="2">
        <f t="shared" si="56"/>
        <v>0</v>
      </c>
      <c r="AI34" s="2">
        <f t="shared" si="57"/>
        <v>0</v>
      </c>
      <c r="AJ34" s="2">
        <f t="shared" si="32"/>
        <v>0</v>
      </c>
      <c r="AK34" s="2">
        <v>249476.94</v>
      </c>
      <c r="AL34" s="2">
        <v>249476.94</v>
      </c>
      <c r="AM34" s="2">
        <v>0</v>
      </c>
      <c r="AN34" s="2">
        <v>0</v>
      </c>
      <c r="AO34" s="2">
        <v>0</v>
      </c>
      <c r="AP34" s="2">
        <v>0</v>
      </c>
      <c r="AQ34" s="2">
        <v>0</v>
      </c>
      <c r="AR34" s="2">
        <v>0</v>
      </c>
      <c r="AS34" s="2">
        <v>0</v>
      </c>
      <c r="AT34" s="2">
        <v>0</v>
      </c>
      <c r="AU34" s="2">
        <v>0</v>
      </c>
      <c r="AV34" s="2">
        <v>1</v>
      </c>
      <c r="AW34" s="2">
        <v>1</v>
      </c>
      <c r="AX34" s="2"/>
      <c r="AY34" s="2"/>
      <c r="AZ34" s="2">
        <v>1</v>
      </c>
      <c r="BA34" s="2">
        <v>1</v>
      </c>
      <c r="BB34" s="2">
        <v>1</v>
      </c>
      <c r="BC34" s="2">
        <v>1</v>
      </c>
      <c r="BD34" s="2" t="s">
        <v>3</v>
      </c>
      <c r="BE34" s="2" t="s">
        <v>3</v>
      </c>
      <c r="BF34" s="2" t="s">
        <v>3</v>
      </c>
      <c r="BG34" s="2" t="s">
        <v>3</v>
      </c>
      <c r="BH34" s="2">
        <v>3</v>
      </c>
      <c r="BI34" s="2">
        <v>3</v>
      </c>
      <c r="BJ34" s="2" t="s">
        <v>3</v>
      </c>
      <c r="BK34" s="2"/>
      <c r="BL34" s="2"/>
      <c r="BM34" s="2">
        <v>746</v>
      </c>
      <c r="BN34" s="2">
        <v>0</v>
      </c>
      <c r="BO34" s="2" t="s">
        <v>3</v>
      </c>
      <c r="BP34" s="2">
        <v>0</v>
      </c>
      <c r="BQ34" s="2">
        <v>130</v>
      </c>
      <c r="BR34" s="2">
        <v>0</v>
      </c>
      <c r="BS34" s="2">
        <v>1</v>
      </c>
      <c r="BT34" s="2">
        <v>1</v>
      </c>
      <c r="BU34" s="2">
        <v>1</v>
      </c>
      <c r="BV34" s="2">
        <v>1</v>
      </c>
      <c r="BW34" s="2">
        <v>1</v>
      </c>
      <c r="BX34" s="2">
        <v>1</v>
      </c>
      <c r="BY34" s="2" t="s">
        <v>3</v>
      </c>
      <c r="BZ34" s="2">
        <v>0</v>
      </c>
      <c r="CA34" s="2">
        <v>0</v>
      </c>
      <c r="CB34" s="2" t="s">
        <v>3</v>
      </c>
      <c r="CC34" s="2"/>
      <c r="CD34" s="2"/>
      <c r="CE34" s="2">
        <v>30</v>
      </c>
      <c r="CF34" s="2">
        <v>0</v>
      </c>
      <c r="CG34" s="2">
        <v>0</v>
      </c>
      <c r="CH34" s="2"/>
      <c r="CI34" s="2"/>
      <c r="CJ34" s="2"/>
      <c r="CK34" s="2"/>
      <c r="CL34" s="2"/>
      <c r="CM34" s="2">
        <v>0</v>
      </c>
      <c r="CN34" s="2" t="s">
        <v>3</v>
      </c>
      <c r="CO34" s="2">
        <v>0</v>
      </c>
      <c r="CP34" s="2">
        <f t="shared" si="33"/>
        <v>249476.94</v>
      </c>
      <c r="CQ34" s="2">
        <f t="shared" si="58"/>
        <v>249476.94</v>
      </c>
      <c r="CR34" s="2">
        <f t="shared" si="59"/>
        <v>0</v>
      </c>
      <c r="CS34" s="2">
        <f t="shared" si="34"/>
        <v>0</v>
      </c>
      <c r="CT34" s="2">
        <f t="shared" si="35"/>
        <v>0</v>
      </c>
      <c r="CU34" s="2">
        <f t="shared" si="36"/>
        <v>0</v>
      </c>
      <c r="CV34" s="2">
        <f t="shared" si="37"/>
        <v>0</v>
      </c>
      <c r="CW34" s="2">
        <f t="shared" si="38"/>
        <v>0</v>
      </c>
      <c r="CX34" s="2">
        <f t="shared" si="39"/>
        <v>0</v>
      </c>
      <c r="CY34" s="2">
        <f t="shared" si="40"/>
        <v>0</v>
      </c>
      <c r="CZ34" s="2">
        <f t="shared" si="41"/>
        <v>0</v>
      </c>
      <c r="DA34" s="2"/>
      <c r="DB34" s="2"/>
      <c r="DC34" s="2" t="s">
        <v>3</v>
      </c>
      <c r="DD34" s="2" t="s">
        <v>3</v>
      </c>
      <c r="DE34" s="2" t="s">
        <v>3</v>
      </c>
      <c r="DF34" s="2" t="s">
        <v>3</v>
      </c>
      <c r="DG34" s="2" t="s">
        <v>3</v>
      </c>
      <c r="DH34" s="2" t="s">
        <v>3</v>
      </c>
      <c r="DI34" s="2" t="s">
        <v>3</v>
      </c>
      <c r="DJ34" s="2" t="s">
        <v>3</v>
      </c>
      <c r="DK34" s="2" t="s">
        <v>3</v>
      </c>
      <c r="DL34" s="2" t="s">
        <v>3</v>
      </c>
      <c r="DM34" s="2" t="s">
        <v>3</v>
      </c>
      <c r="DN34" s="2">
        <v>0</v>
      </c>
      <c r="DO34" s="2">
        <v>0</v>
      </c>
      <c r="DP34" s="2">
        <v>1</v>
      </c>
      <c r="DQ34" s="2">
        <v>1</v>
      </c>
      <c r="DR34" s="2"/>
      <c r="DS34" s="2"/>
      <c r="DT34" s="2"/>
      <c r="DU34" s="2">
        <v>1010</v>
      </c>
      <c r="DV34" s="2" t="s">
        <v>34</v>
      </c>
      <c r="DW34" s="2" t="s">
        <v>34</v>
      </c>
      <c r="DX34" s="2">
        <v>1</v>
      </c>
      <c r="DY34" s="2"/>
      <c r="DZ34" s="2" t="s">
        <v>3</v>
      </c>
      <c r="EA34" s="2" t="s">
        <v>3</v>
      </c>
      <c r="EB34" s="2" t="s">
        <v>3</v>
      </c>
      <c r="EC34" s="2" t="s">
        <v>3</v>
      </c>
      <c r="ED34" s="2"/>
      <c r="EE34" s="2">
        <v>58808284</v>
      </c>
      <c r="EF34" s="2">
        <v>130</v>
      </c>
      <c r="EG34" s="2" t="s">
        <v>35</v>
      </c>
      <c r="EH34" s="2">
        <v>0</v>
      </c>
      <c r="EI34" s="2" t="s">
        <v>3</v>
      </c>
      <c r="EJ34" s="2">
        <v>3</v>
      </c>
      <c r="EK34" s="2">
        <v>746</v>
      </c>
      <c r="EL34" s="2" t="s">
        <v>36</v>
      </c>
      <c r="EM34" s="2" t="s">
        <v>37</v>
      </c>
      <c r="EN34" s="2"/>
      <c r="EO34" s="2" t="s">
        <v>3</v>
      </c>
      <c r="EP34" s="2"/>
      <c r="EQ34" s="2">
        <v>0</v>
      </c>
      <c r="ER34" s="2">
        <v>0</v>
      </c>
      <c r="ES34" s="2">
        <v>249476.94</v>
      </c>
      <c r="ET34" s="2">
        <v>0</v>
      </c>
      <c r="EU34" s="2">
        <v>0</v>
      </c>
      <c r="EV34" s="2">
        <v>0</v>
      </c>
      <c r="EW34" s="2">
        <v>0</v>
      </c>
      <c r="EX34" s="2">
        <v>0</v>
      </c>
      <c r="EY34" s="2">
        <v>0</v>
      </c>
      <c r="EZ34" s="2"/>
      <c r="FA34" s="2"/>
      <c r="FB34" s="2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>
        <v>0</v>
      </c>
      <c r="FR34" s="2">
        <f t="shared" si="60"/>
        <v>249476.94</v>
      </c>
      <c r="FS34" s="2">
        <v>0</v>
      </c>
      <c r="FT34" s="2"/>
      <c r="FU34" s="2"/>
      <c r="FV34" s="2"/>
      <c r="FW34" s="2"/>
      <c r="FX34" s="2">
        <v>0</v>
      </c>
      <c r="FY34" s="2">
        <v>0</v>
      </c>
      <c r="FZ34" s="2"/>
      <c r="GA34" s="2" t="s">
        <v>47</v>
      </c>
      <c r="GB34" s="2"/>
      <c r="GC34" s="2"/>
      <c r="GD34" s="2">
        <v>1</v>
      </c>
      <c r="GE34" s="2"/>
      <c r="GF34" s="2">
        <v>-709671177</v>
      </c>
      <c r="GG34" s="2">
        <v>2</v>
      </c>
      <c r="GH34" s="2">
        <v>4</v>
      </c>
      <c r="GI34" s="2">
        <v>0</v>
      </c>
      <c r="GJ34" s="2">
        <v>0</v>
      </c>
      <c r="GK34" s="2">
        <v>0</v>
      </c>
      <c r="GL34" s="2">
        <f t="shared" si="42"/>
        <v>0</v>
      </c>
      <c r="GM34" s="2">
        <f t="shared" si="43"/>
        <v>249476.94</v>
      </c>
      <c r="GN34" s="2">
        <f t="shared" si="44"/>
        <v>0</v>
      </c>
      <c r="GO34" s="2">
        <f t="shared" si="45"/>
        <v>0</v>
      </c>
      <c r="GP34" s="2">
        <f t="shared" si="46"/>
        <v>0</v>
      </c>
      <c r="GQ34" s="2"/>
      <c r="GR34" s="2">
        <v>2</v>
      </c>
      <c r="GS34" s="2">
        <v>2</v>
      </c>
      <c r="GT34" s="2">
        <v>0</v>
      </c>
      <c r="GU34" s="2" t="s">
        <v>3</v>
      </c>
      <c r="GV34" s="2">
        <f t="shared" si="47"/>
        <v>0</v>
      </c>
      <c r="GW34" s="2">
        <v>1</v>
      </c>
      <c r="GX34" s="2">
        <f t="shared" si="48"/>
        <v>0</v>
      </c>
      <c r="GY34" s="2"/>
      <c r="GZ34" s="2"/>
      <c r="HA34" s="2">
        <v>0</v>
      </c>
      <c r="HB34" s="2">
        <v>0</v>
      </c>
      <c r="HC34" s="2">
        <f t="shared" si="49"/>
        <v>0</v>
      </c>
      <c r="HD34" s="2"/>
      <c r="HE34" s="2" t="s">
        <v>39</v>
      </c>
      <c r="HF34" s="2" t="s">
        <v>40</v>
      </c>
      <c r="HG34" s="2"/>
      <c r="HH34" s="2"/>
      <c r="HI34" s="2"/>
      <c r="HJ34" s="2"/>
      <c r="HK34" s="2"/>
      <c r="HL34" s="2"/>
      <c r="HM34" s="2" t="s">
        <v>3</v>
      </c>
      <c r="HN34" s="2" t="s">
        <v>3</v>
      </c>
      <c r="HO34" s="2" t="s">
        <v>3</v>
      </c>
      <c r="HP34" s="2" t="s">
        <v>3</v>
      </c>
      <c r="HQ34" s="2" t="s">
        <v>3</v>
      </c>
      <c r="HR34" s="2"/>
      <c r="HS34" s="2">
        <v>0</v>
      </c>
      <c r="HT34" s="2"/>
      <c r="HU34" s="2"/>
      <c r="HV34" s="2"/>
      <c r="HW34" s="2"/>
      <c r="HX34" s="2"/>
      <c r="HY34" s="2"/>
      <c r="HZ34" s="2"/>
      <c r="IA34" s="2"/>
      <c r="IB34" s="2"/>
      <c r="IC34" s="2"/>
      <c r="ID34" s="2"/>
      <c r="IE34" s="2"/>
      <c r="IF34" s="2"/>
      <c r="IG34" s="2"/>
      <c r="IH34" s="2"/>
      <c r="II34" s="2"/>
      <c r="IJ34" s="2"/>
      <c r="IK34" s="2">
        <v>0</v>
      </c>
      <c r="IL34" s="2"/>
      <c r="IM34" s="2"/>
      <c r="IN34" s="2"/>
      <c r="IO34" s="2"/>
      <c r="IP34" s="2"/>
      <c r="IQ34" s="2"/>
      <c r="IR34" s="2"/>
      <c r="IS34" s="2"/>
      <c r="IT34" s="2"/>
      <c r="IU34" s="2"/>
    </row>
    <row r="35" spans="1:255" x14ac:dyDescent="0.2">
      <c r="A35">
        <v>17</v>
      </c>
      <c r="B35">
        <v>1</v>
      </c>
      <c r="E35" t="s">
        <v>44</v>
      </c>
      <c r="F35" t="s">
        <v>45</v>
      </c>
      <c r="G35" t="s">
        <v>46</v>
      </c>
      <c r="H35" t="s">
        <v>34</v>
      </c>
      <c r="I35">
        <f t="shared" si="61"/>
        <v>1</v>
      </c>
      <c r="J35">
        <v>0</v>
      </c>
      <c r="K35">
        <f t="shared" si="62"/>
        <v>1</v>
      </c>
      <c r="O35">
        <f t="shared" si="21"/>
        <v>1910993.36</v>
      </c>
      <c r="P35">
        <f t="shared" si="50"/>
        <v>1910993.36</v>
      </c>
      <c r="Q35">
        <f t="shared" si="51"/>
        <v>0</v>
      </c>
      <c r="R35">
        <f t="shared" si="22"/>
        <v>0</v>
      </c>
      <c r="S35">
        <f t="shared" si="23"/>
        <v>0</v>
      </c>
      <c r="T35">
        <f t="shared" si="24"/>
        <v>0</v>
      </c>
      <c r="U35">
        <f t="shared" si="25"/>
        <v>0</v>
      </c>
      <c r="V35">
        <f t="shared" si="26"/>
        <v>0</v>
      </c>
      <c r="W35">
        <f t="shared" si="27"/>
        <v>0</v>
      </c>
      <c r="X35">
        <f t="shared" si="28"/>
        <v>0</v>
      </c>
      <c r="Y35">
        <f t="shared" si="29"/>
        <v>0</v>
      </c>
      <c r="AA35">
        <v>59214059</v>
      </c>
      <c r="AB35">
        <f t="shared" si="30"/>
        <v>249476.94</v>
      </c>
      <c r="AC35">
        <f t="shared" si="52"/>
        <v>249476.94</v>
      </c>
      <c r="AD35">
        <f t="shared" si="53"/>
        <v>0</v>
      </c>
      <c r="AE35">
        <f t="shared" si="54"/>
        <v>0</v>
      </c>
      <c r="AF35">
        <f t="shared" si="55"/>
        <v>0</v>
      </c>
      <c r="AG35">
        <f t="shared" si="31"/>
        <v>0</v>
      </c>
      <c r="AH35">
        <f t="shared" si="56"/>
        <v>0</v>
      </c>
      <c r="AI35">
        <f t="shared" si="57"/>
        <v>0</v>
      </c>
      <c r="AJ35">
        <f t="shared" si="32"/>
        <v>0</v>
      </c>
      <c r="AK35">
        <v>249476.94</v>
      </c>
      <c r="AL35">
        <v>249476.94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1</v>
      </c>
      <c r="AW35">
        <v>1</v>
      </c>
      <c r="AZ35">
        <v>1</v>
      </c>
      <c r="BA35">
        <v>1</v>
      </c>
      <c r="BB35">
        <v>1</v>
      </c>
      <c r="BC35">
        <v>7.66</v>
      </c>
      <c r="BD35" t="s">
        <v>3</v>
      </c>
      <c r="BE35" t="s">
        <v>3</v>
      </c>
      <c r="BF35" t="s">
        <v>3</v>
      </c>
      <c r="BG35" t="s">
        <v>3</v>
      </c>
      <c r="BH35">
        <v>3</v>
      </c>
      <c r="BI35">
        <v>3</v>
      </c>
      <c r="BJ35" t="s">
        <v>3</v>
      </c>
      <c r="BM35">
        <v>746</v>
      </c>
      <c r="BN35">
        <v>0</v>
      </c>
      <c r="BO35" t="s">
        <v>3</v>
      </c>
      <c r="BP35">
        <v>0</v>
      </c>
      <c r="BQ35">
        <v>130</v>
      </c>
      <c r="BR35">
        <v>0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 t="s">
        <v>3</v>
      </c>
      <c r="BZ35">
        <v>0</v>
      </c>
      <c r="CA35">
        <v>0</v>
      </c>
      <c r="CB35" t="s">
        <v>3</v>
      </c>
      <c r="CE35">
        <v>30</v>
      </c>
      <c r="CF35">
        <v>0</v>
      </c>
      <c r="CG35">
        <v>0</v>
      </c>
      <c r="CM35">
        <v>0</v>
      </c>
      <c r="CN35" t="s">
        <v>3</v>
      </c>
      <c r="CO35">
        <v>0</v>
      </c>
      <c r="CP35">
        <f t="shared" si="33"/>
        <v>1910993.36</v>
      </c>
      <c r="CQ35">
        <f t="shared" si="58"/>
        <v>1910993.36</v>
      </c>
      <c r="CR35">
        <f t="shared" si="59"/>
        <v>0</v>
      </c>
      <c r="CS35">
        <f t="shared" si="34"/>
        <v>0</v>
      </c>
      <c r="CT35">
        <f t="shared" si="35"/>
        <v>0</v>
      </c>
      <c r="CU35">
        <f t="shared" si="36"/>
        <v>0</v>
      </c>
      <c r="CV35">
        <f t="shared" si="37"/>
        <v>0</v>
      </c>
      <c r="CW35">
        <f t="shared" si="38"/>
        <v>0</v>
      </c>
      <c r="CX35">
        <f t="shared" si="39"/>
        <v>0</v>
      </c>
      <c r="CY35">
        <f t="shared" si="40"/>
        <v>0</v>
      </c>
      <c r="CZ35">
        <f t="shared" si="41"/>
        <v>0</v>
      </c>
      <c r="DC35" t="s">
        <v>3</v>
      </c>
      <c r="DD35" t="s">
        <v>3</v>
      </c>
      <c r="DE35" t="s">
        <v>3</v>
      </c>
      <c r="DF35" t="s">
        <v>3</v>
      </c>
      <c r="DG35" t="s">
        <v>3</v>
      </c>
      <c r="DH35" t="s">
        <v>3</v>
      </c>
      <c r="DI35" t="s">
        <v>3</v>
      </c>
      <c r="DJ35" t="s">
        <v>3</v>
      </c>
      <c r="DK35" t="s">
        <v>3</v>
      </c>
      <c r="DL35" t="s">
        <v>3</v>
      </c>
      <c r="DM35" t="s">
        <v>3</v>
      </c>
      <c r="DN35">
        <v>0</v>
      </c>
      <c r="DO35">
        <v>0</v>
      </c>
      <c r="DP35">
        <v>1</v>
      </c>
      <c r="DQ35">
        <v>1</v>
      </c>
      <c r="DU35">
        <v>1010</v>
      </c>
      <c r="DV35" t="s">
        <v>34</v>
      </c>
      <c r="DW35" t="s">
        <v>34</v>
      </c>
      <c r="DX35">
        <v>1</v>
      </c>
      <c r="DZ35" t="s">
        <v>3</v>
      </c>
      <c r="EA35" t="s">
        <v>3</v>
      </c>
      <c r="EB35" t="s">
        <v>3</v>
      </c>
      <c r="EC35" t="s">
        <v>3</v>
      </c>
      <c r="EE35">
        <v>58808284</v>
      </c>
      <c r="EF35">
        <v>130</v>
      </c>
      <c r="EG35" t="s">
        <v>35</v>
      </c>
      <c r="EH35">
        <v>0</v>
      </c>
      <c r="EI35" t="s">
        <v>3</v>
      </c>
      <c r="EJ35">
        <v>3</v>
      </c>
      <c r="EK35">
        <v>746</v>
      </c>
      <c r="EL35" t="s">
        <v>36</v>
      </c>
      <c r="EM35" t="s">
        <v>37</v>
      </c>
      <c r="EO35" t="s">
        <v>3</v>
      </c>
      <c r="EQ35">
        <v>0</v>
      </c>
      <c r="ER35">
        <v>0</v>
      </c>
      <c r="ES35">
        <v>249476.94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5</v>
      </c>
      <c r="FC35">
        <v>1</v>
      </c>
      <c r="FD35">
        <v>18</v>
      </c>
      <c r="FF35">
        <v>2200000</v>
      </c>
      <c r="FQ35">
        <v>0</v>
      </c>
      <c r="FR35">
        <f t="shared" si="60"/>
        <v>1910993.36</v>
      </c>
      <c r="FS35">
        <v>0</v>
      </c>
      <c r="FX35">
        <v>0</v>
      </c>
      <c r="FY35">
        <v>0</v>
      </c>
      <c r="GA35" t="s">
        <v>47</v>
      </c>
      <c r="GD35">
        <v>1</v>
      </c>
      <c r="GF35">
        <v>-709671177</v>
      </c>
      <c r="GG35">
        <v>2</v>
      </c>
      <c r="GH35">
        <v>2</v>
      </c>
      <c r="GI35">
        <v>5</v>
      </c>
      <c r="GJ35">
        <v>0</v>
      </c>
      <c r="GK35">
        <v>0</v>
      </c>
      <c r="GL35">
        <f t="shared" si="42"/>
        <v>0</v>
      </c>
      <c r="GM35">
        <f t="shared" si="43"/>
        <v>1910993.36</v>
      </c>
      <c r="GN35">
        <f t="shared" si="44"/>
        <v>0</v>
      </c>
      <c r="GO35">
        <f t="shared" si="45"/>
        <v>0</v>
      </c>
      <c r="GP35">
        <f t="shared" si="46"/>
        <v>0</v>
      </c>
      <c r="GR35">
        <v>2</v>
      </c>
      <c r="GS35">
        <v>1</v>
      </c>
      <c r="GT35">
        <v>0</v>
      </c>
      <c r="GU35" t="s">
        <v>3</v>
      </c>
      <c r="GV35">
        <f t="shared" si="47"/>
        <v>0</v>
      </c>
      <c r="GW35">
        <v>1</v>
      </c>
      <c r="GX35">
        <f t="shared" si="48"/>
        <v>0</v>
      </c>
      <c r="HA35">
        <v>0</v>
      </c>
      <c r="HB35">
        <v>0</v>
      </c>
      <c r="HC35">
        <f t="shared" si="49"/>
        <v>0</v>
      </c>
      <c r="HE35" t="s">
        <v>39</v>
      </c>
      <c r="HF35" t="s">
        <v>40</v>
      </c>
      <c r="HM35" t="s">
        <v>3</v>
      </c>
      <c r="HN35" t="s">
        <v>3</v>
      </c>
      <c r="HO35" t="s">
        <v>3</v>
      </c>
      <c r="HP35" t="s">
        <v>3</v>
      </c>
      <c r="HQ35" t="s">
        <v>3</v>
      </c>
      <c r="HS35">
        <v>0</v>
      </c>
      <c r="IK35">
        <v>0</v>
      </c>
    </row>
    <row r="36" spans="1:255" x14ac:dyDescent="0.2">
      <c r="A36" s="2">
        <v>17</v>
      </c>
      <c r="B36" s="2">
        <v>1</v>
      </c>
      <c r="C36" s="2"/>
      <c r="D36" s="2"/>
      <c r="E36" s="2" t="s">
        <v>48</v>
      </c>
      <c r="F36" s="2" t="s">
        <v>49</v>
      </c>
      <c r="G36" s="2" t="s">
        <v>195</v>
      </c>
      <c r="H36" s="2" t="s">
        <v>34</v>
      </c>
      <c r="I36" s="2">
        <f t="shared" si="61"/>
        <v>1</v>
      </c>
      <c r="J36" s="2">
        <v>0</v>
      </c>
      <c r="K36" s="2">
        <f t="shared" si="62"/>
        <v>1</v>
      </c>
      <c r="L36" s="2"/>
      <c r="M36" s="2"/>
      <c r="N36" s="2"/>
      <c r="O36" s="2">
        <f t="shared" si="21"/>
        <v>8188.38</v>
      </c>
      <c r="P36" s="2">
        <f t="shared" si="50"/>
        <v>8188.38</v>
      </c>
      <c r="Q36" s="2">
        <f t="shared" si="51"/>
        <v>0</v>
      </c>
      <c r="R36" s="2">
        <f t="shared" si="22"/>
        <v>0</v>
      </c>
      <c r="S36" s="2">
        <f t="shared" si="23"/>
        <v>0</v>
      </c>
      <c r="T36" s="2">
        <f t="shared" si="24"/>
        <v>0</v>
      </c>
      <c r="U36" s="2">
        <f t="shared" si="25"/>
        <v>0</v>
      </c>
      <c r="V36" s="2">
        <f t="shared" si="26"/>
        <v>0</v>
      </c>
      <c r="W36" s="2">
        <f t="shared" si="27"/>
        <v>0</v>
      </c>
      <c r="X36" s="2">
        <f t="shared" si="28"/>
        <v>0</v>
      </c>
      <c r="Y36" s="2">
        <f t="shared" si="29"/>
        <v>0</v>
      </c>
      <c r="Z36" s="2"/>
      <c r="AA36" s="2">
        <v>59214062</v>
      </c>
      <c r="AB36" s="2">
        <f t="shared" si="30"/>
        <v>8188.38</v>
      </c>
      <c r="AC36" s="2">
        <f t="shared" si="52"/>
        <v>8188.38</v>
      </c>
      <c r="AD36" s="2">
        <f t="shared" si="53"/>
        <v>0</v>
      </c>
      <c r="AE36" s="2">
        <f t="shared" si="54"/>
        <v>0</v>
      </c>
      <c r="AF36" s="2">
        <f t="shared" si="55"/>
        <v>0</v>
      </c>
      <c r="AG36" s="2">
        <f t="shared" si="31"/>
        <v>0</v>
      </c>
      <c r="AH36" s="2">
        <f t="shared" si="56"/>
        <v>0</v>
      </c>
      <c r="AI36" s="2">
        <f t="shared" si="57"/>
        <v>0</v>
      </c>
      <c r="AJ36" s="2">
        <f t="shared" si="32"/>
        <v>0</v>
      </c>
      <c r="AK36" s="2">
        <v>8188.38</v>
      </c>
      <c r="AL36" s="2">
        <v>8188.38</v>
      </c>
      <c r="AM36" s="2">
        <v>0</v>
      </c>
      <c r="AN36" s="2">
        <v>0</v>
      </c>
      <c r="AO36" s="2">
        <v>0</v>
      </c>
      <c r="AP36" s="2">
        <v>0</v>
      </c>
      <c r="AQ36" s="2">
        <v>0</v>
      </c>
      <c r="AR36" s="2">
        <v>0</v>
      </c>
      <c r="AS36" s="2">
        <v>0</v>
      </c>
      <c r="AT36" s="2">
        <v>0</v>
      </c>
      <c r="AU36" s="2">
        <v>0</v>
      </c>
      <c r="AV36" s="2">
        <v>1</v>
      </c>
      <c r="AW36" s="2">
        <v>1</v>
      </c>
      <c r="AX36" s="2"/>
      <c r="AY36" s="2"/>
      <c r="AZ36" s="2">
        <v>1</v>
      </c>
      <c r="BA36" s="2">
        <v>1</v>
      </c>
      <c r="BB36" s="2">
        <v>1</v>
      </c>
      <c r="BC36" s="2">
        <v>1</v>
      </c>
      <c r="BD36" s="2" t="s">
        <v>3</v>
      </c>
      <c r="BE36" s="2" t="s">
        <v>3</v>
      </c>
      <c r="BF36" s="2" t="s">
        <v>3</v>
      </c>
      <c r="BG36" s="2" t="s">
        <v>3</v>
      </c>
      <c r="BH36" s="2">
        <v>3</v>
      </c>
      <c r="BI36" s="2">
        <v>3</v>
      </c>
      <c r="BJ36" s="2" t="s">
        <v>3</v>
      </c>
      <c r="BK36" s="2"/>
      <c r="BL36" s="2"/>
      <c r="BM36" s="2">
        <v>746</v>
      </c>
      <c r="BN36" s="2">
        <v>58808062</v>
      </c>
      <c r="BO36" s="2" t="s">
        <v>3</v>
      </c>
      <c r="BP36" s="2">
        <v>0</v>
      </c>
      <c r="BQ36" s="2">
        <v>130</v>
      </c>
      <c r="BR36" s="2">
        <v>0</v>
      </c>
      <c r="BS36" s="2">
        <v>1</v>
      </c>
      <c r="BT36" s="2">
        <v>1</v>
      </c>
      <c r="BU36" s="2">
        <v>1</v>
      </c>
      <c r="BV36" s="2">
        <v>1</v>
      </c>
      <c r="BW36" s="2">
        <v>1</v>
      </c>
      <c r="BX36" s="2">
        <v>1</v>
      </c>
      <c r="BY36" s="2" t="s">
        <v>3</v>
      </c>
      <c r="BZ36" s="2">
        <v>0</v>
      </c>
      <c r="CA36" s="2">
        <v>0</v>
      </c>
      <c r="CB36" s="2" t="s">
        <v>3</v>
      </c>
      <c r="CC36" s="2"/>
      <c r="CD36" s="2"/>
      <c r="CE36" s="2">
        <v>30</v>
      </c>
      <c r="CF36" s="2">
        <v>0</v>
      </c>
      <c r="CG36" s="2">
        <v>0</v>
      </c>
      <c r="CH36" s="2"/>
      <c r="CI36" s="2"/>
      <c r="CJ36" s="2"/>
      <c r="CK36" s="2"/>
      <c r="CL36" s="2"/>
      <c r="CM36" s="2">
        <v>0</v>
      </c>
      <c r="CN36" s="2" t="s">
        <v>3</v>
      </c>
      <c r="CO36" s="2">
        <v>0</v>
      </c>
      <c r="CP36" s="2">
        <f t="shared" si="33"/>
        <v>8188.38</v>
      </c>
      <c r="CQ36" s="2">
        <f t="shared" si="58"/>
        <v>8188.38</v>
      </c>
      <c r="CR36" s="2">
        <f t="shared" si="59"/>
        <v>0</v>
      </c>
      <c r="CS36" s="2">
        <f t="shared" si="34"/>
        <v>0</v>
      </c>
      <c r="CT36" s="2">
        <f t="shared" si="35"/>
        <v>0</v>
      </c>
      <c r="CU36" s="2">
        <f t="shared" si="36"/>
        <v>0</v>
      </c>
      <c r="CV36" s="2">
        <f t="shared" si="37"/>
        <v>0</v>
      </c>
      <c r="CW36" s="2">
        <f t="shared" si="38"/>
        <v>0</v>
      </c>
      <c r="CX36" s="2">
        <f t="shared" si="39"/>
        <v>0</v>
      </c>
      <c r="CY36" s="2">
        <f t="shared" si="40"/>
        <v>0</v>
      </c>
      <c r="CZ36" s="2">
        <f t="shared" si="41"/>
        <v>0</v>
      </c>
      <c r="DA36" s="2"/>
      <c r="DB36" s="2"/>
      <c r="DC36" s="2" t="s">
        <v>3</v>
      </c>
      <c r="DD36" s="2" t="s">
        <v>3</v>
      </c>
      <c r="DE36" s="2" t="s">
        <v>3</v>
      </c>
      <c r="DF36" s="2" t="s">
        <v>3</v>
      </c>
      <c r="DG36" s="2" t="s">
        <v>3</v>
      </c>
      <c r="DH36" s="2" t="s">
        <v>3</v>
      </c>
      <c r="DI36" s="2" t="s">
        <v>3</v>
      </c>
      <c r="DJ36" s="2" t="s">
        <v>3</v>
      </c>
      <c r="DK36" s="2" t="s">
        <v>3</v>
      </c>
      <c r="DL36" s="2" t="s">
        <v>3</v>
      </c>
      <c r="DM36" s="2" t="s">
        <v>3</v>
      </c>
      <c r="DN36" s="2">
        <v>0</v>
      </c>
      <c r="DO36" s="2">
        <v>0</v>
      </c>
      <c r="DP36" s="2">
        <v>1</v>
      </c>
      <c r="DQ36" s="2">
        <v>1</v>
      </c>
      <c r="DR36" s="2"/>
      <c r="DS36" s="2"/>
      <c r="DT36" s="2"/>
      <c r="DU36" s="2">
        <v>1010</v>
      </c>
      <c r="DV36" s="2" t="s">
        <v>34</v>
      </c>
      <c r="DW36" s="2" t="s">
        <v>34</v>
      </c>
      <c r="DX36" s="2">
        <v>1</v>
      </c>
      <c r="DY36" s="2"/>
      <c r="DZ36" s="2" t="s">
        <v>3</v>
      </c>
      <c r="EA36" s="2" t="s">
        <v>3</v>
      </c>
      <c r="EB36" s="2" t="s">
        <v>3</v>
      </c>
      <c r="EC36" s="2" t="s">
        <v>3</v>
      </c>
      <c r="ED36" s="2"/>
      <c r="EE36" s="2">
        <v>58808284</v>
      </c>
      <c r="EF36" s="2">
        <v>130</v>
      </c>
      <c r="EG36" s="2" t="s">
        <v>35</v>
      </c>
      <c r="EH36" s="2">
        <v>0</v>
      </c>
      <c r="EI36" s="2" t="s">
        <v>3</v>
      </c>
      <c r="EJ36" s="2">
        <v>3</v>
      </c>
      <c r="EK36" s="2">
        <v>746</v>
      </c>
      <c r="EL36" s="2" t="s">
        <v>36</v>
      </c>
      <c r="EM36" s="2" t="s">
        <v>37</v>
      </c>
      <c r="EN36" s="2"/>
      <c r="EO36" s="2" t="s">
        <v>3</v>
      </c>
      <c r="EP36" s="2"/>
      <c r="EQ36" s="2">
        <v>0</v>
      </c>
      <c r="ER36" s="2">
        <v>8188.38</v>
      </c>
      <c r="ES36" s="2">
        <v>8188.38</v>
      </c>
      <c r="ET36" s="2">
        <v>0</v>
      </c>
      <c r="EU36" s="2">
        <v>0</v>
      </c>
      <c r="EV36" s="2">
        <v>0</v>
      </c>
      <c r="EW36" s="2">
        <v>0</v>
      </c>
      <c r="EX36" s="2">
        <v>0</v>
      </c>
      <c r="EY36" s="2">
        <v>0</v>
      </c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>
        <v>0</v>
      </c>
      <c r="FR36" s="2">
        <f t="shared" si="60"/>
        <v>8188.38</v>
      </c>
      <c r="FS36" s="2">
        <v>0</v>
      </c>
      <c r="FT36" s="2"/>
      <c r="FU36" s="2"/>
      <c r="FV36" s="2"/>
      <c r="FW36" s="2"/>
      <c r="FX36" s="2">
        <v>0</v>
      </c>
      <c r="FY36" s="2">
        <v>0</v>
      </c>
      <c r="FZ36" s="2"/>
      <c r="GA36" s="2" t="s">
        <v>3</v>
      </c>
      <c r="GB36" s="2"/>
      <c r="GC36" s="2"/>
      <c r="GD36" s="2">
        <v>1</v>
      </c>
      <c r="GE36" s="2"/>
      <c r="GF36" s="2">
        <v>844771149</v>
      </c>
      <c r="GG36" s="2">
        <v>2</v>
      </c>
      <c r="GH36" s="2">
        <v>1</v>
      </c>
      <c r="GI36" s="2">
        <v>-2</v>
      </c>
      <c r="GJ36" s="2">
        <v>0</v>
      </c>
      <c r="GK36" s="2">
        <v>0</v>
      </c>
      <c r="GL36" s="2">
        <f t="shared" si="42"/>
        <v>0</v>
      </c>
      <c r="GM36" s="2">
        <f t="shared" si="43"/>
        <v>8188.38</v>
      </c>
      <c r="GN36" s="2">
        <f t="shared" si="44"/>
        <v>0</v>
      </c>
      <c r="GO36" s="2">
        <f t="shared" si="45"/>
        <v>0</v>
      </c>
      <c r="GP36" s="2">
        <f t="shared" si="46"/>
        <v>0</v>
      </c>
      <c r="GQ36" s="2"/>
      <c r="GR36" s="2">
        <v>0</v>
      </c>
      <c r="GS36" s="2">
        <v>3</v>
      </c>
      <c r="GT36" s="2">
        <v>0</v>
      </c>
      <c r="GU36" s="2" t="s">
        <v>3</v>
      </c>
      <c r="GV36" s="2">
        <f t="shared" si="47"/>
        <v>0</v>
      </c>
      <c r="GW36" s="2">
        <v>1</v>
      </c>
      <c r="GX36" s="2">
        <f t="shared" si="48"/>
        <v>0</v>
      </c>
      <c r="GY36" s="2"/>
      <c r="GZ36" s="2"/>
      <c r="HA36" s="2">
        <v>0</v>
      </c>
      <c r="HB36" s="2">
        <v>0</v>
      </c>
      <c r="HC36" s="2">
        <f t="shared" si="49"/>
        <v>0</v>
      </c>
      <c r="HD36" s="2"/>
      <c r="HE36" s="2" t="s">
        <v>3</v>
      </c>
      <c r="HF36" s="2" t="s">
        <v>3</v>
      </c>
      <c r="HG36" s="2"/>
      <c r="HH36" s="2"/>
      <c r="HI36" s="2"/>
      <c r="HJ36" s="2"/>
      <c r="HK36" s="2"/>
      <c r="HL36" s="2"/>
      <c r="HM36" s="2" t="s">
        <v>3</v>
      </c>
      <c r="HN36" s="2" t="s">
        <v>3</v>
      </c>
      <c r="HO36" s="2" t="s">
        <v>3</v>
      </c>
      <c r="HP36" s="2" t="s">
        <v>3</v>
      </c>
      <c r="HQ36" s="2" t="s">
        <v>3</v>
      </c>
      <c r="HR36" s="2"/>
      <c r="HS36" s="2">
        <v>0</v>
      </c>
      <c r="HT36" s="2"/>
      <c r="HU36" s="2"/>
      <c r="HV36" s="2"/>
      <c r="HW36" s="2"/>
      <c r="HX36" s="2"/>
      <c r="HY36" s="2"/>
      <c r="HZ36" s="2"/>
      <c r="IA36" s="2"/>
      <c r="IB36" s="2"/>
      <c r="IC36" s="2"/>
      <c r="ID36" s="2"/>
      <c r="IE36" s="2"/>
      <c r="IF36" s="2"/>
      <c r="IG36" s="2"/>
      <c r="IH36" s="2"/>
      <c r="II36" s="2"/>
      <c r="IJ36" s="2"/>
      <c r="IK36" s="2">
        <v>0</v>
      </c>
      <c r="IL36" s="2"/>
      <c r="IM36" s="2"/>
      <c r="IN36" s="2"/>
      <c r="IO36" s="2"/>
      <c r="IP36" s="2"/>
      <c r="IQ36" s="2"/>
      <c r="IR36" s="2"/>
      <c r="IS36" s="2"/>
      <c r="IT36" s="2"/>
      <c r="IU36" s="2"/>
    </row>
    <row r="37" spans="1:255" x14ac:dyDescent="0.2">
      <c r="A37">
        <v>17</v>
      </c>
      <c r="B37">
        <v>1</v>
      </c>
      <c r="E37" t="s">
        <v>48</v>
      </c>
      <c r="F37" t="s">
        <v>49</v>
      </c>
      <c r="G37" t="s">
        <v>195</v>
      </c>
      <c r="H37" t="s">
        <v>34</v>
      </c>
      <c r="I37">
        <f t="shared" si="61"/>
        <v>1</v>
      </c>
      <c r="J37">
        <v>0</v>
      </c>
      <c r="K37">
        <f t="shared" si="62"/>
        <v>1</v>
      </c>
      <c r="O37">
        <f t="shared" si="21"/>
        <v>84831.62</v>
      </c>
      <c r="P37">
        <f t="shared" si="50"/>
        <v>84831.62</v>
      </c>
      <c r="Q37">
        <f t="shared" si="51"/>
        <v>0</v>
      </c>
      <c r="R37">
        <f t="shared" si="22"/>
        <v>0</v>
      </c>
      <c r="S37">
        <f t="shared" si="23"/>
        <v>0</v>
      </c>
      <c r="T37">
        <f t="shared" si="24"/>
        <v>0</v>
      </c>
      <c r="U37">
        <f t="shared" si="25"/>
        <v>0</v>
      </c>
      <c r="V37">
        <f t="shared" si="26"/>
        <v>0</v>
      </c>
      <c r="W37">
        <f t="shared" si="27"/>
        <v>0</v>
      </c>
      <c r="X37">
        <f t="shared" si="28"/>
        <v>0</v>
      </c>
      <c r="Y37">
        <f t="shared" si="29"/>
        <v>0</v>
      </c>
      <c r="AA37">
        <v>59214059</v>
      </c>
      <c r="AB37">
        <f t="shared" si="30"/>
        <v>8188.38</v>
      </c>
      <c r="AC37">
        <f t="shared" si="52"/>
        <v>8188.38</v>
      </c>
      <c r="AD37">
        <f t="shared" si="53"/>
        <v>0</v>
      </c>
      <c r="AE37">
        <f t="shared" si="54"/>
        <v>0</v>
      </c>
      <c r="AF37">
        <f t="shared" si="55"/>
        <v>0</v>
      </c>
      <c r="AG37">
        <f t="shared" si="31"/>
        <v>0</v>
      </c>
      <c r="AH37">
        <f t="shared" si="56"/>
        <v>0</v>
      </c>
      <c r="AI37">
        <f t="shared" si="57"/>
        <v>0</v>
      </c>
      <c r="AJ37">
        <f t="shared" si="32"/>
        <v>0</v>
      </c>
      <c r="AK37">
        <v>8188.38</v>
      </c>
      <c r="AL37">
        <v>8188.38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1</v>
      </c>
      <c r="AW37">
        <v>1</v>
      </c>
      <c r="AZ37">
        <v>1</v>
      </c>
      <c r="BA37">
        <v>1</v>
      </c>
      <c r="BB37">
        <v>1</v>
      </c>
      <c r="BC37">
        <v>10.36</v>
      </c>
      <c r="BD37" t="s">
        <v>3</v>
      </c>
      <c r="BE37" t="s">
        <v>3</v>
      </c>
      <c r="BF37" t="s">
        <v>3</v>
      </c>
      <c r="BG37" t="s">
        <v>3</v>
      </c>
      <c r="BH37">
        <v>3</v>
      </c>
      <c r="BI37">
        <v>3</v>
      </c>
      <c r="BJ37" t="s">
        <v>3</v>
      </c>
      <c r="BM37">
        <v>746</v>
      </c>
      <c r="BN37">
        <v>58808062</v>
      </c>
      <c r="BO37" t="s">
        <v>3</v>
      </c>
      <c r="BP37">
        <v>0</v>
      </c>
      <c r="BQ37">
        <v>130</v>
      </c>
      <c r="BR37">
        <v>0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1</v>
      </c>
      <c r="BY37" t="s">
        <v>3</v>
      </c>
      <c r="BZ37">
        <v>0</v>
      </c>
      <c r="CA37">
        <v>0</v>
      </c>
      <c r="CB37" t="s">
        <v>3</v>
      </c>
      <c r="CE37">
        <v>30</v>
      </c>
      <c r="CF37">
        <v>0</v>
      </c>
      <c r="CG37">
        <v>0</v>
      </c>
      <c r="CM37">
        <v>0</v>
      </c>
      <c r="CN37" t="s">
        <v>3</v>
      </c>
      <c r="CO37">
        <v>0</v>
      </c>
      <c r="CP37">
        <f t="shared" si="33"/>
        <v>84831.62</v>
      </c>
      <c r="CQ37">
        <f t="shared" si="58"/>
        <v>84831.62</v>
      </c>
      <c r="CR37">
        <f t="shared" si="59"/>
        <v>0</v>
      </c>
      <c r="CS37">
        <f t="shared" si="34"/>
        <v>0</v>
      </c>
      <c r="CT37">
        <f t="shared" si="35"/>
        <v>0</v>
      </c>
      <c r="CU37">
        <f t="shared" si="36"/>
        <v>0</v>
      </c>
      <c r="CV37">
        <f t="shared" si="37"/>
        <v>0</v>
      </c>
      <c r="CW37">
        <f t="shared" si="38"/>
        <v>0</v>
      </c>
      <c r="CX37">
        <f t="shared" si="39"/>
        <v>0</v>
      </c>
      <c r="CY37">
        <f t="shared" si="40"/>
        <v>0</v>
      </c>
      <c r="CZ37">
        <f t="shared" si="41"/>
        <v>0</v>
      </c>
      <c r="DC37" t="s">
        <v>3</v>
      </c>
      <c r="DD37" t="s">
        <v>3</v>
      </c>
      <c r="DE37" t="s">
        <v>3</v>
      </c>
      <c r="DF37" t="s">
        <v>3</v>
      </c>
      <c r="DG37" t="s">
        <v>3</v>
      </c>
      <c r="DH37" t="s">
        <v>3</v>
      </c>
      <c r="DI37" t="s">
        <v>3</v>
      </c>
      <c r="DJ37" t="s">
        <v>3</v>
      </c>
      <c r="DK37" t="s">
        <v>3</v>
      </c>
      <c r="DL37" t="s">
        <v>3</v>
      </c>
      <c r="DM37" t="s">
        <v>3</v>
      </c>
      <c r="DN37">
        <v>0</v>
      </c>
      <c r="DO37">
        <v>0</v>
      </c>
      <c r="DP37">
        <v>1</v>
      </c>
      <c r="DQ37">
        <v>1</v>
      </c>
      <c r="DU37">
        <v>1010</v>
      </c>
      <c r="DV37" t="s">
        <v>34</v>
      </c>
      <c r="DW37" t="s">
        <v>34</v>
      </c>
      <c r="DX37">
        <v>1</v>
      </c>
      <c r="DZ37" t="s">
        <v>3</v>
      </c>
      <c r="EA37" t="s">
        <v>3</v>
      </c>
      <c r="EB37" t="s">
        <v>3</v>
      </c>
      <c r="EC37" t="s">
        <v>3</v>
      </c>
      <c r="EE37">
        <v>58808284</v>
      </c>
      <c r="EF37">
        <v>130</v>
      </c>
      <c r="EG37" t="s">
        <v>35</v>
      </c>
      <c r="EH37">
        <v>0</v>
      </c>
      <c r="EI37" t="s">
        <v>3</v>
      </c>
      <c r="EJ37">
        <v>3</v>
      </c>
      <c r="EK37">
        <v>746</v>
      </c>
      <c r="EL37" t="s">
        <v>36</v>
      </c>
      <c r="EM37" t="s">
        <v>37</v>
      </c>
      <c r="EO37" t="s">
        <v>3</v>
      </c>
      <c r="EQ37">
        <v>0</v>
      </c>
      <c r="ER37">
        <v>8188.38</v>
      </c>
      <c r="ES37">
        <v>8188.38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FQ37">
        <v>0</v>
      </c>
      <c r="FR37">
        <f t="shared" si="60"/>
        <v>84831.62</v>
      </c>
      <c r="FS37">
        <v>0</v>
      </c>
      <c r="FX37">
        <v>0</v>
      </c>
      <c r="FY37">
        <v>0</v>
      </c>
      <c r="GA37" t="s">
        <v>3</v>
      </c>
      <c r="GD37">
        <v>1</v>
      </c>
      <c r="GF37">
        <v>844771149</v>
      </c>
      <c r="GG37">
        <v>2</v>
      </c>
      <c r="GH37">
        <v>1</v>
      </c>
      <c r="GI37">
        <v>2</v>
      </c>
      <c r="GJ37">
        <v>0</v>
      </c>
      <c r="GK37">
        <v>0</v>
      </c>
      <c r="GL37">
        <f t="shared" si="42"/>
        <v>0</v>
      </c>
      <c r="GM37">
        <f t="shared" si="43"/>
        <v>84831.62</v>
      </c>
      <c r="GN37">
        <f t="shared" si="44"/>
        <v>0</v>
      </c>
      <c r="GO37">
        <f t="shared" si="45"/>
        <v>0</v>
      </c>
      <c r="GP37">
        <f t="shared" si="46"/>
        <v>0</v>
      </c>
      <c r="GR37">
        <v>0</v>
      </c>
      <c r="GS37">
        <v>3</v>
      </c>
      <c r="GT37">
        <v>0</v>
      </c>
      <c r="GU37" t="s">
        <v>3</v>
      </c>
      <c r="GV37">
        <f t="shared" si="47"/>
        <v>0</v>
      </c>
      <c r="GW37">
        <v>1</v>
      </c>
      <c r="GX37">
        <f t="shared" si="48"/>
        <v>0</v>
      </c>
      <c r="HA37">
        <v>0</v>
      </c>
      <c r="HB37">
        <v>0</v>
      </c>
      <c r="HC37">
        <f t="shared" si="49"/>
        <v>0</v>
      </c>
      <c r="HE37" t="s">
        <v>3</v>
      </c>
      <c r="HF37" t="s">
        <v>3</v>
      </c>
      <c r="HM37" t="s">
        <v>3</v>
      </c>
      <c r="HN37" t="s">
        <v>3</v>
      </c>
      <c r="HO37" t="s">
        <v>3</v>
      </c>
      <c r="HP37" t="s">
        <v>3</v>
      </c>
      <c r="HQ37" t="s">
        <v>3</v>
      </c>
      <c r="HS37">
        <v>0</v>
      </c>
      <c r="IK37">
        <v>0</v>
      </c>
    </row>
    <row r="38" spans="1:255" x14ac:dyDescent="0.2">
      <c r="A38" s="2">
        <v>17</v>
      </c>
      <c r="B38" s="2">
        <v>1</v>
      </c>
      <c r="C38" s="2"/>
      <c r="D38" s="2"/>
      <c r="E38" s="2" t="s">
        <v>50</v>
      </c>
      <c r="F38" s="2" t="s">
        <v>51</v>
      </c>
      <c r="G38" s="2" t="s">
        <v>196</v>
      </c>
      <c r="H38" s="2" t="s">
        <v>52</v>
      </c>
      <c r="I38" s="2">
        <f t="shared" si="61"/>
        <v>1</v>
      </c>
      <c r="J38" s="2">
        <v>0</v>
      </c>
      <c r="K38" s="2">
        <f t="shared" si="62"/>
        <v>1</v>
      </c>
      <c r="L38" s="2"/>
      <c r="M38" s="2"/>
      <c r="N38" s="2"/>
      <c r="O38" s="2">
        <f t="shared" si="21"/>
        <v>866.44</v>
      </c>
      <c r="P38" s="2">
        <f t="shared" si="50"/>
        <v>866.44</v>
      </c>
      <c r="Q38" s="2">
        <f t="shared" si="51"/>
        <v>0</v>
      </c>
      <c r="R38" s="2">
        <f t="shared" si="22"/>
        <v>0</v>
      </c>
      <c r="S38" s="2">
        <f t="shared" si="23"/>
        <v>0</v>
      </c>
      <c r="T38" s="2">
        <f t="shared" si="24"/>
        <v>0</v>
      </c>
      <c r="U38" s="2">
        <f t="shared" si="25"/>
        <v>0</v>
      </c>
      <c r="V38" s="2">
        <f t="shared" si="26"/>
        <v>0</v>
      </c>
      <c r="W38" s="2">
        <f t="shared" si="27"/>
        <v>0</v>
      </c>
      <c r="X38" s="2">
        <f t="shared" si="28"/>
        <v>0</v>
      </c>
      <c r="Y38" s="2">
        <f t="shared" si="29"/>
        <v>0</v>
      </c>
      <c r="Z38" s="2"/>
      <c r="AA38" s="2">
        <v>59214062</v>
      </c>
      <c r="AB38" s="2">
        <f t="shared" si="30"/>
        <v>866.44</v>
      </c>
      <c r="AC38" s="2">
        <f t="shared" si="52"/>
        <v>866.44</v>
      </c>
      <c r="AD38" s="2">
        <f t="shared" si="53"/>
        <v>0</v>
      </c>
      <c r="AE38" s="2">
        <f t="shared" si="54"/>
        <v>0</v>
      </c>
      <c r="AF38" s="2">
        <f t="shared" si="55"/>
        <v>0</v>
      </c>
      <c r="AG38" s="2">
        <f t="shared" si="31"/>
        <v>0</v>
      </c>
      <c r="AH38" s="2">
        <f t="shared" si="56"/>
        <v>0</v>
      </c>
      <c r="AI38" s="2">
        <f t="shared" si="57"/>
        <v>0</v>
      </c>
      <c r="AJ38" s="2">
        <f t="shared" si="32"/>
        <v>0</v>
      </c>
      <c r="AK38" s="2">
        <v>866.44</v>
      </c>
      <c r="AL38" s="2">
        <v>866.44</v>
      </c>
      <c r="AM38" s="2">
        <v>0</v>
      </c>
      <c r="AN38" s="2">
        <v>0</v>
      </c>
      <c r="AO38" s="2">
        <v>0</v>
      </c>
      <c r="AP38" s="2">
        <v>0</v>
      </c>
      <c r="AQ38" s="2">
        <v>0</v>
      </c>
      <c r="AR38" s="2">
        <v>0</v>
      </c>
      <c r="AS38" s="2">
        <v>0</v>
      </c>
      <c r="AT38" s="2">
        <v>0</v>
      </c>
      <c r="AU38" s="2">
        <v>0</v>
      </c>
      <c r="AV38" s="2">
        <v>1</v>
      </c>
      <c r="AW38" s="2">
        <v>1</v>
      </c>
      <c r="AX38" s="2"/>
      <c r="AY38" s="2"/>
      <c r="AZ38" s="2">
        <v>1</v>
      </c>
      <c r="BA38" s="2">
        <v>1</v>
      </c>
      <c r="BB38" s="2">
        <v>1</v>
      </c>
      <c r="BC38" s="2">
        <v>1</v>
      </c>
      <c r="BD38" s="2" t="s">
        <v>3</v>
      </c>
      <c r="BE38" s="2" t="s">
        <v>3</v>
      </c>
      <c r="BF38" s="2" t="s">
        <v>3</v>
      </c>
      <c r="BG38" s="2" t="s">
        <v>3</v>
      </c>
      <c r="BH38" s="2">
        <v>3</v>
      </c>
      <c r="BI38" s="2">
        <v>3</v>
      </c>
      <c r="BJ38" s="2" t="s">
        <v>3</v>
      </c>
      <c r="BK38" s="2"/>
      <c r="BL38" s="2"/>
      <c r="BM38" s="2">
        <v>746</v>
      </c>
      <c r="BN38" s="2">
        <v>58808062</v>
      </c>
      <c r="BO38" s="2" t="s">
        <v>3</v>
      </c>
      <c r="BP38" s="2">
        <v>0</v>
      </c>
      <c r="BQ38" s="2">
        <v>130</v>
      </c>
      <c r="BR38" s="2">
        <v>0</v>
      </c>
      <c r="BS38" s="2">
        <v>1</v>
      </c>
      <c r="BT38" s="2">
        <v>1</v>
      </c>
      <c r="BU38" s="2">
        <v>1</v>
      </c>
      <c r="BV38" s="2">
        <v>1</v>
      </c>
      <c r="BW38" s="2">
        <v>1</v>
      </c>
      <c r="BX38" s="2">
        <v>1</v>
      </c>
      <c r="BY38" s="2" t="s">
        <v>3</v>
      </c>
      <c r="BZ38" s="2">
        <v>0</v>
      </c>
      <c r="CA38" s="2">
        <v>0</v>
      </c>
      <c r="CB38" s="2" t="s">
        <v>3</v>
      </c>
      <c r="CC38" s="2"/>
      <c r="CD38" s="2"/>
      <c r="CE38" s="2">
        <v>30</v>
      </c>
      <c r="CF38" s="2">
        <v>0</v>
      </c>
      <c r="CG38" s="2">
        <v>0</v>
      </c>
      <c r="CH38" s="2"/>
      <c r="CI38" s="2"/>
      <c r="CJ38" s="2"/>
      <c r="CK38" s="2"/>
      <c r="CL38" s="2"/>
      <c r="CM38" s="2">
        <v>0</v>
      </c>
      <c r="CN38" s="2" t="s">
        <v>3</v>
      </c>
      <c r="CO38" s="2">
        <v>0</v>
      </c>
      <c r="CP38" s="2">
        <f t="shared" si="33"/>
        <v>866.44</v>
      </c>
      <c r="CQ38" s="2">
        <f t="shared" si="58"/>
        <v>866.44</v>
      </c>
      <c r="CR38" s="2">
        <f t="shared" si="59"/>
        <v>0</v>
      </c>
      <c r="CS38" s="2">
        <f t="shared" si="34"/>
        <v>0</v>
      </c>
      <c r="CT38" s="2">
        <f t="shared" si="35"/>
        <v>0</v>
      </c>
      <c r="CU38" s="2">
        <f t="shared" si="36"/>
        <v>0</v>
      </c>
      <c r="CV38" s="2">
        <f t="shared" si="37"/>
        <v>0</v>
      </c>
      <c r="CW38" s="2">
        <f t="shared" si="38"/>
        <v>0</v>
      </c>
      <c r="CX38" s="2">
        <f t="shared" si="39"/>
        <v>0</v>
      </c>
      <c r="CY38" s="2">
        <f t="shared" si="40"/>
        <v>0</v>
      </c>
      <c r="CZ38" s="2">
        <f t="shared" si="41"/>
        <v>0</v>
      </c>
      <c r="DA38" s="2"/>
      <c r="DB38" s="2"/>
      <c r="DC38" s="2" t="s">
        <v>3</v>
      </c>
      <c r="DD38" s="2" t="s">
        <v>3</v>
      </c>
      <c r="DE38" s="2" t="s">
        <v>3</v>
      </c>
      <c r="DF38" s="2" t="s">
        <v>3</v>
      </c>
      <c r="DG38" s="2" t="s">
        <v>3</v>
      </c>
      <c r="DH38" s="2" t="s">
        <v>3</v>
      </c>
      <c r="DI38" s="2" t="s">
        <v>3</v>
      </c>
      <c r="DJ38" s="2" t="s">
        <v>3</v>
      </c>
      <c r="DK38" s="2" t="s">
        <v>3</v>
      </c>
      <c r="DL38" s="2" t="s">
        <v>3</v>
      </c>
      <c r="DM38" s="2" t="s">
        <v>3</v>
      </c>
      <c r="DN38" s="2">
        <v>0</v>
      </c>
      <c r="DO38" s="2">
        <v>0</v>
      </c>
      <c r="DP38" s="2">
        <v>1</v>
      </c>
      <c r="DQ38" s="2">
        <v>1</v>
      </c>
      <c r="DR38" s="2"/>
      <c r="DS38" s="2"/>
      <c r="DT38" s="2"/>
      <c r="DU38" s="2">
        <v>1013</v>
      </c>
      <c r="DV38" s="2" t="s">
        <v>52</v>
      </c>
      <c r="DW38" s="2" t="s">
        <v>52</v>
      </c>
      <c r="DX38" s="2">
        <v>1</v>
      </c>
      <c r="DY38" s="2"/>
      <c r="DZ38" s="2" t="s">
        <v>3</v>
      </c>
      <c r="EA38" s="2" t="s">
        <v>3</v>
      </c>
      <c r="EB38" s="2" t="s">
        <v>3</v>
      </c>
      <c r="EC38" s="2" t="s">
        <v>3</v>
      </c>
      <c r="ED38" s="2"/>
      <c r="EE38" s="2">
        <v>58808284</v>
      </c>
      <c r="EF38" s="2">
        <v>130</v>
      </c>
      <c r="EG38" s="2" t="s">
        <v>35</v>
      </c>
      <c r="EH38" s="2">
        <v>0</v>
      </c>
      <c r="EI38" s="2" t="s">
        <v>3</v>
      </c>
      <c r="EJ38" s="2">
        <v>3</v>
      </c>
      <c r="EK38" s="2">
        <v>746</v>
      </c>
      <c r="EL38" s="2" t="s">
        <v>36</v>
      </c>
      <c r="EM38" s="2" t="s">
        <v>37</v>
      </c>
      <c r="EN38" s="2"/>
      <c r="EO38" s="2" t="s">
        <v>3</v>
      </c>
      <c r="EP38" s="2"/>
      <c r="EQ38" s="2">
        <v>0</v>
      </c>
      <c r="ER38" s="2">
        <v>866.44</v>
      </c>
      <c r="ES38" s="2">
        <v>866.44</v>
      </c>
      <c r="ET38" s="2">
        <v>0</v>
      </c>
      <c r="EU38" s="2">
        <v>0</v>
      </c>
      <c r="EV38" s="2">
        <v>0</v>
      </c>
      <c r="EW38" s="2">
        <v>0</v>
      </c>
      <c r="EX38" s="2">
        <v>0</v>
      </c>
      <c r="EY38" s="2">
        <v>0</v>
      </c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>
        <v>0</v>
      </c>
      <c r="FR38" s="2">
        <f t="shared" si="60"/>
        <v>866.44</v>
      </c>
      <c r="FS38" s="2">
        <v>0</v>
      </c>
      <c r="FT38" s="2"/>
      <c r="FU38" s="2"/>
      <c r="FV38" s="2"/>
      <c r="FW38" s="2"/>
      <c r="FX38" s="2">
        <v>0</v>
      </c>
      <c r="FY38" s="2">
        <v>0</v>
      </c>
      <c r="FZ38" s="2"/>
      <c r="GA38" s="2" t="s">
        <v>3</v>
      </c>
      <c r="GB38" s="2"/>
      <c r="GC38" s="2"/>
      <c r="GD38" s="2">
        <v>1</v>
      </c>
      <c r="GE38" s="2"/>
      <c r="GF38" s="2">
        <v>-1221268236</v>
      </c>
      <c r="GG38" s="2">
        <v>2</v>
      </c>
      <c r="GH38" s="2">
        <v>1</v>
      </c>
      <c r="GI38" s="2">
        <v>-2</v>
      </c>
      <c r="GJ38" s="2">
        <v>0</v>
      </c>
      <c r="GK38" s="2">
        <v>0</v>
      </c>
      <c r="GL38" s="2">
        <f t="shared" si="42"/>
        <v>0</v>
      </c>
      <c r="GM38" s="2">
        <f t="shared" si="43"/>
        <v>866.44</v>
      </c>
      <c r="GN38" s="2">
        <f t="shared" si="44"/>
        <v>0</v>
      </c>
      <c r="GO38" s="2">
        <f t="shared" si="45"/>
        <v>0</v>
      </c>
      <c r="GP38" s="2">
        <f t="shared" si="46"/>
        <v>0</v>
      </c>
      <c r="GQ38" s="2"/>
      <c r="GR38" s="2">
        <v>0</v>
      </c>
      <c r="GS38" s="2">
        <v>3</v>
      </c>
      <c r="GT38" s="2">
        <v>0</v>
      </c>
      <c r="GU38" s="2" t="s">
        <v>3</v>
      </c>
      <c r="GV38" s="2">
        <f t="shared" si="47"/>
        <v>0</v>
      </c>
      <c r="GW38" s="2">
        <v>1</v>
      </c>
      <c r="GX38" s="2">
        <f t="shared" si="48"/>
        <v>0</v>
      </c>
      <c r="GY38" s="2"/>
      <c r="GZ38" s="2"/>
      <c r="HA38" s="2">
        <v>0</v>
      </c>
      <c r="HB38" s="2">
        <v>0</v>
      </c>
      <c r="HC38" s="2">
        <f t="shared" si="49"/>
        <v>0</v>
      </c>
      <c r="HD38" s="2"/>
      <c r="HE38" s="2" t="s">
        <v>3</v>
      </c>
      <c r="HF38" s="2" t="s">
        <v>3</v>
      </c>
      <c r="HG38" s="2"/>
      <c r="HH38" s="2"/>
      <c r="HI38" s="2"/>
      <c r="HJ38" s="2"/>
      <c r="HK38" s="2"/>
      <c r="HL38" s="2"/>
      <c r="HM38" s="2" t="s">
        <v>3</v>
      </c>
      <c r="HN38" s="2" t="s">
        <v>3</v>
      </c>
      <c r="HO38" s="2" t="s">
        <v>3</v>
      </c>
      <c r="HP38" s="2" t="s">
        <v>3</v>
      </c>
      <c r="HQ38" s="2" t="s">
        <v>3</v>
      </c>
      <c r="HR38" s="2"/>
      <c r="HS38" s="2">
        <v>0</v>
      </c>
      <c r="HT38" s="2"/>
      <c r="HU38" s="2"/>
      <c r="HV38" s="2"/>
      <c r="HW38" s="2"/>
      <c r="HX38" s="2"/>
      <c r="HY38" s="2"/>
      <c r="HZ38" s="2"/>
      <c r="IA38" s="2"/>
      <c r="IB38" s="2"/>
      <c r="IC38" s="2"/>
      <c r="ID38" s="2"/>
      <c r="IE38" s="2"/>
      <c r="IF38" s="2"/>
      <c r="IG38" s="2"/>
      <c r="IH38" s="2"/>
      <c r="II38" s="2"/>
      <c r="IJ38" s="2"/>
      <c r="IK38" s="2">
        <v>0</v>
      </c>
      <c r="IL38" s="2"/>
      <c r="IM38" s="2"/>
      <c r="IN38" s="2"/>
      <c r="IO38" s="2"/>
      <c r="IP38" s="2"/>
      <c r="IQ38" s="2"/>
      <c r="IR38" s="2"/>
      <c r="IS38" s="2"/>
      <c r="IT38" s="2"/>
      <c r="IU38" s="2"/>
    </row>
    <row r="39" spans="1:255" x14ac:dyDescent="0.2">
      <c r="A39">
        <v>17</v>
      </c>
      <c r="B39">
        <v>1</v>
      </c>
      <c r="E39" t="s">
        <v>50</v>
      </c>
      <c r="F39" t="s">
        <v>51</v>
      </c>
      <c r="G39" t="s">
        <v>196</v>
      </c>
      <c r="H39" t="s">
        <v>52</v>
      </c>
      <c r="I39">
        <f t="shared" si="61"/>
        <v>1</v>
      </c>
      <c r="J39">
        <v>0</v>
      </c>
      <c r="K39">
        <f t="shared" si="62"/>
        <v>1</v>
      </c>
      <c r="O39">
        <f t="shared" si="21"/>
        <v>9903.41</v>
      </c>
      <c r="P39">
        <f t="shared" si="50"/>
        <v>9903.41</v>
      </c>
      <c r="Q39">
        <f t="shared" si="51"/>
        <v>0</v>
      </c>
      <c r="R39">
        <f t="shared" si="22"/>
        <v>0</v>
      </c>
      <c r="S39">
        <f t="shared" si="23"/>
        <v>0</v>
      </c>
      <c r="T39">
        <f t="shared" si="24"/>
        <v>0</v>
      </c>
      <c r="U39">
        <f t="shared" si="25"/>
        <v>0</v>
      </c>
      <c r="V39">
        <f t="shared" si="26"/>
        <v>0</v>
      </c>
      <c r="W39">
        <f t="shared" si="27"/>
        <v>0</v>
      </c>
      <c r="X39">
        <f t="shared" si="28"/>
        <v>0</v>
      </c>
      <c r="Y39">
        <f t="shared" si="29"/>
        <v>0</v>
      </c>
      <c r="AA39">
        <v>59214059</v>
      </c>
      <c r="AB39">
        <f t="shared" si="30"/>
        <v>866.44</v>
      </c>
      <c r="AC39">
        <f t="shared" si="52"/>
        <v>866.44</v>
      </c>
      <c r="AD39">
        <f t="shared" si="53"/>
        <v>0</v>
      </c>
      <c r="AE39">
        <f t="shared" si="54"/>
        <v>0</v>
      </c>
      <c r="AF39">
        <f t="shared" si="55"/>
        <v>0</v>
      </c>
      <c r="AG39">
        <f t="shared" si="31"/>
        <v>0</v>
      </c>
      <c r="AH39">
        <f t="shared" si="56"/>
        <v>0</v>
      </c>
      <c r="AI39">
        <f t="shared" si="57"/>
        <v>0</v>
      </c>
      <c r="AJ39">
        <f t="shared" si="32"/>
        <v>0</v>
      </c>
      <c r="AK39">
        <v>866.44</v>
      </c>
      <c r="AL39">
        <v>866.44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1</v>
      </c>
      <c r="AW39">
        <v>1</v>
      </c>
      <c r="AZ39">
        <v>1</v>
      </c>
      <c r="BA39">
        <v>1</v>
      </c>
      <c r="BB39">
        <v>1</v>
      </c>
      <c r="BC39">
        <v>11.43</v>
      </c>
      <c r="BD39" t="s">
        <v>3</v>
      </c>
      <c r="BE39" t="s">
        <v>3</v>
      </c>
      <c r="BF39" t="s">
        <v>3</v>
      </c>
      <c r="BG39" t="s">
        <v>3</v>
      </c>
      <c r="BH39">
        <v>3</v>
      </c>
      <c r="BI39">
        <v>3</v>
      </c>
      <c r="BJ39" t="s">
        <v>3</v>
      </c>
      <c r="BM39">
        <v>746</v>
      </c>
      <c r="BN39">
        <v>58808062</v>
      </c>
      <c r="BO39" t="s">
        <v>3</v>
      </c>
      <c r="BP39">
        <v>0</v>
      </c>
      <c r="BQ39">
        <v>130</v>
      </c>
      <c r="BR39">
        <v>0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 t="s">
        <v>3</v>
      </c>
      <c r="BZ39">
        <v>0</v>
      </c>
      <c r="CA39">
        <v>0</v>
      </c>
      <c r="CB39" t="s">
        <v>3</v>
      </c>
      <c r="CE39">
        <v>30</v>
      </c>
      <c r="CF39">
        <v>0</v>
      </c>
      <c r="CG39">
        <v>0</v>
      </c>
      <c r="CM39">
        <v>0</v>
      </c>
      <c r="CN39" t="s">
        <v>3</v>
      </c>
      <c r="CO39">
        <v>0</v>
      </c>
      <c r="CP39">
        <f t="shared" si="33"/>
        <v>9903.41</v>
      </c>
      <c r="CQ39">
        <f t="shared" si="58"/>
        <v>9903.41</v>
      </c>
      <c r="CR39">
        <f t="shared" si="59"/>
        <v>0</v>
      </c>
      <c r="CS39">
        <f t="shared" si="34"/>
        <v>0</v>
      </c>
      <c r="CT39">
        <f t="shared" si="35"/>
        <v>0</v>
      </c>
      <c r="CU39">
        <f t="shared" si="36"/>
        <v>0</v>
      </c>
      <c r="CV39">
        <f t="shared" si="37"/>
        <v>0</v>
      </c>
      <c r="CW39">
        <f t="shared" si="38"/>
        <v>0</v>
      </c>
      <c r="CX39">
        <f t="shared" si="39"/>
        <v>0</v>
      </c>
      <c r="CY39">
        <f t="shared" si="40"/>
        <v>0</v>
      </c>
      <c r="CZ39">
        <f t="shared" si="41"/>
        <v>0</v>
      </c>
      <c r="DC39" t="s">
        <v>3</v>
      </c>
      <c r="DD39" t="s">
        <v>3</v>
      </c>
      <c r="DE39" t="s">
        <v>3</v>
      </c>
      <c r="DF39" t="s">
        <v>3</v>
      </c>
      <c r="DG39" t="s">
        <v>3</v>
      </c>
      <c r="DH39" t="s">
        <v>3</v>
      </c>
      <c r="DI39" t="s">
        <v>3</v>
      </c>
      <c r="DJ39" t="s">
        <v>3</v>
      </c>
      <c r="DK39" t="s">
        <v>3</v>
      </c>
      <c r="DL39" t="s">
        <v>3</v>
      </c>
      <c r="DM39" t="s">
        <v>3</v>
      </c>
      <c r="DN39">
        <v>0</v>
      </c>
      <c r="DO39">
        <v>0</v>
      </c>
      <c r="DP39">
        <v>1</v>
      </c>
      <c r="DQ39">
        <v>1</v>
      </c>
      <c r="DU39">
        <v>1013</v>
      </c>
      <c r="DV39" t="s">
        <v>52</v>
      </c>
      <c r="DW39" t="s">
        <v>52</v>
      </c>
      <c r="DX39">
        <v>1</v>
      </c>
      <c r="DZ39" t="s">
        <v>3</v>
      </c>
      <c r="EA39" t="s">
        <v>3</v>
      </c>
      <c r="EB39" t="s">
        <v>3</v>
      </c>
      <c r="EC39" t="s">
        <v>3</v>
      </c>
      <c r="EE39">
        <v>58808284</v>
      </c>
      <c r="EF39">
        <v>130</v>
      </c>
      <c r="EG39" t="s">
        <v>35</v>
      </c>
      <c r="EH39">
        <v>0</v>
      </c>
      <c r="EI39" t="s">
        <v>3</v>
      </c>
      <c r="EJ39">
        <v>3</v>
      </c>
      <c r="EK39">
        <v>746</v>
      </c>
      <c r="EL39" t="s">
        <v>36</v>
      </c>
      <c r="EM39" t="s">
        <v>37</v>
      </c>
      <c r="EO39" t="s">
        <v>3</v>
      </c>
      <c r="EQ39">
        <v>0</v>
      </c>
      <c r="ER39">
        <v>866.44</v>
      </c>
      <c r="ES39">
        <v>866.44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FQ39">
        <v>0</v>
      </c>
      <c r="FR39">
        <f t="shared" si="60"/>
        <v>9903.41</v>
      </c>
      <c r="FS39">
        <v>0</v>
      </c>
      <c r="FX39">
        <v>0</v>
      </c>
      <c r="FY39">
        <v>0</v>
      </c>
      <c r="GA39" t="s">
        <v>3</v>
      </c>
      <c r="GD39">
        <v>1</v>
      </c>
      <c r="GF39">
        <v>-1221268236</v>
      </c>
      <c r="GG39">
        <v>2</v>
      </c>
      <c r="GH39">
        <v>1</v>
      </c>
      <c r="GI39">
        <v>2</v>
      </c>
      <c r="GJ39">
        <v>0</v>
      </c>
      <c r="GK39">
        <v>0</v>
      </c>
      <c r="GL39">
        <f t="shared" si="42"/>
        <v>0</v>
      </c>
      <c r="GM39">
        <f t="shared" si="43"/>
        <v>9903.41</v>
      </c>
      <c r="GN39">
        <f t="shared" si="44"/>
        <v>0</v>
      </c>
      <c r="GO39">
        <f t="shared" si="45"/>
        <v>0</v>
      </c>
      <c r="GP39">
        <f t="shared" si="46"/>
        <v>0</v>
      </c>
      <c r="GR39">
        <v>0</v>
      </c>
      <c r="GS39">
        <v>3</v>
      </c>
      <c r="GT39">
        <v>0</v>
      </c>
      <c r="GU39" t="s">
        <v>3</v>
      </c>
      <c r="GV39">
        <f t="shared" si="47"/>
        <v>0</v>
      </c>
      <c r="GW39">
        <v>1</v>
      </c>
      <c r="GX39">
        <f t="shared" si="48"/>
        <v>0</v>
      </c>
      <c r="HA39">
        <v>0</v>
      </c>
      <c r="HB39">
        <v>0</v>
      </c>
      <c r="HC39">
        <f t="shared" si="49"/>
        <v>0</v>
      </c>
      <c r="HE39" t="s">
        <v>3</v>
      </c>
      <c r="HF39" t="s">
        <v>3</v>
      </c>
      <c r="HM39" t="s">
        <v>3</v>
      </c>
      <c r="HN39" t="s">
        <v>3</v>
      </c>
      <c r="HO39" t="s">
        <v>3</v>
      </c>
      <c r="HP39" t="s">
        <v>3</v>
      </c>
      <c r="HQ39" t="s">
        <v>3</v>
      </c>
      <c r="HS39">
        <v>0</v>
      </c>
      <c r="IK39">
        <v>0</v>
      </c>
    </row>
    <row r="40" spans="1:255" x14ac:dyDescent="0.2">
      <c r="A40" s="2">
        <v>17</v>
      </c>
      <c r="B40" s="2">
        <v>1</v>
      </c>
      <c r="C40" s="2">
        <f>ROW(SmtRes!A10)</f>
        <v>10</v>
      </c>
      <c r="D40" s="2">
        <f>ROW(EtalonRes!A14)</f>
        <v>14</v>
      </c>
      <c r="E40" s="2" t="s">
        <v>53</v>
      </c>
      <c r="F40" s="2" t="s">
        <v>54</v>
      </c>
      <c r="G40" s="2" t="s">
        <v>55</v>
      </c>
      <c r="H40" s="2" t="s">
        <v>56</v>
      </c>
      <c r="I40" s="2">
        <f>ROUND(ROUND(4/100,4),9)</f>
        <v>0.04</v>
      </c>
      <c r="J40" s="2">
        <v>0</v>
      </c>
      <c r="K40" s="2">
        <f>ROUND(ROUND(4/100,4),9)</f>
        <v>0.04</v>
      </c>
      <c r="L40" s="2"/>
      <c r="M40" s="2"/>
      <c r="N40" s="2"/>
      <c r="O40" s="2">
        <f t="shared" si="21"/>
        <v>55</v>
      </c>
      <c r="P40" s="2">
        <f>ROUND((ROUND((AC40*AW40*I40),2)*BC40),2)</f>
        <v>12.73</v>
      </c>
      <c r="Q40" s="2">
        <f>(ROUND((ROUND((((ET40*1.1))*AV40*I40),2)*BB40),2)+ROUND((ROUND(((AE40-((EU40*1.1)))*AV40*I40),2)*BS40),2))</f>
        <v>9.4600000000000009</v>
      </c>
      <c r="R40" s="2">
        <f t="shared" si="22"/>
        <v>1.44</v>
      </c>
      <c r="S40" s="2">
        <f t="shared" si="23"/>
        <v>32.81</v>
      </c>
      <c r="T40" s="2">
        <f t="shared" si="24"/>
        <v>0</v>
      </c>
      <c r="U40" s="2">
        <f t="shared" si="25"/>
        <v>3.1188036000000006</v>
      </c>
      <c r="V40" s="2">
        <f t="shared" si="26"/>
        <v>0</v>
      </c>
      <c r="W40" s="2">
        <f t="shared" si="27"/>
        <v>0</v>
      </c>
      <c r="X40" s="2">
        <f t="shared" si="28"/>
        <v>36.99</v>
      </c>
      <c r="Y40" s="2">
        <f t="shared" si="29"/>
        <v>18.84</v>
      </c>
      <c r="Z40" s="2"/>
      <c r="AA40" s="2">
        <v>59214062</v>
      </c>
      <c r="AB40" s="2">
        <f t="shared" si="30"/>
        <v>1327.4860000000001</v>
      </c>
      <c r="AC40" s="2">
        <f t="shared" si="52"/>
        <v>318.27999999999997</v>
      </c>
      <c r="AD40" s="2">
        <f>ROUND(((((ET40*1.1))-((EU40*1.1)))+AE40),6)</f>
        <v>225.786</v>
      </c>
      <c r="AE40" s="2">
        <f>ROUND(((EU40*1.1)),6)</f>
        <v>34.286999999999999</v>
      </c>
      <c r="AF40" s="2">
        <f>ROUND(((EV40*1.1)),6)</f>
        <v>783.42</v>
      </c>
      <c r="AG40" s="2">
        <f t="shared" si="31"/>
        <v>0</v>
      </c>
      <c r="AH40" s="2">
        <f>((EW40*1.1))</f>
        <v>74.470000000000013</v>
      </c>
      <c r="AI40" s="2">
        <f>((EX40*1.1))</f>
        <v>0</v>
      </c>
      <c r="AJ40" s="2">
        <f t="shared" si="32"/>
        <v>0</v>
      </c>
      <c r="AK40" s="2">
        <v>1235.74</v>
      </c>
      <c r="AL40" s="2">
        <v>318.27999999999997</v>
      </c>
      <c r="AM40" s="2">
        <v>205.26</v>
      </c>
      <c r="AN40" s="2">
        <v>31.17</v>
      </c>
      <c r="AO40" s="2">
        <v>712.2</v>
      </c>
      <c r="AP40" s="2">
        <v>0</v>
      </c>
      <c r="AQ40" s="2">
        <v>67.7</v>
      </c>
      <c r="AR40" s="2">
        <v>0</v>
      </c>
      <c r="AS40" s="2">
        <v>0</v>
      </c>
      <c r="AT40" s="2">
        <v>108</v>
      </c>
      <c r="AU40" s="2">
        <v>55</v>
      </c>
      <c r="AV40" s="2">
        <v>1.0469999999999999</v>
      </c>
      <c r="AW40" s="2">
        <v>1</v>
      </c>
      <c r="AX40" s="2"/>
      <c r="AY40" s="2"/>
      <c r="AZ40" s="2">
        <v>1</v>
      </c>
      <c r="BA40" s="2">
        <v>1</v>
      </c>
      <c r="BB40" s="2">
        <v>1</v>
      </c>
      <c r="BC40" s="2">
        <v>1</v>
      </c>
      <c r="BD40" s="2" t="s">
        <v>3</v>
      </c>
      <c r="BE40" s="2" t="s">
        <v>3</v>
      </c>
      <c r="BF40" s="2" t="s">
        <v>3</v>
      </c>
      <c r="BG40" s="2" t="s">
        <v>3</v>
      </c>
      <c r="BH40" s="2">
        <v>0</v>
      </c>
      <c r="BI40" s="2">
        <v>1</v>
      </c>
      <c r="BJ40" s="2" t="s">
        <v>57</v>
      </c>
      <c r="BK40" s="2"/>
      <c r="BL40" s="2"/>
      <c r="BM40" s="2">
        <v>14</v>
      </c>
      <c r="BN40" s="2">
        <v>58808062</v>
      </c>
      <c r="BO40" s="2" t="s">
        <v>54</v>
      </c>
      <c r="BP40" s="2">
        <v>1</v>
      </c>
      <c r="BQ40" s="2">
        <v>30</v>
      </c>
      <c r="BR40" s="2">
        <v>0</v>
      </c>
      <c r="BS40" s="2">
        <v>1</v>
      </c>
      <c r="BT40" s="2">
        <v>1</v>
      </c>
      <c r="BU40" s="2">
        <v>1</v>
      </c>
      <c r="BV40" s="2">
        <v>1</v>
      </c>
      <c r="BW40" s="2">
        <v>1</v>
      </c>
      <c r="BX40" s="2">
        <v>1</v>
      </c>
      <c r="BY40" s="2" t="s">
        <v>3</v>
      </c>
      <c r="BZ40" s="2">
        <v>108</v>
      </c>
      <c r="CA40" s="2">
        <v>55</v>
      </c>
      <c r="CB40" s="2" t="s">
        <v>3</v>
      </c>
      <c r="CC40" s="2"/>
      <c r="CD40" s="2"/>
      <c r="CE40" s="2">
        <v>30</v>
      </c>
      <c r="CF40" s="2">
        <v>0</v>
      </c>
      <c r="CG40" s="2">
        <v>0</v>
      </c>
      <c r="CH40" s="2"/>
      <c r="CI40" s="2"/>
      <c r="CJ40" s="2"/>
      <c r="CK40" s="2"/>
      <c r="CL40" s="2"/>
      <c r="CM40" s="2">
        <v>0</v>
      </c>
      <c r="CN40" s="2" t="s">
        <v>198</v>
      </c>
      <c r="CO40" s="2">
        <v>0</v>
      </c>
      <c r="CP40" s="2">
        <f t="shared" si="33"/>
        <v>55</v>
      </c>
      <c r="CQ40" s="2">
        <f>ROUND((ROUND((AC40*AW40*1),2)*BC40),2)</f>
        <v>318.27999999999997</v>
      </c>
      <c r="CR40" s="2">
        <f>(ROUND((ROUND((((ET40*1.1))*AV40*1),2)*BB40),2)+ROUND((ROUND(((AE40-((EU40*1.1)))*AV40*1),2)*BS40),2))</f>
        <v>236.4</v>
      </c>
      <c r="CS40" s="2">
        <f t="shared" si="34"/>
        <v>35.9</v>
      </c>
      <c r="CT40" s="2">
        <f t="shared" si="35"/>
        <v>820.24</v>
      </c>
      <c r="CU40" s="2">
        <f t="shared" si="36"/>
        <v>0</v>
      </c>
      <c r="CV40" s="2">
        <f t="shared" si="37"/>
        <v>77.970090000000013</v>
      </c>
      <c r="CW40" s="2">
        <f t="shared" si="38"/>
        <v>0</v>
      </c>
      <c r="CX40" s="2">
        <f t="shared" si="39"/>
        <v>0</v>
      </c>
      <c r="CY40" s="2">
        <f t="shared" si="40"/>
        <v>36.99</v>
      </c>
      <c r="CZ40" s="2">
        <f t="shared" si="41"/>
        <v>18.837499999999999</v>
      </c>
      <c r="DA40" s="2"/>
      <c r="DB40" s="2">
        <v>3</v>
      </c>
      <c r="DC40" s="2" t="s">
        <v>3</v>
      </c>
      <c r="DD40" s="2" t="s">
        <v>3</v>
      </c>
      <c r="DE40" s="2" t="s">
        <v>26</v>
      </c>
      <c r="DF40" s="2" t="s">
        <v>26</v>
      </c>
      <c r="DG40" s="2" t="s">
        <v>26</v>
      </c>
      <c r="DH40" s="2" t="s">
        <v>3</v>
      </c>
      <c r="DI40" s="2" t="s">
        <v>26</v>
      </c>
      <c r="DJ40" s="2" t="s">
        <v>26</v>
      </c>
      <c r="DK40" s="2" t="s">
        <v>3</v>
      </c>
      <c r="DL40" s="2" t="s">
        <v>3</v>
      </c>
      <c r="DM40" s="2" t="s">
        <v>3</v>
      </c>
      <c r="DN40" s="2">
        <v>0</v>
      </c>
      <c r="DO40" s="2">
        <v>0</v>
      </c>
      <c r="DP40" s="2">
        <v>1</v>
      </c>
      <c r="DQ40" s="2">
        <v>1</v>
      </c>
      <c r="DR40" s="2"/>
      <c r="DS40" s="2"/>
      <c r="DT40" s="2"/>
      <c r="DU40" s="2">
        <v>30517203</v>
      </c>
      <c r="DV40" s="2" t="s">
        <v>56</v>
      </c>
      <c r="DW40" s="2" t="s">
        <v>56</v>
      </c>
      <c r="DX40" s="2">
        <v>1</v>
      </c>
      <c r="DY40" s="2"/>
      <c r="DZ40" s="2" t="s">
        <v>3</v>
      </c>
      <c r="EA40" s="2" t="s">
        <v>3</v>
      </c>
      <c r="EB40" s="2" t="s">
        <v>3</v>
      </c>
      <c r="EC40" s="2" t="s">
        <v>3</v>
      </c>
      <c r="ED40" s="2"/>
      <c r="EE40" s="2">
        <v>58808123</v>
      </c>
      <c r="EF40" s="2">
        <v>30</v>
      </c>
      <c r="EG40" s="2" t="s">
        <v>58</v>
      </c>
      <c r="EH40" s="2">
        <v>0</v>
      </c>
      <c r="EI40" s="2" t="s">
        <v>3</v>
      </c>
      <c r="EJ40" s="2">
        <v>1</v>
      </c>
      <c r="EK40" s="2">
        <v>14</v>
      </c>
      <c r="EL40" s="2" t="s">
        <v>59</v>
      </c>
      <c r="EM40" s="2" t="s">
        <v>60</v>
      </c>
      <c r="EN40" s="2"/>
      <c r="EO40" s="2" t="s">
        <v>61</v>
      </c>
      <c r="EP40" s="2"/>
      <c r="EQ40" s="2">
        <v>0</v>
      </c>
      <c r="ER40" s="2">
        <v>1235.74</v>
      </c>
      <c r="ES40" s="2">
        <v>318.27999999999997</v>
      </c>
      <c r="ET40" s="2">
        <v>205.26</v>
      </c>
      <c r="EU40" s="2">
        <v>31.17</v>
      </c>
      <c r="EV40" s="2">
        <v>712.2</v>
      </c>
      <c r="EW40" s="2">
        <v>67.7</v>
      </c>
      <c r="EX40" s="2">
        <v>0</v>
      </c>
      <c r="EY40" s="2">
        <v>0</v>
      </c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>
        <v>0</v>
      </c>
      <c r="FR40" s="2">
        <v>0</v>
      </c>
      <c r="FS40" s="2">
        <v>0</v>
      </c>
      <c r="FT40" s="2"/>
      <c r="FU40" s="2"/>
      <c r="FV40" s="2"/>
      <c r="FW40" s="2"/>
      <c r="FX40" s="2">
        <v>108</v>
      </c>
      <c r="FY40" s="2">
        <v>55</v>
      </c>
      <c r="FZ40" s="2"/>
      <c r="GA40" s="2" t="s">
        <v>3</v>
      </c>
      <c r="GB40" s="2"/>
      <c r="GC40" s="2"/>
      <c r="GD40" s="2">
        <v>1</v>
      </c>
      <c r="GE40" s="2"/>
      <c r="GF40" s="2">
        <v>-1266291315</v>
      </c>
      <c r="GG40" s="2">
        <v>2</v>
      </c>
      <c r="GH40" s="2">
        <v>1</v>
      </c>
      <c r="GI40" s="2">
        <v>2</v>
      </c>
      <c r="GJ40" s="2">
        <v>0</v>
      </c>
      <c r="GK40" s="2">
        <v>0</v>
      </c>
      <c r="GL40" s="2">
        <f t="shared" si="42"/>
        <v>0</v>
      </c>
      <c r="GM40" s="2">
        <f t="shared" si="43"/>
        <v>110.83</v>
      </c>
      <c r="GN40" s="2">
        <f t="shared" si="44"/>
        <v>110.83</v>
      </c>
      <c r="GO40" s="2">
        <f t="shared" si="45"/>
        <v>0</v>
      </c>
      <c r="GP40" s="2">
        <f t="shared" si="46"/>
        <v>0</v>
      </c>
      <c r="GQ40" s="2"/>
      <c r="GR40" s="2">
        <v>0</v>
      </c>
      <c r="GS40" s="2">
        <v>3</v>
      </c>
      <c r="GT40" s="2">
        <v>0</v>
      </c>
      <c r="GU40" s="2" t="s">
        <v>3</v>
      </c>
      <c r="GV40" s="2">
        <f t="shared" si="47"/>
        <v>0</v>
      </c>
      <c r="GW40" s="2">
        <v>1</v>
      </c>
      <c r="GX40" s="2">
        <f t="shared" si="48"/>
        <v>0</v>
      </c>
      <c r="GY40" s="2"/>
      <c r="GZ40" s="2"/>
      <c r="HA40" s="2">
        <v>0</v>
      </c>
      <c r="HB40" s="2">
        <v>0</v>
      </c>
      <c r="HC40" s="2">
        <f t="shared" si="49"/>
        <v>0</v>
      </c>
      <c r="HD40" s="2"/>
      <c r="HE40" s="2" t="s">
        <v>3</v>
      </c>
      <c r="HF40" s="2" t="s">
        <v>3</v>
      </c>
      <c r="HG40" s="2"/>
      <c r="HH40" s="2"/>
      <c r="HI40" s="2"/>
      <c r="HJ40" s="2"/>
      <c r="HK40" s="2"/>
      <c r="HL40" s="2"/>
      <c r="HM40" s="2" t="s">
        <v>3</v>
      </c>
      <c r="HN40" s="2" t="s">
        <v>3</v>
      </c>
      <c r="HO40" s="2" t="s">
        <v>3</v>
      </c>
      <c r="HP40" s="2" t="s">
        <v>3</v>
      </c>
      <c r="HQ40" s="2" t="s">
        <v>3</v>
      </c>
      <c r="HR40" s="2"/>
      <c r="HS40" s="2">
        <v>0</v>
      </c>
      <c r="HT40" s="2"/>
      <c r="HU40" s="2"/>
      <c r="HV40" s="2"/>
      <c r="HW40" s="2"/>
      <c r="HX40" s="2"/>
      <c r="HY40" s="2"/>
      <c r="HZ40" s="2"/>
      <c r="IA40" s="2"/>
      <c r="IB40" s="2"/>
      <c r="IC40" s="2"/>
      <c r="ID40" s="2"/>
      <c r="IE40" s="2"/>
      <c r="IF40" s="2"/>
      <c r="IG40" s="2"/>
      <c r="IH40" s="2"/>
      <c r="II40" s="2"/>
      <c r="IJ40" s="2"/>
      <c r="IK40" s="2">
        <v>0</v>
      </c>
      <c r="IL40" s="2"/>
      <c r="IM40" s="2"/>
      <c r="IN40" s="2"/>
      <c r="IO40" s="2"/>
      <c r="IP40" s="2"/>
      <c r="IQ40" s="2"/>
      <c r="IR40" s="2"/>
      <c r="IS40" s="2"/>
      <c r="IT40" s="2"/>
      <c r="IU40" s="2"/>
    </row>
    <row r="41" spans="1:255" x14ac:dyDescent="0.2">
      <c r="A41">
        <v>17</v>
      </c>
      <c r="B41">
        <v>1</v>
      </c>
      <c r="C41">
        <f>ROW(SmtRes!A14)</f>
        <v>14</v>
      </c>
      <c r="D41">
        <f>ROW(EtalonRes!A20)</f>
        <v>20</v>
      </c>
      <c r="E41" t="s">
        <v>53</v>
      </c>
      <c r="F41" t="s">
        <v>54</v>
      </c>
      <c r="G41" t="s">
        <v>55</v>
      </c>
      <c r="H41" t="s">
        <v>56</v>
      </c>
      <c r="I41">
        <f>ROUND(ROUND(4/100,4),9)</f>
        <v>0.04</v>
      </c>
      <c r="J41">
        <v>0</v>
      </c>
      <c r="K41">
        <f>ROUND(ROUND(4/100,4),9)</f>
        <v>0.04</v>
      </c>
      <c r="O41">
        <f t="shared" si="21"/>
        <v>2074.39</v>
      </c>
      <c r="P41">
        <f>ROUND((ROUND((AC41*AW41*I41),2)*BC41),2)</f>
        <v>115.97</v>
      </c>
      <c r="Q41">
        <f>(ROUND((ROUND((((ET41*1.1))*AV41*I41),2)*BB41),2)+ROUND((ROUND(((AE41-((EU41*1.1)))*AV41*I41),2)*BS41),2))</f>
        <v>154.19999999999999</v>
      </c>
      <c r="R41">
        <f t="shared" si="22"/>
        <v>79.19</v>
      </c>
      <c r="S41">
        <f t="shared" si="23"/>
        <v>1804.22</v>
      </c>
      <c r="T41">
        <f t="shared" si="24"/>
        <v>0</v>
      </c>
      <c r="U41">
        <f t="shared" si="25"/>
        <v>3.1188036000000006</v>
      </c>
      <c r="V41">
        <f t="shared" si="26"/>
        <v>0</v>
      </c>
      <c r="W41">
        <f t="shared" si="27"/>
        <v>0</v>
      </c>
      <c r="X41">
        <f t="shared" si="28"/>
        <v>2034.08</v>
      </c>
      <c r="Y41">
        <f t="shared" si="29"/>
        <v>1035.8800000000001</v>
      </c>
      <c r="AA41">
        <v>59214059</v>
      </c>
      <c r="AB41">
        <f t="shared" si="30"/>
        <v>1327.4860000000001</v>
      </c>
      <c r="AC41">
        <f t="shared" si="52"/>
        <v>318.27999999999997</v>
      </c>
      <c r="AD41">
        <f>ROUND(((((ET41*1.1))-((EU41*1.1)))+AE41),6)</f>
        <v>225.786</v>
      </c>
      <c r="AE41">
        <f>ROUND(((EU41*1.1)),6)</f>
        <v>34.286999999999999</v>
      </c>
      <c r="AF41">
        <f>ROUND(((EV41*1.1)),6)</f>
        <v>783.42</v>
      </c>
      <c r="AG41">
        <f t="shared" si="31"/>
        <v>0</v>
      </c>
      <c r="AH41">
        <f>((EW41*1.1))</f>
        <v>74.470000000000013</v>
      </c>
      <c r="AI41">
        <f>((EX41*1.1))</f>
        <v>0</v>
      </c>
      <c r="AJ41">
        <f t="shared" si="32"/>
        <v>0</v>
      </c>
      <c r="AK41">
        <v>1235.74</v>
      </c>
      <c r="AL41">
        <v>318.27999999999997</v>
      </c>
      <c r="AM41">
        <v>205.26</v>
      </c>
      <c r="AN41">
        <v>31.17</v>
      </c>
      <c r="AO41">
        <v>712.2</v>
      </c>
      <c r="AP41">
        <v>0</v>
      </c>
      <c r="AQ41">
        <v>67.7</v>
      </c>
      <c r="AR41">
        <v>0</v>
      </c>
      <c r="AS41">
        <v>0</v>
      </c>
      <c r="AT41">
        <v>108</v>
      </c>
      <c r="AU41">
        <v>55</v>
      </c>
      <c r="AV41">
        <v>1.0469999999999999</v>
      </c>
      <c r="AW41">
        <v>1</v>
      </c>
      <c r="AZ41">
        <v>1</v>
      </c>
      <c r="BA41">
        <v>54.99</v>
      </c>
      <c r="BB41">
        <v>16.3</v>
      </c>
      <c r="BC41">
        <v>9.11</v>
      </c>
      <c r="BD41" t="s">
        <v>3</v>
      </c>
      <c r="BE41" t="s">
        <v>3</v>
      </c>
      <c r="BF41" t="s">
        <v>3</v>
      </c>
      <c r="BG41" t="s">
        <v>3</v>
      </c>
      <c r="BH41">
        <v>0</v>
      </c>
      <c r="BI41">
        <v>1</v>
      </c>
      <c r="BJ41" t="s">
        <v>57</v>
      </c>
      <c r="BM41">
        <v>14</v>
      </c>
      <c r="BN41">
        <v>58808062</v>
      </c>
      <c r="BO41" t="s">
        <v>54</v>
      </c>
      <c r="BP41">
        <v>1</v>
      </c>
      <c r="BQ41">
        <v>30</v>
      </c>
      <c r="BR41">
        <v>0</v>
      </c>
      <c r="BS41">
        <v>54.99</v>
      </c>
      <c r="BT41">
        <v>1</v>
      </c>
      <c r="BU41">
        <v>1</v>
      </c>
      <c r="BV41">
        <v>1</v>
      </c>
      <c r="BW41">
        <v>1</v>
      </c>
      <c r="BX41">
        <v>1</v>
      </c>
      <c r="BY41" t="s">
        <v>3</v>
      </c>
      <c r="BZ41">
        <v>108</v>
      </c>
      <c r="CA41">
        <v>55</v>
      </c>
      <c r="CB41" t="s">
        <v>3</v>
      </c>
      <c r="CE41">
        <v>30</v>
      </c>
      <c r="CF41">
        <v>0</v>
      </c>
      <c r="CG41">
        <v>0</v>
      </c>
      <c r="CM41">
        <v>0</v>
      </c>
      <c r="CN41" t="s">
        <v>198</v>
      </c>
      <c r="CO41">
        <v>0</v>
      </c>
      <c r="CP41">
        <f t="shared" si="33"/>
        <v>2074.39</v>
      </c>
      <c r="CQ41">
        <f>ROUND((ROUND((AC41*AW41*1),2)*BC41),2)</f>
        <v>2899.53</v>
      </c>
      <c r="CR41">
        <f>(ROUND((ROUND((((ET41*1.1))*AV41*1),2)*BB41),2)+ROUND((ROUND(((AE41-((EU41*1.1)))*AV41*1),2)*BS41),2))</f>
        <v>3853.32</v>
      </c>
      <c r="CS41">
        <f t="shared" si="34"/>
        <v>1974.14</v>
      </c>
      <c r="CT41">
        <f t="shared" si="35"/>
        <v>45105</v>
      </c>
      <c r="CU41">
        <f t="shared" si="36"/>
        <v>0</v>
      </c>
      <c r="CV41">
        <f t="shared" si="37"/>
        <v>77.970090000000013</v>
      </c>
      <c r="CW41">
        <f t="shared" si="38"/>
        <v>0</v>
      </c>
      <c r="CX41">
        <f t="shared" si="39"/>
        <v>0</v>
      </c>
      <c r="CY41">
        <f t="shared" si="40"/>
        <v>2034.0827999999999</v>
      </c>
      <c r="CZ41">
        <f t="shared" si="41"/>
        <v>1035.8755000000001</v>
      </c>
      <c r="DB41">
        <v>4</v>
      </c>
      <c r="DC41" t="s">
        <v>3</v>
      </c>
      <c r="DD41" t="s">
        <v>3</v>
      </c>
      <c r="DE41" t="s">
        <v>26</v>
      </c>
      <c r="DF41" t="s">
        <v>26</v>
      </c>
      <c r="DG41" t="s">
        <v>26</v>
      </c>
      <c r="DH41" t="s">
        <v>3</v>
      </c>
      <c r="DI41" t="s">
        <v>26</v>
      </c>
      <c r="DJ41" t="s">
        <v>26</v>
      </c>
      <c r="DK41" t="s">
        <v>3</v>
      </c>
      <c r="DL41" t="s">
        <v>3</v>
      </c>
      <c r="DM41" t="s">
        <v>3</v>
      </c>
      <c r="DN41">
        <v>0</v>
      </c>
      <c r="DO41">
        <v>0</v>
      </c>
      <c r="DP41">
        <v>1</v>
      </c>
      <c r="DQ41">
        <v>1</v>
      </c>
      <c r="DU41">
        <v>30517203</v>
      </c>
      <c r="DV41" t="s">
        <v>56</v>
      </c>
      <c r="DW41" t="s">
        <v>56</v>
      </c>
      <c r="DX41">
        <v>1</v>
      </c>
      <c r="DZ41" t="s">
        <v>3</v>
      </c>
      <c r="EA41" t="s">
        <v>3</v>
      </c>
      <c r="EB41" t="s">
        <v>3</v>
      </c>
      <c r="EC41" t="s">
        <v>3</v>
      </c>
      <c r="EE41">
        <v>58808123</v>
      </c>
      <c r="EF41">
        <v>30</v>
      </c>
      <c r="EG41" t="s">
        <v>58</v>
      </c>
      <c r="EH41">
        <v>0</v>
      </c>
      <c r="EI41" t="s">
        <v>3</v>
      </c>
      <c r="EJ41">
        <v>1</v>
      </c>
      <c r="EK41">
        <v>14</v>
      </c>
      <c r="EL41" t="s">
        <v>59</v>
      </c>
      <c r="EM41" t="s">
        <v>60</v>
      </c>
      <c r="EO41" t="s">
        <v>61</v>
      </c>
      <c r="EQ41">
        <v>0</v>
      </c>
      <c r="ER41">
        <v>1235.74</v>
      </c>
      <c r="ES41">
        <v>318.27999999999997</v>
      </c>
      <c r="ET41">
        <v>205.26</v>
      </c>
      <c r="EU41">
        <v>31.17</v>
      </c>
      <c r="EV41">
        <v>712.2</v>
      </c>
      <c r="EW41">
        <v>67.7</v>
      </c>
      <c r="EX41">
        <v>0</v>
      </c>
      <c r="EY41">
        <v>0</v>
      </c>
      <c r="FQ41">
        <v>0</v>
      </c>
      <c r="FR41">
        <v>0</v>
      </c>
      <c r="FS41">
        <v>0</v>
      </c>
      <c r="FX41">
        <v>108</v>
      </c>
      <c r="FY41">
        <v>55</v>
      </c>
      <c r="GA41" t="s">
        <v>3</v>
      </c>
      <c r="GD41">
        <v>1</v>
      </c>
      <c r="GF41">
        <v>-1266291315</v>
      </c>
      <c r="GG41">
        <v>2</v>
      </c>
      <c r="GH41">
        <v>1</v>
      </c>
      <c r="GI41">
        <v>2</v>
      </c>
      <c r="GJ41">
        <v>0</v>
      </c>
      <c r="GK41">
        <v>0</v>
      </c>
      <c r="GL41">
        <f t="shared" si="42"/>
        <v>0</v>
      </c>
      <c r="GM41">
        <f t="shared" si="43"/>
        <v>5144.3500000000004</v>
      </c>
      <c r="GN41">
        <f t="shared" si="44"/>
        <v>5144.3500000000004</v>
      </c>
      <c r="GO41">
        <f t="shared" si="45"/>
        <v>0</v>
      </c>
      <c r="GP41">
        <f t="shared" si="46"/>
        <v>0</v>
      </c>
      <c r="GR41">
        <v>0</v>
      </c>
      <c r="GS41">
        <v>3</v>
      </c>
      <c r="GT41">
        <v>0</v>
      </c>
      <c r="GU41" t="s">
        <v>3</v>
      </c>
      <c r="GV41">
        <f t="shared" si="47"/>
        <v>0</v>
      </c>
      <c r="GW41">
        <v>1</v>
      </c>
      <c r="GX41">
        <f t="shared" si="48"/>
        <v>0</v>
      </c>
      <c r="HA41">
        <v>0</v>
      </c>
      <c r="HB41">
        <v>0</v>
      </c>
      <c r="HC41">
        <f t="shared" si="49"/>
        <v>0</v>
      </c>
      <c r="HE41" t="s">
        <v>3</v>
      </c>
      <c r="HF41" t="s">
        <v>3</v>
      </c>
      <c r="HM41" t="s">
        <v>3</v>
      </c>
      <c r="HN41" t="s">
        <v>3</v>
      </c>
      <c r="HO41" t="s">
        <v>3</v>
      </c>
      <c r="HP41" t="s">
        <v>3</v>
      </c>
      <c r="HQ41" t="s">
        <v>3</v>
      </c>
      <c r="HS41">
        <v>0</v>
      </c>
      <c r="IK41">
        <v>0</v>
      </c>
    </row>
    <row r="42" spans="1:255" x14ac:dyDescent="0.2">
      <c r="A42" s="2">
        <v>17</v>
      </c>
      <c r="B42" s="2">
        <v>1</v>
      </c>
      <c r="C42" s="2"/>
      <c r="D42" s="2"/>
      <c r="E42" s="2" t="s">
        <v>62</v>
      </c>
      <c r="F42" s="2" t="s">
        <v>63</v>
      </c>
      <c r="G42" s="2" t="s">
        <v>64</v>
      </c>
      <c r="H42" s="2" t="s">
        <v>34</v>
      </c>
      <c r="I42" s="2">
        <f>ROUND(ROUND(4,4),9)</f>
        <v>4</v>
      </c>
      <c r="J42" s="2">
        <v>0</v>
      </c>
      <c r="K42" s="2">
        <f>ROUND(ROUND(4,4),9)</f>
        <v>4</v>
      </c>
      <c r="L42" s="2"/>
      <c r="M42" s="2"/>
      <c r="N42" s="2"/>
      <c r="O42" s="2">
        <f t="shared" si="21"/>
        <v>4581.28</v>
      </c>
      <c r="P42" s="2">
        <f>ROUND((ROUND((AC42*I42),2)*BC42),2)</f>
        <v>4581.28</v>
      </c>
      <c r="Q42" s="2">
        <f>(ROUND((ROUND(((ET42)*AV42*I42),2)*BB42),2)+ROUND((ROUND(((AE42-(EU42))*AV42*I42),2)*BS42),2))</f>
        <v>0</v>
      </c>
      <c r="R42" s="2">
        <f t="shared" si="22"/>
        <v>0</v>
      </c>
      <c r="S42" s="2">
        <f t="shared" si="23"/>
        <v>0</v>
      </c>
      <c r="T42" s="2">
        <f t="shared" si="24"/>
        <v>0</v>
      </c>
      <c r="U42" s="2">
        <f t="shared" si="25"/>
        <v>0</v>
      </c>
      <c r="V42" s="2">
        <f t="shared" si="26"/>
        <v>0</v>
      </c>
      <c r="W42" s="2">
        <f t="shared" si="27"/>
        <v>0</v>
      </c>
      <c r="X42" s="2">
        <f t="shared" si="28"/>
        <v>0</v>
      </c>
      <c r="Y42" s="2">
        <f t="shared" si="29"/>
        <v>0</v>
      </c>
      <c r="Z42" s="2"/>
      <c r="AA42" s="2">
        <v>59214062</v>
      </c>
      <c r="AB42" s="2">
        <f t="shared" si="30"/>
        <v>1145.32</v>
      </c>
      <c r="AC42" s="2">
        <f t="shared" si="52"/>
        <v>1145.32</v>
      </c>
      <c r="AD42" s="2">
        <f>ROUND((((ET42)-(EU42))+AE42),6)</f>
        <v>0</v>
      </c>
      <c r="AE42" s="2">
        <f>ROUND((EU42),6)</f>
        <v>0</v>
      </c>
      <c r="AF42" s="2">
        <f>ROUND((EV42),6)</f>
        <v>0</v>
      </c>
      <c r="AG42" s="2">
        <f t="shared" si="31"/>
        <v>0</v>
      </c>
      <c r="AH42" s="2">
        <f>(EW42)</f>
        <v>0</v>
      </c>
      <c r="AI42" s="2">
        <f>(EX42)</f>
        <v>0</v>
      </c>
      <c r="AJ42" s="2">
        <f t="shared" si="32"/>
        <v>0</v>
      </c>
      <c r="AK42" s="2">
        <v>1145.32</v>
      </c>
      <c r="AL42" s="2">
        <v>1145.32</v>
      </c>
      <c r="AM42" s="2">
        <v>0</v>
      </c>
      <c r="AN42" s="2">
        <v>0</v>
      </c>
      <c r="AO42" s="2">
        <v>0</v>
      </c>
      <c r="AP42" s="2">
        <v>0</v>
      </c>
      <c r="AQ42" s="2">
        <v>0</v>
      </c>
      <c r="AR42" s="2">
        <v>0</v>
      </c>
      <c r="AS42" s="2">
        <v>0</v>
      </c>
      <c r="AT42" s="2">
        <v>0</v>
      </c>
      <c r="AU42" s="2">
        <v>0</v>
      </c>
      <c r="AV42" s="2">
        <v>1</v>
      </c>
      <c r="AW42" s="2">
        <v>1</v>
      </c>
      <c r="AX42" s="2"/>
      <c r="AY42" s="2"/>
      <c r="AZ42" s="2">
        <v>1</v>
      </c>
      <c r="BA42" s="2">
        <v>1</v>
      </c>
      <c r="BB42" s="2">
        <v>1</v>
      </c>
      <c r="BC42" s="2">
        <v>1</v>
      </c>
      <c r="BD42" s="2" t="s">
        <v>3</v>
      </c>
      <c r="BE42" s="2" t="s">
        <v>3</v>
      </c>
      <c r="BF42" s="2" t="s">
        <v>3</v>
      </c>
      <c r="BG42" s="2" t="s">
        <v>3</v>
      </c>
      <c r="BH42" s="2">
        <v>3</v>
      </c>
      <c r="BI42" s="2">
        <v>3</v>
      </c>
      <c r="BJ42" s="2" t="s">
        <v>3</v>
      </c>
      <c r="BK42" s="2"/>
      <c r="BL42" s="2"/>
      <c r="BM42" s="2">
        <v>746</v>
      </c>
      <c r="BN42" s="2">
        <v>0</v>
      </c>
      <c r="BO42" s="2" t="s">
        <v>3</v>
      </c>
      <c r="BP42" s="2">
        <v>0</v>
      </c>
      <c r="BQ42" s="2">
        <v>130</v>
      </c>
      <c r="BR42" s="2">
        <v>0</v>
      </c>
      <c r="BS42" s="2">
        <v>1</v>
      </c>
      <c r="BT42" s="2">
        <v>1</v>
      </c>
      <c r="BU42" s="2">
        <v>1</v>
      </c>
      <c r="BV42" s="2">
        <v>1</v>
      </c>
      <c r="BW42" s="2">
        <v>1</v>
      </c>
      <c r="BX42" s="2">
        <v>1</v>
      </c>
      <c r="BY42" s="2" t="s">
        <v>3</v>
      </c>
      <c r="BZ42" s="2">
        <v>0</v>
      </c>
      <c r="CA42" s="2">
        <v>0</v>
      </c>
      <c r="CB42" s="2" t="s">
        <v>3</v>
      </c>
      <c r="CC42" s="2"/>
      <c r="CD42" s="2"/>
      <c r="CE42" s="2">
        <v>30</v>
      </c>
      <c r="CF42" s="2">
        <v>0</v>
      </c>
      <c r="CG42" s="2">
        <v>0</v>
      </c>
      <c r="CH42" s="2"/>
      <c r="CI42" s="2"/>
      <c r="CJ42" s="2"/>
      <c r="CK42" s="2"/>
      <c r="CL42" s="2"/>
      <c r="CM42" s="2">
        <v>0</v>
      </c>
      <c r="CN42" s="2" t="s">
        <v>3</v>
      </c>
      <c r="CO42" s="2">
        <v>0</v>
      </c>
      <c r="CP42" s="2">
        <f t="shared" si="33"/>
        <v>4581.28</v>
      </c>
      <c r="CQ42" s="2">
        <f>ROUND((ROUND((AC42*1),2)*BC42),2)</f>
        <v>1145.32</v>
      </c>
      <c r="CR42" s="2">
        <f>(ROUND((ROUND(((ET42)*AV42*1),2)*BB42),2)+ROUND((ROUND(((AE42-(EU42))*AV42*1),2)*BS42),2))</f>
        <v>0</v>
      </c>
      <c r="CS42" s="2">
        <f t="shared" si="34"/>
        <v>0</v>
      </c>
      <c r="CT42" s="2">
        <f t="shared" si="35"/>
        <v>0</v>
      </c>
      <c r="CU42" s="2">
        <f t="shared" si="36"/>
        <v>0</v>
      </c>
      <c r="CV42" s="2">
        <f t="shared" si="37"/>
        <v>0</v>
      </c>
      <c r="CW42" s="2">
        <f t="shared" si="38"/>
        <v>0</v>
      </c>
      <c r="CX42" s="2">
        <f t="shared" si="39"/>
        <v>0</v>
      </c>
      <c r="CY42" s="2">
        <f t="shared" si="40"/>
        <v>0</v>
      </c>
      <c r="CZ42" s="2">
        <f t="shared" si="41"/>
        <v>0</v>
      </c>
      <c r="DA42" s="2"/>
      <c r="DB42" s="2"/>
      <c r="DC42" s="2" t="s">
        <v>3</v>
      </c>
      <c r="DD42" s="2" t="s">
        <v>3</v>
      </c>
      <c r="DE42" s="2" t="s">
        <v>3</v>
      </c>
      <c r="DF42" s="2" t="s">
        <v>3</v>
      </c>
      <c r="DG42" s="2" t="s">
        <v>3</v>
      </c>
      <c r="DH42" s="2" t="s">
        <v>3</v>
      </c>
      <c r="DI42" s="2" t="s">
        <v>3</v>
      </c>
      <c r="DJ42" s="2" t="s">
        <v>3</v>
      </c>
      <c r="DK42" s="2" t="s">
        <v>3</v>
      </c>
      <c r="DL42" s="2" t="s">
        <v>3</v>
      </c>
      <c r="DM42" s="2" t="s">
        <v>3</v>
      </c>
      <c r="DN42" s="2">
        <v>0</v>
      </c>
      <c r="DO42" s="2">
        <v>0</v>
      </c>
      <c r="DP42" s="2">
        <v>1</v>
      </c>
      <c r="DQ42" s="2">
        <v>1</v>
      </c>
      <c r="DR42" s="2"/>
      <c r="DS42" s="2"/>
      <c r="DT42" s="2"/>
      <c r="DU42" s="2">
        <v>1010</v>
      </c>
      <c r="DV42" s="2" t="s">
        <v>34</v>
      </c>
      <c r="DW42" s="2" t="s">
        <v>34</v>
      </c>
      <c r="DX42" s="2">
        <v>1</v>
      </c>
      <c r="DY42" s="2"/>
      <c r="DZ42" s="2" t="s">
        <v>3</v>
      </c>
      <c r="EA42" s="2" t="s">
        <v>3</v>
      </c>
      <c r="EB42" s="2" t="s">
        <v>3</v>
      </c>
      <c r="EC42" s="2" t="s">
        <v>3</v>
      </c>
      <c r="ED42" s="2"/>
      <c r="EE42" s="2">
        <v>58808284</v>
      </c>
      <c r="EF42" s="2">
        <v>130</v>
      </c>
      <c r="EG42" s="2" t="s">
        <v>35</v>
      </c>
      <c r="EH42" s="2">
        <v>0</v>
      </c>
      <c r="EI42" s="2" t="s">
        <v>3</v>
      </c>
      <c r="EJ42" s="2">
        <v>3</v>
      </c>
      <c r="EK42" s="2">
        <v>746</v>
      </c>
      <c r="EL42" s="2" t="s">
        <v>36</v>
      </c>
      <c r="EM42" s="2" t="s">
        <v>37</v>
      </c>
      <c r="EN42" s="2"/>
      <c r="EO42" s="2" t="s">
        <v>3</v>
      </c>
      <c r="EP42" s="2"/>
      <c r="EQ42" s="2">
        <v>0</v>
      </c>
      <c r="ER42" s="2">
        <v>0</v>
      </c>
      <c r="ES42" s="2">
        <v>1145.32</v>
      </c>
      <c r="ET42" s="2">
        <v>0</v>
      </c>
      <c r="EU42" s="2">
        <v>0</v>
      </c>
      <c r="EV42" s="2">
        <v>0</v>
      </c>
      <c r="EW42" s="2">
        <v>0</v>
      </c>
      <c r="EX42" s="2">
        <v>0</v>
      </c>
      <c r="EY42" s="2">
        <v>0</v>
      </c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>
        <v>0</v>
      </c>
      <c r="FR42" s="2">
        <f>P42</f>
        <v>4581.28</v>
      </c>
      <c r="FS42" s="2">
        <v>0</v>
      </c>
      <c r="FT42" s="2"/>
      <c r="FU42" s="2"/>
      <c r="FV42" s="2"/>
      <c r="FW42" s="2"/>
      <c r="FX42" s="2">
        <v>0</v>
      </c>
      <c r="FY42" s="2">
        <v>0</v>
      </c>
      <c r="FZ42" s="2"/>
      <c r="GA42" s="2" t="s">
        <v>65</v>
      </c>
      <c r="GB42" s="2"/>
      <c r="GC42" s="2"/>
      <c r="GD42" s="2">
        <v>1</v>
      </c>
      <c r="GE42" s="2"/>
      <c r="GF42" s="2">
        <v>1665855222</v>
      </c>
      <c r="GG42" s="2">
        <v>2</v>
      </c>
      <c r="GH42" s="2">
        <v>4</v>
      </c>
      <c r="GI42" s="2">
        <v>0</v>
      </c>
      <c r="GJ42" s="2">
        <v>0</v>
      </c>
      <c r="GK42" s="2">
        <v>0</v>
      </c>
      <c r="GL42" s="2">
        <f t="shared" si="42"/>
        <v>0</v>
      </c>
      <c r="GM42" s="2">
        <f t="shared" si="43"/>
        <v>4581.28</v>
      </c>
      <c r="GN42" s="2">
        <f t="shared" si="44"/>
        <v>0</v>
      </c>
      <c r="GO42" s="2">
        <f t="shared" si="45"/>
        <v>0</v>
      </c>
      <c r="GP42" s="2">
        <f t="shared" si="46"/>
        <v>0</v>
      </c>
      <c r="GQ42" s="2"/>
      <c r="GR42" s="2">
        <v>2</v>
      </c>
      <c r="GS42" s="2">
        <v>2</v>
      </c>
      <c r="GT42" s="2">
        <v>0</v>
      </c>
      <c r="GU42" s="2" t="s">
        <v>3</v>
      </c>
      <c r="GV42" s="2">
        <f t="shared" si="47"/>
        <v>0</v>
      </c>
      <c r="GW42" s="2">
        <v>1</v>
      </c>
      <c r="GX42" s="2">
        <f t="shared" si="48"/>
        <v>0</v>
      </c>
      <c r="GY42" s="2"/>
      <c r="GZ42" s="2"/>
      <c r="HA42" s="2">
        <v>0</v>
      </c>
      <c r="HB42" s="2">
        <v>0</v>
      </c>
      <c r="HC42" s="2">
        <f t="shared" si="49"/>
        <v>0</v>
      </c>
      <c r="HD42" s="2"/>
      <c r="HE42" s="2" t="s">
        <v>39</v>
      </c>
      <c r="HF42" s="2" t="s">
        <v>40</v>
      </c>
      <c r="HG42" s="2"/>
      <c r="HH42" s="2"/>
      <c r="HI42" s="2"/>
      <c r="HJ42" s="2"/>
      <c r="HK42" s="2"/>
      <c r="HL42" s="2"/>
      <c r="HM42" s="2" t="s">
        <v>3</v>
      </c>
      <c r="HN42" s="2" t="s">
        <v>3</v>
      </c>
      <c r="HO42" s="2" t="s">
        <v>3</v>
      </c>
      <c r="HP42" s="2" t="s">
        <v>3</v>
      </c>
      <c r="HQ42" s="2" t="s">
        <v>3</v>
      </c>
      <c r="HR42" s="2"/>
      <c r="HS42" s="2">
        <v>0</v>
      </c>
      <c r="HT42" s="2"/>
      <c r="HU42" s="2"/>
      <c r="HV42" s="2"/>
      <c r="HW42" s="2"/>
      <c r="HX42" s="2"/>
      <c r="HY42" s="2"/>
      <c r="HZ42" s="2"/>
      <c r="IA42" s="2"/>
      <c r="IB42" s="2"/>
      <c r="IC42" s="2"/>
      <c r="ID42" s="2"/>
      <c r="IE42" s="2"/>
      <c r="IF42" s="2"/>
      <c r="IG42" s="2"/>
      <c r="IH42" s="2"/>
      <c r="II42" s="2"/>
      <c r="IJ42" s="2"/>
      <c r="IK42" s="2">
        <v>0</v>
      </c>
      <c r="IL42" s="2"/>
      <c r="IM42" s="2"/>
      <c r="IN42" s="2"/>
      <c r="IO42" s="2"/>
      <c r="IP42" s="2"/>
      <c r="IQ42" s="2"/>
      <c r="IR42" s="2"/>
      <c r="IS42" s="2"/>
      <c r="IT42" s="2"/>
      <c r="IU42" s="2"/>
    </row>
    <row r="43" spans="1:255" x14ac:dyDescent="0.2">
      <c r="A43">
        <v>17</v>
      </c>
      <c r="B43">
        <v>1</v>
      </c>
      <c r="E43" t="s">
        <v>62</v>
      </c>
      <c r="F43" t="s">
        <v>63</v>
      </c>
      <c r="G43" t="s">
        <v>64</v>
      </c>
      <c r="H43" t="s">
        <v>34</v>
      </c>
      <c r="I43">
        <f>ROUND(ROUND(4,4),9)</f>
        <v>4</v>
      </c>
      <c r="J43">
        <v>0</v>
      </c>
      <c r="K43">
        <f>ROUND(ROUND(4,4),9)</f>
        <v>4</v>
      </c>
      <c r="O43">
        <f t="shared" si="21"/>
        <v>35092.6</v>
      </c>
      <c r="P43">
        <f>ROUND((ROUND((AC43*I43),2)*BC43),2)</f>
        <v>35092.6</v>
      </c>
      <c r="Q43">
        <f>(ROUND((ROUND(((ET43)*AV43*I43),2)*BB43),2)+ROUND((ROUND(((AE43-(EU43))*AV43*I43),2)*BS43),2))</f>
        <v>0</v>
      </c>
      <c r="R43">
        <f t="shared" si="22"/>
        <v>0</v>
      </c>
      <c r="S43">
        <f t="shared" si="23"/>
        <v>0</v>
      </c>
      <c r="T43">
        <f t="shared" si="24"/>
        <v>0</v>
      </c>
      <c r="U43">
        <f t="shared" si="25"/>
        <v>0</v>
      </c>
      <c r="V43">
        <f t="shared" si="26"/>
        <v>0</v>
      </c>
      <c r="W43">
        <f t="shared" si="27"/>
        <v>0</v>
      </c>
      <c r="X43">
        <f t="shared" si="28"/>
        <v>0</v>
      </c>
      <c r="Y43">
        <f t="shared" si="29"/>
        <v>0</v>
      </c>
      <c r="AA43">
        <v>59214059</v>
      </c>
      <c r="AB43">
        <f t="shared" si="30"/>
        <v>1145.32</v>
      </c>
      <c r="AC43">
        <f t="shared" si="52"/>
        <v>1145.32</v>
      </c>
      <c r="AD43">
        <f>ROUND((((ET43)-(EU43))+AE43),6)</f>
        <v>0</v>
      </c>
      <c r="AE43">
        <f>ROUND((EU43),6)</f>
        <v>0</v>
      </c>
      <c r="AF43">
        <f>ROUND((EV43),6)</f>
        <v>0</v>
      </c>
      <c r="AG43">
        <f t="shared" si="31"/>
        <v>0</v>
      </c>
      <c r="AH43">
        <f>(EW43)</f>
        <v>0</v>
      </c>
      <c r="AI43">
        <f>(EX43)</f>
        <v>0</v>
      </c>
      <c r="AJ43">
        <f t="shared" si="32"/>
        <v>0</v>
      </c>
      <c r="AK43">
        <v>1145.32</v>
      </c>
      <c r="AL43">
        <v>1145.32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1</v>
      </c>
      <c r="AW43">
        <v>1</v>
      </c>
      <c r="AZ43">
        <v>1</v>
      </c>
      <c r="BA43">
        <v>1</v>
      </c>
      <c r="BB43">
        <v>1</v>
      </c>
      <c r="BC43">
        <v>7.66</v>
      </c>
      <c r="BD43" t="s">
        <v>3</v>
      </c>
      <c r="BE43" t="s">
        <v>3</v>
      </c>
      <c r="BF43" t="s">
        <v>3</v>
      </c>
      <c r="BG43" t="s">
        <v>3</v>
      </c>
      <c r="BH43">
        <v>3</v>
      </c>
      <c r="BI43">
        <v>3</v>
      </c>
      <c r="BJ43" t="s">
        <v>3</v>
      </c>
      <c r="BM43">
        <v>746</v>
      </c>
      <c r="BN43">
        <v>0</v>
      </c>
      <c r="BO43" t="s">
        <v>3</v>
      </c>
      <c r="BP43">
        <v>0</v>
      </c>
      <c r="BQ43">
        <v>130</v>
      </c>
      <c r="BR43">
        <v>0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1</v>
      </c>
      <c r="BY43" t="s">
        <v>3</v>
      </c>
      <c r="BZ43">
        <v>0</v>
      </c>
      <c r="CA43">
        <v>0</v>
      </c>
      <c r="CB43" t="s">
        <v>3</v>
      </c>
      <c r="CE43">
        <v>30</v>
      </c>
      <c r="CF43">
        <v>0</v>
      </c>
      <c r="CG43">
        <v>0</v>
      </c>
      <c r="CM43">
        <v>0</v>
      </c>
      <c r="CN43" t="s">
        <v>3</v>
      </c>
      <c r="CO43">
        <v>0</v>
      </c>
      <c r="CP43">
        <f t="shared" si="33"/>
        <v>35092.6</v>
      </c>
      <c r="CQ43">
        <f>ROUND((ROUND((AC43*1),2)*BC43),2)</f>
        <v>8773.15</v>
      </c>
      <c r="CR43">
        <f>(ROUND((ROUND(((ET43)*AV43*1),2)*BB43),2)+ROUND((ROUND(((AE43-(EU43))*AV43*1),2)*BS43),2))</f>
        <v>0</v>
      </c>
      <c r="CS43">
        <f t="shared" si="34"/>
        <v>0</v>
      </c>
      <c r="CT43">
        <f t="shared" si="35"/>
        <v>0</v>
      </c>
      <c r="CU43">
        <f t="shared" si="36"/>
        <v>0</v>
      </c>
      <c r="CV43">
        <f t="shared" si="37"/>
        <v>0</v>
      </c>
      <c r="CW43">
        <f t="shared" si="38"/>
        <v>0</v>
      </c>
      <c r="CX43">
        <f t="shared" si="39"/>
        <v>0</v>
      </c>
      <c r="CY43">
        <f t="shared" si="40"/>
        <v>0</v>
      </c>
      <c r="CZ43">
        <f t="shared" si="41"/>
        <v>0</v>
      </c>
      <c r="DC43" t="s">
        <v>3</v>
      </c>
      <c r="DD43" t="s">
        <v>3</v>
      </c>
      <c r="DE43" t="s">
        <v>3</v>
      </c>
      <c r="DF43" t="s">
        <v>3</v>
      </c>
      <c r="DG43" t="s">
        <v>3</v>
      </c>
      <c r="DH43" t="s">
        <v>3</v>
      </c>
      <c r="DI43" t="s">
        <v>3</v>
      </c>
      <c r="DJ43" t="s">
        <v>3</v>
      </c>
      <c r="DK43" t="s">
        <v>3</v>
      </c>
      <c r="DL43" t="s">
        <v>3</v>
      </c>
      <c r="DM43" t="s">
        <v>3</v>
      </c>
      <c r="DN43">
        <v>0</v>
      </c>
      <c r="DO43">
        <v>0</v>
      </c>
      <c r="DP43">
        <v>1</v>
      </c>
      <c r="DQ43">
        <v>1</v>
      </c>
      <c r="DU43">
        <v>1010</v>
      </c>
      <c r="DV43" t="s">
        <v>34</v>
      </c>
      <c r="DW43" t="s">
        <v>34</v>
      </c>
      <c r="DX43">
        <v>1</v>
      </c>
      <c r="DZ43" t="s">
        <v>3</v>
      </c>
      <c r="EA43" t="s">
        <v>3</v>
      </c>
      <c r="EB43" t="s">
        <v>3</v>
      </c>
      <c r="EC43" t="s">
        <v>3</v>
      </c>
      <c r="EE43">
        <v>58808284</v>
      </c>
      <c r="EF43">
        <v>130</v>
      </c>
      <c r="EG43" t="s">
        <v>35</v>
      </c>
      <c r="EH43">
        <v>0</v>
      </c>
      <c r="EI43" t="s">
        <v>3</v>
      </c>
      <c r="EJ43">
        <v>3</v>
      </c>
      <c r="EK43">
        <v>746</v>
      </c>
      <c r="EL43" t="s">
        <v>36</v>
      </c>
      <c r="EM43" t="s">
        <v>37</v>
      </c>
      <c r="EO43" t="s">
        <v>3</v>
      </c>
      <c r="EQ43">
        <v>0</v>
      </c>
      <c r="ER43">
        <v>0</v>
      </c>
      <c r="ES43">
        <v>1145.32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5</v>
      </c>
      <c r="FC43">
        <v>1</v>
      </c>
      <c r="FD43">
        <v>18</v>
      </c>
      <c r="FF43">
        <v>10100</v>
      </c>
      <c r="FQ43">
        <v>0</v>
      </c>
      <c r="FR43">
        <f>P43</f>
        <v>35092.6</v>
      </c>
      <c r="FS43">
        <v>0</v>
      </c>
      <c r="FX43">
        <v>0</v>
      </c>
      <c r="FY43">
        <v>0</v>
      </c>
      <c r="GA43" t="s">
        <v>65</v>
      </c>
      <c r="GD43">
        <v>1</v>
      </c>
      <c r="GF43">
        <v>1665855222</v>
      </c>
      <c r="GG43">
        <v>2</v>
      </c>
      <c r="GH43">
        <v>2</v>
      </c>
      <c r="GI43">
        <v>5</v>
      </c>
      <c r="GJ43">
        <v>0</v>
      </c>
      <c r="GK43">
        <v>0</v>
      </c>
      <c r="GL43">
        <f t="shared" si="42"/>
        <v>0</v>
      </c>
      <c r="GM43">
        <f t="shared" si="43"/>
        <v>35092.6</v>
      </c>
      <c r="GN43">
        <f t="shared" si="44"/>
        <v>0</v>
      </c>
      <c r="GO43">
        <f t="shared" si="45"/>
        <v>0</v>
      </c>
      <c r="GP43">
        <f t="shared" si="46"/>
        <v>0</v>
      </c>
      <c r="GR43">
        <v>2</v>
      </c>
      <c r="GS43">
        <v>1</v>
      </c>
      <c r="GT43">
        <v>0</v>
      </c>
      <c r="GU43" t="s">
        <v>3</v>
      </c>
      <c r="GV43">
        <f t="shared" si="47"/>
        <v>0</v>
      </c>
      <c r="GW43">
        <v>1</v>
      </c>
      <c r="GX43">
        <f t="shared" si="48"/>
        <v>0</v>
      </c>
      <c r="HA43">
        <v>0</v>
      </c>
      <c r="HB43">
        <v>0</v>
      </c>
      <c r="HC43">
        <f t="shared" si="49"/>
        <v>0</v>
      </c>
      <c r="HE43" t="s">
        <v>39</v>
      </c>
      <c r="HF43" t="s">
        <v>40</v>
      </c>
      <c r="HM43" t="s">
        <v>3</v>
      </c>
      <c r="HN43" t="s">
        <v>3</v>
      </c>
      <c r="HO43" t="s">
        <v>3</v>
      </c>
      <c r="HP43" t="s">
        <v>3</v>
      </c>
      <c r="HQ43" t="s">
        <v>3</v>
      </c>
      <c r="HS43">
        <v>0</v>
      </c>
      <c r="IK43">
        <v>0</v>
      </c>
    </row>
    <row r="44" spans="1:255" x14ac:dyDescent="0.2">
      <c r="A44" s="2">
        <v>17</v>
      </c>
      <c r="B44" s="2">
        <v>1</v>
      </c>
      <c r="C44" s="2">
        <f>ROW(SmtRes!A19)</f>
        <v>19</v>
      </c>
      <c r="D44" s="2">
        <f>ROW(EtalonRes!A25)</f>
        <v>25</v>
      </c>
      <c r="E44" s="2" t="s">
        <v>66</v>
      </c>
      <c r="F44" s="2" t="s">
        <v>67</v>
      </c>
      <c r="G44" s="2" t="s">
        <v>68</v>
      </c>
      <c r="H44" s="2" t="s">
        <v>69</v>
      </c>
      <c r="I44" s="2">
        <f>ROUND(ROUND(2/100,4),9)</f>
        <v>0.02</v>
      </c>
      <c r="J44" s="2">
        <v>0</v>
      </c>
      <c r="K44" s="2">
        <f>ROUND(ROUND(2/100,4),9)</f>
        <v>0.02</v>
      </c>
      <c r="L44" s="2"/>
      <c r="M44" s="2"/>
      <c r="N44" s="2"/>
      <c r="O44" s="2">
        <f t="shared" si="21"/>
        <v>13.13</v>
      </c>
      <c r="P44" s="2">
        <f t="shared" ref="P44:P49" si="63">ROUND((ROUND((AC44*AW44*I44),2)*BC44),2)</f>
        <v>0</v>
      </c>
      <c r="Q44" s="2">
        <f>(ROUND((ROUND((((ET44*1.1))*AV44*I44),2)*BB44),2)+ROUND((ROUND(((AE44-((EU44*1.1)))*AV44*I44),2)*BS44),2))</f>
        <v>1.34</v>
      </c>
      <c r="R44" s="2">
        <f t="shared" si="22"/>
        <v>0.16</v>
      </c>
      <c r="S44" s="2">
        <f t="shared" si="23"/>
        <v>11.79</v>
      </c>
      <c r="T44" s="2">
        <f t="shared" si="24"/>
        <v>0</v>
      </c>
      <c r="U44" s="2">
        <f t="shared" si="25"/>
        <v>0.95591100000000018</v>
      </c>
      <c r="V44" s="2">
        <f t="shared" si="26"/>
        <v>0</v>
      </c>
      <c r="W44" s="2">
        <f t="shared" si="27"/>
        <v>0</v>
      </c>
      <c r="X44" s="2">
        <f t="shared" si="28"/>
        <v>13.15</v>
      </c>
      <c r="Y44" s="2">
        <f t="shared" si="29"/>
        <v>8.7200000000000006</v>
      </c>
      <c r="Z44" s="2"/>
      <c r="AA44" s="2">
        <v>59214062</v>
      </c>
      <c r="AB44" s="2">
        <f t="shared" si="30"/>
        <v>626.95600000000002</v>
      </c>
      <c r="AC44" s="2">
        <f t="shared" si="52"/>
        <v>0</v>
      </c>
      <c r="AD44" s="2">
        <f>ROUND(((((ET44*1.1))-((EU44*1.1)))+AE44),6)</f>
        <v>64.096999999999994</v>
      </c>
      <c r="AE44" s="2">
        <f>ROUND(((EU44*1.1)),6)</f>
        <v>7.4690000000000003</v>
      </c>
      <c r="AF44" s="2">
        <f>ROUND(((EV44*1.1)),6)</f>
        <v>562.85900000000004</v>
      </c>
      <c r="AG44" s="2">
        <f t="shared" si="31"/>
        <v>0</v>
      </c>
      <c r="AH44" s="2">
        <f>((EW44*1.1))</f>
        <v>45.650000000000006</v>
      </c>
      <c r="AI44" s="2">
        <f>((EX44*1.1))</f>
        <v>0</v>
      </c>
      <c r="AJ44" s="2">
        <f t="shared" si="32"/>
        <v>0</v>
      </c>
      <c r="AK44" s="2">
        <v>569.96</v>
      </c>
      <c r="AL44" s="2">
        <v>0</v>
      </c>
      <c r="AM44" s="2">
        <v>58.27</v>
      </c>
      <c r="AN44" s="2">
        <v>6.79</v>
      </c>
      <c r="AO44" s="2">
        <v>511.69</v>
      </c>
      <c r="AP44" s="2">
        <v>0</v>
      </c>
      <c r="AQ44" s="2">
        <v>41.5</v>
      </c>
      <c r="AR44" s="2">
        <v>0</v>
      </c>
      <c r="AS44" s="2">
        <v>0</v>
      </c>
      <c r="AT44" s="2">
        <v>110</v>
      </c>
      <c r="AU44" s="2">
        <v>73</v>
      </c>
      <c r="AV44" s="2">
        <v>1.0469999999999999</v>
      </c>
      <c r="AW44" s="2">
        <v>1</v>
      </c>
      <c r="AX44" s="2"/>
      <c r="AY44" s="2"/>
      <c r="AZ44" s="2">
        <v>1</v>
      </c>
      <c r="BA44" s="2">
        <v>1</v>
      </c>
      <c r="BB44" s="2">
        <v>1</v>
      </c>
      <c r="BC44" s="2">
        <v>1</v>
      </c>
      <c r="BD44" s="2" t="s">
        <v>3</v>
      </c>
      <c r="BE44" s="2" t="s">
        <v>3</v>
      </c>
      <c r="BF44" s="2" t="s">
        <v>3</v>
      </c>
      <c r="BG44" s="2" t="s">
        <v>3</v>
      </c>
      <c r="BH44" s="2">
        <v>0</v>
      </c>
      <c r="BI44" s="2">
        <v>1</v>
      </c>
      <c r="BJ44" s="2" t="s">
        <v>70</v>
      </c>
      <c r="BK44" s="2"/>
      <c r="BL44" s="2"/>
      <c r="BM44" s="2">
        <v>10</v>
      </c>
      <c r="BN44" s="2">
        <v>58808062</v>
      </c>
      <c r="BO44" s="2" t="s">
        <v>67</v>
      </c>
      <c r="BP44" s="2">
        <v>1</v>
      </c>
      <c r="BQ44" s="2">
        <v>30</v>
      </c>
      <c r="BR44" s="2">
        <v>0</v>
      </c>
      <c r="BS44" s="2">
        <v>1</v>
      </c>
      <c r="BT44" s="2">
        <v>1</v>
      </c>
      <c r="BU44" s="2">
        <v>1</v>
      </c>
      <c r="BV44" s="2">
        <v>1</v>
      </c>
      <c r="BW44" s="2">
        <v>1</v>
      </c>
      <c r="BX44" s="2">
        <v>1</v>
      </c>
      <c r="BY44" s="2" t="s">
        <v>3</v>
      </c>
      <c r="BZ44" s="2">
        <v>110</v>
      </c>
      <c r="CA44" s="2">
        <v>73</v>
      </c>
      <c r="CB44" s="2" t="s">
        <v>3</v>
      </c>
      <c r="CC44" s="2"/>
      <c r="CD44" s="2"/>
      <c r="CE44" s="2">
        <v>30</v>
      </c>
      <c r="CF44" s="2">
        <v>0</v>
      </c>
      <c r="CG44" s="2">
        <v>0</v>
      </c>
      <c r="CH44" s="2"/>
      <c r="CI44" s="2"/>
      <c r="CJ44" s="2"/>
      <c r="CK44" s="2"/>
      <c r="CL44" s="2"/>
      <c r="CM44" s="2">
        <v>0</v>
      </c>
      <c r="CN44" s="2" t="s">
        <v>198</v>
      </c>
      <c r="CO44" s="2">
        <v>0</v>
      </c>
      <c r="CP44" s="2">
        <f t="shared" si="33"/>
        <v>13.129999999999999</v>
      </c>
      <c r="CQ44" s="2">
        <f t="shared" ref="CQ44:CQ49" si="64">ROUND((ROUND((AC44*AW44*1),2)*BC44),2)</f>
        <v>0</v>
      </c>
      <c r="CR44" s="2">
        <f>(ROUND((ROUND((((ET44*1.1))*AV44*1),2)*BB44),2)+ROUND((ROUND(((AE44-((EU44*1.1)))*AV44*1),2)*BS44),2))</f>
        <v>67.11</v>
      </c>
      <c r="CS44" s="2">
        <f t="shared" si="34"/>
        <v>7.82</v>
      </c>
      <c r="CT44" s="2">
        <f t="shared" si="35"/>
        <v>589.30999999999995</v>
      </c>
      <c r="CU44" s="2">
        <f t="shared" si="36"/>
        <v>0</v>
      </c>
      <c r="CV44" s="2">
        <f t="shared" si="37"/>
        <v>47.795550000000006</v>
      </c>
      <c r="CW44" s="2">
        <f t="shared" si="38"/>
        <v>0</v>
      </c>
      <c r="CX44" s="2">
        <f t="shared" si="39"/>
        <v>0</v>
      </c>
      <c r="CY44" s="2">
        <f t="shared" si="40"/>
        <v>13.145</v>
      </c>
      <c r="CZ44" s="2">
        <f t="shared" si="41"/>
        <v>8.7234999999999996</v>
      </c>
      <c r="DA44" s="2"/>
      <c r="DB44" s="2">
        <v>5</v>
      </c>
      <c r="DC44" s="2" t="s">
        <v>3</v>
      </c>
      <c r="DD44" s="2" t="s">
        <v>3</v>
      </c>
      <c r="DE44" s="2" t="s">
        <v>26</v>
      </c>
      <c r="DF44" s="2" t="s">
        <v>26</v>
      </c>
      <c r="DG44" s="2" t="s">
        <v>26</v>
      </c>
      <c r="DH44" s="2" t="s">
        <v>3</v>
      </c>
      <c r="DI44" s="2" t="s">
        <v>26</v>
      </c>
      <c r="DJ44" s="2" t="s">
        <v>26</v>
      </c>
      <c r="DK44" s="2" t="s">
        <v>3</v>
      </c>
      <c r="DL44" s="2" t="s">
        <v>3</v>
      </c>
      <c r="DM44" s="2" t="s">
        <v>3</v>
      </c>
      <c r="DN44" s="2">
        <v>0</v>
      </c>
      <c r="DO44" s="2">
        <v>0</v>
      </c>
      <c r="DP44" s="2">
        <v>1</v>
      </c>
      <c r="DQ44" s="2">
        <v>1</v>
      </c>
      <c r="DR44" s="2"/>
      <c r="DS44" s="2"/>
      <c r="DT44" s="2"/>
      <c r="DU44" s="2">
        <v>1013</v>
      </c>
      <c r="DV44" s="2" t="s">
        <v>69</v>
      </c>
      <c r="DW44" s="2" t="s">
        <v>69</v>
      </c>
      <c r="DX44" s="2">
        <v>1</v>
      </c>
      <c r="DY44" s="2"/>
      <c r="DZ44" s="2" t="s">
        <v>3</v>
      </c>
      <c r="EA44" s="2" t="s">
        <v>3</v>
      </c>
      <c r="EB44" s="2" t="s">
        <v>3</v>
      </c>
      <c r="EC44" s="2" t="s">
        <v>3</v>
      </c>
      <c r="ED44" s="2"/>
      <c r="EE44" s="2">
        <v>58808119</v>
      </c>
      <c r="EF44" s="2">
        <v>30</v>
      </c>
      <c r="EG44" s="2" t="s">
        <v>58</v>
      </c>
      <c r="EH44" s="2">
        <v>0</v>
      </c>
      <c r="EI44" s="2" t="s">
        <v>3</v>
      </c>
      <c r="EJ44" s="2">
        <v>1</v>
      </c>
      <c r="EK44" s="2">
        <v>10</v>
      </c>
      <c r="EL44" s="2" t="s">
        <v>71</v>
      </c>
      <c r="EM44" s="2" t="s">
        <v>72</v>
      </c>
      <c r="EN44" s="2"/>
      <c r="EO44" s="2" t="s">
        <v>61</v>
      </c>
      <c r="EP44" s="2"/>
      <c r="EQ44" s="2">
        <v>0</v>
      </c>
      <c r="ER44" s="2">
        <v>569.96</v>
      </c>
      <c r="ES44" s="2">
        <v>0</v>
      </c>
      <c r="ET44" s="2">
        <v>58.27</v>
      </c>
      <c r="EU44" s="2">
        <v>6.79</v>
      </c>
      <c r="EV44" s="2">
        <v>511.69</v>
      </c>
      <c r="EW44" s="2">
        <v>41.5</v>
      </c>
      <c r="EX44" s="2">
        <v>0</v>
      </c>
      <c r="EY44" s="2">
        <v>0</v>
      </c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>
        <v>0</v>
      </c>
      <c r="FR44" s="2">
        <v>0</v>
      </c>
      <c r="FS44" s="2">
        <v>0</v>
      </c>
      <c r="FT44" s="2"/>
      <c r="FU44" s="2"/>
      <c r="FV44" s="2"/>
      <c r="FW44" s="2"/>
      <c r="FX44" s="2">
        <v>110</v>
      </c>
      <c r="FY44" s="2">
        <v>73</v>
      </c>
      <c r="FZ44" s="2"/>
      <c r="GA44" s="2" t="s">
        <v>3</v>
      </c>
      <c r="GB44" s="2"/>
      <c r="GC44" s="2"/>
      <c r="GD44" s="2">
        <v>1</v>
      </c>
      <c r="GE44" s="2"/>
      <c r="GF44" s="2">
        <v>100471651</v>
      </c>
      <c r="GG44" s="2">
        <v>2</v>
      </c>
      <c r="GH44" s="2">
        <v>1</v>
      </c>
      <c r="GI44" s="2">
        <v>2</v>
      </c>
      <c r="GJ44" s="2">
        <v>0</v>
      </c>
      <c r="GK44" s="2">
        <v>0</v>
      </c>
      <c r="GL44" s="2">
        <f t="shared" si="42"/>
        <v>0</v>
      </c>
      <c r="GM44" s="2">
        <f t="shared" si="43"/>
        <v>35</v>
      </c>
      <c r="GN44" s="2">
        <f t="shared" si="44"/>
        <v>35</v>
      </c>
      <c r="GO44" s="2">
        <f t="shared" si="45"/>
        <v>0</v>
      </c>
      <c r="GP44" s="2">
        <f t="shared" si="46"/>
        <v>0</v>
      </c>
      <c r="GQ44" s="2"/>
      <c r="GR44" s="2">
        <v>0</v>
      </c>
      <c r="GS44" s="2">
        <v>3</v>
      </c>
      <c r="GT44" s="2">
        <v>0</v>
      </c>
      <c r="GU44" s="2" t="s">
        <v>3</v>
      </c>
      <c r="GV44" s="2">
        <f t="shared" si="47"/>
        <v>0</v>
      </c>
      <c r="GW44" s="2">
        <v>1</v>
      </c>
      <c r="GX44" s="2">
        <f t="shared" si="48"/>
        <v>0</v>
      </c>
      <c r="GY44" s="2"/>
      <c r="GZ44" s="2"/>
      <c r="HA44" s="2">
        <v>0</v>
      </c>
      <c r="HB44" s="2">
        <v>0</v>
      </c>
      <c r="HC44" s="2">
        <f t="shared" si="49"/>
        <v>0</v>
      </c>
      <c r="HD44" s="2"/>
      <c r="HE44" s="2" t="s">
        <v>3</v>
      </c>
      <c r="HF44" s="2" t="s">
        <v>3</v>
      </c>
      <c r="HG44" s="2"/>
      <c r="HH44" s="2"/>
      <c r="HI44" s="2"/>
      <c r="HJ44" s="2"/>
      <c r="HK44" s="2"/>
      <c r="HL44" s="2"/>
      <c r="HM44" s="2" t="s">
        <v>3</v>
      </c>
      <c r="HN44" s="2" t="s">
        <v>3</v>
      </c>
      <c r="HO44" s="2" t="s">
        <v>3</v>
      </c>
      <c r="HP44" s="2" t="s">
        <v>3</v>
      </c>
      <c r="HQ44" s="2" t="s">
        <v>3</v>
      </c>
      <c r="HR44" s="2"/>
      <c r="HS44" s="2">
        <v>0</v>
      </c>
      <c r="HT44" s="2"/>
      <c r="HU44" s="2"/>
      <c r="HV44" s="2"/>
      <c r="HW44" s="2"/>
      <c r="HX44" s="2"/>
      <c r="HY44" s="2"/>
      <c r="HZ44" s="2"/>
      <c r="IA44" s="2"/>
      <c r="IB44" s="2"/>
      <c r="IC44" s="2"/>
      <c r="ID44" s="2"/>
      <c r="IE44" s="2"/>
      <c r="IF44" s="2"/>
      <c r="IG44" s="2"/>
      <c r="IH44" s="2"/>
      <c r="II44" s="2"/>
      <c r="IJ44" s="2"/>
      <c r="IK44" s="2">
        <v>0</v>
      </c>
      <c r="IL44" s="2"/>
      <c r="IM44" s="2"/>
      <c r="IN44" s="2"/>
      <c r="IO44" s="2"/>
      <c r="IP44" s="2"/>
      <c r="IQ44" s="2"/>
      <c r="IR44" s="2"/>
      <c r="IS44" s="2"/>
      <c r="IT44" s="2"/>
      <c r="IU44" s="2"/>
    </row>
    <row r="45" spans="1:255" x14ac:dyDescent="0.2">
      <c r="A45">
        <v>17</v>
      </c>
      <c r="B45">
        <v>1</v>
      </c>
      <c r="C45">
        <f>ROW(SmtRes!A24)</f>
        <v>24</v>
      </c>
      <c r="D45">
        <f>ROW(EtalonRes!A30)</f>
        <v>30</v>
      </c>
      <c r="E45" t="s">
        <v>66</v>
      </c>
      <c r="F45" t="s">
        <v>67</v>
      </c>
      <c r="G45" t="s">
        <v>68</v>
      </c>
      <c r="H45" t="s">
        <v>69</v>
      </c>
      <c r="I45">
        <f>ROUND(ROUND(2/100,4),9)</f>
        <v>0.02</v>
      </c>
      <c r="J45">
        <v>0</v>
      </c>
      <c r="K45">
        <f>ROUND(ROUND(2/100,4),9)</f>
        <v>0.02</v>
      </c>
      <c r="O45">
        <f t="shared" si="21"/>
        <v>668.07</v>
      </c>
      <c r="P45">
        <f t="shared" si="63"/>
        <v>0</v>
      </c>
      <c r="Q45">
        <f>(ROUND((ROUND((((ET45*1.1))*AV45*I45),2)*BB45),2)+ROUND((ROUND(((AE45-((EU45*1.1)))*AV45*I45),2)*BS45),2))</f>
        <v>19.739999999999998</v>
      </c>
      <c r="R45">
        <f t="shared" si="22"/>
        <v>8.8000000000000007</v>
      </c>
      <c r="S45">
        <f t="shared" si="23"/>
        <v>648.33000000000004</v>
      </c>
      <c r="T45">
        <f t="shared" si="24"/>
        <v>0</v>
      </c>
      <c r="U45">
        <f t="shared" si="25"/>
        <v>0.95591100000000018</v>
      </c>
      <c r="V45">
        <f t="shared" si="26"/>
        <v>0</v>
      </c>
      <c r="W45">
        <f t="shared" si="27"/>
        <v>0</v>
      </c>
      <c r="X45">
        <f t="shared" si="28"/>
        <v>722.84</v>
      </c>
      <c r="Y45">
        <f t="shared" si="29"/>
        <v>479.7</v>
      </c>
      <c r="AA45">
        <v>59214059</v>
      </c>
      <c r="AB45">
        <f t="shared" si="30"/>
        <v>626.95600000000002</v>
      </c>
      <c r="AC45">
        <f t="shared" si="52"/>
        <v>0</v>
      </c>
      <c r="AD45">
        <f>ROUND(((((ET45*1.1))-((EU45*1.1)))+AE45),6)</f>
        <v>64.096999999999994</v>
      </c>
      <c r="AE45">
        <f>ROUND(((EU45*1.1)),6)</f>
        <v>7.4690000000000003</v>
      </c>
      <c r="AF45">
        <f>ROUND(((EV45*1.1)),6)</f>
        <v>562.85900000000004</v>
      </c>
      <c r="AG45">
        <f t="shared" si="31"/>
        <v>0</v>
      </c>
      <c r="AH45">
        <f>((EW45*1.1))</f>
        <v>45.650000000000006</v>
      </c>
      <c r="AI45">
        <f>((EX45*1.1))</f>
        <v>0</v>
      </c>
      <c r="AJ45">
        <f t="shared" si="32"/>
        <v>0</v>
      </c>
      <c r="AK45">
        <v>569.96</v>
      </c>
      <c r="AL45">
        <v>0</v>
      </c>
      <c r="AM45">
        <v>58.27</v>
      </c>
      <c r="AN45">
        <v>6.79</v>
      </c>
      <c r="AO45">
        <v>511.69</v>
      </c>
      <c r="AP45">
        <v>0</v>
      </c>
      <c r="AQ45">
        <v>41.5</v>
      </c>
      <c r="AR45">
        <v>0</v>
      </c>
      <c r="AS45">
        <v>0</v>
      </c>
      <c r="AT45">
        <v>110</v>
      </c>
      <c r="AU45">
        <v>73</v>
      </c>
      <c r="AV45">
        <v>1.0469999999999999</v>
      </c>
      <c r="AW45">
        <v>1</v>
      </c>
      <c r="AZ45">
        <v>1</v>
      </c>
      <c r="BA45">
        <v>54.99</v>
      </c>
      <c r="BB45">
        <v>14.73</v>
      </c>
      <c r="BC45">
        <v>1</v>
      </c>
      <c r="BD45" t="s">
        <v>3</v>
      </c>
      <c r="BE45" t="s">
        <v>3</v>
      </c>
      <c r="BF45" t="s">
        <v>3</v>
      </c>
      <c r="BG45" t="s">
        <v>3</v>
      </c>
      <c r="BH45">
        <v>0</v>
      </c>
      <c r="BI45">
        <v>1</v>
      </c>
      <c r="BJ45" t="s">
        <v>70</v>
      </c>
      <c r="BM45">
        <v>10</v>
      </c>
      <c r="BN45">
        <v>58808062</v>
      </c>
      <c r="BO45" t="s">
        <v>67</v>
      </c>
      <c r="BP45">
        <v>1</v>
      </c>
      <c r="BQ45">
        <v>30</v>
      </c>
      <c r="BR45">
        <v>0</v>
      </c>
      <c r="BS45">
        <v>54.99</v>
      </c>
      <c r="BT45">
        <v>1</v>
      </c>
      <c r="BU45">
        <v>1</v>
      </c>
      <c r="BV45">
        <v>1</v>
      </c>
      <c r="BW45">
        <v>1</v>
      </c>
      <c r="BX45">
        <v>1</v>
      </c>
      <c r="BY45" t="s">
        <v>3</v>
      </c>
      <c r="BZ45">
        <v>110</v>
      </c>
      <c r="CA45">
        <v>73</v>
      </c>
      <c r="CB45" t="s">
        <v>3</v>
      </c>
      <c r="CE45">
        <v>30</v>
      </c>
      <c r="CF45">
        <v>0</v>
      </c>
      <c r="CG45">
        <v>0</v>
      </c>
      <c r="CM45">
        <v>0</v>
      </c>
      <c r="CN45" t="s">
        <v>198</v>
      </c>
      <c r="CO45">
        <v>0</v>
      </c>
      <c r="CP45">
        <f t="shared" si="33"/>
        <v>668.07</v>
      </c>
      <c r="CQ45">
        <f t="shared" si="64"/>
        <v>0</v>
      </c>
      <c r="CR45">
        <f>(ROUND((ROUND((((ET45*1.1))*AV45*1),2)*BB45),2)+ROUND((ROUND(((AE45-((EU45*1.1)))*AV45*1),2)*BS45),2))</f>
        <v>988.53</v>
      </c>
      <c r="CS45">
        <f t="shared" si="34"/>
        <v>430.02</v>
      </c>
      <c r="CT45">
        <f t="shared" si="35"/>
        <v>32406.16</v>
      </c>
      <c r="CU45">
        <f t="shared" si="36"/>
        <v>0</v>
      </c>
      <c r="CV45">
        <f t="shared" si="37"/>
        <v>47.795550000000006</v>
      </c>
      <c r="CW45">
        <f t="shared" si="38"/>
        <v>0</v>
      </c>
      <c r="CX45">
        <f t="shared" si="39"/>
        <v>0</v>
      </c>
      <c r="CY45">
        <f t="shared" si="40"/>
        <v>722.84300000000007</v>
      </c>
      <c r="CZ45">
        <f t="shared" si="41"/>
        <v>479.70489999999995</v>
      </c>
      <c r="DB45">
        <v>6</v>
      </c>
      <c r="DC45" t="s">
        <v>3</v>
      </c>
      <c r="DD45" t="s">
        <v>3</v>
      </c>
      <c r="DE45" t="s">
        <v>26</v>
      </c>
      <c r="DF45" t="s">
        <v>26</v>
      </c>
      <c r="DG45" t="s">
        <v>26</v>
      </c>
      <c r="DH45" t="s">
        <v>3</v>
      </c>
      <c r="DI45" t="s">
        <v>26</v>
      </c>
      <c r="DJ45" t="s">
        <v>26</v>
      </c>
      <c r="DK45" t="s">
        <v>3</v>
      </c>
      <c r="DL45" t="s">
        <v>3</v>
      </c>
      <c r="DM45" t="s">
        <v>3</v>
      </c>
      <c r="DN45">
        <v>0</v>
      </c>
      <c r="DO45">
        <v>0</v>
      </c>
      <c r="DP45">
        <v>1</v>
      </c>
      <c r="DQ45">
        <v>1</v>
      </c>
      <c r="DU45">
        <v>1013</v>
      </c>
      <c r="DV45" t="s">
        <v>69</v>
      </c>
      <c r="DW45" t="s">
        <v>69</v>
      </c>
      <c r="DX45">
        <v>1</v>
      </c>
      <c r="DZ45" t="s">
        <v>3</v>
      </c>
      <c r="EA45" t="s">
        <v>3</v>
      </c>
      <c r="EB45" t="s">
        <v>3</v>
      </c>
      <c r="EC45" t="s">
        <v>3</v>
      </c>
      <c r="EE45">
        <v>58808119</v>
      </c>
      <c r="EF45">
        <v>30</v>
      </c>
      <c r="EG45" t="s">
        <v>58</v>
      </c>
      <c r="EH45">
        <v>0</v>
      </c>
      <c r="EI45" t="s">
        <v>3</v>
      </c>
      <c r="EJ45">
        <v>1</v>
      </c>
      <c r="EK45">
        <v>10</v>
      </c>
      <c r="EL45" t="s">
        <v>71</v>
      </c>
      <c r="EM45" t="s">
        <v>72</v>
      </c>
      <c r="EO45" t="s">
        <v>61</v>
      </c>
      <c r="EQ45">
        <v>0</v>
      </c>
      <c r="ER45">
        <v>569.96</v>
      </c>
      <c r="ES45">
        <v>0</v>
      </c>
      <c r="ET45">
        <v>58.27</v>
      </c>
      <c r="EU45">
        <v>6.79</v>
      </c>
      <c r="EV45">
        <v>511.69</v>
      </c>
      <c r="EW45">
        <v>41.5</v>
      </c>
      <c r="EX45">
        <v>0</v>
      </c>
      <c r="EY45">
        <v>0</v>
      </c>
      <c r="FQ45">
        <v>0</v>
      </c>
      <c r="FR45">
        <v>0</v>
      </c>
      <c r="FS45">
        <v>0</v>
      </c>
      <c r="FX45">
        <v>110</v>
      </c>
      <c r="FY45">
        <v>73</v>
      </c>
      <c r="GA45" t="s">
        <v>3</v>
      </c>
      <c r="GD45">
        <v>1</v>
      </c>
      <c r="GF45">
        <v>100471651</v>
      </c>
      <c r="GG45">
        <v>2</v>
      </c>
      <c r="GH45">
        <v>1</v>
      </c>
      <c r="GI45">
        <v>2</v>
      </c>
      <c r="GJ45">
        <v>0</v>
      </c>
      <c r="GK45">
        <v>0</v>
      </c>
      <c r="GL45">
        <f t="shared" si="42"/>
        <v>0</v>
      </c>
      <c r="GM45">
        <f t="shared" si="43"/>
        <v>1870.61</v>
      </c>
      <c r="GN45">
        <f t="shared" si="44"/>
        <v>1870.61</v>
      </c>
      <c r="GO45">
        <f t="shared" si="45"/>
        <v>0</v>
      </c>
      <c r="GP45">
        <f t="shared" si="46"/>
        <v>0</v>
      </c>
      <c r="GR45">
        <v>0</v>
      </c>
      <c r="GS45">
        <v>3</v>
      </c>
      <c r="GT45">
        <v>0</v>
      </c>
      <c r="GU45" t="s">
        <v>3</v>
      </c>
      <c r="GV45">
        <f t="shared" si="47"/>
        <v>0</v>
      </c>
      <c r="GW45">
        <v>1</v>
      </c>
      <c r="GX45">
        <f t="shared" si="48"/>
        <v>0</v>
      </c>
      <c r="HA45">
        <v>0</v>
      </c>
      <c r="HB45">
        <v>0</v>
      </c>
      <c r="HC45">
        <f t="shared" si="49"/>
        <v>0</v>
      </c>
      <c r="HE45" t="s">
        <v>3</v>
      </c>
      <c r="HF45" t="s">
        <v>3</v>
      </c>
      <c r="HM45" t="s">
        <v>3</v>
      </c>
      <c r="HN45" t="s">
        <v>3</v>
      </c>
      <c r="HO45" t="s">
        <v>3</v>
      </c>
      <c r="HP45" t="s">
        <v>3</v>
      </c>
      <c r="HQ45" t="s">
        <v>3</v>
      </c>
      <c r="HS45">
        <v>0</v>
      </c>
      <c r="IK45">
        <v>0</v>
      </c>
    </row>
    <row r="46" spans="1:255" x14ac:dyDescent="0.2">
      <c r="A46" s="2">
        <v>18</v>
      </c>
      <c r="B46" s="2">
        <v>1</v>
      </c>
      <c r="C46" s="2">
        <v>18</v>
      </c>
      <c r="D46" s="2"/>
      <c r="E46" s="2" t="s">
        <v>73</v>
      </c>
      <c r="F46" s="2" t="s">
        <v>74</v>
      </c>
      <c r="G46" s="2" t="s">
        <v>75</v>
      </c>
      <c r="H46" s="2" t="s">
        <v>76</v>
      </c>
      <c r="I46" s="2">
        <f>I44*J46</f>
        <v>2</v>
      </c>
      <c r="J46" s="2">
        <v>100</v>
      </c>
      <c r="K46" s="2">
        <v>1</v>
      </c>
      <c r="L46" s="2"/>
      <c r="M46" s="2"/>
      <c r="N46" s="2"/>
      <c r="O46" s="2">
        <f t="shared" si="21"/>
        <v>6356.26</v>
      </c>
      <c r="P46" s="2">
        <f t="shared" si="63"/>
        <v>6356.26</v>
      </c>
      <c r="Q46" s="2">
        <f>(ROUND((ROUND(((ET46)*AV46*I46),2)*BB46),2)+ROUND((ROUND(((AE46-(EU46))*AV46*I46),2)*BS46),2))</f>
        <v>0</v>
      </c>
      <c r="R46" s="2">
        <f t="shared" si="22"/>
        <v>0</v>
      </c>
      <c r="S46" s="2">
        <f t="shared" si="23"/>
        <v>0</v>
      </c>
      <c r="T46" s="2">
        <f t="shared" si="24"/>
        <v>0</v>
      </c>
      <c r="U46" s="2">
        <f t="shared" si="25"/>
        <v>0</v>
      </c>
      <c r="V46" s="2">
        <f t="shared" si="26"/>
        <v>0</v>
      </c>
      <c r="W46" s="2">
        <f t="shared" si="27"/>
        <v>0</v>
      </c>
      <c r="X46" s="2">
        <f t="shared" si="28"/>
        <v>0</v>
      </c>
      <c r="Y46" s="2">
        <f t="shared" si="29"/>
        <v>0</v>
      </c>
      <c r="Z46" s="2"/>
      <c r="AA46" s="2">
        <v>59214062</v>
      </c>
      <c r="AB46" s="2">
        <f t="shared" si="30"/>
        <v>3178.13</v>
      </c>
      <c r="AC46" s="2">
        <f t="shared" si="52"/>
        <v>3178.13</v>
      </c>
      <c r="AD46" s="2">
        <f>ROUND((((ET46)-(EU46))+AE46),6)</f>
        <v>0</v>
      </c>
      <c r="AE46" s="2">
        <f t="shared" ref="AE46:AF49" si="65">ROUND((EU46),6)</f>
        <v>0</v>
      </c>
      <c r="AF46" s="2">
        <f t="shared" si="65"/>
        <v>0</v>
      </c>
      <c r="AG46" s="2">
        <f t="shared" si="31"/>
        <v>0</v>
      </c>
      <c r="AH46" s="2">
        <f t="shared" ref="AH46:AI49" si="66">(EW46)</f>
        <v>0</v>
      </c>
      <c r="AI46" s="2">
        <f t="shared" si="66"/>
        <v>0</v>
      </c>
      <c r="AJ46" s="2">
        <f t="shared" si="32"/>
        <v>0</v>
      </c>
      <c r="AK46" s="2">
        <v>3178.13</v>
      </c>
      <c r="AL46" s="2">
        <v>3178.13</v>
      </c>
      <c r="AM46" s="2">
        <v>0</v>
      </c>
      <c r="AN46" s="2">
        <v>0</v>
      </c>
      <c r="AO46" s="2">
        <v>0</v>
      </c>
      <c r="AP46" s="2">
        <v>0</v>
      </c>
      <c r="AQ46" s="2">
        <v>0</v>
      </c>
      <c r="AR46" s="2">
        <v>0</v>
      </c>
      <c r="AS46" s="2">
        <v>0</v>
      </c>
      <c r="AT46" s="2">
        <v>110</v>
      </c>
      <c r="AU46" s="2">
        <v>73</v>
      </c>
      <c r="AV46" s="2">
        <v>1</v>
      </c>
      <c r="AW46" s="2">
        <v>1</v>
      </c>
      <c r="AX46" s="2"/>
      <c r="AY46" s="2"/>
      <c r="AZ46" s="2">
        <v>1</v>
      </c>
      <c r="BA46" s="2">
        <v>1</v>
      </c>
      <c r="BB46" s="2">
        <v>1</v>
      </c>
      <c r="BC46" s="2">
        <v>1</v>
      </c>
      <c r="BD46" s="2" t="s">
        <v>3</v>
      </c>
      <c r="BE46" s="2" t="s">
        <v>3</v>
      </c>
      <c r="BF46" s="2" t="s">
        <v>3</v>
      </c>
      <c r="BG46" s="2" t="s">
        <v>3</v>
      </c>
      <c r="BH46" s="2">
        <v>3</v>
      </c>
      <c r="BI46" s="2">
        <v>1</v>
      </c>
      <c r="BJ46" s="2" t="s">
        <v>3</v>
      </c>
      <c r="BK46" s="2"/>
      <c r="BL46" s="2"/>
      <c r="BM46" s="2">
        <v>10</v>
      </c>
      <c r="BN46" s="2">
        <v>0</v>
      </c>
      <c r="BO46" s="2" t="s">
        <v>3</v>
      </c>
      <c r="BP46" s="2">
        <v>0</v>
      </c>
      <c r="BQ46" s="2">
        <v>30</v>
      </c>
      <c r="BR46" s="2">
        <v>0</v>
      </c>
      <c r="BS46" s="2">
        <v>1</v>
      </c>
      <c r="BT46" s="2">
        <v>1</v>
      </c>
      <c r="BU46" s="2">
        <v>1</v>
      </c>
      <c r="BV46" s="2">
        <v>1</v>
      </c>
      <c r="BW46" s="2">
        <v>1</v>
      </c>
      <c r="BX46" s="2">
        <v>1</v>
      </c>
      <c r="BY46" s="2" t="s">
        <v>3</v>
      </c>
      <c r="BZ46" s="2">
        <v>110</v>
      </c>
      <c r="CA46" s="2">
        <v>73</v>
      </c>
      <c r="CB46" s="2" t="s">
        <v>3</v>
      </c>
      <c r="CC46" s="2"/>
      <c r="CD46" s="2"/>
      <c r="CE46" s="2">
        <v>30</v>
      </c>
      <c r="CF46" s="2">
        <v>0</v>
      </c>
      <c r="CG46" s="2">
        <v>0</v>
      </c>
      <c r="CH46" s="2"/>
      <c r="CI46" s="2"/>
      <c r="CJ46" s="2"/>
      <c r="CK46" s="2"/>
      <c r="CL46" s="2"/>
      <c r="CM46" s="2">
        <v>0</v>
      </c>
      <c r="CN46" s="2" t="s">
        <v>3</v>
      </c>
      <c r="CO46" s="2">
        <v>0</v>
      </c>
      <c r="CP46" s="2">
        <f t="shared" si="33"/>
        <v>6356.26</v>
      </c>
      <c r="CQ46" s="2">
        <f t="shared" si="64"/>
        <v>3178.13</v>
      </c>
      <c r="CR46" s="2">
        <f>(ROUND((ROUND(((ET46)*AV46*1),2)*BB46),2)+ROUND((ROUND(((AE46-(EU46))*AV46*1),2)*BS46),2))</f>
        <v>0</v>
      </c>
      <c r="CS46" s="2">
        <f t="shared" si="34"/>
        <v>0</v>
      </c>
      <c r="CT46" s="2">
        <f t="shared" si="35"/>
        <v>0</v>
      </c>
      <c r="CU46" s="2">
        <f t="shared" si="36"/>
        <v>0</v>
      </c>
      <c r="CV46" s="2">
        <f t="shared" si="37"/>
        <v>0</v>
      </c>
      <c r="CW46" s="2">
        <f t="shared" si="38"/>
        <v>0</v>
      </c>
      <c r="CX46" s="2">
        <f t="shared" si="39"/>
        <v>0</v>
      </c>
      <c r="CY46" s="2">
        <f t="shared" si="40"/>
        <v>0</v>
      </c>
      <c r="CZ46" s="2">
        <f t="shared" si="41"/>
        <v>0</v>
      </c>
      <c r="DA46" s="2"/>
      <c r="DB46" s="2"/>
      <c r="DC46" s="2" t="s">
        <v>3</v>
      </c>
      <c r="DD46" s="2" t="s">
        <v>3</v>
      </c>
      <c r="DE46" s="2" t="s">
        <v>3</v>
      </c>
      <c r="DF46" s="2" t="s">
        <v>3</v>
      </c>
      <c r="DG46" s="2" t="s">
        <v>3</v>
      </c>
      <c r="DH46" s="2" t="s">
        <v>3</v>
      </c>
      <c r="DI46" s="2" t="s">
        <v>3</v>
      </c>
      <c r="DJ46" s="2" t="s">
        <v>3</v>
      </c>
      <c r="DK46" s="2" t="s">
        <v>3</v>
      </c>
      <c r="DL46" s="2" t="s">
        <v>3</v>
      </c>
      <c r="DM46" s="2" t="s">
        <v>3</v>
      </c>
      <c r="DN46" s="2">
        <v>0</v>
      </c>
      <c r="DO46" s="2">
        <v>0</v>
      </c>
      <c r="DP46" s="2">
        <v>1</v>
      </c>
      <c r="DQ46" s="2">
        <v>1</v>
      </c>
      <c r="DR46" s="2"/>
      <c r="DS46" s="2"/>
      <c r="DT46" s="2"/>
      <c r="DU46" s="2">
        <v>1013</v>
      </c>
      <c r="DV46" s="2" t="s">
        <v>76</v>
      </c>
      <c r="DW46" s="2" t="s">
        <v>76</v>
      </c>
      <c r="DX46" s="2">
        <v>1</v>
      </c>
      <c r="DY46" s="2"/>
      <c r="DZ46" s="2" t="s">
        <v>3</v>
      </c>
      <c r="EA46" s="2" t="s">
        <v>3</v>
      </c>
      <c r="EB46" s="2" t="s">
        <v>3</v>
      </c>
      <c r="EC46" s="2" t="s">
        <v>3</v>
      </c>
      <c r="ED46" s="2"/>
      <c r="EE46" s="2">
        <v>58808119</v>
      </c>
      <c r="EF46" s="2">
        <v>30</v>
      </c>
      <c r="EG46" s="2" t="s">
        <v>58</v>
      </c>
      <c r="EH46" s="2">
        <v>0</v>
      </c>
      <c r="EI46" s="2" t="s">
        <v>3</v>
      </c>
      <c r="EJ46" s="2">
        <v>1</v>
      </c>
      <c r="EK46" s="2">
        <v>10</v>
      </c>
      <c r="EL46" s="2" t="s">
        <v>71</v>
      </c>
      <c r="EM46" s="2" t="s">
        <v>72</v>
      </c>
      <c r="EN46" s="2"/>
      <c r="EO46" s="2" t="s">
        <v>3</v>
      </c>
      <c r="EP46" s="2"/>
      <c r="EQ46" s="2">
        <v>0</v>
      </c>
      <c r="ER46" s="2">
        <v>0</v>
      </c>
      <c r="ES46" s="2">
        <v>3178.13</v>
      </c>
      <c r="ET46" s="2">
        <v>0</v>
      </c>
      <c r="EU46" s="2">
        <v>0</v>
      </c>
      <c r="EV46" s="2">
        <v>0</v>
      </c>
      <c r="EW46" s="2">
        <v>0</v>
      </c>
      <c r="EX46" s="2">
        <v>0</v>
      </c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>
        <v>0</v>
      </c>
      <c r="FR46" s="2">
        <v>0</v>
      </c>
      <c r="FS46" s="2">
        <v>0</v>
      </c>
      <c r="FT46" s="2"/>
      <c r="FU46" s="2"/>
      <c r="FV46" s="2"/>
      <c r="FW46" s="2"/>
      <c r="FX46" s="2">
        <v>110</v>
      </c>
      <c r="FY46" s="2">
        <v>73</v>
      </c>
      <c r="FZ46" s="2"/>
      <c r="GA46" s="2" t="s">
        <v>77</v>
      </c>
      <c r="GB46" s="2"/>
      <c r="GC46" s="2"/>
      <c r="GD46" s="2">
        <v>1</v>
      </c>
      <c r="GE46" s="2"/>
      <c r="GF46" s="2">
        <v>1742101416</v>
      </c>
      <c r="GG46" s="2">
        <v>2</v>
      </c>
      <c r="GH46" s="2">
        <v>4</v>
      </c>
      <c r="GI46" s="2">
        <v>-2</v>
      </c>
      <c r="GJ46" s="2">
        <v>0</v>
      </c>
      <c r="GK46" s="2">
        <v>0</v>
      </c>
      <c r="GL46" s="2">
        <f t="shared" si="42"/>
        <v>0</v>
      </c>
      <c r="GM46" s="2">
        <f t="shared" si="43"/>
        <v>6356.26</v>
      </c>
      <c r="GN46" s="2">
        <f t="shared" si="44"/>
        <v>6356.26</v>
      </c>
      <c r="GO46" s="2">
        <f t="shared" si="45"/>
        <v>0</v>
      </c>
      <c r="GP46" s="2">
        <f t="shared" si="46"/>
        <v>0</v>
      </c>
      <c r="GQ46" s="2"/>
      <c r="GR46" s="2">
        <v>0</v>
      </c>
      <c r="GS46" s="2">
        <v>2</v>
      </c>
      <c r="GT46" s="2">
        <v>0</v>
      </c>
      <c r="GU46" s="2" t="s">
        <v>3</v>
      </c>
      <c r="GV46" s="2">
        <f t="shared" si="47"/>
        <v>0</v>
      </c>
      <c r="GW46" s="2">
        <v>1</v>
      </c>
      <c r="GX46" s="2">
        <f t="shared" si="48"/>
        <v>0</v>
      </c>
      <c r="GY46" s="2"/>
      <c r="GZ46" s="2"/>
      <c r="HA46" s="2">
        <v>0</v>
      </c>
      <c r="HB46" s="2">
        <v>0</v>
      </c>
      <c r="HC46" s="2">
        <f t="shared" si="49"/>
        <v>0</v>
      </c>
      <c r="HD46" s="2"/>
      <c r="HE46" s="2" t="s">
        <v>78</v>
      </c>
      <c r="HF46" s="2" t="s">
        <v>31</v>
      </c>
      <c r="HG46" s="2"/>
      <c r="HH46" s="2"/>
      <c r="HI46" s="2"/>
      <c r="HJ46" s="2"/>
      <c r="HK46" s="2"/>
      <c r="HL46" s="2"/>
      <c r="HM46" s="2" t="s">
        <v>3</v>
      </c>
      <c r="HN46" s="2" t="s">
        <v>3</v>
      </c>
      <c r="HO46" s="2" t="s">
        <v>3</v>
      </c>
      <c r="HP46" s="2" t="s">
        <v>3</v>
      </c>
      <c r="HQ46" s="2" t="s">
        <v>3</v>
      </c>
      <c r="HR46" s="2"/>
      <c r="HS46" s="2">
        <v>0</v>
      </c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>
        <v>0</v>
      </c>
      <c r="IL46" s="2"/>
      <c r="IM46" s="2"/>
      <c r="IN46" s="2"/>
      <c r="IO46" s="2"/>
      <c r="IP46" s="2"/>
      <c r="IQ46" s="2"/>
      <c r="IR46" s="2"/>
      <c r="IS46" s="2"/>
      <c r="IT46" s="2"/>
      <c r="IU46" s="2"/>
    </row>
    <row r="47" spans="1:255" x14ac:dyDescent="0.2">
      <c r="A47">
        <v>18</v>
      </c>
      <c r="B47">
        <v>1</v>
      </c>
      <c r="C47">
        <v>23</v>
      </c>
      <c r="E47" t="s">
        <v>73</v>
      </c>
      <c r="F47" t="s">
        <v>74</v>
      </c>
      <c r="G47" t="s">
        <v>75</v>
      </c>
      <c r="H47" t="s">
        <v>76</v>
      </c>
      <c r="I47">
        <f>I45*J47</f>
        <v>2</v>
      </c>
      <c r="J47">
        <v>100</v>
      </c>
      <c r="K47">
        <v>1</v>
      </c>
      <c r="O47">
        <f t="shared" si="21"/>
        <v>62799.85</v>
      </c>
      <c r="P47">
        <f t="shared" si="63"/>
        <v>62799.85</v>
      </c>
      <c r="Q47">
        <f>(ROUND((ROUND(((ET47)*AV47*I47),2)*BB47),2)+ROUND((ROUND(((AE47-(EU47))*AV47*I47),2)*BS47),2))</f>
        <v>0</v>
      </c>
      <c r="R47">
        <f t="shared" si="22"/>
        <v>0</v>
      </c>
      <c r="S47">
        <f t="shared" si="23"/>
        <v>0</v>
      </c>
      <c r="T47">
        <f t="shared" si="24"/>
        <v>0</v>
      </c>
      <c r="U47">
        <f t="shared" si="25"/>
        <v>0</v>
      </c>
      <c r="V47">
        <f t="shared" si="26"/>
        <v>0</v>
      </c>
      <c r="W47">
        <f t="shared" si="27"/>
        <v>0</v>
      </c>
      <c r="X47">
        <f t="shared" si="28"/>
        <v>0</v>
      </c>
      <c r="Y47">
        <f t="shared" si="29"/>
        <v>0</v>
      </c>
      <c r="AA47">
        <v>59214059</v>
      </c>
      <c r="AB47">
        <f t="shared" si="30"/>
        <v>3178.13</v>
      </c>
      <c r="AC47">
        <f t="shared" si="52"/>
        <v>3178.13</v>
      </c>
      <c r="AD47">
        <f>ROUND((((ET47)-(EU47))+AE47),6)</f>
        <v>0</v>
      </c>
      <c r="AE47">
        <f t="shared" si="65"/>
        <v>0</v>
      </c>
      <c r="AF47">
        <f t="shared" si="65"/>
        <v>0</v>
      </c>
      <c r="AG47">
        <f t="shared" si="31"/>
        <v>0</v>
      </c>
      <c r="AH47">
        <f t="shared" si="66"/>
        <v>0</v>
      </c>
      <c r="AI47">
        <f t="shared" si="66"/>
        <v>0</v>
      </c>
      <c r="AJ47">
        <f t="shared" si="32"/>
        <v>0</v>
      </c>
      <c r="AK47">
        <v>3178.13</v>
      </c>
      <c r="AL47">
        <v>3178.13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110</v>
      </c>
      <c r="AU47">
        <v>73</v>
      </c>
      <c r="AV47">
        <v>1</v>
      </c>
      <c r="AW47">
        <v>1</v>
      </c>
      <c r="AZ47">
        <v>1</v>
      </c>
      <c r="BA47">
        <v>1</v>
      </c>
      <c r="BB47">
        <v>1</v>
      </c>
      <c r="BC47">
        <v>9.8800000000000008</v>
      </c>
      <c r="BD47" t="s">
        <v>3</v>
      </c>
      <c r="BE47" t="s">
        <v>3</v>
      </c>
      <c r="BF47" t="s">
        <v>3</v>
      </c>
      <c r="BG47" t="s">
        <v>3</v>
      </c>
      <c r="BH47">
        <v>3</v>
      </c>
      <c r="BI47">
        <v>1</v>
      </c>
      <c r="BJ47" t="s">
        <v>3</v>
      </c>
      <c r="BM47">
        <v>10</v>
      </c>
      <c r="BN47">
        <v>0</v>
      </c>
      <c r="BO47" t="s">
        <v>3</v>
      </c>
      <c r="BP47">
        <v>0</v>
      </c>
      <c r="BQ47">
        <v>30</v>
      </c>
      <c r="BR47">
        <v>0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 t="s">
        <v>3</v>
      </c>
      <c r="BZ47">
        <v>110</v>
      </c>
      <c r="CA47">
        <v>73</v>
      </c>
      <c r="CB47" t="s">
        <v>3</v>
      </c>
      <c r="CE47">
        <v>30</v>
      </c>
      <c r="CF47">
        <v>0</v>
      </c>
      <c r="CG47">
        <v>0</v>
      </c>
      <c r="CM47">
        <v>0</v>
      </c>
      <c r="CN47" t="s">
        <v>3</v>
      </c>
      <c r="CO47">
        <v>0</v>
      </c>
      <c r="CP47">
        <f t="shared" si="33"/>
        <v>62799.85</v>
      </c>
      <c r="CQ47">
        <f t="shared" si="64"/>
        <v>31399.919999999998</v>
      </c>
      <c r="CR47">
        <f>(ROUND((ROUND(((ET47)*AV47*1),2)*BB47),2)+ROUND((ROUND(((AE47-(EU47))*AV47*1),2)*BS47),2))</f>
        <v>0</v>
      </c>
      <c r="CS47">
        <f t="shared" si="34"/>
        <v>0</v>
      </c>
      <c r="CT47">
        <f t="shared" si="35"/>
        <v>0</v>
      </c>
      <c r="CU47">
        <f t="shared" si="36"/>
        <v>0</v>
      </c>
      <c r="CV47">
        <f t="shared" si="37"/>
        <v>0</v>
      </c>
      <c r="CW47">
        <f t="shared" si="38"/>
        <v>0</v>
      </c>
      <c r="CX47">
        <f t="shared" si="39"/>
        <v>0</v>
      </c>
      <c r="CY47">
        <f t="shared" si="40"/>
        <v>0</v>
      </c>
      <c r="CZ47">
        <f t="shared" si="41"/>
        <v>0</v>
      </c>
      <c r="DC47" t="s">
        <v>3</v>
      </c>
      <c r="DD47" t="s">
        <v>3</v>
      </c>
      <c r="DE47" t="s">
        <v>3</v>
      </c>
      <c r="DF47" t="s">
        <v>3</v>
      </c>
      <c r="DG47" t="s">
        <v>3</v>
      </c>
      <c r="DH47" t="s">
        <v>3</v>
      </c>
      <c r="DI47" t="s">
        <v>3</v>
      </c>
      <c r="DJ47" t="s">
        <v>3</v>
      </c>
      <c r="DK47" t="s">
        <v>3</v>
      </c>
      <c r="DL47" t="s">
        <v>3</v>
      </c>
      <c r="DM47" t="s">
        <v>3</v>
      </c>
      <c r="DN47">
        <v>0</v>
      </c>
      <c r="DO47">
        <v>0</v>
      </c>
      <c r="DP47">
        <v>1</v>
      </c>
      <c r="DQ47">
        <v>1</v>
      </c>
      <c r="DU47">
        <v>1013</v>
      </c>
      <c r="DV47" t="s">
        <v>76</v>
      </c>
      <c r="DW47" t="s">
        <v>76</v>
      </c>
      <c r="DX47">
        <v>1</v>
      </c>
      <c r="DZ47" t="s">
        <v>3</v>
      </c>
      <c r="EA47" t="s">
        <v>3</v>
      </c>
      <c r="EB47" t="s">
        <v>3</v>
      </c>
      <c r="EC47" t="s">
        <v>3</v>
      </c>
      <c r="EE47">
        <v>58808119</v>
      </c>
      <c r="EF47">
        <v>30</v>
      </c>
      <c r="EG47" t="s">
        <v>58</v>
      </c>
      <c r="EH47">
        <v>0</v>
      </c>
      <c r="EI47" t="s">
        <v>3</v>
      </c>
      <c r="EJ47">
        <v>1</v>
      </c>
      <c r="EK47">
        <v>10</v>
      </c>
      <c r="EL47" t="s">
        <v>71</v>
      </c>
      <c r="EM47" t="s">
        <v>72</v>
      </c>
      <c r="EO47" t="s">
        <v>3</v>
      </c>
      <c r="EQ47">
        <v>0</v>
      </c>
      <c r="ER47">
        <v>3178.13</v>
      </c>
      <c r="ES47">
        <v>3178.13</v>
      </c>
      <c r="ET47">
        <v>0</v>
      </c>
      <c r="EU47">
        <v>0</v>
      </c>
      <c r="EV47">
        <v>0</v>
      </c>
      <c r="EW47">
        <v>0</v>
      </c>
      <c r="EX47">
        <v>0</v>
      </c>
      <c r="EZ47">
        <v>5</v>
      </c>
      <c r="FC47">
        <v>1</v>
      </c>
      <c r="FD47">
        <v>18</v>
      </c>
      <c r="FF47">
        <v>36941</v>
      </c>
      <c r="FQ47">
        <v>0</v>
      </c>
      <c r="FR47">
        <v>0</v>
      </c>
      <c r="FS47">
        <v>0</v>
      </c>
      <c r="FX47">
        <v>110</v>
      </c>
      <c r="FY47">
        <v>73</v>
      </c>
      <c r="GA47" t="s">
        <v>77</v>
      </c>
      <c r="GD47">
        <v>1</v>
      </c>
      <c r="GF47">
        <v>1742101416</v>
      </c>
      <c r="GG47">
        <v>2</v>
      </c>
      <c r="GH47">
        <v>3</v>
      </c>
      <c r="GI47">
        <v>5</v>
      </c>
      <c r="GJ47">
        <v>0</v>
      </c>
      <c r="GK47">
        <v>0</v>
      </c>
      <c r="GL47">
        <f t="shared" si="42"/>
        <v>0</v>
      </c>
      <c r="GM47">
        <f t="shared" si="43"/>
        <v>62799.85</v>
      </c>
      <c r="GN47">
        <f t="shared" si="44"/>
        <v>62799.85</v>
      </c>
      <c r="GO47">
        <f t="shared" si="45"/>
        <v>0</v>
      </c>
      <c r="GP47">
        <f t="shared" si="46"/>
        <v>0</v>
      </c>
      <c r="GR47">
        <v>1</v>
      </c>
      <c r="GS47">
        <v>1</v>
      </c>
      <c r="GT47">
        <v>0</v>
      </c>
      <c r="GU47" t="s">
        <v>3</v>
      </c>
      <c r="GV47">
        <f t="shared" si="47"/>
        <v>0</v>
      </c>
      <c r="GW47">
        <v>1</v>
      </c>
      <c r="GX47">
        <f t="shared" si="48"/>
        <v>0</v>
      </c>
      <c r="HA47">
        <v>0</v>
      </c>
      <c r="HB47">
        <v>0</v>
      </c>
      <c r="HC47">
        <f t="shared" si="49"/>
        <v>0</v>
      </c>
      <c r="HE47" t="s">
        <v>78</v>
      </c>
      <c r="HF47" t="s">
        <v>31</v>
      </c>
      <c r="HM47" t="s">
        <v>3</v>
      </c>
      <c r="HN47" t="s">
        <v>3</v>
      </c>
      <c r="HO47" t="s">
        <v>3</v>
      </c>
      <c r="HP47" t="s">
        <v>3</v>
      </c>
      <c r="HQ47" t="s">
        <v>3</v>
      </c>
      <c r="HS47">
        <v>0</v>
      </c>
      <c r="IK47">
        <v>0</v>
      </c>
    </row>
    <row r="48" spans="1:255" x14ac:dyDescent="0.2">
      <c r="A48" s="2">
        <v>18</v>
      </c>
      <c r="B48" s="2">
        <v>1</v>
      </c>
      <c r="C48" s="2">
        <v>19</v>
      </c>
      <c r="D48" s="2"/>
      <c r="E48" s="2" t="s">
        <v>79</v>
      </c>
      <c r="F48" s="2" t="s">
        <v>80</v>
      </c>
      <c r="G48" s="2" t="s">
        <v>81</v>
      </c>
      <c r="H48" s="2" t="s">
        <v>34</v>
      </c>
      <c r="I48" s="2">
        <f>I44*J48</f>
        <v>2</v>
      </c>
      <c r="J48" s="2">
        <v>100</v>
      </c>
      <c r="K48" s="2">
        <v>1</v>
      </c>
      <c r="L48" s="2"/>
      <c r="M48" s="2"/>
      <c r="N48" s="2"/>
      <c r="O48" s="2">
        <f t="shared" si="21"/>
        <v>19918.96</v>
      </c>
      <c r="P48" s="2">
        <f t="shared" si="63"/>
        <v>19918.96</v>
      </c>
      <c r="Q48" s="2">
        <f>(ROUND((ROUND(((ET48)*AV48*I48),2)*BB48),2)+ROUND((ROUND(((AE48-(EU48))*AV48*I48),2)*BS48),2))</f>
        <v>0</v>
      </c>
      <c r="R48" s="2">
        <f t="shared" si="22"/>
        <v>0</v>
      </c>
      <c r="S48" s="2">
        <f t="shared" si="23"/>
        <v>0</v>
      </c>
      <c r="T48" s="2">
        <f t="shared" si="24"/>
        <v>0</v>
      </c>
      <c r="U48" s="2">
        <f t="shared" si="25"/>
        <v>0</v>
      </c>
      <c r="V48" s="2">
        <f t="shared" si="26"/>
        <v>0</v>
      </c>
      <c r="W48" s="2">
        <f t="shared" si="27"/>
        <v>0</v>
      </c>
      <c r="X48" s="2">
        <f t="shared" si="28"/>
        <v>0</v>
      </c>
      <c r="Y48" s="2">
        <f t="shared" si="29"/>
        <v>0</v>
      </c>
      <c r="Z48" s="2"/>
      <c r="AA48" s="2">
        <v>59214062</v>
      </c>
      <c r="AB48" s="2">
        <f t="shared" si="30"/>
        <v>9959.48</v>
      </c>
      <c r="AC48" s="2">
        <f t="shared" si="52"/>
        <v>9959.48</v>
      </c>
      <c r="AD48" s="2">
        <f>ROUND((((ET48)-(EU48))+AE48),6)</f>
        <v>0</v>
      </c>
      <c r="AE48" s="2">
        <f t="shared" si="65"/>
        <v>0</v>
      </c>
      <c r="AF48" s="2">
        <f t="shared" si="65"/>
        <v>0</v>
      </c>
      <c r="AG48" s="2">
        <f t="shared" si="31"/>
        <v>0</v>
      </c>
      <c r="AH48" s="2">
        <f t="shared" si="66"/>
        <v>0</v>
      </c>
      <c r="AI48" s="2">
        <f t="shared" si="66"/>
        <v>0</v>
      </c>
      <c r="AJ48" s="2">
        <f t="shared" si="32"/>
        <v>0</v>
      </c>
      <c r="AK48" s="2">
        <v>9959.4800000000014</v>
      </c>
      <c r="AL48" s="2">
        <v>9959.4800000000014</v>
      </c>
      <c r="AM48" s="2">
        <v>0</v>
      </c>
      <c r="AN48" s="2">
        <v>0</v>
      </c>
      <c r="AO48" s="2">
        <v>0</v>
      </c>
      <c r="AP48" s="2">
        <v>0</v>
      </c>
      <c r="AQ48" s="2">
        <v>0</v>
      </c>
      <c r="AR48" s="2">
        <v>0</v>
      </c>
      <c r="AS48" s="2">
        <v>0</v>
      </c>
      <c r="AT48" s="2">
        <v>110</v>
      </c>
      <c r="AU48" s="2">
        <v>73</v>
      </c>
      <c r="AV48" s="2">
        <v>1</v>
      </c>
      <c r="AW48" s="2">
        <v>1</v>
      </c>
      <c r="AX48" s="2"/>
      <c r="AY48" s="2"/>
      <c r="AZ48" s="2">
        <v>1</v>
      </c>
      <c r="BA48" s="2">
        <v>1</v>
      </c>
      <c r="BB48" s="2">
        <v>1</v>
      </c>
      <c r="BC48" s="2">
        <v>1</v>
      </c>
      <c r="BD48" s="2" t="s">
        <v>3</v>
      </c>
      <c r="BE48" s="2" t="s">
        <v>3</v>
      </c>
      <c r="BF48" s="2" t="s">
        <v>3</v>
      </c>
      <c r="BG48" s="2" t="s">
        <v>3</v>
      </c>
      <c r="BH48" s="2">
        <v>3</v>
      </c>
      <c r="BI48" s="2">
        <v>1</v>
      </c>
      <c r="BJ48" s="2" t="s">
        <v>3</v>
      </c>
      <c r="BK48" s="2"/>
      <c r="BL48" s="2"/>
      <c r="BM48" s="2">
        <v>10</v>
      </c>
      <c r="BN48" s="2">
        <v>0</v>
      </c>
      <c r="BO48" s="2" t="s">
        <v>3</v>
      </c>
      <c r="BP48" s="2">
        <v>0</v>
      </c>
      <c r="BQ48" s="2">
        <v>30</v>
      </c>
      <c r="BR48" s="2">
        <v>0</v>
      </c>
      <c r="BS48" s="2">
        <v>1</v>
      </c>
      <c r="BT48" s="2">
        <v>1</v>
      </c>
      <c r="BU48" s="2">
        <v>1</v>
      </c>
      <c r="BV48" s="2">
        <v>1</v>
      </c>
      <c r="BW48" s="2">
        <v>1</v>
      </c>
      <c r="BX48" s="2">
        <v>1</v>
      </c>
      <c r="BY48" s="2" t="s">
        <v>3</v>
      </c>
      <c r="BZ48" s="2">
        <v>110</v>
      </c>
      <c r="CA48" s="2">
        <v>73</v>
      </c>
      <c r="CB48" s="2" t="s">
        <v>3</v>
      </c>
      <c r="CC48" s="2"/>
      <c r="CD48" s="2"/>
      <c r="CE48" s="2">
        <v>30</v>
      </c>
      <c r="CF48" s="2">
        <v>0</v>
      </c>
      <c r="CG48" s="2">
        <v>0</v>
      </c>
      <c r="CH48" s="2"/>
      <c r="CI48" s="2"/>
      <c r="CJ48" s="2"/>
      <c r="CK48" s="2"/>
      <c r="CL48" s="2"/>
      <c r="CM48" s="2">
        <v>0</v>
      </c>
      <c r="CN48" s="2" t="s">
        <v>3</v>
      </c>
      <c r="CO48" s="2">
        <v>0</v>
      </c>
      <c r="CP48" s="2">
        <f t="shared" si="33"/>
        <v>19918.96</v>
      </c>
      <c r="CQ48" s="2">
        <f t="shared" si="64"/>
        <v>9959.48</v>
      </c>
      <c r="CR48" s="2">
        <f>(ROUND((ROUND(((ET48)*AV48*1),2)*BB48),2)+ROUND((ROUND(((AE48-(EU48))*AV48*1),2)*BS48),2))</f>
        <v>0</v>
      </c>
      <c r="CS48" s="2">
        <f t="shared" si="34"/>
        <v>0</v>
      </c>
      <c r="CT48" s="2">
        <f t="shared" si="35"/>
        <v>0</v>
      </c>
      <c r="CU48" s="2">
        <f t="shared" si="36"/>
        <v>0</v>
      </c>
      <c r="CV48" s="2">
        <f t="shared" si="37"/>
        <v>0</v>
      </c>
      <c r="CW48" s="2">
        <f t="shared" si="38"/>
        <v>0</v>
      </c>
      <c r="CX48" s="2">
        <f t="shared" si="39"/>
        <v>0</v>
      </c>
      <c r="CY48" s="2">
        <f t="shared" si="40"/>
        <v>0</v>
      </c>
      <c r="CZ48" s="2">
        <f t="shared" si="41"/>
        <v>0</v>
      </c>
      <c r="DA48" s="2"/>
      <c r="DB48" s="2"/>
      <c r="DC48" s="2" t="s">
        <v>3</v>
      </c>
      <c r="DD48" s="2" t="s">
        <v>3</v>
      </c>
      <c r="DE48" s="2" t="s">
        <v>3</v>
      </c>
      <c r="DF48" s="2" t="s">
        <v>3</v>
      </c>
      <c r="DG48" s="2" t="s">
        <v>3</v>
      </c>
      <c r="DH48" s="2" t="s">
        <v>3</v>
      </c>
      <c r="DI48" s="2" t="s">
        <v>3</v>
      </c>
      <c r="DJ48" s="2" t="s">
        <v>3</v>
      </c>
      <c r="DK48" s="2" t="s">
        <v>3</v>
      </c>
      <c r="DL48" s="2" t="s">
        <v>3</v>
      </c>
      <c r="DM48" s="2" t="s">
        <v>3</v>
      </c>
      <c r="DN48" s="2">
        <v>0</v>
      </c>
      <c r="DO48" s="2">
        <v>0</v>
      </c>
      <c r="DP48" s="2">
        <v>1</v>
      </c>
      <c r="DQ48" s="2">
        <v>1</v>
      </c>
      <c r="DR48" s="2"/>
      <c r="DS48" s="2"/>
      <c r="DT48" s="2"/>
      <c r="DU48" s="2">
        <v>1010</v>
      </c>
      <c r="DV48" s="2" t="s">
        <v>34</v>
      </c>
      <c r="DW48" s="2" t="s">
        <v>34</v>
      </c>
      <c r="DX48" s="2">
        <v>1</v>
      </c>
      <c r="DY48" s="2"/>
      <c r="DZ48" s="2" t="s">
        <v>3</v>
      </c>
      <c r="EA48" s="2" t="s">
        <v>3</v>
      </c>
      <c r="EB48" s="2" t="s">
        <v>3</v>
      </c>
      <c r="EC48" s="2" t="s">
        <v>3</v>
      </c>
      <c r="ED48" s="2"/>
      <c r="EE48" s="2">
        <v>58808119</v>
      </c>
      <c r="EF48" s="2">
        <v>30</v>
      </c>
      <c r="EG48" s="2" t="s">
        <v>58</v>
      </c>
      <c r="EH48" s="2">
        <v>0</v>
      </c>
      <c r="EI48" s="2" t="s">
        <v>3</v>
      </c>
      <c r="EJ48" s="2">
        <v>1</v>
      </c>
      <c r="EK48" s="2">
        <v>10</v>
      </c>
      <c r="EL48" s="2" t="s">
        <v>71</v>
      </c>
      <c r="EM48" s="2" t="s">
        <v>72</v>
      </c>
      <c r="EN48" s="2"/>
      <c r="EO48" s="2" t="s">
        <v>3</v>
      </c>
      <c r="EP48" s="2"/>
      <c r="EQ48" s="2">
        <v>0</v>
      </c>
      <c r="ER48" s="2">
        <v>0</v>
      </c>
      <c r="ES48" s="2">
        <v>9959.4800000000014</v>
      </c>
      <c r="ET48" s="2">
        <v>0</v>
      </c>
      <c r="EU48" s="2">
        <v>0</v>
      </c>
      <c r="EV48" s="2">
        <v>0</v>
      </c>
      <c r="EW48" s="2">
        <v>0</v>
      </c>
      <c r="EX48" s="2">
        <v>0</v>
      </c>
      <c r="EY48" s="2"/>
      <c r="EZ48" s="2"/>
      <c r="FA48" s="2"/>
      <c r="FB48" s="2"/>
      <c r="FC48" s="2"/>
      <c r="FD48" s="2"/>
      <c r="FE48" s="2"/>
      <c r="FF48" s="2"/>
      <c r="FG48" s="2"/>
      <c r="FH48" s="2"/>
      <c r="FI48" s="2"/>
      <c r="FJ48" s="2"/>
      <c r="FK48" s="2"/>
      <c r="FL48" s="2"/>
      <c r="FM48" s="2"/>
      <c r="FN48" s="2"/>
      <c r="FO48" s="2"/>
      <c r="FP48" s="2"/>
      <c r="FQ48" s="2">
        <v>0</v>
      </c>
      <c r="FR48" s="2">
        <v>0</v>
      </c>
      <c r="FS48" s="2">
        <v>0</v>
      </c>
      <c r="FT48" s="2"/>
      <c r="FU48" s="2"/>
      <c r="FV48" s="2"/>
      <c r="FW48" s="2"/>
      <c r="FX48" s="2">
        <v>110</v>
      </c>
      <c r="FY48" s="2">
        <v>73</v>
      </c>
      <c r="FZ48" s="2"/>
      <c r="GA48" s="2" t="s">
        <v>82</v>
      </c>
      <c r="GB48" s="2"/>
      <c r="GC48" s="2"/>
      <c r="GD48" s="2">
        <v>1</v>
      </c>
      <c r="GE48" s="2"/>
      <c r="GF48" s="2">
        <v>-1584551560</v>
      </c>
      <c r="GG48" s="2">
        <v>2</v>
      </c>
      <c r="GH48" s="2">
        <v>4</v>
      </c>
      <c r="GI48" s="2">
        <v>-2</v>
      </c>
      <c r="GJ48" s="2">
        <v>0</v>
      </c>
      <c r="GK48" s="2">
        <v>0</v>
      </c>
      <c r="GL48" s="2">
        <f t="shared" si="42"/>
        <v>0</v>
      </c>
      <c r="GM48" s="2">
        <f t="shared" si="43"/>
        <v>19918.96</v>
      </c>
      <c r="GN48" s="2">
        <f t="shared" si="44"/>
        <v>19918.96</v>
      </c>
      <c r="GO48" s="2">
        <f t="shared" si="45"/>
        <v>0</v>
      </c>
      <c r="GP48" s="2">
        <f t="shared" si="46"/>
        <v>0</v>
      </c>
      <c r="GQ48" s="2"/>
      <c r="GR48" s="2">
        <v>0</v>
      </c>
      <c r="GS48" s="2">
        <v>2</v>
      </c>
      <c r="GT48" s="2">
        <v>0</v>
      </c>
      <c r="GU48" s="2" t="s">
        <v>3</v>
      </c>
      <c r="GV48" s="2">
        <f t="shared" si="47"/>
        <v>0</v>
      </c>
      <c r="GW48" s="2">
        <v>1</v>
      </c>
      <c r="GX48" s="2">
        <f t="shared" si="48"/>
        <v>0</v>
      </c>
      <c r="GY48" s="2"/>
      <c r="GZ48" s="2"/>
      <c r="HA48" s="2">
        <v>0</v>
      </c>
      <c r="HB48" s="2">
        <v>0</v>
      </c>
      <c r="HC48" s="2">
        <f t="shared" si="49"/>
        <v>0</v>
      </c>
      <c r="HD48" s="2"/>
      <c r="HE48" s="2" t="s">
        <v>78</v>
      </c>
      <c r="HF48" s="2" t="s">
        <v>31</v>
      </c>
      <c r="HG48" s="2"/>
      <c r="HH48" s="2"/>
      <c r="HI48" s="2"/>
      <c r="HJ48" s="2"/>
      <c r="HK48" s="2"/>
      <c r="HL48" s="2"/>
      <c r="HM48" s="2" t="s">
        <v>3</v>
      </c>
      <c r="HN48" s="2" t="s">
        <v>3</v>
      </c>
      <c r="HO48" s="2" t="s">
        <v>3</v>
      </c>
      <c r="HP48" s="2" t="s">
        <v>3</v>
      </c>
      <c r="HQ48" s="2" t="s">
        <v>3</v>
      </c>
      <c r="HR48" s="2"/>
      <c r="HS48" s="2">
        <v>0</v>
      </c>
      <c r="HT48" s="2"/>
      <c r="HU48" s="2"/>
      <c r="HV48" s="2"/>
      <c r="HW48" s="2"/>
      <c r="HX48" s="2"/>
      <c r="HY48" s="2"/>
      <c r="HZ48" s="2"/>
      <c r="IA48" s="2"/>
      <c r="IB48" s="2"/>
      <c r="IC48" s="2"/>
      <c r="ID48" s="2"/>
      <c r="IE48" s="2"/>
      <c r="IF48" s="2"/>
      <c r="IG48" s="2"/>
      <c r="IH48" s="2"/>
      <c r="II48" s="2"/>
      <c r="IJ48" s="2"/>
      <c r="IK48" s="2">
        <v>0</v>
      </c>
      <c r="IL48" s="2"/>
      <c r="IM48" s="2"/>
      <c r="IN48" s="2"/>
      <c r="IO48" s="2"/>
      <c r="IP48" s="2"/>
      <c r="IQ48" s="2"/>
      <c r="IR48" s="2"/>
      <c r="IS48" s="2"/>
      <c r="IT48" s="2"/>
      <c r="IU48" s="2"/>
    </row>
    <row r="49" spans="1:245" x14ac:dyDescent="0.2">
      <c r="A49">
        <v>18</v>
      </c>
      <c r="B49">
        <v>1</v>
      </c>
      <c r="C49">
        <v>24</v>
      </c>
      <c r="E49" t="s">
        <v>79</v>
      </c>
      <c r="F49" t="s">
        <v>80</v>
      </c>
      <c r="G49" t="s">
        <v>81</v>
      </c>
      <c r="H49" t="s">
        <v>34</v>
      </c>
      <c r="I49">
        <f>I45*J49</f>
        <v>2</v>
      </c>
      <c r="J49">
        <v>100</v>
      </c>
      <c r="K49">
        <v>1</v>
      </c>
      <c r="O49">
        <f t="shared" si="21"/>
        <v>196799.32</v>
      </c>
      <c r="P49">
        <f t="shared" si="63"/>
        <v>196799.32</v>
      </c>
      <c r="Q49">
        <f>(ROUND((ROUND(((ET49)*AV49*I49),2)*BB49),2)+ROUND((ROUND(((AE49-(EU49))*AV49*I49),2)*BS49),2))</f>
        <v>0</v>
      </c>
      <c r="R49">
        <f t="shared" si="22"/>
        <v>0</v>
      </c>
      <c r="S49">
        <f t="shared" si="23"/>
        <v>0</v>
      </c>
      <c r="T49">
        <f t="shared" si="24"/>
        <v>0</v>
      </c>
      <c r="U49">
        <f t="shared" si="25"/>
        <v>0</v>
      </c>
      <c r="V49">
        <f t="shared" si="26"/>
        <v>0</v>
      </c>
      <c r="W49">
        <f t="shared" si="27"/>
        <v>0</v>
      </c>
      <c r="X49">
        <f t="shared" si="28"/>
        <v>0</v>
      </c>
      <c r="Y49">
        <f t="shared" si="29"/>
        <v>0</v>
      </c>
      <c r="AA49">
        <v>59214059</v>
      </c>
      <c r="AB49">
        <f t="shared" si="30"/>
        <v>9959.48</v>
      </c>
      <c r="AC49">
        <f t="shared" si="52"/>
        <v>9959.48</v>
      </c>
      <c r="AD49">
        <f>ROUND((((ET49)-(EU49))+AE49),6)</f>
        <v>0</v>
      </c>
      <c r="AE49">
        <f t="shared" si="65"/>
        <v>0</v>
      </c>
      <c r="AF49">
        <f t="shared" si="65"/>
        <v>0</v>
      </c>
      <c r="AG49">
        <f t="shared" si="31"/>
        <v>0</v>
      </c>
      <c r="AH49">
        <f t="shared" si="66"/>
        <v>0</v>
      </c>
      <c r="AI49">
        <f t="shared" si="66"/>
        <v>0</v>
      </c>
      <c r="AJ49">
        <f t="shared" si="32"/>
        <v>0</v>
      </c>
      <c r="AK49">
        <v>9959.4800000000014</v>
      </c>
      <c r="AL49">
        <v>9959.4800000000014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110</v>
      </c>
      <c r="AU49">
        <v>73</v>
      </c>
      <c r="AV49">
        <v>1</v>
      </c>
      <c r="AW49">
        <v>1</v>
      </c>
      <c r="AZ49">
        <v>1</v>
      </c>
      <c r="BA49">
        <v>1</v>
      </c>
      <c r="BB49">
        <v>1</v>
      </c>
      <c r="BC49">
        <v>9.8800000000000008</v>
      </c>
      <c r="BD49" t="s">
        <v>3</v>
      </c>
      <c r="BE49" t="s">
        <v>3</v>
      </c>
      <c r="BF49" t="s">
        <v>3</v>
      </c>
      <c r="BG49" t="s">
        <v>3</v>
      </c>
      <c r="BH49">
        <v>3</v>
      </c>
      <c r="BI49">
        <v>1</v>
      </c>
      <c r="BJ49" t="s">
        <v>3</v>
      </c>
      <c r="BM49">
        <v>10</v>
      </c>
      <c r="BN49">
        <v>0</v>
      </c>
      <c r="BO49" t="s">
        <v>3</v>
      </c>
      <c r="BP49">
        <v>0</v>
      </c>
      <c r="BQ49">
        <v>30</v>
      </c>
      <c r="BR49">
        <v>0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 t="s">
        <v>3</v>
      </c>
      <c r="BZ49">
        <v>110</v>
      </c>
      <c r="CA49">
        <v>73</v>
      </c>
      <c r="CB49" t="s">
        <v>3</v>
      </c>
      <c r="CE49">
        <v>30</v>
      </c>
      <c r="CF49">
        <v>0</v>
      </c>
      <c r="CG49">
        <v>0</v>
      </c>
      <c r="CM49">
        <v>0</v>
      </c>
      <c r="CN49" t="s">
        <v>3</v>
      </c>
      <c r="CO49">
        <v>0</v>
      </c>
      <c r="CP49">
        <f t="shared" si="33"/>
        <v>196799.32</v>
      </c>
      <c r="CQ49">
        <f t="shared" si="64"/>
        <v>98399.66</v>
      </c>
      <c r="CR49">
        <f>(ROUND((ROUND(((ET49)*AV49*1),2)*BB49),2)+ROUND((ROUND(((AE49-(EU49))*AV49*1),2)*BS49),2))</f>
        <v>0</v>
      </c>
      <c r="CS49">
        <f t="shared" si="34"/>
        <v>0</v>
      </c>
      <c r="CT49">
        <f t="shared" si="35"/>
        <v>0</v>
      </c>
      <c r="CU49">
        <f t="shared" si="36"/>
        <v>0</v>
      </c>
      <c r="CV49">
        <f t="shared" si="37"/>
        <v>0</v>
      </c>
      <c r="CW49">
        <f t="shared" si="38"/>
        <v>0</v>
      </c>
      <c r="CX49">
        <f t="shared" si="39"/>
        <v>0</v>
      </c>
      <c r="CY49">
        <f t="shared" si="40"/>
        <v>0</v>
      </c>
      <c r="CZ49">
        <f t="shared" si="41"/>
        <v>0</v>
      </c>
      <c r="DC49" t="s">
        <v>3</v>
      </c>
      <c r="DD49" t="s">
        <v>3</v>
      </c>
      <c r="DE49" t="s">
        <v>3</v>
      </c>
      <c r="DF49" t="s">
        <v>3</v>
      </c>
      <c r="DG49" t="s">
        <v>3</v>
      </c>
      <c r="DH49" t="s">
        <v>3</v>
      </c>
      <c r="DI49" t="s">
        <v>3</v>
      </c>
      <c r="DJ49" t="s">
        <v>3</v>
      </c>
      <c r="DK49" t="s">
        <v>3</v>
      </c>
      <c r="DL49" t="s">
        <v>3</v>
      </c>
      <c r="DM49" t="s">
        <v>3</v>
      </c>
      <c r="DN49">
        <v>0</v>
      </c>
      <c r="DO49">
        <v>0</v>
      </c>
      <c r="DP49">
        <v>1</v>
      </c>
      <c r="DQ49">
        <v>1</v>
      </c>
      <c r="DU49">
        <v>1010</v>
      </c>
      <c r="DV49" t="s">
        <v>34</v>
      </c>
      <c r="DW49" t="s">
        <v>34</v>
      </c>
      <c r="DX49">
        <v>1</v>
      </c>
      <c r="DZ49" t="s">
        <v>3</v>
      </c>
      <c r="EA49" t="s">
        <v>3</v>
      </c>
      <c r="EB49" t="s">
        <v>3</v>
      </c>
      <c r="EC49" t="s">
        <v>3</v>
      </c>
      <c r="EE49">
        <v>58808119</v>
      </c>
      <c r="EF49">
        <v>30</v>
      </c>
      <c r="EG49" t="s">
        <v>58</v>
      </c>
      <c r="EH49">
        <v>0</v>
      </c>
      <c r="EI49" t="s">
        <v>3</v>
      </c>
      <c r="EJ49">
        <v>1</v>
      </c>
      <c r="EK49">
        <v>10</v>
      </c>
      <c r="EL49" t="s">
        <v>71</v>
      </c>
      <c r="EM49" t="s">
        <v>72</v>
      </c>
      <c r="EO49" t="s">
        <v>3</v>
      </c>
      <c r="EQ49">
        <v>0</v>
      </c>
      <c r="ER49">
        <v>9959.4800000000014</v>
      </c>
      <c r="ES49">
        <v>9959.4800000000014</v>
      </c>
      <c r="ET49">
        <v>0</v>
      </c>
      <c r="EU49">
        <v>0</v>
      </c>
      <c r="EV49">
        <v>0</v>
      </c>
      <c r="EW49">
        <v>0</v>
      </c>
      <c r="EX49">
        <v>0</v>
      </c>
      <c r="EZ49">
        <v>5</v>
      </c>
      <c r="FC49">
        <v>1</v>
      </c>
      <c r="FD49">
        <v>18</v>
      </c>
      <c r="FF49">
        <v>115764.37</v>
      </c>
      <c r="FQ49">
        <v>0</v>
      </c>
      <c r="FR49">
        <v>0</v>
      </c>
      <c r="FS49">
        <v>0</v>
      </c>
      <c r="FX49">
        <v>110</v>
      </c>
      <c r="FY49">
        <v>73</v>
      </c>
      <c r="GA49" t="s">
        <v>82</v>
      </c>
      <c r="GD49">
        <v>1</v>
      </c>
      <c r="GF49">
        <v>-1584551560</v>
      </c>
      <c r="GG49">
        <v>2</v>
      </c>
      <c r="GH49">
        <v>3</v>
      </c>
      <c r="GI49">
        <v>5</v>
      </c>
      <c r="GJ49">
        <v>0</v>
      </c>
      <c r="GK49">
        <v>0</v>
      </c>
      <c r="GL49">
        <f t="shared" si="42"/>
        <v>0</v>
      </c>
      <c r="GM49">
        <f t="shared" si="43"/>
        <v>196799.32</v>
      </c>
      <c r="GN49">
        <f t="shared" si="44"/>
        <v>196799.32</v>
      </c>
      <c r="GO49">
        <f t="shared" si="45"/>
        <v>0</v>
      </c>
      <c r="GP49">
        <f t="shared" si="46"/>
        <v>0</v>
      </c>
      <c r="GR49">
        <v>1</v>
      </c>
      <c r="GS49">
        <v>1</v>
      </c>
      <c r="GT49">
        <v>0</v>
      </c>
      <c r="GU49" t="s">
        <v>3</v>
      </c>
      <c r="GV49">
        <f t="shared" si="47"/>
        <v>0</v>
      </c>
      <c r="GW49">
        <v>1</v>
      </c>
      <c r="GX49">
        <f t="shared" si="48"/>
        <v>0</v>
      </c>
      <c r="HA49">
        <v>0</v>
      </c>
      <c r="HB49">
        <v>0</v>
      </c>
      <c r="HC49">
        <f t="shared" si="49"/>
        <v>0</v>
      </c>
      <c r="HE49" t="s">
        <v>78</v>
      </c>
      <c r="HF49" t="s">
        <v>31</v>
      </c>
      <c r="HM49" t="s">
        <v>3</v>
      </c>
      <c r="HN49" t="s">
        <v>3</v>
      </c>
      <c r="HO49" t="s">
        <v>3</v>
      </c>
      <c r="HP49" t="s">
        <v>3</v>
      </c>
      <c r="HQ49" t="s">
        <v>3</v>
      </c>
      <c r="HS49">
        <v>0</v>
      </c>
      <c r="IK49">
        <v>0</v>
      </c>
    </row>
    <row r="51" spans="1:245" x14ac:dyDescent="0.2">
      <c r="A51" s="3">
        <v>51</v>
      </c>
      <c r="B51" s="3">
        <f>B24</f>
        <v>1</v>
      </c>
      <c r="C51" s="3">
        <f>A24</f>
        <v>4</v>
      </c>
      <c r="D51" s="3">
        <f>ROW(A24)</f>
        <v>24</v>
      </c>
      <c r="E51" s="3"/>
      <c r="F51" s="3" t="str">
        <f>IF(F24&lt;&gt;"",F24,"")</f>
        <v>Новый раздел</v>
      </c>
      <c r="G51" s="3" t="str">
        <f>IF(G24&lt;&gt;"",G24,"")</f>
        <v>Оборудование</v>
      </c>
      <c r="H51" s="3">
        <v>0</v>
      </c>
      <c r="I51" s="3"/>
      <c r="J51" s="3"/>
      <c r="K51" s="3"/>
      <c r="L51" s="3"/>
      <c r="M51" s="3"/>
      <c r="N51" s="3"/>
      <c r="O51" s="3">
        <f t="shared" ref="O51:T51" si="67">ROUND(AB51,2)</f>
        <v>376019.07</v>
      </c>
      <c r="P51" s="3">
        <f t="shared" si="67"/>
        <v>375907.12</v>
      </c>
      <c r="Q51" s="3">
        <f t="shared" si="67"/>
        <v>12</v>
      </c>
      <c r="R51" s="3">
        <f t="shared" si="67"/>
        <v>1.6</v>
      </c>
      <c r="S51" s="3">
        <f t="shared" si="67"/>
        <v>99.95</v>
      </c>
      <c r="T51" s="3">
        <f t="shared" si="67"/>
        <v>0</v>
      </c>
      <c r="U51" s="3">
        <f>AH51</f>
        <v>8.0418206000000012</v>
      </c>
      <c r="V51" s="3">
        <f>AI51</f>
        <v>0</v>
      </c>
      <c r="W51" s="3">
        <f>ROUND(AJ51,2)</f>
        <v>0</v>
      </c>
      <c r="X51" s="3">
        <f>ROUND(AK51,2)</f>
        <v>99.96</v>
      </c>
      <c r="Y51" s="3">
        <f>ROUND(AL51,2)</f>
        <v>53.02</v>
      </c>
      <c r="Z51" s="3"/>
      <c r="AA51" s="3"/>
      <c r="AB51" s="3">
        <f>ROUND(SUMIF(AA28:AA49,"=59214062",O28:O49),2)</f>
        <v>376019.07</v>
      </c>
      <c r="AC51" s="3">
        <f>ROUND(SUMIF(AA28:AA49,"=59214062",P28:P49),2)</f>
        <v>375907.12</v>
      </c>
      <c r="AD51" s="3">
        <f>ROUND(SUMIF(AA28:AA49,"=59214062",Q28:Q49),2)</f>
        <v>12</v>
      </c>
      <c r="AE51" s="3">
        <f>ROUND(SUMIF(AA28:AA49,"=59214062",R28:R49),2)</f>
        <v>1.6</v>
      </c>
      <c r="AF51" s="3">
        <f>ROUND(SUMIF(AA28:AA49,"=59214062",S28:S49),2)</f>
        <v>99.95</v>
      </c>
      <c r="AG51" s="3">
        <f>ROUND(SUMIF(AA28:AA49,"=59214062",T28:T49),2)</f>
        <v>0</v>
      </c>
      <c r="AH51" s="3">
        <f>SUMIF(AA28:AA49,"=59214062",U28:U49)</f>
        <v>8.0418206000000012</v>
      </c>
      <c r="AI51" s="3">
        <f>SUMIF(AA28:AA49,"=59214062",V28:V49)</f>
        <v>0</v>
      </c>
      <c r="AJ51" s="3">
        <f>ROUND(SUMIF(AA28:AA49,"=59214062",W28:W49),2)</f>
        <v>0</v>
      </c>
      <c r="AK51" s="3">
        <f>ROUND(SUMIF(AA28:AA49,"=59214062",X28:X49),2)</f>
        <v>99.96</v>
      </c>
      <c r="AL51" s="3">
        <f>ROUND(SUMIF(AA28:AA49,"=59214062",Y28:Y49),2)</f>
        <v>53.02</v>
      </c>
      <c r="AM51" s="3"/>
      <c r="AN51" s="3"/>
      <c r="AO51" s="3">
        <f t="shared" ref="AO51:BD51" si="68">ROUND(BX51,2)</f>
        <v>0</v>
      </c>
      <c r="AP51" s="3">
        <f t="shared" si="68"/>
        <v>349619.17</v>
      </c>
      <c r="AQ51" s="3">
        <f t="shared" si="68"/>
        <v>0</v>
      </c>
      <c r="AR51" s="3">
        <f t="shared" si="68"/>
        <v>376172.05</v>
      </c>
      <c r="AS51" s="3">
        <f t="shared" si="68"/>
        <v>26421.05</v>
      </c>
      <c r="AT51" s="3">
        <f t="shared" si="68"/>
        <v>131.83000000000001</v>
      </c>
      <c r="AU51" s="3">
        <f t="shared" si="68"/>
        <v>0</v>
      </c>
      <c r="AV51" s="3">
        <f t="shared" si="68"/>
        <v>375907.12</v>
      </c>
      <c r="AW51" s="3">
        <f t="shared" si="68"/>
        <v>26287.95</v>
      </c>
      <c r="AX51" s="3">
        <f t="shared" si="68"/>
        <v>0</v>
      </c>
      <c r="AY51" s="3">
        <f t="shared" si="68"/>
        <v>26287.95</v>
      </c>
      <c r="AZ51" s="3">
        <f t="shared" si="68"/>
        <v>349619.17</v>
      </c>
      <c r="BA51" s="3">
        <f t="shared" si="68"/>
        <v>0</v>
      </c>
      <c r="BB51" s="3">
        <f t="shared" si="68"/>
        <v>0</v>
      </c>
      <c r="BC51" s="3">
        <f t="shared" si="68"/>
        <v>0</v>
      </c>
      <c r="BD51" s="3">
        <f t="shared" si="68"/>
        <v>0</v>
      </c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>
        <f>ROUND(SUMIF(AA28:AA49,"=59214062",FQ28:FQ49),2)</f>
        <v>0</v>
      </c>
      <c r="BY51" s="3">
        <f>ROUND(SUMIF(AA28:AA49,"=59214062",FR28:FR49),2)</f>
        <v>349619.17</v>
      </c>
      <c r="BZ51" s="3">
        <f>ROUND(SUMIF(AA28:AA49,"=59214062",GL28:GL49),2)</f>
        <v>0</v>
      </c>
      <c r="CA51" s="3">
        <f>ROUND(SUMIF(AA28:AA49,"=59214062",GM28:GM49),2)</f>
        <v>376172.05</v>
      </c>
      <c r="CB51" s="3">
        <f>ROUND(SUMIF(AA28:AA49,"=59214062",GN28:GN49),2)</f>
        <v>26421.05</v>
      </c>
      <c r="CC51" s="3">
        <f>ROUND(SUMIF(AA28:AA49,"=59214062",GO28:GO49),2)</f>
        <v>131.83000000000001</v>
      </c>
      <c r="CD51" s="3">
        <f>ROUND(SUMIF(AA28:AA49,"=59214062",GP28:GP49),2)</f>
        <v>0</v>
      </c>
      <c r="CE51" s="3">
        <f>AC51-BX51</f>
        <v>375907.12</v>
      </c>
      <c r="CF51" s="3">
        <f>AC51-BY51</f>
        <v>26287.950000000012</v>
      </c>
      <c r="CG51" s="3">
        <f>BX51-BZ51</f>
        <v>0</v>
      </c>
      <c r="CH51" s="3">
        <f>AC51-BX51-BY51+BZ51</f>
        <v>26287.950000000012</v>
      </c>
      <c r="CI51" s="3">
        <f>BY51-BZ51</f>
        <v>349619.17</v>
      </c>
      <c r="CJ51" s="3">
        <f>ROUND(SUMIF(AA28:AA49,"=59214062",GX28:GX49),2)</f>
        <v>0</v>
      </c>
      <c r="CK51" s="3">
        <f>ROUND(SUMIF(AA28:AA49,"=59214062",GY28:GY49),2)</f>
        <v>0</v>
      </c>
      <c r="CL51" s="3">
        <f>ROUND(SUMIF(AA28:AA49,"=59214062",GZ28:GZ49),2)</f>
        <v>0</v>
      </c>
      <c r="CM51" s="3">
        <f>ROUND(SUMIF(AA28:AA49,"=59214062",HD28:HD49),2)</f>
        <v>0</v>
      </c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4">
        <f t="shared" ref="DG51:DL51" si="69">ROUND(DT51,2)</f>
        <v>2968853.64</v>
      </c>
      <c r="DH51" s="4">
        <f t="shared" si="69"/>
        <v>2963173.09</v>
      </c>
      <c r="DI51" s="4">
        <f t="shared" si="69"/>
        <v>184.3</v>
      </c>
      <c r="DJ51" s="4">
        <f t="shared" si="69"/>
        <v>87.99</v>
      </c>
      <c r="DK51" s="4">
        <f t="shared" si="69"/>
        <v>5496.25</v>
      </c>
      <c r="DL51" s="4">
        <f t="shared" si="69"/>
        <v>0</v>
      </c>
      <c r="DM51" s="4">
        <f>DZ51</f>
        <v>8.0418206000000012</v>
      </c>
      <c r="DN51" s="4">
        <f>EA51</f>
        <v>0</v>
      </c>
      <c r="DO51" s="4">
        <f>ROUND(EB51,2)</f>
        <v>0</v>
      </c>
      <c r="DP51" s="4">
        <f>ROUND(EC51,2)</f>
        <v>5496.25</v>
      </c>
      <c r="DQ51" s="4">
        <f>ROUND(ED51,2)</f>
        <v>2915.68</v>
      </c>
      <c r="DR51" s="4"/>
      <c r="DS51" s="4"/>
      <c r="DT51" s="4">
        <f>ROUND(SUMIF(AA28:AA49,"=59214059",O28:O49),2)</f>
        <v>2968853.64</v>
      </c>
      <c r="DU51" s="4">
        <f>ROUND(SUMIF(AA28:AA49,"=59214059",P28:P49),2)</f>
        <v>2963173.09</v>
      </c>
      <c r="DV51" s="4">
        <f>ROUND(SUMIF(AA28:AA49,"=59214059",Q28:Q49),2)</f>
        <v>184.3</v>
      </c>
      <c r="DW51" s="4">
        <f>ROUND(SUMIF(AA28:AA49,"=59214059",R28:R49),2)</f>
        <v>87.99</v>
      </c>
      <c r="DX51" s="4">
        <f>ROUND(SUMIF(AA28:AA49,"=59214059",S28:S49),2)</f>
        <v>5496.25</v>
      </c>
      <c r="DY51" s="4">
        <f>ROUND(SUMIF(AA28:AA49,"=59214059",T28:T49),2)</f>
        <v>0</v>
      </c>
      <c r="DZ51" s="4">
        <f>SUMIF(AA28:AA49,"=59214059",U28:U49)</f>
        <v>8.0418206000000012</v>
      </c>
      <c r="EA51" s="4">
        <f>SUMIF(AA28:AA49,"=59214059",V28:V49)</f>
        <v>0</v>
      </c>
      <c r="EB51" s="4">
        <f>ROUND(SUMIF(AA28:AA49,"=59214059",W28:W49),2)</f>
        <v>0</v>
      </c>
      <c r="EC51" s="4">
        <f>ROUND(SUMIF(AA28:AA49,"=59214059",X28:X49),2)</f>
        <v>5496.25</v>
      </c>
      <c r="ED51" s="4">
        <f>ROUND(SUMIF(AA28:AA49,"=59214059",Y28:Y49),2)</f>
        <v>2915.68</v>
      </c>
      <c r="EE51" s="4"/>
      <c r="EF51" s="4"/>
      <c r="EG51" s="4">
        <f t="shared" ref="EG51:EV51" si="70">ROUND(FP51,2)</f>
        <v>0</v>
      </c>
      <c r="EH51" s="4">
        <f t="shared" si="70"/>
        <v>2703457.95</v>
      </c>
      <c r="EI51" s="4">
        <f t="shared" si="70"/>
        <v>0</v>
      </c>
      <c r="EJ51" s="4">
        <f t="shared" si="70"/>
        <v>2977265.57</v>
      </c>
      <c r="EK51" s="4">
        <f t="shared" si="70"/>
        <v>266614.13</v>
      </c>
      <c r="EL51" s="4">
        <f t="shared" si="70"/>
        <v>7193.49</v>
      </c>
      <c r="EM51" s="4">
        <f t="shared" si="70"/>
        <v>0</v>
      </c>
      <c r="EN51" s="4">
        <f t="shared" si="70"/>
        <v>2963173.09</v>
      </c>
      <c r="EO51" s="4">
        <f t="shared" si="70"/>
        <v>259715.14</v>
      </c>
      <c r="EP51" s="4">
        <f t="shared" si="70"/>
        <v>0</v>
      </c>
      <c r="EQ51" s="4">
        <f t="shared" si="70"/>
        <v>259715.14</v>
      </c>
      <c r="ER51" s="4">
        <f t="shared" si="70"/>
        <v>2703457.95</v>
      </c>
      <c r="ES51" s="4">
        <f t="shared" si="70"/>
        <v>0</v>
      </c>
      <c r="ET51" s="4">
        <f t="shared" si="70"/>
        <v>0</v>
      </c>
      <c r="EU51" s="4">
        <f t="shared" si="70"/>
        <v>0</v>
      </c>
      <c r="EV51" s="4">
        <f t="shared" si="70"/>
        <v>0</v>
      </c>
      <c r="EW51" s="4"/>
      <c r="EX51" s="4"/>
      <c r="EY51" s="4"/>
      <c r="EZ51" s="4"/>
      <c r="FA51" s="4"/>
      <c r="FB51" s="4"/>
      <c r="FC51" s="4"/>
      <c r="FD51" s="4"/>
      <c r="FE51" s="4"/>
      <c r="FF51" s="4"/>
      <c r="FG51" s="4"/>
      <c r="FH51" s="4"/>
      <c r="FI51" s="4"/>
      <c r="FJ51" s="4"/>
      <c r="FK51" s="4"/>
      <c r="FL51" s="4"/>
      <c r="FM51" s="4"/>
      <c r="FN51" s="4"/>
      <c r="FO51" s="4"/>
      <c r="FP51" s="4">
        <f>ROUND(SUMIF(AA28:AA49,"=59214059",FQ28:FQ49),2)</f>
        <v>0</v>
      </c>
      <c r="FQ51" s="4">
        <f>ROUND(SUMIF(AA28:AA49,"=59214059",FR28:FR49),2)</f>
        <v>2703457.95</v>
      </c>
      <c r="FR51" s="4">
        <f>ROUND(SUMIF(AA28:AA49,"=59214059",GL28:GL49),2)</f>
        <v>0</v>
      </c>
      <c r="FS51" s="4">
        <f>ROUND(SUMIF(AA28:AA49,"=59214059",GM28:GM49),2)</f>
        <v>2977265.57</v>
      </c>
      <c r="FT51" s="4">
        <f>ROUND(SUMIF(AA28:AA49,"=59214059",GN28:GN49),2)</f>
        <v>266614.13</v>
      </c>
      <c r="FU51" s="4">
        <f>ROUND(SUMIF(AA28:AA49,"=59214059",GO28:GO49),2)</f>
        <v>7193.49</v>
      </c>
      <c r="FV51" s="4">
        <f>ROUND(SUMIF(AA28:AA49,"=59214059",GP28:GP49),2)</f>
        <v>0</v>
      </c>
      <c r="FW51" s="4">
        <f>DU51-FP51</f>
        <v>2963173.09</v>
      </c>
      <c r="FX51" s="4">
        <f>DU51-FQ51</f>
        <v>259715.13999999966</v>
      </c>
      <c r="FY51" s="4">
        <f>FP51-FR51</f>
        <v>0</v>
      </c>
      <c r="FZ51" s="4">
        <f>DU51-FP51-FQ51+FR51</f>
        <v>259715.13999999966</v>
      </c>
      <c r="GA51" s="4">
        <f>FQ51-FR51</f>
        <v>2703457.95</v>
      </c>
      <c r="GB51" s="4">
        <f>ROUND(SUMIF(AA28:AA49,"=59214059",GX28:GX49),2)</f>
        <v>0</v>
      </c>
      <c r="GC51" s="4">
        <f>ROUND(SUMIF(AA28:AA49,"=59214059",GY28:GY49),2)</f>
        <v>0</v>
      </c>
      <c r="GD51" s="4">
        <f>ROUND(SUMIF(AA28:AA49,"=59214059",GZ28:GZ49),2)</f>
        <v>0</v>
      </c>
      <c r="GE51" s="4">
        <f>ROUND(SUMIF(AA28:AA49,"=59214059",HD28:HD49),2)</f>
        <v>0</v>
      </c>
      <c r="GF51" s="4"/>
      <c r="GG51" s="4"/>
      <c r="GH51" s="4"/>
      <c r="GI51" s="4"/>
      <c r="GJ51" s="4"/>
      <c r="GK51" s="4"/>
      <c r="GL51" s="4"/>
      <c r="GM51" s="4"/>
      <c r="GN51" s="4"/>
      <c r="GO51" s="4"/>
      <c r="GP51" s="4"/>
      <c r="GQ51" s="4"/>
      <c r="GR51" s="4"/>
      <c r="GS51" s="4"/>
      <c r="GT51" s="4"/>
      <c r="GU51" s="4"/>
      <c r="GV51" s="4"/>
      <c r="GW51" s="4"/>
      <c r="GX51" s="4">
        <v>0</v>
      </c>
    </row>
    <row r="53" spans="1:245" x14ac:dyDescent="0.2">
      <c r="A53" s="5">
        <v>50</v>
      </c>
      <c r="B53" s="5">
        <v>0</v>
      </c>
      <c r="C53" s="5">
        <v>0</v>
      </c>
      <c r="D53" s="5">
        <v>1</v>
      </c>
      <c r="E53" s="5">
        <v>201</v>
      </c>
      <c r="F53" s="5">
        <f>ROUND(Source!O51,O53)</f>
        <v>376019.07</v>
      </c>
      <c r="G53" s="5" t="s">
        <v>83</v>
      </c>
      <c r="H53" s="5" t="s">
        <v>84</v>
      </c>
      <c r="I53" s="5"/>
      <c r="J53" s="5"/>
      <c r="K53" s="5">
        <v>201</v>
      </c>
      <c r="L53" s="5">
        <v>1</v>
      </c>
      <c r="M53" s="5">
        <v>3</v>
      </c>
      <c r="N53" s="5" t="s">
        <v>3</v>
      </c>
      <c r="O53" s="5">
        <v>2</v>
      </c>
      <c r="P53" s="5">
        <f>ROUND(Source!DG51,O53)</f>
        <v>2968853.64</v>
      </c>
      <c r="Q53" s="5"/>
      <c r="R53" s="5"/>
      <c r="S53" s="5"/>
      <c r="T53" s="5"/>
      <c r="U53" s="5"/>
      <c r="V53" s="5"/>
      <c r="W53" s="5">
        <v>376019.07</v>
      </c>
      <c r="X53" s="5">
        <v>1</v>
      </c>
      <c r="Y53" s="5">
        <v>376019.07</v>
      </c>
      <c r="Z53" s="5">
        <v>2968853.64</v>
      </c>
      <c r="AA53" s="5">
        <v>1</v>
      </c>
      <c r="AB53" s="5">
        <v>2968853.64</v>
      </c>
    </row>
    <row r="54" spans="1:245" x14ac:dyDescent="0.2">
      <c r="A54" s="5">
        <v>50</v>
      </c>
      <c r="B54" s="5">
        <v>0</v>
      </c>
      <c r="C54" s="5">
        <v>0</v>
      </c>
      <c r="D54" s="5">
        <v>1</v>
      </c>
      <c r="E54" s="5">
        <v>202</v>
      </c>
      <c r="F54" s="5">
        <f>ROUND(Source!P51,O54)</f>
        <v>375907.12</v>
      </c>
      <c r="G54" s="5" t="s">
        <v>85</v>
      </c>
      <c r="H54" s="5" t="s">
        <v>86</v>
      </c>
      <c r="I54" s="5"/>
      <c r="J54" s="5"/>
      <c r="K54" s="5">
        <v>202</v>
      </c>
      <c r="L54" s="5">
        <v>2</v>
      </c>
      <c r="M54" s="5">
        <v>3</v>
      </c>
      <c r="N54" s="5" t="s">
        <v>3</v>
      </c>
      <c r="O54" s="5">
        <v>2</v>
      </c>
      <c r="P54" s="5">
        <f>ROUND(Source!DH51,O54)</f>
        <v>2963173.09</v>
      </c>
      <c r="Q54" s="5"/>
      <c r="R54" s="5"/>
      <c r="S54" s="5"/>
      <c r="T54" s="5"/>
      <c r="U54" s="5"/>
      <c r="V54" s="5"/>
      <c r="W54" s="5">
        <v>375907.12</v>
      </c>
      <c r="X54" s="5">
        <v>1</v>
      </c>
      <c r="Y54" s="5">
        <v>375907.12</v>
      </c>
      <c r="Z54" s="5">
        <v>2963173.09</v>
      </c>
      <c r="AA54" s="5">
        <v>1</v>
      </c>
      <c r="AB54" s="5">
        <v>2963173.09</v>
      </c>
    </row>
    <row r="55" spans="1:245" x14ac:dyDescent="0.2">
      <c r="A55" s="5">
        <v>50</v>
      </c>
      <c r="B55" s="5">
        <v>0</v>
      </c>
      <c r="C55" s="5">
        <v>0</v>
      </c>
      <c r="D55" s="5">
        <v>1</v>
      </c>
      <c r="E55" s="5">
        <v>222</v>
      </c>
      <c r="F55" s="5">
        <f>ROUND(Source!AO51,O55)</f>
        <v>0</v>
      </c>
      <c r="G55" s="5" t="s">
        <v>87</v>
      </c>
      <c r="H55" s="5" t="s">
        <v>88</v>
      </c>
      <c r="I55" s="5"/>
      <c r="J55" s="5"/>
      <c r="K55" s="5">
        <v>222</v>
      </c>
      <c r="L55" s="5">
        <v>3</v>
      </c>
      <c r="M55" s="5">
        <v>3</v>
      </c>
      <c r="N55" s="5" t="s">
        <v>3</v>
      </c>
      <c r="O55" s="5">
        <v>2</v>
      </c>
      <c r="P55" s="5">
        <f>ROUND(Source!EG51,O55)</f>
        <v>0</v>
      </c>
      <c r="Q55" s="5"/>
      <c r="R55" s="5"/>
      <c r="S55" s="5"/>
      <c r="T55" s="5"/>
      <c r="U55" s="5"/>
      <c r="V55" s="5"/>
      <c r="W55" s="5">
        <v>0</v>
      </c>
      <c r="X55" s="5">
        <v>1</v>
      </c>
      <c r="Y55" s="5">
        <v>0</v>
      </c>
      <c r="Z55" s="5">
        <v>0</v>
      </c>
      <c r="AA55" s="5">
        <v>1</v>
      </c>
      <c r="AB55" s="5">
        <v>0</v>
      </c>
    </row>
    <row r="56" spans="1:245" x14ac:dyDescent="0.2">
      <c r="A56" s="5">
        <v>50</v>
      </c>
      <c r="B56" s="5">
        <v>0</v>
      </c>
      <c r="C56" s="5">
        <v>0</v>
      </c>
      <c r="D56" s="5">
        <v>1</v>
      </c>
      <c r="E56" s="5">
        <v>225</v>
      </c>
      <c r="F56" s="5">
        <f>ROUND(Source!AV51,O56)</f>
        <v>375907.12</v>
      </c>
      <c r="G56" s="5" t="s">
        <v>89</v>
      </c>
      <c r="H56" s="5" t="s">
        <v>90</v>
      </c>
      <c r="I56" s="5"/>
      <c r="J56" s="5"/>
      <c r="K56" s="5">
        <v>225</v>
      </c>
      <c r="L56" s="5">
        <v>4</v>
      </c>
      <c r="M56" s="5">
        <v>3</v>
      </c>
      <c r="N56" s="5" t="s">
        <v>3</v>
      </c>
      <c r="O56" s="5">
        <v>2</v>
      </c>
      <c r="P56" s="5">
        <f>ROUND(Source!EN51,O56)</f>
        <v>2963173.09</v>
      </c>
      <c r="Q56" s="5"/>
      <c r="R56" s="5"/>
      <c r="S56" s="5"/>
      <c r="T56" s="5"/>
      <c r="U56" s="5"/>
      <c r="V56" s="5"/>
      <c r="W56" s="5">
        <v>375907.12</v>
      </c>
      <c r="X56" s="5">
        <v>1</v>
      </c>
      <c r="Y56" s="5">
        <v>375907.12</v>
      </c>
      <c r="Z56" s="5">
        <v>2963173.09</v>
      </c>
      <c r="AA56" s="5">
        <v>1</v>
      </c>
      <c r="AB56" s="5">
        <v>2963173.09</v>
      </c>
    </row>
    <row r="57" spans="1:245" x14ac:dyDescent="0.2">
      <c r="A57" s="5">
        <v>50</v>
      </c>
      <c r="B57" s="5">
        <v>0</v>
      </c>
      <c r="C57" s="5">
        <v>0</v>
      </c>
      <c r="D57" s="5">
        <v>1</v>
      </c>
      <c r="E57" s="5">
        <v>226</v>
      </c>
      <c r="F57" s="5">
        <f>ROUND(Source!AW51,O57)</f>
        <v>26287.95</v>
      </c>
      <c r="G57" s="5" t="s">
        <v>91</v>
      </c>
      <c r="H57" s="5" t="s">
        <v>92</v>
      </c>
      <c r="I57" s="5"/>
      <c r="J57" s="5"/>
      <c r="K57" s="5">
        <v>226</v>
      </c>
      <c r="L57" s="5">
        <v>5</v>
      </c>
      <c r="M57" s="5">
        <v>3</v>
      </c>
      <c r="N57" s="5" t="s">
        <v>3</v>
      </c>
      <c r="O57" s="5">
        <v>2</v>
      </c>
      <c r="P57" s="5">
        <f>ROUND(Source!EO51,O57)</f>
        <v>259715.14</v>
      </c>
      <c r="Q57" s="5"/>
      <c r="R57" s="5"/>
      <c r="S57" s="5"/>
      <c r="T57" s="5"/>
      <c r="U57" s="5"/>
      <c r="V57" s="5"/>
      <c r="W57" s="5">
        <v>26287.95</v>
      </c>
      <c r="X57" s="5">
        <v>1</v>
      </c>
      <c r="Y57" s="5">
        <v>26287.95</v>
      </c>
      <c r="Z57" s="5">
        <v>259715.14</v>
      </c>
      <c r="AA57" s="5">
        <v>1</v>
      </c>
      <c r="AB57" s="5">
        <v>259715.14</v>
      </c>
    </row>
    <row r="58" spans="1:245" x14ac:dyDescent="0.2">
      <c r="A58" s="5">
        <v>50</v>
      </c>
      <c r="B58" s="5">
        <v>0</v>
      </c>
      <c r="C58" s="5">
        <v>0</v>
      </c>
      <c r="D58" s="5">
        <v>1</v>
      </c>
      <c r="E58" s="5">
        <v>227</v>
      </c>
      <c r="F58" s="5">
        <f>ROUND(Source!AX51,O58)</f>
        <v>0</v>
      </c>
      <c r="G58" s="5" t="s">
        <v>93</v>
      </c>
      <c r="H58" s="5" t="s">
        <v>94</v>
      </c>
      <c r="I58" s="5"/>
      <c r="J58" s="5"/>
      <c r="K58" s="5">
        <v>227</v>
      </c>
      <c r="L58" s="5">
        <v>6</v>
      </c>
      <c r="M58" s="5">
        <v>3</v>
      </c>
      <c r="N58" s="5" t="s">
        <v>3</v>
      </c>
      <c r="O58" s="5">
        <v>2</v>
      </c>
      <c r="P58" s="5">
        <f>ROUND(Source!EP51,O58)</f>
        <v>0</v>
      </c>
      <c r="Q58" s="5"/>
      <c r="R58" s="5"/>
      <c r="S58" s="5"/>
      <c r="T58" s="5"/>
      <c r="U58" s="5"/>
      <c r="V58" s="5"/>
      <c r="W58" s="5">
        <v>0</v>
      </c>
      <c r="X58" s="5">
        <v>1</v>
      </c>
      <c r="Y58" s="5">
        <v>0</v>
      </c>
      <c r="Z58" s="5">
        <v>0</v>
      </c>
      <c r="AA58" s="5">
        <v>1</v>
      </c>
      <c r="AB58" s="5">
        <v>0</v>
      </c>
    </row>
    <row r="59" spans="1:245" x14ac:dyDescent="0.2">
      <c r="A59" s="5">
        <v>50</v>
      </c>
      <c r="B59" s="5">
        <v>0</v>
      </c>
      <c r="C59" s="5">
        <v>0</v>
      </c>
      <c r="D59" s="5">
        <v>1</v>
      </c>
      <c r="E59" s="5">
        <v>228</v>
      </c>
      <c r="F59" s="5">
        <f>ROUND(Source!AY51,O59)</f>
        <v>26287.95</v>
      </c>
      <c r="G59" s="5" t="s">
        <v>95</v>
      </c>
      <c r="H59" s="5" t="s">
        <v>96</v>
      </c>
      <c r="I59" s="5"/>
      <c r="J59" s="5"/>
      <c r="K59" s="5">
        <v>228</v>
      </c>
      <c r="L59" s="5">
        <v>7</v>
      </c>
      <c r="M59" s="5">
        <v>3</v>
      </c>
      <c r="N59" s="5" t="s">
        <v>3</v>
      </c>
      <c r="O59" s="5">
        <v>2</v>
      </c>
      <c r="P59" s="5">
        <f>ROUND(Source!EQ51,O59)</f>
        <v>259715.14</v>
      </c>
      <c r="Q59" s="5"/>
      <c r="R59" s="5"/>
      <c r="S59" s="5"/>
      <c r="T59" s="5"/>
      <c r="U59" s="5"/>
      <c r="V59" s="5"/>
      <c r="W59" s="5">
        <v>26287.95</v>
      </c>
      <c r="X59" s="5">
        <v>1</v>
      </c>
      <c r="Y59" s="5">
        <v>26287.95</v>
      </c>
      <c r="Z59" s="5">
        <v>259715.14</v>
      </c>
      <c r="AA59" s="5">
        <v>1</v>
      </c>
      <c r="AB59" s="5">
        <v>259715.14</v>
      </c>
    </row>
    <row r="60" spans="1:245" x14ac:dyDescent="0.2">
      <c r="A60" s="5">
        <v>50</v>
      </c>
      <c r="B60" s="5">
        <v>0</v>
      </c>
      <c r="C60" s="5">
        <v>0</v>
      </c>
      <c r="D60" s="5">
        <v>1</v>
      </c>
      <c r="E60" s="5">
        <v>216</v>
      </c>
      <c r="F60" s="5">
        <f>ROUND(Source!AP51,O60)</f>
        <v>349619.17</v>
      </c>
      <c r="G60" s="5" t="s">
        <v>97</v>
      </c>
      <c r="H60" s="5" t="s">
        <v>98</v>
      </c>
      <c r="I60" s="5"/>
      <c r="J60" s="5"/>
      <c r="K60" s="5">
        <v>216</v>
      </c>
      <c r="L60" s="5">
        <v>8</v>
      </c>
      <c r="M60" s="5">
        <v>3</v>
      </c>
      <c r="N60" s="5" t="s">
        <v>3</v>
      </c>
      <c r="O60" s="5">
        <v>2</v>
      </c>
      <c r="P60" s="5">
        <f>ROUND(Source!EH51,O60)</f>
        <v>2703457.95</v>
      </c>
      <c r="Q60" s="5"/>
      <c r="R60" s="5"/>
      <c r="S60" s="5"/>
      <c r="T60" s="5"/>
      <c r="U60" s="5"/>
      <c r="V60" s="5"/>
      <c r="W60" s="5">
        <v>349619.17</v>
      </c>
      <c r="X60" s="5">
        <v>1</v>
      </c>
      <c r="Y60" s="5">
        <v>349619.17</v>
      </c>
      <c r="Z60" s="5">
        <v>2703457.95</v>
      </c>
      <c r="AA60" s="5">
        <v>1</v>
      </c>
      <c r="AB60" s="5">
        <v>2703457.95</v>
      </c>
    </row>
    <row r="61" spans="1:245" x14ac:dyDescent="0.2">
      <c r="A61" s="5">
        <v>50</v>
      </c>
      <c r="B61" s="5">
        <v>0</v>
      </c>
      <c r="C61" s="5">
        <v>0</v>
      </c>
      <c r="D61" s="5">
        <v>1</v>
      </c>
      <c r="E61" s="5">
        <v>223</v>
      </c>
      <c r="F61" s="5">
        <f>ROUND(Source!AQ51,O61)</f>
        <v>0</v>
      </c>
      <c r="G61" s="5" t="s">
        <v>99</v>
      </c>
      <c r="H61" s="5" t="s">
        <v>100</v>
      </c>
      <c r="I61" s="5"/>
      <c r="J61" s="5"/>
      <c r="K61" s="5">
        <v>223</v>
      </c>
      <c r="L61" s="5">
        <v>9</v>
      </c>
      <c r="M61" s="5">
        <v>3</v>
      </c>
      <c r="N61" s="5" t="s">
        <v>3</v>
      </c>
      <c r="O61" s="5">
        <v>2</v>
      </c>
      <c r="P61" s="5">
        <f>ROUND(Source!EI51,O61)</f>
        <v>0</v>
      </c>
      <c r="Q61" s="5"/>
      <c r="R61" s="5"/>
      <c r="S61" s="5"/>
      <c r="T61" s="5"/>
      <c r="U61" s="5"/>
      <c r="V61" s="5"/>
      <c r="W61" s="5">
        <v>0</v>
      </c>
      <c r="X61" s="5">
        <v>1</v>
      </c>
      <c r="Y61" s="5">
        <v>0</v>
      </c>
      <c r="Z61" s="5">
        <v>0</v>
      </c>
      <c r="AA61" s="5">
        <v>1</v>
      </c>
      <c r="AB61" s="5">
        <v>0</v>
      </c>
    </row>
    <row r="62" spans="1:245" x14ac:dyDescent="0.2">
      <c r="A62" s="5">
        <v>50</v>
      </c>
      <c r="B62" s="5">
        <v>0</v>
      </c>
      <c r="C62" s="5">
        <v>0</v>
      </c>
      <c r="D62" s="5">
        <v>1</v>
      </c>
      <c r="E62" s="5">
        <v>229</v>
      </c>
      <c r="F62" s="5">
        <f>ROUND(Source!AZ51,O62)</f>
        <v>349619.17</v>
      </c>
      <c r="G62" s="5" t="s">
        <v>101</v>
      </c>
      <c r="H62" s="5" t="s">
        <v>102</v>
      </c>
      <c r="I62" s="5"/>
      <c r="J62" s="5"/>
      <c r="K62" s="5">
        <v>229</v>
      </c>
      <c r="L62" s="5">
        <v>10</v>
      </c>
      <c r="M62" s="5">
        <v>3</v>
      </c>
      <c r="N62" s="5" t="s">
        <v>3</v>
      </c>
      <c r="O62" s="5">
        <v>2</v>
      </c>
      <c r="P62" s="5">
        <f>ROUND(Source!ER51,O62)</f>
        <v>2703457.95</v>
      </c>
      <c r="Q62" s="5"/>
      <c r="R62" s="5"/>
      <c r="S62" s="5"/>
      <c r="T62" s="5"/>
      <c r="U62" s="5"/>
      <c r="V62" s="5"/>
      <c r="W62" s="5">
        <v>349619.17</v>
      </c>
      <c r="X62" s="5">
        <v>1</v>
      </c>
      <c r="Y62" s="5">
        <v>349619.17</v>
      </c>
      <c r="Z62" s="5">
        <v>2703457.95</v>
      </c>
      <c r="AA62" s="5">
        <v>1</v>
      </c>
      <c r="AB62" s="5">
        <v>2703457.95</v>
      </c>
    </row>
    <row r="63" spans="1:245" x14ac:dyDescent="0.2">
      <c r="A63" s="5">
        <v>50</v>
      </c>
      <c r="B63" s="5">
        <v>0</v>
      </c>
      <c r="C63" s="5">
        <v>0</v>
      </c>
      <c r="D63" s="5">
        <v>1</v>
      </c>
      <c r="E63" s="5">
        <v>203</v>
      </c>
      <c r="F63" s="5">
        <f>ROUND(Source!Q51,O63)</f>
        <v>12</v>
      </c>
      <c r="G63" s="5" t="s">
        <v>103</v>
      </c>
      <c r="H63" s="5" t="s">
        <v>104</v>
      </c>
      <c r="I63" s="5"/>
      <c r="J63" s="5"/>
      <c r="K63" s="5">
        <v>203</v>
      </c>
      <c r="L63" s="5">
        <v>11</v>
      </c>
      <c r="M63" s="5">
        <v>3</v>
      </c>
      <c r="N63" s="5" t="s">
        <v>3</v>
      </c>
      <c r="O63" s="5">
        <v>2</v>
      </c>
      <c r="P63" s="5">
        <f>ROUND(Source!DI51,O63)</f>
        <v>184.3</v>
      </c>
      <c r="Q63" s="5"/>
      <c r="R63" s="5"/>
      <c r="S63" s="5"/>
      <c r="T63" s="5"/>
      <c r="U63" s="5"/>
      <c r="V63" s="5"/>
      <c r="W63" s="5">
        <v>12</v>
      </c>
      <c r="X63" s="5">
        <v>1</v>
      </c>
      <c r="Y63" s="5">
        <v>12</v>
      </c>
      <c r="Z63" s="5">
        <v>184.3</v>
      </c>
      <c r="AA63" s="5">
        <v>1</v>
      </c>
      <c r="AB63" s="5">
        <v>184.3</v>
      </c>
    </row>
    <row r="64" spans="1:245" x14ac:dyDescent="0.2">
      <c r="A64" s="5">
        <v>50</v>
      </c>
      <c r="B64" s="5">
        <v>0</v>
      </c>
      <c r="C64" s="5">
        <v>0</v>
      </c>
      <c r="D64" s="5">
        <v>1</v>
      </c>
      <c r="E64" s="5">
        <v>231</v>
      </c>
      <c r="F64" s="5">
        <f>ROUND(Source!BB51,O64)</f>
        <v>0</v>
      </c>
      <c r="G64" s="5" t="s">
        <v>105</v>
      </c>
      <c r="H64" s="5" t="s">
        <v>106</v>
      </c>
      <c r="I64" s="5"/>
      <c r="J64" s="5"/>
      <c r="K64" s="5">
        <v>231</v>
      </c>
      <c r="L64" s="5">
        <v>12</v>
      </c>
      <c r="M64" s="5">
        <v>3</v>
      </c>
      <c r="N64" s="5" t="s">
        <v>3</v>
      </c>
      <c r="O64" s="5">
        <v>2</v>
      </c>
      <c r="P64" s="5">
        <f>ROUND(Source!ET51,O64)</f>
        <v>0</v>
      </c>
      <c r="Q64" s="5"/>
      <c r="R64" s="5"/>
      <c r="S64" s="5"/>
      <c r="T64" s="5"/>
      <c r="U64" s="5"/>
      <c r="V64" s="5"/>
      <c r="W64" s="5">
        <v>0</v>
      </c>
      <c r="X64" s="5">
        <v>1</v>
      </c>
      <c r="Y64" s="5">
        <v>0</v>
      </c>
      <c r="Z64" s="5">
        <v>0</v>
      </c>
      <c r="AA64" s="5">
        <v>1</v>
      </c>
      <c r="AB64" s="5">
        <v>0</v>
      </c>
    </row>
    <row r="65" spans="1:28" x14ac:dyDescent="0.2">
      <c r="A65" s="5">
        <v>50</v>
      </c>
      <c r="B65" s="5">
        <v>0</v>
      </c>
      <c r="C65" s="5">
        <v>0</v>
      </c>
      <c r="D65" s="5">
        <v>1</v>
      </c>
      <c r="E65" s="5">
        <v>204</v>
      </c>
      <c r="F65" s="5">
        <f>ROUND(Source!R51,O65)</f>
        <v>1.6</v>
      </c>
      <c r="G65" s="5" t="s">
        <v>107</v>
      </c>
      <c r="H65" s="5" t="s">
        <v>108</v>
      </c>
      <c r="I65" s="5"/>
      <c r="J65" s="5"/>
      <c r="K65" s="5">
        <v>204</v>
      </c>
      <c r="L65" s="5">
        <v>13</v>
      </c>
      <c r="M65" s="5">
        <v>3</v>
      </c>
      <c r="N65" s="5" t="s">
        <v>3</v>
      </c>
      <c r="O65" s="5">
        <v>2</v>
      </c>
      <c r="P65" s="5">
        <f>ROUND(Source!DJ51,O65)</f>
        <v>87.99</v>
      </c>
      <c r="Q65" s="5"/>
      <c r="R65" s="5"/>
      <c r="S65" s="5"/>
      <c r="T65" s="5"/>
      <c r="U65" s="5"/>
      <c r="V65" s="5"/>
      <c r="W65" s="5">
        <v>1.6</v>
      </c>
      <c r="X65" s="5">
        <v>1</v>
      </c>
      <c r="Y65" s="5">
        <v>1.6</v>
      </c>
      <c r="Z65" s="5">
        <v>87.99</v>
      </c>
      <c r="AA65" s="5">
        <v>1</v>
      </c>
      <c r="AB65" s="5">
        <v>87.99</v>
      </c>
    </row>
    <row r="66" spans="1:28" x14ac:dyDescent="0.2">
      <c r="A66" s="5">
        <v>50</v>
      </c>
      <c r="B66" s="5">
        <v>0</v>
      </c>
      <c r="C66" s="5">
        <v>0</v>
      </c>
      <c r="D66" s="5">
        <v>1</v>
      </c>
      <c r="E66" s="5">
        <v>205</v>
      </c>
      <c r="F66" s="5">
        <f>ROUND(Source!S51,O66)</f>
        <v>99.95</v>
      </c>
      <c r="G66" s="5" t="s">
        <v>109</v>
      </c>
      <c r="H66" s="5" t="s">
        <v>110</v>
      </c>
      <c r="I66" s="5"/>
      <c r="J66" s="5"/>
      <c r="K66" s="5">
        <v>205</v>
      </c>
      <c r="L66" s="5">
        <v>14</v>
      </c>
      <c r="M66" s="5">
        <v>3</v>
      </c>
      <c r="N66" s="5" t="s">
        <v>3</v>
      </c>
      <c r="O66" s="5">
        <v>2</v>
      </c>
      <c r="P66" s="5">
        <f>ROUND(Source!DK51,O66)</f>
        <v>5496.25</v>
      </c>
      <c r="Q66" s="5"/>
      <c r="R66" s="5"/>
      <c r="S66" s="5"/>
      <c r="T66" s="5"/>
      <c r="U66" s="5"/>
      <c r="V66" s="5"/>
      <c r="W66" s="5">
        <v>99.95</v>
      </c>
      <c r="X66" s="5">
        <v>1</v>
      </c>
      <c r="Y66" s="5">
        <v>99.95</v>
      </c>
      <c r="Z66" s="5">
        <v>5496.25</v>
      </c>
      <c r="AA66" s="5">
        <v>1</v>
      </c>
      <c r="AB66" s="5">
        <v>5496.25</v>
      </c>
    </row>
    <row r="67" spans="1:28" x14ac:dyDescent="0.2">
      <c r="A67" s="5">
        <v>50</v>
      </c>
      <c r="B67" s="5">
        <v>0</v>
      </c>
      <c r="C67" s="5">
        <v>0</v>
      </c>
      <c r="D67" s="5">
        <v>1</v>
      </c>
      <c r="E67" s="5">
        <v>232</v>
      </c>
      <c r="F67" s="5">
        <f>ROUND(Source!BC51,O67)</f>
        <v>0</v>
      </c>
      <c r="G67" s="5" t="s">
        <v>111</v>
      </c>
      <c r="H67" s="5" t="s">
        <v>112</v>
      </c>
      <c r="I67" s="5"/>
      <c r="J67" s="5"/>
      <c r="K67" s="5">
        <v>232</v>
      </c>
      <c r="L67" s="5">
        <v>15</v>
      </c>
      <c r="M67" s="5">
        <v>3</v>
      </c>
      <c r="N67" s="5" t="s">
        <v>3</v>
      </c>
      <c r="O67" s="5">
        <v>2</v>
      </c>
      <c r="P67" s="5">
        <f>ROUND(Source!EU51,O67)</f>
        <v>0</v>
      </c>
      <c r="Q67" s="5"/>
      <c r="R67" s="5"/>
      <c r="S67" s="5"/>
      <c r="T67" s="5"/>
      <c r="U67" s="5"/>
      <c r="V67" s="5"/>
      <c r="W67" s="5">
        <v>0</v>
      </c>
      <c r="X67" s="5">
        <v>1</v>
      </c>
      <c r="Y67" s="5">
        <v>0</v>
      </c>
      <c r="Z67" s="5">
        <v>0</v>
      </c>
      <c r="AA67" s="5">
        <v>1</v>
      </c>
      <c r="AB67" s="5">
        <v>0</v>
      </c>
    </row>
    <row r="68" spans="1:28" x14ac:dyDescent="0.2">
      <c r="A68" s="5">
        <v>50</v>
      </c>
      <c r="B68" s="5">
        <v>0</v>
      </c>
      <c r="C68" s="5">
        <v>0</v>
      </c>
      <c r="D68" s="5">
        <v>1</v>
      </c>
      <c r="E68" s="5">
        <v>214</v>
      </c>
      <c r="F68" s="5">
        <f>ROUND(Source!AS51,O68)</f>
        <v>26421.05</v>
      </c>
      <c r="G68" s="5" t="s">
        <v>113</v>
      </c>
      <c r="H68" s="5" t="s">
        <v>114</v>
      </c>
      <c r="I68" s="5"/>
      <c r="J68" s="5"/>
      <c r="K68" s="5">
        <v>214</v>
      </c>
      <c r="L68" s="5">
        <v>16</v>
      </c>
      <c r="M68" s="5">
        <v>3</v>
      </c>
      <c r="N68" s="5" t="s">
        <v>3</v>
      </c>
      <c r="O68" s="5">
        <v>2</v>
      </c>
      <c r="P68" s="5">
        <f>ROUND(Source!EK51,O68)</f>
        <v>266614.13</v>
      </c>
      <c r="Q68" s="5"/>
      <c r="R68" s="5"/>
      <c r="S68" s="5"/>
      <c r="T68" s="5"/>
      <c r="U68" s="5"/>
      <c r="V68" s="5"/>
      <c r="W68" s="5">
        <v>26421.05</v>
      </c>
      <c r="X68" s="5">
        <v>1</v>
      </c>
      <c r="Y68" s="5">
        <v>26421.05</v>
      </c>
      <c r="Z68" s="5">
        <v>266614.13</v>
      </c>
      <c r="AA68" s="5">
        <v>1</v>
      </c>
      <c r="AB68" s="5">
        <v>266614.13</v>
      </c>
    </row>
    <row r="69" spans="1:28" x14ac:dyDescent="0.2">
      <c r="A69" s="5">
        <v>50</v>
      </c>
      <c r="B69" s="5">
        <v>0</v>
      </c>
      <c r="C69" s="5">
        <v>0</v>
      </c>
      <c r="D69" s="5">
        <v>1</v>
      </c>
      <c r="E69" s="5">
        <v>215</v>
      </c>
      <c r="F69" s="5">
        <f>ROUND(Source!AT51,O69)</f>
        <v>131.83000000000001</v>
      </c>
      <c r="G69" s="5" t="s">
        <v>115</v>
      </c>
      <c r="H69" s="5" t="s">
        <v>116</v>
      </c>
      <c r="I69" s="5"/>
      <c r="J69" s="5"/>
      <c r="K69" s="5">
        <v>215</v>
      </c>
      <c r="L69" s="5">
        <v>17</v>
      </c>
      <c r="M69" s="5">
        <v>3</v>
      </c>
      <c r="N69" s="5" t="s">
        <v>3</v>
      </c>
      <c r="O69" s="5">
        <v>2</v>
      </c>
      <c r="P69" s="5">
        <f>ROUND(Source!EL51,O69)</f>
        <v>7193.49</v>
      </c>
      <c r="Q69" s="5"/>
      <c r="R69" s="5"/>
      <c r="S69" s="5"/>
      <c r="T69" s="5"/>
      <c r="U69" s="5"/>
      <c r="V69" s="5"/>
      <c r="W69" s="5">
        <v>131.83000000000001</v>
      </c>
      <c r="X69" s="5">
        <v>1</v>
      </c>
      <c r="Y69" s="5">
        <v>131.83000000000001</v>
      </c>
      <c r="Z69" s="5">
        <v>7193.49</v>
      </c>
      <c r="AA69" s="5">
        <v>1</v>
      </c>
      <c r="AB69" s="5">
        <v>7193.49</v>
      </c>
    </row>
    <row r="70" spans="1:28" x14ac:dyDescent="0.2">
      <c r="A70" s="5">
        <v>50</v>
      </c>
      <c r="B70" s="5">
        <v>0</v>
      </c>
      <c r="C70" s="5">
        <v>0</v>
      </c>
      <c r="D70" s="5">
        <v>1</v>
      </c>
      <c r="E70" s="5">
        <v>217</v>
      </c>
      <c r="F70" s="5">
        <f>ROUND(Source!AU51,O70)</f>
        <v>0</v>
      </c>
      <c r="G70" s="5" t="s">
        <v>117</v>
      </c>
      <c r="H70" s="5" t="s">
        <v>118</v>
      </c>
      <c r="I70" s="5"/>
      <c r="J70" s="5"/>
      <c r="K70" s="5">
        <v>217</v>
      </c>
      <c r="L70" s="5">
        <v>18</v>
      </c>
      <c r="M70" s="5">
        <v>3</v>
      </c>
      <c r="N70" s="5" t="s">
        <v>3</v>
      </c>
      <c r="O70" s="5">
        <v>2</v>
      </c>
      <c r="P70" s="5">
        <f>ROUND(Source!EM51,O70)</f>
        <v>0</v>
      </c>
      <c r="Q70" s="5"/>
      <c r="R70" s="5"/>
      <c r="S70" s="5"/>
      <c r="T70" s="5"/>
      <c r="U70" s="5"/>
      <c r="V70" s="5"/>
      <c r="W70" s="5">
        <v>0</v>
      </c>
      <c r="X70" s="5">
        <v>1</v>
      </c>
      <c r="Y70" s="5">
        <v>0</v>
      </c>
      <c r="Z70" s="5">
        <v>0</v>
      </c>
      <c r="AA70" s="5">
        <v>1</v>
      </c>
      <c r="AB70" s="5">
        <v>0</v>
      </c>
    </row>
    <row r="71" spans="1:28" x14ac:dyDescent="0.2">
      <c r="A71" s="5">
        <v>50</v>
      </c>
      <c r="B71" s="5">
        <v>0</v>
      </c>
      <c r="C71" s="5">
        <v>0</v>
      </c>
      <c r="D71" s="5">
        <v>1</v>
      </c>
      <c r="E71" s="5">
        <v>230</v>
      </c>
      <c r="F71" s="5">
        <f>ROUND(Source!BA51,O71)</f>
        <v>0</v>
      </c>
      <c r="G71" s="5" t="s">
        <v>119</v>
      </c>
      <c r="H71" s="5" t="s">
        <v>120</v>
      </c>
      <c r="I71" s="5"/>
      <c r="J71" s="5"/>
      <c r="K71" s="5">
        <v>230</v>
      </c>
      <c r="L71" s="5">
        <v>19</v>
      </c>
      <c r="M71" s="5">
        <v>3</v>
      </c>
      <c r="N71" s="5" t="s">
        <v>3</v>
      </c>
      <c r="O71" s="5">
        <v>2</v>
      </c>
      <c r="P71" s="5">
        <f>ROUND(Source!ES51,O71)</f>
        <v>0</v>
      </c>
      <c r="Q71" s="5"/>
      <c r="R71" s="5"/>
      <c r="S71" s="5"/>
      <c r="T71" s="5"/>
      <c r="U71" s="5"/>
      <c r="V71" s="5"/>
      <c r="W71" s="5">
        <v>0</v>
      </c>
      <c r="X71" s="5">
        <v>1</v>
      </c>
      <c r="Y71" s="5">
        <v>0</v>
      </c>
      <c r="Z71" s="5">
        <v>0</v>
      </c>
      <c r="AA71" s="5">
        <v>1</v>
      </c>
      <c r="AB71" s="5">
        <v>0</v>
      </c>
    </row>
    <row r="72" spans="1:28" x14ac:dyDescent="0.2">
      <c r="A72" s="5">
        <v>50</v>
      </c>
      <c r="B72" s="5">
        <v>0</v>
      </c>
      <c r="C72" s="5">
        <v>0</v>
      </c>
      <c r="D72" s="5">
        <v>1</v>
      </c>
      <c r="E72" s="5">
        <v>206</v>
      </c>
      <c r="F72" s="5">
        <f>ROUND(Source!T51,O72)</f>
        <v>0</v>
      </c>
      <c r="G72" s="5" t="s">
        <v>121</v>
      </c>
      <c r="H72" s="5" t="s">
        <v>122</v>
      </c>
      <c r="I72" s="5"/>
      <c r="J72" s="5"/>
      <c r="K72" s="5">
        <v>206</v>
      </c>
      <c r="L72" s="5">
        <v>20</v>
      </c>
      <c r="M72" s="5">
        <v>3</v>
      </c>
      <c r="N72" s="5" t="s">
        <v>3</v>
      </c>
      <c r="O72" s="5">
        <v>2</v>
      </c>
      <c r="P72" s="5">
        <f>ROUND(Source!DL51,O72)</f>
        <v>0</v>
      </c>
      <c r="Q72" s="5"/>
      <c r="R72" s="5"/>
      <c r="S72" s="5"/>
      <c r="T72" s="5"/>
      <c r="U72" s="5"/>
      <c r="V72" s="5"/>
      <c r="W72" s="5">
        <v>0</v>
      </c>
      <c r="X72" s="5">
        <v>1</v>
      </c>
      <c r="Y72" s="5">
        <v>0</v>
      </c>
      <c r="Z72" s="5">
        <v>0</v>
      </c>
      <c r="AA72" s="5">
        <v>1</v>
      </c>
      <c r="AB72" s="5">
        <v>0</v>
      </c>
    </row>
    <row r="73" spans="1:28" x14ac:dyDescent="0.2">
      <c r="A73" s="5">
        <v>50</v>
      </c>
      <c r="B73" s="5">
        <v>0</v>
      </c>
      <c r="C73" s="5">
        <v>0</v>
      </c>
      <c r="D73" s="5">
        <v>1</v>
      </c>
      <c r="E73" s="5">
        <v>207</v>
      </c>
      <c r="F73" s="5">
        <f>Source!U51</f>
        <v>8.0418206000000012</v>
      </c>
      <c r="G73" s="5" t="s">
        <v>123</v>
      </c>
      <c r="H73" s="5" t="s">
        <v>124</v>
      </c>
      <c r="I73" s="5"/>
      <c r="J73" s="5"/>
      <c r="K73" s="5">
        <v>207</v>
      </c>
      <c r="L73" s="5">
        <v>21</v>
      </c>
      <c r="M73" s="5">
        <v>3</v>
      </c>
      <c r="N73" s="5" t="s">
        <v>3</v>
      </c>
      <c r="O73" s="5">
        <v>-1</v>
      </c>
      <c r="P73" s="5">
        <f>Source!DM51</f>
        <v>8.0418206000000012</v>
      </c>
      <c r="Q73" s="5"/>
      <c r="R73" s="5"/>
      <c r="S73" s="5"/>
      <c r="T73" s="5"/>
      <c r="U73" s="5"/>
      <c r="V73" s="5"/>
      <c r="W73" s="5">
        <v>8.0418205999999994</v>
      </c>
      <c r="X73" s="5">
        <v>1</v>
      </c>
      <c r="Y73" s="5">
        <v>8.0418205999999994</v>
      </c>
      <c r="Z73" s="5">
        <v>8.0418205999999994</v>
      </c>
      <c r="AA73" s="5">
        <v>1</v>
      </c>
      <c r="AB73" s="5">
        <v>8.0418205999999994</v>
      </c>
    </row>
    <row r="74" spans="1:28" x14ac:dyDescent="0.2">
      <c r="A74" s="5">
        <v>50</v>
      </c>
      <c r="B74" s="5">
        <v>0</v>
      </c>
      <c r="C74" s="5">
        <v>0</v>
      </c>
      <c r="D74" s="5">
        <v>1</v>
      </c>
      <c r="E74" s="5">
        <v>208</v>
      </c>
      <c r="F74" s="5">
        <f>Source!V51</f>
        <v>0</v>
      </c>
      <c r="G74" s="5" t="s">
        <v>125</v>
      </c>
      <c r="H74" s="5" t="s">
        <v>126</v>
      </c>
      <c r="I74" s="5"/>
      <c r="J74" s="5"/>
      <c r="K74" s="5">
        <v>208</v>
      </c>
      <c r="L74" s="5">
        <v>22</v>
      </c>
      <c r="M74" s="5">
        <v>3</v>
      </c>
      <c r="N74" s="5" t="s">
        <v>3</v>
      </c>
      <c r="O74" s="5">
        <v>-1</v>
      </c>
      <c r="P74" s="5">
        <f>Source!DN51</f>
        <v>0</v>
      </c>
      <c r="Q74" s="5"/>
      <c r="R74" s="5"/>
      <c r="S74" s="5"/>
      <c r="T74" s="5"/>
      <c r="U74" s="5"/>
      <c r="V74" s="5"/>
      <c r="W74" s="5">
        <v>0</v>
      </c>
      <c r="X74" s="5">
        <v>1</v>
      </c>
      <c r="Y74" s="5">
        <v>0</v>
      </c>
      <c r="Z74" s="5">
        <v>0</v>
      </c>
      <c r="AA74" s="5">
        <v>1</v>
      </c>
      <c r="AB74" s="5">
        <v>0</v>
      </c>
    </row>
    <row r="75" spans="1:28" x14ac:dyDescent="0.2">
      <c r="A75" s="5">
        <v>50</v>
      </c>
      <c r="B75" s="5">
        <v>0</v>
      </c>
      <c r="C75" s="5">
        <v>0</v>
      </c>
      <c r="D75" s="5">
        <v>1</v>
      </c>
      <c r="E75" s="5">
        <v>209</v>
      </c>
      <c r="F75" s="5">
        <f>ROUND(Source!W51,O75)</f>
        <v>0</v>
      </c>
      <c r="G75" s="5" t="s">
        <v>127</v>
      </c>
      <c r="H75" s="5" t="s">
        <v>128</v>
      </c>
      <c r="I75" s="5"/>
      <c r="J75" s="5"/>
      <c r="K75" s="5">
        <v>209</v>
      </c>
      <c r="L75" s="5">
        <v>23</v>
      </c>
      <c r="M75" s="5">
        <v>3</v>
      </c>
      <c r="N75" s="5" t="s">
        <v>3</v>
      </c>
      <c r="O75" s="5">
        <v>2</v>
      </c>
      <c r="P75" s="5">
        <f>ROUND(Source!DO51,O75)</f>
        <v>0</v>
      </c>
      <c r="Q75" s="5"/>
      <c r="R75" s="5"/>
      <c r="S75" s="5"/>
      <c r="T75" s="5"/>
      <c r="U75" s="5"/>
      <c r="V75" s="5"/>
      <c r="W75" s="5">
        <v>0</v>
      </c>
      <c r="X75" s="5">
        <v>1</v>
      </c>
      <c r="Y75" s="5">
        <v>0</v>
      </c>
      <c r="Z75" s="5">
        <v>0</v>
      </c>
      <c r="AA75" s="5">
        <v>1</v>
      </c>
      <c r="AB75" s="5">
        <v>0</v>
      </c>
    </row>
    <row r="76" spans="1:28" x14ac:dyDescent="0.2">
      <c r="A76" s="5">
        <v>50</v>
      </c>
      <c r="B76" s="5">
        <v>0</v>
      </c>
      <c r="C76" s="5">
        <v>0</v>
      </c>
      <c r="D76" s="5">
        <v>1</v>
      </c>
      <c r="E76" s="5">
        <v>233</v>
      </c>
      <c r="F76" s="5">
        <f>ROUND(Source!BD51,O76)</f>
        <v>0</v>
      </c>
      <c r="G76" s="5" t="s">
        <v>129</v>
      </c>
      <c r="H76" s="5" t="s">
        <v>130</v>
      </c>
      <c r="I76" s="5"/>
      <c r="J76" s="5"/>
      <c r="K76" s="5">
        <v>233</v>
      </c>
      <c r="L76" s="5">
        <v>24</v>
      </c>
      <c r="M76" s="5">
        <v>3</v>
      </c>
      <c r="N76" s="5" t="s">
        <v>3</v>
      </c>
      <c r="O76" s="5">
        <v>2</v>
      </c>
      <c r="P76" s="5">
        <f>ROUND(Source!EV51,O76)</f>
        <v>0</v>
      </c>
      <c r="Q76" s="5"/>
      <c r="R76" s="5"/>
      <c r="S76" s="5"/>
      <c r="T76" s="5"/>
      <c r="U76" s="5"/>
      <c r="V76" s="5"/>
      <c r="W76" s="5">
        <v>0</v>
      </c>
      <c r="X76" s="5">
        <v>1</v>
      </c>
      <c r="Y76" s="5">
        <v>0</v>
      </c>
      <c r="Z76" s="5">
        <v>0</v>
      </c>
      <c r="AA76" s="5">
        <v>1</v>
      </c>
      <c r="AB76" s="5">
        <v>0</v>
      </c>
    </row>
    <row r="77" spans="1:28" x14ac:dyDescent="0.2">
      <c r="A77" s="5">
        <v>50</v>
      </c>
      <c r="B77" s="5">
        <v>0</v>
      </c>
      <c r="C77" s="5">
        <v>0</v>
      </c>
      <c r="D77" s="5">
        <v>1</v>
      </c>
      <c r="E77" s="5">
        <v>210</v>
      </c>
      <c r="F77" s="5">
        <f>ROUND(Source!X51,O77)</f>
        <v>99.96</v>
      </c>
      <c r="G77" s="5" t="s">
        <v>131</v>
      </c>
      <c r="H77" s="5" t="s">
        <v>132</v>
      </c>
      <c r="I77" s="5"/>
      <c r="J77" s="5"/>
      <c r="K77" s="5">
        <v>210</v>
      </c>
      <c r="L77" s="5">
        <v>25</v>
      </c>
      <c r="M77" s="5">
        <v>3</v>
      </c>
      <c r="N77" s="5" t="s">
        <v>3</v>
      </c>
      <c r="O77" s="5">
        <v>2</v>
      </c>
      <c r="P77" s="5">
        <f>ROUND(Source!DP51,O77)</f>
        <v>5496.25</v>
      </c>
      <c r="Q77" s="5"/>
      <c r="R77" s="5"/>
      <c r="S77" s="5"/>
      <c r="T77" s="5"/>
      <c r="U77" s="5"/>
      <c r="V77" s="5"/>
      <c r="W77" s="5">
        <v>99.96</v>
      </c>
      <c r="X77" s="5">
        <v>1</v>
      </c>
      <c r="Y77" s="5">
        <v>99.96</v>
      </c>
      <c r="Z77" s="5">
        <v>5496.25</v>
      </c>
      <c r="AA77" s="5">
        <v>1</v>
      </c>
      <c r="AB77" s="5">
        <v>5496.25</v>
      </c>
    </row>
    <row r="78" spans="1:28" x14ac:dyDescent="0.2">
      <c r="A78" s="5">
        <v>50</v>
      </c>
      <c r="B78" s="5">
        <v>0</v>
      </c>
      <c r="C78" s="5">
        <v>0</v>
      </c>
      <c r="D78" s="5">
        <v>1</v>
      </c>
      <c r="E78" s="5">
        <v>211</v>
      </c>
      <c r="F78" s="5">
        <f>ROUND(Source!Y51,O78)</f>
        <v>53.02</v>
      </c>
      <c r="G78" s="5" t="s">
        <v>133</v>
      </c>
      <c r="H78" s="5" t="s">
        <v>134</v>
      </c>
      <c r="I78" s="5"/>
      <c r="J78" s="5"/>
      <c r="K78" s="5">
        <v>211</v>
      </c>
      <c r="L78" s="5">
        <v>26</v>
      </c>
      <c r="M78" s="5">
        <v>3</v>
      </c>
      <c r="N78" s="5" t="s">
        <v>3</v>
      </c>
      <c r="O78" s="5">
        <v>2</v>
      </c>
      <c r="P78" s="5">
        <f>ROUND(Source!DQ51,O78)</f>
        <v>2915.68</v>
      </c>
      <c r="Q78" s="5"/>
      <c r="R78" s="5"/>
      <c r="S78" s="5"/>
      <c r="T78" s="5"/>
      <c r="U78" s="5"/>
      <c r="V78" s="5"/>
      <c r="W78" s="5">
        <v>53.02</v>
      </c>
      <c r="X78" s="5">
        <v>1</v>
      </c>
      <c r="Y78" s="5">
        <v>53.02</v>
      </c>
      <c r="Z78" s="5">
        <v>2915.68</v>
      </c>
      <c r="AA78" s="5">
        <v>1</v>
      </c>
      <c r="AB78" s="5">
        <v>2915.68</v>
      </c>
    </row>
    <row r="79" spans="1:28" x14ac:dyDescent="0.2">
      <c r="A79" s="5">
        <v>50</v>
      </c>
      <c r="B79" s="5">
        <v>0</v>
      </c>
      <c r="C79" s="5">
        <v>0</v>
      </c>
      <c r="D79" s="5">
        <v>1</v>
      </c>
      <c r="E79" s="5">
        <v>224</v>
      </c>
      <c r="F79" s="5">
        <f>ROUND(Source!AR51,O79)</f>
        <v>376172.05</v>
      </c>
      <c r="G79" s="5" t="s">
        <v>135</v>
      </c>
      <c r="H79" s="5" t="s">
        <v>136</v>
      </c>
      <c r="I79" s="5"/>
      <c r="J79" s="5"/>
      <c r="K79" s="5">
        <v>224</v>
      </c>
      <c r="L79" s="5">
        <v>27</v>
      </c>
      <c r="M79" s="5">
        <v>3</v>
      </c>
      <c r="N79" s="5" t="s">
        <v>3</v>
      </c>
      <c r="O79" s="5">
        <v>2</v>
      </c>
      <c r="P79" s="5">
        <f>ROUND(Source!EJ51,O79)</f>
        <v>2977265.57</v>
      </c>
      <c r="Q79" s="5"/>
      <c r="R79" s="5"/>
      <c r="S79" s="5"/>
      <c r="T79" s="5"/>
      <c r="U79" s="5"/>
      <c r="V79" s="5"/>
      <c r="W79" s="5">
        <v>376172.05</v>
      </c>
      <c r="X79" s="5">
        <v>1</v>
      </c>
      <c r="Y79" s="5">
        <v>376172.05</v>
      </c>
      <c r="Z79" s="5">
        <v>2977265.57</v>
      </c>
      <c r="AA79" s="5">
        <v>1</v>
      </c>
      <c r="AB79" s="5">
        <v>2977265.57</v>
      </c>
    </row>
    <row r="81" spans="1:206" x14ac:dyDescent="0.2">
      <c r="A81" s="3">
        <v>51</v>
      </c>
      <c r="B81" s="3">
        <f>B20</f>
        <v>1</v>
      </c>
      <c r="C81" s="3">
        <f>A20</f>
        <v>3</v>
      </c>
      <c r="D81" s="3">
        <f>ROW(A20)</f>
        <v>20</v>
      </c>
      <c r="E81" s="3"/>
      <c r="F81" s="3" t="str">
        <f>IF(F20&lt;&gt;"",F20,"")</f>
        <v>02-01-20</v>
      </c>
      <c r="G81" s="3" t="str">
        <f>IF(G20&lt;&gt;"",G20,"")</f>
        <v>Мероприятия по противодействию террористическим актам</v>
      </c>
      <c r="H81" s="3">
        <v>0</v>
      </c>
      <c r="I81" s="3"/>
      <c r="J81" s="3"/>
      <c r="K81" s="3"/>
      <c r="L81" s="3"/>
      <c r="M81" s="3"/>
      <c r="N81" s="3"/>
      <c r="O81" s="3">
        <f t="shared" ref="O81:T81" si="71">ROUND(O51+AB81,2)</f>
        <v>376019.07</v>
      </c>
      <c r="P81" s="3">
        <f t="shared" si="71"/>
        <v>375907.12</v>
      </c>
      <c r="Q81" s="3">
        <f t="shared" si="71"/>
        <v>12</v>
      </c>
      <c r="R81" s="3">
        <f t="shared" si="71"/>
        <v>1.6</v>
      </c>
      <c r="S81" s="3">
        <f t="shared" si="71"/>
        <v>99.95</v>
      </c>
      <c r="T81" s="3">
        <f t="shared" si="71"/>
        <v>0</v>
      </c>
      <c r="U81" s="3">
        <f>U51+AH81</f>
        <v>8.0418206000000012</v>
      </c>
      <c r="V81" s="3">
        <f>V51+AI81</f>
        <v>0</v>
      </c>
      <c r="W81" s="3">
        <f>ROUND(W51+AJ81,2)</f>
        <v>0</v>
      </c>
      <c r="X81" s="3">
        <f>ROUND(X51+AK81,2)</f>
        <v>99.96</v>
      </c>
      <c r="Y81" s="3">
        <f>ROUND(Y51+AL81,2)</f>
        <v>53.02</v>
      </c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>
        <f t="shared" ref="AO81:BD81" si="72">ROUND(AO51+BX81,2)</f>
        <v>0</v>
      </c>
      <c r="AP81" s="3">
        <f t="shared" si="72"/>
        <v>349619.17</v>
      </c>
      <c r="AQ81" s="3">
        <f t="shared" si="72"/>
        <v>0</v>
      </c>
      <c r="AR81" s="3">
        <f t="shared" si="72"/>
        <v>376172.05</v>
      </c>
      <c r="AS81" s="3">
        <f t="shared" si="72"/>
        <v>26421.05</v>
      </c>
      <c r="AT81" s="3">
        <f t="shared" si="72"/>
        <v>131.83000000000001</v>
      </c>
      <c r="AU81" s="3">
        <f t="shared" si="72"/>
        <v>0</v>
      </c>
      <c r="AV81" s="3">
        <f t="shared" si="72"/>
        <v>375907.12</v>
      </c>
      <c r="AW81" s="3">
        <f t="shared" si="72"/>
        <v>26287.95</v>
      </c>
      <c r="AX81" s="3">
        <f t="shared" si="72"/>
        <v>0</v>
      </c>
      <c r="AY81" s="3">
        <f t="shared" si="72"/>
        <v>26287.95</v>
      </c>
      <c r="AZ81" s="3">
        <f t="shared" si="72"/>
        <v>349619.17</v>
      </c>
      <c r="BA81" s="3">
        <f t="shared" si="72"/>
        <v>0</v>
      </c>
      <c r="BB81" s="3">
        <f t="shared" si="72"/>
        <v>0</v>
      </c>
      <c r="BC81" s="3">
        <f t="shared" si="72"/>
        <v>0</v>
      </c>
      <c r="BD81" s="3">
        <f t="shared" si="72"/>
        <v>0</v>
      </c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4">
        <f t="shared" ref="DG81:DL81" si="73">ROUND(DG51+DT81,2)</f>
        <v>2968853.64</v>
      </c>
      <c r="DH81" s="4">
        <f t="shared" si="73"/>
        <v>2963173.09</v>
      </c>
      <c r="DI81" s="4">
        <f t="shared" si="73"/>
        <v>184.3</v>
      </c>
      <c r="DJ81" s="4">
        <f t="shared" si="73"/>
        <v>87.99</v>
      </c>
      <c r="DK81" s="4">
        <f t="shared" si="73"/>
        <v>5496.25</v>
      </c>
      <c r="DL81" s="4">
        <f t="shared" si="73"/>
        <v>0</v>
      </c>
      <c r="DM81" s="4">
        <f>DM51+DZ81</f>
        <v>8.0418206000000012</v>
      </c>
      <c r="DN81" s="4">
        <f>DN51+EA81</f>
        <v>0</v>
      </c>
      <c r="DO81" s="4">
        <f>ROUND(DO51+EB81,2)</f>
        <v>0</v>
      </c>
      <c r="DP81" s="4">
        <f>ROUND(DP51+EC81,2)</f>
        <v>5496.25</v>
      </c>
      <c r="DQ81" s="4">
        <f>ROUND(DQ51+ED81,2)</f>
        <v>2915.68</v>
      </c>
      <c r="DR81" s="4"/>
      <c r="DS81" s="4"/>
      <c r="DT81" s="4"/>
      <c r="DU81" s="4"/>
      <c r="DV81" s="4"/>
      <c r="DW81" s="4"/>
      <c r="DX81" s="4"/>
      <c r="DY81" s="4"/>
      <c r="DZ81" s="4"/>
      <c r="EA81" s="4"/>
      <c r="EB81" s="4"/>
      <c r="EC81" s="4"/>
      <c r="ED81" s="4"/>
      <c r="EE81" s="4"/>
      <c r="EF81" s="4"/>
      <c r="EG81" s="4">
        <f t="shared" ref="EG81:EV81" si="74">ROUND(EG51+FP81,2)</f>
        <v>0</v>
      </c>
      <c r="EH81" s="4">
        <f t="shared" si="74"/>
        <v>2703457.95</v>
      </c>
      <c r="EI81" s="4">
        <f t="shared" si="74"/>
        <v>0</v>
      </c>
      <c r="EJ81" s="4">
        <f t="shared" si="74"/>
        <v>2977265.57</v>
      </c>
      <c r="EK81" s="4">
        <f t="shared" si="74"/>
        <v>266614.13</v>
      </c>
      <c r="EL81" s="4">
        <f t="shared" si="74"/>
        <v>7193.49</v>
      </c>
      <c r="EM81" s="4">
        <f t="shared" si="74"/>
        <v>0</v>
      </c>
      <c r="EN81" s="4">
        <f t="shared" si="74"/>
        <v>2963173.09</v>
      </c>
      <c r="EO81" s="4">
        <f t="shared" si="74"/>
        <v>259715.14</v>
      </c>
      <c r="EP81" s="4">
        <f t="shared" si="74"/>
        <v>0</v>
      </c>
      <c r="EQ81" s="4">
        <f t="shared" si="74"/>
        <v>259715.14</v>
      </c>
      <c r="ER81" s="4">
        <f t="shared" si="74"/>
        <v>2703457.95</v>
      </c>
      <c r="ES81" s="4">
        <f t="shared" si="74"/>
        <v>0</v>
      </c>
      <c r="ET81" s="4">
        <f t="shared" si="74"/>
        <v>0</v>
      </c>
      <c r="EU81" s="4">
        <f t="shared" si="74"/>
        <v>0</v>
      </c>
      <c r="EV81" s="4">
        <f t="shared" si="74"/>
        <v>0</v>
      </c>
      <c r="EW81" s="4"/>
      <c r="EX81" s="4"/>
      <c r="EY81" s="4"/>
      <c r="EZ81" s="4"/>
      <c r="FA81" s="4"/>
      <c r="FB81" s="4"/>
      <c r="FC81" s="4"/>
      <c r="FD81" s="4"/>
      <c r="FE81" s="4"/>
      <c r="FF81" s="4"/>
      <c r="FG81" s="4"/>
      <c r="FH81" s="4"/>
      <c r="FI81" s="4"/>
      <c r="FJ81" s="4"/>
      <c r="FK81" s="4"/>
      <c r="FL81" s="4"/>
      <c r="FM81" s="4"/>
      <c r="FN81" s="4"/>
      <c r="FO81" s="4"/>
      <c r="FP81" s="4"/>
      <c r="FQ81" s="4"/>
      <c r="FR81" s="4"/>
      <c r="FS81" s="4"/>
      <c r="FT81" s="4"/>
      <c r="FU81" s="4"/>
      <c r="FV81" s="4"/>
      <c r="FW81" s="4"/>
      <c r="FX81" s="4"/>
      <c r="FY81" s="4"/>
      <c r="FZ81" s="4"/>
      <c r="GA81" s="4"/>
      <c r="GB81" s="4"/>
      <c r="GC81" s="4"/>
      <c r="GD81" s="4"/>
      <c r="GE81" s="4"/>
      <c r="GF81" s="4"/>
      <c r="GG81" s="4"/>
      <c r="GH81" s="4"/>
      <c r="GI81" s="4"/>
      <c r="GJ81" s="4"/>
      <c r="GK81" s="4"/>
      <c r="GL81" s="4"/>
      <c r="GM81" s="4"/>
      <c r="GN81" s="4"/>
      <c r="GO81" s="4"/>
      <c r="GP81" s="4"/>
      <c r="GQ81" s="4"/>
      <c r="GR81" s="4"/>
      <c r="GS81" s="4"/>
      <c r="GT81" s="4"/>
      <c r="GU81" s="4"/>
      <c r="GV81" s="4"/>
      <c r="GW81" s="4"/>
      <c r="GX81" s="4">
        <v>0</v>
      </c>
    </row>
    <row r="83" spans="1:206" x14ac:dyDescent="0.2">
      <c r="A83" s="5">
        <v>50</v>
      </c>
      <c r="B83" s="5">
        <v>0</v>
      </c>
      <c r="C83" s="5">
        <v>0</v>
      </c>
      <c r="D83" s="5">
        <v>1</v>
      </c>
      <c r="E83" s="5">
        <v>201</v>
      </c>
      <c r="F83" s="5">
        <f>ROUND(Source!O81,O83)</f>
        <v>376019.07</v>
      </c>
      <c r="G83" s="5" t="s">
        <v>83</v>
      </c>
      <c r="H83" s="5" t="s">
        <v>84</v>
      </c>
      <c r="I83" s="5"/>
      <c r="J83" s="5"/>
      <c r="K83" s="5">
        <v>201</v>
      </c>
      <c r="L83" s="5">
        <v>1</v>
      </c>
      <c r="M83" s="5">
        <v>3</v>
      </c>
      <c r="N83" s="5" t="s">
        <v>3</v>
      </c>
      <c r="O83" s="5">
        <v>2</v>
      </c>
      <c r="P83" s="5">
        <f>ROUND(Source!DG81,O83)</f>
        <v>2968853.64</v>
      </c>
      <c r="Q83" s="5"/>
      <c r="R83" s="5"/>
      <c r="S83" s="5"/>
      <c r="T83" s="5"/>
      <c r="U83" s="5"/>
      <c r="V83" s="5"/>
      <c r="W83" s="5">
        <v>376019.07</v>
      </c>
      <c r="X83" s="5">
        <v>1</v>
      </c>
      <c r="Y83" s="5">
        <v>376019.07</v>
      </c>
      <c r="Z83" s="5">
        <v>2968853.64</v>
      </c>
      <c r="AA83" s="5">
        <v>1</v>
      </c>
      <c r="AB83" s="5">
        <v>2968853.64</v>
      </c>
    </row>
    <row r="84" spans="1:206" x14ac:dyDescent="0.2">
      <c r="A84" s="5">
        <v>50</v>
      </c>
      <c r="B84" s="5">
        <v>0</v>
      </c>
      <c r="C84" s="5">
        <v>0</v>
      </c>
      <c r="D84" s="5">
        <v>1</v>
      </c>
      <c r="E84" s="5">
        <v>202</v>
      </c>
      <c r="F84" s="5">
        <f>ROUND(Source!P81,O84)</f>
        <v>375907.12</v>
      </c>
      <c r="G84" s="5" t="s">
        <v>85</v>
      </c>
      <c r="H84" s="5" t="s">
        <v>86</v>
      </c>
      <c r="I84" s="5"/>
      <c r="J84" s="5"/>
      <c r="K84" s="5">
        <v>202</v>
      </c>
      <c r="L84" s="5">
        <v>2</v>
      </c>
      <c r="M84" s="5">
        <v>3</v>
      </c>
      <c r="N84" s="5" t="s">
        <v>3</v>
      </c>
      <c r="O84" s="5">
        <v>2</v>
      </c>
      <c r="P84" s="5">
        <f>ROUND(Source!DH81,O84)</f>
        <v>2963173.09</v>
      </c>
      <c r="Q84" s="5"/>
      <c r="R84" s="5"/>
      <c r="S84" s="5"/>
      <c r="T84" s="5"/>
      <c r="U84" s="5"/>
      <c r="V84" s="5"/>
      <c r="W84" s="5">
        <v>375907.12</v>
      </c>
      <c r="X84" s="5">
        <v>1</v>
      </c>
      <c r="Y84" s="5">
        <v>375907.12</v>
      </c>
      <c r="Z84" s="5">
        <v>2963173.09</v>
      </c>
      <c r="AA84" s="5">
        <v>1</v>
      </c>
      <c r="AB84" s="5">
        <v>2963173.09</v>
      </c>
    </row>
    <row r="85" spans="1:206" x14ac:dyDescent="0.2">
      <c r="A85" s="5">
        <v>50</v>
      </c>
      <c r="B85" s="5">
        <v>0</v>
      </c>
      <c r="C85" s="5">
        <v>0</v>
      </c>
      <c r="D85" s="5">
        <v>1</v>
      </c>
      <c r="E85" s="5">
        <v>222</v>
      </c>
      <c r="F85" s="5">
        <f>ROUND(Source!AO81,O85)</f>
        <v>0</v>
      </c>
      <c r="G85" s="5" t="s">
        <v>87</v>
      </c>
      <c r="H85" s="5" t="s">
        <v>88</v>
      </c>
      <c r="I85" s="5"/>
      <c r="J85" s="5"/>
      <c r="K85" s="5">
        <v>222</v>
      </c>
      <c r="L85" s="5">
        <v>3</v>
      </c>
      <c r="M85" s="5">
        <v>3</v>
      </c>
      <c r="N85" s="5" t="s">
        <v>3</v>
      </c>
      <c r="O85" s="5">
        <v>2</v>
      </c>
      <c r="P85" s="5">
        <f>ROUND(Source!EG81,O85)</f>
        <v>0</v>
      </c>
      <c r="Q85" s="5"/>
      <c r="R85" s="5"/>
      <c r="S85" s="5"/>
      <c r="T85" s="5"/>
      <c r="U85" s="5"/>
      <c r="V85" s="5"/>
      <c r="W85" s="5">
        <v>0</v>
      </c>
      <c r="X85" s="5">
        <v>1</v>
      </c>
      <c r="Y85" s="5">
        <v>0</v>
      </c>
      <c r="Z85" s="5">
        <v>0</v>
      </c>
      <c r="AA85" s="5">
        <v>1</v>
      </c>
      <c r="AB85" s="5">
        <v>0</v>
      </c>
    </row>
    <row r="86" spans="1:206" x14ac:dyDescent="0.2">
      <c r="A86" s="5">
        <v>50</v>
      </c>
      <c r="B86" s="5">
        <v>0</v>
      </c>
      <c r="C86" s="5">
        <v>0</v>
      </c>
      <c r="D86" s="5">
        <v>1</v>
      </c>
      <c r="E86" s="5">
        <v>225</v>
      </c>
      <c r="F86" s="5">
        <f>ROUND(Source!AV81,O86)</f>
        <v>375907.12</v>
      </c>
      <c r="G86" s="5" t="s">
        <v>89</v>
      </c>
      <c r="H86" s="5" t="s">
        <v>90</v>
      </c>
      <c r="I86" s="5"/>
      <c r="J86" s="5"/>
      <c r="K86" s="5">
        <v>225</v>
      </c>
      <c r="L86" s="5">
        <v>4</v>
      </c>
      <c r="M86" s="5">
        <v>3</v>
      </c>
      <c r="N86" s="5" t="s">
        <v>3</v>
      </c>
      <c r="O86" s="5">
        <v>2</v>
      </c>
      <c r="P86" s="5">
        <f>ROUND(Source!EN81,O86)</f>
        <v>2963173.09</v>
      </c>
      <c r="Q86" s="5"/>
      <c r="R86" s="5"/>
      <c r="S86" s="5"/>
      <c r="T86" s="5"/>
      <c r="U86" s="5"/>
      <c r="V86" s="5"/>
      <c r="W86" s="5">
        <v>375907.12</v>
      </c>
      <c r="X86" s="5">
        <v>1</v>
      </c>
      <c r="Y86" s="5">
        <v>375907.12</v>
      </c>
      <c r="Z86" s="5">
        <v>2963173.09</v>
      </c>
      <c r="AA86" s="5">
        <v>1</v>
      </c>
      <c r="AB86" s="5">
        <v>2963173.09</v>
      </c>
    </row>
    <row r="87" spans="1:206" x14ac:dyDescent="0.2">
      <c r="A87" s="5">
        <v>50</v>
      </c>
      <c r="B87" s="5">
        <v>0</v>
      </c>
      <c r="C87" s="5">
        <v>0</v>
      </c>
      <c r="D87" s="5">
        <v>1</v>
      </c>
      <c r="E87" s="5">
        <v>226</v>
      </c>
      <c r="F87" s="5">
        <f>ROUND(Source!AW81,O87)</f>
        <v>26287.95</v>
      </c>
      <c r="G87" s="5" t="s">
        <v>91</v>
      </c>
      <c r="H87" s="5" t="s">
        <v>92</v>
      </c>
      <c r="I87" s="5"/>
      <c r="J87" s="5"/>
      <c r="K87" s="5">
        <v>226</v>
      </c>
      <c r="L87" s="5">
        <v>5</v>
      </c>
      <c r="M87" s="5">
        <v>3</v>
      </c>
      <c r="N87" s="5" t="s">
        <v>3</v>
      </c>
      <c r="O87" s="5">
        <v>2</v>
      </c>
      <c r="P87" s="5">
        <f>ROUND(Source!EO81,O87)</f>
        <v>259715.14</v>
      </c>
      <c r="Q87" s="5"/>
      <c r="R87" s="5"/>
      <c r="S87" s="5"/>
      <c r="T87" s="5"/>
      <c r="U87" s="5"/>
      <c r="V87" s="5"/>
      <c r="W87" s="5">
        <v>26287.95</v>
      </c>
      <c r="X87" s="5">
        <v>1</v>
      </c>
      <c r="Y87" s="5">
        <v>26287.95</v>
      </c>
      <c r="Z87" s="5">
        <v>259715.14</v>
      </c>
      <c r="AA87" s="5">
        <v>1</v>
      </c>
      <c r="AB87" s="5">
        <v>259715.14</v>
      </c>
    </row>
    <row r="88" spans="1:206" x14ac:dyDescent="0.2">
      <c r="A88" s="5">
        <v>50</v>
      </c>
      <c r="B88" s="5">
        <v>0</v>
      </c>
      <c r="C88" s="5">
        <v>0</v>
      </c>
      <c r="D88" s="5">
        <v>1</v>
      </c>
      <c r="E88" s="5">
        <v>227</v>
      </c>
      <c r="F88" s="5">
        <f>ROUND(Source!AX81,O88)</f>
        <v>0</v>
      </c>
      <c r="G88" s="5" t="s">
        <v>93</v>
      </c>
      <c r="H88" s="5" t="s">
        <v>94</v>
      </c>
      <c r="I88" s="5"/>
      <c r="J88" s="5"/>
      <c r="K88" s="5">
        <v>227</v>
      </c>
      <c r="L88" s="5">
        <v>6</v>
      </c>
      <c r="M88" s="5">
        <v>3</v>
      </c>
      <c r="N88" s="5" t="s">
        <v>3</v>
      </c>
      <c r="O88" s="5">
        <v>2</v>
      </c>
      <c r="P88" s="5">
        <f>ROUND(Source!EP81,O88)</f>
        <v>0</v>
      </c>
      <c r="Q88" s="5"/>
      <c r="R88" s="5"/>
      <c r="S88" s="5"/>
      <c r="T88" s="5"/>
      <c r="U88" s="5"/>
      <c r="V88" s="5"/>
      <c r="W88" s="5">
        <v>0</v>
      </c>
      <c r="X88" s="5">
        <v>1</v>
      </c>
      <c r="Y88" s="5">
        <v>0</v>
      </c>
      <c r="Z88" s="5">
        <v>0</v>
      </c>
      <c r="AA88" s="5">
        <v>1</v>
      </c>
      <c r="AB88" s="5">
        <v>0</v>
      </c>
    </row>
    <row r="89" spans="1:206" x14ac:dyDescent="0.2">
      <c r="A89" s="5">
        <v>50</v>
      </c>
      <c r="B89" s="5">
        <v>0</v>
      </c>
      <c r="C89" s="5">
        <v>0</v>
      </c>
      <c r="D89" s="5">
        <v>1</v>
      </c>
      <c r="E89" s="5">
        <v>228</v>
      </c>
      <c r="F89" s="5">
        <f>ROUND(Source!AY81,O89)</f>
        <v>26287.95</v>
      </c>
      <c r="G89" s="5" t="s">
        <v>95</v>
      </c>
      <c r="H89" s="5" t="s">
        <v>96</v>
      </c>
      <c r="I89" s="5"/>
      <c r="J89" s="5"/>
      <c r="K89" s="5">
        <v>228</v>
      </c>
      <c r="L89" s="5">
        <v>7</v>
      </c>
      <c r="M89" s="5">
        <v>3</v>
      </c>
      <c r="N89" s="5" t="s">
        <v>3</v>
      </c>
      <c r="O89" s="5">
        <v>2</v>
      </c>
      <c r="P89" s="5">
        <f>ROUND(Source!EQ81,O89)</f>
        <v>259715.14</v>
      </c>
      <c r="Q89" s="5"/>
      <c r="R89" s="5"/>
      <c r="S89" s="5"/>
      <c r="T89" s="5"/>
      <c r="U89" s="5"/>
      <c r="V89" s="5"/>
      <c r="W89" s="5">
        <v>26287.95</v>
      </c>
      <c r="X89" s="5">
        <v>1</v>
      </c>
      <c r="Y89" s="5">
        <v>26287.95</v>
      </c>
      <c r="Z89" s="5">
        <v>259715.14</v>
      </c>
      <c r="AA89" s="5">
        <v>1</v>
      </c>
      <c r="AB89" s="5">
        <v>259715.14</v>
      </c>
    </row>
    <row r="90" spans="1:206" x14ac:dyDescent="0.2">
      <c r="A90" s="5">
        <v>50</v>
      </c>
      <c r="B90" s="5">
        <v>0</v>
      </c>
      <c r="C90" s="5">
        <v>0</v>
      </c>
      <c r="D90" s="5">
        <v>1</v>
      </c>
      <c r="E90" s="5">
        <v>216</v>
      </c>
      <c r="F90" s="5">
        <f>ROUND(Source!AP81,O90)</f>
        <v>349619.17</v>
      </c>
      <c r="G90" s="5" t="s">
        <v>97</v>
      </c>
      <c r="H90" s="5" t="s">
        <v>98</v>
      </c>
      <c r="I90" s="5"/>
      <c r="J90" s="5"/>
      <c r="K90" s="5">
        <v>216</v>
      </c>
      <c r="L90" s="5">
        <v>8</v>
      </c>
      <c r="M90" s="5">
        <v>3</v>
      </c>
      <c r="N90" s="5" t="s">
        <v>3</v>
      </c>
      <c r="O90" s="5">
        <v>2</v>
      </c>
      <c r="P90" s="5">
        <f>ROUND(Source!EH81,O90)</f>
        <v>2703457.95</v>
      </c>
      <c r="Q90" s="5"/>
      <c r="R90" s="5"/>
      <c r="S90" s="5"/>
      <c r="T90" s="5"/>
      <c r="U90" s="5"/>
      <c r="V90" s="5"/>
      <c r="W90" s="5">
        <v>349619.17</v>
      </c>
      <c r="X90" s="5">
        <v>1</v>
      </c>
      <c r="Y90" s="5">
        <v>349619.17</v>
      </c>
      <c r="Z90" s="5">
        <v>2703457.95</v>
      </c>
      <c r="AA90" s="5">
        <v>1</v>
      </c>
      <c r="AB90" s="5">
        <v>2703457.95</v>
      </c>
    </row>
    <row r="91" spans="1:206" x14ac:dyDescent="0.2">
      <c r="A91" s="5">
        <v>50</v>
      </c>
      <c r="B91" s="5">
        <v>0</v>
      </c>
      <c r="C91" s="5">
        <v>0</v>
      </c>
      <c r="D91" s="5">
        <v>1</v>
      </c>
      <c r="E91" s="5">
        <v>223</v>
      </c>
      <c r="F91" s="5">
        <f>ROUND(Source!AQ81,O91)</f>
        <v>0</v>
      </c>
      <c r="G91" s="5" t="s">
        <v>99</v>
      </c>
      <c r="H91" s="5" t="s">
        <v>100</v>
      </c>
      <c r="I91" s="5"/>
      <c r="J91" s="5"/>
      <c r="K91" s="5">
        <v>223</v>
      </c>
      <c r="L91" s="5">
        <v>9</v>
      </c>
      <c r="M91" s="5">
        <v>3</v>
      </c>
      <c r="N91" s="5" t="s">
        <v>3</v>
      </c>
      <c r="O91" s="5">
        <v>2</v>
      </c>
      <c r="P91" s="5">
        <f>ROUND(Source!EI81,O91)</f>
        <v>0</v>
      </c>
      <c r="Q91" s="5"/>
      <c r="R91" s="5"/>
      <c r="S91" s="5"/>
      <c r="T91" s="5"/>
      <c r="U91" s="5"/>
      <c r="V91" s="5"/>
      <c r="W91" s="5">
        <v>0</v>
      </c>
      <c r="X91" s="5">
        <v>1</v>
      </c>
      <c r="Y91" s="5">
        <v>0</v>
      </c>
      <c r="Z91" s="5">
        <v>0</v>
      </c>
      <c r="AA91" s="5">
        <v>1</v>
      </c>
      <c r="AB91" s="5">
        <v>0</v>
      </c>
    </row>
    <row r="92" spans="1:206" x14ac:dyDescent="0.2">
      <c r="A92" s="5">
        <v>50</v>
      </c>
      <c r="B92" s="5">
        <v>0</v>
      </c>
      <c r="C92" s="5">
        <v>0</v>
      </c>
      <c r="D92" s="5">
        <v>1</v>
      </c>
      <c r="E92" s="5">
        <v>229</v>
      </c>
      <c r="F92" s="5">
        <f>ROUND(Source!AZ81,O92)</f>
        <v>349619.17</v>
      </c>
      <c r="G92" s="5" t="s">
        <v>101</v>
      </c>
      <c r="H92" s="5" t="s">
        <v>102</v>
      </c>
      <c r="I92" s="5"/>
      <c r="J92" s="5"/>
      <c r="K92" s="5">
        <v>229</v>
      </c>
      <c r="L92" s="5">
        <v>10</v>
      </c>
      <c r="M92" s="5">
        <v>3</v>
      </c>
      <c r="N92" s="5" t="s">
        <v>3</v>
      </c>
      <c r="O92" s="5">
        <v>2</v>
      </c>
      <c r="P92" s="5">
        <f>ROUND(Source!ER81,O92)</f>
        <v>2703457.95</v>
      </c>
      <c r="Q92" s="5"/>
      <c r="R92" s="5"/>
      <c r="S92" s="5"/>
      <c r="T92" s="5"/>
      <c r="U92" s="5"/>
      <c r="V92" s="5"/>
      <c r="W92" s="5">
        <v>349619.17</v>
      </c>
      <c r="X92" s="5">
        <v>1</v>
      </c>
      <c r="Y92" s="5">
        <v>349619.17</v>
      </c>
      <c r="Z92" s="5">
        <v>2703457.95</v>
      </c>
      <c r="AA92" s="5">
        <v>1</v>
      </c>
      <c r="AB92" s="5">
        <v>2703457.95</v>
      </c>
    </row>
    <row r="93" spans="1:206" x14ac:dyDescent="0.2">
      <c r="A93" s="5">
        <v>50</v>
      </c>
      <c r="B93" s="5">
        <v>0</v>
      </c>
      <c r="C93" s="5">
        <v>0</v>
      </c>
      <c r="D93" s="5">
        <v>1</v>
      </c>
      <c r="E93" s="5">
        <v>203</v>
      </c>
      <c r="F93" s="5">
        <f>ROUND(Source!Q81,O93)</f>
        <v>12</v>
      </c>
      <c r="G93" s="5" t="s">
        <v>103</v>
      </c>
      <c r="H93" s="5" t="s">
        <v>104</v>
      </c>
      <c r="I93" s="5"/>
      <c r="J93" s="5"/>
      <c r="K93" s="5">
        <v>203</v>
      </c>
      <c r="L93" s="5">
        <v>11</v>
      </c>
      <c r="M93" s="5">
        <v>3</v>
      </c>
      <c r="N93" s="5" t="s">
        <v>3</v>
      </c>
      <c r="O93" s="5">
        <v>2</v>
      </c>
      <c r="P93" s="5">
        <f>ROUND(Source!DI81,O93)</f>
        <v>184.3</v>
      </c>
      <c r="Q93" s="5"/>
      <c r="R93" s="5"/>
      <c r="S93" s="5"/>
      <c r="T93" s="5"/>
      <c r="U93" s="5"/>
      <c r="V93" s="5"/>
      <c r="W93" s="5">
        <v>12</v>
      </c>
      <c r="X93" s="5">
        <v>1</v>
      </c>
      <c r="Y93" s="5">
        <v>12</v>
      </c>
      <c r="Z93" s="5">
        <v>184.3</v>
      </c>
      <c r="AA93" s="5">
        <v>1</v>
      </c>
      <c r="AB93" s="5">
        <v>184.3</v>
      </c>
    </row>
    <row r="94" spans="1:206" x14ac:dyDescent="0.2">
      <c r="A94" s="5">
        <v>50</v>
      </c>
      <c r="B94" s="5">
        <v>0</v>
      </c>
      <c r="C94" s="5">
        <v>0</v>
      </c>
      <c r="D94" s="5">
        <v>1</v>
      </c>
      <c r="E94" s="5">
        <v>231</v>
      </c>
      <c r="F94" s="5">
        <f>ROUND(Source!BB81,O94)</f>
        <v>0</v>
      </c>
      <c r="G94" s="5" t="s">
        <v>105</v>
      </c>
      <c r="H94" s="5" t="s">
        <v>106</v>
      </c>
      <c r="I94" s="5"/>
      <c r="J94" s="5"/>
      <c r="K94" s="5">
        <v>231</v>
      </c>
      <c r="L94" s="5">
        <v>12</v>
      </c>
      <c r="M94" s="5">
        <v>3</v>
      </c>
      <c r="N94" s="5" t="s">
        <v>3</v>
      </c>
      <c r="O94" s="5">
        <v>2</v>
      </c>
      <c r="P94" s="5">
        <f>ROUND(Source!ET81,O94)</f>
        <v>0</v>
      </c>
      <c r="Q94" s="5"/>
      <c r="R94" s="5"/>
      <c r="S94" s="5"/>
      <c r="T94" s="5"/>
      <c r="U94" s="5"/>
      <c r="V94" s="5"/>
      <c r="W94" s="5">
        <v>0</v>
      </c>
      <c r="X94" s="5">
        <v>1</v>
      </c>
      <c r="Y94" s="5">
        <v>0</v>
      </c>
      <c r="Z94" s="5">
        <v>0</v>
      </c>
      <c r="AA94" s="5">
        <v>1</v>
      </c>
      <c r="AB94" s="5">
        <v>0</v>
      </c>
    </row>
    <row r="95" spans="1:206" x14ac:dyDescent="0.2">
      <c r="A95" s="5">
        <v>50</v>
      </c>
      <c r="B95" s="5">
        <v>0</v>
      </c>
      <c r="C95" s="5">
        <v>0</v>
      </c>
      <c r="D95" s="5">
        <v>1</v>
      </c>
      <c r="E95" s="5">
        <v>204</v>
      </c>
      <c r="F95" s="5">
        <f>ROUND(Source!R81,O95)</f>
        <v>1.6</v>
      </c>
      <c r="G95" s="5" t="s">
        <v>107</v>
      </c>
      <c r="H95" s="5" t="s">
        <v>108</v>
      </c>
      <c r="I95" s="5"/>
      <c r="J95" s="5"/>
      <c r="K95" s="5">
        <v>204</v>
      </c>
      <c r="L95" s="5">
        <v>13</v>
      </c>
      <c r="M95" s="5">
        <v>3</v>
      </c>
      <c r="N95" s="5" t="s">
        <v>3</v>
      </c>
      <c r="O95" s="5">
        <v>2</v>
      </c>
      <c r="P95" s="5">
        <f>ROUND(Source!DJ81,O95)</f>
        <v>87.99</v>
      </c>
      <c r="Q95" s="5"/>
      <c r="R95" s="5"/>
      <c r="S95" s="5"/>
      <c r="T95" s="5"/>
      <c r="U95" s="5"/>
      <c r="V95" s="5"/>
      <c r="W95" s="5">
        <v>1.6</v>
      </c>
      <c r="X95" s="5">
        <v>1</v>
      </c>
      <c r="Y95" s="5">
        <v>1.6</v>
      </c>
      <c r="Z95" s="5">
        <v>87.99</v>
      </c>
      <c r="AA95" s="5">
        <v>1</v>
      </c>
      <c r="AB95" s="5">
        <v>87.99</v>
      </c>
    </row>
    <row r="96" spans="1:206" x14ac:dyDescent="0.2">
      <c r="A96" s="5">
        <v>50</v>
      </c>
      <c r="B96" s="5">
        <v>0</v>
      </c>
      <c r="C96" s="5">
        <v>0</v>
      </c>
      <c r="D96" s="5">
        <v>1</v>
      </c>
      <c r="E96" s="5">
        <v>205</v>
      </c>
      <c r="F96" s="5">
        <f>ROUND(Source!S81,O96)</f>
        <v>99.95</v>
      </c>
      <c r="G96" s="5" t="s">
        <v>109</v>
      </c>
      <c r="H96" s="5" t="s">
        <v>110</v>
      </c>
      <c r="I96" s="5"/>
      <c r="J96" s="5"/>
      <c r="K96" s="5">
        <v>205</v>
      </c>
      <c r="L96" s="5">
        <v>14</v>
      </c>
      <c r="M96" s="5">
        <v>3</v>
      </c>
      <c r="N96" s="5" t="s">
        <v>3</v>
      </c>
      <c r="O96" s="5">
        <v>2</v>
      </c>
      <c r="P96" s="5">
        <f>ROUND(Source!DK81,O96)</f>
        <v>5496.25</v>
      </c>
      <c r="Q96" s="5"/>
      <c r="R96" s="5"/>
      <c r="S96" s="5"/>
      <c r="T96" s="5"/>
      <c r="U96" s="5"/>
      <c r="V96" s="5"/>
      <c r="W96" s="5">
        <v>99.95</v>
      </c>
      <c r="X96" s="5">
        <v>1</v>
      </c>
      <c r="Y96" s="5">
        <v>99.95</v>
      </c>
      <c r="Z96" s="5">
        <v>5496.25</v>
      </c>
      <c r="AA96" s="5">
        <v>1</v>
      </c>
      <c r="AB96" s="5">
        <v>5496.25</v>
      </c>
    </row>
    <row r="97" spans="1:206" x14ac:dyDescent="0.2">
      <c r="A97" s="5">
        <v>50</v>
      </c>
      <c r="B97" s="5">
        <v>0</v>
      </c>
      <c r="C97" s="5">
        <v>0</v>
      </c>
      <c r="D97" s="5">
        <v>1</v>
      </c>
      <c r="E97" s="5">
        <v>232</v>
      </c>
      <c r="F97" s="5">
        <f>ROUND(Source!BC81,O97)</f>
        <v>0</v>
      </c>
      <c r="G97" s="5" t="s">
        <v>111</v>
      </c>
      <c r="H97" s="5" t="s">
        <v>112</v>
      </c>
      <c r="I97" s="5"/>
      <c r="J97" s="5"/>
      <c r="K97" s="5">
        <v>232</v>
      </c>
      <c r="L97" s="5">
        <v>15</v>
      </c>
      <c r="M97" s="5">
        <v>3</v>
      </c>
      <c r="N97" s="5" t="s">
        <v>3</v>
      </c>
      <c r="O97" s="5">
        <v>2</v>
      </c>
      <c r="P97" s="5">
        <f>ROUND(Source!EU81,O97)</f>
        <v>0</v>
      </c>
      <c r="Q97" s="5"/>
      <c r="R97" s="5"/>
      <c r="S97" s="5"/>
      <c r="T97" s="5"/>
      <c r="U97" s="5"/>
      <c r="V97" s="5"/>
      <c r="W97" s="5">
        <v>0</v>
      </c>
      <c r="X97" s="5">
        <v>1</v>
      </c>
      <c r="Y97" s="5">
        <v>0</v>
      </c>
      <c r="Z97" s="5">
        <v>0</v>
      </c>
      <c r="AA97" s="5">
        <v>1</v>
      </c>
      <c r="AB97" s="5">
        <v>0</v>
      </c>
    </row>
    <row r="98" spans="1:206" x14ac:dyDescent="0.2">
      <c r="A98" s="5">
        <v>50</v>
      </c>
      <c r="B98" s="5">
        <v>0</v>
      </c>
      <c r="C98" s="5">
        <v>0</v>
      </c>
      <c r="D98" s="5">
        <v>1</v>
      </c>
      <c r="E98" s="5">
        <v>214</v>
      </c>
      <c r="F98" s="5">
        <f>ROUND(Source!AS81,O98)</f>
        <v>26421.05</v>
      </c>
      <c r="G98" s="5" t="s">
        <v>113</v>
      </c>
      <c r="H98" s="5" t="s">
        <v>114</v>
      </c>
      <c r="I98" s="5"/>
      <c r="J98" s="5"/>
      <c r="K98" s="5">
        <v>214</v>
      </c>
      <c r="L98" s="5">
        <v>16</v>
      </c>
      <c r="M98" s="5">
        <v>3</v>
      </c>
      <c r="N98" s="5" t="s">
        <v>3</v>
      </c>
      <c r="O98" s="5">
        <v>2</v>
      </c>
      <c r="P98" s="5">
        <f>ROUND(Source!EK81,O98)</f>
        <v>266614.13</v>
      </c>
      <c r="Q98" s="5"/>
      <c r="R98" s="5"/>
      <c r="S98" s="5"/>
      <c r="T98" s="5"/>
      <c r="U98" s="5"/>
      <c r="V98" s="5"/>
      <c r="W98" s="5">
        <v>26421.05</v>
      </c>
      <c r="X98" s="5">
        <v>1</v>
      </c>
      <c r="Y98" s="5">
        <v>26421.05</v>
      </c>
      <c r="Z98" s="5">
        <v>266614.13</v>
      </c>
      <c r="AA98" s="5">
        <v>1</v>
      </c>
      <c r="AB98" s="5">
        <v>266614.13</v>
      </c>
    </row>
    <row r="99" spans="1:206" x14ac:dyDescent="0.2">
      <c r="A99" s="5">
        <v>50</v>
      </c>
      <c r="B99" s="5">
        <v>0</v>
      </c>
      <c r="C99" s="5">
        <v>0</v>
      </c>
      <c r="D99" s="5">
        <v>1</v>
      </c>
      <c r="E99" s="5">
        <v>215</v>
      </c>
      <c r="F99" s="5">
        <f>ROUND(Source!AT81,O99)</f>
        <v>131.83000000000001</v>
      </c>
      <c r="G99" s="5" t="s">
        <v>115</v>
      </c>
      <c r="H99" s="5" t="s">
        <v>116</v>
      </c>
      <c r="I99" s="5"/>
      <c r="J99" s="5"/>
      <c r="K99" s="5">
        <v>215</v>
      </c>
      <c r="L99" s="5">
        <v>17</v>
      </c>
      <c r="M99" s="5">
        <v>3</v>
      </c>
      <c r="N99" s="5" t="s">
        <v>3</v>
      </c>
      <c r="O99" s="5">
        <v>2</v>
      </c>
      <c r="P99" s="5">
        <f>ROUND(Source!EL81,O99)</f>
        <v>7193.49</v>
      </c>
      <c r="Q99" s="5"/>
      <c r="R99" s="5"/>
      <c r="S99" s="5"/>
      <c r="T99" s="5"/>
      <c r="U99" s="5"/>
      <c r="V99" s="5"/>
      <c r="W99" s="5">
        <v>131.83000000000001</v>
      </c>
      <c r="X99" s="5">
        <v>1</v>
      </c>
      <c r="Y99" s="5">
        <v>131.83000000000001</v>
      </c>
      <c r="Z99" s="5">
        <v>7193.49</v>
      </c>
      <c r="AA99" s="5">
        <v>1</v>
      </c>
      <c r="AB99" s="5">
        <v>7193.49</v>
      </c>
    </row>
    <row r="100" spans="1:206" x14ac:dyDescent="0.2">
      <c r="A100" s="5">
        <v>50</v>
      </c>
      <c r="B100" s="5">
        <v>0</v>
      </c>
      <c r="C100" s="5">
        <v>0</v>
      </c>
      <c r="D100" s="5">
        <v>1</v>
      </c>
      <c r="E100" s="5">
        <v>217</v>
      </c>
      <c r="F100" s="5">
        <f>ROUND(Source!AU81,O100)</f>
        <v>0</v>
      </c>
      <c r="G100" s="5" t="s">
        <v>117</v>
      </c>
      <c r="H100" s="5" t="s">
        <v>118</v>
      </c>
      <c r="I100" s="5"/>
      <c r="J100" s="5"/>
      <c r="K100" s="5">
        <v>217</v>
      </c>
      <c r="L100" s="5">
        <v>18</v>
      </c>
      <c r="M100" s="5">
        <v>3</v>
      </c>
      <c r="N100" s="5" t="s">
        <v>3</v>
      </c>
      <c r="O100" s="5">
        <v>2</v>
      </c>
      <c r="P100" s="5">
        <f>ROUND(Source!EM81,O100)</f>
        <v>0</v>
      </c>
      <c r="Q100" s="5"/>
      <c r="R100" s="5"/>
      <c r="S100" s="5"/>
      <c r="T100" s="5"/>
      <c r="U100" s="5"/>
      <c r="V100" s="5"/>
      <c r="W100" s="5">
        <v>0</v>
      </c>
      <c r="X100" s="5">
        <v>1</v>
      </c>
      <c r="Y100" s="5">
        <v>0</v>
      </c>
      <c r="Z100" s="5">
        <v>0</v>
      </c>
      <c r="AA100" s="5">
        <v>1</v>
      </c>
      <c r="AB100" s="5">
        <v>0</v>
      </c>
    </row>
    <row r="101" spans="1:206" x14ac:dyDescent="0.2">
      <c r="A101" s="5">
        <v>50</v>
      </c>
      <c r="B101" s="5">
        <v>0</v>
      </c>
      <c r="C101" s="5">
        <v>0</v>
      </c>
      <c r="D101" s="5">
        <v>1</v>
      </c>
      <c r="E101" s="5">
        <v>230</v>
      </c>
      <c r="F101" s="5">
        <f>ROUND(Source!BA81,O101)</f>
        <v>0</v>
      </c>
      <c r="G101" s="5" t="s">
        <v>119</v>
      </c>
      <c r="H101" s="5" t="s">
        <v>120</v>
      </c>
      <c r="I101" s="5"/>
      <c r="J101" s="5"/>
      <c r="K101" s="5">
        <v>230</v>
      </c>
      <c r="L101" s="5">
        <v>19</v>
      </c>
      <c r="M101" s="5">
        <v>3</v>
      </c>
      <c r="N101" s="5" t="s">
        <v>3</v>
      </c>
      <c r="O101" s="5">
        <v>2</v>
      </c>
      <c r="P101" s="5">
        <f>ROUND(Source!ES81,O101)</f>
        <v>0</v>
      </c>
      <c r="Q101" s="5"/>
      <c r="R101" s="5"/>
      <c r="S101" s="5"/>
      <c r="T101" s="5"/>
      <c r="U101" s="5"/>
      <c r="V101" s="5"/>
      <c r="W101" s="5">
        <v>0</v>
      </c>
      <c r="X101" s="5">
        <v>1</v>
      </c>
      <c r="Y101" s="5">
        <v>0</v>
      </c>
      <c r="Z101" s="5">
        <v>0</v>
      </c>
      <c r="AA101" s="5">
        <v>1</v>
      </c>
      <c r="AB101" s="5">
        <v>0</v>
      </c>
    </row>
    <row r="102" spans="1:206" x14ac:dyDescent="0.2">
      <c r="A102" s="5">
        <v>50</v>
      </c>
      <c r="B102" s="5">
        <v>0</v>
      </c>
      <c r="C102" s="5">
        <v>0</v>
      </c>
      <c r="D102" s="5">
        <v>1</v>
      </c>
      <c r="E102" s="5">
        <v>206</v>
      </c>
      <c r="F102" s="5">
        <f>ROUND(Source!T81,O102)</f>
        <v>0</v>
      </c>
      <c r="G102" s="5" t="s">
        <v>121</v>
      </c>
      <c r="H102" s="5" t="s">
        <v>122</v>
      </c>
      <c r="I102" s="5"/>
      <c r="J102" s="5"/>
      <c r="K102" s="5">
        <v>206</v>
      </c>
      <c r="L102" s="5">
        <v>20</v>
      </c>
      <c r="M102" s="5">
        <v>3</v>
      </c>
      <c r="N102" s="5" t="s">
        <v>3</v>
      </c>
      <c r="O102" s="5">
        <v>2</v>
      </c>
      <c r="P102" s="5">
        <f>ROUND(Source!DL81,O102)</f>
        <v>0</v>
      </c>
      <c r="Q102" s="5"/>
      <c r="R102" s="5"/>
      <c r="S102" s="5"/>
      <c r="T102" s="5"/>
      <c r="U102" s="5"/>
      <c r="V102" s="5"/>
      <c r="W102" s="5">
        <v>0</v>
      </c>
      <c r="X102" s="5">
        <v>1</v>
      </c>
      <c r="Y102" s="5">
        <v>0</v>
      </c>
      <c r="Z102" s="5">
        <v>0</v>
      </c>
      <c r="AA102" s="5">
        <v>1</v>
      </c>
      <c r="AB102" s="5">
        <v>0</v>
      </c>
    </row>
    <row r="103" spans="1:206" x14ac:dyDescent="0.2">
      <c r="A103" s="5">
        <v>50</v>
      </c>
      <c r="B103" s="5">
        <v>0</v>
      </c>
      <c r="C103" s="5">
        <v>0</v>
      </c>
      <c r="D103" s="5">
        <v>1</v>
      </c>
      <c r="E103" s="5">
        <v>207</v>
      </c>
      <c r="F103" s="5">
        <f>Source!U81</f>
        <v>8.0418206000000012</v>
      </c>
      <c r="G103" s="5" t="s">
        <v>123</v>
      </c>
      <c r="H103" s="5" t="s">
        <v>124</v>
      </c>
      <c r="I103" s="5"/>
      <c r="J103" s="5"/>
      <c r="K103" s="5">
        <v>207</v>
      </c>
      <c r="L103" s="5">
        <v>21</v>
      </c>
      <c r="M103" s="5">
        <v>3</v>
      </c>
      <c r="N103" s="5" t="s">
        <v>3</v>
      </c>
      <c r="O103" s="5">
        <v>-1</v>
      </c>
      <c r="P103" s="5">
        <f>Source!DM81</f>
        <v>8.0418206000000012</v>
      </c>
      <c r="Q103" s="5"/>
      <c r="R103" s="5"/>
      <c r="S103" s="5"/>
      <c r="T103" s="5"/>
      <c r="U103" s="5"/>
      <c r="V103" s="5"/>
      <c r="W103" s="5">
        <v>8.0418205999999994</v>
      </c>
      <c r="X103" s="5">
        <v>1</v>
      </c>
      <c r="Y103" s="5">
        <v>8.0418205999999994</v>
      </c>
      <c r="Z103" s="5">
        <v>8.0418205999999994</v>
      </c>
      <c r="AA103" s="5">
        <v>1</v>
      </c>
      <c r="AB103" s="5">
        <v>8.0418205999999994</v>
      </c>
    </row>
    <row r="104" spans="1:206" x14ac:dyDescent="0.2">
      <c r="A104" s="5">
        <v>50</v>
      </c>
      <c r="B104" s="5">
        <v>0</v>
      </c>
      <c r="C104" s="5">
        <v>0</v>
      </c>
      <c r="D104" s="5">
        <v>1</v>
      </c>
      <c r="E104" s="5">
        <v>208</v>
      </c>
      <c r="F104" s="5">
        <f>Source!V81</f>
        <v>0</v>
      </c>
      <c r="G104" s="5" t="s">
        <v>125</v>
      </c>
      <c r="H104" s="5" t="s">
        <v>126</v>
      </c>
      <c r="I104" s="5"/>
      <c r="J104" s="5"/>
      <c r="K104" s="5">
        <v>208</v>
      </c>
      <c r="L104" s="5">
        <v>22</v>
      </c>
      <c r="M104" s="5">
        <v>3</v>
      </c>
      <c r="N104" s="5" t="s">
        <v>3</v>
      </c>
      <c r="O104" s="5">
        <v>-1</v>
      </c>
      <c r="P104" s="5">
        <f>Source!DN81</f>
        <v>0</v>
      </c>
      <c r="Q104" s="5"/>
      <c r="R104" s="5"/>
      <c r="S104" s="5"/>
      <c r="T104" s="5"/>
      <c r="U104" s="5"/>
      <c r="V104" s="5"/>
      <c r="W104" s="5">
        <v>0</v>
      </c>
      <c r="X104" s="5">
        <v>1</v>
      </c>
      <c r="Y104" s="5">
        <v>0</v>
      </c>
      <c r="Z104" s="5">
        <v>0</v>
      </c>
      <c r="AA104" s="5">
        <v>1</v>
      </c>
      <c r="AB104" s="5">
        <v>0</v>
      </c>
    </row>
    <row r="105" spans="1:206" x14ac:dyDescent="0.2">
      <c r="A105" s="5">
        <v>50</v>
      </c>
      <c r="B105" s="5">
        <v>0</v>
      </c>
      <c r="C105" s="5">
        <v>0</v>
      </c>
      <c r="D105" s="5">
        <v>1</v>
      </c>
      <c r="E105" s="5">
        <v>209</v>
      </c>
      <c r="F105" s="5">
        <f>ROUND(Source!W81,O105)</f>
        <v>0</v>
      </c>
      <c r="G105" s="5" t="s">
        <v>127</v>
      </c>
      <c r="H105" s="5" t="s">
        <v>128</v>
      </c>
      <c r="I105" s="5"/>
      <c r="J105" s="5"/>
      <c r="K105" s="5">
        <v>209</v>
      </c>
      <c r="L105" s="5">
        <v>23</v>
      </c>
      <c r="M105" s="5">
        <v>3</v>
      </c>
      <c r="N105" s="5" t="s">
        <v>3</v>
      </c>
      <c r="O105" s="5">
        <v>2</v>
      </c>
      <c r="P105" s="5">
        <f>ROUND(Source!DO81,O105)</f>
        <v>0</v>
      </c>
      <c r="Q105" s="5"/>
      <c r="R105" s="5"/>
      <c r="S105" s="5"/>
      <c r="T105" s="5"/>
      <c r="U105" s="5"/>
      <c r="V105" s="5"/>
      <c r="W105" s="5">
        <v>0</v>
      </c>
      <c r="X105" s="5">
        <v>1</v>
      </c>
      <c r="Y105" s="5">
        <v>0</v>
      </c>
      <c r="Z105" s="5">
        <v>0</v>
      </c>
      <c r="AA105" s="5">
        <v>1</v>
      </c>
      <c r="AB105" s="5">
        <v>0</v>
      </c>
    </row>
    <row r="106" spans="1:206" x14ac:dyDescent="0.2">
      <c r="A106" s="5">
        <v>50</v>
      </c>
      <c r="B106" s="5">
        <v>0</v>
      </c>
      <c r="C106" s="5">
        <v>0</v>
      </c>
      <c r="D106" s="5">
        <v>1</v>
      </c>
      <c r="E106" s="5">
        <v>233</v>
      </c>
      <c r="F106" s="5">
        <f>ROUND(Source!BD81,O106)</f>
        <v>0</v>
      </c>
      <c r="G106" s="5" t="s">
        <v>129</v>
      </c>
      <c r="H106" s="5" t="s">
        <v>130</v>
      </c>
      <c r="I106" s="5"/>
      <c r="J106" s="5"/>
      <c r="K106" s="5">
        <v>233</v>
      </c>
      <c r="L106" s="5">
        <v>24</v>
      </c>
      <c r="M106" s="5">
        <v>3</v>
      </c>
      <c r="N106" s="5" t="s">
        <v>3</v>
      </c>
      <c r="O106" s="5">
        <v>2</v>
      </c>
      <c r="P106" s="5">
        <f>ROUND(Source!EV81,O106)</f>
        <v>0</v>
      </c>
      <c r="Q106" s="5"/>
      <c r="R106" s="5"/>
      <c r="S106" s="5"/>
      <c r="T106" s="5"/>
      <c r="U106" s="5"/>
      <c r="V106" s="5"/>
      <c r="W106" s="5">
        <v>0</v>
      </c>
      <c r="X106" s="5">
        <v>1</v>
      </c>
      <c r="Y106" s="5">
        <v>0</v>
      </c>
      <c r="Z106" s="5">
        <v>0</v>
      </c>
      <c r="AA106" s="5">
        <v>1</v>
      </c>
      <c r="AB106" s="5">
        <v>0</v>
      </c>
    </row>
    <row r="107" spans="1:206" x14ac:dyDescent="0.2">
      <c r="A107" s="5">
        <v>50</v>
      </c>
      <c r="B107" s="5">
        <v>0</v>
      </c>
      <c r="C107" s="5">
        <v>0</v>
      </c>
      <c r="D107" s="5">
        <v>1</v>
      </c>
      <c r="E107" s="5">
        <v>210</v>
      </c>
      <c r="F107" s="5">
        <f>ROUND(Source!X81,O107)</f>
        <v>99.96</v>
      </c>
      <c r="G107" s="5" t="s">
        <v>131</v>
      </c>
      <c r="H107" s="5" t="s">
        <v>132</v>
      </c>
      <c r="I107" s="5"/>
      <c r="J107" s="5"/>
      <c r="K107" s="5">
        <v>210</v>
      </c>
      <c r="L107" s="5">
        <v>25</v>
      </c>
      <c r="M107" s="5">
        <v>3</v>
      </c>
      <c r="N107" s="5" t="s">
        <v>3</v>
      </c>
      <c r="O107" s="5">
        <v>2</v>
      </c>
      <c r="P107" s="5">
        <f>ROUND(Source!DP81,O107)</f>
        <v>5496.25</v>
      </c>
      <c r="Q107" s="5"/>
      <c r="R107" s="5"/>
      <c r="S107" s="5"/>
      <c r="T107" s="5"/>
      <c r="U107" s="5"/>
      <c r="V107" s="5"/>
      <c r="W107" s="5">
        <v>99.96</v>
      </c>
      <c r="X107" s="5">
        <v>1</v>
      </c>
      <c r="Y107" s="5">
        <v>99.96</v>
      </c>
      <c r="Z107" s="5">
        <v>5496.25</v>
      </c>
      <c r="AA107" s="5">
        <v>1</v>
      </c>
      <c r="AB107" s="5">
        <v>5496.25</v>
      </c>
    </row>
    <row r="108" spans="1:206" x14ac:dyDescent="0.2">
      <c r="A108" s="5">
        <v>50</v>
      </c>
      <c r="B108" s="5">
        <v>0</v>
      </c>
      <c r="C108" s="5">
        <v>0</v>
      </c>
      <c r="D108" s="5">
        <v>1</v>
      </c>
      <c r="E108" s="5">
        <v>211</v>
      </c>
      <c r="F108" s="5">
        <f>ROUND(Source!Y81,O108)</f>
        <v>53.02</v>
      </c>
      <c r="G108" s="5" t="s">
        <v>133</v>
      </c>
      <c r="H108" s="5" t="s">
        <v>134</v>
      </c>
      <c r="I108" s="5"/>
      <c r="J108" s="5"/>
      <c r="K108" s="5">
        <v>211</v>
      </c>
      <c r="L108" s="5">
        <v>26</v>
      </c>
      <c r="M108" s="5">
        <v>3</v>
      </c>
      <c r="N108" s="5" t="s">
        <v>3</v>
      </c>
      <c r="O108" s="5">
        <v>2</v>
      </c>
      <c r="P108" s="5">
        <f>ROUND(Source!DQ81,O108)</f>
        <v>2915.68</v>
      </c>
      <c r="Q108" s="5"/>
      <c r="R108" s="5"/>
      <c r="S108" s="5"/>
      <c r="T108" s="5"/>
      <c r="U108" s="5"/>
      <c r="V108" s="5"/>
      <c r="W108" s="5">
        <v>53.02</v>
      </c>
      <c r="X108" s="5">
        <v>1</v>
      </c>
      <c r="Y108" s="5">
        <v>53.02</v>
      </c>
      <c r="Z108" s="5">
        <v>2915.68</v>
      </c>
      <c r="AA108" s="5">
        <v>1</v>
      </c>
      <c r="AB108" s="5">
        <v>2915.68</v>
      </c>
    </row>
    <row r="109" spans="1:206" x14ac:dyDescent="0.2">
      <c r="A109" s="5">
        <v>50</v>
      </c>
      <c r="B109" s="5">
        <v>0</v>
      </c>
      <c r="C109" s="5">
        <v>0</v>
      </c>
      <c r="D109" s="5">
        <v>1</v>
      </c>
      <c r="E109" s="5">
        <v>224</v>
      </c>
      <c r="F109" s="5">
        <f>ROUND(Source!AR81,O109)</f>
        <v>376172.05</v>
      </c>
      <c r="G109" s="5" t="s">
        <v>135</v>
      </c>
      <c r="H109" s="5" t="s">
        <v>136</v>
      </c>
      <c r="I109" s="5"/>
      <c r="J109" s="5"/>
      <c r="K109" s="5">
        <v>224</v>
      </c>
      <c r="L109" s="5">
        <v>27</v>
      </c>
      <c r="M109" s="5">
        <v>3</v>
      </c>
      <c r="N109" s="5" t="s">
        <v>3</v>
      </c>
      <c r="O109" s="5">
        <v>2</v>
      </c>
      <c r="P109" s="5">
        <f>ROUND(Source!EJ81,O109)</f>
        <v>2977265.57</v>
      </c>
      <c r="Q109" s="5"/>
      <c r="R109" s="5"/>
      <c r="S109" s="5"/>
      <c r="T109" s="5"/>
      <c r="U109" s="5"/>
      <c r="V109" s="5"/>
      <c r="W109" s="5">
        <v>376172.05</v>
      </c>
      <c r="X109" s="5">
        <v>1</v>
      </c>
      <c r="Y109" s="5">
        <v>376172.05</v>
      </c>
      <c r="Z109" s="5">
        <v>2977265.57</v>
      </c>
      <c r="AA109" s="5">
        <v>1</v>
      </c>
      <c r="AB109" s="5">
        <v>2977265.57</v>
      </c>
    </row>
    <row r="111" spans="1:206" x14ac:dyDescent="0.2">
      <c r="A111" s="3">
        <v>51</v>
      </c>
      <c r="B111" s="3">
        <f>B12</f>
        <v>150</v>
      </c>
      <c r="C111" s="3">
        <f>A12</f>
        <v>1</v>
      </c>
      <c r="D111" s="3">
        <f>ROW(A12)</f>
        <v>12</v>
      </c>
      <c r="E111" s="3"/>
      <c r="F111" s="3" t="str">
        <f>IF(F12&lt;&gt;"",F12,"")</f>
        <v>Новый объект (ТСН-2001 (Мосгосэкспертиза))</v>
      </c>
      <c r="G111" s="3" t="str">
        <f>IF(G12&lt;&gt;"",G12,"")</f>
        <v>02-01-20 ПТА</v>
      </c>
      <c r="H111" s="3">
        <v>0</v>
      </c>
      <c r="I111" s="3"/>
      <c r="J111" s="3"/>
      <c r="K111" s="3"/>
      <c r="L111" s="3"/>
      <c r="M111" s="3"/>
      <c r="N111" s="3"/>
      <c r="O111" s="3">
        <f t="shared" ref="O111:T111" si="75">ROUND(O81,2)</f>
        <v>376019.07</v>
      </c>
      <c r="P111" s="3">
        <f t="shared" si="75"/>
        <v>375907.12</v>
      </c>
      <c r="Q111" s="3">
        <f t="shared" si="75"/>
        <v>12</v>
      </c>
      <c r="R111" s="3">
        <f t="shared" si="75"/>
        <v>1.6</v>
      </c>
      <c r="S111" s="3">
        <f t="shared" si="75"/>
        <v>99.95</v>
      </c>
      <c r="T111" s="3">
        <f t="shared" si="75"/>
        <v>0</v>
      </c>
      <c r="U111" s="3">
        <f>U81</f>
        <v>8.0418206000000012</v>
      </c>
      <c r="V111" s="3">
        <f>V81</f>
        <v>0</v>
      </c>
      <c r="W111" s="3">
        <f>ROUND(W81,2)</f>
        <v>0</v>
      </c>
      <c r="X111" s="3">
        <f>ROUND(X81,2)</f>
        <v>99.96</v>
      </c>
      <c r="Y111" s="3">
        <f>ROUND(Y81,2)</f>
        <v>53.02</v>
      </c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>
        <f t="shared" ref="AO111:BD111" si="76">ROUND(AO81,2)</f>
        <v>0</v>
      </c>
      <c r="AP111" s="3">
        <f t="shared" si="76"/>
        <v>349619.17</v>
      </c>
      <c r="AQ111" s="3">
        <f t="shared" si="76"/>
        <v>0</v>
      </c>
      <c r="AR111" s="3">
        <f t="shared" si="76"/>
        <v>376172.05</v>
      </c>
      <c r="AS111" s="3">
        <f t="shared" si="76"/>
        <v>26421.05</v>
      </c>
      <c r="AT111" s="3">
        <f t="shared" si="76"/>
        <v>131.83000000000001</v>
      </c>
      <c r="AU111" s="3">
        <f t="shared" si="76"/>
        <v>0</v>
      </c>
      <c r="AV111" s="3">
        <f t="shared" si="76"/>
        <v>375907.12</v>
      </c>
      <c r="AW111" s="3">
        <f t="shared" si="76"/>
        <v>26287.95</v>
      </c>
      <c r="AX111" s="3">
        <f t="shared" si="76"/>
        <v>0</v>
      </c>
      <c r="AY111" s="3">
        <f t="shared" si="76"/>
        <v>26287.95</v>
      </c>
      <c r="AZ111" s="3">
        <f t="shared" si="76"/>
        <v>349619.17</v>
      </c>
      <c r="BA111" s="3">
        <f t="shared" si="76"/>
        <v>0</v>
      </c>
      <c r="BB111" s="3">
        <f t="shared" si="76"/>
        <v>0</v>
      </c>
      <c r="BC111" s="3">
        <f t="shared" si="76"/>
        <v>0</v>
      </c>
      <c r="BD111" s="3">
        <f t="shared" si="76"/>
        <v>0</v>
      </c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4">
        <f t="shared" ref="DG111:DL111" si="77">ROUND(DG81,2)</f>
        <v>2968853.64</v>
      </c>
      <c r="DH111" s="4">
        <f t="shared" si="77"/>
        <v>2963173.09</v>
      </c>
      <c r="DI111" s="4">
        <f t="shared" si="77"/>
        <v>184.3</v>
      </c>
      <c r="DJ111" s="4">
        <f t="shared" si="77"/>
        <v>87.99</v>
      </c>
      <c r="DK111" s="4">
        <f t="shared" si="77"/>
        <v>5496.25</v>
      </c>
      <c r="DL111" s="4">
        <f t="shared" si="77"/>
        <v>0</v>
      </c>
      <c r="DM111" s="4">
        <f>DM81</f>
        <v>8.0418206000000012</v>
      </c>
      <c r="DN111" s="4">
        <f>DN81</f>
        <v>0</v>
      </c>
      <c r="DO111" s="4">
        <f>ROUND(DO81,2)</f>
        <v>0</v>
      </c>
      <c r="DP111" s="4">
        <f>ROUND(DP81,2)</f>
        <v>5496.25</v>
      </c>
      <c r="DQ111" s="4">
        <f>ROUND(DQ81,2)</f>
        <v>2915.68</v>
      </c>
      <c r="DR111" s="4"/>
      <c r="DS111" s="4"/>
      <c r="DT111" s="4"/>
      <c r="DU111" s="4"/>
      <c r="DV111" s="4"/>
      <c r="DW111" s="4"/>
      <c r="DX111" s="4"/>
      <c r="DY111" s="4"/>
      <c r="DZ111" s="4"/>
      <c r="EA111" s="4"/>
      <c r="EB111" s="4"/>
      <c r="EC111" s="4"/>
      <c r="ED111" s="4"/>
      <c r="EE111" s="4"/>
      <c r="EF111" s="4"/>
      <c r="EG111" s="4">
        <f t="shared" ref="EG111:EV111" si="78">ROUND(EG81,2)</f>
        <v>0</v>
      </c>
      <c r="EH111" s="4">
        <f t="shared" si="78"/>
        <v>2703457.95</v>
      </c>
      <c r="EI111" s="4">
        <f t="shared" si="78"/>
        <v>0</v>
      </c>
      <c r="EJ111" s="4">
        <f t="shared" si="78"/>
        <v>2977265.57</v>
      </c>
      <c r="EK111" s="4">
        <f t="shared" si="78"/>
        <v>266614.13</v>
      </c>
      <c r="EL111" s="4">
        <f t="shared" si="78"/>
        <v>7193.49</v>
      </c>
      <c r="EM111" s="4">
        <f t="shared" si="78"/>
        <v>0</v>
      </c>
      <c r="EN111" s="4">
        <f t="shared" si="78"/>
        <v>2963173.09</v>
      </c>
      <c r="EO111" s="4">
        <f t="shared" si="78"/>
        <v>259715.14</v>
      </c>
      <c r="EP111" s="4">
        <f t="shared" si="78"/>
        <v>0</v>
      </c>
      <c r="EQ111" s="4">
        <f t="shared" si="78"/>
        <v>259715.14</v>
      </c>
      <c r="ER111" s="4">
        <f t="shared" si="78"/>
        <v>2703457.95</v>
      </c>
      <c r="ES111" s="4">
        <f t="shared" si="78"/>
        <v>0</v>
      </c>
      <c r="ET111" s="4">
        <f t="shared" si="78"/>
        <v>0</v>
      </c>
      <c r="EU111" s="4">
        <f t="shared" si="78"/>
        <v>0</v>
      </c>
      <c r="EV111" s="4">
        <f t="shared" si="78"/>
        <v>0</v>
      </c>
      <c r="EW111" s="4"/>
      <c r="EX111" s="4"/>
      <c r="EY111" s="4"/>
      <c r="EZ111" s="4"/>
      <c r="FA111" s="4"/>
      <c r="FB111" s="4"/>
      <c r="FC111" s="4"/>
      <c r="FD111" s="4"/>
      <c r="FE111" s="4"/>
      <c r="FF111" s="4"/>
      <c r="FG111" s="4"/>
      <c r="FH111" s="4"/>
      <c r="FI111" s="4"/>
      <c r="FJ111" s="4"/>
      <c r="FK111" s="4"/>
      <c r="FL111" s="4"/>
      <c r="FM111" s="4"/>
      <c r="FN111" s="4"/>
      <c r="FO111" s="4"/>
      <c r="FP111" s="4"/>
      <c r="FQ111" s="4"/>
      <c r="FR111" s="4"/>
      <c r="FS111" s="4"/>
      <c r="FT111" s="4"/>
      <c r="FU111" s="4"/>
      <c r="FV111" s="4"/>
      <c r="FW111" s="4"/>
      <c r="FX111" s="4"/>
      <c r="FY111" s="4"/>
      <c r="FZ111" s="4"/>
      <c r="GA111" s="4"/>
      <c r="GB111" s="4"/>
      <c r="GC111" s="4"/>
      <c r="GD111" s="4"/>
      <c r="GE111" s="4"/>
      <c r="GF111" s="4"/>
      <c r="GG111" s="4"/>
      <c r="GH111" s="4"/>
      <c r="GI111" s="4"/>
      <c r="GJ111" s="4"/>
      <c r="GK111" s="4"/>
      <c r="GL111" s="4"/>
      <c r="GM111" s="4"/>
      <c r="GN111" s="4"/>
      <c r="GO111" s="4"/>
      <c r="GP111" s="4"/>
      <c r="GQ111" s="4"/>
      <c r="GR111" s="4"/>
      <c r="GS111" s="4"/>
      <c r="GT111" s="4"/>
      <c r="GU111" s="4"/>
      <c r="GV111" s="4"/>
      <c r="GW111" s="4"/>
      <c r="GX111" s="4">
        <v>0</v>
      </c>
    </row>
    <row r="113" spans="1:28" x14ac:dyDescent="0.2">
      <c r="A113" s="5">
        <v>50</v>
      </c>
      <c r="B113" s="5">
        <v>0</v>
      </c>
      <c r="C113" s="5">
        <v>0</v>
      </c>
      <c r="D113" s="5">
        <v>1</v>
      </c>
      <c r="E113" s="5">
        <v>201</v>
      </c>
      <c r="F113" s="5">
        <f>ROUND(Source!O111,O113)</f>
        <v>376019.07</v>
      </c>
      <c r="G113" s="5" t="s">
        <v>83</v>
      </c>
      <c r="H113" s="5" t="s">
        <v>84</v>
      </c>
      <c r="I113" s="5"/>
      <c r="J113" s="5"/>
      <c r="K113" s="5">
        <v>201</v>
      </c>
      <c r="L113" s="5">
        <v>1</v>
      </c>
      <c r="M113" s="5">
        <v>3</v>
      </c>
      <c r="N113" s="5" t="s">
        <v>3</v>
      </c>
      <c r="O113" s="5">
        <v>2</v>
      </c>
      <c r="P113" s="5">
        <f>ROUND(Source!DG111,O113)</f>
        <v>2968853.64</v>
      </c>
      <c r="Q113" s="5"/>
      <c r="R113" s="5"/>
      <c r="S113" s="5"/>
      <c r="T113" s="5"/>
      <c r="U113" s="5"/>
      <c r="V113" s="5"/>
      <c r="W113" s="5">
        <v>376019.07</v>
      </c>
      <c r="X113" s="5">
        <v>1</v>
      </c>
      <c r="Y113" s="5">
        <v>376019.07</v>
      </c>
      <c r="Z113" s="5">
        <v>2968853.64</v>
      </c>
      <c r="AA113" s="5">
        <v>1</v>
      </c>
      <c r="AB113" s="5">
        <v>2968853.64</v>
      </c>
    </row>
    <row r="114" spans="1:28" x14ac:dyDescent="0.2">
      <c r="A114" s="5">
        <v>50</v>
      </c>
      <c r="B114" s="5">
        <v>0</v>
      </c>
      <c r="C114" s="5">
        <v>0</v>
      </c>
      <c r="D114" s="5">
        <v>1</v>
      </c>
      <c r="E114" s="5">
        <v>202</v>
      </c>
      <c r="F114" s="5">
        <f>ROUND(Source!P111,O114)</f>
        <v>375907.12</v>
      </c>
      <c r="G114" s="5" t="s">
        <v>85</v>
      </c>
      <c r="H114" s="5" t="s">
        <v>86</v>
      </c>
      <c r="I114" s="5"/>
      <c r="J114" s="5"/>
      <c r="K114" s="5">
        <v>202</v>
      </c>
      <c r="L114" s="5">
        <v>2</v>
      </c>
      <c r="M114" s="5">
        <v>3</v>
      </c>
      <c r="N114" s="5" t="s">
        <v>3</v>
      </c>
      <c r="O114" s="5">
        <v>2</v>
      </c>
      <c r="P114" s="5">
        <f>ROUND(Source!DH111,O114)</f>
        <v>2963173.09</v>
      </c>
      <c r="Q114" s="5"/>
      <c r="R114" s="5"/>
      <c r="S114" s="5"/>
      <c r="T114" s="5"/>
      <c r="U114" s="5"/>
      <c r="V114" s="5"/>
      <c r="W114" s="5">
        <v>375907.12</v>
      </c>
      <c r="X114" s="5">
        <v>1</v>
      </c>
      <c r="Y114" s="5">
        <v>375907.12</v>
      </c>
      <c r="Z114" s="5">
        <v>2963173.09</v>
      </c>
      <c r="AA114" s="5">
        <v>1</v>
      </c>
      <c r="AB114" s="5">
        <v>2963173.09</v>
      </c>
    </row>
    <row r="115" spans="1:28" x14ac:dyDescent="0.2">
      <c r="A115" s="5">
        <v>50</v>
      </c>
      <c r="B115" s="5">
        <v>0</v>
      </c>
      <c r="C115" s="5">
        <v>0</v>
      </c>
      <c r="D115" s="5">
        <v>1</v>
      </c>
      <c r="E115" s="5">
        <v>222</v>
      </c>
      <c r="F115" s="5">
        <f>ROUND(Source!AO111,O115)</f>
        <v>0</v>
      </c>
      <c r="G115" s="5" t="s">
        <v>87</v>
      </c>
      <c r="H115" s="5" t="s">
        <v>88</v>
      </c>
      <c r="I115" s="5"/>
      <c r="J115" s="5"/>
      <c r="K115" s="5">
        <v>222</v>
      </c>
      <c r="L115" s="5">
        <v>3</v>
      </c>
      <c r="M115" s="5">
        <v>3</v>
      </c>
      <c r="N115" s="5" t="s">
        <v>3</v>
      </c>
      <c r="O115" s="5">
        <v>2</v>
      </c>
      <c r="P115" s="5">
        <f>ROUND(Source!EG111,O115)</f>
        <v>0</v>
      </c>
      <c r="Q115" s="5"/>
      <c r="R115" s="5"/>
      <c r="S115" s="5"/>
      <c r="T115" s="5"/>
      <c r="U115" s="5"/>
      <c r="V115" s="5"/>
      <c r="W115" s="5">
        <v>0</v>
      </c>
      <c r="X115" s="5">
        <v>1</v>
      </c>
      <c r="Y115" s="5">
        <v>0</v>
      </c>
      <c r="Z115" s="5">
        <v>0</v>
      </c>
      <c r="AA115" s="5">
        <v>1</v>
      </c>
      <c r="AB115" s="5">
        <v>0</v>
      </c>
    </row>
    <row r="116" spans="1:28" x14ac:dyDescent="0.2">
      <c r="A116" s="5">
        <v>50</v>
      </c>
      <c r="B116" s="5">
        <v>0</v>
      </c>
      <c r="C116" s="5">
        <v>0</v>
      </c>
      <c r="D116" s="5">
        <v>1</v>
      </c>
      <c r="E116" s="5">
        <v>225</v>
      </c>
      <c r="F116" s="5">
        <f>ROUND(Source!AV111,O116)</f>
        <v>375907.12</v>
      </c>
      <c r="G116" s="5" t="s">
        <v>89</v>
      </c>
      <c r="H116" s="5" t="s">
        <v>90</v>
      </c>
      <c r="I116" s="5"/>
      <c r="J116" s="5"/>
      <c r="K116" s="5">
        <v>225</v>
      </c>
      <c r="L116" s="5">
        <v>4</v>
      </c>
      <c r="M116" s="5">
        <v>3</v>
      </c>
      <c r="N116" s="5" t="s">
        <v>3</v>
      </c>
      <c r="O116" s="5">
        <v>2</v>
      </c>
      <c r="P116" s="5">
        <f>ROUND(Source!EN111,O116)</f>
        <v>2963173.09</v>
      </c>
      <c r="Q116" s="5"/>
      <c r="R116" s="5"/>
      <c r="S116" s="5"/>
      <c r="T116" s="5"/>
      <c r="U116" s="5"/>
      <c r="V116" s="5"/>
      <c r="W116" s="5">
        <v>375907.12</v>
      </c>
      <c r="X116" s="5">
        <v>1</v>
      </c>
      <c r="Y116" s="5">
        <v>375907.12</v>
      </c>
      <c r="Z116" s="5">
        <v>2963173.09</v>
      </c>
      <c r="AA116" s="5">
        <v>1</v>
      </c>
      <c r="AB116" s="5">
        <v>2963173.09</v>
      </c>
    </row>
    <row r="117" spans="1:28" x14ac:dyDescent="0.2">
      <c r="A117" s="5">
        <v>50</v>
      </c>
      <c r="B117" s="5">
        <v>0</v>
      </c>
      <c r="C117" s="5">
        <v>0</v>
      </c>
      <c r="D117" s="5">
        <v>1</v>
      </c>
      <c r="E117" s="5">
        <v>226</v>
      </c>
      <c r="F117" s="5">
        <f>ROUND(Source!AW111,O117)</f>
        <v>26287.95</v>
      </c>
      <c r="G117" s="5" t="s">
        <v>91</v>
      </c>
      <c r="H117" s="5" t="s">
        <v>92</v>
      </c>
      <c r="I117" s="5"/>
      <c r="J117" s="5"/>
      <c r="K117" s="5">
        <v>226</v>
      </c>
      <c r="L117" s="5">
        <v>5</v>
      </c>
      <c r="M117" s="5">
        <v>3</v>
      </c>
      <c r="N117" s="5" t="s">
        <v>3</v>
      </c>
      <c r="O117" s="5">
        <v>2</v>
      </c>
      <c r="P117" s="5">
        <f>ROUND(Source!EO111,O117)</f>
        <v>259715.14</v>
      </c>
      <c r="Q117" s="5"/>
      <c r="R117" s="5"/>
      <c r="S117" s="5"/>
      <c r="T117" s="5"/>
      <c r="U117" s="5"/>
      <c r="V117" s="5"/>
      <c r="W117" s="5">
        <v>26287.95</v>
      </c>
      <c r="X117" s="5">
        <v>1</v>
      </c>
      <c r="Y117" s="5">
        <v>26287.95</v>
      </c>
      <c r="Z117" s="5">
        <v>259715.14</v>
      </c>
      <c r="AA117" s="5">
        <v>1</v>
      </c>
      <c r="AB117" s="5">
        <v>259715.14</v>
      </c>
    </row>
    <row r="118" spans="1:28" x14ac:dyDescent="0.2">
      <c r="A118" s="5">
        <v>50</v>
      </c>
      <c r="B118" s="5">
        <v>0</v>
      </c>
      <c r="C118" s="5">
        <v>0</v>
      </c>
      <c r="D118" s="5">
        <v>1</v>
      </c>
      <c r="E118" s="5">
        <v>227</v>
      </c>
      <c r="F118" s="5">
        <f>ROUND(Source!AX111,O118)</f>
        <v>0</v>
      </c>
      <c r="G118" s="5" t="s">
        <v>93</v>
      </c>
      <c r="H118" s="5" t="s">
        <v>94</v>
      </c>
      <c r="I118" s="5"/>
      <c r="J118" s="5"/>
      <c r="K118" s="5">
        <v>227</v>
      </c>
      <c r="L118" s="5">
        <v>6</v>
      </c>
      <c r="M118" s="5">
        <v>3</v>
      </c>
      <c r="N118" s="5" t="s">
        <v>3</v>
      </c>
      <c r="O118" s="5">
        <v>2</v>
      </c>
      <c r="P118" s="5">
        <f>ROUND(Source!EP111,O118)</f>
        <v>0</v>
      </c>
      <c r="Q118" s="5"/>
      <c r="R118" s="5"/>
      <c r="S118" s="5"/>
      <c r="T118" s="5"/>
      <c r="U118" s="5"/>
      <c r="V118" s="5"/>
      <c r="W118" s="5">
        <v>0</v>
      </c>
      <c r="X118" s="5">
        <v>1</v>
      </c>
      <c r="Y118" s="5">
        <v>0</v>
      </c>
      <c r="Z118" s="5">
        <v>0</v>
      </c>
      <c r="AA118" s="5">
        <v>1</v>
      </c>
      <c r="AB118" s="5">
        <v>0</v>
      </c>
    </row>
    <row r="119" spans="1:28" x14ac:dyDescent="0.2">
      <c r="A119" s="5">
        <v>50</v>
      </c>
      <c r="B119" s="5">
        <v>0</v>
      </c>
      <c r="C119" s="5">
        <v>0</v>
      </c>
      <c r="D119" s="5">
        <v>1</v>
      </c>
      <c r="E119" s="5">
        <v>228</v>
      </c>
      <c r="F119" s="5">
        <f>ROUND(Source!AY111,O119)</f>
        <v>26287.95</v>
      </c>
      <c r="G119" s="5" t="s">
        <v>95</v>
      </c>
      <c r="H119" s="5" t="s">
        <v>96</v>
      </c>
      <c r="I119" s="5"/>
      <c r="J119" s="5"/>
      <c r="K119" s="5">
        <v>228</v>
      </c>
      <c r="L119" s="5">
        <v>7</v>
      </c>
      <c r="M119" s="5">
        <v>3</v>
      </c>
      <c r="N119" s="5" t="s">
        <v>3</v>
      </c>
      <c r="O119" s="5">
        <v>2</v>
      </c>
      <c r="P119" s="5">
        <f>ROUND(Source!EQ111,O119)</f>
        <v>259715.14</v>
      </c>
      <c r="Q119" s="5"/>
      <c r="R119" s="5"/>
      <c r="S119" s="5"/>
      <c r="T119" s="5"/>
      <c r="U119" s="5"/>
      <c r="V119" s="5"/>
      <c r="W119" s="5">
        <v>26287.95</v>
      </c>
      <c r="X119" s="5">
        <v>1</v>
      </c>
      <c r="Y119" s="5">
        <v>26287.95</v>
      </c>
      <c r="Z119" s="5">
        <v>259715.14</v>
      </c>
      <c r="AA119" s="5">
        <v>1</v>
      </c>
      <c r="AB119" s="5">
        <v>259715.14</v>
      </c>
    </row>
    <row r="120" spans="1:28" x14ac:dyDescent="0.2">
      <c r="A120" s="5">
        <v>50</v>
      </c>
      <c r="B120" s="5">
        <v>0</v>
      </c>
      <c r="C120" s="5">
        <v>0</v>
      </c>
      <c r="D120" s="5">
        <v>1</v>
      </c>
      <c r="E120" s="5">
        <v>216</v>
      </c>
      <c r="F120" s="5">
        <f>ROUND(Source!AP111,O120)</f>
        <v>349619.17</v>
      </c>
      <c r="G120" s="5" t="s">
        <v>97</v>
      </c>
      <c r="H120" s="5" t="s">
        <v>98</v>
      </c>
      <c r="I120" s="5"/>
      <c r="J120" s="5"/>
      <c r="K120" s="5">
        <v>216</v>
      </c>
      <c r="L120" s="5">
        <v>8</v>
      </c>
      <c r="M120" s="5">
        <v>3</v>
      </c>
      <c r="N120" s="5" t="s">
        <v>3</v>
      </c>
      <c r="O120" s="5">
        <v>2</v>
      </c>
      <c r="P120" s="5">
        <f>ROUND(Source!EH111,O120)</f>
        <v>2703457.95</v>
      </c>
      <c r="Q120" s="5"/>
      <c r="R120" s="5"/>
      <c r="S120" s="5"/>
      <c r="T120" s="5"/>
      <c r="U120" s="5"/>
      <c r="V120" s="5"/>
      <c r="W120" s="5">
        <v>349619.17</v>
      </c>
      <c r="X120" s="5">
        <v>1</v>
      </c>
      <c r="Y120" s="5">
        <v>349619.17</v>
      </c>
      <c r="Z120" s="5">
        <v>2703457.95</v>
      </c>
      <c r="AA120" s="5">
        <v>1</v>
      </c>
      <c r="AB120" s="5">
        <v>2703457.95</v>
      </c>
    </row>
    <row r="121" spans="1:28" x14ac:dyDescent="0.2">
      <c r="A121" s="5">
        <v>50</v>
      </c>
      <c r="B121" s="5">
        <v>0</v>
      </c>
      <c r="C121" s="5">
        <v>0</v>
      </c>
      <c r="D121" s="5">
        <v>1</v>
      </c>
      <c r="E121" s="5">
        <v>223</v>
      </c>
      <c r="F121" s="5">
        <f>ROUND(Source!AQ111,O121)</f>
        <v>0</v>
      </c>
      <c r="G121" s="5" t="s">
        <v>99</v>
      </c>
      <c r="H121" s="5" t="s">
        <v>100</v>
      </c>
      <c r="I121" s="5"/>
      <c r="J121" s="5"/>
      <c r="K121" s="5">
        <v>223</v>
      </c>
      <c r="L121" s="5">
        <v>9</v>
      </c>
      <c r="M121" s="5">
        <v>3</v>
      </c>
      <c r="N121" s="5" t="s">
        <v>3</v>
      </c>
      <c r="O121" s="5">
        <v>2</v>
      </c>
      <c r="P121" s="5">
        <f>ROUND(Source!EI111,O121)</f>
        <v>0</v>
      </c>
      <c r="Q121" s="5"/>
      <c r="R121" s="5"/>
      <c r="S121" s="5"/>
      <c r="T121" s="5"/>
      <c r="U121" s="5"/>
      <c r="V121" s="5"/>
      <c r="W121" s="5">
        <v>0</v>
      </c>
      <c r="X121" s="5">
        <v>1</v>
      </c>
      <c r="Y121" s="5">
        <v>0</v>
      </c>
      <c r="Z121" s="5">
        <v>0</v>
      </c>
      <c r="AA121" s="5">
        <v>1</v>
      </c>
      <c r="AB121" s="5">
        <v>0</v>
      </c>
    </row>
    <row r="122" spans="1:28" x14ac:dyDescent="0.2">
      <c r="A122" s="5">
        <v>50</v>
      </c>
      <c r="B122" s="5">
        <v>0</v>
      </c>
      <c r="C122" s="5">
        <v>0</v>
      </c>
      <c r="D122" s="5">
        <v>1</v>
      </c>
      <c r="E122" s="5">
        <v>229</v>
      </c>
      <c r="F122" s="5">
        <f>ROUND(Source!AZ111,O122)</f>
        <v>349619.17</v>
      </c>
      <c r="G122" s="5" t="s">
        <v>101</v>
      </c>
      <c r="H122" s="5" t="s">
        <v>102</v>
      </c>
      <c r="I122" s="5"/>
      <c r="J122" s="5"/>
      <c r="K122" s="5">
        <v>229</v>
      </c>
      <c r="L122" s="5">
        <v>10</v>
      </c>
      <c r="M122" s="5">
        <v>3</v>
      </c>
      <c r="N122" s="5" t="s">
        <v>3</v>
      </c>
      <c r="O122" s="5">
        <v>2</v>
      </c>
      <c r="P122" s="5">
        <f>ROUND(Source!ER111,O122)</f>
        <v>2703457.95</v>
      </c>
      <c r="Q122" s="5"/>
      <c r="R122" s="5"/>
      <c r="S122" s="5"/>
      <c r="T122" s="5"/>
      <c r="U122" s="5"/>
      <c r="V122" s="5"/>
      <c r="W122" s="5">
        <v>349619.17</v>
      </c>
      <c r="X122" s="5">
        <v>1</v>
      </c>
      <c r="Y122" s="5">
        <v>349619.17</v>
      </c>
      <c r="Z122" s="5">
        <v>2703457.95</v>
      </c>
      <c r="AA122" s="5">
        <v>1</v>
      </c>
      <c r="AB122" s="5">
        <v>2703457.95</v>
      </c>
    </row>
    <row r="123" spans="1:28" x14ac:dyDescent="0.2">
      <c r="A123" s="5">
        <v>50</v>
      </c>
      <c r="B123" s="5">
        <v>0</v>
      </c>
      <c r="C123" s="5">
        <v>0</v>
      </c>
      <c r="D123" s="5">
        <v>1</v>
      </c>
      <c r="E123" s="5">
        <v>203</v>
      </c>
      <c r="F123" s="5">
        <f>ROUND(Source!Q111,O123)</f>
        <v>12</v>
      </c>
      <c r="G123" s="5" t="s">
        <v>103</v>
      </c>
      <c r="H123" s="5" t="s">
        <v>104</v>
      </c>
      <c r="I123" s="5"/>
      <c r="J123" s="5"/>
      <c r="K123" s="5">
        <v>203</v>
      </c>
      <c r="L123" s="5">
        <v>11</v>
      </c>
      <c r="M123" s="5">
        <v>3</v>
      </c>
      <c r="N123" s="5" t="s">
        <v>3</v>
      </c>
      <c r="O123" s="5">
        <v>2</v>
      </c>
      <c r="P123" s="5">
        <f>ROUND(Source!DI111,O123)</f>
        <v>184.3</v>
      </c>
      <c r="Q123" s="5"/>
      <c r="R123" s="5"/>
      <c r="S123" s="5"/>
      <c r="T123" s="5"/>
      <c r="U123" s="5"/>
      <c r="V123" s="5"/>
      <c r="W123" s="5">
        <v>12</v>
      </c>
      <c r="X123" s="5">
        <v>1</v>
      </c>
      <c r="Y123" s="5">
        <v>12</v>
      </c>
      <c r="Z123" s="5">
        <v>184.3</v>
      </c>
      <c r="AA123" s="5">
        <v>1</v>
      </c>
      <c r="AB123" s="5">
        <v>184.3</v>
      </c>
    </row>
    <row r="124" spans="1:28" x14ac:dyDescent="0.2">
      <c r="A124" s="5">
        <v>50</v>
      </c>
      <c r="B124" s="5">
        <v>0</v>
      </c>
      <c r="C124" s="5">
        <v>0</v>
      </c>
      <c r="D124" s="5">
        <v>1</v>
      </c>
      <c r="E124" s="5">
        <v>231</v>
      </c>
      <c r="F124" s="5">
        <f>ROUND(Source!BB111,O124)</f>
        <v>0</v>
      </c>
      <c r="G124" s="5" t="s">
        <v>105</v>
      </c>
      <c r="H124" s="5" t="s">
        <v>106</v>
      </c>
      <c r="I124" s="5"/>
      <c r="J124" s="5"/>
      <c r="K124" s="5">
        <v>231</v>
      </c>
      <c r="L124" s="5">
        <v>12</v>
      </c>
      <c r="M124" s="5">
        <v>3</v>
      </c>
      <c r="N124" s="5" t="s">
        <v>3</v>
      </c>
      <c r="O124" s="5">
        <v>2</v>
      </c>
      <c r="P124" s="5">
        <f>ROUND(Source!ET111,O124)</f>
        <v>0</v>
      </c>
      <c r="Q124" s="5"/>
      <c r="R124" s="5"/>
      <c r="S124" s="5"/>
      <c r="T124" s="5"/>
      <c r="U124" s="5"/>
      <c r="V124" s="5"/>
      <c r="W124" s="5">
        <v>0</v>
      </c>
      <c r="X124" s="5">
        <v>1</v>
      </c>
      <c r="Y124" s="5">
        <v>0</v>
      </c>
      <c r="Z124" s="5">
        <v>0</v>
      </c>
      <c r="AA124" s="5">
        <v>1</v>
      </c>
      <c r="AB124" s="5">
        <v>0</v>
      </c>
    </row>
    <row r="125" spans="1:28" x14ac:dyDescent="0.2">
      <c r="A125" s="5">
        <v>50</v>
      </c>
      <c r="B125" s="5">
        <v>0</v>
      </c>
      <c r="C125" s="5">
        <v>0</v>
      </c>
      <c r="D125" s="5">
        <v>1</v>
      </c>
      <c r="E125" s="5">
        <v>204</v>
      </c>
      <c r="F125" s="5">
        <f>ROUND(Source!R111,O125)</f>
        <v>1.6</v>
      </c>
      <c r="G125" s="5" t="s">
        <v>107</v>
      </c>
      <c r="H125" s="5" t="s">
        <v>108</v>
      </c>
      <c r="I125" s="5"/>
      <c r="J125" s="5"/>
      <c r="K125" s="5">
        <v>204</v>
      </c>
      <c r="L125" s="5">
        <v>13</v>
      </c>
      <c r="M125" s="5">
        <v>3</v>
      </c>
      <c r="N125" s="5" t="s">
        <v>3</v>
      </c>
      <c r="O125" s="5">
        <v>2</v>
      </c>
      <c r="P125" s="5">
        <f>ROUND(Source!DJ111,O125)</f>
        <v>87.99</v>
      </c>
      <c r="Q125" s="5"/>
      <c r="R125" s="5"/>
      <c r="S125" s="5"/>
      <c r="T125" s="5"/>
      <c r="U125" s="5"/>
      <c r="V125" s="5"/>
      <c r="W125" s="5">
        <v>1.6</v>
      </c>
      <c r="X125" s="5">
        <v>1</v>
      </c>
      <c r="Y125" s="5">
        <v>1.6</v>
      </c>
      <c r="Z125" s="5">
        <v>87.99</v>
      </c>
      <c r="AA125" s="5">
        <v>1</v>
      </c>
      <c r="AB125" s="5">
        <v>87.99</v>
      </c>
    </row>
    <row r="126" spans="1:28" x14ac:dyDescent="0.2">
      <c r="A126" s="5">
        <v>50</v>
      </c>
      <c r="B126" s="5">
        <v>0</v>
      </c>
      <c r="C126" s="5">
        <v>0</v>
      </c>
      <c r="D126" s="5">
        <v>1</v>
      </c>
      <c r="E126" s="5">
        <v>205</v>
      </c>
      <c r="F126" s="5">
        <f>ROUND(Source!S111,O126)</f>
        <v>99.95</v>
      </c>
      <c r="G126" s="5" t="s">
        <v>109</v>
      </c>
      <c r="H126" s="5" t="s">
        <v>110</v>
      </c>
      <c r="I126" s="5"/>
      <c r="J126" s="5"/>
      <c r="K126" s="5">
        <v>205</v>
      </c>
      <c r="L126" s="5">
        <v>14</v>
      </c>
      <c r="M126" s="5">
        <v>3</v>
      </c>
      <c r="N126" s="5" t="s">
        <v>3</v>
      </c>
      <c r="O126" s="5">
        <v>2</v>
      </c>
      <c r="P126" s="5">
        <f>ROUND(Source!DK111,O126)</f>
        <v>5496.25</v>
      </c>
      <c r="Q126" s="5"/>
      <c r="R126" s="5"/>
      <c r="S126" s="5"/>
      <c r="T126" s="5"/>
      <c r="U126" s="5"/>
      <c r="V126" s="5"/>
      <c r="W126" s="5">
        <v>99.95</v>
      </c>
      <c r="X126" s="5">
        <v>1</v>
      </c>
      <c r="Y126" s="5">
        <v>99.95</v>
      </c>
      <c r="Z126" s="5">
        <v>5496.25</v>
      </c>
      <c r="AA126" s="5">
        <v>1</v>
      </c>
      <c r="AB126" s="5">
        <v>5496.25</v>
      </c>
    </row>
    <row r="127" spans="1:28" x14ac:dyDescent="0.2">
      <c r="A127" s="5">
        <v>50</v>
      </c>
      <c r="B127" s="5">
        <v>0</v>
      </c>
      <c r="C127" s="5">
        <v>0</v>
      </c>
      <c r="D127" s="5">
        <v>1</v>
      </c>
      <c r="E127" s="5">
        <v>232</v>
      </c>
      <c r="F127" s="5">
        <f>ROUND(Source!BC111,O127)</f>
        <v>0</v>
      </c>
      <c r="G127" s="5" t="s">
        <v>111</v>
      </c>
      <c r="H127" s="5" t="s">
        <v>112</v>
      </c>
      <c r="I127" s="5"/>
      <c r="J127" s="5"/>
      <c r="K127" s="5">
        <v>232</v>
      </c>
      <c r="L127" s="5">
        <v>15</v>
      </c>
      <c r="M127" s="5">
        <v>3</v>
      </c>
      <c r="N127" s="5" t="s">
        <v>3</v>
      </c>
      <c r="O127" s="5">
        <v>2</v>
      </c>
      <c r="P127" s="5">
        <f>ROUND(Source!EU111,O127)</f>
        <v>0</v>
      </c>
      <c r="Q127" s="5"/>
      <c r="R127" s="5"/>
      <c r="S127" s="5"/>
      <c r="T127" s="5"/>
      <c r="U127" s="5"/>
      <c r="V127" s="5"/>
      <c r="W127" s="5">
        <v>0</v>
      </c>
      <c r="X127" s="5">
        <v>1</v>
      </c>
      <c r="Y127" s="5">
        <v>0</v>
      </c>
      <c r="Z127" s="5">
        <v>0</v>
      </c>
      <c r="AA127" s="5">
        <v>1</v>
      </c>
      <c r="AB127" s="5">
        <v>0</v>
      </c>
    </row>
    <row r="128" spans="1:28" x14ac:dyDescent="0.2">
      <c r="A128" s="5">
        <v>50</v>
      </c>
      <c r="B128" s="5">
        <v>0</v>
      </c>
      <c r="C128" s="5">
        <v>0</v>
      </c>
      <c r="D128" s="5">
        <v>1</v>
      </c>
      <c r="E128" s="5">
        <v>214</v>
      </c>
      <c r="F128" s="5">
        <f>ROUND(Source!AS111,O128)</f>
        <v>26421.05</v>
      </c>
      <c r="G128" s="5" t="s">
        <v>113</v>
      </c>
      <c r="H128" s="5" t="s">
        <v>114</v>
      </c>
      <c r="I128" s="5"/>
      <c r="J128" s="5"/>
      <c r="K128" s="5">
        <v>214</v>
      </c>
      <c r="L128" s="5">
        <v>16</v>
      </c>
      <c r="M128" s="5">
        <v>3</v>
      </c>
      <c r="N128" s="5" t="s">
        <v>3</v>
      </c>
      <c r="O128" s="5">
        <v>2</v>
      </c>
      <c r="P128" s="5">
        <f>ROUND(Source!EK111,O128)</f>
        <v>266614.13</v>
      </c>
      <c r="Q128" s="5"/>
      <c r="R128" s="5"/>
      <c r="S128" s="5"/>
      <c r="T128" s="5"/>
      <c r="U128" s="5"/>
      <c r="V128" s="5"/>
      <c r="W128" s="5">
        <v>26421.05</v>
      </c>
      <c r="X128" s="5">
        <v>1</v>
      </c>
      <c r="Y128" s="5">
        <v>26421.05</v>
      </c>
      <c r="Z128" s="5">
        <v>266614.13</v>
      </c>
      <c r="AA128" s="5">
        <v>1</v>
      </c>
      <c r="AB128" s="5">
        <v>266614.13</v>
      </c>
    </row>
    <row r="129" spans="1:28" x14ac:dyDescent="0.2">
      <c r="A129" s="5">
        <v>50</v>
      </c>
      <c r="B129" s="5">
        <v>0</v>
      </c>
      <c r="C129" s="5">
        <v>0</v>
      </c>
      <c r="D129" s="5">
        <v>1</v>
      </c>
      <c r="E129" s="5">
        <v>215</v>
      </c>
      <c r="F129" s="5">
        <f>ROUND(Source!AT111,O129)</f>
        <v>131.83000000000001</v>
      </c>
      <c r="G129" s="5" t="s">
        <v>115</v>
      </c>
      <c r="H129" s="5" t="s">
        <v>116</v>
      </c>
      <c r="I129" s="5"/>
      <c r="J129" s="5"/>
      <c r="K129" s="5">
        <v>215</v>
      </c>
      <c r="L129" s="5">
        <v>17</v>
      </c>
      <c r="M129" s="5">
        <v>3</v>
      </c>
      <c r="N129" s="5" t="s">
        <v>3</v>
      </c>
      <c r="O129" s="5">
        <v>2</v>
      </c>
      <c r="P129" s="5">
        <f>ROUND(Source!EL111,O129)</f>
        <v>7193.49</v>
      </c>
      <c r="Q129" s="5"/>
      <c r="R129" s="5"/>
      <c r="S129" s="5"/>
      <c r="T129" s="5"/>
      <c r="U129" s="5"/>
      <c r="V129" s="5"/>
      <c r="W129" s="5">
        <v>131.83000000000001</v>
      </c>
      <c r="X129" s="5">
        <v>1</v>
      </c>
      <c r="Y129" s="5">
        <v>131.83000000000001</v>
      </c>
      <c r="Z129" s="5">
        <v>7193.49</v>
      </c>
      <c r="AA129" s="5">
        <v>1</v>
      </c>
      <c r="AB129" s="5">
        <v>7193.49</v>
      </c>
    </row>
    <row r="130" spans="1:28" x14ac:dyDescent="0.2">
      <c r="A130" s="5">
        <v>50</v>
      </c>
      <c r="B130" s="5">
        <v>0</v>
      </c>
      <c r="C130" s="5">
        <v>0</v>
      </c>
      <c r="D130" s="5">
        <v>1</v>
      </c>
      <c r="E130" s="5">
        <v>217</v>
      </c>
      <c r="F130" s="5">
        <f>ROUND(Source!AU111,O130)</f>
        <v>0</v>
      </c>
      <c r="G130" s="5" t="s">
        <v>117</v>
      </c>
      <c r="H130" s="5" t="s">
        <v>118</v>
      </c>
      <c r="I130" s="5"/>
      <c r="J130" s="5"/>
      <c r="K130" s="5">
        <v>217</v>
      </c>
      <c r="L130" s="5">
        <v>18</v>
      </c>
      <c r="M130" s="5">
        <v>3</v>
      </c>
      <c r="N130" s="5" t="s">
        <v>3</v>
      </c>
      <c r="O130" s="5">
        <v>2</v>
      </c>
      <c r="P130" s="5">
        <f>ROUND(Source!EM111,O130)</f>
        <v>0</v>
      </c>
      <c r="Q130" s="5"/>
      <c r="R130" s="5"/>
      <c r="S130" s="5"/>
      <c r="T130" s="5"/>
      <c r="U130" s="5"/>
      <c r="V130" s="5"/>
      <c r="W130" s="5">
        <v>0</v>
      </c>
      <c r="X130" s="5">
        <v>1</v>
      </c>
      <c r="Y130" s="5">
        <v>0</v>
      </c>
      <c r="Z130" s="5">
        <v>0</v>
      </c>
      <c r="AA130" s="5">
        <v>1</v>
      </c>
      <c r="AB130" s="5">
        <v>0</v>
      </c>
    </row>
    <row r="131" spans="1:28" x14ac:dyDescent="0.2">
      <c r="A131" s="5">
        <v>50</v>
      </c>
      <c r="B131" s="5">
        <v>0</v>
      </c>
      <c r="C131" s="5">
        <v>0</v>
      </c>
      <c r="D131" s="5">
        <v>1</v>
      </c>
      <c r="E131" s="5">
        <v>230</v>
      </c>
      <c r="F131" s="5">
        <f>ROUND(Source!BA111,O131)</f>
        <v>0</v>
      </c>
      <c r="G131" s="5" t="s">
        <v>119</v>
      </c>
      <c r="H131" s="5" t="s">
        <v>120</v>
      </c>
      <c r="I131" s="5"/>
      <c r="J131" s="5"/>
      <c r="K131" s="5">
        <v>230</v>
      </c>
      <c r="L131" s="5">
        <v>19</v>
      </c>
      <c r="M131" s="5">
        <v>3</v>
      </c>
      <c r="N131" s="5" t="s">
        <v>3</v>
      </c>
      <c r="O131" s="5">
        <v>2</v>
      </c>
      <c r="P131" s="5">
        <f>ROUND(Source!ES111,O131)</f>
        <v>0</v>
      </c>
      <c r="Q131" s="5"/>
      <c r="R131" s="5"/>
      <c r="S131" s="5"/>
      <c r="T131" s="5"/>
      <c r="U131" s="5"/>
      <c r="V131" s="5"/>
      <c r="W131" s="5">
        <v>0</v>
      </c>
      <c r="X131" s="5">
        <v>1</v>
      </c>
      <c r="Y131" s="5">
        <v>0</v>
      </c>
      <c r="Z131" s="5">
        <v>0</v>
      </c>
      <c r="AA131" s="5">
        <v>1</v>
      </c>
      <c r="AB131" s="5">
        <v>0</v>
      </c>
    </row>
    <row r="132" spans="1:28" x14ac:dyDescent="0.2">
      <c r="A132" s="5">
        <v>50</v>
      </c>
      <c r="B132" s="5">
        <v>0</v>
      </c>
      <c r="C132" s="5">
        <v>0</v>
      </c>
      <c r="D132" s="5">
        <v>1</v>
      </c>
      <c r="E132" s="5">
        <v>206</v>
      </c>
      <c r="F132" s="5">
        <f>ROUND(Source!T111,O132)</f>
        <v>0</v>
      </c>
      <c r="G132" s="5" t="s">
        <v>121</v>
      </c>
      <c r="H132" s="5" t="s">
        <v>122</v>
      </c>
      <c r="I132" s="5"/>
      <c r="J132" s="5"/>
      <c r="K132" s="5">
        <v>206</v>
      </c>
      <c r="L132" s="5">
        <v>20</v>
      </c>
      <c r="M132" s="5">
        <v>3</v>
      </c>
      <c r="N132" s="5" t="s">
        <v>3</v>
      </c>
      <c r="O132" s="5">
        <v>2</v>
      </c>
      <c r="P132" s="5">
        <f>ROUND(Source!DL111,O132)</f>
        <v>0</v>
      </c>
      <c r="Q132" s="5"/>
      <c r="R132" s="5"/>
      <c r="S132" s="5"/>
      <c r="T132" s="5"/>
      <c r="U132" s="5"/>
      <c r="V132" s="5"/>
      <c r="W132" s="5">
        <v>0</v>
      </c>
      <c r="X132" s="5">
        <v>1</v>
      </c>
      <c r="Y132" s="5">
        <v>0</v>
      </c>
      <c r="Z132" s="5">
        <v>0</v>
      </c>
      <c r="AA132" s="5">
        <v>1</v>
      </c>
      <c r="AB132" s="5">
        <v>0</v>
      </c>
    </row>
    <row r="133" spans="1:28" x14ac:dyDescent="0.2">
      <c r="A133" s="5">
        <v>50</v>
      </c>
      <c r="B133" s="5">
        <v>0</v>
      </c>
      <c r="C133" s="5">
        <v>0</v>
      </c>
      <c r="D133" s="5">
        <v>1</v>
      </c>
      <c r="E133" s="5">
        <v>207</v>
      </c>
      <c r="F133" s="5">
        <f>Source!U111</f>
        <v>8.0418206000000012</v>
      </c>
      <c r="G133" s="5" t="s">
        <v>123</v>
      </c>
      <c r="H133" s="5" t="s">
        <v>124</v>
      </c>
      <c r="I133" s="5"/>
      <c r="J133" s="5"/>
      <c r="K133" s="5">
        <v>207</v>
      </c>
      <c r="L133" s="5">
        <v>21</v>
      </c>
      <c r="M133" s="5">
        <v>3</v>
      </c>
      <c r="N133" s="5" t="s">
        <v>3</v>
      </c>
      <c r="O133" s="5">
        <v>-1</v>
      </c>
      <c r="P133" s="5">
        <f>Source!DM111</f>
        <v>8.0418206000000012</v>
      </c>
      <c r="Q133" s="5"/>
      <c r="R133" s="5"/>
      <c r="S133" s="5"/>
      <c r="T133" s="5"/>
      <c r="U133" s="5"/>
      <c r="V133" s="5"/>
      <c r="W133" s="5">
        <v>8.0418205999999994</v>
      </c>
      <c r="X133" s="5">
        <v>1</v>
      </c>
      <c r="Y133" s="5">
        <v>8.0418205999999994</v>
      </c>
      <c r="Z133" s="5">
        <v>8.0418205999999994</v>
      </c>
      <c r="AA133" s="5">
        <v>1</v>
      </c>
      <c r="AB133" s="5">
        <v>8.0418205999999994</v>
      </c>
    </row>
    <row r="134" spans="1:28" x14ac:dyDescent="0.2">
      <c r="A134" s="5">
        <v>50</v>
      </c>
      <c r="B134" s="5">
        <v>0</v>
      </c>
      <c r="C134" s="5">
        <v>0</v>
      </c>
      <c r="D134" s="5">
        <v>1</v>
      </c>
      <c r="E134" s="5">
        <v>208</v>
      </c>
      <c r="F134" s="5">
        <f>Source!V111</f>
        <v>0</v>
      </c>
      <c r="G134" s="5" t="s">
        <v>125</v>
      </c>
      <c r="H134" s="5" t="s">
        <v>126</v>
      </c>
      <c r="I134" s="5"/>
      <c r="J134" s="5"/>
      <c r="K134" s="5">
        <v>208</v>
      </c>
      <c r="L134" s="5">
        <v>22</v>
      </c>
      <c r="M134" s="5">
        <v>3</v>
      </c>
      <c r="N134" s="5" t="s">
        <v>3</v>
      </c>
      <c r="O134" s="5">
        <v>-1</v>
      </c>
      <c r="P134" s="5">
        <f>Source!DN111</f>
        <v>0</v>
      </c>
      <c r="Q134" s="5"/>
      <c r="R134" s="5"/>
      <c r="S134" s="5"/>
      <c r="T134" s="5"/>
      <c r="U134" s="5"/>
      <c r="V134" s="5"/>
      <c r="W134" s="5">
        <v>0</v>
      </c>
      <c r="X134" s="5">
        <v>1</v>
      </c>
      <c r="Y134" s="5">
        <v>0</v>
      </c>
      <c r="Z134" s="5">
        <v>0</v>
      </c>
      <c r="AA134" s="5">
        <v>1</v>
      </c>
      <c r="AB134" s="5">
        <v>0</v>
      </c>
    </row>
    <row r="135" spans="1:28" x14ac:dyDescent="0.2">
      <c r="A135" s="5">
        <v>50</v>
      </c>
      <c r="B135" s="5">
        <v>0</v>
      </c>
      <c r="C135" s="5">
        <v>0</v>
      </c>
      <c r="D135" s="5">
        <v>1</v>
      </c>
      <c r="E135" s="5">
        <v>209</v>
      </c>
      <c r="F135" s="5">
        <f>ROUND(Source!W111,O135)</f>
        <v>0</v>
      </c>
      <c r="G135" s="5" t="s">
        <v>127</v>
      </c>
      <c r="H135" s="5" t="s">
        <v>128</v>
      </c>
      <c r="I135" s="5"/>
      <c r="J135" s="5"/>
      <c r="K135" s="5">
        <v>209</v>
      </c>
      <c r="L135" s="5">
        <v>23</v>
      </c>
      <c r="M135" s="5">
        <v>3</v>
      </c>
      <c r="N135" s="5" t="s">
        <v>3</v>
      </c>
      <c r="O135" s="5">
        <v>2</v>
      </c>
      <c r="P135" s="5">
        <f>ROUND(Source!DO111,O135)</f>
        <v>0</v>
      </c>
      <c r="Q135" s="5"/>
      <c r="R135" s="5"/>
      <c r="S135" s="5"/>
      <c r="T135" s="5"/>
      <c r="U135" s="5"/>
      <c r="V135" s="5"/>
      <c r="W135" s="5">
        <v>0</v>
      </c>
      <c r="X135" s="5">
        <v>1</v>
      </c>
      <c r="Y135" s="5">
        <v>0</v>
      </c>
      <c r="Z135" s="5">
        <v>0</v>
      </c>
      <c r="AA135" s="5">
        <v>1</v>
      </c>
      <c r="AB135" s="5">
        <v>0</v>
      </c>
    </row>
    <row r="136" spans="1:28" x14ac:dyDescent="0.2">
      <c r="A136" s="5">
        <v>50</v>
      </c>
      <c r="B136" s="5">
        <v>0</v>
      </c>
      <c r="C136" s="5">
        <v>0</v>
      </c>
      <c r="D136" s="5">
        <v>1</v>
      </c>
      <c r="E136" s="5">
        <v>233</v>
      </c>
      <c r="F136" s="5">
        <f>ROUND(Source!BD111,O136)</f>
        <v>0</v>
      </c>
      <c r="G136" s="5" t="s">
        <v>129</v>
      </c>
      <c r="H136" s="5" t="s">
        <v>130</v>
      </c>
      <c r="I136" s="5"/>
      <c r="J136" s="5"/>
      <c r="K136" s="5">
        <v>233</v>
      </c>
      <c r="L136" s="5">
        <v>24</v>
      </c>
      <c r="M136" s="5">
        <v>3</v>
      </c>
      <c r="N136" s="5" t="s">
        <v>3</v>
      </c>
      <c r="O136" s="5">
        <v>2</v>
      </c>
      <c r="P136" s="5">
        <f>ROUND(Source!EV111,O136)</f>
        <v>0</v>
      </c>
      <c r="Q136" s="5"/>
      <c r="R136" s="5"/>
      <c r="S136" s="5"/>
      <c r="T136" s="5"/>
      <c r="U136" s="5"/>
      <c r="V136" s="5"/>
      <c r="W136" s="5">
        <v>0</v>
      </c>
      <c r="X136" s="5">
        <v>1</v>
      </c>
      <c r="Y136" s="5">
        <v>0</v>
      </c>
      <c r="Z136" s="5">
        <v>0</v>
      </c>
      <c r="AA136" s="5">
        <v>1</v>
      </c>
      <c r="AB136" s="5">
        <v>0</v>
      </c>
    </row>
    <row r="137" spans="1:28" x14ac:dyDescent="0.2">
      <c r="A137" s="5">
        <v>50</v>
      </c>
      <c r="B137" s="5">
        <v>0</v>
      </c>
      <c r="C137" s="5">
        <v>0</v>
      </c>
      <c r="D137" s="5">
        <v>1</v>
      </c>
      <c r="E137" s="5">
        <v>210</v>
      </c>
      <c r="F137" s="5">
        <f>ROUND(Source!X111,O137)</f>
        <v>99.96</v>
      </c>
      <c r="G137" s="5" t="s">
        <v>131</v>
      </c>
      <c r="H137" s="5" t="s">
        <v>132</v>
      </c>
      <c r="I137" s="5"/>
      <c r="J137" s="5"/>
      <c r="K137" s="5">
        <v>210</v>
      </c>
      <c r="L137" s="5">
        <v>25</v>
      </c>
      <c r="M137" s="5">
        <v>3</v>
      </c>
      <c r="N137" s="5" t="s">
        <v>3</v>
      </c>
      <c r="O137" s="5">
        <v>2</v>
      </c>
      <c r="P137" s="5">
        <f>ROUND(Source!DP111,O137)</f>
        <v>5496.25</v>
      </c>
      <c r="Q137" s="5"/>
      <c r="R137" s="5"/>
      <c r="S137" s="5"/>
      <c r="T137" s="5"/>
      <c r="U137" s="5"/>
      <c r="V137" s="5"/>
      <c r="W137" s="5">
        <v>99.96</v>
      </c>
      <c r="X137" s="5">
        <v>1</v>
      </c>
      <c r="Y137" s="5">
        <v>99.96</v>
      </c>
      <c r="Z137" s="5">
        <v>5496.25</v>
      </c>
      <c r="AA137" s="5">
        <v>1</v>
      </c>
      <c r="AB137" s="5">
        <v>5496.25</v>
      </c>
    </row>
    <row r="138" spans="1:28" x14ac:dyDescent="0.2">
      <c r="A138" s="5">
        <v>50</v>
      </c>
      <c r="B138" s="5">
        <v>0</v>
      </c>
      <c r="C138" s="5">
        <v>0</v>
      </c>
      <c r="D138" s="5">
        <v>1</v>
      </c>
      <c r="E138" s="5">
        <v>211</v>
      </c>
      <c r="F138" s="5">
        <f>ROUND(Source!Y111,O138)</f>
        <v>53.02</v>
      </c>
      <c r="G138" s="5" t="s">
        <v>133</v>
      </c>
      <c r="H138" s="5" t="s">
        <v>134</v>
      </c>
      <c r="I138" s="5"/>
      <c r="J138" s="5"/>
      <c r="K138" s="5">
        <v>211</v>
      </c>
      <c r="L138" s="5">
        <v>26</v>
      </c>
      <c r="M138" s="5">
        <v>3</v>
      </c>
      <c r="N138" s="5" t="s">
        <v>3</v>
      </c>
      <c r="O138" s="5">
        <v>2</v>
      </c>
      <c r="P138" s="5">
        <f>ROUND(Source!DQ111,O138)</f>
        <v>2915.68</v>
      </c>
      <c r="Q138" s="5"/>
      <c r="R138" s="5"/>
      <c r="S138" s="5"/>
      <c r="T138" s="5"/>
      <c r="U138" s="5"/>
      <c r="V138" s="5"/>
      <c r="W138" s="5">
        <v>53.02</v>
      </c>
      <c r="X138" s="5">
        <v>1</v>
      </c>
      <c r="Y138" s="5">
        <v>53.02</v>
      </c>
      <c r="Z138" s="5">
        <v>2915.68</v>
      </c>
      <c r="AA138" s="5">
        <v>1</v>
      </c>
      <c r="AB138" s="5">
        <v>2915.68</v>
      </c>
    </row>
    <row r="139" spans="1:28" x14ac:dyDescent="0.2">
      <c r="A139" s="5">
        <v>50</v>
      </c>
      <c r="B139" s="5">
        <v>0</v>
      </c>
      <c r="C139" s="5">
        <v>0</v>
      </c>
      <c r="D139" s="5">
        <v>1</v>
      </c>
      <c r="E139" s="5">
        <v>224</v>
      </c>
      <c r="F139" s="5">
        <f>ROUND(Source!AR111,O139)</f>
        <v>376172.05</v>
      </c>
      <c r="G139" s="5" t="s">
        <v>135</v>
      </c>
      <c r="H139" s="5" t="s">
        <v>136</v>
      </c>
      <c r="I139" s="5"/>
      <c r="J139" s="5"/>
      <c r="K139" s="5">
        <v>224</v>
      </c>
      <c r="L139" s="5">
        <v>27</v>
      </c>
      <c r="M139" s="5">
        <v>3</v>
      </c>
      <c r="N139" s="5" t="s">
        <v>3</v>
      </c>
      <c r="O139" s="5">
        <v>2</v>
      </c>
      <c r="P139" s="5">
        <f>ROUND(Source!EJ111,O139)</f>
        <v>2977265.57</v>
      </c>
      <c r="Q139" s="5"/>
      <c r="R139" s="5"/>
      <c r="S139" s="5"/>
      <c r="T139" s="5"/>
      <c r="U139" s="5"/>
      <c r="V139" s="5"/>
      <c r="W139" s="5">
        <v>376172.05</v>
      </c>
      <c r="X139" s="5">
        <v>1</v>
      </c>
      <c r="Y139" s="5">
        <v>376172.05</v>
      </c>
      <c r="Z139" s="5">
        <v>2977265.57</v>
      </c>
      <c r="AA139" s="5">
        <v>1</v>
      </c>
      <c r="AB139" s="5">
        <v>2977265.57</v>
      </c>
    </row>
    <row r="142" spans="1:28" x14ac:dyDescent="0.2">
      <c r="A142">
        <v>70</v>
      </c>
      <c r="B142">
        <v>1</v>
      </c>
      <c r="D142">
        <v>1</v>
      </c>
      <c r="E142" t="s">
        <v>137</v>
      </c>
      <c r="F142" t="s">
        <v>138</v>
      </c>
      <c r="G142">
        <v>0</v>
      </c>
      <c r="H142">
        <v>0</v>
      </c>
      <c r="I142" t="s">
        <v>3</v>
      </c>
      <c r="J142">
        <v>1</v>
      </c>
      <c r="K142">
        <v>0</v>
      </c>
      <c r="L142" t="s">
        <v>3</v>
      </c>
      <c r="M142" t="s">
        <v>3</v>
      </c>
      <c r="N142">
        <v>0</v>
      </c>
      <c r="O142">
        <v>0</v>
      </c>
      <c r="P142" t="s">
        <v>3</v>
      </c>
    </row>
    <row r="143" spans="1:28" x14ac:dyDescent="0.2">
      <c r="A143">
        <v>70</v>
      </c>
      <c r="B143">
        <v>1</v>
      </c>
      <c r="D143">
        <v>2</v>
      </c>
      <c r="E143" t="s">
        <v>139</v>
      </c>
      <c r="F143" t="s">
        <v>140</v>
      </c>
      <c r="G143">
        <v>1</v>
      </c>
      <c r="H143">
        <v>0</v>
      </c>
      <c r="I143" t="s">
        <v>3</v>
      </c>
      <c r="J143">
        <v>1</v>
      </c>
      <c r="K143">
        <v>0</v>
      </c>
      <c r="L143" t="s">
        <v>3</v>
      </c>
      <c r="M143" t="s">
        <v>3</v>
      </c>
      <c r="N143">
        <v>0</v>
      </c>
      <c r="O143">
        <v>1</v>
      </c>
      <c r="P143" t="s">
        <v>3</v>
      </c>
    </row>
    <row r="144" spans="1:28" x14ac:dyDescent="0.2">
      <c r="A144">
        <v>70</v>
      </c>
      <c r="B144">
        <v>1</v>
      </c>
      <c r="D144">
        <v>3</v>
      </c>
      <c r="E144" t="s">
        <v>141</v>
      </c>
      <c r="F144" t="s">
        <v>142</v>
      </c>
      <c r="G144">
        <v>1</v>
      </c>
      <c r="H144">
        <v>0</v>
      </c>
      <c r="I144" t="s">
        <v>3</v>
      </c>
      <c r="J144">
        <v>0</v>
      </c>
      <c r="K144">
        <v>0</v>
      </c>
      <c r="L144" t="s">
        <v>3</v>
      </c>
      <c r="M144" t="s">
        <v>3</v>
      </c>
      <c r="N144">
        <v>0</v>
      </c>
      <c r="O144">
        <v>1</v>
      </c>
      <c r="P144" t="s">
        <v>3</v>
      </c>
    </row>
    <row r="145" spans="1:50" x14ac:dyDescent="0.2">
      <c r="A145">
        <v>70</v>
      </c>
      <c r="B145">
        <v>1</v>
      </c>
      <c r="D145">
        <v>4</v>
      </c>
      <c r="E145" t="s">
        <v>143</v>
      </c>
      <c r="F145" t="s">
        <v>144</v>
      </c>
      <c r="G145">
        <v>1</v>
      </c>
      <c r="H145">
        <v>0</v>
      </c>
      <c r="I145" t="s">
        <v>3</v>
      </c>
      <c r="J145">
        <v>0</v>
      </c>
      <c r="K145">
        <v>0</v>
      </c>
      <c r="L145" t="s">
        <v>3</v>
      </c>
      <c r="M145" t="s">
        <v>3</v>
      </c>
      <c r="N145">
        <v>0</v>
      </c>
      <c r="O145">
        <v>1</v>
      </c>
      <c r="P145" t="s">
        <v>3</v>
      </c>
    </row>
    <row r="146" spans="1:50" x14ac:dyDescent="0.2">
      <c r="A146">
        <v>70</v>
      </c>
      <c r="B146">
        <v>1</v>
      </c>
      <c r="D146">
        <v>5</v>
      </c>
      <c r="E146" t="s">
        <v>145</v>
      </c>
      <c r="F146" t="s">
        <v>146</v>
      </c>
      <c r="G146">
        <v>0</v>
      </c>
      <c r="H146">
        <v>0</v>
      </c>
      <c r="I146" t="s">
        <v>3</v>
      </c>
      <c r="J146">
        <v>0</v>
      </c>
      <c r="K146">
        <v>0</v>
      </c>
      <c r="L146" t="s">
        <v>3</v>
      </c>
      <c r="M146" t="s">
        <v>3</v>
      </c>
      <c r="N146">
        <v>0</v>
      </c>
      <c r="O146">
        <v>0</v>
      </c>
      <c r="P146" t="s">
        <v>3</v>
      </c>
    </row>
    <row r="148" spans="1:50" x14ac:dyDescent="0.2">
      <c r="A148">
        <v>-1</v>
      </c>
    </row>
    <row r="150" spans="1:50" x14ac:dyDescent="0.2">
      <c r="A150" s="4">
        <v>75</v>
      </c>
      <c r="B150" s="4" t="s">
        <v>147</v>
      </c>
      <c r="C150" s="4">
        <v>2025</v>
      </c>
      <c r="D150" s="4">
        <v>3</v>
      </c>
      <c r="E150" s="4">
        <v>0</v>
      </c>
      <c r="F150" s="4"/>
      <c r="G150" s="4">
        <v>0</v>
      </c>
      <c r="H150" s="4">
        <v>1</v>
      </c>
      <c r="I150" s="4">
        <v>1</v>
      </c>
      <c r="J150" s="4">
        <v>1</v>
      </c>
      <c r="K150" s="4">
        <v>0</v>
      </c>
      <c r="L150" s="4">
        <v>0</v>
      </c>
      <c r="M150" s="4">
        <v>1</v>
      </c>
      <c r="N150" s="4">
        <v>59214059</v>
      </c>
      <c r="O150" s="4">
        <v>1</v>
      </c>
    </row>
    <row r="151" spans="1:50" x14ac:dyDescent="0.2">
      <c r="A151" s="6">
        <v>1</v>
      </c>
      <c r="B151" s="6" t="s">
        <v>148</v>
      </c>
      <c r="C151" s="6" t="s">
        <v>149</v>
      </c>
      <c r="D151" s="6">
        <v>2025</v>
      </c>
      <c r="E151" s="6">
        <v>9</v>
      </c>
      <c r="F151" s="6">
        <v>1</v>
      </c>
      <c r="G151" s="6">
        <v>1</v>
      </c>
      <c r="H151" s="6">
        <v>0</v>
      </c>
      <c r="I151" s="6">
        <v>2</v>
      </c>
      <c r="J151" s="6">
        <v>1</v>
      </c>
      <c r="K151" s="6">
        <v>9.8800000000000008</v>
      </c>
      <c r="L151" s="6">
        <v>7.66</v>
      </c>
      <c r="M151" s="6">
        <v>1</v>
      </c>
      <c r="N151" s="6">
        <v>1</v>
      </c>
      <c r="O151" s="6">
        <v>9.8800000000000008</v>
      </c>
      <c r="P151" s="6">
        <v>7.66</v>
      </c>
      <c r="Q151" s="6">
        <v>1</v>
      </c>
      <c r="R151" s="6" t="s">
        <v>3</v>
      </c>
      <c r="S151" s="6" t="s">
        <v>3</v>
      </c>
      <c r="T151" s="6" t="s">
        <v>3</v>
      </c>
      <c r="U151" s="6" t="s">
        <v>3</v>
      </c>
      <c r="V151" s="6" t="s">
        <v>3</v>
      </c>
      <c r="W151" s="6" t="s">
        <v>3</v>
      </c>
      <c r="X151" s="6" t="s">
        <v>3</v>
      </c>
      <c r="Y151" s="6" t="s">
        <v>3</v>
      </c>
      <c r="Z151" s="6" t="s">
        <v>3</v>
      </c>
      <c r="AA151" s="6" t="s">
        <v>150</v>
      </c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>
        <v>59214060</v>
      </c>
      <c r="AO151" s="6"/>
      <c r="AP151" s="6"/>
      <c r="AQ151" s="6"/>
      <c r="AR151" s="6"/>
      <c r="AS151" s="6"/>
      <c r="AT151" s="6"/>
      <c r="AU151" s="6"/>
      <c r="AV151" s="6"/>
      <c r="AW151" s="6"/>
      <c r="AX151" s="6"/>
    </row>
    <row r="152" spans="1:50" x14ac:dyDescent="0.2">
      <c r="A152" s="6">
        <v>1</v>
      </c>
      <c r="B152" s="6" t="s">
        <v>148</v>
      </c>
      <c r="C152" s="6" t="s">
        <v>151</v>
      </c>
      <c r="D152" s="6">
        <v>2025</v>
      </c>
      <c r="E152" s="6">
        <v>7</v>
      </c>
      <c r="F152" s="6">
        <v>1</v>
      </c>
      <c r="G152" s="6">
        <v>1</v>
      </c>
      <c r="H152" s="6">
        <v>0</v>
      </c>
      <c r="I152" s="6">
        <v>2</v>
      </c>
      <c r="J152" s="6">
        <v>1</v>
      </c>
      <c r="K152" s="6">
        <v>1</v>
      </c>
      <c r="L152" s="6">
        <v>1</v>
      </c>
      <c r="M152" s="6">
        <v>1</v>
      </c>
      <c r="N152" s="6">
        <v>1</v>
      </c>
      <c r="O152" s="6">
        <v>1</v>
      </c>
      <c r="P152" s="6">
        <v>1</v>
      </c>
      <c r="Q152" s="6">
        <v>1</v>
      </c>
      <c r="R152" s="6" t="s">
        <v>3</v>
      </c>
      <c r="S152" s="6" t="s">
        <v>3</v>
      </c>
      <c r="T152" s="6" t="s">
        <v>3</v>
      </c>
      <c r="U152" s="6" t="s">
        <v>3</v>
      </c>
      <c r="V152" s="6" t="s">
        <v>3</v>
      </c>
      <c r="W152" s="6" t="s">
        <v>3</v>
      </c>
      <c r="X152" s="6" t="s">
        <v>3</v>
      </c>
      <c r="Y152" s="6" t="s">
        <v>3</v>
      </c>
      <c r="Z152" s="6" t="s">
        <v>3</v>
      </c>
      <c r="AA152" s="6" t="s">
        <v>152</v>
      </c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>
        <v>59214061</v>
      </c>
      <c r="AO152" s="6"/>
      <c r="AP152" s="6"/>
      <c r="AQ152" s="6"/>
      <c r="AR152" s="6"/>
      <c r="AS152" s="6"/>
      <c r="AT152" s="6"/>
      <c r="AU152" s="6"/>
      <c r="AV152" s="6"/>
      <c r="AW152" s="6"/>
      <c r="AX152" s="6"/>
    </row>
    <row r="153" spans="1:50" x14ac:dyDescent="0.2">
      <c r="A153" s="4">
        <v>75</v>
      </c>
      <c r="B153" s="4" t="s">
        <v>153</v>
      </c>
      <c r="C153" s="4">
        <v>2000</v>
      </c>
      <c r="D153" s="4">
        <v>0</v>
      </c>
      <c r="E153" s="4">
        <v>1</v>
      </c>
      <c r="F153" s="4">
        <v>0</v>
      </c>
      <c r="G153" s="4">
        <v>0</v>
      </c>
      <c r="H153" s="4">
        <v>1</v>
      </c>
      <c r="I153" s="4">
        <v>1</v>
      </c>
      <c r="J153" s="4">
        <v>3</v>
      </c>
      <c r="K153" s="4">
        <v>0</v>
      </c>
      <c r="L153" s="4">
        <v>0</v>
      </c>
      <c r="M153" s="4">
        <v>0</v>
      </c>
      <c r="N153" s="4">
        <v>59214062</v>
      </c>
      <c r="O153" s="4">
        <v>2</v>
      </c>
    </row>
    <row r="154" spans="1:50" x14ac:dyDescent="0.2">
      <c r="A154" s="6">
        <v>1</v>
      </c>
      <c r="B154" s="6" t="s">
        <v>148</v>
      </c>
      <c r="C154" s="6" t="s">
        <v>149</v>
      </c>
      <c r="D154" s="6">
        <v>2000</v>
      </c>
      <c r="E154" s="6">
        <v>1</v>
      </c>
      <c r="F154" s="6">
        <v>1</v>
      </c>
      <c r="G154" s="6">
        <v>1</v>
      </c>
      <c r="H154" s="6">
        <v>0</v>
      </c>
      <c r="I154" s="6">
        <v>2</v>
      </c>
      <c r="J154" s="6">
        <v>1</v>
      </c>
      <c r="K154" s="6">
        <v>1</v>
      </c>
      <c r="L154" s="6">
        <v>1</v>
      </c>
      <c r="M154" s="6">
        <v>1</v>
      </c>
      <c r="N154" s="6">
        <v>1</v>
      </c>
      <c r="O154" s="6">
        <v>1</v>
      </c>
      <c r="P154" s="6">
        <v>1</v>
      </c>
      <c r="Q154" s="6">
        <v>1</v>
      </c>
      <c r="R154" s="6" t="s">
        <v>3</v>
      </c>
      <c r="S154" s="6" t="s">
        <v>3</v>
      </c>
      <c r="T154" s="6" t="s">
        <v>3</v>
      </c>
      <c r="U154" s="6" t="s">
        <v>3</v>
      </c>
      <c r="V154" s="6" t="s">
        <v>3</v>
      </c>
      <c r="W154" s="6" t="s">
        <v>3</v>
      </c>
      <c r="X154" s="6" t="s">
        <v>3</v>
      </c>
      <c r="Y154" s="6" t="s">
        <v>3</v>
      </c>
      <c r="Z154" s="6" t="s">
        <v>3</v>
      </c>
      <c r="AA154" s="6" t="s">
        <v>78</v>
      </c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>
        <v>59214063</v>
      </c>
      <c r="AO154" s="6"/>
      <c r="AP154" s="6"/>
      <c r="AQ154" s="6"/>
      <c r="AR154" s="6"/>
      <c r="AS154" s="6"/>
      <c r="AT154" s="6"/>
      <c r="AU154" s="6"/>
      <c r="AV154" s="6"/>
      <c r="AW154" s="6"/>
      <c r="AX154" s="6"/>
    </row>
    <row r="158" spans="1:50" x14ac:dyDescent="0.2">
      <c r="A158">
        <v>65</v>
      </c>
      <c r="C158">
        <v>1</v>
      </c>
      <c r="D158">
        <v>0</v>
      </c>
      <c r="E158">
        <v>245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C55"/>
  <sheetViews>
    <sheetView workbookViewId="0"/>
  </sheetViews>
  <sheetFormatPr defaultColWidth="9.140625" defaultRowHeight="12.75" x14ac:dyDescent="0.2"/>
  <cols>
    <col min="1" max="256" width="9.140625" customWidth="1"/>
  </cols>
  <sheetData>
    <row r="1" spans="1:133" x14ac:dyDescent="0.2">
      <c r="A1">
        <v>0</v>
      </c>
      <c r="B1" t="s">
        <v>0</v>
      </c>
      <c r="D1" t="s">
        <v>154</v>
      </c>
      <c r="F1">
        <v>0</v>
      </c>
      <c r="G1">
        <v>0</v>
      </c>
      <c r="H1">
        <v>0</v>
      </c>
      <c r="I1" t="s">
        <v>2</v>
      </c>
      <c r="J1" t="s">
        <v>3</v>
      </c>
      <c r="K1">
        <v>1</v>
      </c>
      <c r="L1">
        <v>74402</v>
      </c>
      <c r="M1">
        <v>10</v>
      </c>
      <c r="N1">
        <v>12</v>
      </c>
      <c r="O1">
        <v>0</v>
      </c>
      <c r="P1">
        <v>0</v>
      </c>
      <c r="Q1">
        <v>3</v>
      </c>
    </row>
    <row r="4" spans="1:133" x14ac:dyDescent="0.2">
      <c r="A4" s="1">
        <v>1</v>
      </c>
      <c r="B4" s="1">
        <v>1</v>
      </c>
      <c r="C4" s="1">
        <v>-1</v>
      </c>
      <c r="D4" s="1"/>
      <c r="E4" s="1"/>
      <c r="F4" s="1"/>
      <c r="G4" s="1" t="s">
        <v>4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>
        <v>0</v>
      </c>
    </row>
    <row r="12" spans="1:133" x14ac:dyDescent="0.2">
      <c r="A12" s="1">
        <v>1</v>
      </c>
      <c r="B12" s="1">
        <v>51</v>
      </c>
      <c r="C12" s="1">
        <v>0</v>
      </c>
      <c r="D12" s="1"/>
      <c r="E12" s="1">
        <v>0</v>
      </c>
      <c r="F12" s="1" t="s">
        <v>5</v>
      </c>
      <c r="G12" s="1" t="s">
        <v>6</v>
      </c>
      <c r="H12" s="1" t="s">
        <v>3</v>
      </c>
      <c r="I12" s="1">
        <v>0</v>
      </c>
      <c r="J12" s="1" t="s">
        <v>3</v>
      </c>
      <c r="K12" s="1">
        <v>0</v>
      </c>
      <c r="L12" s="1">
        <v>0</v>
      </c>
      <c r="M12" s="1">
        <v>4098</v>
      </c>
      <c r="N12" s="1"/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1</v>
      </c>
      <c r="U12" s="1" t="s">
        <v>3</v>
      </c>
      <c r="V12" s="1">
        <v>0</v>
      </c>
      <c r="W12" s="1" t="s">
        <v>3</v>
      </c>
      <c r="X12" s="1" t="s">
        <v>3</v>
      </c>
      <c r="Y12" s="1" t="s">
        <v>3</v>
      </c>
      <c r="Z12" s="1" t="s">
        <v>3</v>
      </c>
      <c r="AA12" s="1" t="s">
        <v>3</v>
      </c>
      <c r="AB12" s="1" t="s">
        <v>7</v>
      </c>
      <c r="AC12" s="1" t="s">
        <v>3</v>
      </c>
      <c r="AD12" s="1" t="s">
        <v>3</v>
      </c>
      <c r="AE12" s="1" t="s">
        <v>3</v>
      </c>
      <c r="AF12" s="1" t="s">
        <v>3</v>
      </c>
      <c r="AG12" s="1" t="s">
        <v>3</v>
      </c>
      <c r="AH12" s="1" t="s">
        <v>3</v>
      </c>
      <c r="AI12" s="1" t="s">
        <v>3</v>
      </c>
      <c r="AJ12" s="1" t="s">
        <v>3</v>
      </c>
      <c r="AK12" s="1"/>
      <c r="AL12" s="1" t="s">
        <v>3</v>
      </c>
      <c r="AM12" s="1" t="s">
        <v>3</v>
      </c>
      <c r="AN12" s="1" t="s">
        <v>3</v>
      </c>
      <c r="AO12" s="1"/>
      <c r="AP12" s="1" t="s">
        <v>3</v>
      </c>
      <c r="AQ12" s="1" t="s">
        <v>3</v>
      </c>
      <c r="AR12" s="1" t="s">
        <v>3</v>
      </c>
      <c r="AS12" s="1"/>
      <c r="AT12" s="1"/>
      <c r="AU12" s="1"/>
      <c r="AV12" s="1"/>
      <c r="AW12" s="1"/>
      <c r="AX12" s="1" t="s">
        <v>3</v>
      </c>
      <c r="AY12" s="1" t="s">
        <v>3</v>
      </c>
      <c r="AZ12" s="1" t="s">
        <v>3</v>
      </c>
      <c r="BA12" s="1"/>
      <c r="BB12" s="1">
        <v>0</v>
      </c>
      <c r="BC12" s="1"/>
      <c r="BD12" s="1"/>
      <c r="BE12" s="1"/>
      <c r="BF12" s="1"/>
      <c r="BG12" s="1"/>
      <c r="BH12" s="1" t="s">
        <v>8</v>
      </c>
      <c r="BI12" s="1" t="s">
        <v>9</v>
      </c>
      <c r="BJ12" s="1">
        <v>1</v>
      </c>
      <c r="BK12" s="1">
        <v>1</v>
      </c>
      <c r="BL12" s="1">
        <v>0</v>
      </c>
      <c r="BM12" s="1">
        <v>0</v>
      </c>
      <c r="BN12" s="1">
        <v>1</v>
      </c>
      <c r="BO12" s="1">
        <v>0</v>
      </c>
      <c r="BP12" s="1">
        <v>6</v>
      </c>
      <c r="BQ12" s="1">
        <v>2</v>
      </c>
      <c r="BR12" s="1">
        <v>1</v>
      </c>
      <c r="BS12" s="1">
        <v>1</v>
      </c>
      <c r="BT12" s="1">
        <v>0</v>
      </c>
      <c r="BU12" s="1">
        <v>0</v>
      </c>
      <c r="BV12" s="1">
        <v>1</v>
      </c>
      <c r="BW12" s="1">
        <v>0</v>
      </c>
      <c r="BX12" s="1">
        <v>0</v>
      </c>
      <c r="BY12" s="1" t="s">
        <v>3</v>
      </c>
      <c r="BZ12" s="1" t="s">
        <v>10</v>
      </c>
      <c r="CA12" s="1" t="s">
        <v>11</v>
      </c>
      <c r="CB12" s="1" t="s">
        <v>11</v>
      </c>
      <c r="CC12" s="1" t="s">
        <v>11</v>
      </c>
      <c r="CD12" s="1" t="s">
        <v>11</v>
      </c>
      <c r="CE12" s="1" t="s">
        <v>12</v>
      </c>
      <c r="CF12" s="1">
        <v>0</v>
      </c>
      <c r="CG12" s="1">
        <v>0</v>
      </c>
      <c r="CH12" s="1">
        <v>327688</v>
      </c>
      <c r="CI12" s="1" t="s">
        <v>3</v>
      </c>
      <c r="CJ12" s="1" t="s">
        <v>3</v>
      </c>
      <c r="CK12" s="1">
        <v>80</v>
      </c>
      <c r="CL12" s="1"/>
      <c r="CM12" s="1"/>
      <c r="CN12" s="1"/>
      <c r="CO12" s="1"/>
      <c r="CP12" s="1"/>
      <c r="CQ12" s="1" t="s">
        <v>13</v>
      </c>
      <c r="CR12" s="1" t="s">
        <v>14</v>
      </c>
      <c r="CS12" s="1">
        <v>41660</v>
      </c>
      <c r="CT12" s="1">
        <v>1</v>
      </c>
      <c r="CU12" s="1">
        <v>80</v>
      </c>
      <c r="CV12" s="1"/>
      <c r="CW12" s="1"/>
      <c r="CX12" s="1"/>
      <c r="CY12" s="1">
        <v>0</v>
      </c>
      <c r="CZ12" s="1" t="s">
        <v>3</v>
      </c>
      <c r="DA12" s="1" t="s">
        <v>3</v>
      </c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>
        <v>0</v>
      </c>
    </row>
    <row r="14" spans="1:133" x14ac:dyDescent="0.2">
      <c r="A14" s="1">
        <v>22</v>
      </c>
      <c r="B14" s="1">
        <v>1</v>
      </c>
      <c r="C14" s="1">
        <v>0</v>
      </c>
      <c r="D14" s="1">
        <v>59214059</v>
      </c>
      <c r="E14" s="1">
        <v>59214062</v>
      </c>
      <c r="F14" s="1">
        <v>2</v>
      </c>
      <c r="G14" s="1">
        <v>1</v>
      </c>
      <c r="H14" s="1"/>
      <c r="I14" s="1"/>
      <c r="J14" s="1"/>
      <c r="K14" s="1"/>
      <c r="L14" s="1"/>
      <c r="M14" s="1"/>
      <c r="N14" s="1"/>
      <c r="O14" s="1"/>
    </row>
    <row r="16" spans="1:133" x14ac:dyDescent="0.2">
      <c r="A16" s="7">
        <v>3</v>
      </c>
      <c r="B16" s="7">
        <v>1</v>
      </c>
      <c r="C16" s="7" t="s">
        <v>15</v>
      </c>
      <c r="D16" s="7" t="s">
        <v>16</v>
      </c>
      <c r="E16" s="8">
        <f>ROUND((Source!P98)/1000,2)</f>
        <v>266.61</v>
      </c>
      <c r="F16" s="8">
        <f>ROUND((Source!P99)/1000,2)</f>
        <v>7.19</v>
      </c>
      <c r="G16" s="8">
        <f>ROUND((Source!P90)/1000,2)</f>
        <v>2703.46</v>
      </c>
      <c r="H16" s="8">
        <f>ROUND((Source!P100)/1000+(Source!P101)/1000,2)</f>
        <v>0</v>
      </c>
      <c r="I16" s="8">
        <f>E16+F16+G16+H16</f>
        <v>2977.26</v>
      </c>
      <c r="J16" s="8">
        <f>ROUND((Source!P96+Source!P95)/1000,2)</f>
        <v>5.58</v>
      </c>
      <c r="K16" s="8">
        <v>5932.03</v>
      </c>
      <c r="L16" s="8">
        <v>0</v>
      </c>
      <c r="M16" s="8">
        <v>0</v>
      </c>
      <c r="N16" s="8">
        <f>I16+L16+M16</f>
        <v>2977.26</v>
      </c>
      <c r="T16" s="9">
        <f>ROUND((Source!F98)/1000,2)</f>
        <v>26.42</v>
      </c>
      <c r="U16" s="9">
        <f>ROUND((Source!F99)/1000,2)</f>
        <v>0.13</v>
      </c>
      <c r="V16" s="9">
        <f>ROUND((Source!F90)/1000,2)</f>
        <v>349.62</v>
      </c>
      <c r="W16" s="9">
        <f>ROUND((Source!F100)/1000+(Source!F101)/1000,2)</f>
        <v>0</v>
      </c>
      <c r="X16" s="9">
        <f>T16+U16+V16+W16</f>
        <v>376.17</v>
      </c>
      <c r="Y16" s="9">
        <f>ROUND((Source!F96+Source!F95)/1000,2)</f>
        <v>0.1</v>
      </c>
      <c r="Z16" s="9">
        <v>751.93</v>
      </c>
      <c r="AA16" s="9">
        <v>0</v>
      </c>
      <c r="AB16" s="9">
        <v>0</v>
      </c>
      <c r="AC16" s="9">
        <f>X16+AA16+AB16</f>
        <v>376.17</v>
      </c>
      <c r="AI16" s="7">
        <v>2</v>
      </c>
      <c r="AJ16" s="7">
        <v>-1</v>
      </c>
      <c r="AK16" s="7" t="s">
        <v>3</v>
      </c>
      <c r="AL16" s="7" t="s">
        <v>3</v>
      </c>
      <c r="AM16" s="7" t="s">
        <v>3</v>
      </c>
      <c r="AN16" s="7">
        <v>0</v>
      </c>
      <c r="AO16" s="7" t="s">
        <v>3</v>
      </c>
      <c r="AP16" s="7" t="s">
        <v>3</v>
      </c>
      <c r="AT16" s="8">
        <v>2968853.64</v>
      </c>
      <c r="AU16" s="8">
        <v>2963173.09</v>
      </c>
      <c r="AV16" s="8">
        <v>0</v>
      </c>
      <c r="AW16" s="8">
        <v>2703457.95</v>
      </c>
      <c r="AX16" s="8">
        <v>0</v>
      </c>
      <c r="AY16" s="8">
        <v>184.3</v>
      </c>
      <c r="AZ16" s="8">
        <v>87.99</v>
      </c>
      <c r="BA16" s="8">
        <v>5496.25</v>
      </c>
      <c r="BB16" s="8">
        <v>266614.13</v>
      </c>
      <c r="BC16" s="8">
        <v>7193.49</v>
      </c>
      <c r="BD16" s="8">
        <v>0</v>
      </c>
      <c r="BE16" s="8">
        <v>0</v>
      </c>
      <c r="BF16" s="8">
        <v>8.0418205999999994</v>
      </c>
      <c r="BG16" s="8">
        <v>0</v>
      </c>
      <c r="BH16" s="8">
        <v>0</v>
      </c>
      <c r="BI16" s="8">
        <v>5496.25</v>
      </c>
      <c r="BJ16" s="8">
        <v>2915.68</v>
      </c>
      <c r="BK16" s="8">
        <v>2977265.57</v>
      </c>
      <c r="BR16" s="9">
        <v>376019.07</v>
      </c>
      <c r="BS16" s="9">
        <v>375907.12</v>
      </c>
      <c r="BT16" s="9">
        <v>0</v>
      </c>
      <c r="BU16" s="9">
        <v>349619.17</v>
      </c>
      <c r="BV16" s="9">
        <v>0</v>
      </c>
      <c r="BW16" s="9">
        <v>12</v>
      </c>
      <c r="BX16" s="9">
        <v>1.6</v>
      </c>
      <c r="BY16" s="9">
        <v>99.95</v>
      </c>
      <c r="BZ16" s="9">
        <v>26421.05</v>
      </c>
      <c r="CA16" s="9">
        <v>131.83000000000001</v>
      </c>
      <c r="CB16" s="9">
        <v>0</v>
      </c>
      <c r="CC16" s="9">
        <v>0</v>
      </c>
      <c r="CD16" s="9">
        <v>8.0418205999999994</v>
      </c>
      <c r="CE16" s="9">
        <v>0</v>
      </c>
      <c r="CF16" s="9">
        <v>0</v>
      </c>
      <c r="CG16" s="9">
        <v>99.96</v>
      </c>
      <c r="CH16" s="9">
        <v>53.02</v>
      </c>
      <c r="CI16" s="9">
        <v>376172.05</v>
      </c>
    </row>
    <row r="18" spans="1:29" x14ac:dyDescent="0.2">
      <c r="A18">
        <v>51</v>
      </c>
      <c r="E18">
        <v>266.61</v>
      </c>
      <c r="F18">
        <v>7.19</v>
      </c>
      <c r="G18">
        <v>2703.46</v>
      </c>
      <c r="H18">
        <v>0</v>
      </c>
      <c r="I18">
        <v>2977.26</v>
      </c>
      <c r="J18">
        <v>5.58</v>
      </c>
      <c r="K18">
        <v>5932.03</v>
      </c>
      <c r="L18">
        <v>0</v>
      </c>
      <c r="M18">
        <v>0</v>
      </c>
      <c r="N18">
        <v>2977.26</v>
      </c>
      <c r="T18">
        <v>26.42</v>
      </c>
      <c r="U18">
        <v>0.13</v>
      </c>
      <c r="V18">
        <v>349.62</v>
      </c>
      <c r="W18">
        <v>0</v>
      </c>
      <c r="X18">
        <v>376.17</v>
      </c>
      <c r="Y18">
        <v>0.1</v>
      </c>
      <c r="Z18">
        <v>751.93</v>
      </c>
      <c r="AA18">
        <v>0</v>
      </c>
      <c r="AB18">
        <v>0</v>
      </c>
      <c r="AC18">
        <v>376.17</v>
      </c>
    </row>
    <row r="20" spans="1:29" x14ac:dyDescent="0.2">
      <c r="A20" s="5">
        <v>50</v>
      </c>
      <c r="B20" s="5">
        <v>0</v>
      </c>
      <c r="C20" s="5">
        <v>0</v>
      </c>
      <c r="D20" s="5">
        <v>1</v>
      </c>
      <c r="E20" s="5">
        <v>201</v>
      </c>
      <c r="F20" s="5">
        <v>2968853.64</v>
      </c>
      <c r="G20" s="5" t="s">
        <v>83</v>
      </c>
      <c r="H20" s="5" t="s">
        <v>84</v>
      </c>
      <c r="I20" s="5"/>
      <c r="J20" s="5"/>
      <c r="K20" s="5">
        <v>201</v>
      </c>
      <c r="L20" s="5">
        <v>1</v>
      </c>
      <c r="M20" s="5">
        <v>3</v>
      </c>
      <c r="N20" s="5" t="s">
        <v>3</v>
      </c>
      <c r="O20" s="5">
        <v>2</v>
      </c>
      <c r="P20" s="5">
        <v>376019.07</v>
      </c>
    </row>
    <row r="21" spans="1:29" x14ac:dyDescent="0.2">
      <c r="A21" s="5">
        <v>50</v>
      </c>
      <c r="B21" s="5">
        <v>0</v>
      </c>
      <c r="C21" s="5">
        <v>0</v>
      </c>
      <c r="D21" s="5">
        <v>1</v>
      </c>
      <c r="E21" s="5">
        <v>202</v>
      </c>
      <c r="F21" s="5">
        <v>2963173.09</v>
      </c>
      <c r="G21" s="5" t="s">
        <v>85</v>
      </c>
      <c r="H21" s="5" t="s">
        <v>86</v>
      </c>
      <c r="I21" s="5"/>
      <c r="J21" s="5"/>
      <c r="K21" s="5">
        <v>202</v>
      </c>
      <c r="L21" s="5">
        <v>2</v>
      </c>
      <c r="M21" s="5">
        <v>3</v>
      </c>
      <c r="N21" s="5" t="s">
        <v>3</v>
      </c>
      <c r="O21" s="5">
        <v>2</v>
      </c>
      <c r="P21" s="5">
        <v>375907.12</v>
      </c>
    </row>
    <row r="22" spans="1:29" x14ac:dyDescent="0.2">
      <c r="A22" s="5">
        <v>50</v>
      </c>
      <c r="B22" s="5">
        <v>0</v>
      </c>
      <c r="C22" s="5">
        <v>0</v>
      </c>
      <c r="D22" s="5">
        <v>1</v>
      </c>
      <c r="E22" s="5">
        <v>222</v>
      </c>
      <c r="F22" s="5">
        <v>0</v>
      </c>
      <c r="G22" s="5" t="s">
        <v>87</v>
      </c>
      <c r="H22" s="5" t="s">
        <v>88</v>
      </c>
      <c r="I22" s="5"/>
      <c r="J22" s="5"/>
      <c r="K22" s="5">
        <v>222</v>
      </c>
      <c r="L22" s="5">
        <v>3</v>
      </c>
      <c r="M22" s="5">
        <v>3</v>
      </c>
      <c r="N22" s="5" t="s">
        <v>3</v>
      </c>
      <c r="O22" s="5">
        <v>2</v>
      </c>
      <c r="P22" s="5">
        <v>0</v>
      </c>
    </row>
    <row r="23" spans="1:29" x14ac:dyDescent="0.2">
      <c r="A23" s="5">
        <v>50</v>
      </c>
      <c r="B23" s="5">
        <v>0</v>
      </c>
      <c r="C23" s="5">
        <v>0</v>
      </c>
      <c r="D23" s="5">
        <v>1</v>
      </c>
      <c r="E23" s="5">
        <v>225</v>
      </c>
      <c r="F23" s="5">
        <v>2963173.09</v>
      </c>
      <c r="G23" s="5" t="s">
        <v>89</v>
      </c>
      <c r="H23" s="5" t="s">
        <v>90</v>
      </c>
      <c r="I23" s="5"/>
      <c r="J23" s="5"/>
      <c r="K23" s="5">
        <v>225</v>
      </c>
      <c r="L23" s="5">
        <v>4</v>
      </c>
      <c r="M23" s="5">
        <v>3</v>
      </c>
      <c r="N23" s="5" t="s">
        <v>3</v>
      </c>
      <c r="O23" s="5">
        <v>2</v>
      </c>
      <c r="P23" s="5">
        <v>375907.12</v>
      </c>
    </row>
    <row r="24" spans="1:29" x14ac:dyDescent="0.2">
      <c r="A24" s="5">
        <v>50</v>
      </c>
      <c r="B24" s="5">
        <v>0</v>
      </c>
      <c r="C24" s="5">
        <v>0</v>
      </c>
      <c r="D24" s="5">
        <v>1</v>
      </c>
      <c r="E24" s="5">
        <v>226</v>
      </c>
      <c r="F24" s="5">
        <v>259715.14</v>
      </c>
      <c r="G24" s="5" t="s">
        <v>91</v>
      </c>
      <c r="H24" s="5" t="s">
        <v>92</v>
      </c>
      <c r="I24" s="5"/>
      <c r="J24" s="5"/>
      <c r="K24" s="5">
        <v>226</v>
      </c>
      <c r="L24" s="5">
        <v>5</v>
      </c>
      <c r="M24" s="5">
        <v>3</v>
      </c>
      <c r="N24" s="5" t="s">
        <v>3</v>
      </c>
      <c r="O24" s="5">
        <v>2</v>
      </c>
      <c r="P24" s="5">
        <v>26287.95</v>
      </c>
    </row>
    <row r="25" spans="1:29" x14ac:dyDescent="0.2">
      <c r="A25" s="5">
        <v>50</v>
      </c>
      <c r="B25" s="5">
        <v>0</v>
      </c>
      <c r="C25" s="5">
        <v>0</v>
      </c>
      <c r="D25" s="5">
        <v>1</v>
      </c>
      <c r="E25" s="5">
        <v>227</v>
      </c>
      <c r="F25" s="5">
        <v>0</v>
      </c>
      <c r="G25" s="5" t="s">
        <v>93</v>
      </c>
      <c r="H25" s="5" t="s">
        <v>94</v>
      </c>
      <c r="I25" s="5"/>
      <c r="J25" s="5"/>
      <c r="K25" s="5">
        <v>227</v>
      </c>
      <c r="L25" s="5">
        <v>6</v>
      </c>
      <c r="M25" s="5">
        <v>3</v>
      </c>
      <c r="N25" s="5" t="s">
        <v>3</v>
      </c>
      <c r="O25" s="5">
        <v>2</v>
      </c>
      <c r="P25" s="5">
        <v>0</v>
      </c>
    </row>
    <row r="26" spans="1:29" x14ac:dyDescent="0.2">
      <c r="A26" s="5">
        <v>50</v>
      </c>
      <c r="B26" s="5">
        <v>0</v>
      </c>
      <c r="C26" s="5">
        <v>0</v>
      </c>
      <c r="D26" s="5">
        <v>1</v>
      </c>
      <c r="E26" s="5">
        <v>228</v>
      </c>
      <c r="F26" s="5">
        <v>259715.14</v>
      </c>
      <c r="G26" s="5" t="s">
        <v>95</v>
      </c>
      <c r="H26" s="5" t="s">
        <v>96</v>
      </c>
      <c r="I26" s="5"/>
      <c r="J26" s="5"/>
      <c r="K26" s="5">
        <v>228</v>
      </c>
      <c r="L26" s="5">
        <v>7</v>
      </c>
      <c r="M26" s="5">
        <v>3</v>
      </c>
      <c r="N26" s="5" t="s">
        <v>3</v>
      </c>
      <c r="O26" s="5">
        <v>2</v>
      </c>
      <c r="P26" s="5">
        <v>26287.95</v>
      </c>
    </row>
    <row r="27" spans="1:29" x14ac:dyDescent="0.2">
      <c r="A27" s="5">
        <v>50</v>
      </c>
      <c r="B27" s="5">
        <v>0</v>
      </c>
      <c r="C27" s="5">
        <v>0</v>
      </c>
      <c r="D27" s="5">
        <v>1</v>
      </c>
      <c r="E27" s="5">
        <v>216</v>
      </c>
      <c r="F27" s="5">
        <v>2703457.95</v>
      </c>
      <c r="G27" s="5" t="s">
        <v>97</v>
      </c>
      <c r="H27" s="5" t="s">
        <v>98</v>
      </c>
      <c r="I27" s="5"/>
      <c r="J27" s="5"/>
      <c r="K27" s="5">
        <v>216</v>
      </c>
      <c r="L27" s="5">
        <v>8</v>
      </c>
      <c r="M27" s="5">
        <v>3</v>
      </c>
      <c r="N27" s="5" t="s">
        <v>3</v>
      </c>
      <c r="O27" s="5">
        <v>2</v>
      </c>
      <c r="P27" s="5">
        <v>349619.17</v>
      </c>
    </row>
    <row r="28" spans="1:29" x14ac:dyDescent="0.2">
      <c r="A28" s="5">
        <v>50</v>
      </c>
      <c r="B28" s="5">
        <v>0</v>
      </c>
      <c r="C28" s="5">
        <v>0</v>
      </c>
      <c r="D28" s="5">
        <v>1</v>
      </c>
      <c r="E28" s="5">
        <v>223</v>
      </c>
      <c r="F28" s="5">
        <v>0</v>
      </c>
      <c r="G28" s="5" t="s">
        <v>99</v>
      </c>
      <c r="H28" s="5" t="s">
        <v>100</v>
      </c>
      <c r="I28" s="5"/>
      <c r="J28" s="5"/>
      <c r="K28" s="5">
        <v>223</v>
      </c>
      <c r="L28" s="5">
        <v>9</v>
      </c>
      <c r="M28" s="5">
        <v>3</v>
      </c>
      <c r="N28" s="5" t="s">
        <v>3</v>
      </c>
      <c r="O28" s="5">
        <v>2</v>
      </c>
      <c r="P28" s="5">
        <v>0</v>
      </c>
    </row>
    <row r="29" spans="1:29" x14ac:dyDescent="0.2">
      <c r="A29" s="5">
        <v>50</v>
      </c>
      <c r="B29" s="5">
        <v>0</v>
      </c>
      <c r="C29" s="5">
        <v>0</v>
      </c>
      <c r="D29" s="5">
        <v>1</v>
      </c>
      <c r="E29" s="5">
        <v>229</v>
      </c>
      <c r="F29" s="5">
        <v>2703457.95</v>
      </c>
      <c r="G29" s="5" t="s">
        <v>101</v>
      </c>
      <c r="H29" s="5" t="s">
        <v>102</v>
      </c>
      <c r="I29" s="5"/>
      <c r="J29" s="5"/>
      <c r="K29" s="5">
        <v>229</v>
      </c>
      <c r="L29" s="5">
        <v>10</v>
      </c>
      <c r="M29" s="5">
        <v>3</v>
      </c>
      <c r="N29" s="5" t="s">
        <v>3</v>
      </c>
      <c r="O29" s="5">
        <v>2</v>
      </c>
      <c r="P29" s="5">
        <v>349619.17</v>
      </c>
    </row>
    <row r="30" spans="1:29" x14ac:dyDescent="0.2">
      <c r="A30" s="5">
        <v>50</v>
      </c>
      <c r="B30" s="5">
        <v>0</v>
      </c>
      <c r="C30" s="5">
        <v>0</v>
      </c>
      <c r="D30" s="5">
        <v>1</v>
      </c>
      <c r="E30" s="5">
        <v>203</v>
      </c>
      <c r="F30" s="5">
        <v>184.3</v>
      </c>
      <c r="G30" s="5" t="s">
        <v>103</v>
      </c>
      <c r="H30" s="5" t="s">
        <v>104</v>
      </c>
      <c r="I30" s="5"/>
      <c r="J30" s="5"/>
      <c r="K30" s="5">
        <v>203</v>
      </c>
      <c r="L30" s="5">
        <v>11</v>
      </c>
      <c r="M30" s="5">
        <v>3</v>
      </c>
      <c r="N30" s="5" t="s">
        <v>3</v>
      </c>
      <c r="O30" s="5">
        <v>2</v>
      </c>
      <c r="P30" s="5">
        <v>12</v>
      </c>
    </row>
    <row r="31" spans="1:29" x14ac:dyDescent="0.2">
      <c r="A31" s="5">
        <v>50</v>
      </c>
      <c r="B31" s="5">
        <v>0</v>
      </c>
      <c r="C31" s="5">
        <v>0</v>
      </c>
      <c r="D31" s="5">
        <v>1</v>
      </c>
      <c r="E31" s="5">
        <v>231</v>
      </c>
      <c r="F31" s="5">
        <v>0</v>
      </c>
      <c r="G31" s="5" t="s">
        <v>105</v>
      </c>
      <c r="H31" s="5" t="s">
        <v>106</v>
      </c>
      <c r="I31" s="5"/>
      <c r="J31" s="5"/>
      <c r="K31" s="5">
        <v>231</v>
      </c>
      <c r="L31" s="5">
        <v>12</v>
      </c>
      <c r="M31" s="5">
        <v>3</v>
      </c>
      <c r="N31" s="5" t="s">
        <v>3</v>
      </c>
      <c r="O31" s="5">
        <v>2</v>
      </c>
      <c r="P31" s="5">
        <v>0</v>
      </c>
    </row>
    <row r="32" spans="1:29" x14ac:dyDescent="0.2">
      <c r="A32" s="5">
        <v>50</v>
      </c>
      <c r="B32" s="5">
        <v>0</v>
      </c>
      <c r="C32" s="5">
        <v>0</v>
      </c>
      <c r="D32" s="5">
        <v>1</v>
      </c>
      <c r="E32" s="5">
        <v>204</v>
      </c>
      <c r="F32" s="5">
        <v>87.99</v>
      </c>
      <c r="G32" s="5" t="s">
        <v>107</v>
      </c>
      <c r="H32" s="5" t="s">
        <v>108</v>
      </c>
      <c r="I32" s="5"/>
      <c r="J32" s="5"/>
      <c r="K32" s="5">
        <v>204</v>
      </c>
      <c r="L32" s="5">
        <v>13</v>
      </c>
      <c r="M32" s="5">
        <v>3</v>
      </c>
      <c r="N32" s="5" t="s">
        <v>3</v>
      </c>
      <c r="O32" s="5">
        <v>2</v>
      </c>
      <c r="P32" s="5">
        <v>1.6</v>
      </c>
    </row>
    <row r="33" spans="1:16" x14ac:dyDescent="0.2">
      <c r="A33" s="5">
        <v>50</v>
      </c>
      <c r="B33" s="5">
        <v>0</v>
      </c>
      <c r="C33" s="5">
        <v>0</v>
      </c>
      <c r="D33" s="5">
        <v>1</v>
      </c>
      <c r="E33" s="5">
        <v>205</v>
      </c>
      <c r="F33" s="5">
        <v>5496.25</v>
      </c>
      <c r="G33" s="5" t="s">
        <v>109</v>
      </c>
      <c r="H33" s="5" t="s">
        <v>110</v>
      </c>
      <c r="I33" s="5"/>
      <c r="J33" s="5"/>
      <c r="K33" s="5">
        <v>205</v>
      </c>
      <c r="L33" s="5">
        <v>14</v>
      </c>
      <c r="M33" s="5">
        <v>3</v>
      </c>
      <c r="N33" s="5" t="s">
        <v>3</v>
      </c>
      <c r="O33" s="5">
        <v>2</v>
      </c>
      <c r="P33" s="5">
        <v>99.95</v>
      </c>
    </row>
    <row r="34" spans="1:16" x14ac:dyDescent="0.2">
      <c r="A34" s="5">
        <v>50</v>
      </c>
      <c r="B34" s="5">
        <v>0</v>
      </c>
      <c r="C34" s="5">
        <v>0</v>
      </c>
      <c r="D34" s="5">
        <v>1</v>
      </c>
      <c r="E34" s="5">
        <v>232</v>
      </c>
      <c r="F34" s="5">
        <v>0</v>
      </c>
      <c r="G34" s="5" t="s">
        <v>111</v>
      </c>
      <c r="H34" s="5" t="s">
        <v>112</v>
      </c>
      <c r="I34" s="5"/>
      <c r="J34" s="5"/>
      <c r="K34" s="5">
        <v>232</v>
      </c>
      <c r="L34" s="5">
        <v>15</v>
      </c>
      <c r="M34" s="5">
        <v>3</v>
      </c>
      <c r="N34" s="5" t="s">
        <v>3</v>
      </c>
      <c r="O34" s="5">
        <v>2</v>
      </c>
      <c r="P34" s="5">
        <v>0</v>
      </c>
    </row>
    <row r="35" spans="1:16" x14ac:dyDescent="0.2">
      <c r="A35" s="5">
        <v>50</v>
      </c>
      <c r="B35" s="5">
        <v>0</v>
      </c>
      <c r="C35" s="5">
        <v>0</v>
      </c>
      <c r="D35" s="5">
        <v>1</v>
      </c>
      <c r="E35" s="5">
        <v>214</v>
      </c>
      <c r="F35" s="5">
        <v>266614.13</v>
      </c>
      <c r="G35" s="5" t="s">
        <v>113</v>
      </c>
      <c r="H35" s="5" t="s">
        <v>114</v>
      </c>
      <c r="I35" s="5"/>
      <c r="J35" s="5"/>
      <c r="K35" s="5">
        <v>214</v>
      </c>
      <c r="L35" s="5">
        <v>16</v>
      </c>
      <c r="M35" s="5">
        <v>3</v>
      </c>
      <c r="N35" s="5" t="s">
        <v>3</v>
      </c>
      <c r="O35" s="5">
        <v>2</v>
      </c>
      <c r="P35" s="5">
        <v>26421.05</v>
      </c>
    </row>
    <row r="36" spans="1:16" x14ac:dyDescent="0.2">
      <c r="A36" s="5">
        <v>50</v>
      </c>
      <c r="B36" s="5">
        <v>0</v>
      </c>
      <c r="C36" s="5">
        <v>0</v>
      </c>
      <c r="D36" s="5">
        <v>1</v>
      </c>
      <c r="E36" s="5">
        <v>215</v>
      </c>
      <c r="F36" s="5">
        <v>7193.49</v>
      </c>
      <c r="G36" s="5" t="s">
        <v>115</v>
      </c>
      <c r="H36" s="5" t="s">
        <v>116</v>
      </c>
      <c r="I36" s="5"/>
      <c r="J36" s="5"/>
      <c r="K36" s="5">
        <v>215</v>
      </c>
      <c r="L36" s="5">
        <v>17</v>
      </c>
      <c r="M36" s="5">
        <v>3</v>
      </c>
      <c r="N36" s="5" t="s">
        <v>3</v>
      </c>
      <c r="O36" s="5">
        <v>2</v>
      </c>
      <c r="P36" s="5">
        <v>131.83000000000001</v>
      </c>
    </row>
    <row r="37" spans="1:16" x14ac:dyDescent="0.2">
      <c r="A37" s="5">
        <v>50</v>
      </c>
      <c r="B37" s="5">
        <v>0</v>
      </c>
      <c r="C37" s="5">
        <v>0</v>
      </c>
      <c r="D37" s="5">
        <v>1</v>
      </c>
      <c r="E37" s="5">
        <v>217</v>
      </c>
      <c r="F37" s="5">
        <v>0</v>
      </c>
      <c r="G37" s="5" t="s">
        <v>117</v>
      </c>
      <c r="H37" s="5" t="s">
        <v>118</v>
      </c>
      <c r="I37" s="5"/>
      <c r="J37" s="5"/>
      <c r="K37" s="5">
        <v>217</v>
      </c>
      <c r="L37" s="5">
        <v>18</v>
      </c>
      <c r="M37" s="5">
        <v>3</v>
      </c>
      <c r="N37" s="5" t="s">
        <v>3</v>
      </c>
      <c r="O37" s="5">
        <v>2</v>
      </c>
      <c r="P37" s="5">
        <v>0</v>
      </c>
    </row>
    <row r="38" spans="1:16" x14ac:dyDescent="0.2">
      <c r="A38" s="5">
        <v>50</v>
      </c>
      <c r="B38" s="5">
        <v>0</v>
      </c>
      <c r="C38" s="5">
        <v>0</v>
      </c>
      <c r="D38" s="5">
        <v>1</v>
      </c>
      <c r="E38" s="5">
        <v>230</v>
      </c>
      <c r="F38" s="5">
        <v>0</v>
      </c>
      <c r="G38" s="5" t="s">
        <v>119</v>
      </c>
      <c r="H38" s="5" t="s">
        <v>120</v>
      </c>
      <c r="I38" s="5"/>
      <c r="J38" s="5"/>
      <c r="K38" s="5">
        <v>230</v>
      </c>
      <c r="L38" s="5">
        <v>19</v>
      </c>
      <c r="M38" s="5">
        <v>3</v>
      </c>
      <c r="N38" s="5" t="s">
        <v>3</v>
      </c>
      <c r="O38" s="5">
        <v>2</v>
      </c>
      <c r="P38" s="5">
        <v>0</v>
      </c>
    </row>
    <row r="39" spans="1:16" x14ac:dyDescent="0.2">
      <c r="A39" s="5">
        <v>50</v>
      </c>
      <c r="B39" s="5">
        <v>0</v>
      </c>
      <c r="C39" s="5">
        <v>0</v>
      </c>
      <c r="D39" s="5">
        <v>1</v>
      </c>
      <c r="E39" s="5">
        <v>206</v>
      </c>
      <c r="F39" s="5">
        <v>0</v>
      </c>
      <c r="G39" s="5" t="s">
        <v>121</v>
      </c>
      <c r="H39" s="5" t="s">
        <v>122</v>
      </c>
      <c r="I39" s="5"/>
      <c r="J39" s="5"/>
      <c r="K39" s="5">
        <v>206</v>
      </c>
      <c r="L39" s="5">
        <v>20</v>
      </c>
      <c r="M39" s="5">
        <v>3</v>
      </c>
      <c r="N39" s="5" t="s">
        <v>3</v>
      </c>
      <c r="O39" s="5">
        <v>2</v>
      </c>
      <c r="P39" s="5">
        <v>0</v>
      </c>
    </row>
    <row r="40" spans="1:16" x14ac:dyDescent="0.2">
      <c r="A40" s="5">
        <v>50</v>
      </c>
      <c r="B40" s="5">
        <v>0</v>
      </c>
      <c r="C40" s="5">
        <v>0</v>
      </c>
      <c r="D40" s="5">
        <v>1</v>
      </c>
      <c r="E40" s="5">
        <v>207</v>
      </c>
      <c r="F40" s="5">
        <v>8.0418205999999994</v>
      </c>
      <c r="G40" s="5" t="s">
        <v>123</v>
      </c>
      <c r="H40" s="5" t="s">
        <v>124</v>
      </c>
      <c r="I40" s="5"/>
      <c r="J40" s="5"/>
      <c r="K40" s="5">
        <v>207</v>
      </c>
      <c r="L40" s="5">
        <v>21</v>
      </c>
      <c r="M40" s="5">
        <v>3</v>
      </c>
      <c r="N40" s="5" t="s">
        <v>3</v>
      </c>
      <c r="O40" s="5">
        <v>-1</v>
      </c>
      <c r="P40" s="5">
        <v>8.0418205999999994</v>
      </c>
    </row>
    <row r="41" spans="1:16" x14ac:dyDescent="0.2">
      <c r="A41" s="5">
        <v>50</v>
      </c>
      <c r="B41" s="5">
        <v>0</v>
      </c>
      <c r="C41" s="5">
        <v>0</v>
      </c>
      <c r="D41" s="5">
        <v>1</v>
      </c>
      <c r="E41" s="5">
        <v>208</v>
      </c>
      <c r="F41" s="5">
        <v>0</v>
      </c>
      <c r="G41" s="5" t="s">
        <v>125</v>
      </c>
      <c r="H41" s="5" t="s">
        <v>126</v>
      </c>
      <c r="I41" s="5"/>
      <c r="J41" s="5"/>
      <c r="K41" s="5">
        <v>208</v>
      </c>
      <c r="L41" s="5">
        <v>22</v>
      </c>
      <c r="M41" s="5">
        <v>3</v>
      </c>
      <c r="N41" s="5" t="s">
        <v>3</v>
      </c>
      <c r="O41" s="5">
        <v>-1</v>
      </c>
      <c r="P41" s="5">
        <v>0</v>
      </c>
    </row>
    <row r="42" spans="1:16" x14ac:dyDescent="0.2">
      <c r="A42" s="5">
        <v>50</v>
      </c>
      <c r="B42" s="5">
        <v>0</v>
      </c>
      <c r="C42" s="5">
        <v>0</v>
      </c>
      <c r="D42" s="5">
        <v>1</v>
      </c>
      <c r="E42" s="5">
        <v>209</v>
      </c>
      <c r="F42" s="5">
        <v>0</v>
      </c>
      <c r="G42" s="5" t="s">
        <v>127</v>
      </c>
      <c r="H42" s="5" t="s">
        <v>128</v>
      </c>
      <c r="I42" s="5"/>
      <c r="J42" s="5"/>
      <c r="K42" s="5">
        <v>209</v>
      </c>
      <c r="L42" s="5">
        <v>23</v>
      </c>
      <c r="M42" s="5">
        <v>3</v>
      </c>
      <c r="N42" s="5" t="s">
        <v>3</v>
      </c>
      <c r="O42" s="5">
        <v>2</v>
      </c>
      <c r="P42" s="5">
        <v>0</v>
      </c>
    </row>
    <row r="43" spans="1:16" x14ac:dyDescent="0.2">
      <c r="A43" s="5">
        <v>50</v>
      </c>
      <c r="B43" s="5">
        <v>0</v>
      </c>
      <c r="C43" s="5">
        <v>0</v>
      </c>
      <c r="D43" s="5">
        <v>1</v>
      </c>
      <c r="E43" s="5">
        <v>233</v>
      </c>
      <c r="F43" s="5">
        <v>0</v>
      </c>
      <c r="G43" s="5" t="s">
        <v>129</v>
      </c>
      <c r="H43" s="5" t="s">
        <v>130</v>
      </c>
      <c r="I43" s="5"/>
      <c r="J43" s="5"/>
      <c r="K43" s="5">
        <v>233</v>
      </c>
      <c r="L43" s="5">
        <v>24</v>
      </c>
      <c r="M43" s="5">
        <v>3</v>
      </c>
      <c r="N43" s="5" t="s">
        <v>3</v>
      </c>
      <c r="O43" s="5">
        <v>2</v>
      </c>
      <c r="P43" s="5">
        <v>0</v>
      </c>
    </row>
    <row r="44" spans="1:16" x14ac:dyDescent="0.2">
      <c r="A44" s="5">
        <v>50</v>
      </c>
      <c r="B44" s="5">
        <v>0</v>
      </c>
      <c r="C44" s="5">
        <v>0</v>
      </c>
      <c r="D44" s="5">
        <v>1</v>
      </c>
      <c r="E44" s="5">
        <v>210</v>
      </c>
      <c r="F44" s="5">
        <v>5496.25</v>
      </c>
      <c r="G44" s="5" t="s">
        <v>131</v>
      </c>
      <c r="H44" s="5" t="s">
        <v>132</v>
      </c>
      <c r="I44" s="5"/>
      <c r="J44" s="5"/>
      <c r="K44" s="5">
        <v>210</v>
      </c>
      <c r="L44" s="5">
        <v>25</v>
      </c>
      <c r="M44" s="5">
        <v>3</v>
      </c>
      <c r="N44" s="5" t="s">
        <v>3</v>
      </c>
      <c r="O44" s="5">
        <v>2</v>
      </c>
      <c r="P44" s="5">
        <v>99.96</v>
      </c>
    </row>
    <row r="45" spans="1:16" x14ac:dyDescent="0.2">
      <c r="A45" s="5">
        <v>50</v>
      </c>
      <c r="B45" s="5">
        <v>0</v>
      </c>
      <c r="C45" s="5">
        <v>0</v>
      </c>
      <c r="D45" s="5">
        <v>1</v>
      </c>
      <c r="E45" s="5">
        <v>211</v>
      </c>
      <c r="F45" s="5">
        <v>2915.68</v>
      </c>
      <c r="G45" s="5" t="s">
        <v>133</v>
      </c>
      <c r="H45" s="5" t="s">
        <v>134</v>
      </c>
      <c r="I45" s="5"/>
      <c r="J45" s="5"/>
      <c r="K45" s="5">
        <v>211</v>
      </c>
      <c r="L45" s="5">
        <v>26</v>
      </c>
      <c r="M45" s="5">
        <v>3</v>
      </c>
      <c r="N45" s="5" t="s">
        <v>3</v>
      </c>
      <c r="O45" s="5">
        <v>2</v>
      </c>
      <c r="P45" s="5">
        <v>53.02</v>
      </c>
    </row>
    <row r="46" spans="1:16" x14ac:dyDescent="0.2">
      <c r="A46" s="5">
        <v>50</v>
      </c>
      <c r="B46" s="5">
        <v>0</v>
      </c>
      <c r="C46" s="5">
        <v>0</v>
      </c>
      <c r="D46" s="5">
        <v>1</v>
      </c>
      <c r="E46" s="5">
        <v>224</v>
      </c>
      <c r="F46" s="5">
        <v>2977265.57</v>
      </c>
      <c r="G46" s="5" t="s">
        <v>135</v>
      </c>
      <c r="H46" s="5" t="s">
        <v>136</v>
      </c>
      <c r="I46" s="5"/>
      <c r="J46" s="5"/>
      <c r="K46" s="5">
        <v>224</v>
      </c>
      <c r="L46" s="5">
        <v>27</v>
      </c>
      <c r="M46" s="5">
        <v>3</v>
      </c>
      <c r="N46" s="5" t="s">
        <v>3</v>
      </c>
      <c r="O46" s="5">
        <v>2</v>
      </c>
      <c r="P46" s="5">
        <v>376172.05</v>
      </c>
    </row>
    <row r="48" spans="1:16" x14ac:dyDescent="0.2">
      <c r="A48">
        <v>-1</v>
      </c>
    </row>
    <row r="51" spans="1:50" x14ac:dyDescent="0.2">
      <c r="A51" s="4">
        <v>75</v>
      </c>
      <c r="B51" s="4" t="s">
        <v>147</v>
      </c>
      <c r="C51" s="4">
        <v>2025</v>
      </c>
      <c r="D51" s="4">
        <v>3</v>
      </c>
      <c r="E51" s="4">
        <v>0</v>
      </c>
      <c r="F51" s="4"/>
      <c r="G51" s="4">
        <v>0</v>
      </c>
      <c r="H51" s="4">
        <v>1</v>
      </c>
      <c r="I51" s="4">
        <v>1</v>
      </c>
      <c r="J51" s="4">
        <v>1</v>
      </c>
      <c r="K51" s="4">
        <v>0</v>
      </c>
      <c r="L51" s="4">
        <v>0</v>
      </c>
      <c r="M51" s="4">
        <v>1</v>
      </c>
      <c r="N51" s="4">
        <v>59214059</v>
      </c>
      <c r="O51" s="4">
        <v>1</v>
      </c>
    </row>
    <row r="52" spans="1:50" x14ac:dyDescent="0.2">
      <c r="A52" s="6">
        <v>1</v>
      </c>
      <c r="B52" s="6" t="s">
        <v>148</v>
      </c>
      <c r="C52" s="6" t="s">
        <v>149</v>
      </c>
      <c r="D52" s="6">
        <v>2025</v>
      </c>
      <c r="E52" s="6">
        <v>9</v>
      </c>
      <c r="F52" s="6">
        <v>1</v>
      </c>
      <c r="G52" s="6">
        <v>1</v>
      </c>
      <c r="H52" s="6">
        <v>0</v>
      </c>
      <c r="I52" s="6">
        <v>2</v>
      </c>
      <c r="J52" s="6">
        <v>1</v>
      </c>
      <c r="K52" s="6">
        <v>9.8800000000000008</v>
      </c>
      <c r="L52" s="6">
        <v>7.66</v>
      </c>
      <c r="M52" s="6">
        <v>1</v>
      </c>
      <c r="N52" s="6">
        <v>1</v>
      </c>
      <c r="O52" s="6">
        <v>9.8800000000000008</v>
      </c>
      <c r="P52" s="6">
        <v>7.66</v>
      </c>
      <c r="Q52" s="6">
        <v>1</v>
      </c>
      <c r="R52" s="6" t="s">
        <v>3</v>
      </c>
      <c r="S52" s="6" t="s">
        <v>3</v>
      </c>
      <c r="T52" s="6" t="s">
        <v>3</v>
      </c>
      <c r="U52" s="6" t="s">
        <v>3</v>
      </c>
      <c r="V52" s="6" t="s">
        <v>3</v>
      </c>
      <c r="W52" s="6" t="s">
        <v>3</v>
      </c>
      <c r="X52" s="6" t="s">
        <v>3</v>
      </c>
      <c r="Y52" s="6" t="s">
        <v>3</v>
      </c>
      <c r="Z52" s="6" t="s">
        <v>3</v>
      </c>
      <c r="AA52" s="6" t="s">
        <v>150</v>
      </c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>
        <v>59214060</v>
      </c>
      <c r="AO52" s="6"/>
      <c r="AP52" s="6"/>
      <c r="AQ52" s="6"/>
      <c r="AR52" s="6"/>
      <c r="AS52" s="6"/>
      <c r="AT52" s="6"/>
      <c r="AU52" s="6"/>
      <c r="AV52" s="6"/>
      <c r="AW52" s="6"/>
      <c r="AX52" s="6"/>
    </row>
    <row r="53" spans="1:50" x14ac:dyDescent="0.2">
      <c r="A53" s="6">
        <v>1</v>
      </c>
      <c r="B53" s="6" t="s">
        <v>148</v>
      </c>
      <c r="C53" s="6" t="s">
        <v>151</v>
      </c>
      <c r="D53" s="6">
        <v>2025</v>
      </c>
      <c r="E53" s="6">
        <v>7</v>
      </c>
      <c r="F53" s="6">
        <v>1</v>
      </c>
      <c r="G53" s="6">
        <v>1</v>
      </c>
      <c r="H53" s="6">
        <v>0</v>
      </c>
      <c r="I53" s="6">
        <v>2</v>
      </c>
      <c r="J53" s="6">
        <v>1</v>
      </c>
      <c r="K53" s="6">
        <v>1</v>
      </c>
      <c r="L53" s="6">
        <v>1</v>
      </c>
      <c r="M53" s="6">
        <v>1</v>
      </c>
      <c r="N53" s="6">
        <v>1</v>
      </c>
      <c r="O53" s="6">
        <v>1</v>
      </c>
      <c r="P53" s="6">
        <v>1</v>
      </c>
      <c r="Q53" s="6">
        <v>1</v>
      </c>
      <c r="R53" s="6" t="s">
        <v>3</v>
      </c>
      <c r="S53" s="6" t="s">
        <v>3</v>
      </c>
      <c r="T53" s="6" t="s">
        <v>3</v>
      </c>
      <c r="U53" s="6" t="s">
        <v>3</v>
      </c>
      <c r="V53" s="6" t="s">
        <v>3</v>
      </c>
      <c r="W53" s="6" t="s">
        <v>3</v>
      </c>
      <c r="X53" s="6" t="s">
        <v>3</v>
      </c>
      <c r="Y53" s="6" t="s">
        <v>3</v>
      </c>
      <c r="Z53" s="6" t="s">
        <v>3</v>
      </c>
      <c r="AA53" s="6" t="s">
        <v>152</v>
      </c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>
        <v>59214061</v>
      </c>
      <c r="AO53" s="6"/>
      <c r="AP53" s="6"/>
      <c r="AQ53" s="6"/>
      <c r="AR53" s="6"/>
      <c r="AS53" s="6"/>
      <c r="AT53" s="6"/>
      <c r="AU53" s="6"/>
      <c r="AV53" s="6"/>
      <c r="AW53" s="6"/>
      <c r="AX53" s="6"/>
    </row>
    <row r="54" spans="1:50" x14ac:dyDescent="0.2">
      <c r="A54" s="4">
        <v>75</v>
      </c>
      <c r="B54" s="4" t="s">
        <v>153</v>
      </c>
      <c r="C54" s="4">
        <v>2000</v>
      </c>
      <c r="D54" s="4">
        <v>0</v>
      </c>
      <c r="E54" s="4">
        <v>1</v>
      </c>
      <c r="F54" s="4">
        <v>0</v>
      </c>
      <c r="G54" s="4">
        <v>0</v>
      </c>
      <c r="H54" s="4">
        <v>1</v>
      </c>
      <c r="I54" s="4">
        <v>1</v>
      </c>
      <c r="J54" s="4">
        <v>3</v>
      </c>
      <c r="K54" s="4">
        <v>0</v>
      </c>
      <c r="L54" s="4">
        <v>0</v>
      </c>
      <c r="M54" s="4">
        <v>0</v>
      </c>
      <c r="N54" s="4">
        <v>59214062</v>
      </c>
      <c r="O54" s="4">
        <v>2</v>
      </c>
    </row>
    <row r="55" spans="1:50" x14ac:dyDescent="0.2">
      <c r="A55" s="6">
        <v>1</v>
      </c>
      <c r="B55" s="6" t="s">
        <v>148</v>
      </c>
      <c r="C55" s="6" t="s">
        <v>149</v>
      </c>
      <c r="D55" s="6">
        <v>2000</v>
      </c>
      <c r="E55" s="6">
        <v>1</v>
      </c>
      <c r="F55" s="6">
        <v>1</v>
      </c>
      <c r="G55" s="6">
        <v>1</v>
      </c>
      <c r="H55" s="6">
        <v>0</v>
      </c>
      <c r="I55" s="6">
        <v>2</v>
      </c>
      <c r="J55" s="6">
        <v>1</v>
      </c>
      <c r="K55" s="6">
        <v>1</v>
      </c>
      <c r="L55" s="6">
        <v>1</v>
      </c>
      <c r="M55" s="6">
        <v>1</v>
      </c>
      <c r="N55" s="6">
        <v>1</v>
      </c>
      <c r="O55" s="6">
        <v>1</v>
      </c>
      <c r="P55" s="6">
        <v>1</v>
      </c>
      <c r="Q55" s="6">
        <v>1</v>
      </c>
      <c r="R55" s="6" t="s">
        <v>3</v>
      </c>
      <c r="S55" s="6" t="s">
        <v>3</v>
      </c>
      <c r="T55" s="6" t="s">
        <v>3</v>
      </c>
      <c r="U55" s="6" t="s">
        <v>3</v>
      </c>
      <c r="V55" s="6" t="s">
        <v>3</v>
      </c>
      <c r="W55" s="6" t="s">
        <v>3</v>
      </c>
      <c r="X55" s="6" t="s">
        <v>3</v>
      </c>
      <c r="Y55" s="6" t="s">
        <v>3</v>
      </c>
      <c r="Z55" s="6" t="s">
        <v>3</v>
      </c>
      <c r="AA55" s="6" t="s">
        <v>78</v>
      </c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>
        <v>59214063</v>
      </c>
      <c r="AO55" s="6"/>
      <c r="AP55" s="6"/>
      <c r="AQ55" s="6"/>
      <c r="AR55" s="6"/>
      <c r="AS55" s="6"/>
      <c r="AT55" s="6"/>
      <c r="AU55" s="6"/>
      <c r="AV55" s="6"/>
      <c r="AW55" s="6"/>
      <c r="AX55" s="6"/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O24"/>
  <sheetViews>
    <sheetView workbookViewId="0"/>
  </sheetViews>
  <sheetFormatPr defaultColWidth="9.140625" defaultRowHeight="12.75" x14ac:dyDescent="0.2"/>
  <cols>
    <col min="1" max="256" width="9.140625" customWidth="1"/>
  </cols>
  <sheetData>
    <row r="1" spans="1:119" x14ac:dyDescent="0.2">
      <c r="A1">
        <f>ROW(Source!A28)</f>
        <v>28</v>
      </c>
      <c r="B1">
        <v>59214062</v>
      </c>
      <c r="C1">
        <v>59214176</v>
      </c>
      <c r="D1">
        <v>58266404</v>
      </c>
      <c r="E1">
        <v>1080</v>
      </c>
      <c r="F1">
        <v>1</v>
      </c>
      <c r="G1">
        <v>1080</v>
      </c>
      <c r="H1">
        <v>1</v>
      </c>
      <c r="I1" t="s">
        <v>155</v>
      </c>
      <c r="J1" t="s">
        <v>3</v>
      </c>
      <c r="K1" t="s">
        <v>156</v>
      </c>
      <c r="L1">
        <v>1191</v>
      </c>
      <c r="N1">
        <v>1013</v>
      </c>
      <c r="O1" t="s">
        <v>157</v>
      </c>
      <c r="P1" t="s">
        <v>157</v>
      </c>
      <c r="Q1">
        <v>1</v>
      </c>
      <c r="W1">
        <v>0</v>
      </c>
      <c r="X1">
        <v>476480486</v>
      </c>
      <c r="Y1">
        <f t="shared" ref="Y1:Y8" si="0">(AT1*1.1)</f>
        <v>1.859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1</v>
      </c>
      <c r="AJ1">
        <v>1</v>
      </c>
      <c r="AK1">
        <v>1</v>
      </c>
      <c r="AL1">
        <v>1</v>
      </c>
      <c r="AM1">
        <v>-2</v>
      </c>
      <c r="AN1">
        <v>0</v>
      </c>
      <c r="AO1">
        <v>1</v>
      </c>
      <c r="AP1">
        <v>1</v>
      </c>
      <c r="AQ1">
        <v>0</v>
      </c>
      <c r="AR1">
        <v>0</v>
      </c>
      <c r="AS1" t="s">
        <v>3</v>
      </c>
      <c r="AT1">
        <v>1.69</v>
      </c>
      <c r="AU1" t="s">
        <v>26</v>
      </c>
      <c r="AV1">
        <v>1</v>
      </c>
      <c r="AW1">
        <v>2</v>
      </c>
      <c r="AX1">
        <v>59214214</v>
      </c>
      <c r="AY1">
        <v>1</v>
      </c>
      <c r="AZ1">
        <v>0</v>
      </c>
      <c r="BA1">
        <v>1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CU1">
        <f>ROUND(AT1*Source!I28*AH1*AL1,2)</f>
        <v>0</v>
      </c>
      <c r="CV1">
        <f>ROUND(Y1*Source!I28,9)</f>
        <v>3.718</v>
      </c>
      <c r="CW1">
        <v>0</v>
      </c>
      <c r="CX1">
        <f>ROUND(Y1*Source!I28,9)</f>
        <v>3.718</v>
      </c>
      <c r="CY1">
        <f>AD1</f>
        <v>0</v>
      </c>
      <c r="CZ1">
        <f>AH1</f>
        <v>0</v>
      </c>
      <c r="DA1">
        <f>AL1</f>
        <v>1</v>
      </c>
      <c r="DB1">
        <f t="shared" ref="DB1:DB8" si="1">ROUND((ROUND(AT1*CZ1,2)*1.1),6)</f>
        <v>0</v>
      </c>
      <c r="DC1">
        <f t="shared" ref="DC1:DC8" si="2">ROUND((ROUND(AT1*AG1,2)*1.1),6)</f>
        <v>0</v>
      </c>
      <c r="DD1" t="s">
        <v>3</v>
      </c>
      <c r="DE1" t="s">
        <v>3</v>
      </c>
      <c r="DF1">
        <f t="shared" ref="DF1:DF12" si="3">ROUND(ROUND(AE1,2)*CX1,2)</f>
        <v>0</v>
      </c>
      <c r="DG1">
        <f>ROUND(ROUND(AF1,2)*CX1,2)</f>
        <v>0</v>
      </c>
      <c r="DH1">
        <f>ROUND(ROUND(AG1,2)*CX1,2)</f>
        <v>0</v>
      </c>
      <c r="DI1">
        <f t="shared" ref="DI1:DI24" si="4">ROUND(ROUND(AH1,2)*CX1,2)</f>
        <v>0</v>
      </c>
      <c r="DJ1">
        <f>DI1</f>
        <v>0</v>
      </c>
      <c r="DK1">
        <v>0</v>
      </c>
      <c r="DL1" t="s">
        <v>3</v>
      </c>
      <c r="DM1">
        <v>0</v>
      </c>
      <c r="DN1" t="s">
        <v>3</v>
      </c>
      <c r="DO1">
        <v>0</v>
      </c>
    </row>
    <row r="2" spans="1:119" x14ac:dyDescent="0.2">
      <c r="A2">
        <f>ROW(Source!A28)</f>
        <v>28</v>
      </c>
      <c r="B2">
        <v>59214062</v>
      </c>
      <c r="C2">
        <v>59214176</v>
      </c>
      <c r="D2">
        <v>58340700</v>
      </c>
      <c r="E2">
        <v>1</v>
      </c>
      <c r="F2">
        <v>1</v>
      </c>
      <c r="G2">
        <v>1080</v>
      </c>
      <c r="H2">
        <v>2</v>
      </c>
      <c r="I2" t="s">
        <v>158</v>
      </c>
      <c r="J2" t="s">
        <v>159</v>
      </c>
      <c r="K2" t="s">
        <v>160</v>
      </c>
      <c r="L2">
        <v>1368</v>
      </c>
      <c r="N2">
        <v>1011</v>
      </c>
      <c r="O2" t="s">
        <v>161</v>
      </c>
      <c r="P2" t="s">
        <v>161</v>
      </c>
      <c r="Q2">
        <v>1</v>
      </c>
      <c r="W2">
        <v>0</v>
      </c>
      <c r="X2">
        <v>-947993098</v>
      </c>
      <c r="Y2">
        <f t="shared" si="0"/>
        <v>0.30800000000000005</v>
      </c>
      <c r="AA2">
        <v>0</v>
      </c>
      <c r="AB2">
        <v>1.53</v>
      </c>
      <c r="AC2">
        <v>0</v>
      </c>
      <c r="AD2">
        <v>0</v>
      </c>
      <c r="AE2">
        <v>0</v>
      </c>
      <c r="AF2">
        <v>1.43</v>
      </c>
      <c r="AG2">
        <v>0</v>
      </c>
      <c r="AH2">
        <v>0</v>
      </c>
      <c r="AI2">
        <v>1</v>
      </c>
      <c r="AJ2">
        <v>1</v>
      </c>
      <c r="AK2">
        <v>1</v>
      </c>
      <c r="AL2">
        <v>1</v>
      </c>
      <c r="AM2">
        <v>-2</v>
      </c>
      <c r="AN2">
        <v>0</v>
      </c>
      <c r="AO2">
        <v>1</v>
      </c>
      <c r="AP2">
        <v>1</v>
      </c>
      <c r="AQ2">
        <v>0</v>
      </c>
      <c r="AR2">
        <v>0</v>
      </c>
      <c r="AS2" t="s">
        <v>3</v>
      </c>
      <c r="AT2">
        <v>0.28000000000000003</v>
      </c>
      <c r="AU2" t="s">
        <v>26</v>
      </c>
      <c r="AV2">
        <v>0</v>
      </c>
      <c r="AW2">
        <v>2</v>
      </c>
      <c r="AX2">
        <v>59214215</v>
      </c>
      <c r="AY2">
        <v>1</v>
      </c>
      <c r="AZ2">
        <v>0</v>
      </c>
      <c r="BA2">
        <v>2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CV2">
        <v>0</v>
      </c>
      <c r="CW2">
        <f>ROUND(Y2*Source!I28*DO2,9)</f>
        <v>0</v>
      </c>
      <c r="CX2">
        <f>ROUND(Y2*Source!I28,9)</f>
        <v>0.61599999999999999</v>
      </c>
      <c r="CY2">
        <f>AB2</f>
        <v>1.53</v>
      </c>
      <c r="CZ2">
        <f>AF2</f>
        <v>1.43</v>
      </c>
      <c r="DA2">
        <f>AJ2</f>
        <v>1</v>
      </c>
      <c r="DB2">
        <f t="shared" si="1"/>
        <v>0.44</v>
      </c>
      <c r="DC2">
        <f t="shared" si="2"/>
        <v>0</v>
      </c>
      <c r="DD2" t="s">
        <v>3</v>
      </c>
      <c r="DE2" t="s">
        <v>3</v>
      </c>
      <c r="DF2">
        <f t="shared" si="3"/>
        <v>0</v>
      </c>
      <c r="DG2">
        <f>ROUND(ROUND(AF2,2)*CX2,2)</f>
        <v>0.88</v>
      </c>
      <c r="DH2">
        <f>ROUND(ROUND(AG2,2)*CX2,2)</f>
        <v>0</v>
      </c>
      <c r="DI2">
        <f t="shared" si="4"/>
        <v>0</v>
      </c>
      <c r="DJ2">
        <f>DG2</f>
        <v>0.88</v>
      </c>
      <c r="DK2">
        <v>0</v>
      </c>
      <c r="DL2" t="s">
        <v>3</v>
      </c>
      <c r="DM2">
        <v>0</v>
      </c>
      <c r="DN2" t="s">
        <v>3</v>
      </c>
      <c r="DO2">
        <v>0</v>
      </c>
    </row>
    <row r="3" spans="1:119" x14ac:dyDescent="0.2">
      <c r="A3">
        <f>ROW(Source!A28)</f>
        <v>28</v>
      </c>
      <c r="B3">
        <v>59214062</v>
      </c>
      <c r="C3">
        <v>59214176</v>
      </c>
      <c r="D3">
        <v>58340663</v>
      </c>
      <c r="E3">
        <v>1</v>
      </c>
      <c r="F3">
        <v>1</v>
      </c>
      <c r="G3">
        <v>1080</v>
      </c>
      <c r="H3">
        <v>2</v>
      </c>
      <c r="I3" t="s">
        <v>162</v>
      </c>
      <c r="J3" t="s">
        <v>163</v>
      </c>
      <c r="K3" t="s">
        <v>164</v>
      </c>
      <c r="L3">
        <v>1368</v>
      </c>
      <c r="N3">
        <v>1011</v>
      </c>
      <c r="O3" t="s">
        <v>161</v>
      </c>
      <c r="P3" t="s">
        <v>161</v>
      </c>
      <c r="Q3">
        <v>1</v>
      </c>
      <c r="W3">
        <v>0</v>
      </c>
      <c r="X3">
        <v>1645565003</v>
      </c>
      <c r="Y3">
        <f t="shared" si="0"/>
        <v>0.25300000000000006</v>
      </c>
      <c r="AA3">
        <v>0</v>
      </c>
      <c r="AB3">
        <v>0.5</v>
      </c>
      <c r="AC3">
        <v>0</v>
      </c>
      <c r="AD3">
        <v>0</v>
      </c>
      <c r="AE3">
        <v>0</v>
      </c>
      <c r="AF3">
        <v>0.47</v>
      </c>
      <c r="AG3">
        <v>0</v>
      </c>
      <c r="AH3">
        <v>0</v>
      </c>
      <c r="AI3">
        <v>1</v>
      </c>
      <c r="AJ3">
        <v>1</v>
      </c>
      <c r="AK3">
        <v>1</v>
      </c>
      <c r="AL3">
        <v>1</v>
      </c>
      <c r="AM3">
        <v>-2</v>
      </c>
      <c r="AN3">
        <v>0</v>
      </c>
      <c r="AO3">
        <v>1</v>
      </c>
      <c r="AP3">
        <v>1</v>
      </c>
      <c r="AQ3">
        <v>0</v>
      </c>
      <c r="AR3">
        <v>0</v>
      </c>
      <c r="AS3" t="s">
        <v>3</v>
      </c>
      <c r="AT3">
        <v>0.23</v>
      </c>
      <c r="AU3" t="s">
        <v>26</v>
      </c>
      <c r="AV3">
        <v>0</v>
      </c>
      <c r="AW3">
        <v>2</v>
      </c>
      <c r="AX3">
        <v>59214216</v>
      </c>
      <c r="AY3">
        <v>1</v>
      </c>
      <c r="AZ3">
        <v>0</v>
      </c>
      <c r="BA3">
        <v>3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CV3">
        <v>0</v>
      </c>
      <c r="CW3">
        <f>ROUND(Y3*Source!I28*DO3,9)</f>
        <v>0</v>
      </c>
      <c r="CX3">
        <f>ROUND(Y3*Source!I28,9)</f>
        <v>0.50600000000000001</v>
      </c>
      <c r="CY3">
        <f>AB3</f>
        <v>0.5</v>
      </c>
      <c r="CZ3">
        <f>AF3</f>
        <v>0.47</v>
      </c>
      <c r="DA3">
        <f>AJ3</f>
        <v>1</v>
      </c>
      <c r="DB3">
        <f t="shared" si="1"/>
        <v>0.121</v>
      </c>
      <c r="DC3">
        <f t="shared" si="2"/>
        <v>0</v>
      </c>
      <c r="DD3" t="s">
        <v>3</v>
      </c>
      <c r="DE3" t="s">
        <v>3</v>
      </c>
      <c r="DF3">
        <f t="shared" si="3"/>
        <v>0</v>
      </c>
      <c r="DG3">
        <f>ROUND(ROUND(AF3,2)*CX3,2)</f>
        <v>0.24</v>
      </c>
      <c r="DH3">
        <f>ROUND(ROUND(AG3,2)*CX3,2)</f>
        <v>0</v>
      </c>
      <c r="DI3">
        <f t="shared" si="4"/>
        <v>0</v>
      </c>
      <c r="DJ3">
        <f>DG3</f>
        <v>0.24</v>
      </c>
      <c r="DK3">
        <v>0</v>
      </c>
      <c r="DL3" t="s">
        <v>3</v>
      </c>
      <c r="DM3">
        <v>0</v>
      </c>
      <c r="DN3" t="s">
        <v>3</v>
      </c>
      <c r="DO3">
        <v>0</v>
      </c>
    </row>
    <row r="4" spans="1:119" x14ac:dyDescent="0.2">
      <c r="A4">
        <f>ROW(Source!A29)</f>
        <v>29</v>
      </c>
      <c r="B4">
        <v>59214059</v>
      </c>
      <c r="C4">
        <v>59214176</v>
      </c>
      <c r="D4">
        <v>58266404</v>
      </c>
      <c r="E4">
        <v>1080</v>
      </c>
      <c r="F4">
        <v>1</v>
      </c>
      <c r="G4">
        <v>1080</v>
      </c>
      <c r="H4">
        <v>1</v>
      </c>
      <c r="I4" t="s">
        <v>155</v>
      </c>
      <c r="J4" t="s">
        <v>3</v>
      </c>
      <c r="K4" t="s">
        <v>156</v>
      </c>
      <c r="L4">
        <v>1191</v>
      </c>
      <c r="N4">
        <v>1013</v>
      </c>
      <c r="O4" t="s">
        <v>157</v>
      </c>
      <c r="P4" t="s">
        <v>157</v>
      </c>
      <c r="Q4">
        <v>1</v>
      </c>
      <c r="W4">
        <v>0</v>
      </c>
      <c r="X4">
        <v>476480486</v>
      </c>
      <c r="Y4">
        <f t="shared" si="0"/>
        <v>1.859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1</v>
      </c>
      <c r="AJ4">
        <v>1</v>
      </c>
      <c r="AK4">
        <v>1</v>
      </c>
      <c r="AL4">
        <v>1</v>
      </c>
      <c r="AM4">
        <v>5</v>
      </c>
      <c r="AN4">
        <v>0</v>
      </c>
      <c r="AO4">
        <v>1</v>
      </c>
      <c r="AP4">
        <v>1</v>
      </c>
      <c r="AQ4">
        <v>0</v>
      </c>
      <c r="AR4">
        <v>0</v>
      </c>
      <c r="AS4" t="s">
        <v>3</v>
      </c>
      <c r="AT4">
        <v>1.69</v>
      </c>
      <c r="AU4" t="s">
        <v>26</v>
      </c>
      <c r="AV4">
        <v>1</v>
      </c>
      <c r="AW4">
        <v>2</v>
      </c>
      <c r="AX4">
        <v>59214214</v>
      </c>
      <c r="AY4">
        <v>1</v>
      </c>
      <c r="AZ4">
        <v>0</v>
      </c>
      <c r="BA4">
        <v>5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CU4">
        <f>ROUND(AT4*Source!I29*AH4*AL4,2)</f>
        <v>0</v>
      </c>
      <c r="CV4">
        <f>ROUND(Y4*Source!I29,9)</f>
        <v>3.718</v>
      </c>
      <c r="CW4">
        <v>0</v>
      </c>
      <c r="CX4">
        <f>ROUND(Y4*Source!I29,9)</f>
        <v>3.718</v>
      </c>
      <c r="CY4">
        <f>AD4</f>
        <v>0</v>
      </c>
      <c r="CZ4">
        <f>AH4</f>
        <v>0</v>
      </c>
      <c r="DA4">
        <f>AL4</f>
        <v>1</v>
      </c>
      <c r="DB4">
        <f t="shared" si="1"/>
        <v>0</v>
      </c>
      <c r="DC4">
        <f t="shared" si="2"/>
        <v>0</v>
      </c>
      <c r="DD4" t="s">
        <v>3</v>
      </c>
      <c r="DE4" t="s">
        <v>3</v>
      </c>
      <c r="DF4">
        <f t="shared" si="3"/>
        <v>0</v>
      </c>
      <c r="DG4">
        <f>ROUND(ROUND(AF4,2)*CX4,2)</f>
        <v>0</v>
      </c>
      <c r="DH4">
        <f>ROUND(ROUND(AG4,2)*CX4,2)</f>
        <v>0</v>
      </c>
      <c r="DI4">
        <f t="shared" si="4"/>
        <v>0</v>
      </c>
      <c r="DJ4">
        <f>DI4</f>
        <v>0</v>
      </c>
      <c r="DK4">
        <v>0</v>
      </c>
      <c r="DL4" t="s">
        <v>3</v>
      </c>
      <c r="DM4">
        <v>0</v>
      </c>
      <c r="DN4" t="s">
        <v>3</v>
      </c>
      <c r="DO4">
        <v>0</v>
      </c>
    </row>
    <row r="5" spans="1:119" x14ac:dyDescent="0.2">
      <c r="A5">
        <f>ROW(Source!A29)</f>
        <v>29</v>
      </c>
      <c r="B5">
        <v>59214059</v>
      </c>
      <c r="C5">
        <v>59214176</v>
      </c>
      <c r="D5">
        <v>58340700</v>
      </c>
      <c r="E5">
        <v>1</v>
      </c>
      <c r="F5">
        <v>1</v>
      </c>
      <c r="G5">
        <v>1080</v>
      </c>
      <c r="H5">
        <v>2</v>
      </c>
      <c r="I5" t="s">
        <v>158</v>
      </c>
      <c r="J5" t="s">
        <v>159</v>
      </c>
      <c r="K5" t="s">
        <v>160</v>
      </c>
      <c r="L5">
        <v>1368</v>
      </c>
      <c r="N5">
        <v>1011</v>
      </c>
      <c r="O5" t="s">
        <v>161</v>
      </c>
      <c r="P5" t="s">
        <v>161</v>
      </c>
      <c r="Q5">
        <v>1</v>
      </c>
      <c r="W5">
        <v>0</v>
      </c>
      <c r="X5">
        <v>-947993098</v>
      </c>
      <c r="Y5">
        <f t="shared" si="0"/>
        <v>0.30800000000000005</v>
      </c>
      <c r="AA5">
        <v>0</v>
      </c>
      <c r="AB5">
        <v>13.15</v>
      </c>
      <c r="AC5">
        <v>0</v>
      </c>
      <c r="AD5">
        <v>0</v>
      </c>
      <c r="AE5">
        <v>0</v>
      </c>
      <c r="AF5">
        <v>1.43</v>
      </c>
      <c r="AG5">
        <v>0</v>
      </c>
      <c r="AH5">
        <v>0</v>
      </c>
      <c r="AI5">
        <v>1</v>
      </c>
      <c r="AJ5">
        <v>8.6199999999999992</v>
      </c>
      <c r="AK5">
        <v>54.99</v>
      </c>
      <c r="AL5">
        <v>1</v>
      </c>
      <c r="AM5">
        <v>2</v>
      </c>
      <c r="AN5">
        <v>0</v>
      </c>
      <c r="AO5">
        <v>1</v>
      </c>
      <c r="AP5">
        <v>1</v>
      </c>
      <c r="AQ5">
        <v>0</v>
      </c>
      <c r="AR5">
        <v>0</v>
      </c>
      <c r="AS5" t="s">
        <v>3</v>
      </c>
      <c r="AT5">
        <v>0.28000000000000003</v>
      </c>
      <c r="AU5" t="s">
        <v>26</v>
      </c>
      <c r="AV5">
        <v>0</v>
      </c>
      <c r="AW5">
        <v>2</v>
      </c>
      <c r="AX5">
        <v>59214215</v>
      </c>
      <c r="AY5">
        <v>1</v>
      </c>
      <c r="AZ5">
        <v>0</v>
      </c>
      <c r="BA5">
        <v>6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CV5">
        <v>0</v>
      </c>
      <c r="CW5">
        <f>ROUND(Y5*Source!I29*DO5,9)</f>
        <v>0</v>
      </c>
      <c r="CX5">
        <f>ROUND(Y5*Source!I29,9)</f>
        <v>0.61599999999999999</v>
      </c>
      <c r="CY5">
        <f>AB5</f>
        <v>13.15</v>
      </c>
      <c r="CZ5">
        <f>AF5</f>
        <v>1.43</v>
      </c>
      <c r="DA5">
        <f>AJ5</f>
        <v>8.6199999999999992</v>
      </c>
      <c r="DB5">
        <f t="shared" si="1"/>
        <v>0.44</v>
      </c>
      <c r="DC5">
        <f t="shared" si="2"/>
        <v>0</v>
      </c>
      <c r="DD5" t="s">
        <v>3</v>
      </c>
      <c r="DE5" t="s">
        <v>3</v>
      </c>
      <c r="DF5">
        <f t="shared" si="3"/>
        <v>0</v>
      </c>
      <c r="DG5">
        <f>ROUND(ROUND(AF5*AJ5,2)*CX5,2)</f>
        <v>7.6</v>
      </c>
      <c r="DH5">
        <f>ROUND(ROUND(AG5*AK5,2)*CX5,2)</f>
        <v>0</v>
      </c>
      <c r="DI5">
        <f t="shared" si="4"/>
        <v>0</v>
      </c>
      <c r="DJ5">
        <f>DG5</f>
        <v>7.6</v>
      </c>
      <c r="DK5">
        <v>0</v>
      </c>
      <c r="DL5" t="s">
        <v>3</v>
      </c>
      <c r="DM5">
        <v>0</v>
      </c>
      <c r="DN5" t="s">
        <v>3</v>
      </c>
      <c r="DO5">
        <v>0</v>
      </c>
    </row>
    <row r="6" spans="1:119" x14ac:dyDescent="0.2">
      <c r="A6">
        <f>ROW(Source!A29)</f>
        <v>29</v>
      </c>
      <c r="B6">
        <v>59214059</v>
      </c>
      <c r="C6">
        <v>59214176</v>
      </c>
      <c r="D6">
        <v>58340663</v>
      </c>
      <c r="E6">
        <v>1</v>
      </c>
      <c r="F6">
        <v>1</v>
      </c>
      <c r="G6">
        <v>1080</v>
      </c>
      <c r="H6">
        <v>2</v>
      </c>
      <c r="I6" t="s">
        <v>162</v>
      </c>
      <c r="J6" t="s">
        <v>163</v>
      </c>
      <c r="K6" t="s">
        <v>164</v>
      </c>
      <c r="L6">
        <v>1368</v>
      </c>
      <c r="N6">
        <v>1011</v>
      </c>
      <c r="O6" t="s">
        <v>161</v>
      </c>
      <c r="P6" t="s">
        <v>161</v>
      </c>
      <c r="Q6">
        <v>1</v>
      </c>
      <c r="W6">
        <v>0</v>
      </c>
      <c r="X6">
        <v>1645565003</v>
      </c>
      <c r="Y6">
        <f t="shared" si="0"/>
        <v>0.25300000000000006</v>
      </c>
      <c r="AA6">
        <v>0</v>
      </c>
      <c r="AB6">
        <v>4.38</v>
      </c>
      <c r="AC6">
        <v>0</v>
      </c>
      <c r="AD6">
        <v>0</v>
      </c>
      <c r="AE6">
        <v>0</v>
      </c>
      <c r="AF6">
        <v>0.47</v>
      </c>
      <c r="AG6">
        <v>0</v>
      </c>
      <c r="AH6">
        <v>0</v>
      </c>
      <c r="AI6">
        <v>1</v>
      </c>
      <c r="AJ6">
        <v>8.74</v>
      </c>
      <c r="AK6">
        <v>54.99</v>
      </c>
      <c r="AL6">
        <v>1</v>
      </c>
      <c r="AM6">
        <v>2</v>
      </c>
      <c r="AN6">
        <v>0</v>
      </c>
      <c r="AO6">
        <v>1</v>
      </c>
      <c r="AP6">
        <v>1</v>
      </c>
      <c r="AQ6">
        <v>0</v>
      </c>
      <c r="AR6">
        <v>0</v>
      </c>
      <c r="AS6" t="s">
        <v>3</v>
      </c>
      <c r="AT6">
        <v>0.23</v>
      </c>
      <c r="AU6" t="s">
        <v>26</v>
      </c>
      <c r="AV6">
        <v>0</v>
      </c>
      <c r="AW6">
        <v>2</v>
      </c>
      <c r="AX6">
        <v>59214216</v>
      </c>
      <c r="AY6">
        <v>1</v>
      </c>
      <c r="AZ6">
        <v>0</v>
      </c>
      <c r="BA6">
        <v>7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CV6">
        <v>0</v>
      </c>
      <c r="CW6">
        <f>ROUND(Y6*Source!I29*DO6,9)</f>
        <v>0</v>
      </c>
      <c r="CX6">
        <f>ROUND(Y6*Source!I29,9)</f>
        <v>0.50600000000000001</v>
      </c>
      <c r="CY6">
        <f>AB6</f>
        <v>4.38</v>
      </c>
      <c r="CZ6">
        <f>AF6</f>
        <v>0.47</v>
      </c>
      <c r="DA6">
        <f>AJ6</f>
        <v>8.74</v>
      </c>
      <c r="DB6">
        <f t="shared" si="1"/>
        <v>0.121</v>
      </c>
      <c r="DC6">
        <f t="shared" si="2"/>
        <v>0</v>
      </c>
      <c r="DD6" t="s">
        <v>3</v>
      </c>
      <c r="DE6" t="s">
        <v>3</v>
      </c>
      <c r="DF6">
        <f t="shared" si="3"/>
        <v>0</v>
      </c>
      <c r="DG6">
        <f>ROUND(ROUND(AF6*AJ6,2)*CX6,2)</f>
        <v>2.08</v>
      </c>
      <c r="DH6">
        <f>ROUND(ROUND(AG6*AK6,2)*CX6,2)</f>
        <v>0</v>
      </c>
      <c r="DI6">
        <f t="shared" si="4"/>
        <v>0</v>
      </c>
      <c r="DJ6">
        <f>DG6</f>
        <v>2.08</v>
      </c>
      <c r="DK6">
        <v>0</v>
      </c>
      <c r="DL6" t="s">
        <v>3</v>
      </c>
      <c r="DM6">
        <v>0</v>
      </c>
      <c r="DN6" t="s">
        <v>3</v>
      </c>
      <c r="DO6">
        <v>0</v>
      </c>
    </row>
    <row r="7" spans="1:119" x14ac:dyDescent="0.2">
      <c r="A7">
        <f>ROW(Source!A40)</f>
        <v>40</v>
      </c>
      <c r="B7">
        <v>59214062</v>
      </c>
      <c r="C7">
        <v>59214189</v>
      </c>
      <c r="D7">
        <v>58266404</v>
      </c>
      <c r="E7">
        <v>1080</v>
      </c>
      <c r="F7">
        <v>1</v>
      </c>
      <c r="G7">
        <v>1080</v>
      </c>
      <c r="H7">
        <v>1</v>
      </c>
      <c r="I7" t="s">
        <v>155</v>
      </c>
      <c r="J7" t="s">
        <v>3</v>
      </c>
      <c r="K7" t="s">
        <v>156</v>
      </c>
      <c r="L7">
        <v>1191</v>
      </c>
      <c r="N7">
        <v>1013</v>
      </c>
      <c r="O7" t="s">
        <v>157</v>
      </c>
      <c r="P7" t="s">
        <v>157</v>
      </c>
      <c r="Q7">
        <v>1</v>
      </c>
      <c r="W7">
        <v>0</v>
      </c>
      <c r="X7">
        <v>476480486</v>
      </c>
      <c r="Y7">
        <f t="shared" si="0"/>
        <v>74.470000000000013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1</v>
      </c>
      <c r="AJ7">
        <v>1</v>
      </c>
      <c r="AK7">
        <v>1</v>
      </c>
      <c r="AL7">
        <v>1</v>
      </c>
      <c r="AM7">
        <v>-2</v>
      </c>
      <c r="AN7">
        <v>0</v>
      </c>
      <c r="AO7">
        <v>1</v>
      </c>
      <c r="AP7">
        <v>1</v>
      </c>
      <c r="AQ7">
        <v>0</v>
      </c>
      <c r="AR7">
        <v>0</v>
      </c>
      <c r="AS7" t="s">
        <v>3</v>
      </c>
      <c r="AT7">
        <v>67.7</v>
      </c>
      <c r="AU7" t="s">
        <v>26</v>
      </c>
      <c r="AV7">
        <v>1</v>
      </c>
      <c r="AW7">
        <v>2</v>
      </c>
      <c r="AX7">
        <v>59214218</v>
      </c>
      <c r="AY7">
        <v>1</v>
      </c>
      <c r="AZ7">
        <v>0</v>
      </c>
      <c r="BA7">
        <v>9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CU7">
        <f>ROUND(AT7*Source!I40*AH7*AL7,2)</f>
        <v>0</v>
      </c>
      <c r="CV7">
        <f>ROUND(Y7*Source!I40,9)</f>
        <v>2.9788000000000001</v>
      </c>
      <c r="CW7">
        <v>0</v>
      </c>
      <c r="CX7">
        <f>ROUND(Y7*Source!I40,9)</f>
        <v>2.9788000000000001</v>
      </c>
      <c r="CY7">
        <f>AD7</f>
        <v>0</v>
      </c>
      <c r="CZ7">
        <f>AH7</f>
        <v>0</v>
      </c>
      <c r="DA7">
        <f>AL7</f>
        <v>1</v>
      </c>
      <c r="DB7">
        <f t="shared" si="1"/>
        <v>0</v>
      </c>
      <c r="DC7">
        <f t="shared" si="2"/>
        <v>0</v>
      </c>
      <c r="DD7" t="s">
        <v>3</v>
      </c>
      <c r="DE7" t="s">
        <v>3</v>
      </c>
      <c r="DF7">
        <f t="shared" si="3"/>
        <v>0</v>
      </c>
      <c r="DG7">
        <f>ROUND(ROUND(AF7,2)*CX7,2)</f>
        <v>0</v>
      </c>
      <c r="DH7">
        <f>ROUND(ROUND(AG7,2)*CX7,2)</f>
        <v>0</v>
      </c>
      <c r="DI7">
        <f t="shared" si="4"/>
        <v>0</v>
      </c>
      <c r="DJ7">
        <f>DI7</f>
        <v>0</v>
      </c>
      <c r="DK7">
        <v>0</v>
      </c>
      <c r="DL7" t="s">
        <v>3</v>
      </c>
      <c r="DM7">
        <v>0</v>
      </c>
      <c r="DN7" t="s">
        <v>3</v>
      </c>
      <c r="DO7">
        <v>0</v>
      </c>
    </row>
    <row r="8" spans="1:119" x14ac:dyDescent="0.2">
      <c r="A8">
        <f>ROW(Source!A40)</f>
        <v>40</v>
      </c>
      <c r="B8">
        <v>59214062</v>
      </c>
      <c r="C8">
        <v>59214189</v>
      </c>
      <c r="D8">
        <v>58340578</v>
      </c>
      <c r="E8">
        <v>1</v>
      </c>
      <c r="F8">
        <v>1</v>
      </c>
      <c r="G8">
        <v>1080</v>
      </c>
      <c r="H8">
        <v>2</v>
      </c>
      <c r="I8" t="s">
        <v>165</v>
      </c>
      <c r="J8" t="s">
        <v>166</v>
      </c>
      <c r="K8" t="s">
        <v>167</v>
      </c>
      <c r="L8">
        <v>1368</v>
      </c>
      <c r="N8">
        <v>1011</v>
      </c>
      <c r="O8" t="s">
        <v>161</v>
      </c>
      <c r="P8" t="s">
        <v>161</v>
      </c>
      <c r="Q8">
        <v>1</v>
      </c>
      <c r="W8">
        <v>0</v>
      </c>
      <c r="X8">
        <v>-1985943078</v>
      </c>
      <c r="Y8">
        <f t="shared" si="0"/>
        <v>2.7170000000000005</v>
      </c>
      <c r="AA8">
        <v>0</v>
      </c>
      <c r="AB8">
        <v>87.01</v>
      </c>
      <c r="AC8">
        <v>13.21</v>
      </c>
      <c r="AD8">
        <v>0</v>
      </c>
      <c r="AE8">
        <v>0</v>
      </c>
      <c r="AF8">
        <v>83.1</v>
      </c>
      <c r="AG8">
        <v>12.62</v>
      </c>
      <c r="AH8">
        <v>0</v>
      </c>
      <c r="AI8">
        <v>1</v>
      </c>
      <c r="AJ8">
        <v>1</v>
      </c>
      <c r="AK8">
        <v>1</v>
      </c>
      <c r="AL8">
        <v>1</v>
      </c>
      <c r="AM8">
        <v>-2</v>
      </c>
      <c r="AN8">
        <v>0</v>
      </c>
      <c r="AO8">
        <v>1</v>
      </c>
      <c r="AP8">
        <v>1</v>
      </c>
      <c r="AQ8">
        <v>0</v>
      </c>
      <c r="AR8">
        <v>0</v>
      </c>
      <c r="AS8" t="s">
        <v>3</v>
      </c>
      <c r="AT8">
        <v>2.4700000000000002</v>
      </c>
      <c r="AU8" t="s">
        <v>26</v>
      </c>
      <c r="AV8">
        <v>0</v>
      </c>
      <c r="AW8">
        <v>2</v>
      </c>
      <c r="AX8">
        <v>59214219</v>
      </c>
      <c r="AY8">
        <v>1</v>
      </c>
      <c r="AZ8">
        <v>0</v>
      </c>
      <c r="BA8">
        <v>10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CV8">
        <v>0</v>
      </c>
      <c r="CW8">
        <f>ROUND(Y8*Source!I40*DO8,9)</f>
        <v>1.3715416</v>
      </c>
      <c r="CX8">
        <f>ROUND(Y8*Source!I40,9)</f>
        <v>0.10868</v>
      </c>
      <c r="CY8">
        <f>AB8</f>
        <v>87.01</v>
      </c>
      <c r="CZ8">
        <f>AF8</f>
        <v>83.1</v>
      </c>
      <c r="DA8">
        <f>AJ8</f>
        <v>1</v>
      </c>
      <c r="DB8">
        <f t="shared" si="1"/>
        <v>225.786</v>
      </c>
      <c r="DC8">
        <f t="shared" si="2"/>
        <v>34.286999999999999</v>
      </c>
      <c r="DD8" t="s">
        <v>3</v>
      </c>
      <c r="DE8" t="s">
        <v>3</v>
      </c>
      <c r="DF8">
        <f t="shared" si="3"/>
        <v>0</v>
      </c>
      <c r="DG8">
        <f>ROUND(ROUND(AF8,2)*CX8,2)</f>
        <v>9.0299999999999994</v>
      </c>
      <c r="DH8">
        <f>ROUND(ROUND(AG8,2)*CX8,2)</f>
        <v>1.37</v>
      </c>
      <c r="DI8">
        <f t="shared" si="4"/>
        <v>0</v>
      </c>
      <c r="DJ8">
        <f>DG8</f>
        <v>9.0299999999999994</v>
      </c>
      <c r="DK8">
        <v>0</v>
      </c>
      <c r="DL8" t="s">
        <v>168</v>
      </c>
      <c r="DM8">
        <v>0</v>
      </c>
      <c r="DN8" t="s">
        <v>157</v>
      </c>
      <c r="DO8">
        <v>12.62</v>
      </c>
    </row>
    <row r="9" spans="1:119" x14ac:dyDescent="0.2">
      <c r="A9">
        <f>ROW(Source!A40)</f>
        <v>40</v>
      </c>
      <c r="B9">
        <v>59214062</v>
      </c>
      <c r="C9">
        <v>59214189</v>
      </c>
      <c r="D9">
        <v>58308826</v>
      </c>
      <c r="E9">
        <v>1</v>
      </c>
      <c r="F9">
        <v>1</v>
      </c>
      <c r="G9">
        <v>1080</v>
      </c>
      <c r="H9">
        <v>3</v>
      </c>
      <c r="I9" t="s">
        <v>169</v>
      </c>
      <c r="J9" t="s">
        <v>170</v>
      </c>
      <c r="K9" t="s">
        <v>171</v>
      </c>
      <c r="L9">
        <v>1348</v>
      </c>
      <c r="N9">
        <v>1009</v>
      </c>
      <c r="O9" t="s">
        <v>172</v>
      </c>
      <c r="P9" t="s">
        <v>172</v>
      </c>
      <c r="Q9">
        <v>1000</v>
      </c>
      <c r="W9">
        <v>0</v>
      </c>
      <c r="X9">
        <v>-1489740832</v>
      </c>
      <c r="Y9">
        <f>AT9</f>
        <v>1.2E-2</v>
      </c>
      <c r="AA9">
        <v>6512.79</v>
      </c>
      <c r="AB9">
        <v>0</v>
      </c>
      <c r="AC9">
        <v>0</v>
      </c>
      <c r="AD9">
        <v>0</v>
      </c>
      <c r="AE9">
        <v>6512.79</v>
      </c>
      <c r="AF9">
        <v>0</v>
      </c>
      <c r="AG9">
        <v>0</v>
      </c>
      <c r="AH9">
        <v>0</v>
      </c>
      <c r="AI9">
        <v>1</v>
      </c>
      <c r="AJ9">
        <v>1</v>
      </c>
      <c r="AK9">
        <v>1</v>
      </c>
      <c r="AL9">
        <v>1</v>
      </c>
      <c r="AM9">
        <v>-2</v>
      </c>
      <c r="AN9">
        <v>0</v>
      </c>
      <c r="AO9">
        <v>1</v>
      </c>
      <c r="AP9">
        <v>1</v>
      </c>
      <c r="AQ9">
        <v>0</v>
      </c>
      <c r="AR9">
        <v>0</v>
      </c>
      <c r="AS9" t="s">
        <v>3</v>
      </c>
      <c r="AT9">
        <v>1.2E-2</v>
      </c>
      <c r="AU9" t="s">
        <v>3</v>
      </c>
      <c r="AV9">
        <v>0</v>
      </c>
      <c r="AW9">
        <v>2</v>
      </c>
      <c r="AX9">
        <v>59214220</v>
      </c>
      <c r="AY9">
        <v>1</v>
      </c>
      <c r="AZ9">
        <v>0</v>
      </c>
      <c r="BA9">
        <v>11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CV9">
        <v>0</v>
      </c>
      <c r="CW9">
        <v>0</v>
      </c>
      <c r="CX9">
        <f>ROUND(Y9*Source!I40,9)</f>
        <v>4.8000000000000001E-4</v>
      </c>
      <c r="CY9">
        <f>AA9</f>
        <v>6512.79</v>
      </c>
      <c r="CZ9">
        <f>AE9</f>
        <v>6512.79</v>
      </c>
      <c r="DA9">
        <f>AI9</f>
        <v>1</v>
      </c>
      <c r="DB9">
        <f>ROUND(ROUND(AT9*CZ9,2),6)</f>
        <v>78.150000000000006</v>
      </c>
      <c r="DC9">
        <f>ROUND(ROUND(AT9*AG9,2),6)</f>
        <v>0</v>
      </c>
      <c r="DD9" t="s">
        <v>3</v>
      </c>
      <c r="DE9" t="s">
        <v>3</v>
      </c>
      <c r="DF9">
        <f t="shared" si="3"/>
        <v>3.13</v>
      </c>
      <c r="DG9">
        <f>ROUND(ROUND(AF9,2)*CX9,2)</f>
        <v>0</v>
      </c>
      <c r="DH9">
        <f>ROUND(ROUND(AG9,2)*CX9,2)</f>
        <v>0</v>
      </c>
      <c r="DI9">
        <f t="shared" si="4"/>
        <v>0</v>
      </c>
      <c r="DJ9">
        <f>DF9</f>
        <v>3.13</v>
      </c>
      <c r="DK9">
        <v>0</v>
      </c>
      <c r="DL9" t="s">
        <v>3</v>
      </c>
      <c r="DM9">
        <v>0</v>
      </c>
      <c r="DN9" t="s">
        <v>3</v>
      </c>
      <c r="DO9">
        <v>0</v>
      </c>
    </row>
    <row r="10" spans="1:119" x14ac:dyDescent="0.2">
      <c r="A10">
        <f>ROW(Source!A40)</f>
        <v>40</v>
      </c>
      <c r="B10">
        <v>59214062</v>
      </c>
      <c r="C10">
        <v>59214189</v>
      </c>
      <c r="D10">
        <v>58309357</v>
      </c>
      <c r="E10">
        <v>1</v>
      </c>
      <c r="F10">
        <v>1</v>
      </c>
      <c r="G10">
        <v>1080</v>
      </c>
      <c r="H10">
        <v>3</v>
      </c>
      <c r="I10" t="s">
        <v>173</v>
      </c>
      <c r="J10" t="s">
        <v>174</v>
      </c>
      <c r="K10" t="s">
        <v>175</v>
      </c>
      <c r="L10">
        <v>1348</v>
      </c>
      <c r="N10">
        <v>1009</v>
      </c>
      <c r="O10" t="s">
        <v>172</v>
      </c>
      <c r="P10" t="s">
        <v>172</v>
      </c>
      <c r="Q10">
        <v>1000</v>
      </c>
      <c r="W10">
        <v>0</v>
      </c>
      <c r="X10">
        <v>-1458073705</v>
      </c>
      <c r="Y10">
        <f>AT10</f>
        <v>3.5000000000000003E-2</v>
      </c>
      <c r="AA10">
        <v>6860.76</v>
      </c>
      <c r="AB10">
        <v>0</v>
      </c>
      <c r="AC10">
        <v>0</v>
      </c>
      <c r="AD10">
        <v>0</v>
      </c>
      <c r="AE10">
        <v>6860.76</v>
      </c>
      <c r="AF10">
        <v>0</v>
      </c>
      <c r="AG10">
        <v>0</v>
      </c>
      <c r="AH10">
        <v>0</v>
      </c>
      <c r="AI10">
        <v>1</v>
      </c>
      <c r="AJ10">
        <v>1</v>
      </c>
      <c r="AK10">
        <v>1</v>
      </c>
      <c r="AL10">
        <v>1</v>
      </c>
      <c r="AM10">
        <v>-2</v>
      </c>
      <c r="AN10">
        <v>0</v>
      </c>
      <c r="AO10">
        <v>1</v>
      </c>
      <c r="AP10">
        <v>1</v>
      </c>
      <c r="AQ10">
        <v>0</v>
      </c>
      <c r="AR10">
        <v>0</v>
      </c>
      <c r="AS10" t="s">
        <v>3</v>
      </c>
      <c r="AT10">
        <v>3.5000000000000003E-2</v>
      </c>
      <c r="AU10" t="s">
        <v>3</v>
      </c>
      <c r="AV10">
        <v>0</v>
      </c>
      <c r="AW10">
        <v>2</v>
      </c>
      <c r="AX10">
        <v>59214221</v>
      </c>
      <c r="AY10">
        <v>1</v>
      </c>
      <c r="AZ10">
        <v>0</v>
      </c>
      <c r="BA10">
        <v>12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CV10">
        <v>0</v>
      </c>
      <c r="CW10">
        <v>0</v>
      </c>
      <c r="CX10">
        <f>ROUND(Y10*Source!I40,9)</f>
        <v>1.4E-3</v>
      </c>
      <c r="CY10">
        <f>AA10</f>
        <v>6860.76</v>
      </c>
      <c r="CZ10">
        <f>AE10</f>
        <v>6860.76</v>
      </c>
      <c r="DA10">
        <f>AI10</f>
        <v>1</v>
      </c>
      <c r="DB10">
        <f>ROUND(ROUND(AT10*CZ10,2),6)</f>
        <v>240.13</v>
      </c>
      <c r="DC10">
        <f>ROUND(ROUND(AT10*AG10,2),6)</f>
        <v>0</v>
      </c>
      <c r="DD10" t="s">
        <v>3</v>
      </c>
      <c r="DE10" t="s">
        <v>3</v>
      </c>
      <c r="DF10">
        <f t="shared" si="3"/>
        <v>9.61</v>
      </c>
      <c r="DG10">
        <f>ROUND(ROUND(AF10,2)*CX10,2)</f>
        <v>0</v>
      </c>
      <c r="DH10">
        <f>ROUND(ROUND(AG10,2)*CX10,2)</f>
        <v>0</v>
      </c>
      <c r="DI10">
        <f t="shared" si="4"/>
        <v>0</v>
      </c>
      <c r="DJ10">
        <f>DF10</f>
        <v>9.61</v>
      </c>
      <c r="DK10">
        <v>0</v>
      </c>
      <c r="DL10" t="s">
        <v>3</v>
      </c>
      <c r="DM10">
        <v>0</v>
      </c>
      <c r="DN10" t="s">
        <v>3</v>
      </c>
      <c r="DO10">
        <v>0</v>
      </c>
    </row>
    <row r="11" spans="1:119" x14ac:dyDescent="0.2">
      <c r="A11">
        <f>ROW(Source!A41)</f>
        <v>41</v>
      </c>
      <c r="B11">
        <v>59214059</v>
      </c>
      <c r="C11">
        <v>59214189</v>
      </c>
      <c r="D11">
        <v>58266404</v>
      </c>
      <c r="E11">
        <v>1080</v>
      </c>
      <c r="F11">
        <v>1</v>
      </c>
      <c r="G11">
        <v>1080</v>
      </c>
      <c r="H11">
        <v>1</v>
      </c>
      <c r="I11" t="s">
        <v>155</v>
      </c>
      <c r="J11" t="s">
        <v>3</v>
      </c>
      <c r="K11" t="s">
        <v>156</v>
      </c>
      <c r="L11">
        <v>1191</v>
      </c>
      <c r="N11">
        <v>1013</v>
      </c>
      <c r="O11" t="s">
        <v>157</v>
      </c>
      <c r="P11" t="s">
        <v>157</v>
      </c>
      <c r="Q11">
        <v>1</v>
      </c>
      <c r="W11">
        <v>0</v>
      </c>
      <c r="X11">
        <v>476480486</v>
      </c>
      <c r="Y11">
        <f>(AT11*1.1)</f>
        <v>74.470000000000013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1</v>
      </c>
      <c r="AJ11">
        <v>1</v>
      </c>
      <c r="AK11">
        <v>1</v>
      </c>
      <c r="AL11">
        <v>1</v>
      </c>
      <c r="AM11">
        <v>5</v>
      </c>
      <c r="AN11">
        <v>0</v>
      </c>
      <c r="AO11">
        <v>1</v>
      </c>
      <c r="AP11">
        <v>1</v>
      </c>
      <c r="AQ11">
        <v>0</v>
      </c>
      <c r="AR11">
        <v>0</v>
      </c>
      <c r="AS11" t="s">
        <v>3</v>
      </c>
      <c r="AT11">
        <v>67.7</v>
      </c>
      <c r="AU11" t="s">
        <v>26</v>
      </c>
      <c r="AV11">
        <v>1</v>
      </c>
      <c r="AW11">
        <v>2</v>
      </c>
      <c r="AX11">
        <v>59214218</v>
      </c>
      <c r="AY11">
        <v>1</v>
      </c>
      <c r="AZ11">
        <v>0</v>
      </c>
      <c r="BA11">
        <v>15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CU11">
        <f>ROUND(AT11*Source!I41*AH11*AL11,2)</f>
        <v>0</v>
      </c>
      <c r="CV11">
        <f>ROUND(Y11*Source!I41,9)</f>
        <v>2.9788000000000001</v>
      </c>
      <c r="CW11">
        <v>0</v>
      </c>
      <c r="CX11">
        <f>ROUND(Y11*Source!I41,9)</f>
        <v>2.9788000000000001</v>
      </c>
      <c r="CY11">
        <f>AD11</f>
        <v>0</v>
      </c>
      <c r="CZ11">
        <f>AH11</f>
        <v>0</v>
      </c>
      <c r="DA11">
        <f>AL11</f>
        <v>1</v>
      </c>
      <c r="DB11">
        <f>ROUND((ROUND(AT11*CZ11,2)*1.1),6)</f>
        <v>0</v>
      </c>
      <c r="DC11">
        <f>ROUND((ROUND(AT11*AG11,2)*1.1),6)</f>
        <v>0</v>
      </c>
      <c r="DD11" t="s">
        <v>3</v>
      </c>
      <c r="DE11" t="s">
        <v>3</v>
      </c>
      <c r="DF11">
        <f t="shared" si="3"/>
        <v>0</v>
      </c>
      <c r="DG11">
        <f>ROUND(ROUND(AF11,2)*CX11,2)</f>
        <v>0</v>
      </c>
      <c r="DH11">
        <f>ROUND(ROUND(AG11,2)*CX11,2)</f>
        <v>0</v>
      </c>
      <c r="DI11">
        <f t="shared" si="4"/>
        <v>0</v>
      </c>
      <c r="DJ11">
        <f>DI11</f>
        <v>0</v>
      </c>
      <c r="DK11">
        <v>0</v>
      </c>
      <c r="DL11" t="s">
        <v>3</v>
      </c>
      <c r="DM11">
        <v>0</v>
      </c>
      <c r="DN11" t="s">
        <v>3</v>
      </c>
      <c r="DO11">
        <v>0</v>
      </c>
    </row>
    <row r="12" spans="1:119" x14ac:dyDescent="0.2">
      <c r="A12">
        <f>ROW(Source!A41)</f>
        <v>41</v>
      </c>
      <c r="B12">
        <v>59214059</v>
      </c>
      <c r="C12">
        <v>59214189</v>
      </c>
      <c r="D12">
        <v>58340578</v>
      </c>
      <c r="E12">
        <v>1</v>
      </c>
      <c r="F12">
        <v>1</v>
      </c>
      <c r="G12">
        <v>1080</v>
      </c>
      <c r="H12">
        <v>2</v>
      </c>
      <c r="I12" t="s">
        <v>165</v>
      </c>
      <c r="J12" t="s">
        <v>166</v>
      </c>
      <c r="K12" t="s">
        <v>167</v>
      </c>
      <c r="L12">
        <v>1368</v>
      </c>
      <c r="N12">
        <v>1011</v>
      </c>
      <c r="O12" t="s">
        <v>161</v>
      </c>
      <c r="P12" t="s">
        <v>161</v>
      </c>
      <c r="Q12">
        <v>1</v>
      </c>
      <c r="W12">
        <v>0</v>
      </c>
      <c r="X12">
        <v>-1985943078</v>
      </c>
      <c r="Y12">
        <f>(AT12*1.1)</f>
        <v>2.7170000000000005</v>
      </c>
      <c r="AA12">
        <v>0</v>
      </c>
      <c r="AB12">
        <v>1418.19</v>
      </c>
      <c r="AC12">
        <v>726.59</v>
      </c>
      <c r="AD12">
        <v>0</v>
      </c>
      <c r="AE12">
        <v>0</v>
      </c>
      <c r="AF12">
        <v>83.1</v>
      </c>
      <c r="AG12">
        <v>12.62</v>
      </c>
      <c r="AH12">
        <v>0</v>
      </c>
      <c r="AI12">
        <v>1</v>
      </c>
      <c r="AJ12">
        <v>16.3</v>
      </c>
      <c r="AK12">
        <v>54.99</v>
      </c>
      <c r="AL12">
        <v>1</v>
      </c>
      <c r="AM12">
        <v>2</v>
      </c>
      <c r="AN12">
        <v>0</v>
      </c>
      <c r="AO12">
        <v>1</v>
      </c>
      <c r="AP12">
        <v>1</v>
      </c>
      <c r="AQ12">
        <v>0</v>
      </c>
      <c r="AR12">
        <v>0</v>
      </c>
      <c r="AS12" t="s">
        <v>3</v>
      </c>
      <c r="AT12">
        <v>2.4700000000000002</v>
      </c>
      <c r="AU12" t="s">
        <v>26</v>
      </c>
      <c r="AV12">
        <v>0</v>
      </c>
      <c r="AW12">
        <v>2</v>
      </c>
      <c r="AX12">
        <v>59214219</v>
      </c>
      <c r="AY12">
        <v>1</v>
      </c>
      <c r="AZ12">
        <v>0</v>
      </c>
      <c r="BA12">
        <v>16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CV12">
        <v>0</v>
      </c>
      <c r="CW12">
        <f>ROUND(Y12*Source!I41*DO12,9)</f>
        <v>1.3715416</v>
      </c>
      <c r="CX12">
        <f>ROUND(Y12*Source!I41,9)</f>
        <v>0.10868</v>
      </c>
      <c r="CY12">
        <f>AB12</f>
        <v>1418.19</v>
      </c>
      <c r="CZ12">
        <f>AF12</f>
        <v>83.1</v>
      </c>
      <c r="DA12">
        <f>AJ12</f>
        <v>16.3</v>
      </c>
      <c r="DB12">
        <f>ROUND((ROUND(AT12*CZ12,2)*1.1),6)</f>
        <v>225.786</v>
      </c>
      <c r="DC12">
        <f>ROUND((ROUND(AT12*AG12,2)*1.1),6)</f>
        <v>34.286999999999999</v>
      </c>
      <c r="DD12" t="s">
        <v>3</v>
      </c>
      <c r="DE12" t="s">
        <v>3</v>
      </c>
      <c r="DF12">
        <f t="shared" si="3"/>
        <v>0</v>
      </c>
      <c r="DG12">
        <f>ROUND(ROUND(AF12*AJ12,2)*CX12,2)</f>
        <v>147.21</v>
      </c>
      <c r="DH12">
        <f>ROUND(ROUND(AG12*AK12,2)*CX12,2)</f>
        <v>75.42</v>
      </c>
      <c r="DI12">
        <f t="shared" si="4"/>
        <v>0</v>
      </c>
      <c r="DJ12">
        <f>DG12</f>
        <v>147.21</v>
      </c>
      <c r="DK12">
        <v>0</v>
      </c>
      <c r="DL12" t="s">
        <v>168</v>
      </c>
      <c r="DM12">
        <v>0</v>
      </c>
      <c r="DN12" t="s">
        <v>157</v>
      </c>
      <c r="DO12">
        <v>12.62</v>
      </c>
    </row>
    <row r="13" spans="1:119" x14ac:dyDescent="0.2">
      <c r="A13">
        <f>ROW(Source!A41)</f>
        <v>41</v>
      </c>
      <c r="B13">
        <v>59214059</v>
      </c>
      <c r="C13">
        <v>59214189</v>
      </c>
      <c r="D13">
        <v>58308826</v>
      </c>
      <c r="E13">
        <v>1</v>
      </c>
      <c r="F13">
        <v>1</v>
      </c>
      <c r="G13">
        <v>1080</v>
      </c>
      <c r="H13">
        <v>3</v>
      </c>
      <c r="I13" t="s">
        <v>169</v>
      </c>
      <c r="J13" t="s">
        <v>170</v>
      </c>
      <c r="K13" t="s">
        <v>171</v>
      </c>
      <c r="L13">
        <v>1348</v>
      </c>
      <c r="N13">
        <v>1009</v>
      </c>
      <c r="O13" t="s">
        <v>172</v>
      </c>
      <c r="P13" t="s">
        <v>172</v>
      </c>
      <c r="Q13">
        <v>1000</v>
      </c>
      <c r="W13">
        <v>0</v>
      </c>
      <c r="X13">
        <v>-1489740832</v>
      </c>
      <c r="Y13">
        <f>AT13</f>
        <v>1.2E-2</v>
      </c>
      <c r="AA13">
        <v>81865.77</v>
      </c>
      <c r="AB13">
        <v>0</v>
      </c>
      <c r="AC13">
        <v>0</v>
      </c>
      <c r="AD13">
        <v>0</v>
      </c>
      <c r="AE13">
        <v>6512.79</v>
      </c>
      <c r="AF13">
        <v>0</v>
      </c>
      <c r="AG13">
        <v>0</v>
      </c>
      <c r="AH13">
        <v>0</v>
      </c>
      <c r="AI13">
        <v>12.57</v>
      </c>
      <c r="AJ13">
        <v>1</v>
      </c>
      <c r="AK13">
        <v>1</v>
      </c>
      <c r="AL13">
        <v>1</v>
      </c>
      <c r="AM13">
        <v>2</v>
      </c>
      <c r="AN13">
        <v>0</v>
      </c>
      <c r="AO13">
        <v>1</v>
      </c>
      <c r="AP13">
        <v>1</v>
      </c>
      <c r="AQ13">
        <v>0</v>
      </c>
      <c r="AR13">
        <v>0</v>
      </c>
      <c r="AS13" t="s">
        <v>3</v>
      </c>
      <c r="AT13">
        <v>1.2E-2</v>
      </c>
      <c r="AU13" t="s">
        <v>3</v>
      </c>
      <c r="AV13">
        <v>0</v>
      </c>
      <c r="AW13">
        <v>2</v>
      </c>
      <c r="AX13">
        <v>59214220</v>
      </c>
      <c r="AY13">
        <v>1</v>
      </c>
      <c r="AZ13">
        <v>0</v>
      </c>
      <c r="BA13">
        <v>17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CV13">
        <v>0</v>
      </c>
      <c r="CW13">
        <v>0</v>
      </c>
      <c r="CX13">
        <f>ROUND(Y13*Source!I41,9)</f>
        <v>4.8000000000000001E-4</v>
      </c>
      <c r="CY13">
        <f>AA13</f>
        <v>81865.77</v>
      </c>
      <c r="CZ13">
        <f>AE13</f>
        <v>6512.79</v>
      </c>
      <c r="DA13">
        <f>AI13</f>
        <v>12.57</v>
      </c>
      <c r="DB13">
        <f>ROUND(ROUND(AT13*CZ13,2),6)</f>
        <v>78.150000000000006</v>
      </c>
      <c r="DC13">
        <f>ROUND(ROUND(AT13*AG13,2),6)</f>
        <v>0</v>
      </c>
      <c r="DD13" t="s">
        <v>3</v>
      </c>
      <c r="DE13" t="s">
        <v>3</v>
      </c>
      <c r="DF13">
        <f>ROUND(ROUND(AE13*AI13,2)*CX13,2)</f>
        <v>39.299999999999997</v>
      </c>
      <c r="DG13">
        <f t="shared" ref="DG13:DG20" si="5">ROUND(ROUND(AF13,2)*CX13,2)</f>
        <v>0</v>
      </c>
      <c r="DH13">
        <f t="shared" ref="DH13:DH20" si="6">ROUND(ROUND(AG13,2)*CX13,2)</f>
        <v>0</v>
      </c>
      <c r="DI13">
        <f t="shared" si="4"/>
        <v>0</v>
      </c>
      <c r="DJ13">
        <f>DF13</f>
        <v>39.299999999999997</v>
      </c>
      <c r="DK13">
        <v>0</v>
      </c>
      <c r="DL13" t="s">
        <v>3</v>
      </c>
      <c r="DM13">
        <v>0</v>
      </c>
      <c r="DN13" t="s">
        <v>3</v>
      </c>
      <c r="DO13">
        <v>0</v>
      </c>
    </row>
    <row r="14" spans="1:119" x14ac:dyDescent="0.2">
      <c r="A14">
        <f>ROW(Source!A41)</f>
        <v>41</v>
      </c>
      <c r="B14">
        <v>59214059</v>
      </c>
      <c r="C14">
        <v>59214189</v>
      </c>
      <c r="D14">
        <v>58309357</v>
      </c>
      <c r="E14">
        <v>1</v>
      </c>
      <c r="F14">
        <v>1</v>
      </c>
      <c r="G14">
        <v>1080</v>
      </c>
      <c r="H14">
        <v>3</v>
      </c>
      <c r="I14" t="s">
        <v>173</v>
      </c>
      <c r="J14" t="s">
        <v>174</v>
      </c>
      <c r="K14" t="s">
        <v>175</v>
      </c>
      <c r="L14">
        <v>1348</v>
      </c>
      <c r="N14">
        <v>1009</v>
      </c>
      <c r="O14" t="s">
        <v>172</v>
      </c>
      <c r="P14" t="s">
        <v>172</v>
      </c>
      <c r="Q14">
        <v>1000</v>
      </c>
      <c r="W14">
        <v>0</v>
      </c>
      <c r="X14">
        <v>-1458073705</v>
      </c>
      <c r="Y14">
        <f>AT14</f>
        <v>3.5000000000000003E-2</v>
      </c>
      <c r="AA14">
        <v>54748.86</v>
      </c>
      <c r="AB14">
        <v>0</v>
      </c>
      <c r="AC14">
        <v>0</v>
      </c>
      <c r="AD14">
        <v>0</v>
      </c>
      <c r="AE14">
        <v>6860.76</v>
      </c>
      <c r="AF14">
        <v>0</v>
      </c>
      <c r="AG14">
        <v>0</v>
      </c>
      <c r="AH14">
        <v>0</v>
      </c>
      <c r="AI14">
        <v>7.98</v>
      </c>
      <c r="AJ14">
        <v>1</v>
      </c>
      <c r="AK14">
        <v>1</v>
      </c>
      <c r="AL14">
        <v>1</v>
      </c>
      <c r="AM14">
        <v>2</v>
      </c>
      <c r="AN14">
        <v>0</v>
      </c>
      <c r="AO14">
        <v>1</v>
      </c>
      <c r="AP14">
        <v>1</v>
      </c>
      <c r="AQ14">
        <v>0</v>
      </c>
      <c r="AR14">
        <v>0</v>
      </c>
      <c r="AS14" t="s">
        <v>3</v>
      </c>
      <c r="AT14">
        <v>3.5000000000000003E-2</v>
      </c>
      <c r="AU14" t="s">
        <v>3</v>
      </c>
      <c r="AV14">
        <v>0</v>
      </c>
      <c r="AW14">
        <v>2</v>
      </c>
      <c r="AX14">
        <v>59214221</v>
      </c>
      <c r="AY14">
        <v>1</v>
      </c>
      <c r="AZ14">
        <v>0</v>
      </c>
      <c r="BA14">
        <v>18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CV14">
        <v>0</v>
      </c>
      <c r="CW14">
        <v>0</v>
      </c>
      <c r="CX14">
        <f>ROUND(Y14*Source!I41,9)</f>
        <v>1.4E-3</v>
      </c>
      <c r="CY14">
        <f>AA14</f>
        <v>54748.86</v>
      </c>
      <c r="CZ14">
        <f>AE14</f>
        <v>6860.76</v>
      </c>
      <c r="DA14">
        <f>AI14</f>
        <v>7.98</v>
      </c>
      <c r="DB14">
        <f>ROUND(ROUND(AT14*CZ14,2),6)</f>
        <v>240.13</v>
      </c>
      <c r="DC14">
        <f>ROUND(ROUND(AT14*AG14,2),6)</f>
        <v>0</v>
      </c>
      <c r="DD14" t="s">
        <v>3</v>
      </c>
      <c r="DE14" t="s">
        <v>3</v>
      </c>
      <c r="DF14">
        <f>ROUND(ROUND(AE14*AI14,2)*CX14,2)</f>
        <v>76.650000000000006</v>
      </c>
      <c r="DG14">
        <f t="shared" si="5"/>
        <v>0</v>
      </c>
      <c r="DH14">
        <f t="shared" si="6"/>
        <v>0</v>
      </c>
      <c r="DI14">
        <f t="shared" si="4"/>
        <v>0</v>
      </c>
      <c r="DJ14">
        <f>DF14</f>
        <v>76.650000000000006</v>
      </c>
      <c r="DK14">
        <v>0</v>
      </c>
      <c r="DL14" t="s">
        <v>3</v>
      </c>
      <c r="DM14">
        <v>0</v>
      </c>
      <c r="DN14" t="s">
        <v>3</v>
      </c>
      <c r="DO14">
        <v>0</v>
      </c>
    </row>
    <row r="15" spans="1:119" x14ac:dyDescent="0.2">
      <c r="A15">
        <f>ROW(Source!A44)</f>
        <v>44</v>
      </c>
      <c r="B15">
        <v>59214062</v>
      </c>
      <c r="C15">
        <v>59214201</v>
      </c>
      <c r="D15">
        <v>58266404</v>
      </c>
      <c r="E15">
        <v>1080</v>
      </c>
      <c r="F15">
        <v>1</v>
      </c>
      <c r="G15">
        <v>1080</v>
      </c>
      <c r="H15">
        <v>1</v>
      </c>
      <c r="I15" t="s">
        <v>155</v>
      </c>
      <c r="J15" t="s">
        <v>3</v>
      </c>
      <c r="K15" t="s">
        <v>156</v>
      </c>
      <c r="L15">
        <v>1191</v>
      </c>
      <c r="N15">
        <v>1013</v>
      </c>
      <c r="O15" t="s">
        <v>157</v>
      </c>
      <c r="P15" t="s">
        <v>157</v>
      </c>
      <c r="Q15">
        <v>1</v>
      </c>
      <c r="W15">
        <v>0</v>
      </c>
      <c r="X15">
        <v>476480486</v>
      </c>
      <c r="Y15">
        <f>(AT15*1.1)</f>
        <v>45.650000000000006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1</v>
      </c>
      <c r="AJ15">
        <v>1</v>
      </c>
      <c r="AK15">
        <v>1</v>
      </c>
      <c r="AL15">
        <v>1</v>
      </c>
      <c r="AM15">
        <v>-2</v>
      </c>
      <c r="AN15">
        <v>0</v>
      </c>
      <c r="AO15">
        <v>1</v>
      </c>
      <c r="AP15">
        <v>1</v>
      </c>
      <c r="AQ15">
        <v>0</v>
      </c>
      <c r="AR15">
        <v>0</v>
      </c>
      <c r="AS15" t="s">
        <v>3</v>
      </c>
      <c r="AT15">
        <v>41.5</v>
      </c>
      <c r="AU15" t="s">
        <v>26</v>
      </c>
      <c r="AV15">
        <v>1</v>
      </c>
      <c r="AW15">
        <v>2</v>
      </c>
      <c r="AX15">
        <v>59214224</v>
      </c>
      <c r="AY15">
        <v>1</v>
      </c>
      <c r="AZ15">
        <v>0</v>
      </c>
      <c r="BA15">
        <v>21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CU15">
        <f>ROUND(AT15*Source!I44*AH15*AL15,2)</f>
        <v>0</v>
      </c>
      <c r="CV15">
        <f>ROUND(Y15*Source!I44,9)</f>
        <v>0.91300000000000003</v>
      </c>
      <c r="CW15">
        <v>0</v>
      </c>
      <c r="CX15">
        <f>ROUND(Y15*Source!I44,9)</f>
        <v>0.91300000000000003</v>
      </c>
      <c r="CY15">
        <f>AD15</f>
        <v>0</v>
      </c>
      <c r="CZ15">
        <f>AH15</f>
        <v>0</v>
      </c>
      <c r="DA15">
        <f>AL15</f>
        <v>1</v>
      </c>
      <c r="DB15">
        <f>ROUND((ROUND(AT15*CZ15,2)*1.1),6)</f>
        <v>0</v>
      </c>
      <c r="DC15">
        <f>ROUND((ROUND(AT15*AG15,2)*1.1),6)</f>
        <v>0</v>
      </c>
      <c r="DD15" t="s">
        <v>3</v>
      </c>
      <c r="DE15" t="s">
        <v>3</v>
      </c>
      <c r="DF15">
        <f t="shared" ref="DF15:DF22" si="7">ROUND(ROUND(AE15,2)*CX15,2)</f>
        <v>0</v>
      </c>
      <c r="DG15">
        <f t="shared" si="5"/>
        <v>0</v>
      </c>
      <c r="DH15">
        <f t="shared" si="6"/>
        <v>0</v>
      </c>
      <c r="DI15">
        <f t="shared" si="4"/>
        <v>0</v>
      </c>
      <c r="DJ15">
        <f>DI15</f>
        <v>0</v>
      </c>
      <c r="DK15">
        <v>0</v>
      </c>
      <c r="DL15" t="s">
        <v>3</v>
      </c>
      <c r="DM15">
        <v>0</v>
      </c>
      <c r="DN15" t="s">
        <v>3</v>
      </c>
      <c r="DO15">
        <v>0</v>
      </c>
    </row>
    <row r="16" spans="1:119" x14ac:dyDescent="0.2">
      <c r="A16">
        <f>ROW(Source!A44)</f>
        <v>44</v>
      </c>
      <c r="B16">
        <v>59214062</v>
      </c>
      <c r="C16">
        <v>59214201</v>
      </c>
      <c r="D16">
        <v>58340578</v>
      </c>
      <c r="E16">
        <v>1</v>
      </c>
      <c r="F16">
        <v>1</v>
      </c>
      <c r="G16">
        <v>1080</v>
      </c>
      <c r="H16">
        <v>2</v>
      </c>
      <c r="I16" t="s">
        <v>165</v>
      </c>
      <c r="J16" t="s">
        <v>166</v>
      </c>
      <c r="K16" t="s">
        <v>167</v>
      </c>
      <c r="L16">
        <v>1368</v>
      </c>
      <c r="N16">
        <v>1011</v>
      </c>
      <c r="O16" t="s">
        <v>161</v>
      </c>
      <c r="P16" t="s">
        <v>161</v>
      </c>
      <c r="Q16">
        <v>1</v>
      </c>
      <c r="W16">
        <v>0</v>
      </c>
      <c r="X16">
        <v>-1985943078</v>
      </c>
      <c r="Y16">
        <f>(AT16*1.1)</f>
        <v>0.29700000000000004</v>
      </c>
      <c r="AA16">
        <v>0</v>
      </c>
      <c r="AB16">
        <v>87.01</v>
      </c>
      <c r="AC16">
        <v>13.21</v>
      </c>
      <c r="AD16">
        <v>0</v>
      </c>
      <c r="AE16">
        <v>0</v>
      </c>
      <c r="AF16">
        <v>83.1</v>
      </c>
      <c r="AG16">
        <v>12.62</v>
      </c>
      <c r="AH16">
        <v>0</v>
      </c>
      <c r="AI16">
        <v>1</v>
      </c>
      <c r="AJ16">
        <v>1</v>
      </c>
      <c r="AK16">
        <v>1</v>
      </c>
      <c r="AL16">
        <v>1</v>
      </c>
      <c r="AM16">
        <v>-2</v>
      </c>
      <c r="AN16">
        <v>0</v>
      </c>
      <c r="AO16">
        <v>1</v>
      </c>
      <c r="AP16">
        <v>1</v>
      </c>
      <c r="AQ16">
        <v>0</v>
      </c>
      <c r="AR16">
        <v>0</v>
      </c>
      <c r="AS16" t="s">
        <v>3</v>
      </c>
      <c r="AT16">
        <v>0.27</v>
      </c>
      <c r="AU16" t="s">
        <v>26</v>
      </c>
      <c r="AV16">
        <v>0</v>
      </c>
      <c r="AW16">
        <v>2</v>
      </c>
      <c r="AX16">
        <v>59214225</v>
      </c>
      <c r="AY16">
        <v>1</v>
      </c>
      <c r="AZ16">
        <v>0</v>
      </c>
      <c r="BA16">
        <v>22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CV16">
        <v>0</v>
      </c>
      <c r="CW16">
        <f>ROUND(Y16*Source!I44*DO16,9)</f>
        <v>7.4962799999999996E-2</v>
      </c>
      <c r="CX16">
        <f>ROUND(Y16*Source!I44,9)</f>
        <v>5.94E-3</v>
      </c>
      <c r="CY16">
        <f>AB16</f>
        <v>87.01</v>
      </c>
      <c r="CZ16">
        <f>AF16</f>
        <v>83.1</v>
      </c>
      <c r="DA16">
        <f>AJ16</f>
        <v>1</v>
      </c>
      <c r="DB16">
        <f>ROUND((ROUND(AT16*CZ16,2)*1.1),6)</f>
        <v>24.684000000000001</v>
      </c>
      <c r="DC16">
        <f>ROUND((ROUND(AT16*AG16,2)*1.1),6)</f>
        <v>3.7509999999999999</v>
      </c>
      <c r="DD16" t="s">
        <v>3</v>
      </c>
      <c r="DE16" t="s">
        <v>3</v>
      </c>
      <c r="DF16">
        <f t="shared" si="7"/>
        <v>0</v>
      </c>
      <c r="DG16">
        <f t="shared" si="5"/>
        <v>0.49</v>
      </c>
      <c r="DH16">
        <f t="shared" si="6"/>
        <v>7.0000000000000007E-2</v>
      </c>
      <c r="DI16">
        <f t="shared" si="4"/>
        <v>0</v>
      </c>
      <c r="DJ16">
        <f>DG16</f>
        <v>0.49</v>
      </c>
      <c r="DK16">
        <v>0</v>
      </c>
      <c r="DL16" t="s">
        <v>168</v>
      </c>
      <c r="DM16">
        <v>0</v>
      </c>
      <c r="DN16" t="s">
        <v>157</v>
      </c>
      <c r="DO16">
        <v>12.62</v>
      </c>
    </row>
    <row r="17" spans="1:119" x14ac:dyDescent="0.2">
      <c r="A17">
        <f>ROW(Source!A44)</f>
        <v>44</v>
      </c>
      <c r="B17">
        <v>59214062</v>
      </c>
      <c r="C17">
        <v>59214201</v>
      </c>
      <c r="D17">
        <v>58339814</v>
      </c>
      <c r="E17">
        <v>1</v>
      </c>
      <c r="F17">
        <v>1</v>
      </c>
      <c r="G17">
        <v>1080</v>
      </c>
      <c r="H17">
        <v>2</v>
      </c>
      <c r="I17" t="s">
        <v>176</v>
      </c>
      <c r="J17" t="s">
        <v>177</v>
      </c>
      <c r="K17" t="s">
        <v>178</v>
      </c>
      <c r="L17">
        <v>1368</v>
      </c>
      <c r="N17">
        <v>1011</v>
      </c>
      <c r="O17" t="s">
        <v>161</v>
      </c>
      <c r="P17" t="s">
        <v>161</v>
      </c>
      <c r="Q17">
        <v>1</v>
      </c>
      <c r="W17">
        <v>0</v>
      </c>
      <c r="X17">
        <v>1087580389</v>
      </c>
      <c r="Y17">
        <f>(AT17*1.1)</f>
        <v>0.22000000000000003</v>
      </c>
      <c r="AA17">
        <v>0</v>
      </c>
      <c r="AB17">
        <v>187.59</v>
      </c>
      <c r="AC17">
        <v>17.73</v>
      </c>
      <c r="AD17">
        <v>0</v>
      </c>
      <c r="AE17">
        <v>0</v>
      </c>
      <c r="AF17">
        <v>179.17</v>
      </c>
      <c r="AG17">
        <v>16.93</v>
      </c>
      <c r="AH17">
        <v>0</v>
      </c>
      <c r="AI17">
        <v>1</v>
      </c>
      <c r="AJ17">
        <v>1</v>
      </c>
      <c r="AK17">
        <v>1</v>
      </c>
      <c r="AL17">
        <v>1</v>
      </c>
      <c r="AM17">
        <v>-2</v>
      </c>
      <c r="AN17">
        <v>0</v>
      </c>
      <c r="AO17">
        <v>1</v>
      </c>
      <c r="AP17">
        <v>1</v>
      </c>
      <c r="AQ17">
        <v>0</v>
      </c>
      <c r="AR17">
        <v>0</v>
      </c>
      <c r="AS17" t="s">
        <v>3</v>
      </c>
      <c r="AT17">
        <v>0.2</v>
      </c>
      <c r="AU17" t="s">
        <v>26</v>
      </c>
      <c r="AV17">
        <v>0</v>
      </c>
      <c r="AW17">
        <v>2</v>
      </c>
      <c r="AX17">
        <v>59214226</v>
      </c>
      <c r="AY17">
        <v>1</v>
      </c>
      <c r="AZ17">
        <v>0</v>
      </c>
      <c r="BA17">
        <v>23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CV17">
        <v>0</v>
      </c>
      <c r="CW17">
        <f>ROUND(Y17*Source!I44*DO17,9)</f>
        <v>7.4492000000000003E-2</v>
      </c>
      <c r="CX17">
        <f>ROUND(Y17*Source!I44,9)</f>
        <v>4.4000000000000003E-3</v>
      </c>
      <c r="CY17">
        <f>AB17</f>
        <v>187.59</v>
      </c>
      <c r="CZ17">
        <f>AF17</f>
        <v>179.17</v>
      </c>
      <c r="DA17">
        <f>AJ17</f>
        <v>1</v>
      </c>
      <c r="DB17">
        <f>ROUND((ROUND(AT17*CZ17,2)*1.1),6)</f>
        <v>39.412999999999997</v>
      </c>
      <c r="DC17">
        <f>ROUND((ROUND(AT17*AG17,2)*1.1),6)</f>
        <v>3.7290000000000001</v>
      </c>
      <c r="DD17" t="s">
        <v>3</v>
      </c>
      <c r="DE17" t="s">
        <v>3</v>
      </c>
      <c r="DF17">
        <f t="shared" si="7"/>
        <v>0</v>
      </c>
      <c r="DG17">
        <f t="shared" si="5"/>
        <v>0.79</v>
      </c>
      <c r="DH17">
        <f t="shared" si="6"/>
        <v>7.0000000000000007E-2</v>
      </c>
      <c r="DI17">
        <f t="shared" si="4"/>
        <v>0</v>
      </c>
      <c r="DJ17">
        <f>DG17</f>
        <v>0.79</v>
      </c>
      <c r="DK17">
        <v>0</v>
      </c>
      <c r="DL17" t="s">
        <v>168</v>
      </c>
      <c r="DM17">
        <v>0</v>
      </c>
      <c r="DN17" t="s">
        <v>157</v>
      </c>
      <c r="DO17">
        <v>16.93</v>
      </c>
    </row>
    <row r="18" spans="1:119" x14ac:dyDescent="0.2">
      <c r="A18">
        <f>ROW(Source!A44)</f>
        <v>44</v>
      </c>
      <c r="B18">
        <v>59214062</v>
      </c>
      <c r="C18">
        <v>59214201</v>
      </c>
      <c r="D18">
        <v>0</v>
      </c>
      <c r="E18">
        <v>1080</v>
      </c>
      <c r="F18">
        <v>1</v>
      </c>
      <c r="G18">
        <v>1080</v>
      </c>
      <c r="H18">
        <v>3</v>
      </c>
      <c r="I18" t="s">
        <v>74</v>
      </c>
      <c r="J18" t="s">
        <v>3</v>
      </c>
      <c r="K18" t="s">
        <v>75</v>
      </c>
      <c r="L18">
        <v>2698</v>
      </c>
      <c r="N18">
        <v>1013</v>
      </c>
      <c r="O18" t="s">
        <v>76</v>
      </c>
      <c r="P18" t="s">
        <v>76</v>
      </c>
      <c r="Q18">
        <v>1</v>
      </c>
      <c r="W18">
        <v>0</v>
      </c>
      <c r="X18">
        <v>1742101416</v>
      </c>
      <c r="Y18">
        <f>AT18</f>
        <v>1</v>
      </c>
      <c r="AA18">
        <v>3178.13</v>
      </c>
      <c r="AB18">
        <v>0</v>
      </c>
      <c r="AC18">
        <v>0</v>
      </c>
      <c r="AD18">
        <v>0</v>
      </c>
      <c r="AE18">
        <v>3178.13</v>
      </c>
      <c r="AF18">
        <v>0</v>
      </c>
      <c r="AG18">
        <v>0</v>
      </c>
      <c r="AH18">
        <v>0</v>
      </c>
      <c r="AI18">
        <v>1</v>
      </c>
      <c r="AJ18">
        <v>1</v>
      </c>
      <c r="AK18">
        <v>1</v>
      </c>
      <c r="AL18">
        <v>1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 t="s">
        <v>3</v>
      </c>
      <c r="AT18">
        <v>1</v>
      </c>
      <c r="AU18" t="s">
        <v>3</v>
      </c>
      <c r="AV18">
        <v>0</v>
      </c>
      <c r="AW18">
        <v>1</v>
      </c>
      <c r="AX18">
        <v>-1</v>
      </c>
      <c r="AY18">
        <v>0</v>
      </c>
      <c r="AZ18">
        <v>0</v>
      </c>
      <c r="BA18" t="s">
        <v>3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CV18">
        <v>0</v>
      </c>
      <c r="CW18">
        <v>0</v>
      </c>
      <c r="CX18">
        <f>ROUND(Y18*Source!I44,9)</f>
        <v>0.02</v>
      </c>
      <c r="CY18">
        <f>AA18</f>
        <v>3178.13</v>
      </c>
      <c r="CZ18">
        <f>AE18</f>
        <v>3178.13</v>
      </c>
      <c r="DA18">
        <f>AI18</f>
        <v>1</v>
      </c>
      <c r="DB18">
        <f>ROUND(ROUND(AT18*CZ18,2),6)</f>
        <v>3178.13</v>
      </c>
      <c r="DC18">
        <f>ROUND(ROUND(AT18*AG18,2),6)</f>
        <v>0</v>
      </c>
      <c r="DD18" t="s">
        <v>3</v>
      </c>
      <c r="DE18" t="s">
        <v>3</v>
      </c>
      <c r="DF18">
        <f t="shared" si="7"/>
        <v>63.56</v>
      </c>
      <c r="DG18">
        <f t="shared" si="5"/>
        <v>0</v>
      </c>
      <c r="DH18">
        <f t="shared" si="6"/>
        <v>0</v>
      </c>
      <c r="DI18">
        <f t="shared" si="4"/>
        <v>0</v>
      </c>
      <c r="DJ18">
        <f>DF18</f>
        <v>63.56</v>
      </c>
      <c r="DK18">
        <v>0</v>
      </c>
      <c r="DL18" t="s">
        <v>3</v>
      </c>
      <c r="DM18">
        <v>0</v>
      </c>
      <c r="DN18" t="s">
        <v>3</v>
      </c>
      <c r="DO18">
        <v>0</v>
      </c>
    </row>
    <row r="19" spans="1:119" x14ac:dyDescent="0.2">
      <c r="A19">
        <f>ROW(Source!A44)</f>
        <v>44</v>
      </c>
      <c r="B19">
        <v>59214062</v>
      </c>
      <c r="C19">
        <v>59214201</v>
      </c>
      <c r="D19">
        <v>0</v>
      </c>
      <c r="E19">
        <v>1080</v>
      </c>
      <c r="F19">
        <v>1</v>
      </c>
      <c r="G19">
        <v>1080</v>
      </c>
      <c r="H19">
        <v>3</v>
      </c>
      <c r="I19" t="s">
        <v>80</v>
      </c>
      <c r="J19" t="s">
        <v>3</v>
      </c>
      <c r="K19" t="s">
        <v>81</v>
      </c>
      <c r="L19">
        <v>1354</v>
      </c>
      <c r="N19">
        <v>1010</v>
      </c>
      <c r="O19" t="s">
        <v>34</v>
      </c>
      <c r="P19" t="s">
        <v>34</v>
      </c>
      <c r="Q19">
        <v>1</v>
      </c>
      <c r="W19">
        <v>0</v>
      </c>
      <c r="X19">
        <v>-1584551560</v>
      </c>
      <c r="Y19">
        <f>AT19</f>
        <v>1</v>
      </c>
      <c r="AA19">
        <v>9959.48</v>
      </c>
      <c r="AB19">
        <v>0</v>
      </c>
      <c r="AC19">
        <v>0</v>
      </c>
      <c r="AD19">
        <v>0</v>
      </c>
      <c r="AE19">
        <v>9959.4800000000014</v>
      </c>
      <c r="AF19">
        <v>0</v>
      </c>
      <c r="AG19">
        <v>0</v>
      </c>
      <c r="AH19">
        <v>0</v>
      </c>
      <c r="AI19">
        <v>1</v>
      </c>
      <c r="AJ19">
        <v>1</v>
      </c>
      <c r="AK19">
        <v>1</v>
      </c>
      <c r="AL19">
        <v>1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 t="s">
        <v>3</v>
      </c>
      <c r="AT19">
        <v>1</v>
      </c>
      <c r="AU19" t="s">
        <v>3</v>
      </c>
      <c r="AV19">
        <v>0</v>
      </c>
      <c r="AW19">
        <v>1</v>
      </c>
      <c r="AX19">
        <v>-1</v>
      </c>
      <c r="AY19">
        <v>0</v>
      </c>
      <c r="AZ19">
        <v>0</v>
      </c>
      <c r="BA19" t="s">
        <v>3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CV19">
        <v>0</v>
      </c>
      <c r="CW19">
        <v>0</v>
      </c>
      <c r="CX19">
        <f>ROUND(Y19*Source!I44,9)</f>
        <v>0.02</v>
      </c>
      <c r="CY19">
        <f>AA19</f>
        <v>9959.48</v>
      </c>
      <c r="CZ19">
        <f>AE19</f>
        <v>9959.4800000000014</v>
      </c>
      <c r="DA19">
        <f>AI19</f>
        <v>1</v>
      </c>
      <c r="DB19">
        <f>ROUND(ROUND(AT19*CZ19,2),6)</f>
        <v>9959.48</v>
      </c>
      <c r="DC19">
        <f>ROUND(ROUND(AT19*AG19,2),6)</f>
        <v>0</v>
      </c>
      <c r="DD19" t="s">
        <v>3</v>
      </c>
      <c r="DE19" t="s">
        <v>3</v>
      </c>
      <c r="DF19">
        <f t="shared" si="7"/>
        <v>199.19</v>
      </c>
      <c r="DG19">
        <f t="shared" si="5"/>
        <v>0</v>
      </c>
      <c r="DH19">
        <f t="shared" si="6"/>
        <v>0</v>
      </c>
      <c r="DI19">
        <f t="shared" si="4"/>
        <v>0</v>
      </c>
      <c r="DJ19">
        <f>DF19</f>
        <v>199.19</v>
      </c>
      <c r="DK19">
        <v>0</v>
      </c>
      <c r="DL19" t="s">
        <v>3</v>
      </c>
      <c r="DM19">
        <v>0</v>
      </c>
      <c r="DN19" t="s">
        <v>3</v>
      </c>
      <c r="DO19">
        <v>0</v>
      </c>
    </row>
    <row r="20" spans="1:119" x14ac:dyDescent="0.2">
      <c r="A20">
        <f>ROW(Source!A45)</f>
        <v>45</v>
      </c>
      <c r="B20">
        <v>59214059</v>
      </c>
      <c r="C20">
        <v>59214201</v>
      </c>
      <c r="D20">
        <v>58266404</v>
      </c>
      <c r="E20">
        <v>1080</v>
      </c>
      <c r="F20">
        <v>1</v>
      </c>
      <c r="G20">
        <v>1080</v>
      </c>
      <c r="H20">
        <v>1</v>
      </c>
      <c r="I20" t="s">
        <v>155</v>
      </c>
      <c r="J20" t="s">
        <v>3</v>
      </c>
      <c r="K20" t="s">
        <v>156</v>
      </c>
      <c r="L20">
        <v>1191</v>
      </c>
      <c r="N20">
        <v>1013</v>
      </c>
      <c r="O20" t="s">
        <v>157</v>
      </c>
      <c r="P20" t="s">
        <v>157</v>
      </c>
      <c r="Q20">
        <v>1</v>
      </c>
      <c r="W20">
        <v>0</v>
      </c>
      <c r="X20">
        <v>476480486</v>
      </c>
      <c r="Y20">
        <f>(AT20*1.1)</f>
        <v>45.650000000000006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1</v>
      </c>
      <c r="AJ20">
        <v>1</v>
      </c>
      <c r="AK20">
        <v>1</v>
      </c>
      <c r="AL20">
        <v>1</v>
      </c>
      <c r="AM20">
        <v>5</v>
      </c>
      <c r="AN20">
        <v>0</v>
      </c>
      <c r="AO20">
        <v>1</v>
      </c>
      <c r="AP20">
        <v>1</v>
      </c>
      <c r="AQ20">
        <v>0</v>
      </c>
      <c r="AR20">
        <v>0</v>
      </c>
      <c r="AS20" t="s">
        <v>3</v>
      </c>
      <c r="AT20">
        <v>41.5</v>
      </c>
      <c r="AU20" t="s">
        <v>26</v>
      </c>
      <c r="AV20">
        <v>1</v>
      </c>
      <c r="AW20">
        <v>2</v>
      </c>
      <c r="AX20">
        <v>59214224</v>
      </c>
      <c r="AY20">
        <v>1</v>
      </c>
      <c r="AZ20">
        <v>0</v>
      </c>
      <c r="BA20">
        <v>26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CU20">
        <f>ROUND(AT20*Source!I45*AH20*AL20,2)</f>
        <v>0</v>
      </c>
      <c r="CV20">
        <f>ROUND(Y20*Source!I45,9)</f>
        <v>0.91300000000000003</v>
      </c>
      <c r="CW20">
        <v>0</v>
      </c>
      <c r="CX20">
        <f>ROUND(Y20*Source!I45,9)</f>
        <v>0.91300000000000003</v>
      </c>
      <c r="CY20">
        <f>AD20</f>
        <v>0</v>
      </c>
      <c r="CZ20">
        <f>AH20</f>
        <v>0</v>
      </c>
      <c r="DA20">
        <f>AL20</f>
        <v>1</v>
      </c>
      <c r="DB20">
        <f>ROUND((ROUND(AT20*CZ20,2)*1.1),6)</f>
        <v>0</v>
      </c>
      <c r="DC20">
        <f>ROUND((ROUND(AT20*AG20,2)*1.1),6)</f>
        <v>0</v>
      </c>
      <c r="DD20" t="s">
        <v>3</v>
      </c>
      <c r="DE20" t="s">
        <v>3</v>
      </c>
      <c r="DF20">
        <f t="shared" si="7"/>
        <v>0</v>
      </c>
      <c r="DG20">
        <f t="shared" si="5"/>
        <v>0</v>
      </c>
      <c r="DH20">
        <f t="shared" si="6"/>
        <v>0</v>
      </c>
      <c r="DI20">
        <f t="shared" si="4"/>
        <v>0</v>
      </c>
      <c r="DJ20">
        <f>DI20</f>
        <v>0</v>
      </c>
      <c r="DK20">
        <v>0</v>
      </c>
      <c r="DL20" t="s">
        <v>3</v>
      </c>
      <c r="DM20">
        <v>0</v>
      </c>
      <c r="DN20" t="s">
        <v>3</v>
      </c>
      <c r="DO20">
        <v>0</v>
      </c>
    </row>
    <row r="21" spans="1:119" x14ac:dyDescent="0.2">
      <c r="A21">
        <f>ROW(Source!A45)</f>
        <v>45</v>
      </c>
      <c r="B21">
        <v>59214059</v>
      </c>
      <c r="C21">
        <v>59214201</v>
      </c>
      <c r="D21">
        <v>58340578</v>
      </c>
      <c r="E21">
        <v>1</v>
      </c>
      <c r="F21">
        <v>1</v>
      </c>
      <c r="G21">
        <v>1080</v>
      </c>
      <c r="H21">
        <v>2</v>
      </c>
      <c r="I21" t="s">
        <v>165</v>
      </c>
      <c r="J21" t="s">
        <v>166</v>
      </c>
      <c r="K21" t="s">
        <v>167</v>
      </c>
      <c r="L21">
        <v>1368</v>
      </c>
      <c r="N21">
        <v>1011</v>
      </c>
      <c r="O21" t="s">
        <v>161</v>
      </c>
      <c r="P21" t="s">
        <v>161</v>
      </c>
      <c r="Q21">
        <v>1</v>
      </c>
      <c r="W21">
        <v>0</v>
      </c>
      <c r="X21">
        <v>-1985943078</v>
      </c>
      <c r="Y21">
        <f>(AT21*1.1)</f>
        <v>0.29700000000000004</v>
      </c>
      <c r="AA21">
        <v>0</v>
      </c>
      <c r="AB21">
        <v>1418.19</v>
      </c>
      <c r="AC21">
        <v>726.59</v>
      </c>
      <c r="AD21">
        <v>0</v>
      </c>
      <c r="AE21">
        <v>0</v>
      </c>
      <c r="AF21">
        <v>83.1</v>
      </c>
      <c r="AG21">
        <v>12.62</v>
      </c>
      <c r="AH21">
        <v>0</v>
      </c>
      <c r="AI21">
        <v>1</v>
      </c>
      <c r="AJ21">
        <v>16.3</v>
      </c>
      <c r="AK21">
        <v>54.99</v>
      </c>
      <c r="AL21">
        <v>1</v>
      </c>
      <c r="AM21">
        <v>2</v>
      </c>
      <c r="AN21">
        <v>0</v>
      </c>
      <c r="AO21">
        <v>1</v>
      </c>
      <c r="AP21">
        <v>1</v>
      </c>
      <c r="AQ21">
        <v>0</v>
      </c>
      <c r="AR21">
        <v>0</v>
      </c>
      <c r="AS21" t="s">
        <v>3</v>
      </c>
      <c r="AT21">
        <v>0.27</v>
      </c>
      <c r="AU21" t="s">
        <v>26</v>
      </c>
      <c r="AV21">
        <v>0</v>
      </c>
      <c r="AW21">
        <v>2</v>
      </c>
      <c r="AX21">
        <v>59214225</v>
      </c>
      <c r="AY21">
        <v>1</v>
      </c>
      <c r="AZ21">
        <v>0</v>
      </c>
      <c r="BA21">
        <v>27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CV21">
        <v>0</v>
      </c>
      <c r="CW21">
        <f>ROUND(Y21*Source!I45*DO21,9)</f>
        <v>7.4962799999999996E-2</v>
      </c>
      <c r="CX21">
        <f>ROUND(Y21*Source!I45,9)</f>
        <v>5.94E-3</v>
      </c>
      <c r="CY21">
        <f>AB21</f>
        <v>1418.19</v>
      </c>
      <c r="CZ21">
        <f>AF21</f>
        <v>83.1</v>
      </c>
      <c r="DA21">
        <f>AJ21</f>
        <v>16.3</v>
      </c>
      <c r="DB21">
        <f>ROUND((ROUND(AT21*CZ21,2)*1.1),6)</f>
        <v>24.684000000000001</v>
      </c>
      <c r="DC21">
        <f>ROUND((ROUND(AT21*AG21,2)*1.1),6)</f>
        <v>3.7509999999999999</v>
      </c>
      <c r="DD21" t="s">
        <v>3</v>
      </c>
      <c r="DE21" t="s">
        <v>3</v>
      </c>
      <c r="DF21">
        <f t="shared" si="7"/>
        <v>0</v>
      </c>
      <c r="DG21">
        <f>ROUND(ROUND(AF21*AJ21,2)*CX21,2)</f>
        <v>8.0500000000000007</v>
      </c>
      <c r="DH21">
        <f>ROUND(ROUND(AG21*AK21,2)*CX21,2)</f>
        <v>4.12</v>
      </c>
      <c r="DI21">
        <f t="shared" si="4"/>
        <v>0</v>
      </c>
      <c r="DJ21">
        <f>DG21</f>
        <v>8.0500000000000007</v>
      </c>
      <c r="DK21">
        <v>0</v>
      </c>
      <c r="DL21" t="s">
        <v>168</v>
      </c>
      <c r="DM21">
        <v>0</v>
      </c>
      <c r="DN21" t="s">
        <v>157</v>
      </c>
      <c r="DO21">
        <v>12.62</v>
      </c>
    </row>
    <row r="22" spans="1:119" x14ac:dyDescent="0.2">
      <c r="A22">
        <f>ROW(Source!A45)</f>
        <v>45</v>
      </c>
      <c r="B22">
        <v>59214059</v>
      </c>
      <c r="C22">
        <v>59214201</v>
      </c>
      <c r="D22">
        <v>58339814</v>
      </c>
      <c r="E22">
        <v>1</v>
      </c>
      <c r="F22">
        <v>1</v>
      </c>
      <c r="G22">
        <v>1080</v>
      </c>
      <c r="H22">
        <v>2</v>
      </c>
      <c r="I22" t="s">
        <v>176</v>
      </c>
      <c r="J22" t="s">
        <v>177</v>
      </c>
      <c r="K22" t="s">
        <v>178</v>
      </c>
      <c r="L22">
        <v>1368</v>
      </c>
      <c r="N22">
        <v>1011</v>
      </c>
      <c r="O22" t="s">
        <v>161</v>
      </c>
      <c r="P22" t="s">
        <v>161</v>
      </c>
      <c r="Q22">
        <v>1</v>
      </c>
      <c r="W22">
        <v>0</v>
      </c>
      <c r="X22">
        <v>1087580389</v>
      </c>
      <c r="Y22">
        <f>(AT22*1.1)</f>
        <v>0.22000000000000003</v>
      </c>
      <c r="AA22">
        <v>0</v>
      </c>
      <c r="AB22">
        <v>2579.38</v>
      </c>
      <c r="AC22">
        <v>974.74</v>
      </c>
      <c r="AD22">
        <v>0</v>
      </c>
      <c r="AE22">
        <v>0</v>
      </c>
      <c r="AF22">
        <v>179.17</v>
      </c>
      <c r="AG22">
        <v>16.93</v>
      </c>
      <c r="AH22">
        <v>0</v>
      </c>
      <c r="AI22">
        <v>1</v>
      </c>
      <c r="AJ22">
        <v>13.75</v>
      </c>
      <c r="AK22">
        <v>54.99</v>
      </c>
      <c r="AL22">
        <v>1</v>
      </c>
      <c r="AM22">
        <v>2</v>
      </c>
      <c r="AN22">
        <v>0</v>
      </c>
      <c r="AO22">
        <v>1</v>
      </c>
      <c r="AP22">
        <v>1</v>
      </c>
      <c r="AQ22">
        <v>0</v>
      </c>
      <c r="AR22">
        <v>0</v>
      </c>
      <c r="AS22" t="s">
        <v>3</v>
      </c>
      <c r="AT22">
        <v>0.2</v>
      </c>
      <c r="AU22" t="s">
        <v>26</v>
      </c>
      <c r="AV22">
        <v>0</v>
      </c>
      <c r="AW22">
        <v>2</v>
      </c>
      <c r="AX22">
        <v>59214226</v>
      </c>
      <c r="AY22">
        <v>1</v>
      </c>
      <c r="AZ22">
        <v>0</v>
      </c>
      <c r="BA22">
        <v>28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CV22">
        <v>0</v>
      </c>
      <c r="CW22">
        <f>ROUND(Y22*Source!I45*DO22,9)</f>
        <v>7.4492000000000003E-2</v>
      </c>
      <c r="CX22">
        <f>ROUND(Y22*Source!I45,9)</f>
        <v>4.4000000000000003E-3</v>
      </c>
      <c r="CY22">
        <f>AB22</f>
        <v>2579.38</v>
      </c>
      <c r="CZ22">
        <f>AF22</f>
        <v>179.17</v>
      </c>
      <c r="DA22">
        <f>AJ22</f>
        <v>13.75</v>
      </c>
      <c r="DB22">
        <f>ROUND((ROUND(AT22*CZ22,2)*1.1),6)</f>
        <v>39.412999999999997</v>
      </c>
      <c r="DC22">
        <f>ROUND((ROUND(AT22*AG22,2)*1.1),6)</f>
        <v>3.7290000000000001</v>
      </c>
      <c r="DD22" t="s">
        <v>3</v>
      </c>
      <c r="DE22" t="s">
        <v>3</v>
      </c>
      <c r="DF22">
        <f t="shared" si="7"/>
        <v>0</v>
      </c>
      <c r="DG22">
        <f>ROUND(ROUND(AF22*AJ22,2)*CX22,2)</f>
        <v>10.84</v>
      </c>
      <c r="DH22">
        <f>ROUND(ROUND(AG22*AK22,2)*CX22,2)</f>
        <v>4.0999999999999996</v>
      </c>
      <c r="DI22">
        <f t="shared" si="4"/>
        <v>0</v>
      </c>
      <c r="DJ22">
        <f>DG22</f>
        <v>10.84</v>
      </c>
      <c r="DK22">
        <v>0</v>
      </c>
      <c r="DL22" t="s">
        <v>168</v>
      </c>
      <c r="DM22">
        <v>0</v>
      </c>
      <c r="DN22" t="s">
        <v>157</v>
      </c>
      <c r="DO22">
        <v>16.93</v>
      </c>
    </row>
    <row r="23" spans="1:119" x14ac:dyDescent="0.2">
      <c r="A23">
        <f>ROW(Source!A45)</f>
        <v>45</v>
      </c>
      <c r="B23">
        <v>59214059</v>
      </c>
      <c r="C23">
        <v>59214201</v>
      </c>
      <c r="D23">
        <v>0</v>
      </c>
      <c r="E23">
        <v>1080</v>
      </c>
      <c r="F23">
        <v>1</v>
      </c>
      <c r="G23">
        <v>1080</v>
      </c>
      <c r="H23">
        <v>3</v>
      </c>
      <c r="I23" t="s">
        <v>74</v>
      </c>
      <c r="J23" t="s">
        <v>3</v>
      </c>
      <c r="K23" t="s">
        <v>75</v>
      </c>
      <c r="L23">
        <v>2698</v>
      </c>
      <c r="N23">
        <v>1013</v>
      </c>
      <c r="O23" t="s">
        <v>76</v>
      </c>
      <c r="P23" t="s">
        <v>76</v>
      </c>
      <c r="Q23">
        <v>1</v>
      </c>
      <c r="W23">
        <v>0</v>
      </c>
      <c r="X23">
        <v>1742101416</v>
      </c>
      <c r="Y23">
        <f>AT23</f>
        <v>1</v>
      </c>
      <c r="AA23">
        <v>31399.919999999998</v>
      </c>
      <c r="AB23">
        <v>0</v>
      </c>
      <c r="AC23">
        <v>0</v>
      </c>
      <c r="AD23">
        <v>0</v>
      </c>
      <c r="AE23">
        <v>3178.13</v>
      </c>
      <c r="AF23">
        <v>0</v>
      </c>
      <c r="AG23">
        <v>0</v>
      </c>
      <c r="AH23">
        <v>0</v>
      </c>
      <c r="AI23">
        <v>9.8800000000000008</v>
      </c>
      <c r="AJ23">
        <v>1</v>
      </c>
      <c r="AK23">
        <v>1</v>
      </c>
      <c r="AL23">
        <v>1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 t="s">
        <v>3</v>
      </c>
      <c r="AT23">
        <v>1</v>
      </c>
      <c r="AU23" t="s">
        <v>3</v>
      </c>
      <c r="AV23">
        <v>0</v>
      </c>
      <c r="AW23">
        <v>1</v>
      </c>
      <c r="AX23">
        <v>-1</v>
      </c>
      <c r="AY23">
        <v>0</v>
      </c>
      <c r="AZ23">
        <v>0</v>
      </c>
      <c r="BA23" t="s">
        <v>3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CV23">
        <v>0</v>
      </c>
      <c r="CW23">
        <v>0</v>
      </c>
      <c r="CX23">
        <f>ROUND(Y23*Source!I45,9)</f>
        <v>0.02</v>
      </c>
      <c r="CY23">
        <f>AA23</f>
        <v>31399.919999999998</v>
      </c>
      <c r="CZ23">
        <f>AE23</f>
        <v>3178.13</v>
      </c>
      <c r="DA23">
        <f>AI23</f>
        <v>9.8800000000000008</v>
      </c>
      <c r="DB23">
        <f>ROUND(ROUND(AT23*CZ23,2),6)</f>
        <v>3178.13</v>
      </c>
      <c r="DC23">
        <f>ROUND(ROUND(AT23*AG23,2),6)</f>
        <v>0</v>
      </c>
      <c r="DD23" t="s">
        <v>3</v>
      </c>
      <c r="DE23" t="s">
        <v>3</v>
      </c>
      <c r="DF23">
        <f>ROUND(ROUND(AE23*AI23,2)*CX23,2)</f>
        <v>628</v>
      </c>
      <c r="DG23">
        <f>ROUND(ROUND(AF23,2)*CX23,2)</f>
        <v>0</v>
      </c>
      <c r="DH23">
        <f>ROUND(ROUND(AG23,2)*CX23,2)</f>
        <v>0</v>
      </c>
      <c r="DI23">
        <f t="shared" si="4"/>
        <v>0</v>
      </c>
      <c r="DJ23">
        <f>DF23</f>
        <v>628</v>
      </c>
      <c r="DK23">
        <v>0</v>
      </c>
      <c r="DL23" t="s">
        <v>3</v>
      </c>
      <c r="DM23">
        <v>0</v>
      </c>
      <c r="DN23" t="s">
        <v>3</v>
      </c>
      <c r="DO23">
        <v>0</v>
      </c>
    </row>
    <row r="24" spans="1:119" x14ac:dyDescent="0.2">
      <c r="A24">
        <f>ROW(Source!A45)</f>
        <v>45</v>
      </c>
      <c r="B24">
        <v>59214059</v>
      </c>
      <c r="C24">
        <v>59214201</v>
      </c>
      <c r="D24">
        <v>0</v>
      </c>
      <c r="E24">
        <v>1080</v>
      </c>
      <c r="F24">
        <v>1</v>
      </c>
      <c r="G24">
        <v>1080</v>
      </c>
      <c r="H24">
        <v>3</v>
      </c>
      <c r="I24" t="s">
        <v>80</v>
      </c>
      <c r="J24" t="s">
        <v>3</v>
      </c>
      <c r="K24" t="s">
        <v>81</v>
      </c>
      <c r="L24">
        <v>1354</v>
      </c>
      <c r="N24">
        <v>1010</v>
      </c>
      <c r="O24" t="s">
        <v>34</v>
      </c>
      <c r="P24" t="s">
        <v>34</v>
      </c>
      <c r="Q24">
        <v>1</v>
      </c>
      <c r="W24">
        <v>0</v>
      </c>
      <c r="X24">
        <v>-1584551560</v>
      </c>
      <c r="Y24">
        <f>AT24</f>
        <v>1</v>
      </c>
      <c r="AA24">
        <v>98399.66</v>
      </c>
      <c r="AB24">
        <v>0</v>
      </c>
      <c r="AC24">
        <v>0</v>
      </c>
      <c r="AD24">
        <v>0</v>
      </c>
      <c r="AE24">
        <v>9959.4800000000014</v>
      </c>
      <c r="AF24">
        <v>0</v>
      </c>
      <c r="AG24">
        <v>0</v>
      </c>
      <c r="AH24">
        <v>0</v>
      </c>
      <c r="AI24">
        <v>9.8800000000000008</v>
      </c>
      <c r="AJ24">
        <v>1</v>
      </c>
      <c r="AK24">
        <v>1</v>
      </c>
      <c r="AL24">
        <v>1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 t="s">
        <v>3</v>
      </c>
      <c r="AT24">
        <v>1</v>
      </c>
      <c r="AU24" t="s">
        <v>3</v>
      </c>
      <c r="AV24">
        <v>0</v>
      </c>
      <c r="AW24">
        <v>1</v>
      </c>
      <c r="AX24">
        <v>-1</v>
      </c>
      <c r="AY24">
        <v>0</v>
      </c>
      <c r="AZ24">
        <v>0</v>
      </c>
      <c r="BA24" t="s">
        <v>3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CV24">
        <v>0</v>
      </c>
      <c r="CW24">
        <v>0</v>
      </c>
      <c r="CX24">
        <f>ROUND(Y24*Source!I45,9)</f>
        <v>0.02</v>
      </c>
      <c r="CY24">
        <f>AA24</f>
        <v>98399.66</v>
      </c>
      <c r="CZ24">
        <f>AE24</f>
        <v>9959.4800000000014</v>
      </c>
      <c r="DA24">
        <f>AI24</f>
        <v>9.8800000000000008</v>
      </c>
      <c r="DB24">
        <f>ROUND(ROUND(AT24*CZ24,2),6)</f>
        <v>9959.48</v>
      </c>
      <c r="DC24">
        <f>ROUND(ROUND(AT24*AG24,2),6)</f>
        <v>0</v>
      </c>
      <c r="DD24" t="s">
        <v>3</v>
      </c>
      <c r="DE24" t="s">
        <v>3</v>
      </c>
      <c r="DF24">
        <f>ROUND(ROUND(AE24*AI24,2)*CX24,2)</f>
        <v>1967.99</v>
      </c>
      <c r="DG24">
        <f>ROUND(ROUND(AF24,2)*CX24,2)</f>
        <v>0</v>
      </c>
      <c r="DH24">
        <f>ROUND(ROUND(AG24,2)*CX24,2)</f>
        <v>0</v>
      </c>
      <c r="DI24">
        <f t="shared" si="4"/>
        <v>0</v>
      </c>
      <c r="DJ24">
        <f>DF24</f>
        <v>1967.99</v>
      </c>
      <c r="DK24">
        <v>0</v>
      </c>
      <c r="DL24" t="s">
        <v>3</v>
      </c>
      <c r="DM24">
        <v>0</v>
      </c>
      <c r="DN24" t="s">
        <v>3</v>
      </c>
      <c r="DO24">
        <v>0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R30"/>
  <sheetViews>
    <sheetView workbookViewId="0"/>
  </sheetViews>
  <sheetFormatPr defaultColWidth="9.140625" defaultRowHeight="12.75" x14ac:dyDescent="0.2"/>
  <cols>
    <col min="1" max="256" width="9.140625" customWidth="1"/>
  </cols>
  <sheetData>
    <row r="1" spans="1:44" x14ac:dyDescent="0.2">
      <c r="A1">
        <f>ROW(Source!A28)</f>
        <v>28</v>
      </c>
      <c r="B1">
        <v>59214214</v>
      </c>
      <c r="C1">
        <v>59214176</v>
      </c>
      <c r="D1">
        <v>58266404</v>
      </c>
      <c r="E1">
        <v>1080</v>
      </c>
      <c r="F1">
        <v>1</v>
      </c>
      <c r="G1">
        <v>1080</v>
      </c>
      <c r="H1">
        <v>1</v>
      </c>
      <c r="I1" t="s">
        <v>155</v>
      </c>
      <c r="J1" t="s">
        <v>3</v>
      </c>
      <c r="K1" t="s">
        <v>156</v>
      </c>
      <c r="L1">
        <v>1191</v>
      </c>
      <c r="N1">
        <v>1013</v>
      </c>
      <c r="O1" t="s">
        <v>157</v>
      </c>
      <c r="P1" t="s">
        <v>157</v>
      </c>
      <c r="Q1">
        <v>1</v>
      </c>
      <c r="X1">
        <v>1.69</v>
      </c>
      <c r="Y1">
        <v>0</v>
      </c>
      <c r="Z1">
        <v>0</v>
      </c>
      <c r="AA1">
        <v>0</v>
      </c>
      <c r="AB1">
        <v>0</v>
      </c>
      <c r="AC1">
        <v>0</v>
      </c>
      <c r="AD1">
        <v>1</v>
      </c>
      <c r="AE1">
        <v>1</v>
      </c>
      <c r="AF1" t="s">
        <v>26</v>
      </c>
      <c r="AG1">
        <v>1.859</v>
      </c>
      <c r="AH1">
        <v>2</v>
      </c>
      <c r="AI1">
        <v>59214177</v>
      </c>
      <c r="AJ1">
        <v>1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</row>
    <row r="2" spans="1:44" x14ac:dyDescent="0.2">
      <c r="A2">
        <f>ROW(Source!A28)</f>
        <v>28</v>
      </c>
      <c r="B2">
        <v>59214215</v>
      </c>
      <c r="C2">
        <v>59214176</v>
      </c>
      <c r="D2">
        <v>58340700</v>
      </c>
      <c r="E2">
        <v>1</v>
      </c>
      <c r="F2">
        <v>1</v>
      </c>
      <c r="G2">
        <v>1080</v>
      </c>
      <c r="H2">
        <v>2</v>
      </c>
      <c r="I2" t="s">
        <v>158</v>
      </c>
      <c r="J2" t="s">
        <v>159</v>
      </c>
      <c r="K2" t="s">
        <v>160</v>
      </c>
      <c r="L2">
        <v>1368</v>
      </c>
      <c r="N2">
        <v>1011</v>
      </c>
      <c r="O2" t="s">
        <v>161</v>
      </c>
      <c r="P2" t="s">
        <v>161</v>
      </c>
      <c r="Q2">
        <v>1</v>
      </c>
      <c r="X2">
        <v>0.28000000000000003</v>
      </c>
      <c r="Y2">
        <v>0</v>
      </c>
      <c r="Z2">
        <v>1.43</v>
      </c>
      <c r="AA2">
        <v>0</v>
      </c>
      <c r="AB2">
        <v>0</v>
      </c>
      <c r="AC2">
        <v>0</v>
      </c>
      <c r="AD2">
        <v>1</v>
      </c>
      <c r="AE2">
        <v>0</v>
      </c>
      <c r="AF2" t="s">
        <v>26</v>
      </c>
      <c r="AG2">
        <v>0.30800000000000005</v>
      </c>
      <c r="AH2">
        <v>2</v>
      </c>
      <c r="AI2">
        <v>59214178</v>
      </c>
      <c r="AJ2">
        <v>2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</row>
    <row r="3" spans="1:44" x14ac:dyDescent="0.2">
      <c r="A3">
        <f>ROW(Source!A28)</f>
        <v>28</v>
      </c>
      <c r="B3">
        <v>59214216</v>
      </c>
      <c r="C3">
        <v>59214176</v>
      </c>
      <c r="D3">
        <v>58340663</v>
      </c>
      <c r="E3">
        <v>1</v>
      </c>
      <c r="F3">
        <v>1</v>
      </c>
      <c r="G3">
        <v>1080</v>
      </c>
      <c r="H3">
        <v>2</v>
      </c>
      <c r="I3" t="s">
        <v>162</v>
      </c>
      <c r="J3" t="s">
        <v>163</v>
      </c>
      <c r="K3" t="s">
        <v>164</v>
      </c>
      <c r="L3">
        <v>1368</v>
      </c>
      <c r="N3">
        <v>1011</v>
      </c>
      <c r="O3" t="s">
        <v>161</v>
      </c>
      <c r="P3" t="s">
        <v>161</v>
      </c>
      <c r="Q3">
        <v>1</v>
      </c>
      <c r="X3">
        <v>0.23</v>
      </c>
      <c r="Y3">
        <v>0</v>
      </c>
      <c r="Z3">
        <v>0.47</v>
      </c>
      <c r="AA3">
        <v>0</v>
      </c>
      <c r="AB3">
        <v>0</v>
      </c>
      <c r="AC3">
        <v>0</v>
      </c>
      <c r="AD3">
        <v>1</v>
      </c>
      <c r="AE3">
        <v>0</v>
      </c>
      <c r="AF3" t="s">
        <v>26</v>
      </c>
      <c r="AG3">
        <v>0.25300000000000006</v>
      </c>
      <c r="AH3">
        <v>2</v>
      </c>
      <c r="AI3">
        <v>59214179</v>
      </c>
      <c r="AJ3">
        <v>3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</row>
    <row r="4" spans="1:44" x14ac:dyDescent="0.2">
      <c r="A4">
        <f>ROW(Source!A28)</f>
        <v>28</v>
      </c>
      <c r="B4">
        <v>59214217</v>
      </c>
      <c r="C4">
        <v>59214176</v>
      </c>
      <c r="D4">
        <v>58288466</v>
      </c>
      <c r="E4">
        <v>1080</v>
      </c>
      <c r="F4">
        <v>1</v>
      </c>
      <c r="G4">
        <v>1080</v>
      </c>
      <c r="H4">
        <v>3</v>
      </c>
      <c r="I4" t="s">
        <v>179</v>
      </c>
      <c r="J4" t="s">
        <v>3</v>
      </c>
      <c r="K4" t="s">
        <v>180</v>
      </c>
      <c r="L4">
        <v>1391</v>
      </c>
      <c r="N4">
        <v>1013</v>
      </c>
      <c r="O4" t="s">
        <v>52</v>
      </c>
      <c r="P4" t="s">
        <v>52</v>
      </c>
      <c r="Q4">
        <v>1</v>
      </c>
      <c r="X4">
        <v>1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 t="s">
        <v>25</v>
      </c>
      <c r="AG4">
        <v>1</v>
      </c>
      <c r="AH4">
        <v>3</v>
      </c>
      <c r="AI4">
        <v>-1</v>
      </c>
      <c r="AJ4" t="s">
        <v>3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</row>
    <row r="5" spans="1:44" x14ac:dyDescent="0.2">
      <c r="A5">
        <f>ROW(Source!A29)</f>
        <v>29</v>
      </c>
      <c r="B5">
        <v>59214214</v>
      </c>
      <c r="C5">
        <v>59214176</v>
      </c>
      <c r="D5">
        <v>58266404</v>
      </c>
      <c r="E5">
        <v>1080</v>
      </c>
      <c r="F5">
        <v>1</v>
      </c>
      <c r="G5">
        <v>1080</v>
      </c>
      <c r="H5">
        <v>1</v>
      </c>
      <c r="I5" t="s">
        <v>155</v>
      </c>
      <c r="J5" t="s">
        <v>3</v>
      </c>
      <c r="K5" t="s">
        <v>156</v>
      </c>
      <c r="L5">
        <v>1191</v>
      </c>
      <c r="N5">
        <v>1013</v>
      </c>
      <c r="O5" t="s">
        <v>157</v>
      </c>
      <c r="P5" t="s">
        <v>157</v>
      </c>
      <c r="Q5">
        <v>1</v>
      </c>
      <c r="X5">
        <v>1.69</v>
      </c>
      <c r="Y5">
        <v>0</v>
      </c>
      <c r="Z5">
        <v>0</v>
      </c>
      <c r="AA5">
        <v>0</v>
      </c>
      <c r="AB5">
        <v>0</v>
      </c>
      <c r="AC5">
        <v>0</v>
      </c>
      <c r="AD5">
        <v>1</v>
      </c>
      <c r="AE5">
        <v>1</v>
      </c>
      <c r="AF5" t="s">
        <v>26</v>
      </c>
      <c r="AG5">
        <v>1.859</v>
      </c>
      <c r="AH5">
        <v>2</v>
      </c>
      <c r="AI5">
        <v>59214177</v>
      </c>
      <c r="AJ5">
        <v>4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</row>
    <row r="6" spans="1:44" x14ac:dyDescent="0.2">
      <c r="A6">
        <f>ROW(Source!A29)</f>
        <v>29</v>
      </c>
      <c r="B6">
        <v>59214215</v>
      </c>
      <c r="C6">
        <v>59214176</v>
      </c>
      <c r="D6">
        <v>58340700</v>
      </c>
      <c r="E6">
        <v>1</v>
      </c>
      <c r="F6">
        <v>1</v>
      </c>
      <c r="G6">
        <v>1080</v>
      </c>
      <c r="H6">
        <v>2</v>
      </c>
      <c r="I6" t="s">
        <v>158</v>
      </c>
      <c r="J6" t="s">
        <v>159</v>
      </c>
      <c r="K6" t="s">
        <v>160</v>
      </c>
      <c r="L6">
        <v>1368</v>
      </c>
      <c r="N6">
        <v>1011</v>
      </c>
      <c r="O6" t="s">
        <v>161</v>
      </c>
      <c r="P6" t="s">
        <v>161</v>
      </c>
      <c r="Q6">
        <v>1</v>
      </c>
      <c r="X6">
        <v>0.28000000000000003</v>
      </c>
      <c r="Y6">
        <v>0</v>
      </c>
      <c r="Z6">
        <v>1.43</v>
      </c>
      <c r="AA6">
        <v>0</v>
      </c>
      <c r="AB6">
        <v>0</v>
      </c>
      <c r="AC6">
        <v>0</v>
      </c>
      <c r="AD6">
        <v>1</v>
      </c>
      <c r="AE6">
        <v>0</v>
      </c>
      <c r="AF6" t="s">
        <v>26</v>
      </c>
      <c r="AG6">
        <v>0.30800000000000005</v>
      </c>
      <c r="AH6">
        <v>2</v>
      </c>
      <c r="AI6">
        <v>59214178</v>
      </c>
      <c r="AJ6">
        <v>5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</row>
    <row r="7" spans="1:44" x14ac:dyDescent="0.2">
      <c r="A7">
        <f>ROW(Source!A29)</f>
        <v>29</v>
      </c>
      <c r="B7">
        <v>59214216</v>
      </c>
      <c r="C7">
        <v>59214176</v>
      </c>
      <c r="D7">
        <v>58340663</v>
      </c>
      <c r="E7">
        <v>1</v>
      </c>
      <c r="F7">
        <v>1</v>
      </c>
      <c r="G7">
        <v>1080</v>
      </c>
      <c r="H7">
        <v>2</v>
      </c>
      <c r="I7" t="s">
        <v>162</v>
      </c>
      <c r="J7" t="s">
        <v>163</v>
      </c>
      <c r="K7" t="s">
        <v>164</v>
      </c>
      <c r="L7">
        <v>1368</v>
      </c>
      <c r="N7">
        <v>1011</v>
      </c>
      <c r="O7" t="s">
        <v>161</v>
      </c>
      <c r="P7" t="s">
        <v>161</v>
      </c>
      <c r="Q7">
        <v>1</v>
      </c>
      <c r="X7">
        <v>0.23</v>
      </c>
      <c r="Y7">
        <v>0</v>
      </c>
      <c r="Z7">
        <v>0.47</v>
      </c>
      <c r="AA7">
        <v>0</v>
      </c>
      <c r="AB7">
        <v>0</v>
      </c>
      <c r="AC7">
        <v>0</v>
      </c>
      <c r="AD7">
        <v>1</v>
      </c>
      <c r="AE7">
        <v>0</v>
      </c>
      <c r="AF7" t="s">
        <v>26</v>
      </c>
      <c r="AG7">
        <v>0.25300000000000006</v>
      </c>
      <c r="AH7">
        <v>2</v>
      </c>
      <c r="AI7">
        <v>59214179</v>
      </c>
      <c r="AJ7">
        <v>6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</row>
    <row r="8" spans="1:44" x14ac:dyDescent="0.2">
      <c r="A8">
        <f>ROW(Source!A29)</f>
        <v>29</v>
      </c>
      <c r="B8">
        <v>59214217</v>
      </c>
      <c r="C8">
        <v>59214176</v>
      </c>
      <c r="D8">
        <v>58288466</v>
      </c>
      <c r="E8">
        <v>1080</v>
      </c>
      <c r="F8">
        <v>1</v>
      </c>
      <c r="G8">
        <v>1080</v>
      </c>
      <c r="H8">
        <v>3</v>
      </c>
      <c r="I8" t="s">
        <v>179</v>
      </c>
      <c r="J8" t="s">
        <v>3</v>
      </c>
      <c r="K8" t="s">
        <v>180</v>
      </c>
      <c r="L8">
        <v>1391</v>
      </c>
      <c r="N8">
        <v>1013</v>
      </c>
      <c r="O8" t="s">
        <v>52</v>
      </c>
      <c r="P8" t="s">
        <v>52</v>
      </c>
      <c r="Q8">
        <v>1</v>
      </c>
      <c r="X8">
        <v>1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 t="s">
        <v>25</v>
      </c>
      <c r="AG8">
        <v>1</v>
      </c>
      <c r="AH8">
        <v>3</v>
      </c>
      <c r="AI8">
        <v>-1</v>
      </c>
      <c r="AJ8" t="s">
        <v>3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</row>
    <row r="9" spans="1:44" x14ac:dyDescent="0.2">
      <c r="A9">
        <f>ROW(Source!A40)</f>
        <v>40</v>
      </c>
      <c r="B9">
        <v>59214218</v>
      </c>
      <c r="C9">
        <v>59214189</v>
      </c>
      <c r="D9">
        <v>58266404</v>
      </c>
      <c r="E9">
        <v>1080</v>
      </c>
      <c r="F9">
        <v>1</v>
      </c>
      <c r="G9">
        <v>1080</v>
      </c>
      <c r="H9">
        <v>1</v>
      </c>
      <c r="I9" t="s">
        <v>155</v>
      </c>
      <c r="J9" t="s">
        <v>3</v>
      </c>
      <c r="K9" t="s">
        <v>156</v>
      </c>
      <c r="L9">
        <v>1191</v>
      </c>
      <c r="N9">
        <v>1013</v>
      </c>
      <c r="O9" t="s">
        <v>157</v>
      </c>
      <c r="P9" t="s">
        <v>157</v>
      </c>
      <c r="Q9">
        <v>1</v>
      </c>
      <c r="X9">
        <v>67.7</v>
      </c>
      <c r="Y9">
        <v>0</v>
      </c>
      <c r="Z9">
        <v>0</v>
      </c>
      <c r="AA9">
        <v>0</v>
      </c>
      <c r="AB9">
        <v>0</v>
      </c>
      <c r="AC9">
        <v>0</v>
      </c>
      <c r="AD9">
        <v>1</v>
      </c>
      <c r="AE9">
        <v>1</v>
      </c>
      <c r="AF9" t="s">
        <v>26</v>
      </c>
      <c r="AG9">
        <v>74.470000000000013</v>
      </c>
      <c r="AH9">
        <v>2</v>
      </c>
      <c r="AI9">
        <v>59214190</v>
      </c>
      <c r="AJ9">
        <v>7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</row>
    <row r="10" spans="1:44" x14ac:dyDescent="0.2">
      <c r="A10">
        <f>ROW(Source!A40)</f>
        <v>40</v>
      </c>
      <c r="B10">
        <v>59214219</v>
      </c>
      <c r="C10">
        <v>59214189</v>
      </c>
      <c r="D10">
        <v>58340578</v>
      </c>
      <c r="E10">
        <v>1</v>
      </c>
      <c r="F10">
        <v>1</v>
      </c>
      <c r="G10">
        <v>1080</v>
      </c>
      <c r="H10">
        <v>2</v>
      </c>
      <c r="I10" t="s">
        <v>165</v>
      </c>
      <c r="J10" t="s">
        <v>166</v>
      </c>
      <c r="K10" t="s">
        <v>167</v>
      </c>
      <c r="L10">
        <v>1368</v>
      </c>
      <c r="N10">
        <v>1011</v>
      </c>
      <c r="O10" t="s">
        <v>161</v>
      </c>
      <c r="P10" t="s">
        <v>161</v>
      </c>
      <c r="Q10">
        <v>1</v>
      </c>
      <c r="X10">
        <v>2.4700000000000002</v>
      </c>
      <c r="Y10">
        <v>0</v>
      </c>
      <c r="Z10">
        <v>83.1</v>
      </c>
      <c r="AA10">
        <v>12.62</v>
      </c>
      <c r="AB10">
        <v>0</v>
      </c>
      <c r="AC10">
        <v>0</v>
      </c>
      <c r="AD10">
        <v>1</v>
      </c>
      <c r="AE10">
        <v>0</v>
      </c>
      <c r="AF10" t="s">
        <v>26</v>
      </c>
      <c r="AG10">
        <v>2.7170000000000005</v>
      </c>
      <c r="AH10">
        <v>2</v>
      </c>
      <c r="AI10">
        <v>59214191</v>
      </c>
      <c r="AJ10">
        <v>8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</row>
    <row r="11" spans="1:44" x14ac:dyDescent="0.2">
      <c r="A11">
        <f>ROW(Source!A40)</f>
        <v>40</v>
      </c>
      <c r="B11">
        <v>59214220</v>
      </c>
      <c r="C11">
        <v>59214189</v>
      </c>
      <c r="D11">
        <v>58308826</v>
      </c>
      <c r="E11">
        <v>1</v>
      </c>
      <c r="F11">
        <v>1</v>
      </c>
      <c r="G11">
        <v>1080</v>
      </c>
      <c r="H11">
        <v>3</v>
      </c>
      <c r="I11" t="s">
        <v>169</v>
      </c>
      <c r="J11" t="s">
        <v>170</v>
      </c>
      <c r="K11" t="s">
        <v>171</v>
      </c>
      <c r="L11">
        <v>1348</v>
      </c>
      <c r="N11">
        <v>1009</v>
      </c>
      <c r="O11" t="s">
        <v>172</v>
      </c>
      <c r="P11" t="s">
        <v>172</v>
      </c>
      <c r="Q11">
        <v>1000</v>
      </c>
      <c r="X11">
        <v>1.2E-2</v>
      </c>
      <c r="Y11">
        <v>6512.79</v>
      </c>
      <c r="Z11">
        <v>0</v>
      </c>
      <c r="AA11">
        <v>0</v>
      </c>
      <c r="AB11">
        <v>0</v>
      </c>
      <c r="AC11">
        <v>0</v>
      </c>
      <c r="AD11">
        <v>1</v>
      </c>
      <c r="AE11">
        <v>0</v>
      </c>
      <c r="AF11" t="s">
        <v>3</v>
      </c>
      <c r="AG11">
        <v>1.2E-2</v>
      </c>
      <c r="AH11">
        <v>2</v>
      </c>
      <c r="AI11">
        <v>59214192</v>
      </c>
      <c r="AJ11">
        <v>9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</row>
    <row r="12" spans="1:44" x14ac:dyDescent="0.2">
      <c r="A12">
        <f>ROW(Source!A40)</f>
        <v>40</v>
      </c>
      <c r="B12">
        <v>59214221</v>
      </c>
      <c r="C12">
        <v>59214189</v>
      </c>
      <c r="D12">
        <v>58309357</v>
      </c>
      <c r="E12">
        <v>1</v>
      </c>
      <c r="F12">
        <v>1</v>
      </c>
      <c r="G12">
        <v>1080</v>
      </c>
      <c r="H12">
        <v>3</v>
      </c>
      <c r="I12" t="s">
        <v>173</v>
      </c>
      <c r="J12" t="s">
        <v>174</v>
      </c>
      <c r="K12" t="s">
        <v>175</v>
      </c>
      <c r="L12">
        <v>1348</v>
      </c>
      <c r="N12">
        <v>1009</v>
      </c>
      <c r="O12" t="s">
        <v>172</v>
      </c>
      <c r="P12" t="s">
        <v>172</v>
      </c>
      <c r="Q12">
        <v>1000</v>
      </c>
      <c r="X12">
        <v>3.5000000000000003E-2</v>
      </c>
      <c r="Y12">
        <v>6860.76</v>
      </c>
      <c r="Z12">
        <v>0</v>
      </c>
      <c r="AA12">
        <v>0</v>
      </c>
      <c r="AB12">
        <v>0</v>
      </c>
      <c r="AC12">
        <v>0</v>
      </c>
      <c r="AD12">
        <v>1</v>
      </c>
      <c r="AE12">
        <v>0</v>
      </c>
      <c r="AF12" t="s">
        <v>3</v>
      </c>
      <c r="AG12">
        <v>3.5000000000000003E-2</v>
      </c>
      <c r="AH12">
        <v>2</v>
      </c>
      <c r="AI12">
        <v>59214193</v>
      </c>
      <c r="AJ12">
        <v>10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</row>
    <row r="13" spans="1:44" x14ac:dyDescent="0.2">
      <c r="A13">
        <f>ROW(Source!A40)</f>
        <v>40</v>
      </c>
      <c r="B13">
        <v>59214222</v>
      </c>
      <c r="C13">
        <v>59214189</v>
      </c>
      <c r="D13">
        <v>58297874</v>
      </c>
      <c r="E13">
        <v>1080</v>
      </c>
      <c r="F13">
        <v>1</v>
      </c>
      <c r="G13">
        <v>1080</v>
      </c>
      <c r="H13">
        <v>3</v>
      </c>
      <c r="I13" t="s">
        <v>181</v>
      </c>
      <c r="J13" t="s">
        <v>3</v>
      </c>
      <c r="K13" t="s">
        <v>182</v>
      </c>
      <c r="L13">
        <v>1301</v>
      </c>
      <c r="N13">
        <v>1003</v>
      </c>
      <c r="O13" t="s">
        <v>183</v>
      </c>
      <c r="P13" t="s">
        <v>183</v>
      </c>
      <c r="Q13">
        <v>1</v>
      </c>
      <c r="X13">
        <v>400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 t="s">
        <v>3</v>
      </c>
      <c r="AG13">
        <v>400</v>
      </c>
      <c r="AH13">
        <v>3</v>
      </c>
      <c r="AI13">
        <v>-1</v>
      </c>
      <c r="AJ13" t="s">
        <v>3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</row>
    <row r="14" spans="1:44" x14ac:dyDescent="0.2">
      <c r="A14">
        <f>ROW(Source!A40)</f>
        <v>40</v>
      </c>
      <c r="B14">
        <v>59214223</v>
      </c>
      <c r="C14">
        <v>59214189</v>
      </c>
      <c r="D14">
        <v>58297965</v>
      </c>
      <c r="E14">
        <v>1080</v>
      </c>
      <c r="F14">
        <v>1</v>
      </c>
      <c r="G14">
        <v>1080</v>
      </c>
      <c r="H14">
        <v>3</v>
      </c>
      <c r="I14" t="s">
        <v>184</v>
      </c>
      <c r="J14" t="s">
        <v>3</v>
      </c>
      <c r="K14" t="s">
        <v>185</v>
      </c>
      <c r="L14">
        <v>1354</v>
      </c>
      <c r="N14">
        <v>1010</v>
      </c>
      <c r="O14" t="s">
        <v>34</v>
      </c>
      <c r="P14" t="s">
        <v>34</v>
      </c>
      <c r="Q14">
        <v>1</v>
      </c>
      <c r="X14">
        <v>100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 t="s">
        <v>3</v>
      </c>
      <c r="AG14">
        <v>100</v>
      </c>
      <c r="AH14">
        <v>3</v>
      </c>
      <c r="AI14">
        <v>-1</v>
      </c>
      <c r="AJ14" t="s">
        <v>3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</row>
    <row r="15" spans="1:44" x14ac:dyDescent="0.2">
      <c r="A15">
        <f>ROW(Source!A41)</f>
        <v>41</v>
      </c>
      <c r="B15">
        <v>59214218</v>
      </c>
      <c r="C15">
        <v>59214189</v>
      </c>
      <c r="D15">
        <v>58266404</v>
      </c>
      <c r="E15">
        <v>1080</v>
      </c>
      <c r="F15">
        <v>1</v>
      </c>
      <c r="G15">
        <v>1080</v>
      </c>
      <c r="H15">
        <v>1</v>
      </c>
      <c r="I15" t="s">
        <v>155</v>
      </c>
      <c r="J15" t="s">
        <v>3</v>
      </c>
      <c r="K15" t="s">
        <v>156</v>
      </c>
      <c r="L15">
        <v>1191</v>
      </c>
      <c r="N15">
        <v>1013</v>
      </c>
      <c r="O15" t="s">
        <v>157</v>
      </c>
      <c r="P15" t="s">
        <v>157</v>
      </c>
      <c r="Q15">
        <v>1</v>
      </c>
      <c r="X15">
        <v>67.7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</v>
      </c>
      <c r="AE15">
        <v>1</v>
      </c>
      <c r="AF15" t="s">
        <v>26</v>
      </c>
      <c r="AG15">
        <v>74.470000000000013</v>
      </c>
      <c r="AH15">
        <v>2</v>
      </c>
      <c r="AI15">
        <v>59214190</v>
      </c>
      <c r="AJ15">
        <v>11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</row>
    <row r="16" spans="1:44" x14ac:dyDescent="0.2">
      <c r="A16">
        <f>ROW(Source!A41)</f>
        <v>41</v>
      </c>
      <c r="B16">
        <v>59214219</v>
      </c>
      <c r="C16">
        <v>59214189</v>
      </c>
      <c r="D16">
        <v>58340578</v>
      </c>
      <c r="E16">
        <v>1</v>
      </c>
      <c r="F16">
        <v>1</v>
      </c>
      <c r="G16">
        <v>1080</v>
      </c>
      <c r="H16">
        <v>2</v>
      </c>
      <c r="I16" t="s">
        <v>165</v>
      </c>
      <c r="J16" t="s">
        <v>166</v>
      </c>
      <c r="K16" t="s">
        <v>167</v>
      </c>
      <c r="L16">
        <v>1368</v>
      </c>
      <c r="N16">
        <v>1011</v>
      </c>
      <c r="O16" t="s">
        <v>161</v>
      </c>
      <c r="P16" t="s">
        <v>161</v>
      </c>
      <c r="Q16">
        <v>1</v>
      </c>
      <c r="X16">
        <v>2.4700000000000002</v>
      </c>
      <c r="Y16">
        <v>0</v>
      </c>
      <c r="Z16">
        <v>83.1</v>
      </c>
      <c r="AA16">
        <v>12.62</v>
      </c>
      <c r="AB16">
        <v>0</v>
      </c>
      <c r="AC16">
        <v>0</v>
      </c>
      <c r="AD16">
        <v>1</v>
      </c>
      <c r="AE16">
        <v>0</v>
      </c>
      <c r="AF16" t="s">
        <v>26</v>
      </c>
      <c r="AG16">
        <v>2.7170000000000005</v>
      </c>
      <c r="AH16">
        <v>2</v>
      </c>
      <c r="AI16">
        <v>59214191</v>
      </c>
      <c r="AJ16">
        <v>12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</row>
    <row r="17" spans="1:44" x14ac:dyDescent="0.2">
      <c r="A17">
        <f>ROW(Source!A41)</f>
        <v>41</v>
      </c>
      <c r="B17">
        <v>59214220</v>
      </c>
      <c r="C17">
        <v>59214189</v>
      </c>
      <c r="D17">
        <v>58308826</v>
      </c>
      <c r="E17">
        <v>1</v>
      </c>
      <c r="F17">
        <v>1</v>
      </c>
      <c r="G17">
        <v>1080</v>
      </c>
      <c r="H17">
        <v>3</v>
      </c>
      <c r="I17" t="s">
        <v>169</v>
      </c>
      <c r="J17" t="s">
        <v>170</v>
      </c>
      <c r="K17" t="s">
        <v>171</v>
      </c>
      <c r="L17">
        <v>1348</v>
      </c>
      <c r="N17">
        <v>1009</v>
      </c>
      <c r="O17" t="s">
        <v>172</v>
      </c>
      <c r="P17" t="s">
        <v>172</v>
      </c>
      <c r="Q17">
        <v>1000</v>
      </c>
      <c r="X17">
        <v>1.2E-2</v>
      </c>
      <c r="Y17">
        <v>6512.79</v>
      </c>
      <c r="Z17">
        <v>0</v>
      </c>
      <c r="AA17">
        <v>0</v>
      </c>
      <c r="AB17">
        <v>0</v>
      </c>
      <c r="AC17">
        <v>0</v>
      </c>
      <c r="AD17">
        <v>1</v>
      </c>
      <c r="AE17">
        <v>0</v>
      </c>
      <c r="AF17" t="s">
        <v>3</v>
      </c>
      <c r="AG17">
        <v>1.2E-2</v>
      </c>
      <c r="AH17">
        <v>2</v>
      </c>
      <c r="AI17">
        <v>59214192</v>
      </c>
      <c r="AJ17">
        <v>13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</row>
    <row r="18" spans="1:44" x14ac:dyDescent="0.2">
      <c r="A18">
        <f>ROW(Source!A41)</f>
        <v>41</v>
      </c>
      <c r="B18">
        <v>59214221</v>
      </c>
      <c r="C18">
        <v>59214189</v>
      </c>
      <c r="D18">
        <v>58309357</v>
      </c>
      <c r="E18">
        <v>1</v>
      </c>
      <c r="F18">
        <v>1</v>
      </c>
      <c r="G18">
        <v>1080</v>
      </c>
      <c r="H18">
        <v>3</v>
      </c>
      <c r="I18" t="s">
        <v>173</v>
      </c>
      <c r="J18" t="s">
        <v>174</v>
      </c>
      <c r="K18" t="s">
        <v>175</v>
      </c>
      <c r="L18">
        <v>1348</v>
      </c>
      <c r="N18">
        <v>1009</v>
      </c>
      <c r="O18" t="s">
        <v>172</v>
      </c>
      <c r="P18" t="s">
        <v>172</v>
      </c>
      <c r="Q18">
        <v>1000</v>
      </c>
      <c r="X18">
        <v>3.5000000000000003E-2</v>
      </c>
      <c r="Y18">
        <v>6860.76</v>
      </c>
      <c r="Z18">
        <v>0</v>
      </c>
      <c r="AA18">
        <v>0</v>
      </c>
      <c r="AB18">
        <v>0</v>
      </c>
      <c r="AC18">
        <v>0</v>
      </c>
      <c r="AD18">
        <v>1</v>
      </c>
      <c r="AE18">
        <v>0</v>
      </c>
      <c r="AF18" t="s">
        <v>3</v>
      </c>
      <c r="AG18">
        <v>3.5000000000000003E-2</v>
      </c>
      <c r="AH18">
        <v>2</v>
      </c>
      <c r="AI18">
        <v>59214193</v>
      </c>
      <c r="AJ18">
        <v>14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</row>
    <row r="19" spans="1:44" x14ac:dyDescent="0.2">
      <c r="A19">
        <f>ROW(Source!A41)</f>
        <v>41</v>
      </c>
      <c r="B19">
        <v>59214222</v>
      </c>
      <c r="C19">
        <v>59214189</v>
      </c>
      <c r="D19">
        <v>58297874</v>
      </c>
      <c r="E19">
        <v>1080</v>
      </c>
      <c r="F19">
        <v>1</v>
      </c>
      <c r="G19">
        <v>1080</v>
      </c>
      <c r="H19">
        <v>3</v>
      </c>
      <c r="I19" t="s">
        <v>181</v>
      </c>
      <c r="J19" t="s">
        <v>3</v>
      </c>
      <c r="K19" t="s">
        <v>182</v>
      </c>
      <c r="L19">
        <v>1301</v>
      </c>
      <c r="N19">
        <v>1003</v>
      </c>
      <c r="O19" t="s">
        <v>183</v>
      </c>
      <c r="P19" t="s">
        <v>183</v>
      </c>
      <c r="Q19">
        <v>1</v>
      </c>
      <c r="X19">
        <v>400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 t="s">
        <v>3</v>
      </c>
      <c r="AG19">
        <v>400</v>
      </c>
      <c r="AH19">
        <v>3</v>
      </c>
      <c r="AI19">
        <v>-1</v>
      </c>
      <c r="AJ19" t="s">
        <v>3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</row>
    <row r="20" spans="1:44" x14ac:dyDescent="0.2">
      <c r="A20">
        <f>ROW(Source!A41)</f>
        <v>41</v>
      </c>
      <c r="B20">
        <v>59214223</v>
      </c>
      <c r="C20">
        <v>59214189</v>
      </c>
      <c r="D20">
        <v>58297965</v>
      </c>
      <c r="E20">
        <v>1080</v>
      </c>
      <c r="F20">
        <v>1</v>
      </c>
      <c r="G20">
        <v>1080</v>
      </c>
      <c r="H20">
        <v>3</v>
      </c>
      <c r="I20" t="s">
        <v>184</v>
      </c>
      <c r="J20" t="s">
        <v>3</v>
      </c>
      <c r="K20" t="s">
        <v>185</v>
      </c>
      <c r="L20">
        <v>1354</v>
      </c>
      <c r="N20">
        <v>1010</v>
      </c>
      <c r="O20" t="s">
        <v>34</v>
      </c>
      <c r="P20" t="s">
        <v>34</v>
      </c>
      <c r="Q20">
        <v>1</v>
      </c>
      <c r="X20">
        <v>100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 t="s">
        <v>3</v>
      </c>
      <c r="AG20">
        <v>100</v>
      </c>
      <c r="AH20">
        <v>3</v>
      </c>
      <c r="AI20">
        <v>-1</v>
      </c>
      <c r="AJ20" t="s">
        <v>3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</row>
    <row r="21" spans="1:44" x14ac:dyDescent="0.2">
      <c r="A21">
        <f>ROW(Source!A44)</f>
        <v>44</v>
      </c>
      <c r="B21">
        <v>59214224</v>
      </c>
      <c r="C21">
        <v>59214201</v>
      </c>
      <c r="D21">
        <v>58266404</v>
      </c>
      <c r="E21">
        <v>1080</v>
      </c>
      <c r="F21">
        <v>1</v>
      </c>
      <c r="G21">
        <v>1080</v>
      </c>
      <c r="H21">
        <v>1</v>
      </c>
      <c r="I21" t="s">
        <v>155</v>
      </c>
      <c r="J21" t="s">
        <v>3</v>
      </c>
      <c r="K21" t="s">
        <v>156</v>
      </c>
      <c r="L21">
        <v>1191</v>
      </c>
      <c r="N21">
        <v>1013</v>
      </c>
      <c r="O21" t="s">
        <v>157</v>
      </c>
      <c r="P21" t="s">
        <v>157</v>
      </c>
      <c r="Q21">
        <v>1</v>
      </c>
      <c r="X21">
        <v>41.5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</v>
      </c>
      <c r="AE21">
        <v>1</v>
      </c>
      <c r="AF21" t="s">
        <v>26</v>
      </c>
      <c r="AG21">
        <v>45.650000000000006</v>
      </c>
      <c r="AH21">
        <v>2</v>
      </c>
      <c r="AI21">
        <v>59214202</v>
      </c>
      <c r="AJ21">
        <v>15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</row>
    <row r="22" spans="1:44" x14ac:dyDescent="0.2">
      <c r="A22">
        <f>ROW(Source!A44)</f>
        <v>44</v>
      </c>
      <c r="B22">
        <v>59214225</v>
      </c>
      <c r="C22">
        <v>59214201</v>
      </c>
      <c r="D22">
        <v>58340578</v>
      </c>
      <c r="E22">
        <v>1</v>
      </c>
      <c r="F22">
        <v>1</v>
      </c>
      <c r="G22">
        <v>1080</v>
      </c>
      <c r="H22">
        <v>2</v>
      </c>
      <c r="I22" t="s">
        <v>165</v>
      </c>
      <c r="J22" t="s">
        <v>166</v>
      </c>
      <c r="K22" t="s">
        <v>167</v>
      </c>
      <c r="L22">
        <v>1368</v>
      </c>
      <c r="N22">
        <v>1011</v>
      </c>
      <c r="O22" t="s">
        <v>161</v>
      </c>
      <c r="P22" t="s">
        <v>161</v>
      </c>
      <c r="Q22">
        <v>1</v>
      </c>
      <c r="X22">
        <v>0.27</v>
      </c>
      <c r="Y22">
        <v>0</v>
      </c>
      <c r="Z22">
        <v>83.1</v>
      </c>
      <c r="AA22">
        <v>12.62</v>
      </c>
      <c r="AB22">
        <v>0</v>
      </c>
      <c r="AC22">
        <v>0</v>
      </c>
      <c r="AD22">
        <v>1</v>
      </c>
      <c r="AE22">
        <v>0</v>
      </c>
      <c r="AF22" t="s">
        <v>26</v>
      </c>
      <c r="AG22">
        <v>0.29700000000000004</v>
      </c>
      <c r="AH22">
        <v>2</v>
      </c>
      <c r="AI22">
        <v>59214203</v>
      </c>
      <c r="AJ22">
        <v>16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</row>
    <row r="23" spans="1:44" x14ac:dyDescent="0.2">
      <c r="A23">
        <f>ROW(Source!A44)</f>
        <v>44</v>
      </c>
      <c r="B23">
        <v>59214226</v>
      </c>
      <c r="C23">
        <v>59214201</v>
      </c>
      <c r="D23">
        <v>58339814</v>
      </c>
      <c r="E23">
        <v>1</v>
      </c>
      <c r="F23">
        <v>1</v>
      </c>
      <c r="G23">
        <v>1080</v>
      </c>
      <c r="H23">
        <v>2</v>
      </c>
      <c r="I23" t="s">
        <v>176</v>
      </c>
      <c r="J23" t="s">
        <v>177</v>
      </c>
      <c r="K23" t="s">
        <v>178</v>
      </c>
      <c r="L23">
        <v>1368</v>
      </c>
      <c r="N23">
        <v>1011</v>
      </c>
      <c r="O23" t="s">
        <v>161</v>
      </c>
      <c r="P23" t="s">
        <v>161</v>
      </c>
      <c r="Q23">
        <v>1</v>
      </c>
      <c r="X23">
        <v>0.2</v>
      </c>
      <c r="Y23">
        <v>0</v>
      </c>
      <c r="Z23">
        <v>179.17</v>
      </c>
      <c r="AA23">
        <v>16.93</v>
      </c>
      <c r="AB23">
        <v>0</v>
      </c>
      <c r="AC23">
        <v>0</v>
      </c>
      <c r="AD23">
        <v>1</v>
      </c>
      <c r="AE23">
        <v>0</v>
      </c>
      <c r="AF23" t="s">
        <v>26</v>
      </c>
      <c r="AG23">
        <v>0.22000000000000003</v>
      </c>
      <c r="AH23">
        <v>2</v>
      </c>
      <c r="AI23">
        <v>59214204</v>
      </c>
      <c r="AJ23">
        <v>17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</row>
    <row r="24" spans="1:44" x14ac:dyDescent="0.2">
      <c r="A24">
        <f>ROW(Source!A44)</f>
        <v>44</v>
      </c>
      <c r="B24">
        <v>59214227</v>
      </c>
      <c r="C24">
        <v>59214201</v>
      </c>
      <c r="D24">
        <v>58294107</v>
      </c>
      <c r="E24">
        <v>1080</v>
      </c>
      <c r="F24">
        <v>1</v>
      </c>
      <c r="G24">
        <v>1080</v>
      </c>
      <c r="H24">
        <v>3</v>
      </c>
      <c r="I24" t="s">
        <v>186</v>
      </c>
      <c r="J24" t="s">
        <v>3</v>
      </c>
      <c r="K24" t="s">
        <v>187</v>
      </c>
      <c r="L24">
        <v>1348</v>
      </c>
      <c r="N24">
        <v>1009</v>
      </c>
      <c r="O24" t="s">
        <v>172</v>
      </c>
      <c r="P24" t="s">
        <v>172</v>
      </c>
      <c r="Q24">
        <v>1000</v>
      </c>
      <c r="X24">
        <v>2.09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 t="s">
        <v>3</v>
      </c>
      <c r="AG24">
        <v>2.09</v>
      </c>
      <c r="AH24">
        <v>3</v>
      </c>
      <c r="AI24">
        <v>-1</v>
      </c>
      <c r="AJ24" t="s">
        <v>3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</row>
    <row r="25" spans="1:44" x14ac:dyDescent="0.2">
      <c r="A25">
        <f>ROW(Source!A44)</f>
        <v>44</v>
      </c>
      <c r="B25">
        <v>59214228</v>
      </c>
      <c r="C25">
        <v>59214201</v>
      </c>
      <c r="D25">
        <v>58298817</v>
      </c>
      <c r="E25">
        <v>1080</v>
      </c>
      <c r="F25">
        <v>1</v>
      </c>
      <c r="G25">
        <v>1080</v>
      </c>
      <c r="H25">
        <v>3</v>
      </c>
      <c r="I25" t="s">
        <v>188</v>
      </c>
      <c r="J25" t="s">
        <v>3</v>
      </c>
      <c r="K25" t="s">
        <v>189</v>
      </c>
      <c r="L25">
        <v>1348</v>
      </c>
      <c r="N25">
        <v>1009</v>
      </c>
      <c r="O25" t="s">
        <v>172</v>
      </c>
      <c r="P25" t="s">
        <v>172</v>
      </c>
      <c r="Q25">
        <v>1000</v>
      </c>
      <c r="X25">
        <v>0.15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 t="s">
        <v>3</v>
      </c>
      <c r="AG25">
        <v>0.15</v>
      </c>
      <c r="AH25">
        <v>3</v>
      </c>
      <c r="AI25">
        <v>-1</v>
      </c>
      <c r="AJ25" t="s">
        <v>3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</row>
    <row r="26" spans="1:44" x14ac:dyDescent="0.2">
      <c r="A26">
        <f>ROW(Source!A45)</f>
        <v>45</v>
      </c>
      <c r="B26">
        <v>59214224</v>
      </c>
      <c r="C26">
        <v>59214201</v>
      </c>
      <c r="D26">
        <v>58266404</v>
      </c>
      <c r="E26">
        <v>1080</v>
      </c>
      <c r="F26">
        <v>1</v>
      </c>
      <c r="G26">
        <v>1080</v>
      </c>
      <c r="H26">
        <v>1</v>
      </c>
      <c r="I26" t="s">
        <v>155</v>
      </c>
      <c r="J26" t="s">
        <v>3</v>
      </c>
      <c r="K26" t="s">
        <v>156</v>
      </c>
      <c r="L26">
        <v>1191</v>
      </c>
      <c r="N26">
        <v>1013</v>
      </c>
      <c r="O26" t="s">
        <v>157</v>
      </c>
      <c r="P26" t="s">
        <v>157</v>
      </c>
      <c r="Q26">
        <v>1</v>
      </c>
      <c r="X26">
        <v>41.5</v>
      </c>
      <c r="Y26">
        <v>0</v>
      </c>
      <c r="Z26">
        <v>0</v>
      </c>
      <c r="AA26">
        <v>0</v>
      </c>
      <c r="AB26">
        <v>0</v>
      </c>
      <c r="AC26">
        <v>0</v>
      </c>
      <c r="AD26">
        <v>1</v>
      </c>
      <c r="AE26">
        <v>1</v>
      </c>
      <c r="AF26" t="s">
        <v>26</v>
      </c>
      <c r="AG26">
        <v>45.650000000000006</v>
      </c>
      <c r="AH26">
        <v>2</v>
      </c>
      <c r="AI26">
        <v>59214202</v>
      </c>
      <c r="AJ26">
        <v>20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</row>
    <row r="27" spans="1:44" x14ac:dyDescent="0.2">
      <c r="A27">
        <f>ROW(Source!A45)</f>
        <v>45</v>
      </c>
      <c r="B27">
        <v>59214225</v>
      </c>
      <c r="C27">
        <v>59214201</v>
      </c>
      <c r="D27">
        <v>58340578</v>
      </c>
      <c r="E27">
        <v>1</v>
      </c>
      <c r="F27">
        <v>1</v>
      </c>
      <c r="G27">
        <v>1080</v>
      </c>
      <c r="H27">
        <v>2</v>
      </c>
      <c r="I27" t="s">
        <v>165</v>
      </c>
      <c r="J27" t="s">
        <v>166</v>
      </c>
      <c r="K27" t="s">
        <v>167</v>
      </c>
      <c r="L27">
        <v>1368</v>
      </c>
      <c r="N27">
        <v>1011</v>
      </c>
      <c r="O27" t="s">
        <v>161</v>
      </c>
      <c r="P27" t="s">
        <v>161</v>
      </c>
      <c r="Q27">
        <v>1</v>
      </c>
      <c r="X27">
        <v>0.27</v>
      </c>
      <c r="Y27">
        <v>0</v>
      </c>
      <c r="Z27">
        <v>83.1</v>
      </c>
      <c r="AA27">
        <v>12.62</v>
      </c>
      <c r="AB27">
        <v>0</v>
      </c>
      <c r="AC27">
        <v>0</v>
      </c>
      <c r="AD27">
        <v>1</v>
      </c>
      <c r="AE27">
        <v>0</v>
      </c>
      <c r="AF27" t="s">
        <v>26</v>
      </c>
      <c r="AG27">
        <v>0.29700000000000004</v>
      </c>
      <c r="AH27">
        <v>2</v>
      </c>
      <c r="AI27">
        <v>59214203</v>
      </c>
      <c r="AJ27">
        <v>21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</row>
    <row r="28" spans="1:44" x14ac:dyDescent="0.2">
      <c r="A28">
        <f>ROW(Source!A45)</f>
        <v>45</v>
      </c>
      <c r="B28">
        <v>59214226</v>
      </c>
      <c r="C28">
        <v>59214201</v>
      </c>
      <c r="D28">
        <v>58339814</v>
      </c>
      <c r="E28">
        <v>1</v>
      </c>
      <c r="F28">
        <v>1</v>
      </c>
      <c r="G28">
        <v>1080</v>
      </c>
      <c r="H28">
        <v>2</v>
      </c>
      <c r="I28" t="s">
        <v>176</v>
      </c>
      <c r="J28" t="s">
        <v>177</v>
      </c>
      <c r="K28" t="s">
        <v>178</v>
      </c>
      <c r="L28">
        <v>1368</v>
      </c>
      <c r="N28">
        <v>1011</v>
      </c>
      <c r="O28" t="s">
        <v>161</v>
      </c>
      <c r="P28" t="s">
        <v>161</v>
      </c>
      <c r="Q28">
        <v>1</v>
      </c>
      <c r="X28">
        <v>0.2</v>
      </c>
      <c r="Y28">
        <v>0</v>
      </c>
      <c r="Z28">
        <v>179.17</v>
      </c>
      <c r="AA28">
        <v>16.93</v>
      </c>
      <c r="AB28">
        <v>0</v>
      </c>
      <c r="AC28">
        <v>0</v>
      </c>
      <c r="AD28">
        <v>1</v>
      </c>
      <c r="AE28">
        <v>0</v>
      </c>
      <c r="AF28" t="s">
        <v>26</v>
      </c>
      <c r="AG28">
        <v>0.22000000000000003</v>
      </c>
      <c r="AH28">
        <v>2</v>
      </c>
      <c r="AI28">
        <v>59214204</v>
      </c>
      <c r="AJ28">
        <v>22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</row>
    <row r="29" spans="1:44" x14ac:dyDescent="0.2">
      <c r="A29">
        <f>ROW(Source!A45)</f>
        <v>45</v>
      </c>
      <c r="B29">
        <v>59214227</v>
      </c>
      <c r="C29">
        <v>59214201</v>
      </c>
      <c r="D29">
        <v>58294107</v>
      </c>
      <c r="E29">
        <v>1080</v>
      </c>
      <c r="F29">
        <v>1</v>
      </c>
      <c r="G29">
        <v>1080</v>
      </c>
      <c r="H29">
        <v>3</v>
      </c>
      <c r="I29" t="s">
        <v>186</v>
      </c>
      <c r="J29" t="s">
        <v>3</v>
      </c>
      <c r="K29" t="s">
        <v>187</v>
      </c>
      <c r="L29">
        <v>1348</v>
      </c>
      <c r="N29">
        <v>1009</v>
      </c>
      <c r="O29" t="s">
        <v>172</v>
      </c>
      <c r="P29" t="s">
        <v>172</v>
      </c>
      <c r="Q29">
        <v>1000</v>
      </c>
      <c r="X29">
        <v>2.09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 t="s">
        <v>3</v>
      </c>
      <c r="AG29">
        <v>2.09</v>
      </c>
      <c r="AH29">
        <v>3</v>
      </c>
      <c r="AI29">
        <v>-1</v>
      </c>
      <c r="AJ29" t="s">
        <v>3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</row>
    <row r="30" spans="1:44" x14ac:dyDescent="0.2">
      <c r="A30">
        <f>ROW(Source!A45)</f>
        <v>45</v>
      </c>
      <c r="B30">
        <v>59214228</v>
      </c>
      <c r="C30">
        <v>59214201</v>
      </c>
      <c r="D30">
        <v>58298817</v>
      </c>
      <c r="E30">
        <v>1080</v>
      </c>
      <c r="F30">
        <v>1</v>
      </c>
      <c r="G30">
        <v>1080</v>
      </c>
      <c r="H30">
        <v>3</v>
      </c>
      <c r="I30" t="s">
        <v>188</v>
      </c>
      <c r="J30" t="s">
        <v>3</v>
      </c>
      <c r="K30" t="s">
        <v>189</v>
      </c>
      <c r="L30">
        <v>1348</v>
      </c>
      <c r="N30">
        <v>1009</v>
      </c>
      <c r="O30" t="s">
        <v>172</v>
      </c>
      <c r="P30" t="s">
        <v>172</v>
      </c>
      <c r="Q30">
        <v>1000</v>
      </c>
      <c r="X30">
        <v>0.15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 t="s">
        <v>3</v>
      </c>
      <c r="AG30">
        <v>0.15</v>
      </c>
      <c r="AH30">
        <v>3</v>
      </c>
      <c r="AI30">
        <v>-1</v>
      </c>
      <c r="AJ30" t="s">
        <v>3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6"/>
  <sheetViews>
    <sheetView workbookViewId="0"/>
  </sheetViews>
  <sheetFormatPr defaultColWidth="9.140625" defaultRowHeight="12.75" x14ac:dyDescent="0.2"/>
  <cols>
    <col min="1" max="256" width="9.140625" customWidth="1"/>
  </cols>
  <sheetData>
    <row r="1" spans="1:21" x14ac:dyDescent="0.2">
      <c r="A1">
        <v>28</v>
      </c>
      <c r="B1">
        <v>1</v>
      </c>
      <c r="C1" t="s">
        <v>3</v>
      </c>
      <c r="D1" t="s">
        <v>25</v>
      </c>
      <c r="E1" t="s">
        <v>26</v>
      </c>
      <c r="F1" t="s">
        <v>26</v>
      </c>
      <c r="G1" t="s">
        <v>26</v>
      </c>
      <c r="H1" t="s">
        <v>3</v>
      </c>
      <c r="I1" t="s">
        <v>26</v>
      </c>
      <c r="J1" t="s">
        <v>26</v>
      </c>
      <c r="K1" t="s">
        <v>3</v>
      </c>
      <c r="L1" t="s">
        <v>3</v>
      </c>
      <c r="M1" t="s">
        <v>3</v>
      </c>
      <c r="N1" t="s">
        <v>25</v>
      </c>
      <c r="O1" t="s">
        <v>26</v>
      </c>
      <c r="P1" t="s">
        <v>3</v>
      </c>
      <c r="Q1" t="s">
        <v>3</v>
      </c>
      <c r="R1" t="s">
        <v>3</v>
      </c>
      <c r="S1" t="s">
        <v>190</v>
      </c>
      <c r="T1" t="s">
        <v>193</v>
      </c>
      <c r="U1" t="s">
        <v>191</v>
      </c>
    </row>
    <row r="2" spans="1:21" x14ac:dyDescent="0.2">
      <c r="A2">
        <v>29</v>
      </c>
      <c r="B2">
        <v>1</v>
      </c>
      <c r="C2" t="s">
        <v>3</v>
      </c>
      <c r="D2" t="s">
        <v>25</v>
      </c>
      <c r="E2" t="s">
        <v>26</v>
      </c>
      <c r="F2" t="s">
        <v>26</v>
      </c>
      <c r="G2" t="s">
        <v>26</v>
      </c>
      <c r="H2" t="s">
        <v>3</v>
      </c>
      <c r="I2" t="s">
        <v>26</v>
      </c>
      <c r="J2" t="s">
        <v>26</v>
      </c>
      <c r="K2" t="s">
        <v>3</v>
      </c>
      <c r="L2" t="s">
        <v>3</v>
      </c>
      <c r="M2" t="s">
        <v>3</v>
      </c>
      <c r="N2" t="s">
        <v>25</v>
      </c>
      <c r="O2" t="s">
        <v>26</v>
      </c>
      <c r="P2" t="s">
        <v>3</v>
      </c>
      <c r="Q2" t="s">
        <v>3</v>
      </c>
      <c r="R2" t="s">
        <v>3</v>
      </c>
      <c r="S2" t="s">
        <v>190</v>
      </c>
      <c r="T2" t="s">
        <v>193</v>
      </c>
      <c r="U2" t="s">
        <v>191</v>
      </c>
    </row>
    <row r="3" spans="1:21" x14ac:dyDescent="0.2">
      <c r="A3">
        <v>40</v>
      </c>
      <c r="B3">
        <v>1</v>
      </c>
      <c r="C3" t="s">
        <v>3</v>
      </c>
      <c r="D3" t="s">
        <v>3</v>
      </c>
      <c r="E3" t="s">
        <v>26</v>
      </c>
      <c r="F3" t="s">
        <v>26</v>
      </c>
      <c r="G3" t="s">
        <v>26</v>
      </c>
      <c r="H3" t="s">
        <v>3</v>
      </c>
      <c r="I3" t="s">
        <v>26</v>
      </c>
      <c r="J3" t="s">
        <v>26</v>
      </c>
      <c r="K3" t="s">
        <v>3</v>
      </c>
      <c r="L3" t="s">
        <v>3</v>
      </c>
      <c r="M3" t="s">
        <v>3</v>
      </c>
      <c r="N3" t="s">
        <v>3</v>
      </c>
      <c r="O3" t="s">
        <v>26</v>
      </c>
      <c r="P3" t="s">
        <v>3</v>
      </c>
      <c r="Q3" t="s">
        <v>3</v>
      </c>
      <c r="R3" t="s">
        <v>3</v>
      </c>
      <c r="S3" t="s">
        <v>192</v>
      </c>
      <c r="T3" t="s">
        <v>197</v>
      </c>
      <c r="U3" t="s">
        <v>191</v>
      </c>
    </row>
    <row r="4" spans="1:21" x14ac:dyDescent="0.2">
      <c r="A4">
        <v>41</v>
      </c>
      <c r="B4">
        <v>1</v>
      </c>
      <c r="C4" t="s">
        <v>3</v>
      </c>
      <c r="D4" t="s">
        <v>3</v>
      </c>
      <c r="E4" t="s">
        <v>26</v>
      </c>
      <c r="F4" t="s">
        <v>26</v>
      </c>
      <c r="G4" t="s">
        <v>26</v>
      </c>
      <c r="H4" t="s">
        <v>3</v>
      </c>
      <c r="I4" t="s">
        <v>26</v>
      </c>
      <c r="J4" t="s">
        <v>26</v>
      </c>
      <c r="K4" t="s">
        <v>3</v>
      </c>
      <c r="L4" t="s">
        <v>3</v>
      </c>
      <c r="M4" t="s">
        <v>3</v>
      </c>
      <c r="N4" t="s">
        <v>3</v>
      </c>
      <c r="O4" t="s">
        <v>26</v>
      </c>
      <c r="P4" t="s">
        <v>3</v>
      </c>
      <c r="Q4" t="s">
        <v>3</v>
      </c>
      <c r="R4" t="s">
        <v>3</v>
      </c>
      <c r="S4" t="s">
        <v>192</v>
      </c>
      <c r="T4" t="s">
        <v>197</v>
      </c>
      <c r="U4" t="s">
        <v>191</v>
      </c>
    </row>
    <row r="5" spans="1:21" x14ac:dyDescent="0.2">
      <c r="A5">
        <v>44</v>
      </c>
      <c r="B5">
        <v>1</v>
      </c>
      <c r="C5" t="s">
        <v>3</v>
      </c>
      <c r="D5" t="s">
        <v>3</v>
      </c>
      <c r="E5" t="s">
        <v>26</v>
      </c>
      <c r="F5" t="s">
        <v>26</v>
      </c>
      <c r="G5" t="s">
        <v>26</v>
      </c>
      <c r="H5" t="s">
        <v>3</v>
      </c>
      <c r="I5" t="s">
        <v>26</v>
      </c>
      <c r="J5" t="s">
        <v>26</v>
      </c>
      <c r="K5" t="s">
        <v>3</v>
      </c>
      <c r="L5" t="s">
        <v>3</v>
      </c>
      <c r="M5" t="s">
        <v>3</v>
      </c>
      <c r="N5" t="s">
        <v>3</v>
      </c>
      <c r="O5" t="s">
        <v>26</v>
      </c>
      <c r="P5" t="s">
        <v>3</v>
      </c>
      <c r="Q5" t="s">
        <v>3</v>
      </c>
      <c r="R5" t="s">
        <v>3</v>
      </c>
      <c r="S5" t="s">
        <v>192</v>
      </c>
      <c r="T5" t="s">
        <v>197</v>
      </c>
      <c r="U5" t="s">
        <v>191</v>
      </c>
    </row>
    <row r="6" spans="1:21" x14ac:dyDescent="0.2">
      <c r="A6">
        <v>45</v>
      </c>
      <c r="B6">
        <v>1</v>
      </c>
      <c r="C6" t="s">
        <v>3</v>
      </c>
      <c r="D6" t="s">
        <v>3</v>
      </c>
      <c r="E6" t="s">
        <v>26</v>
      </c>
      <c r="F6" t="s">
        <v>26</v>
      </c>
      <c r="G6" t="s">
        <v>26</v>
      </c>
      <c r="H6" t="s">
        <v>3</v>
      </c>
      <c r="I6" t="s">
        <v>26</v>
      </c>
      <c r="J6" t="s">
        <v>26</v>
      </c>
      <c r="K6" t="s">
        <v>3</v>
      </c>
      <c r="L6" t="s">
        <v>3</v>
      </c>
      <c r="M6" t="s">
        <v>3</v>
      </c>
      <c r="N6" t="s">
        <v>3</v>
      </c>
      <c r="O6" t="s">
        <v>26</v>
      </c>
      <c r="P6" t="s">
        <v>3</v>
      </c>
      <c r="Q6" t="s">
        <v>3</v>
      </c>
      <c r="R6" t="s">
        <v>3</v>
      </c>
      <c r="S6" t="s">
        <v>192</v>
      </c>
      <c r="T6" t="s">
        <v>197</v>
      </c>
      <c r="U6" t="s">
        <v>191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Y12"/>
  <sheetViews>
    <sheetView workbookViewId="0"/>
  </sheetViews>
  <sheetFormatPr defaultColWidth="9.140625" defaultRowHeight="12.75" x14ac:dyDescent="0.2"/>
  <cols>
    <col min="1" max="256" width="9.140625" customWidth="1"/>
  </cols>
  <sheetData>
    <row r="1" spans="1:103" x14ac:dyDescent="0.2">
      <c r="A1">
        <v>0</v>
      </c>
      <c r="B1" t="s">
        <v>0</v>
      </c>
      <c r="D1" t="s">
        <v>1</v>
      </c>
      <c r="F1">
        <v>0</v>
      </c>
      <c r="G1">
        <v>0</v>
      </c>
      <c r="H1">
        <v>0</v>
      </c>
      <c r="I1" t="s">
        <v>2</v>
      </c>
      <c r="J1" t="s">
        <v>3</v>
      </c>
      <c r="K1">
        <v>1</v>
      </c>
      <c r="L1">
        <v>74402</v>
      </c>
      <c r="M1">
        <v>10</v>
      </c>
      <c r="N1">
        <v>12</v>
      </c>
      <c r="O1">
        <v>0</v>
      </c>
      <c r="P1">
        <v>0</v>
      </c>
      <c r="Q1">
        <v>3</v>
      </c>
    </row>
    <row r="12" spans="1:103" x14ac:dyDescent="0.2">
      <c r="F12" t="str">
        <f>Source!F12</f>
        <v>Новый объект (ТСН-2001 (Мосгосэкспертиза))</v>
      </c>
      <c r="G12" t="str">
        <f>Source!G12</f>
        <v>02-01-20 ПТА</v>
      </c>
      <c r="AB12" t="s">
        <v>3</v>
      </c>
      <c r="AC12" t="s">
        <v>3</v>
      </c>
      <c r="AD12" t="s">
        <v>3</v>
      </c>
      <c r="AE12" t="s">
        <v>3</v>
      </c>
      <c r="AF12" t="s">
        <v>3</v>
      </c>
      <c r="AG12" t="s">
        <v>3</v>
      </c>
      <c r="AH12" t="s">
        <v>3</v>
      </c>
      <c r="AI12" t="s">
        <v>3</v>
      </c>
      <c r="AJ12">
        <v>0</v>
      </c>
      <c r="AK12" t="s">
        <v>3</v>
      </c>
      <c r="AL12" t="s">
        <v>3</v>
      </c>
      <c r="AM12" t="s">
        <v>3</v>
      </c>
      <c r="CY12">
        <v>0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8</vt:i4>
      </vt:variant>
      <vt:variant>
        <vt:lpstr>Именованные диапазоны</vt:lpstr>
      </vt:variant>
      <vt:variant>
        <vt:i4>4</vt:i4>
      </vt:variant>
    </vt:vector>
  </HeadingPairs>
  <TitlesOfParts>
    <vt:vector size="12" baseType="lpstr">
      <vt:lpstr>02-01-20</vt:lpstr>
      <vt:lpstr>Ведомость объемов работ</vt:lpstr>
      <vt:lpstr>Source</vt:lpstr>
      <vt:lpstr>SourceObSm</vt:lpstr>
      <vt:lpstr>SmtRes</vt:lpstr>
      <vt:lpstr>EtalonRes</vt:lpstr>
      <vt:lpstr>SrcPoprs</vt:lpstr>
      <vt:lpstr>SrcKA</vt:lpstr>
      <vt:lpstr>'02-01-20'!Заголовки_для_печати</vt:lpstr>
      <vt:lpstr>'Ведомость объемов работ'!Заголовки_для_печати</vt:lpstr>
      <vt:lpstr>'02-01-20'!Область_печати</vt:lpstr>
      <vt:lpstr>'Ведомость объемов работ'!Область_печати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Кузнецова Елена Александровна</cp:lastModifiedBy>
  <dcterms:created xsi:type="dcterms:W3CDTF">2026-03-23T06:53:01Z</dcterms:created>
  <dcterms:modified xsi:type="dcterms:W3CDTF">2026-03-23T06:56:00Z</dcterms:modified>
</cp:coreProperties>
</file>