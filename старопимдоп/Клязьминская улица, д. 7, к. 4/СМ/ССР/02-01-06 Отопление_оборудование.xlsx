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13665" windowHeight="7125"/>
  </bookViews>
  <sheets>
    <sheet name="02-01-06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'02-01-06'!$27:$27</definedName>
    <definedName name="_xlnm.Print_Titles" localSheetId="1">'Ведомость объемов работ'!$9:$9</definedName>
    <definedName name="_xlnm.Print_Area" localSheetId="0">'02-01-06'!$A$1:$K$607</definedName>
    <definedName name="_xlnm.Print_Area" localSheetId="1">'Ведомость объемов работ'!$A$1:$H$105</definedName>
  </definedNames>
  <calcPr calcId="162913" iterate="1"/>
</workbook>
</file>

<file path=xl/calcChain.xml><?xml version="1.0" encoding="utf-8"?>
<calcChain xmlns="http://schemas.openxmlformats.org/spreadsheetml/2006/main">
  <c r="D103" i="8" l="1"/>
  <c r="D101" i="8"/>
  <c r="G98" i="8"/>
  <c r="F98" i="8"/>
  <c r="E98" i="8"/>
  <c r="C98" i="8"/>
  <c r="B98" i="8"/>
  <c r="G97" i="8"/>
  <c r="F97" i="8"/>
  <c r="E97" i="8"/>
  <c r="C97" i="8"/>
  <c r="B97" i="8"/>
  <c r="G96" i="8"/>
  <c r="F96" i="8"/>
  <c r="E96" i="8"/>
  <c r="C96" i="8"/>
  <c r="B96" i="8"/>
  <c r="G95" i="8"/>
  <c r="F95" i="8"/>
  <c r="E95" i="8"/>
  <c r="C95" i="8"/>
  <c r="B95" i="8"/>
  <c r="G94" i="8"/>
  <c r="F94" i="8"/>
  <c r="E94" i="8"/>
  <c r="C94" i="8"/>
  <c r="B94" i="8"/>
  <c r="G93" i="8"/>
  <c r="F93" i="8"/>
  <c r="E93" i="8"/>
  <c r="C93" i="8"/>
  <c r="B93" i="8"/>
  <c r="G92" i="8"/>
  <c r="F92" i="8"/>
  <c r="E92" i="8"/>
  <c r="C92" i="8"/>
  <c r="B92" i="8"/>
  <c r="G91" i="8"/>
  <c r="F91" i="8"/>
  <c r="E91" i="8"/>
  <c r="C91" i="8"/>
  <c r="B91" i="8"/>
  <c r="A90" i="8"/>
  <c r="G89" i="8"/>
  <c r="F89" i="8"/>
  <c r="E89" i="8"/>
  <c r="C89" i="8"/>
  <c r="B89" i="8"/>
  <c r="G88" i="8"/>
  <c r="F88" i="8"/>
  <c r="E88" i="8"/>
  <c r="C88" i="8"/>
  <c r="B88" i="8"/>
  <c r="G87" i="8"/>
  <c r="F87" i="8"/>
  <c r="E87" i="8"/>
  <c r="C87" i="8"/>
  <c r="B87" i="8"/>
  <c r="G86" i="8"/>
  <c r="F86" i="8"/>
  <c r="E86" i="8"/>
  <c r="C86" i="8"/>
  <c r="B86" i="8"/>
  <c r="G85" i="8"/>
  <c r="F85" i="8"/>
  <c r="E85" i="8"/>
  <c r="C85" i="8"/>
  <c r="B85" i="8"/>
  <c r="G84" i="8"/>
  <c r="F84" i="8"/>
  <c r="E84" i="8"/>
  <c r="C84" i="8"/>
  <c r="B84" i="8"/>
  <c r="G83" i="8"/>
  <c r="F83" i="8"/>
  <c r="E83" i="8"/>
  <c r="C83" i="8"/>
  <c r="B83" i="8"/>
  <c r="A82" i="8"/>
  <c r="G81" i="8"/>
  <c r="F81" i="8"/>
  <c r="E81" i="8"/>
  <c r="C81" i="8"/>
  <c r="B81" i="8"/>
  <c r="G80" i="8"/>
  <c r="F80" i="8"/>
  <c r="E80" i="8"/>
  <c r="C80" i="8"/>
  <c r="B80" i="8"/>
  <c r="G79" i="8"/>
  <c r="F79" i="8"/>
  <c r="E79" i="8"/>
  <c r="C79" i="8"/>
  <c r="B79" i="8"/>
  <c r="G78" i="8"/>
  <c r="F78" i="8"/>
  <c r="E78" i="8"/>
  <c r="C78" i="8"/>
  <c r="B78" i="8"/>
  <c r="G77" i="8"/>
  <c r="F77" i="8"/>
  <c r="E77" i="8"/>
  <c r="C77" i="8"/>
  <c r="B77" i="8"/>
  <c r="G76" i="8"/>
  <c r="F76" i="8"/>
  <c r="E76" i="8"/>
  <c r="C76" i="8"/>
  <c r="B76" i="8"/>
  <c r="G75" i="8"/>
  <c r="F75" i="8"/>
  <c r="E75" i="8"/>
  <c r="C75" i="8"/>
  <c r="B75" i="8"/>
  <c r="G74" i="8"/>
  <c r="F74" i="8"/>
  <c r="E74" i="8"/>
  <c r="C74" i="8"/>
  <c r="B74" i="8"/>
  <c r="G73" i="8"/>
  <c r="F73" i="8"/>
  <c r="E73" i="8"/>
  <c r="C73" i="8"/>
  <c r="B73" i="8"/>
  <c r="G72" i="8"/>
  <c r="F72" i="8"/>
  <c r="E72" i="8"/>
  <c r="C72" i="8"/>
  <c r="B72" i="8"/>
  <c r="G71" i="8"/>
  <c r="F71" i="8"/>
  <c r="E71" i="8"/>
  <c r="C71" i="8"/>
  <c r="B71" i="8"/>
  <c r="G70" i="8"/>
  <c r="F70" i="8"/>
  <c r="E70" i="8"/>
  <c r="C70" i="8"/>
  <c r="B70" i="8"/>
  <c r="G69" i="8"/>
  <c r="F69" i="8"/>
  <c r="E69" i="8"/>
  <c r="C69" i="8"/>
  <c r="B69" i="8"/>
  <c r="G68" i="8"/>
  <c r="F68" i="8"/>
  <c r="E68" i="8"/>
  <c r="C68" i="8"/>
  <c r="B68" i="8"/>
  <c r="G67" i="8"/>
  <c r="F67" i="8"/>
  <c r="E67" i="8"/>
  <c r="C67" i="8"/>
  <c r="B67" i="8"/>
  <c r="G66" i="8"/>
  <c r="F66" i="8"/>
  <c r="E66" i="8"/>
  <c r="C66" i="8"/>
  <c r="B66" i="8"/>
  <c r="A65" i="8"/>
  <c r="G64" i="8"/>
  <c r="F64" i="8"/>
  <c r="E64" i="8"/>
  <c r="C64" i="8"/>
  <c r="B64" i="8"/>
  <c r="G63" i="8"/>
  <c r="F63" i="8"/>
  <c r="E63" i="8"/>
  <c r="C63" i="8"/>
  <c r="B63" i="8"/>
  <c r="G62" i="8"/>
  <c r="F62" i="8"/>
  <c r="E62" i="8"/>
  <c r="C62" i="8"/>
  <c r="B62" i="8"/>
  <c r="G61" i="8"/>
  <c r="F61" i="8"/>
  <c r="E61" i="8"/>
  <c r="C61" i="8"/>
  <c r="B61" i="8"/>
  <c r="G60" i="8"/>
  <c r="F60" i="8"/>
  <c r="E60" i="8"/>
  <c r="C60" i="8"/>
  <c r="B60" i="8"/>
  <c r="G59" i="8"/>
  <c r="F59" i="8"/>
  <c r="E59" i="8"/>
  <c r="C59" i="8"/>
  <c r="B59" i="8"/>
  <c r="G58" i="8"/>
  <c r="F58" i="8"/>
  <c r="E58" i="8"/>
  <c r="C58" i="8"/>
  <c r="B58" i="8"/>
  <c r="G57" i="8"/>
  <c r="F57" i="8"/>
  <c r="E57" i="8"/>
  <c r="C57" i="8"/>
  <c r="B57" i="8"/>
  <c r="G56" i="8"/>
  <c r="F56" i="8"/>
  <c r="E56" i="8"/>
  <c r="C56" i="8"/>
  <c r="B56" i="8"/>
  <c r="G55" i="8"/>
  <c r="F55" i="8"/>
  <c r="E55" i="8"/>
  <c r="C55" i="8"/>
  <c r="B55" i="8"/>
  <c r="G54" i="8"/>
  <c r="F54" i="8"/>
  <c r="E54" i="8"/>
  <c r="C54" i="8"/>
  <c r="B54" i="8"/>
  <c r="G53" i="8"/>
  <c r="F53" i="8"/>
  <c r="E53" i="8"/>
  <c r="C53" i="8"/>
  <c r="B53" i="8"/>
  <c r="G52" i="8"/>
  <c r="F52" i="8"/>
  <c r="E52" i="8"/>
  <c r="C52" i="8"/>
  <c r="B52" i="8"/>
  <c r="G51" i="8"/>
  <c r="F51" i="8"/>
  <c r="E51" i="8"/>
  <c r="C51" i="8"/>
  <c r="B51" i="8"/>
  <c r="G50" i="8"/>
  <c r="F50" i="8"/>
  <c r="E50" i="8"/>
  <c r="C50" i="8"/>
  <c r="B50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G45" i="8"/>
  <c r="F45" i="8"/>
  <c r="E45" i="8"/>
  <c r="C45" i="8"/>
  <c r="B45" i="8"/>
  <c r="G44" i="8"/>
  <c r="F44" i="8"/>
  <c r="E44" i="8"/>
  <c r="C44" i="8"/>
  <c r="B44" i="8"/>
  <c r="G43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G38" i="8"/>
  <c r="F38" i="8"/>
  <c r="E38" i="8"/>
  <c r="C38" i="8"/>
  <c r="B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G16" i="8"/>
  <c r="F16" i="8"/>
  <c r="E16" i="8"/>
  <c r="C16" i="8"/>
  <c r="B16" i="8"/>
  <c r="A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605" i="7"/>
  <c r="H602" i="7"/>
  <c r="C605" i="7"/>
  <c r="C602" i="7"/>
  <c r="I599" i="7"/>
  <c r="J599" i="7"/>
  <c r="I598" i="7"/>
  <c r="J598" i="7"/>
  <c r="A597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595" i="7"/>
  <c r="J595" i="7"/>
  <c r="I594" i="7"/>
  <c r="J594" i="7"/>
  <c r="A593" i="7"/>
  <c r="I591" i="7"/>
  <c r="J591" i="7"/>
  <c r="I590" i="7"/>
  <c r="J590" i="7"/>
  <c r="A589" i="7"/>
  <c r="P586" i="7"/>
  <c r="J586" i="7"/>
  <c r="C585" i="7"/>
  <c r="K584" i="7"/>
  <c r="J584" i="7"/>
  <c r="I584" i="7"/>
  <c r="H584" i="7"/>
  <c r="G584" i="7"/>
  <c r="F584" i="7"/>
  <c r="V584" i="7"/>
  <c r="T584" i="7"/>
  <c r="R584" i="7"/>
  <c r="U584" i="7"/>
  <c r="S584" i="7"/>
  <c r="Q584" i="7"/>
  <c r="E584" i="7"/>
  <c r="D584" i="7"/>
  <c r="B584" i="7"/>
  <c r="P582" i="7"/>
  <c r="J582" i="7"/>
  <c r="C581" i="7"/>
  <c r="K580" i="7"/>
  <c r="J580" i="7"/>
  <c r="I580" i="7"/>
  <c r="H580" i="7"/>
  <c r="G580" i="7"/>
  <c r="F580" i="7"/>
  <c r="V580" i="7"/>
  <c r="T580" i="7"/>
  <c r="R580" i="7"/>
  <c r="U580" i="7"/>
  <c r="S580" i="7"/>
  <c r="Q580" i="7"/>
  <c r="E580" i="7"/>
  <c r="D580" i="7"/>
  <c r="B580" i="7"/>
  <c r="P578" i="7"/>
  <c r="J578" i="7"/>
  <c r="K577" i="7"/>
  <c r="J577" i="7"/>
  <c r="I577" i="7"/>
  <c r="O578" i="7" s="1"/>
  <c r="H577" i="7"/>
  <c r="G577" i="7"/>
  <c r="F577" i="7"/>
  <c r="V577" i="7"/>
  <c r="T577" i="7"/>
  <c r="R577" i="7"/>
  <c r="U577" i="7"/>
  <c r="S577" i="7"/>
  <c r="Q577" i="7"/>
  <c r="E577" i="7"/>
  <c r="D577" i="7"/>
  <c r="B577" i="7"/>
  <c r="O575" i="7"/>
  <c r="J575" i="7"/>
  <c r="C574" i="7"/>
  <c r="K573" i="7"/>
  <c r="P575" i="7" s="1"/>
  <c r="J573" i="7"/>
  <c r="I573" i="7"/>
  <c r="H575" i="7" s="1"/>
  <c r="H573" i="7"/>
  <c r="G573" i="7"/>
  <c r="F573" i="7"/>
  <c r="V573" i="7"/>
  <c r="T573" i="7"/>
  <c r="R573" i="7"/>
  <c r="U573" i="7"/>
  <c r="S573" i="7"/>
  <c r="Q573" i="7"/>
  <c r="E573" i="7"/>
  <c r="D573" i="7"/>
  <c r="B573" i="7"/>
  <c r="O571" i="7"/>
  <c r="J571" i="7"/>
  <c r="C570" i="7"/>
  <c r="K569" i="7"/>
  <c r="P571" i="7" s="1"/>
  <c r="J569" i="7"/>
  <c r="I569" i="7"/>
  <c r="H571" i="7" s="1"/>
  <c r="H569" i="7"/>
  <c r="G569" i="7"/>
  <c r="F569" i="7"/>
  <c r="V569" i="7"/>
  <c r="T569" i="7"/>
  <c r="R569" i="7"/>
  <c r="U569" i="7"/>
  <c r="S569" i="7"/>
  <c r="Q569" i="7"/>
  <c r="E569" i="7"/>
  <c r="D569" i="7"/>
  <c r="B569" i="7"/>
  <c r="O567" i="7"/>
  <c r="H567" i="7"/>
  <c r="K566" i="7"/>
  <c r="J566" i="7"/>
  <c r="I566" i="7"/>
  <c r="H566" i="7"/>
  <c r="G566" i="7"/>
  <c r="F566" i="7"/>
  <c r="V566" i="7"/>
  <c r="T566" i="7"/>
  <c r="R566" i="7"/>
  <c r="U566" i="7"/>
  <c r="S566" i="7"/>
  <c r="Q566" i="7"/>
  <c r="E566" i="7"/>
  <c r="D566" i="7"/>
  <c r="B566" i="7"/>
  <c r="O564" i="7"/>
  <c r="H564" i="7"/>
  <c r="C563" i="7"/>
  <c r="K562" i="7"/>
  <c r="J562" i="7"/>
  <c r="I562" i="7"/>
  <c r="H562" i="7"/>
  <c r="G562" i="7"/>
  <c r="F562" i="7"/>
  <c r="V562" i="7"/>
  <c r="T562" i="7"/>
  <c r="R562" i="7"/>
  <c r="U562" i="7"/>
  <c r="S562" i="7"/>
  <c r="Q562" i="7"/>
  <c r="E562" i="7"/>
  <c r="D562" i="7"/>
  <c r="B562" i="7"/>
  <c r="H559" i="7"/>
  <c r="J560" i="7"/>
  <c r="J559" i="7"/>
  <c r="I557" i="7"/>
  <c r="H557" i="7"/>
  <c r="G557" i="7"/>
  <c r="E557" i="7"/>
  <c r="K556" i="7"/>
  <c r="J556" i="7"/>
  <c r="E556" i="7"/>
  <c r="K555" i="7"/>
  <c r="J555" i="7"/>
  <c r="E555" i="7"/>
  <c r="K554" i="7"/>
  <c r="J554" i="7"/>
  <c r="I554" i="7"/>
  <c r="H554" i="7"/>
  <c r="G554" i="7"/>
  <c r="F554" i="7"/>
  <c r="K553" i="7"/>
  <c r="J553" i="7"/>
  <c r="I553" i="7"/>
  <c r="H553" i="7"/>
  <c r="G553" i="7"/>
  <c r="F553" i="7"/>
  <c r="K552" i="7"/>
  <c r="P560" i="7" s="1"/>
  <c r="J552" i="7"/>
  <c r="I552" i="7"/>
  <c r="H552" i="7"/>
  <c r="G552" i="7"/>
  <c r="F552" i="7"/>
  <c r="K551" i="7"/>
  <c r="J558" i="7" s="1"/>
  <c r="J551" i="7"/>
  <c r="I551" i="7"/>
  <c r="H551" i="7"/>
  <c r="G551" i="7"/>
  <c r="F551" i="7"/>
  <c r="C550" i="7"/>
  <c r="V549" i="7"/>
  <c r="T549" i="7"/>
  <c r="R549" i="7"/>
  <c r="U549" i="7"/>
  <c r="S549" i="7"/>
  <c r="I556" i="7" s="1"/>
  <c r="Q549" i="7"/>
  <c r="I555" i="7" s="1"/>
  <c r="H560" i="7" s="1"/>
  <c r="E549" i="7"/>
  <c r="D549" i="7"/>
  <c r="B549" i="7"/>
  <c r="A548" i="7"/>
  <c r="I546" i="7"/>
  <c r="J546" i="7"/>
  <c r="I545" i="7"/>
  <c r="J545" i="7"/>
  <c r="A544" i="7"/>
  <c r="H540" i="7"/>
  <c r="J540" i="7"/>
  <c r="I538" i="7"/>
  <c r="H538" i="7"/>
  <c r="G538" i="7"/>
  <c r="E538" i="7"/>
  <c r="J537" i="7"/>
  <c r="E537" i="7"/>
  <c r="J536" i="7"/>
  <c r="E536" i="7"/>
  <c r="K535" i="7"/>
  <c r="J535" i="7"/>
  <c r="H535" i="7"/>
  <c r="I535" i="7"/>
  <c r="F535" i="7"/>
  <c r="V535" i="7"/>
  <c r="T535" i="7"/>
  <c r="R535" i="7"/>
  <c r="K536" i="7" s="1"/>
  <c r="J539" i="7" s="1"/>
  <c r="U535" i="7"/>
  <c r="S535" i="7"/>
  <c r="Q535" i="7"/>
  <c r="I536" i="7" s="1"/>
  <c r="E535" i="7"/>
  <c r="D535" i="7"/>
  <c r="B535" i="7"/>
  <c r="K534" i="7"/>
  <c r="J534" i="7"/>
  <c r="I534" i="7"/>
  <c r="H534" i="7"/>
  <c r="G534" i="7"/>
  <c r="F534" i="7"/>
  <c r="K533" i="7"/>
  <c r="J533" i="7"/>
  <c r="I533" i="7"/>
  <c r="H533" i="7"/>
  <c r="G533" i="7"/>
  <c r="F533" i="7"/>
  <c r="K532" i="7"/>
  <c r="J532" i="7"/>
  <c r="I532" i="7"/>
  <c r="H532" i="7"/>
  <c r="G532" i="7"/>
  <c r="F532" i="7"/>
  <c r="K531" i="7"/>
  <c r="J531" i="7"/>
  <c r="I531" i="7"/>
  <c r="H531" i="7"/>
  <c r="G531" i="7"/>
  <c r="F531" i="7"/>
  <c r="C530" i="7"/>
  <c r="V529" i="7"/>
  <c r="T529" i="7"/>
  <c r="K537" i="7" s="1"/>
  <c r="R529" i="7"/>
  <c r="U529" i="7"/>
  <c r="S529" i="7"/>
  <c r="I537" i="7" s="1"/>
  <c r="H539" i="7" s="1"/>
  <c r="Q529" i="7"/>
  <c r="E529" i="7"/>
  <c r="D529" i="7"/>
  <c r="B529" i="7"/>
  <c r="H526" i="7"/>
  <c r="J526" i="7"/>
  <c r="I524" i="7"/>
  <c r="H524" i="7"/>
  <c r="G524" i="7"/>
  <c r="E524" i="7"/>
  <c r="J523" i="7"/>
  <c r="E523" i="7"/>
  <c r="J522" i="7"/>
  <c r="E522" i="7"/>
  <c r="K521" i="7"/>
  <c r="J521" i="7"/>
  <c r="H521" i="7"/>
  <c r="I521" i="7"/>
  <c r="F521" i="7"/>
  <c r="V521" i="7"/>
  <c r="T521" i="7"/>
  <c r="R521" i="7"/>
  <c r="K522" i="7" s="1"/>
  <c r="J525" i="7" s="1"/>
  <c r="U521" i="7"/>
  <c r="S521" i="7"/>
  <c r="Q521" i="7"/>
  <c r="I522" i="7" s="1"/>
  <c r="E521" i="7"/>
  <c r="D521" i="7"/>
  <c r="B521" i="7"/>
  <c r="K520" i="7"/>
  <c r="J520" i="7"/>
  <c r="I520" i="7"/>
  <c r="H520" i="7"/>
  <c r="G520" i="7"/>
  <c r="F520" i="7"/>
  <c r="K519" i="7"/>
  <c r="J519" i="7"/>
  <c r="I519" i="7"/>
  <c r="H519" i="7"/>
  <c r="G519" i="7"/>
  <c r="F519" i="7"/>
  <c r="K518" i="7"/>
  <c r="J518" i="7"/>
  <c r="I518" i="7"/>
  <c r="H518" i="7"/>
  <c r="G518" i="7"/>
  <c r="F518" i="7"/>
  <c r="K517" i="7"/>
  <c r="J517" i="7"/>
  <c r="I517" i="7"/>
  <c r="H517" i="7"/>
  <c r="G517" i="7"/>
  <c r="F517" i="7"/>
  <c r="C516" i="7"/>
  <c r="V515" i="7"/>
  <c r="T515" i="7"/>
  <c r="K523" i="7" s="1"/>
  <c r="R515" i="7"/>
  <c r="U515" i="7"/>
  <c r="S515" i="7"/>
  <c r="I523" i="7" s="1"/>
  <c r="H525" i="7" s="1"/>
  <c r="Q515" i="7"/>
  <c r="E515" i="7"/>
  <c r="D515" i="7"/>
  <c r="B515" i="7"/>
  <c r="H512" i="7"/>
  <c r="J512" i="7"/>
  <c r="I510" i="7"/>
  <c r="H510" i="7"/>
  <c r="G510" i="7"/>
  <c r="E510" i="7"/>
  <c r="J509" i="7"/>
  <c r="E509" i="7"/>
  <c r="J508" i="7"/>
  <c r="E508" i="7"/>
  <c r="K507" i="7"/>
  <c r="J507" i="7"/>
  <c r="H507" i="7"/>
  <c r="I507" i="7"/>
  <c r="F507" i="7"/>
  <c r="V507" i="7"/>
  <c r="T507" i="7"/>
  <c r="R507" i="7"/>
  <c r="K508" i="7" s="1"/>
  <c r="J511" i="7" s="1"/>
  <c r="U507" i="7"/>
  <c r="S507" i="7"/>
  <c r="Q507" i="7"/>
  <c r="I508" i="7" s="1"/>
  <c r="E507" i="7"/>
  <c r="D507" i="7"/>
  <c r="B507" i="7"/>
  <c r="K506" i="7"/>
  <c r="J506" i="7"/>
  <c r="I506" i="7"/>
  <c r="H506" i="7"/>
  <c r="G506" i="7"/>
  <c r="F506" i="7"/>
  <c r="K505" i="7"/>
  <c r="J505" i="7"/>
  <c r="I505" i="7"/>
  <c r="H505" i="7"/>
  <c r="G505" i="7"/>
  <c r="F505" i="7"/>
  <c r="K504" i="7"/>
  <c r="J504" i="7"/>
  <c r="I504" i="7"/>
  <c r="H504" i="7"/>
  <c r="G504" i="7"/>
  <c r="F504" i="7"/>
  <c r="K503" i="7"/>
  <c r="J503" i="7"/>
  <c r="I503" i="7"/>
  <c r="H503" i="7"/>
  <c r="G503" i="7"/>
  <c r="F503" i="7"/>
  <c r="C502" i="7"/>
  <c r="V501" i="7"/>
  <c r="T501" i="7"/>
  <c r="K509" i="7" s="1"/>
  <c r="R501" i="7"/>
  <c r="U501" i="7"/>
  <c r="S501" i="7"/>
  <c r="I509" i="7" s="1"/>
  <c r="H511" i="7" s="1"/>
  <c r="Q501" i="7"/>
  <c r="E501" i="7"/>
  <c r="D501" i="7"/>
  <c r="B501" i="7"/>
  <c r="H498" i="7"/>
  <c r="J498" i="7"/>
  <c r="I496" i="7"/>
  <c r="H496" i="7"/>
  <c r="G496" i="7"/>
  <c r="E496" i="7"/>
  <c r="J495" i="7"/>
  <c r="E495" i="7"/>
  <c r="J494" i="7"/>
  <c r="E494" i="7"/>
  <c r="K493" i="7"/>
  <c r="J493" i="7"/>
  <c r="H493" i="7"/>
  <c r="I493" i="7"/>
  <c r="F493" i="7"/>
  <c r="V493" i="7"/>
  <c r="T493" i="7"/>
  <c r="R493" i="7"/>
  <c r="K494" i="7" s="1"/>
  <c r="J497" i="7" s="1"/>
  <c r="U493" i="7"/>
  <c r="S493" i="7"/>
  <c r="Q493" i="7"/>
  <c r="I494" i="7" s="1"/>
  <c r="E493" i="7"/>
  <c r="D493" i="7"/>
  <c r="B493" i="7"/>
  <c r="K492" i="7"/>
  <c r="J492" i="7"/>
  <c r="I492" i="7"/>
  <c r="H492" i="7"/>
  <c r="G492" i="7"/>
  <c r="F492" i="7"/>
  <c r="K491" i="7"/>
  <c r="J491" i="7"/>
  <c r="I491" i="7"/>
  <c r="H491" i="7"/>
  <c r="G491" i="7"/>
  <c r="F491" i="7"/>
  <c r="K490" i="7"/>
  <c r="J490" i="7"/>
  <c r="I490" i="7"/>
  <c r="H490" i="7"/>
  <c r="G490" i="7"/>
  <c r="F490" i="7"/>
  <c r="K489" i="7"/>
  <c r="J489" i="7"/>
  <c r="I489" i="7"/>
  <c r="H489" i="7"/>
  <c r="G489" i="7"/>
  <c r="F489" i="7"/>
  <c r="C488" i="7"/>
  <c r="V487" i="7"/>
  <c r="T487" i="7"/>
  <c r="K495" i="7" s="1"/>
  <c r="R487" i="7"/>
  <c r="U487" i="7"/>
  <c r="S487" i="7"/>
  <c r="I495" i="7" s="1"/>
  <c r="H497" i="7" s="1"/>
  <c r="Q487" i="7"/>
  <c r="E487" i="7"/>
  <c r="D487" i="7"/>
  <c r="B487" i="7"/>
  <c r="H484" i="7"/>
  <c r="J484" i="7"/>
  <c r="I482" i="7"/>
  <c r="H482" i="7"/>
  <c r="G482" i="7"/>
  <c r="E482" i="7"/>
  <c r="J481" i="7"/>
  <c r="E481" i="7"/>
  <c r="J480" i="7"/>
  <c r="E480" i="7"/>
  <c r="K479" i="7"/>
  <c r="J479" i="7"/>
  <c r="H479" i="7"/>
  <c r="I479" i="7"/>
  <c r="F479" i="7"/>
  <c r="V479" i="7"/>
  <c r="T479" i="7"/>
  <c r="R479" i="7"/>
  <c r="K480" i="7" s="1"/>
  <c r="J483" i="7" s="1"/>
  <c r="U479" i="7"/>
  <c r="S479" i="7"/>
  <c r="Q479" i="7"/>
  <c r="I480" i="7" s="1"/>
  <c r="E479" i="7"/>
  <c r="D479" i="7"/>
  <c r="B479" i="7"/>
  <c r="K478" i="7"/>
  <c r="J478" i="7"/>
  <c r="I478" i="7"/>
  <c r="H478" i="7"/>
  <c r="G478" i="7"/>
  <c r="F478" i="7"/>
  <c r="K477" i="7"/>
  <c r="J477" i="7"/>
  <c r="I477" i="7"/>
  <c r="H477" i="7"/>
  <c r="G477" i="7"/>
  <c r="F477" i="7"/>
  <c r="K476" i="7"/>
  <c r="J476" i="7"/>
  <c r="I476" i="7"/>
  <c r="H476" i="7"/>
  <c r="G476" i="7"/>
  <c r="F476" i="7"/>
  <c r="K475" i="7"/>
  <c r="J475" i="7"/>
  <c r="I475" i="7"/>
  <c r="H475" i="7"/>
  <c r="G475" i="7"/>
  <c r="F475" i="7"/>
  <c r="C474" i="7"/>
  <c r="V473" i="7"/>
  <c r="T473" i="7"/>
  <c r="K481" i="7" s="1"/>
  <c r="R473" i="7"/>
  <c r="U473" i="7"/>
  <c r="S473" i="7"/>
  <c r="I481" i="7" s="1"/>
  <c r="H483" i="7" s="1"/>
  <c r="Q473" i="7"/>
  <c r="E473" i="7"/>
  <c r="D473" i="7"/>
  <c r="B473" i="7"/>
  <c r="H470" i="7"/>
  <c r="J470" i="7"/>
  <c r="I468" i="7"/>
  <c r="H468" i="7"/>
  <c r="G468" i="7"/>
  <c r="E468" i="7"/>
  <c r="J467" i="7"/>
  <c r="E467" i="7"/>
  <c r="J466" i="7"/>
  <c r="E466" i="7"/>
  <c r="K465" i="7"/>
  <c r="J465" i="7"/>
  <c r="H465" i="7"/>
  <c r="I465" i="7"/>
  <c r="F465" i="7"/>
  <c r="V465" i="7"/>
  <c r="T465" i="7"/>
  <c r="R465" i="7"/>
  <c r="K466" i="7" s="1"/>
  <c r="J469" i="7" s="1"/>
  <c r="U465" i="7"/>
  <c r="S465" i="7"/>
  <c r="Q465" i="7"/>
  <c r="I466" i="7" s="1"/>
  <c r="E465" i="7"/>
  <c r="D465" i="7"/>
  <c r="B465" i="7"/>
  <c r="K464" i="7"/>
  <c r="J464" i="7"/>
  <c r="I464" i="7"/>
  <c r="H464" i="7"/>
  <c r="G464" i="7"/>
  <c r="F464" i="7"/>
  <c r="K463" i="7"/>
  <c r="J463" i="7"/>
  <c r="I463" i="7"/>
  <c r="H463" i="7"/>
  <c r="G463" i="7"/>
  <c r="F463" i="7"/>
  <c r="K462" i="7"/>
  <c r="J462" i="7"/>
  <c r="I462" i="7"/>
  <c r="H462" i="7"/>
  <c r="G462" i="7"/>
  <c r="F462" i="7"/>
  <c r="K461" i="7"/>
  <c r="J461" i="7"/>
  <c r="I461" i="7"/>
  <c r="H461" i="7"/>
  <c r="G461" i="7"/>
  <c r="F461" i="7"/>
  <c r="C460" i="7"/>
  <c r="V459" i="7"/>
  <c r="T459" i="7"/>
  <c r="K467" i="7" s="1"/>
  <c r="R459" i="7"/>
  <c r="U459" i="7"/>
  <c r="S459" i="7"/>
  <c r="I467" i="7" s="1"/>
  <c r="H469" i="7" s="1"/>
  <c r="Q459" i="7"/>
  <c r="E459" i="7"/>
  <c r="D459" i="7"/>
  <c r="B459" i="7"/>
  <c r="H456" i="7"/>
  <c r="J456" i="7"/>
  <c r="I454" i="7"/>
  <c r="H454" i="7"/>
  <c r="G454" i="7"/>
  <c r="E454" i="7"/>
  <c r="J453" i="7"/>
  <c r="E453" i="7"/>
  <c r="J452" i="7"/>
  <c r="E452" i="7"/>
  <c r="K451" i="7"/>
  <c r="J451" i="7"/>
  <c r="H451" i="7"/>
  <c r="I451" i="7"/>
  <c r="F451" i="7"/>
  <c r="V451" i="7"/>
  <c r="T451" i="7"/>
  <c r="R451" i="7"/>
  <c r="K452" i="7" s="1"/>
  <c r="J455" i="7" s="1"/>
  <c r="U451" i="7"/>
  <c r="S451" i="7"/>
  <c r="Q451" i="7"/>
  <c r="I452" i="7" s="1"/>
  <c r="E451" i="7"/>
  <c r="D451" i="7"/>
  <c r="B451" i="7"/>
  <c r="K450" i="7"/>
  <c r="J450" i="7"/>
  <c r="I450" i="7"/>
  <c r="H450" i="7"/>
  <c r="G450" i="7"/>
  <c r="F450" i="7"/>
  <c r="K449" i="7"/>
  <c r="J449" i="7"/>
  <c r="I449" i="7"/>
  <c r="H449" i="7"/>
  <c r="G449" i="7"/>
  <c r="F449" i="7"/>
  <c r="K448" i="7"/>
  <c r="J448" i="7"/>
  <c r="I448" i="7"/>
  <c r="H448" i="7"/>
  <c r="G448" i="7"/>
  <c r="F448" i="7"/>
  <c r="K447" i="7"/>
  <c r="J447" i="7"/>
  <c r="I447" i="7"/>
  <c r="H447" i="7"/>
  <c r="G447" i="7"/>
  <c r="F447" i="7"/>
  <c r="C446" i="7"/>
  <c r="V445" i="7"/>
  <c r="T445" i="7"/>
  <c r="K453" i="7" s="1"/>
  <c r="R445" i="7"/>
  <c r="U445" i="7"/>
  <c r="S445" i="7"/>
  <c r="I453" i="7" s="1"/>
  <c r="H455" i="7" s="1"/>
  <c r="Q445" i="7"/>
  <c r="E445" i="7"/>
  <c r="D445" i="7"/>
  <c r="B445" i="7"/>
  <c r="A444" i="7"/>
  <c r="I442" i="7"/>
  <c r="J442" i="7"/>
  <c r="I441" i="7"/>
  <c r="J441" i="7"/>
  <c r="A440" i="7"/>
  <c r="P437" i="7"/>
  <c r="J437" i="7"/>
  <c r="K436" i="7"/>
  <c r="J436" i="7"/>
  <c r="I436" i="7"/>
  <c r="O437" i="7" s="1"/>
  <c r="H436" i="7"/>
  <c r="G436" i="7"/>
  <c r="F436" i="7"/>
  <c r="V436" i="7"/>
  <c r="T436" i="7"/>
  <c r="R436" i="7"/>
  <c r="U436" i="7"/>
  <c r="S436" i="7"/>
  <c r="Q436" i="7"/>
  <c r="E436" i="7"/>
  <c r="D436" i="7"/>
  <c r="B436" i="7"/>
  <c r="O434" i="7"/>
  <c r="H433" i="7"/>
  <c r="J433" i="7"/>
  <c r="I431" i="7"/>
  <c r="H431" i="7"/>
  <c r="G431" i="7"/>
  <c r="E431" i="7"/>
  <c r="K430" i="7"/>
  <c r="J430" i="7"/>
  <c r="E430" i="7"/>
  <c r="K429" i="7"/>
  <c r="J429" i="7"/>
  <c r="E429" i="7"/>
  <c r="K428" i="7"/>
  <c r="J428" i="7"/>
  <c r="I428" i="7"/>
  <c r="H428" i="7"/>
  <c r="G428" i="7"/>
  <c r="F428" i="7"/>
  <c r="C427" i="7"/>
  <c r="V426" i="7"/>
  <c r="T426" i="7"/>
  <c r="R426" i="7"/>
  <c r="U426" i="7"/>
  <c r="S426" i="7"/>
  <c r="I430" i="7" s="1"/>
  <c r="Q426" i="7"/>
  <c r="I429" i="7" s="1"/>
  <c r="E426" i="7"/>
  <c r="D426" i="7"/>
  <c r="B426" i="7"/>
  <c r="H423" i="7"/>
  <c r="J423" i="7"/>
  <c r="I421" i="7"/>
  <c r="H421" i="7"/>
  <c r="G421" i="7"/>
  <c r="E421" i="7"/>
  <c r="K420" i="7"/>
  <c r="J420" i="7"/>
  <c r="E420" i="7"/>
  <c r="K419" i="7"/>
  <c r="J419" i="7"/>
  <c r="E419" i="7"/>
  <c r="K418" i="7"/>
  <c r="J418" i="7"/>
  <c r="I418" i="7"/>
  <c r="H418" i="7"/>
  <c r="G418" i="7"/>
  <c r="F418" i="7"/>
  <c r="K417" i="7"/>
  <c r="J417" i="7"/>
  <c r="I417" i="7"/>
  <c r="H417" i="7"/>
  <c r="G417" i="7"/>
  <c r="F417" i="7"/>
  <c r="K416" i="7"/>
  <c r="J422" i="7" s="1"/>
  <c r="J416" i="7"/>
  <c r="I416" i="7"/>
  <c r="H416" i="7"/>
  <c r="G416" i="7"/>
  <c r="F416" i="7"/>
  <c r="K415" i="7"/>
  <c r="J415" i="7"/>
  <c r="I415" i="7"/>
  <c r="H415" i="7"/>
  <c r="G415" i="7"/>
  <c r="F415" i="7"/>
  <c r="C414" i="7"/>
  <c r="V413" i="7"/>
  <c r="T413" i="7"/>
  <c r="R413" i="7"/>
  <c r="U413" i="7"/>
  <c r="S413" i="7"/>
  <c r="I420" i="7" s="1"/>
  <c r="Q413" i="7"/>
  <c r="I419" i="7" s="1"/>
  <c r="E413" i="7"/>
  <c r="D413" i="7"/>
  <c r="B413" i="7"/>
  <c r="B412" i="7"/>
  <c r="O409" i="7"/>
  <c r="H409" i="7"/>
  <c r="K408" i="7"/>
  <c r="P409" i="7" s="1"/>
  <c r="J408" i="7"/>
  <c r="I408" i="7"/>
  <c r="H408" i="7"/>
  <c r="G408" i="7"/>
  <c r="F408" i="7"/>
  <c r="V408" i="7"/>
  <c r="T408" i="7"/>
  <c r="R408" i="7"/>
  <c r="U408" i="7"/>
  <c r="S408" i="7"/>
  <c r="Q408" i="7"/>
  <c r="E408" i="7"/>
  <c r="D408" i="7"/>
  <c r="B408" i="7"/>
  <c r="H405" i="7"/>
  <c r="J405" i="7"/>
  <c r="I403" i="7"/>
  <c r="H403" i="7"/>
  <c r="G403" i="7"/>
  <c r="E403" i="7"/>
  <c r="J402" i="7"/>
  <c r="I402" i="7"/>
  <c r="E402" i="7"/>
  <c r="J401" i="7"/>
  <c r="I401" i="7"/>
  <c r="E401" i="7"/>
  <c r="K400" i="7"/>
  <c r="J400" i="7"/>
  <c r="I400" i="7"/>
  <c r="H406" i="7" s="1"/>
  <c r="H400" i="7"/>
  <c r="G400" i="7"/>
  <c r="F400" i="7"/>
  <c r="K399" i="7"/>
  <c r="J399" i="7"/>
  <c r="I399" i="7"/>
  <c r="H404" i="7" s="1"/>
  <c r="H399" i="7"/>
  <c r="G399" i="7"/>
  <c r="F399" i="7"/>
  <c r="V398" i="7"/>
  <c r="T398" i="7"/>
  <c r="K402" i="7" s="1"/>
  <c r="R398" i="7"/>
  <c r="K401" i="7" s="1"/>
  <c r="U398" i="7"/>
  <c r="S398" i="7"/>
  <c r="Q398" i="7"/>
  <c r="E398" i="7"/>
  <c r="D398" i="7"/>
  <c r="B398" i="7"/>
  <c r="O396" i="7"/>
  <c r="H396" i="7"/>
  <c r="K395" i="7"/>
  <c r="P396" i="7" s="1"/>
  <c r="J395" i="7"/>
  <c r="I395" i="7"/>
  <c r="H395" i="7"/>
  <c r="G395" i="7"/>
  <c r="F395" i="7"/>
  <c r="V395" i="7"/>
  <c r="T395" i="7"/>
  <c r="R395" i="7"/>
  <c r="U395" i="7"/>
  <c r="S395" i="7"/>
  <c r="Q395" i="7"/>
  <c r="E395" i="7"/>
  <c r="D395" i="7"/>
  <c r="B395" i="7"/>
  <c r="P393" i="7"/>
  <c r="J393" i="7"/>
  <c r="K392" i="7"/>
  <c r="J392" i="7"/>
  <c r="I392" i="7"/>
  <c r="H392" i="7"/>
  <c r="G392" i="7"/>
  <c r="F392" i="7"/>
  <c r="V392" i="7"/>
  <c r="T392" i="7"/>
  <c r="R392" i="7"/>
  <c r="U392" i="7"/>
  <c r="S392" i="7"/>
  <c r="Q392" i="7"/>
  <c r="E392" i="7"/>
  <c r="D392" i="7"/>
  <c r="B392" i="7"/>
  <c r="H389" i="7"/>
  <c r="H388" i="7"/>
  <c r="J389" i="7"/>
  <c r="I387" i="7"/>
  <c r="H387" i="7"/>
  <c r="G387" i="7"/>
  <c r="E387" i="7"/>
  <c r="J386" i="7"/>
  <c r="I386" i="7"/>
  <c r="E386" i="7"/>
  <c r="J385" i="7"/>
  <c r="I385" i="7"/>
  <c r="E385" i="7"/>
  <c r="K384" i="7"/>
  <c r="J384" i="7"/>
  <c r="I384" i="7"/>
  <c r="H384" i="7"/>
  <c r="G384" i="7"/>
  <c r="F384" i="7"/>
  <c r="K383" i="7"/>
  <c r="J383" i="7"/>
  <c r="I383" i="7"/>
  <c r="O390" i="7" s="1"/>
  <c r="H383" i="7"/>
  <c r="G383" i="7"/>
  <c r="F383" i="7"/>
  <c r="V382" i="7"/>
  <c r="T382" i="7"/>
  <c r="K386" i="7" s="1"/>
  <c r="J388" i="7" s="1"/>
  <c r="R382" i="7"/>
  <c r="K385" i="7" s="1"/>
  <c r="U382" i="7"/>
  <c r="S382" i="7"/>
  <c r="Q382" i="7"/>
  <c r="E382" i="7"/>
  <c r="D382" i="7"/>
  <c r="B382" i="7"/>
  <c r="P380" i="7"/>
  <c r="J380" i="7"/>
  <c r="K379" i="7"/>
  <c r="J379" i="7"/>
  <c r="I379" i="7"/>
  <c r="H379" i="7"/>
  <c r="G379" i="7"/>
  <c r="F379" i="7"/>
  <c r="V379" i="7"/>
  <c r="T379" i="7"/>
  <c r="R379" i="7"/>
  <c r="U379" i="7"/>
  <c r="S379" i="7"/>
  <c r="Q379" i="7"/>
  <c r="E379" i="7"/>
  <c r="D379" i="7"/>
  <c r="B379" i="7"/>
  <c r="P377" i="7"/>
  <c r="J377" i="7"/>
  <c r="K376" i="7"/>
  <c r="J376" i="7"/>
  <c r="I376" i="7"/>
  <c r="O377" i="7" s="1"/>
  <c r="H376" i="7"/>
  <c r="G376" i="7"/>
  <c r="F376" i="7"/>
  <c r="V376" i="7"/>
  <c r="T376" i="7"/>
  <c r="R376" i="7"/>
  <c r="U376" i="7"/>
  <c r="S376" i="7"/>
  <c r="Q376" i="7"/>
  <c r="E376" i="7"/>
  <c r="D376" i="7"/>
  <c r="B376" i="7"/>
  <c r="O374" i="7"/>
  <c r="H373" i="7"/>
  <c r="J373" i="7"/>
  <c r="I371" i="7"/>
  <c r="H371" i="7"/>
  <c r="G371" i="7"/>
  <c r="E371" i="7"/>
  <c r="K370" i="7"/>
  <c r="J370" i="7"/>
  <c r="E370" i="7"/>
  <c r="K369" i="7"/>
  <c r="J369" i="7"/>
  <c r="E369" i="7"/>
  <c r="K368" i="7"/>
  <c r="J368" i="7"/>
  <c r="I368" i="7"/>
  <c r="H368" i="7"/>
  <c r="G368" i="7"/>
  <c r="F368" i="7"/>
  <c r="K367" i="7"/>
  <c r="J374" i="7" s="1"/>
  <c r="J367" i="7"/>
  <c r="I367" i="7"/>
  <c r="H367" i="7"/>
  <c r="G367" i="7"/>
  <c r="F367" i="7"/>
  <c r="V366" i="7"/>
  <c r="T366" i="7"/>
  <c r="R366" i="7"/>
  <c r="U366" i="7"/>
  <c r="S366" i="7"/>
  <c r="I370" i="7" s="1"/>
  <c r="Q366" i="7"/>
  <c r="I369" i="7" s="1"/>
  <c r="E366" i="7"/>
  <c r="D366" i="7"/>
  <c r="B366" i="7"/>
  <c r="P364" i="7"/>
  <c r="J364" i="7"/>
  <c r="K363" i="7"/>
  <c r="J363" i="7"/>
  <c r="I363" i="7"/>
  <c r="O364" i="7" s="1"/>
  <c r="H363" i="7"/>
  <c r="G363" i="7"/>
  <c r="F363" i="7"/>
  <c r="V363" i="7"/>
  <c r="T363" i="7"/>
  <c r="R363" i="7"/>
  <c r="U363" i="7"/>
  <c r="S363" i="7"/>
  <c r="Q363" i="7"/>
  <c r="E363" i="7"/>
  <c r="D363" i="7"/>
  <c r="B363" i="7"/>
  <c r="O361" i="7"/>
  <c r="K360" i="7"/>
  <c r="J360" i="7"/>
  <c r="I360" i="7"/>
  <c r="H361" i="7" s="1"/>
  <c r="H360" i="7"/>
  <c r="G360" i="7"/>
  <c r="F360" i="7"/>
  <c r="V360" i="7"/>
  <c r="T360" i="7"/>
  <c r="R360" i="7"/>
  <c r="U360" i="7"/>
  <c r="S360" i="7"/>
  <c r="Q360" i="7"/>
  <c r="E360" i="7"/>
  <c r="D360" i="7"/>
  <c r="B360" i="7"/>
  <c r="O358" i="7"/>
  <c r="H358" i="7"/>
  <c r="K357" i="7"/>
  <c r="P358" i="7" s="1"/>
  <c r="J357" i="7"/>
  <c r="I357" i="7"/>
  <c r="H357" i="7"/>
  <c r="G357" i="7"/>
  <c r="F357" i="7"/>
  <c r="V357" i="7"/>
  <c r="T357" i="7"/>
  <c r="R357" i="7"/>
  <c r="U357" i="7"/>
  <c r="S357" i="7"/>
  <c r="Q357" i="7"/>
  <c r="E357" i="7"/>
  <c r="D357" i="7"/>
  <c r="B357" i="7"/>
  <c r="H354" i="7"/>
  <c r="J354" i="7"/>
  <c r="I352" i="7"/>
  <c r="H352" i="7"/>
  <c r="G352" i="7"/>
  <c r="E352" i="7"/>
  <c r="J351" i="7"/>
  <c r="I351" i="7"/>
  <c r="E351" i="7"/>
  <c r="J350" i="7"/>
  <c r="E350" i="7"/>
  <c r="K349" i="7"/>
  <c r="J349" i="7"/>
  <c r="H349" i="7"/>
  <c r="I349" i="7"/>
  <c r="F349" i="7"/>
  <c r="V349" i="7"/>
  <c r="T349" i="7"/>
  <c r="R349" i="7"/>
  <c r="U349" i="7"/>
  <c r="S349" i="7"/>
  <c r="Q349" i="7"/>
  <c r="I350" i="7" s="1"/>
  <c r="E349" i="7"/>
  <c r="D349" i="7"/>
  <c r="B349" i="7"/>
  <c r="K348" i="7"/>
  <c r="J348" i="7"/>
  <c r="H348" i="7"/>
  <c r="I348" i="7"/>
  <c r="F348" i="7"/>
  <c r="V348" i="7"/>
  <c r="T348" i="7"/>
  <c r="R348" i="7"/>
  <c r="U348" i="7"/>
  <c r="S348" i="7"/>
  <c r="Q348" i="7"/>
  <c r="E348" i="7"/>
  <c r="D348" i="7"/>
  <c r="B348" i="7"/>
  <c r="K347" i="7"/>
  <c r="J347" i="7"/>
  <c r="I347" i="7"/>
  <c r="H347" i="7"/>
  <c r="G347" i="7"/>
  <c r="F347" i="7"/>
  <c r="K346" i="7"/>
  <c r="J346" i="7"/>
  <c r="I346" i="7"/>
  <c r="H346" i="7"/>
  <c r="G346" i="7"/>
  <c r="F346" i="7"/>
  <c r="V345" i="7"/>
  <c r="T345" i="7"/>
  <c r="K351" i="7" s="1"/>
  <c r="R345" i="7"/>
  <c r="K350" i="7" s="1"/>
  <c r="U345" i="7"/>
  <c r="S345" i="7"/>
  <c r="Q345" i="7"/>
  <c r="E345" i="7"/>
  <c r="D345" i="7"/>
  <c r="B345" i="7"/>
  <c r="O343" i="7"/>
  <c r="H343" i="7"/>
  <c r="K342" i="7"/>
  <c r="P343" i="7" s="1"/>
  <c r="J342" i="7"/>
  <c r="I342" i="7"/>
  <c r="H342" i="7"/>
  <c r="G342" i="7"/>
  <c r="F342" i="7"/>
  <c r="V342" i="7"/>
  <c r="T342" i="7"/>
  <c r="R342" i="7"/>
  <c r="U342" i="7"/>
  <c r="S342" i="7"/>
  <c r="Q342" i="7"/>
  <c r="E342" i="7"/>
  <c r="D342" i="7"/>
  <c r="B342" i="7"/>
  <c r="A341" i="7"/>
  <c r="I339" i="7"/>
  <c r="J339" i="7"/>
  <c r="I338" i="7"/>
  <c r="J338" i="7"/>
  <c r="A337" i="7"/>
  <c r="H333" i="7"/>
  <c r="J333" i="7"/>
  <c r="I331" i="7"/>
  <c r="H331" i="7"/>
  <c r="G331" i="7"/>
  <c r="E331" i="7"/>
  <c r="J330" i="7"/>
  <c r="E330" i="7"/>
  <c r="J329" i="7"/>
  <c r="E329" i="7"/>
  <c r="K328" i="7"/>
  <c r="J328" i="7"/>
  <c r="H328" i="7"/>
  <c r="I328" i="7"/>
  <c r="F328" i="7"/>
  <c r="V328" i="7"/>
  <c r="T328" i="7"/>
  <c r="K330" i="7" s="1"/>
  <c r="R328" i="7"/>
  <c r="U328" i="7"/>
  <c r="S328" i="7"/>
  <c r="Q328" i="7"/>
  <c r="I329" i="7" s="1"/>
  <c r="E328" i="7"/>
  <c r="D328" i="7"/>
  <c r="B328" i="7"/>
  <c r="K327" i="7"/>
  <c r="J334" i="7" s="1"/>
  <c r="J327" i="7"/>
  <c r="I327" i="7"/>
  <c r="H327" i="7"/>
  <c r="G327" i="7"/>
  <c r="F327" i="7"/>
  <c r="K326" i="7"/>
  <c r="J326" i="7"/>
  <c r="I326" i="7"/>
  <c r="H326" i="7"/>
  <c r="G326" i="7"/>
  <c r="F326" i="7"/>
  <c r="V325" i="7"/>
  <c r="T325" i="7"/>
  <c r="R325" i="7"/>
  <c r="K329" i="7" s="1"/>
  <c r="U325" i="7"/>
  <c r="S325" i="7"/>
  <c r="I330" i="7" s="1"/>
  <c r="Q325" i="7"/>
  <c r="E325" i="7"/>
  <c r="D325" i="7"/>
  <c r="B325" i="7"/>
  <c r="H322" i="7"/>
  <c r="J322" i="7"/>
  <c r="I320" i="7"/>
  <c r="H320" i="7"/>
  <c r="G320" i="7"/>
  <c r="E320" i="7"/>
  <c r="J319" i="7"/>
  <c r="E319" i="7"/>
  <c r="J318" i="7"/>
  <c r="E318" i="7"/>
  <c r="K317" i="7"/>
  <c r="J317" i="7"/>
  <c r="H317" i="7"/>
  <c r="I317" i="7"/>
  <c r="F317" i="7"/>
  <c r="V317" i="7"/>
  <c r="T317" i="7"/>
  <c r="R317" i="7"/>
  <c r="U317" i="7"/>
  <c r="S317" i="7"/>
  <c r="Q317" i="7"/>
  <c r="E317" i="7"/>
  <c r="D317" i="7"/>
  <c r="B317" i="7"/>
  <c r="K316" i="7"/>
  <c r="J316" i="7"/>
  <c r="H316" i="7"/>
  <c r="I316" i="7"/>
  <c r="F316" i="7"/>
  <c r="V316" i="7"/>
  <c r="T316" i="7"/>
  <c r="R316" i="7"/>
  <c r="U316" i="7"/>
  <c r="S316" i="7"/>
  <c r="I319" i="7" s="1"/>
  <c r="H321" i="7" s="1"/>
  <c r="Q316" i="7"/>
  <c r="E316" i="7"/>
  <c r="D316" i="7"/>
  <c r="B316" i="7"/>
  <c r="K315" i="7"/>
  <c r="J315" i="7"/>
  <c r="I315" i="7"/>
  <c r="H315" i="7"/>
  <c r="G315" i="7"/>
  <c r="F315" i="7"/>
  <c r="K314" i="7"/>
  <c r="J314" i="7"/>
  <c r="I314" i="7"/>
  <c r="H314" i="7"/>
  <c r="G314" i="7"/>
  <c r="F314" i="7"/>
  <c r="K313" i="7"/>
  <c r="J313" i="7"/>
  <c r="I313" i="7"/>
  <c r="H313" i="7"/>
  <c r="G313" i="7"/>
  <c r="F313" i="7"/>
  <c r="K312" i="7"/>
  <c r="J312" i="7"/>
  <c r="I312" i="7"/>
  <c r="H312" i="7"/>
  <c r="G312" i="7"/>
  <c r="F312" i="7"/>
  <c r="C311" i="7"/>
  <c r="V310" i="7"/>
  <c r="T310" i="7"/>
  <c r="K319" i="7" s="1"/>
  <c r="R310" i="7"/>
  <c r="K318" i="7" s="1"/>
  <c r="J321" i="7" s="1"/>
  <c r="U310" i="7"/>
  <c r="S310" i="7"/>
  <c r="Q310" i="7"/>
  <c r="I318" i="7" s="1"/>
  <c r="E310" i="7"/>
  <c r="D310" i="7"/>
  <c r="B310" i="7"/>
  <c r="B309" i="7"/>
  <c r="O306" i="7"/>
  <c r="K305" i="7"/>
  <c r="J305" i="7"/>
  <c r="I305" i="7"/>
  <c r="H306" i="7" s="1"/>
  <c r="H305" i="7"/>
  <c r="G305" i="7"/>
  <c r="F305" i="7"/>
  <c r="V305" i="7"/>
  <c r="T305" i="7"/>
  <c r="R305" i="7"/>
  <c r="U305" i="7"/>
  <c r="S305" i="7"/>
  <c r="Q305" i="7"/>
  <c r="E305" i="7"/>
  <c r="D305" i="7"/>
  <c r="B305" i="7"/>
  <c r="B304" i="7"/>
  <c r="O301" i="7"/>
  <c r="K300" i="7"/>
  <c r="J300" i="7"/>
  <c r="I300" i="7"/>
  <c r="H301" i="7" s="1"/>
  <c r="H300" i="7"/>
  <c r="G300" i="7"/>
  <c r="F300" i="7"/>
  <c r="V300" i="7"/>
  <c r="T300" i="7"/>
  <c r="R300" i="7"/>
  <c r="U300" i="7"/>
  <c r="S300" i="7"/>
  <c r="Q300" i="7"/>
  <c r="E300" i="7"/>
  <c r="D300" i="7"/>
  <c r="B300" i="7"/>
  <c r="O298" i="7"/>
  <c r="H298" i="7"/>
  <c r="K297" i="7"/>
  <c r="P298" i="7" s="1"/>
  <c r="J297" i="7"/>
  <c r="I297" i="7"/>
  <c r="H297" i="7"/>
  <c r="G297" i="7"/>
  <c r="F297" i="7"/>
  <c r="V297" i="7"/>
  <c r="T297" i="7"/>
  <c r="R297" i="7"/>
  <c r="U297" i="7"/>
  <c r="S297" i="7"/>
  <c r="Q297" i="7"/>
  <c r="E297" i="7"/>
  <c r="D297" i="7"/>
  <c r="B297" i="7"/>
  <c r="P295" i="7"/>
  <c r="K294" i="7"/>
  <c r="J295" i="7" s="1"/>
  <c r="J294" i="7"/>
  <c r="I294" i="7"/>
  <c r="H294" i="7"/>
  <c r="G294" i="7"/>
  <c r="F294" i="7"/>
  <c r="V294" i="7"/>
  <c r="T294" i="7"/>
  <c r="R294" i="7"/>
  <c r="U294" i="7"/>
  <c r="S294" i="7"/>
  <c r="Q294" i="7"/>
  <c r="E294" i="7"/>
  <c r="D294" i="7"/>
  <c r="B294" i="7"/>
  <c r="P292" i="7"/>
  <c r="J292" i="7"/>
  <c r="K291" i="7"/>
  <c r="J291" i="7"/>
  <c r="I291" i="7"/>
  <c r="O292" i="7" s="1"/>
  <c r="H291" i="7"/>
  <c r="G291" i="7"/>
  <c r="F291" i="7"/>
  <c r="V291" i="7"/>
  <c r="T291" i="7"/>
  <c r="R291" i="7"/>
  <c r="U291" i="7"/>
  <c r="S291" i="7"/>
  <c r="Q291" i="7"/>
  <c r="E291" i="7"/>
  <c r="D291" i="7"/>
  <c r="B291" i="7"/>
  <c r="H288" i="7"/>
  <c r="J288" i="7"/>
  <c r="I286" i="7"/>
  <c r="H286" i="7"/>
  <c r="G286" i="7"/>
  <c r="E286" i="7"/>
  <c r="K285" i="7"/>
  <c r="J285" i="7"/>
  <c r="I285" i="7"/>
  <c r="E285" i="7"/>
  <c r="K284" i="7"/>
  <c r="J284" i="7"/>
  <c r="E284" i="7"/>
  <c r="K283" i="7"/>
  <c r="J283" i="7"/>
  <c r="I283" i="7"/>
  <c r="H283" i="7"/>
  <c r="G283" i="7"/>
  <c r="F283" i="7"/>
  <c r="K282" i="7"/>
  <c r="J282" i="7"/>
  <c r="I282" i="7"/>
  <c r="H282" i="7"/>
  <c r="G282" i="7"/>
  <c r="F282" i="7"/>
  <c r="K281" i="7"/>
  <c r="J287" i="7" s="1"/>
  <c r="J281" i="7"/>
  <c r="I281" i="7"/>
  <c r="H281" i="7"/>
  <c r="G281" i="7"/>
  <c r="F281" i="7"/>
  <c r="K280" i="7"/>
  <c r="J289" i="7" s="1"/>
  <c r="J280" i="7"/>
  <c r="I280" i="7"/>
  <c r="O289" i="7" s="1"/>
  <c r="H280" i="7"/>
  <c r="G280" i="7"/>
  <c r="F280" i="7"/>
  <c r="C279" i="7"/>
  <c r="V278" i="7"/>
  <c r="T278" i="7"/>
  <c r="R278" i="7"/>
  <c r="U278" i="7"/>
  <c r="S278" i="7"/>
  <c r="Q278" i="7"/>
  <c r="I284" i="7" s="1"/>
  <c r="E278" i="7"/>
  <c r="D278" i="7"/>
  <c r="B278" i="7"/>
  <c r="P276" i="7"/>
  <c r="K275" i="7"/>
  <c r="J276" i="7" s="1"/>
  <c r="J275" i="7"/>
  <c r="I275" i="7"/>
  <c r="H275" i="7"/>
  <c r="G275" i="7"/>
  <c r="F275" i="7"/>
  <c r="V275" i="7"/>
  <c r="T275" i="7"/>
  <c r="R275" i="7"/>
  <c r="U275" i="7"/>
  <c r="S275" i="7"/>
  <c r="Q275" i="7"/>
  <c r="E275" i="7"/>
  <c r="D275" i="7"/>
  <c r="B275" i="7"/>
  <c r="H272" i="7"/>
  <c r="J272" i="7"/>
  <c r="I270" i="7"/>
  <c r="H270" i="7"/>
  <c r="G270" i="7"/>
  <c r="E270" i="7"/>
  <c r="J269" i="7"/>
  <c r="I269" i="7"/>
  <c r="E269" i="7"/>
  <c r="J268" i="7"/>
  <c r="E268" i="7"/>
  <c r="K267" i="7"/>
  <c r="J267" i="7"/>
  <c r="I267" i="7"/>
  <c r="H267" i="7"/>
  <c r="G267" i="7"/>
  <c r="F267" i="7"/>
  <c r="K266" i="7"/>
  <c r="J266" i="7"/>
  <c r="I266" i="7"/>
  <c r="H266" i="7"/>
  <c r="G266" i="7"/>
  <c r="F266" i="7"/>
  <c r="K265" i="7"/>
  <c r="J265" i="7"/>
  <c r="I265" i="7"/>
  <c r="H265" i="7"/>
  <c r="G265" i="7"/>
  <c r="F265" i="7"/>
  <c r="K264" i="7"/>
  <c r="J264" i="7"/>
  <c r="I264" i="7"/>
  <c r="H264" i="7"/>
  <c r="G264" i="7"/>
  <c r="F264" i="7"/>
  <c r="C263" i="7"/>
  <c r="V262" i="7"/>
  <c r="T262" i="7"/>
  <c r="K269" i="7" s="1"/>
  <c r="R262" i="7"/>
  <c r="K268" i="7" s="1"/>
  <c r="J271" i="7" s="1"/>
  <c r="U262" i="7"/>
  <c r="S262" i="7"/>
  <c r="Q262" i="7"/>
  <c r="I268" i="7" s="1"/>
  <c r="H271" i="7" s="1"/>
  <c r="E262" i="7"/>
  <c r="D262" i="7"/>
  <c r="B262" i="7"/>
  <c r="O260" i="7"/>
  <c r="H260" i="7"/>
  <c r="K259" i="7"/>
  <c r="J259" i="7"/>
  <c r="I259" i="7"/>
  <c r="H259" i="7"/>
  <c r="G259" i="7"/>
  <c r="F259" i="7"/>
  <c r="V259" i="7"/>
  <c r="T259" i="7"/>
  <c r="R259" i="7"/>
  <c r="U259" i="7"/>
  <c r="S259" i="7"/>
  <c r="Q259" i="7"/>
  <c r="E259" i="7"/>
  <c r="D259" i="7"/>
  <c r="B259" i="7"/>
  <c r="P257" i="7"/>
  <c r="K256" i="7"/>
  <c r="J257" i="7" s="1"/>
  <c r="J256" i="7"/>
  <c r="I256" i="7"/>
  <c r="O257" i="7" s="1"/>
  <c r="H256" i="7"/>
  <c r="G256" i="7"/>
  <c r="F256" i="7"/>
  <c r="V256" i="7"/>
  <c r="T256" i="7"/>
  <c r="R256" i="7"/>
  <c r="U256" i="7"/>
  <c r="S256" i="7"/>
  <c r="Q256" i="7"/>
  <c r="E256" i="7"/>
  <c r="D256" i="7"/>
  <c r="B256" i="7"/>
  <c r="H253" i="7"/>
  <c r="J253" i="7"/>
  <c r="J252" i="7"/>
  <c r="I251" i="7"/>
  <c r="H251" i="7"/>
  <c r="G251" i="7"/>
  <c r="E251" i="7"/>
  <c r="J250" i="7"/>
  <c r="I250" i="7"/>
  <c r="E250" i="7"/>
  <c r="J249" i="7"/>
  <c r="E249" i="7"/>
  <c r="K248" i="7"/>
  <c r="J248" i="7"/>
  <c r="I248" i="7"/>
  <c r="H248" i="7"/>
  <c r="G248" i="7"/>
  <c r="F248" i="7"/>
  <c r="K247" i="7"/>
  <c r="J247" i="7"/>
  <c r="I247" i="7"/>
  <c r="H247" i="7"/>
  <c r="G247" i="7"/>
  <c r="F247" i="7"/>
  <c r="K246" i="7"/>
  <c r="J246" i="7"/>
  <c r="I246" i="7"/>
  <c r="H246" i="7"/>
  <c r="G246" i="7"/>
  <c r="F246" i="7"/>
  <c r="K245" i="7"/>
  <c r="J245" i="7"/>
  <c r="I245" i="7"/>
  <c r="H245" i="7"/>
  <c r="G245" i="7"/>
  <c r="F245" i="7"/>
  <c r="C244" i="7"/>
  <c r="V243" i="7"/>
  <c r="T243" i="7"/>
  <c r="K250" i="7" s="1"/>
  <c r="R243" i="7"/>
  <c r="K249" i="7" s="1"/>
  <c r="U243" i="7"/>
  <c r="S243" i="7"/>
  <c r="Q243" i="7"/>
  <c r="I249" i="7" s="1"/>
  <c r="H252" i="7" s="1"/>
  <c r="E243" i="7"/>
  <c r="D243" i="7"/>
  <c r="B243" i="7"/>
  <c r="O241" i="7"/>
  <c r="H241" i="7"/>
  <c r="K240" i="7"/>
  <c r="J240" i="7"/>
  <c r="I240" i="7"/>
  <c r="H240" i="7"/>
  <c r="G240" i="7"/>
  <c r="F240" i="7"/>
  <c r="V240" i="7"/>
  <c r="T240" i="7"/>
  <c r="R240" i="7"/>
  <c r="U240" i="7"/>
  <c r="S240" i="7"/>
  <c r="Q240" i="7"/>
  <c r="E240" i="7"/>
  <c r="D240" i="7"/>
  <c r="B240" i="7"/>
  <c r="H238" i="7"/>
  <c r="P238" i="7"/>
  <c r="J238" i="7"/>
  <c r="K237" i="7"/>
  <c r="J237" i="7"/>
  <c r="I237" i="7"/>
  <c r="O238" i="7" s="1"/>
  <c r="H237" i="7"/>
  <c r="G237" i="7"/>
  <c r="F237" i="7"/>
  <c r="V237" i="7"/>
  <c r="T237" i="7"/>
  <c r="R237" i="7"/>
  <c r="U237" i="7"/>
  <c r="S237" i="7"/>
  <c r="Q237" i="7"/>
  <c r="E237" i="7"/>
  <c r="D237" i="7"/>
  <c r="B237" i="7"/>
  <c r="H234" i="7"/>
  <c r="J234" i="7"/>
  <c r="I232" i="7"/>
  <c r="H232" i="7"/>
  <c r="G232" i="7"/>
  <c r="E232" i="7"/>
  <c r="J231" i="7"/>
  <c r="E231" i="7"/>
  <c r="J230" i="7"/>
  <c r="E230" i="7"/>
  <c r="K229" i="7"/>
  <c r="J229" i="7"/>
  <c r="I229" i="7"/>
  <c r="H229" i="7"/>
  <c r="G229" i="7"/>
  <c r="F229" i="7"/>
  <c r="K228" i="7"/>
  <c r="J228" i="7"/>
  <c r="I228" i="7"/>
  <c r="H228" i="7"/>
  <c r="G228" i="7"/>
  <c r="F228" i="7"/>
  <c r="K227" i="7"/>
  <c r="J227" i="7"/>
  <c r="I227" i="7"/>
  <c r="H227" i="7"/>
  <c r="G227" i="7"/>
  <c r="F227" i="7"/>
  <c r="K226" i="7"/>
  <c r="J226" i="7"/>
  <c r="I226" i="7"/>
  <c r="H226" i="7"/>
  <c r="G226" i="7"/>
  <c r="F226" i="7"/>
  <c r="C225" i="7"/>
  <c r="V224" i="7"/>
  <c r="T224" i="7"/>
  <c r="K231" i="7" s="1"/>
  <c r="R224" i="7"/>
  <c r="K230" i="7" s="1"/>
  <c r="U224" i="7"/>
  <c r="S224" i="7"/>
  <c r="I231" i="7" s="1"/>
  <c r="Q224" i="7"/>
  <c r="I230" i="7" s="1"/>
  <c r="E224" i="7"/>
  <c r="D224" i="7"/>
  <c r="B224" i="7"/>
  <c r="H222" i="7"/>
  <c r="J222" i="7"/>
  <c r="K221" i="7"/>
  <c r="P222" i="7" s="1"/>
  <c r="J221" i="7"/>
  <c r="I221" i="7"/>
  <c r="O222" i="7" s="1"/>
  <c r="H221" i="7"/>
  <c r="G221" i="7"/>
  <c r="F221" i="7"/>
  <c r="V221" i="7"/>
  <c r="T221" i="7"/>
  <c r="R221" i="7"/>
  <c r="U221" i="7"/>
  <c r="S221" i="7"/>
  <c r="Q221" i="7"/>
  <c r="E221" i="7"/>
  <c r="D221" i="7"/>
  <c r="B221" i="7"/>
  <c r="P219" i="7"/>
  <c r="K218" i="7"/>
  <c r="J219" i="7" s="1"/>
  <c r="J218" i="7"/>
  <c r="I218" i="7"/>
  <c r="O219" i="7" s="1"/>
  <c r="H218" i="7"/>
  <c r="G218" i="7"/>
  <c r="F218" i="7"/>
  <c r="V218" i="7"/>
  <c r="T218" i="7"/>
  <c r="R218" i="7"/>
  <c r="U218" i="7"/>
  <c r="S218" i="7"/>
  <c r="Q218" i="7"/>
  <c r="E218" i="7"/>
  <c r="D218" i="7"/>
  <c r="B218" i="7"/>
  <c r="H216" i="7"/>
  <c r="P216" i="7"/>
  <c r="J216" i="7"/>
  <c r="K215" i="7"/>
  <c r="J215" i="7"/>
  <c r="I215" i="7"/>
  <c r="O216" i="7" s="1"/>
  <c r="H215" i="7"/>
  <c r="G215" i="7"/>
  <c r="F215" i="7"/>
  <c r="V215" i="7"/>
  <c r="T215" i="7"/>
  <c r="R215" i="7"/>
  <c r="U215" i="7"/>
  <c r="S215" i="7"/>
  <c r="Q215" i="7"/>
  <c r="E215" i="7"/>
  <c r="D215" i="7"/>
  <c r="B215" i="7"/>
  <c r="O213" i="7"/>
  <c r="K212" i="7"/>
  <c r="P213" i="7" s="1"/>
  <c r="J212" i="7"/>
  <c r="I212" i="7"/>
  <c r="H213" i="7" s="1"/>
  <c r="H212" i="7"/>
  <c r="G212" i="7"/>
  <c r="F212" i="7"/>
  <c r="V212" i="7"/>
  <c r="T212" i="7"/>
  <c r="R212" i="7"/>
  <c r="U212" i="7"/>
  <c r="S212" i="7"/>
  <c r="Q212" i="7"/>
  <c r="E212" i="7"/>
  <c r="D212" i="7"/>
  <c r="B212" i="7"/>
  <c r="H209" i="7"/>
  <c r="J209" i="7"/>
  <c r="I207" i="7"/>
  <c r="H207" i="7"/>
  <c r="G207" i="7"/>
  <c r="E207" i="7"/>
  <c r="J206" i="7"/>
  <c r="E206" i="7"/>
  <c r="J205" i="7"/>
  <c r="E205" i="7"/>
  <c r="K204" i="7"/>
  <c r="J204" i="7"/>
  <c r="I204" i="7"/>
  <c r="H204" i="7"/>
  <c r="G204" i="7"/>
  <c r="F204" i="7"/>
  <c r="K203" i="7"/>
  <c r="J203" i="7"/>
  <c r="I203" i="7"/>
  <c r="H203" i="7"/>
  <c r="G203" i="7"/>
  <c r="F203" i="7"/>
  <c r="K202" i="7"/>
  <c r="J202" i="7"/>
  <c r="I202" i="7"/>
  <c r="H202" i="7"/>
  <c r="G202" i="7"/>
  <c r="F202" i="7"/>
  <c r="K201" i="7"/>
  <c r="J201" i="7"/>
  <c r="I201" i="7"/>
  <c r="H201" i="7"/>
  <c r="G201" i="7"/>
  <c r="F201" i="7"/>
  <c r="C200" i="7"/>
  <c r="V199" i="7"/>
  <c r="T199" i="7"/>
  <c r="K206" i="7" s="1"/>
  <c r="R199" i="7"/>
  <c r="K205" i="7" s="1"/>
  <c r="U199" i="7"/>
  <c r="S199" i="7"/>
  <c r="I206" i="7" s="1"/>
  <c r="Q199" i="7"/>
  <c r="I205" i="7" s="1"/>
  <c r="E199" i="7"/>
  <c r="D199" i="7"/>
  <c r="B199" i="7"/>
  <c r="H197" i="7"/>
  <c r="P197" i="7"/>
  <c r="J197" i="7"/>
  <c r="K196" i="7"/>
  <c r="J196" i="7"/>
  <c r="I196" i="7"/>
  <c r="O197" i="7" s="1"/>
  <c r="H196" i="7"/>
  <c r="G196" i="7"/>
  <c r="F196" i="7"/>
  <c r="V196" i="7"/>
  <c r="T196" i="7"/>
  <c r="R196" i="7"/>
  <c r="U196" i="7"/>
  <c r="S196" i="7"/>
  <c r="Q196" i="7"/>
  <c r="E196" i="7"/>
  <c r="D196" i="7"/>
  <c r="B196" i="7"/>
  <c r="H193" i="7"/>
  <c r="J193" i="7"/>
  <c r="I191" i="7"/>
  <c r="H191" i="7"/>
  <c r="G191" i="7"/>
  <c r="E191" i="7"/>
  <c r="K190" i="7"/>
  <c r="J190" i="7"/>
  <c r="I190" i="7"/>
  <c r="E190" i="7"/>
  <c r="K189" i="7"/>
  <c r="J189" i="7"/>
  <c r="E189" i="7"/>
  <c r="K188" i="7"/>
  <c r="J188" i="7"/>
  <c r="I188" i="7"/>
  <c r="H188" i="7"/>
  <c r="G188" i="7"/>
  <c r="F188" i="7"/>
  <c r="K187" i="7"/>
  <c r="J187" i="7"/>
  <c r="I187" i="7"/>
  <c r="H187" i="7"/>
  <c r="G187" i="7"/>
  <c r="F187" i="7"/>
  <c r="K186" i="7"/>
  <c r="P194" i="7" s="1"/>
  <c r="J186" i="7"/>
  <c r="I186" i="7"/>
  <c r="H186" i="7"/>
  <c r="G186" i="7"/>
  <c r="F186" i="7"/>
  <c r="K185" i="7"/>
  <c r="J192" i="7" s="1"/>
  <c r="J185" i="7"/>
  <c r="I185" i="7"/>
  <c r="H192" i="7" s="1"/>
  <c r="H185" i="7"/>
  <c r="G185" i="7"/>
  <c r="F185" i="7"/>
  <c r="C184" i="7"/>
  <c r="V183" i="7"/>
  <c r="T183" i="7"/>
  <c r="R183" i="7"/>
  <c r="U183" i="7"/>
  <c r="S183" i="7"/>
  <c r="Q183" i="7"/>
  <c r="I189" i="7" s="1"/>
  <c r="E183" i="7"/>
  <c r="D183" i="7"/>
  <c r="B183" i="7"/>
  <c r="P181" i="7"/>
  <c r="K180" i="7"/>
  <c r="J181" i="7" s="1"/>
  <c r="J180" i="7"/>
  <c r="I180" i="7"/>
  <c r="O181" i="7" s="1"/>
  <c r="H180" i="7"/>
  <c r="G180" i="7"/>
  <c r="F180" i="7"/>
  <c r="V180" i="7"/>
  <c r="T180" i="7"/>
  <c r="R180" i="7"/>
  <c r="U180" i="7"/>
  <c r="S180" i="7"/>
  <c r="Q180" i="7"/>
  <c r="E180" i="7"/>
  <c r="D180" i="7"/>
  <c r="B180" i="7"/>
  <c r="H178" i="7"/>
  <c r="P178" i="7"/>
  <c r="J178" i="7"/>
  <c r="K177" i="7"/>
  <c r="J177" i="7"/>
  <c r="I177" i="7"/>
  <c r="O178" i="7" s="1"/>
  <c r="H177" i="7"/>
  <c r="G177" i="7"/>
  <c r="F177" i="7"/>
  <c r="V177" i="7"/>
  <c r="T177" i="7"/>
  <c r="R177" i="7"/>
  <c r="U177" i="7"/>
  <c r="S177" i="7"/>
  <c r="Q177" i="7"/>
  <c r="E177" i="7"/>
  <c r="D177" i="7"/>
  <c r="B177" i="7"/>
  <c r="O175" i="7"/>
  <c r="K174" i="7"/>
  <c r="P175" i="7" s="1"/>
  <c r="J174" i="7"/>
  <c r="I174" i="7"/>
  <c r="H175" i="7" s="1"/>
  <c r="H174" i="7"/>
  <c r="G174" i="7"/>
  <c r="F174" i="7"/>
  <c r="V174" i="7"/>
  <c r="T174" i="7"/>
  <c r="R174" i="7"/>
  <c r="U174" i="7"/>
  <c r="S174" i="7"/>
  <c r="Q174" i="7"/>
  <c r="E174" i="7"/>
  <c r="D174" i="7"/>
  <c r="B174" i="7"/>
  <c r="O172" i="7"/>
  <c r="H172" i="7"/>
  <c r="J172" i="7"/>
  <c r="K171" i="7"/>
  <c r="P172" i="7" s="1"/>
  <c r="J171" i="7"/>
  <c r="I171" i="7"/>
  <c r="H171" i="7"/>
  <c r="G171" i="7"/>
  <c r="F171" i="7"/>
  <c r="V171" i="7"/>
  <c r="T171" i="7"/>
  <c r="R171" i="7"/>
  <c r="U171" i="7"/>
  <c r="S171" i="7"/>
  <c r="Q171" i="7"/>
  <c r="E171" i="7"/>
  <c r="D171" i="7"/>
  <c r="B171" i="7"/>
  <c r="H168" i="7"/>
  <c r="J168" i="7"/>
  <c r="I166" i="7"/>
  <c r="H166" i="7"/>
  <c r="G166" i="7"/>
  <c r="E166" i="7"/>
  <c r="J165" i="7"/>
  <c r="I165" i="7"/>
  <c r="E165" i="7"/>
  <c r="K164" i="7"/>
  <c r="J164" i="7"/>
  <c r="E164" i="7"/>
  <c r="K163" i="7"/>
  <c r="J163" i="7"/>
  <c r="I163" i="7"/>
  <c r="H163" i="7"/>
  <c r="G163" i="7"/>
  <c r="F163" i="7"/>
  <c r="K162" i="7"/>
  <c r="J162" i="7"/>
  <c r="I162" i="7"/>
  <c r="H162" i="7"/>
  <c r="G162" i="7"/>
  <c r="F162" i="7"/>
  <c r="K161" i="7"/>
  <c r="J161" i="7"/>
  <c r="I161" i="7"/>
  <c r="H161" i="7"/>
  <c r="G161" i="7"/>
  <c r="F161" i="7"/>
  <c r="K160" i="7"/>
  <c r="J160" i="7"/>
  <c r="I160" i="7"/>
  <c r="H160" i="7"/>
  <c r="G160" i="7"/>
  <c r="F160" i="7"/>
  <c r="C159" i="7"/>
  <c r="V158" i="7"/>
  <c r="T158" i="7"/>
  <c r="K165" i="7" s="1"/>
  <c r="R158" i="7"/>
  <c r="U158" i="7"/>
  <c r="S158" i="7"/>
  <c r="Q158" i="7"/>
  <c r="I164" i="7" s="1"/>
  <c r="E158" i="7"/>
  <c r="D158" i="7"/>
  <c r="B158" i="7"/>
  <c r="O156" i="7"/>
  <c r="K155" i="7"/>
  <c r="P156" i="7" s="1"/>
  <c r="J155" i="7"/>
  <c r="I155" i="7"/>
  <c r="H156" i="7" s="1"/>
  <c r="H155" i="7"/>
  <c r="G155" i="7"/>
  <c r="F155" i="7"/>
  <c r="V155" i="7"/>
  <c r="T155" i="7"/>
  <c r="R155" i="7"/>
  <c r="U155" i="7"/>
  <c r="S155" i="7"/>
  <c r="Q155" i="7"/>
  <c r="E155" i="7"/>
  <c r="D155" i="7"/>
  <c r="B155" i="7"/>
  <c r="H152" i="7"/>
  <c r="J152" i="7"/>
  <c r="I150" i="7"/>
  <c r="H150" i="7"/>
  <c r="G150" i="7"/>
  <c r="E150" i="7"/>
  <c r="J149" i="7"/>
  <c r="E149" i="7"/>
  <c r="J148" i="7"/>
  <c r="E148" i="7"/>
  <c r="K147" i="7"/>
  <c r="J147" i="7"/>
  <c r="I147" i="7"/>
  <c r="H147" i="7"/>
  <c r="G147" i="7"/>
  <c r="F147" i="7"/>
  <c r="K146" i="7"/>
  <c r="J146" i="7"/>
  <c r="I146" i="7"/>
  <c r="H146" i="7"/>
  <c r="G146" i="7"/>
  <c r="F146" i="7"/>
  <c r="K145" i="7"/>
  <c r="J145" i="7"/>
  <c r="I145" i="7"/>
  <c r="H145" i="7"/>
  <c r="G145" i="7"/>
  <c r="F145" i="7"/>
  <c r="K144" i="7"/>
  <c r="J144" i="7"/>
  <c r="I144" i="7"/>
  <c r="H144" i="7"/>
  <c r="G144" i="7"/>
  <c r="F144" i="7"/>
  <c r="C143" i="7"/>
  <c r="V142" i="7"/>
  <c r="T142" i="7"/>
  <c r="K149" i="7" s="1"/>
  <c r="R142" i="7"/>
  <c r="K148" i="7" s="1"/>
  <c r="U142" i="7"/>
  <c r="S142" i="7"/>
  <c r="I149" i="7" s="1"/>
  <c r="Q142" i="7"/>
  <c r="I148" i="7" s="1"/>
  <c r="E142" i="7"/>
  <c r="D142" i="7"/>
  <c r="B142" i="7"/>
  <c r="P140" i="7"/>
  <c r="J140" i="7"/>
  <c r="K139" i="7"/>
  <c r="J139" i="7"/>
  <c r="I139" i="7"/>
  <c r="H140" i="7" s="1"/>
  <c r="H139" i="7"/>
  <c r="G139" i="7"/>
  <c r="F139" i="7"/>
  <c r="V139" i="7"/>
  <c r="T139" i="7"/>
  <c r="R139" i="7"/>
  <c r="U139" i="7"/>
  <c r="S139" i="7"/>
  <c r="Q139" i="7"/>
  <c r="E139" i="7"/>
  <c r="D139" i="7"/>
  <c r="B139" i="7"/>
  <c r="O137" i="7"/>
  <c r="K136" i="7"/>
  <c r="P137" i="7" s="1"/>
  <c r="J136" i="7"/>
  <c r="I136" i="7"/>
  <c r="H137" i="7" s="1"/>
  <c r="H136" i="7"/>
  <c r="G136" i="7"/>
  <c r="F136" i="7"/>
  <c r="V136" i="7"/>
  <c r="T136" i="7"/>
  <c r="R136" i="7"/>
  <c r="U136" i="7"/>
  <c r="S136" i="7"/>
  <c r="Q136" i="7"/>
  <c r="E136" i="7"/>
  <c r="D136" i="7"/>
  <c r="B136" i="7"/>
  <c r="O134" i="7"/>
  <c r="H134" i="7"/>
  <c r="K133" i="7"/>
  <c r="J134" i="7" s="1"/>
  <c r="J133" i="7"/>
  <c r="I133" i="7"/>
  <c r="H133" i="7"/>
  <c r="G133" i="7"/>
  <c r="F133" i="7"/>
  <c r="V133" i="7"/>
  <c r="T133" i="7"/>
  <c r="R133" i="7"/>
  <c r="U133" i="7"/>
  <c r="S133" i="7"/>
  <c r="Q133" i="7"/>
  <c r="E133" i="7"/>
  <c r="D133" i="7"/>
  <c r="B133" i="7"/>
  <c r="P131" i="7"/>
  <c r="K130" i="7"/>
  <c r="J131" i="7" s="1"/>
  <c r="J130" i="7"/>
  <c r="I130" i="7"/>
  <c r="O131" i="7" s="1"/>
  <c r="H130" i="7"/>
  <c r="G130" i="7"/>
  <c r="F130" i="7"/>
  <c r="V130" i="7"/>
  <c r="T130" i="7"/>
  <c r="R130" i="7"/>
  <c r="U130" i="7"/>
  <c r="S130" i="7"/>
  <c r="Q130" i="7"/>
  <c r="E130" i="7"/>
  <c r="D130" i="7"/>
  <c r="B130" i="7"/>
  <c r="H127" i="7"/>
  <c r="J127" i="7"/>
  <c r="I125" i="7"/>
  <c r="H125" i="7"/>
  <c r="G125" i="7"/>
  <c r="E125" i="7"/>
  <c r="J124" i="7"/>
  <c r="E124" i="7"/>
  <c r="J123" i="7"/>
  <c r="E123" i="7"/>
  <c r="K122" i="7"/>
  <c r="J122" i="7"/>
  <c r="I122" i="7"/>
  <c r="H122" i="7"/>
  <c r="G122" i="7"/>
  <c r="F122" i="7"/>
  <c r="K121" i="7"/>
  <c r="J121" i="7"/>
  <c r="I121" i="7"/>
  <c r="H121" i="7"/>
  <c r="G121" i="7"/>
  <c r="F121" i="7"/>
  <c r="K120" i="7"/>
  <c r="J120" i="7"/>
  <c r="I120" i="7"/>
  <c r="H120" i="7"/>
  <c r="G120" i="7"/>
  <c r="F120" i="7"/>
  <c r="K119" i="7"/>
  <c r="J119" i="7"/>
  <c r="I119" i="7"/>
  <c r="H128" i="7" s="1"/>
  <c r="H119" i="7"/>
  <c r="G119" i="7"/>
  <c r="F119" i="7"/>
  <c r="C118" i="7"/>
  <c r="V117" i="7"/>
  <c r="T117" i="7"/>
  <c r="K124" i="7" s="1"/>
  <c r="R117" i="7"/>
  <c r="K123" i="7" s="1"/>
  <c r="U117" i="7"/>
  <c r="S117" i="7"/>
  <c r="I124" i="7" s="1"/>
  <c r="Q117" i="7"/>
  <c r="I123" i="7" s="1"/>
  <c r="H126" i="7" s="1"/>
  <c r="E117" i="7"/>
  <c r="D117" i="7"/>
  <c r="B117" i="7"/>
  <c r="H115" i="7"/>
  <c r="P115" i="7"/>
  <c r="K114" i="7"/>
  <c r="J115" i="7" s="1"/>
  <c r="J114" i="7"/>
  <c r="I114" i="7"/>
  <c r="O115" i="7" s="1"/>
  <c r="H114" i="7"/>
  <c r="G114" i="7"/>
  <c r="F114" i="7"/>
  <c r="V114" i="7"/>
  <c r="T114" i="7"/>
  <c r="R114" i="7"/>
  <c r="U114" i="7"/>
  <c r="S114" i="7"/>
  <c r="Q114" i="7"/>
  <c r="E114" i="7"/>
  <c r="D114" i="7"/>
  <c r="B114" i="7"/>
  <c r="P112" i="7"/>
  <c r="J112" i="7"/>
  <c r="K111" i="7"/>
  <c r="J111" i="7"/>
  <c r="I111" i="7"/>
  <c r="O112" i="7" s="1"/>
  <c r="H111" i="7"/>
  <c r="G111" i="7"/>
  <c r="F111" i="7"/>
  <c r="V111" i="7"/>
  <c r="T111" i="7"/>
  <c r="R111" i="7"/>
  <c r="U111" i="7"/>
  <c r="S111" i="7"/>
  <c r="Q111" i="7"/>
  <c r="E111" i="7"/>
  <c r="D111" i="7"/>
  <c r="B111" i="7"/>
  <c r="P109" i="7"/>
  <c r="J109" i="7"/>
  <c r="K108" i="7"/>
  <c r="J108" i="7"/>
  <c r="I108" i="7"/>
  <c r="H109" i="7" s="1"/>
  <c r="H108" i="7"/>
  <c r="G108" i="7"/>
  <c r="F108" i="7"/>
  <c r="V108" i="7"/>
  <c r="T108" i="7"/>
  <c r="R108" i="7"/>
  <c r="U108" i="7"/>
  <c r="S108" i="7"/>
  <c r="Q108" i="7"/>
  <c r="E108" i="7"/>
  <c r="D108" i="7"/>
  <c r="B108" i="7"/>
  <c r="O106" i="7"/>
  <c r="K105" i="7"/>
  <c r="P106" i="7" s="1"/>
  <c r="J105" i="7"/>
  <c r="I105" i="7"/>
  <c r="H106" i="7" s="1"/>
  <c r="H105" i="7"/>
  <c r="G105" i="7"/>
  <c r="F105" i="7"/>
  <c r="V105" i="7"/>
  <c r="T105" i="7"/>
  <c r="R105" i="7"/>
  <c r="U105" i="7"/>
  <c r="S105" i="7"/>
  <c r="Q105" i="7"/>
  <c r="E105" i="7"/>
  <c r="D105" i="7"/>
  <c r="B105" i="7"/>
  <c r="H103" i="7"/>
  <c r="K102" i="7"/>
  <c r="J103" i="7" s="1"/>
  <c r="J102" i="7"/>
  <c r="I102" i="7"/>
  <c r="O103" i="7" s="1"/>
  <c r="H102" i="7"/>
  <c r="G102" i="7"/>
  <c r="F102" i="7"/>
  <c r="V102" i="7"/>
  <c r="T102" i="7"/>
  <c r="R102" i="7"/>
  <c r="U102" i="7"/>
  <c r="S102" i="7"/>
  <c r="Q102" i="7"/>
  <c r="E102" i="7"/>
  <c r="D102" i="7"/>
  <c r="B102" i="7"/>
  <c r="P100" i="7"/>
  <c r="J100" i="7"/>
  <c r="K99" i="7"/>
  <c r="J99" i="7"/>
  <c r="I99" i="7"/>
  <c r="O100" i="7" s="1"/>
  <c r="H99" i="7"/>
  <c r="G99" i="7"/>
  <c r="F99" i="7"/>
  <c r="V99" i="7"/>
  <c r="T99" i="7"/>
  <c r="R99" i="7"/>
  <c r="U99" i="7"/>
  <c r="S99" i="7"/>
  <c r="Q99" i="7"/>
  <c r="E99" i="7"/>
  <c r="D99" i="7"/>
  <c r="B99" i="7"/>
  <c r="H96" i="7"/>
  <c r="J96" i="7"/>
  <c r="I94" i="7"/>
  <c r="H94" i="7"/>
  <c r="G94" i="7"/>
  <c r="E94" i="7"/>
  <c r="J93" i="7"/>
  <c r="E93" i="7"/>
  <c r="J92" i="7"/>
  <c r="E92" i="7"/>
  <c r="K91" i="7"/>
  <c r="J91" i="7"/>
  <c r="I91" i="7"/>
  <c r="H91" i="7"/>
  <c r="G91" i="7"/>
  <c r="F91" i="7"/>
  <c r="K90" i="7"/>
  <c r="J90" i="7"/>
  <c r="I90" i="7"/>
  <c r="H90" i="7"/>
  <c r="G90" i="7"/>
  <c r="F90" i="7"/>
  <c r="K89" i="7"/>
  <c r="J89" i="7"/>
  <c r="I89" i="7"/>
  <c r="H89" i="7"/>
  <c r="G89" i="7"/>
  <c r="F89" i="7"/>
  <c r="K88" i="7"/>
  <c r="J88" i="7"/>
  <c r="I88" i="7"/>
  <c r="H97" i="7" s="1"/>
  <c r="H88" i="7"/>
  <c r="G88" i="7"/>
  <c r="F88" i="7"/>
  <c r="C87" i="7"/>
  <c r="V86" i="7"/>
  <c r="T86" i="7"/>
  <c r="K93" i="7" s="1"/>
  <c r="R86" i="7"/>
  <c r="K92" i="7" s="1"/>
  <c r="U86" i="7"/>
  <c r="S86" i="7"/>
  <c r="I93" i="7" s="1"/>
  <c r="Q86" i="7"/>
  <c r="I92" i="7" s="1"/>
  <c r="H95" i="7" s="1"/>
  <c r="E86" i="7"/>
  <c r="D86" i="7"/>
  <c r="B86" i="7"/>
  <c r="H84" i="7"/>
  <c r="P84" i="7"/>
  <c r="K83" i="7"/>
  <c r="J84" i="7" s="1"/>
  <c r="J83" i="7"/>
  <c r="I83" i="7"/>
  <c r="O84" i="7" s="1"/>
  <c r="H83" i="7"/>
  <c r="G83" i="7"/>
  <c r="F83" i="7"/>
  <c r="V83" i="7"/>
  <c r="T83" i="7"/>
  <c r="R83" i="7"/>
  <c r="U83" i="7"/>
  <c r="S83" i="7"/>
  <c r="Q83" i="7"/>
  <c r="E83" i="7"/>
  <c r="D83" i="7"/>
  <c r="B83" i="7"/>
  <c r="P81" i="7"/>
  <c r="J81" i="7"/>
  <c r="K80" i="7"/>
  <c r="J80" i="7"/>
  <c r="I80" i="7"/>
  <c r="O81" i="7" s="1"/>
  <c r="H80" i="7"/>
  <c r="G80" i="7"/>
  <c r="F80" i="7"/>
  <c r="V80" i="7"/>
  <c r="T80" i="7"/>
  <c r="R80" i="7"/>
  <c r="U80" i="7"/>
  <c r="S80" i="7"/>
  <c r="Q80" i="7"/>
  <c r="E80" i="7"/>
  <c r="D80" i="7"/>
  <c r="B80" i="7"/>
  <c r="J78" i="7"/>
  <c r="K77" i="7"/>
  <c r="P78" i="7" s="1"/>
  <c r="J77" i="7"/>
  <c r="I77" i="7"/>
  <c r="H78" i="7" s="1"/>
  <c r="H77" i="7"/>
  <c r="G77" i="7"/>
  <c r="F77" i="7"/>
  <c r="V77" i="7"/>
  <c r="T77" i="7"/>
  <c r="R77" i="7"/>
  <c r="U77" i="7"/>
  <c r="S77" i="7"/>
  <c r="Q77" i="7"/>
  <c r="E77" i="7"/>
  <c r="D77" i="7"/>
  <c r="B77" i="7"/>
  <c r="O75" i="7"/>
  <c r="H75" i="7"/>
  <c r="K74" i="7"/>
  <c r="P75" i="7" s="1"/>
  <c r="J74" i="7"/>
  <c r="I74" i="7"/>
  <c r="H74" i="7"/>
  <c r="G74" i="7"/>
  <c r="F74" i="7"/>
  <c r="V74" i="7"/>
  <c r="T74" i="7"/>
  <c r="R74" i="7"/>
  <c r="U74" i="7"/>
  <c r="S74" i="7"/>
  <c r="Q74" i="7"/>
  <c r="E74" i="7"/>
  <c r="D74" i="7"/>
  <c r="B74" i="7"/>
  <c r="H72" i="7"/>
  <c r="K71" i="7"/>
  <c r="J72" i="7" s="1"/>
  <c r="J71" i="7"/>
  <c r="I71" i="7"/>
  <c r="O72" i="7" s="1"/>
  <c r="H71" i="7"/>
  <c r="G71" i="7"/>
  <c r="F71" i="7"/>
  <c r="V71" i="7"/>
  <c r="T71" i="7"/>
  <c r="R71" i="7"/>
  <c r="U71" i="7"/>
  <c r="S71" i="7"/>
  <c r="Q71" i="7"/>
  <c r="E71" i="7"/>
  <c r="D71" i="7"/>
  <c r="B71" i="7"/>
  <c r="P69" i="7"/>
  <c r="K68" i="7"/>
  <c r="J69" i="7" s="1"/>
  <c r="J68" i="7"/>
  <c r="I68" i="7"/>
  <c r="O69" i="7" s="1"/>
  <c r="H68" i="7"/>
  <c r="G68" i="7"/>
  <c r="F68" i="7"/>
  <c r="V68" i="7"/>
  <c r="T68" i="7"/>
  <c r="R68" i="7"/>
  <c r="U68" i="7"/>
  <c r="S68" i="7"/>
  <c r="Q68" i="7"/>
  <c r="E68" i="7"/>
  <c r="D68" i="7"/>
  <c r="B68" i="7"/>
  <c r="H65" i="7"/>
  <c r="J65" i="7"/>
  <c r="I63" i="7"/>
  <c r="H63" i="7"/>
  <c r="G63" i="7"/>
  <c r="E63" i="7"/>
  <c r="J62" i="7"/>
  <c r="E62" i="7"/>
  <c r="J61" i="7"/>
  <c r="E61" i="7"/>
  <c r="K60" i="7"/>
  <c r="J60" i="7"/>
  <c r="I60" i="7"/>
  <c r="H60" i="7"/>
  <c r="G60" i="7"/>
  <c r="F60" i="7"/>
  <c r="K59" i="7"/>
  <c r="J59" i="7"/>
  <c r="I59" i="7"/>
  <c r="H59" i="7"/>
  <c r="G59" i="7"/>
  <c r="F59" i="7"/>
  <c r="K58" i="7"/>
  <c r="J58" i="7"/>
  <c r="I58" i="7"/>
  <c r="H58" i="7"/>
  <c r="G58" i="7"/>
  <c r="F58" i="7"/>
  <c r="K57" i="7"/>
  <c r="J57" i="7"/>
  <c r="I57" i="7"/>
  <c r="H57" i="7"/>
  <c r="G57" i="7"/>
  <c r="F57" i="7"/>
  <c r="C56" i="7"/>
  <c r="V55" i="7"/>
  <c r="T55" i="7"/>
  <c r="K62" i="7" s="1"/>
  <c r="R55" i="7"/>
  <c r="K61" i="7" s="1"/>
  <c r="J64" i="7" s="1"/>
  <c r="U55" i="7"/>
  <c r="S55" i="7"/>
  <c r="I62" i="7" s="1"/>
  <c r="Q55" i="7"/>
  <c r="I61" i="7" s="1"/>
  <c r="E55" i="7"/>
  <c r="D55" i="7"/>
  <c r="B55" i="7"/>
  <c r="A54" i="7"/>
  <c r="I52" i="7"/>
  <c r="J52" i="7"/>
  <c r="I51" i="7"/>
  <c r="J51" i="7"/>
  <c r="A50" i="7"/>
  <c r="O47" i="7"/>
  <c r="H47" i="7"/>
  <c r="K46" i="7"/>
  <c r="J47" i="7" s="1"/>
  <c r="J46" i="7"/>
  <c r="I46" i="7"/>
  <c r="H46" i="7"/>
  <c r="G46" i="7"/>
  <c r="F46" i="7"/>
  <c r="V46" i="7"/>
  <c r="T46" i="7"/>
  <c r="R46" i="7"/>
  <c r="U46" i="7"/>
  <c r="S46" i="7"/>
  <c r="Q46" i="7"/>
  <c r="E46" i="7"/>
  <c r="D46" i="7"/>
  <c r="B46" i="7"/>
  <c r="P44" i="7"/>
  <c r="J44" i="7"/>
  <c r="K43" i="7"/>
  <c r="J43" i="7"/>
  <c r="I43" i="7"/>
  <c r="O44" i="7" s="1"/>
  <c r="H43" i="7"/>
  <c r="G43" i="7"/>
  <c r="F43" i="7"/>
  <c r="V43" i="7"/>
  <c r="T43" i="7"/>
  <c r="R43" i="7"/>
  <c r="U43" i="7"/>
  <c r="S43" i="7"/>
  <c r="Q43" i="7"/>
  <c r="E43" i="7"/>
  <c r="D43" i="7"/>
  <c r="B43" i="7"/>
  <c r="H40" i="7"/>
  <c r="J40" i="7"/>
  <c r="I38" i="7"/>
  <c r="H38" i="7"/>
  <c r="G38" i="7"/>
  <c r="E38" i="7"/>
  <c r="J37" i="7"/>
  <c r="E37" i="7"/>
  <c r="J36" i="7"/>
  <c r="E36" i="7"/>
  <c r="K35" i="7"/>
  <c r="J35" i="7"/>
  <c r="I35" i="7"/>
  <c r="H35" i="7"/>
  <c r="G35" i="7"/>
  <c r="F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C31" i="7"/>
  <c r="V30" i="7"/>
  <c r="T30" i="7"/>
  <c r="K37" i="7" s="1"/>
  <c r="R30" i="7"/>
  <c r="K36" i="7" s="1"/>
  <c r="J39" i="7" s="1"/>
  <c r="U30" i="7"/>
  <c r="S30" i="7"/>
  <c r="I37" i="7" s="1"/>
  <c r="Q30" i="7"/>
  <c r="I36" i="7" s="1"/>
  <c r="E30" i="7"/>
  <c r="D30" i="7"/>
  <c r="B30" i="7"/>
  <c r="A29" i="7"/>
  <c r="A11" i="7"/>
  <c r="A8" i="7"/>
  <c r="A6" i="7"/>
  <c r="A1" i="7"/>
  <c r="H39" i="7" l="1"/>
  <c r="J41" i="7"/>
  <c r="H64" i="7"/>
  <c r="J66" i="7"/>
  <c r="J151" i="7"/>
  <c r="J153" i="7"/>
  <c r="H208" i="7"/>
  <c r="H210" i="7"/>
  <c r="P210" i="7"/>
  <c r="H151" i="7"/>
  <c r="H153" i="7"/>
  <c r="P153" i="7"/>
  <c r="P169" i="7"/>
  <c r="H41" i="7"/>
  <c r="H66" i="7"/>
  <c r="J95" i="7"/>
  <c r="J126" i="7"/>
  <c r="O210" i="7"/>
  <c r="P235" i="7"/>
  <c r="J233" i="7"/>
  <c r="J97" i="7"/>
  <c r="J128" i="7"/>
  <c r="O153" i="7"/>
  <c r="O169" i="7"/>
  <c r="J208" i="7"/>
  <c r="J210" i="7"/>
  <c r="P424" i="7"/>
  <c r="P564" i="7"/>
  <c r="J564" i="7"/>
  <c r="O586" i="7"/>
  <c r="H586" i="7"/>
  <c r="P41" i="7"/>
  <c r="O41" i="7"/>
  <c r="P47" i="7"/>
  <c r="P66" i="7"/>
  <c r="O66" i="7"/>
  <c r="P72" i="7"/>
  <c r="O78" i="7"/>
  <c r="P97" i="7"/>
  <c r="O97" i="7"/>
  <c r="P103" i="7"/>
  <c r="O109" i="7"/>
  <c r="P128" i="7"/>
  <c r="O128" i="7"/>
  <c r="P134" i="7"/>
  <c r="O140" i="7"/>
  <c r="J167" i="7"/>
  <c r="H167" i="7"/>
  <c r="J194" i="7"/>
  <c r="H194" i="7"/>
  <c r="O235" i="7"/>
  <c r="H235" i="7"/>
  <c r="H233" i="7"/>
  <c r="P254" i="7"/>
  <c r="J254" i="7"/>
  <c r="P260" i="7"/>
  <c r="J260" i="7"/>
  <c r="O273" i="7"/>
  <c r="P289" i="7"/>
  <c r="O295" i="7"/>
  <c r="H295" i="7"/>
  <c r="P306" i="7"/>
  <c r="J306" i="7"/>
  <c r="O323" i="7"/>
  <c r="H353" i="7"/>
  <c r="P361" i="7"/>
  <c r="J361" i="7"/>
  <c r="P457" i="7"/>
  <c r="P471" i="7"/>
  <c r="P485" i="7"/>
  <c r="P499" i="7"/>
  <c r="P513" i="7"/>
  <c r="P527" i="7"/>
  <c r="P541" i="7"/>
  <c r="H558" i="7"/>
  <c r="O194" i="7"/>
  <c r="H332" i="7"/>
  <c r="O334" i="7"/>
  <c r="H334" i="7"/>
  <c r="H44" i="7"/>
  <c r="H69" i="7"/>
  <c r="J75" i="7"/>
  <c r="H81" i="7"/>
  <c r="H100" i="7"/>
  <c r="J106" i="7"/>
  <c r="H112" i="7"/>
  <c r="H131" i="7"/>
  <c r="J137" i="7"/>
  <c r="J156" i="7"/>
  <c r="J169" i="7"/>
  <c r="H169" i="7"/>
  <c r="J175" i="7"/>
  <c r="H181" i="7"/>
  <c r="J213" i="7"/>
  <c r="H219" i="7"/>
  <c r="J235" i="7"/>
  <c r="P241" i="7"/>
  <c r="J241" i="7"/>
  <c r="O254" i="7"/>
  <c r="P273" i="7"/>
  <c r="H273" i="7"/>
  <c r="O276" i="7"/>
  <c r="H276" i="7"/>
  <c r="P323" i="7"/>
  <c r="H323" i="7"/>
  <c r="J353" i="7"/>
  <c r="P355" i="7"/>
  <c r="J440" i="7" s="1"/>
  <c r="J355" i="7"/>
  <c r="H355" i="7"/>
  <c r="P390" i="7"/>
  <c r="O457" i="7"/>
  <c r="O471" i="7"/>
  <c r="O485" i="7"/>
  <c r="O499" i="7"/>
  <c r="O513" i="7"/>
  <c r="O527" i="7"/>
  <c r="O541" i="7"/>
  <c r="H257" i="7"/>
  <c r="H424" i="7"/>
  <c r="H422" i="7"/>
  <c r="H289" i="7"/>
  <c r="H287" i="7"/>
  <c r="P301" i="7"/>
  <c r="J301" i="7"/>
  <c r="J332" i="7"/>
  <c r="H374" i="7"/>
  <c r="H372" i="7"/>
  <c r="J372" i="7"/>
  <c r="P374" i="7"/>
  <c r="O380" i="7"/>
  <c r="H380" i="7"/>
  <c r="O393" i="7"/>
  <c r="H393" i="7"/>
  <c r="J404" i="7"/>
  <c r="P406" i="7"/>
  <c r="J406" i="7"/>
  <c r="J424" i="7"/>
  <c r="O424" i="7"/>
  <c r="H434" i="7"/>
  <c r="H432" i="7"/>
  <c r="J434" i="7"/>
  <c r="J432" i="7"/>
  <c r="P434" i="7"/>
  <c r="P567" i="7"/>
  <c r="J589" i="7" s="1"/>
  <c r="J567" i="7"/>
  <c r="O582" i="7"/>
  <c r="H582" i="7"/>
  <c r="O560" i="7"/>
  <c r="H254" i="7"/>
  <c r="J273" i="7"/>
  <c r="H292" i="7"/>
  <c r="J298" i="7"/>
  <c r="J323" i="7"/>
  <c r="P334" i="7"/>
  <c r="J343" i="7"/>
  <c r="O355" i="7"/>
  <c r="H440" i="7" s="1"/>
  <c r="J358" i="7"/>
  <c r="H364" i="7"/>
  <c r="H377" i="7"/>
  <c r="J390" i="7"/>
  <c r="H390" i="7"/>
  <c r="J396" i="7"/>
  <c r="O406" i="7"/>
  <c r="J409" i="7"/>
  <c r="H437" i="7"/>
  <c r="J457" i="7"/>
  <c r="H457" i="7"/>
  <c r="J471" i="7"/>
  <c r="H471" i="7"/>
  <c r="J485" i="7"/>
  <c r="H485" i="7"/>
  <c r="J499" i="7"/>
  <c r="H499" i="7"/>
  <c r="J513" i="7"/>
  <c r="H513" i="7"/>
  <c r="J527" i="7"/>
  <c r="H527" i="7"/>
  <c r="J541" i="7"/>
  <c r="H541" i="7"/>
  <c r="H578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A4" i="3"/>
  <c r="DB4" i="3"/>
  <c r="DC4" i="3"/>
  <c r="A5" i="3"/>
  <c r="Y5" i="3"/>
  <c r="CY5" i="3"/>
  <c r="CZ5" i="3"/>
  <c r="DB5" i="3" s="1"/>
  <c r="DA5" i="3"/>
  <c r="DC5" i="3"/>
  <c r="A6" i="3"/>
  <c r="Y6" i="3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B17" i="3" s="1"/>
  <c r="DA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B49" i="3" s="1"/>
  <c r="DA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B242" i="3" s="1"/>
  <c r="DA242" i="3"/>
  <c r="DC242" i="3"/>
  <c r="A243" i="3"/>
  <c r="Y243" i="3"/>
  <c r="CU243" i="3"/>
  <c r="CV243" i="3"/>
  <c r="CX243" i="3"/>
  <c r="DG243" i="3" s="1"/>
  <c r="CY243" i="3"/>
  <c r="CZ243" i="3"/>
  <c r="DB243" i="3" s="1"/>
  <c r="DA243" i="3"/>
  <c r="DC243" i="3"/>
  <c r="DF243" i="3"/>
  <c r="DH243" i="3"/>
  <c r="A244" i="3"/>
  <c r="Y244" i="3"/>
  <c r="CX244" i="3" s="1"/>
  <c r="CY244" i="3"/>
  <c r="CZ244" i="3"/>
  <c r="DB244" i="3" s="1"/>
  <c r="DA244" i="3"/>
  <c r="DC244" i="3"/>
  <c r="A245" i="3"/>
  <c r="Y245" i="3"/>
  <c r="CX245" i="3"/>
  <c r="DI245" i="3" s="1"/>
  <c r="CY245" i="3"/>
  <c r="CZ245" i="3"/>
  <c r="DA245" i="3"/>
  <c r="DB245" i="3"/>
  <c r="DC245" i="3"/>
  <c r="DH245" i="3"/>
  <c r="A246" i="3"/>
  <c r="Y246" i="3"/>
  <c r="CX246" i="3" s="1"/>
  <c r="CY246" i="3"/>
  <c r="CZ246" i="3"/>
  <c r="DA246" i="3"/>
  <c r="DB246" i="3"/>
  <c r="DC246" i="3"/>
  <c r="A247" i="3"/>
  <c r="Y247" i="3"/>
  <c r="CV247" i="3" s="1"/>
  <c r="CU247" i="3"/>
  <c r="CX247" i="3"/>
  <c r="DI247" i="3" s="1"/>
  <c r="DJ247" i="3" s="1"/>
  <c r="CY247" i="3"/>
  <c r="CZ247" i="3"/>
  <c r="DA247" i="3"/>
  <c r="DB247" i="3"/>
  <c r="DC247" i="3"/>
  <c r="DH247" i="3"/>
  <c r="A248" i="3"/>
  <c r="Y248" i="3"/>
  <c r="CX248" i="3" s="1"/>
  <c r="CY248" i="3"/>
  <c r="CZ248" i="3"/>
  <c r="DA248" i="3"/>
  <c r="DB248" i="3"/>
  <c r="DC248" i="3"/>
  <c r="A249" i="3"/>
  <c r="Y249" i="3"/>
  <c r="CX249" i="3"/>
  <c r="DG249" i="3" s="1"/>
  <c r="CY249" i="3"/>
  <c r="CZ249" i="3"/>
  <c r="DB249" i="3" s="1"/>
  <c r="DA249" i="3"/>
  <c r="DC249" i="3"/>
  <c r="DF249" i="3"/>
  <c r="DH249" i="3"/>
  <c r="DJ249" i="3"/>
  <c r="A250" i="3"/>
  <c r="Y250" i="3"/>
  <c r="CX250" i="3" s="1"/>
  <c r="CY250" i="3"/>
  <c r="CZ250" i="3"/>
  <c r="DB250" i="3" s="1"/>
  <c r="DA250" i="3"/>
  <c r="DC250" i="3"/>
  <c r="A251" i="3"/>
  <c r="Y251" i="3"/>
  <c r="CU251" i="3"/>
  <c r="CV251" i="3"/>
  <c r="CX251" i="3"/>
  <c r="DG251" i="3" s="1"/>
  <c r="CY251" i="3"/>
  <c r="CZ251" i="3"/>
  <c r="DB251" i="3" s="1"/>
  <c r="DA251" i="3"/>
  <c r="DC251" i="3"/>
  <c r="DF251" i="3"/>
  <c r="DH251" i="3"/>
  <c r="A252" i="3"/>
  <c r="Y252" i="3"/>
  <c r="CX252" i="3" s="1"/>
  <c r="CY252" i="3"/>
  <c r="CZ252" i="3"/>
  <c r="DB252" i="3" s="1"/>
  <c r="DA252" i="3"/>
  <c r="DC252" i="3"/>
  <c r="A253" i="3"/>
  <c r="Y253" i="3"/>
  <c r="CX253" i="3"/>
  <c r="DI253" i="3" s="1"/>
  <c r="CY253" i="3"/>
  <c r="CZ253" i="3"/>
  <c r="DA253" i="3"/>
  <c r="DB253" i="3"/>
  <c r="DC253" i="3"/>
  <c r="DH253" i="3"/>
  <c r="A254" i="3"/>
  <c r="Y254" i="3"/>
  <c r="CX254" i="3" s="1"/>
  <c r="CY254" i="3"/>
  <c r="CZ254" i="3"/>
  <c r="DA254" i="3"/>
  <c r="DB254" i="3"/>
  <c r="DC254" i="3"/>
  <c r="A255" i="3"/>
  <c r="Y255" i="3"/>
  <c r="CX255" i="3"/>
  <c r="DG255" i="3" s="1"/>
  <c r="CY255" i="3"/>
  <c r="CZ255" i="3"/>
  <c r="DB255" i="3" s="1"/>
  <c r="DA255" i="3"/>
  <c r="DC255" i="3"/>
  <c r="DF255" i="3"/>
  <c r="DH255" i="3"/>
  <c r="DJ255" i="3"/>
  <c r="A256" i="3"/>
  <c r="Y256" i="3"/>
  <c r="CX256" i="3" s="1"/>
  <c r="CY256" i="3"/>
  <c r="CZ256" i="3"/>
  <c r="DB256" i="3" s="1"/>
  <c r="DA256" i="3"/>
  <c r="DC256" i="3"/>
  <c r="A257" i="3"/>
  <c r="Y257" i="3"/>
  <c r="CU257" i="3"/>
  <c r="CV257" i="3"/>
  <c r="CX257" i="3"/>
  <c r="DG257" i="3" s="1"/>
  <c r="CY257" i="3"/>
  <c r="CZ257" i="3"/>
  <c r="DB257" i="3" s="1"/>
  <c r="DA257" i="3"/>
  <c r="DC257" i="3"/>
  <c r="DF257" i="3"/>
  <c r="DH257" i="3"/>
  <c r="A258" i="3"/>
  <c r="Y258" i="3"/>
  <c r="CX258" i="3" s="1"/>
  <c r="CY258" i="3"/>
  <c r="CZ258" i="3"/>
  <c r="DB258" i="3" s="1"/>
  <c r="DA258" i="3"/>
  <c r="DC258" i="3"/>
  <c r="A259" i="3"/>
  <c r="Y259" i="3"/>
  <c r="CX259" i="3"/>
  <c r="DI259" i="3" s="1"/>
  <c r="CY259" i="3"/>
  <c r="CZ259" i="3"/>
  <c r="DA259" i="3"/>
  <c r="DB259" i="3"/>
  <c r="DC259" i="3"/>
  <c r="DH259" i="3"/>
  <c r="A260" i="3"/>
  <c r="Y260" i="3"/>
  <c r="CX260" i="3" s="1"/>
  <c r="CY260" i="3"/>
  <c r="CZ260" i="3"/>
  <c r="DA260" i="3"/>
  <c r="DB260" i="3"/>
  <c r="DC260" i="3"/>
  <c r="A261" i="3"/>
  <c r="Y261" i="3"/>
  <c r="CX261" i="3"/>
  <c r="DG261" i="3" s="1"/>
  <c r="CY261" i="3"/>
  <c r="CZ261" i="3"/>
  <c r="DB261" i="3" s="1"/>
  <c r="DA261" i="3"/>
  <c r="DC261" i="3"/>
  <c r="DF261" i="3"/>
  <c r="DH261" i="3"/>
  <c r="DJ261" i="3"/>
  <c r="A262" i="3"/>
  <c r="Y262" i="3"/>
  <c r="CX262" i="3" s="1"/>
  <c r="CY262" i="3"/>
  <c r="CZ262" i="3"/>
  <c r="DB262" i="3" s="1"/>
  <c r="DA262" i="3"/>
  <c r="DC262" i="3"/>
  <c r="A263" i="3"/>
  <c r="Y263" i="3"/>
  <c r="CU263" i="3"/>
  <c r="CV263" i="3"/>
  <c r="CX263" i="3"/>
  <c r="DG263" i="3" s="1"/>
  <c r="CY263" i="3"/>
  <c r="CZ263" i="3"/>
  <c r="DB263" i="3" s="1"/>
  <c r="DA263" i="3"/>
  <c r="DC263" i="3"/>
  <c r="DF263" i="3"/>
  <c r="DH263" i="3"/>
  <c r="A264" i="3"/>
  <c r="Y264" i="3"/>
  <c r="CX264" i="3" s="1"/>
  <c r="CY264" i="3"/>
  <c r="CZ264" i="3"/>
  <c r="DB264" i="3" s="1"/>
  <c r="DA264" i="3"/>
  <c r="DC264" i="3"/>
  <c r="A265" i="3"/>
  <c r="Y265" i="3"/>
  <c r="CX265" i="3"/>
  <c r="DI265" i="3" s="1"/>
  <c r="CY265" i="3"/>
  <c r="CZ265" i="3"/>
  <c r="DA265" i="3"/>
  <c r="DB265" i="3"/>
  <c r="DC265" i="3"/>
  <c r="DH265" i="3"/>
  <c r="A266" i="3"/>
  <c r="Y266" i="3"/>
  <c r="CV266" i="3" s="1"/>
  <c r="CU266" i="3"/>
  <c r="CY266" i="3"/>
  <c r="CZ266" i="3"/>
  <c r="DB266" i="3" s="1"/>
  <c r="DA266" i="3"/>
  <c r="DC266" i="3"/>
  <c r="A267" i="3"/>
  <c r="Y267" i="3"/>
  <c r="CX267" i="3"/>
  <c r="DI267" i="3" s="1"/>
  <c r="CY267" i="3"/>
  <c r="CZ267" i="3"/>
  <c r="DA267" i="3"/>
  <c r="DB267" i="3"/>
  <c r="DC267" i="3"/>
  <c r="DH267" i="3"/>
  <c r="A268" i="3"/>
  <c r="Y268" i="3"/>
  <c r="CX268" i="3" s="1"/>
  <c r="CY268" i="3"/>
  <c r="CZ268" i="3"/>
  <c r="DA268" i="3"/>
  <c r="DB268" i="3"/>
  <c r="DC268" i="3"/>
  <c r="A269" i="3"/>
  <c r="Y269" i="3"/>
  <c r="CV269" i="3" s="1"/>
  <c r="CU269" i="3"/>
  <c r="CX269" i="3"/>
  <c r="DI269" i="3" s="1"/>
  <c r="DJ269" i="3" s="1"/>
  <c r="CY269" i="3"/>
  <c r="CZ269" i="3"/>
  <c r="DA269" i="3"/>
  <c r="DB269" i="3"/>
  <c r="DC269" i="3"/>
  <c r="DH269" i="3"/>
  <c r="A270" i="3"/>
  <c r="Y270" i="3"/>
  <c r="CX270" i="3" s="1"/>
  <c r="CY270" i="3"/>
  <c r="CZ270" i="3"/>
  <c r="DA270" i="3"/>
  <c r="DB270" i="3"/>
  <c r="DC270" i="3"/>
  <c r="A271" i="3"/>
  <c r="Y271" i="3"/>
  <c r="CX271" i="3"/>
  <c r="DG271" i="3" s="1"/>
  <c r="CY271" i="3"/>
  <c r="CZ271" i="3"/>
  <c r="DB271" i="3" s="1"/>
  <c r="DA271" i="3"/>
  <c r="DC271" i="3"/>
  <c r="DF271" i="3"/>
  <c r="DH271" i="3"/>
  <c r="DJ271" i="3"/>
  <c r="A272" i="3"/>
  <c r="Y272" i="3"/>
  <c r="CX272" i="3" s="1"/>
  <c r="CU272" i="3"/>
  <c r="CV272" i="3"/>
  <c r="CY272" i="3"/>
  <c r="CZ272" i="3"/>
  <c r="DA272" i="3"/>
  <c r="DB272" i="3"/>
  <c r="DC272" i="3"/>
  <c r="A273" i="3"/>
  <c r="Y273" i="3"/>
  <c r="CX273" i="3"/>
  <c r="DG273" i="3" s="1"/>
  <c r="CY273" i="3"/>
  <c r="CZ273" i="3"/>
  <c r="DB273" i="3" s="1"/>
  <c r="DA273" i="3"/>
  <c r="DC273" i="3"/>
  <c r="DF273" i="3"/>
  <c r="DH273" i="3"/>
  <c r="DJ273" i="3"/>
  <c r="A274" i="3"/>
  <c r="Y274" i="3"/>
  <c r="CX274" i="3" s="1"/>
  <c r="CY274" i="3"/>
  <c r="CZ274" i="3"/>
  <c r="DB274" i="3" s="1"/>
  <c r="DA274" i="3"/>
  <c r="DC274" i="3"/>
  <c r="A275" i="3"/>
  <c r="Y275" i="3"/>
  <c r="CU275" i="3"/>
  <c r="CV275" i="3"/>
  <c r="CX275" i="3"/>
  <c r="DG275" i="3" s="1"/>
  <c r="CY275" i="3"/>
  <c r="CZ275" i="3"/>
  <c r="DB275" i="3" s="1"/>
  <c r="DA275" i="3"/>
  <c r="DC275" i="3"/>
  <c r="DF275" i="3"/>
  <c r="DH275" i="3"/>
  <c r="A276" i="3"/>
  <c r="Y276" i="3"/>
  <c r="CX276" i="3" s="1"/>
  <c r="CY276" i="3"/>
  <c r="CZ276" i="3"/>
  <c r="DB276" i="3" s="1"/>
  <c r="DA276" i="3"/>
  <c r="DC276" i="3"/>
  <c r="A277" i="3"/>
  <c r="Y277" i="3"/>
  <c r="CX277" i="3"/>
  <c r="DI277" i="3" s="1"/>
  <c r="CY277" i="3"/>
  <c r="CZ277" i="3"/>
  <c r="DA277" i="3"/>
  <c r="DB277" i="3"/>
  <c r="DC277" i="3"/>
  <c r="DH277" i="3"/>
  <c r="A278" i="3"/>
  <c r="Y278" i="3"/>
  <c r="CV278" i="3" s="1"/>
  <c r="CU278" i="3"/>
  <c r="CY278" i="3"/>
  <c r="CZ278" i="3"/>
  <c r="DB278" i="3" s="1"/>
  <c r="DA278" i="3"/>
  <c r="DC278" i="3"/>
  <c r="A279" i="3"/>
  <c r="Y279" i="3"/>
  <c r="CX279" i="3"/>
  <c r="CY279" i="3"/>
  <c r="CZ279" i="3"/>
  <c r="DA279" i="3"/>
  <c r="DB279" i="3"/>
  <c r="DC279" i="3"/>
  <c r="DH279" i="3"/>
  <c r="A280" i="3"/>
  <c r="Y280" i="3"/>
  <c r="CX280" i="3" s="1"/>
  <c r="CY280" i="3"/>
  <c r="CZ280" i="3"/>
  <c r="DA280" i="3"/>
  <c r="DB280" i="3"/>
  <c r="DC280" i="3"/>
  <c r="DG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B285" i="3" s="1"/>
  <c r="DA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B300" i="3" s="1"/>
  <c r="DA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B310" i="3" s="1"/>
  <c r="DA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B361" i="3" s="1"/>
  <c r="DA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B373" i="3" s="1"/>
  <c r="DA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B378" i="3" s="1"/>
  <c r="DA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A390" i="3"/>
  <c r="DB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B399" i="3" s="1"/>
  <c r="DA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A405" i="3"/>
  <c r="DB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B407" i="3" s="1"/>
  <c r="DA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A410" i="3"/>
  <c r="DB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B413" i="3" s="1"/>
  <c r="DA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B416" i="3" s="1"/>
  <c r="DA416" i="3"/>
  <c r="DC416" i="3"/>
  <c r="A417" i="3"/>
  <c r="Y417" i="3"/>
  <c r="CY417" i="3"/>
  <c r="CZ417" i="3"/>
  <c r="DB417" i="3" s="1"/>
  <c r="DA417" i="3"/>
  <c r="DC417" i="3"/>
  <c r="A418" i="3"/>
  <c r="Y418" i="3"/>
  <c r="CY418" i="3"/>
  <c r="CZ418" i="3"/>
  <c r="DB418" i="3" s="1"/>
  <c r="DA418" i="3"/>
  <c r="DC418" i="3"/>
  <c r="A419" i="3"/>
  <c r="Y419" i="3"/>
  <c r="CY419" i="3"/>
  <c r="CZ419" i="3"/>
  <c r="DA419" i="3"/>
  <c r="DB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A424" i="3"/>
  <c r="DB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A427" i="3"/>
  <c r="DB427" i="3"/>
  <c r="DC427" i="3"/>
  <c r="A428" i="3"/>
  <c r="Y428" i="3"/>
  <c r="CY428" i="3"/>
  <c r="CZ428" i="3"/>
  <c r="DB428" i="3" s="1"/>
  <c r="DA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A435" i="3"/>
  <c r="DB435" i="3"/>
  <c r="DC435" i="3"/>
  <c r="A436" i="3"/>
  <c r="Y436" i="3"/>
  <c r="CY436" i="3"/>
  <c r="CZ436" i="3"/>
  <c r="DA436" i="3"/>
  <c r="DB436" i="3"/>
  <c r="DC436" i="3"/>
  <c r="A437" i="3"/>
  <c r="Y437" i="3"/>
  <c r="CY437" i="3"/>
  <c r="CZ437" i="3"/>
  <c r="DB437" i="3" s="1"/>
  <c r="DA437" i="3"/>
  <c r="DC437" i="3"/>
  <c r="A438" i="3"/>
  <c r="Y438" i="3"/>
  <c r="CY438" i="3"/>
  <c r="CZ438" i="3"/>
  <c r="DA438" i="3"/>
  <c r="DB438" i="3"/>
  <c r="DC438" i="3"/>
  <c r="A439" i="3"/>
  <c r="Y439" i="3"/>
  <c r="CY439" i="3"/>
  <c r="CZ439" i="3"/>
  <c r="DB439" i="3" s="1"/>
  <c r="DA439" i="3"/>
  <c r="DC439" i="3"/>
  <c r="A440" i="3"/>
  <c r="Y440" i="3"/>
  <c r="CY440" i="3"/>
  <c r="CZ440" i="3"/>
  <c r="DB440" i="3" s="1"/>
  <c r="DA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B443" i="3" s="1"/>
  <c r="DA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A445" i="3"/>
  <c r="DB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B450" i="3" s="1"/>
  <c r="DA450" i="3"/>
  <c r="DC450" i="3"/>
  <c r="A451" i="3"/>
  <c r="Y451" i="3"/>
  <c r="CY451" i="3"/>
  <c r="CZ451" i="3"/>
  <c r="DB451" i="3" s="1"/>
  <c r="DA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A453" i="3"/>
  <c r="DB453" i="3"/>
  <c r="DC453" i="3"/>
  <c r="A454" i="3"/>
  <c r="Y454" i="3"/>
  <c r="CY454" i="3"/>
  <c r="CZ454" i="3"/>
  <c r="DB454" i="3" s="1"/>
  <c r="DA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A463" i="3"/>
  <c r="DB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B465" i="3" s="1"/>
  <c r="DA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A467" i="3"/>
  <c r="DB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B478" i="3" s="1"/>
  <c r="DA478" i="3"/>
  <c r="DC478" i="3"/>
  <c r="A479" i="3"/>
  <c r="Y479" i="3"/>
  <c r="CY479" i="3"/>
  <c r="CZ479" i="3"/>
  <c r="DA479" i="3"/>
  <c r="DB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A484" i="3"/>
  <c r="DB484" i="3"/>
  <c r="DC48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R28" i="1" s="1"/>
  <c r="AE35" i="1" s="1"/>
  <c r="K28" i="1"/>
  <c r="P28" i="1"/>
  <c r="S28" i="1"/>
  <c r="Y28" i="1" s="1"/>
  <c r="X28" i="1"/>
  <c r="AC28" i="1"/>
  <c r="AB28" i="1" s="1"/>
  <c r="AD28" i="1"/>
  <c r="AE28" i="1"/>
  <c r="Q28" i="1" s="1"/>
  <c r="AF28" i="1"/>
  <c r="AG28" i="1"/>
  <c r="AH28" i="1"/>
  <c r="CV28" i="1" s="1"/>
  <c r="U28" i="1" s="1"/>
  <c r="AI28" i="1"/>
  <c r="CW28" i="1" s="1"/>
  <c r="V28" i="1" s="1"/>
  <c r="AJ28" i="1"/>
  <c r="CQ28" i="1"/>
  <c r="CR28" i="1"/>
  <c r="CT28" i="1"/>
  <c r="CU28" i="1"/>
  <c r="T28" i="1" s="1"/>
  <c r="CX28" i="1"/>
  <c r="W28" i="1" s="1"/>
  <c r="CY28" i="1"/>
  <c r="CZ28" i="1"/>
  <c r="GL28" i="1"/>
  <c r="GN28" i="1"/>
  <c r="GP28" i="1"/>
  <c r="GV28" i="1"/>
  <c r="GX28" i="1"/>
  <c r="HC28" i="1"/>
  <c r="C29" i="1"/>
  <c r="D29" i="1"/>
  <c r="I29" i="1"/>
  <c r="R29" i="1" s="1"/>
  <c r="DW35" i="1" s="1"/>
  <c r="K29" i="1"/>
  <c r="S29" i="1"/>
  <c r="Y29" i="1" s="1"/>
  <c r="AC29" i="1"/>
  <c r="AE29" i="1"/>
  <c r="Q29" i="1" s="1"/>
  <c r="AF29" i="1"/>
  <c r="AG29" i="1"/>
  <c r="CU29" i="1" s="1"/>
  <c r="T29" i="1" s="1"/>
  <c r="AH29" i="1"/>
  <c r="AI29" i="1"/>
  <c r="CW29" i="1" s="1"/>
  <c r="V29" i="1" s="1"/>
  <c r="AJ29" i="1"/>
  <c r="CR29" i="1"/>
  <c r="CT29" i="1"/>
  <c r="CV29" i="1"/>
  <c r="U29" i="1" s="1"/>
  <c r="DZ35" i="1" s="1"/>
  <c r="CX29" i="1"/>
  <c r="W29" i="1" s="1"/>
  <c r="GL29" i="1"/>
  <c r="GN29" i="1"/>
  <c r="GP29" i="1"/>
  <c r="GV29" i="1"/>
  <c r="HC29" i="1" s="1"/>
  <c r="GX29" i="1" s="1"/>
  <c r="R30" i="1"/>
  <c r="S30" i="1"/>
  <c r="X30" i="1" s="1"/>
  <c r="AC30" i="1"/>
  <c r="AB30" i="1" s="1"/>
  <c r="AD30" i="1"/>
  <c r="AE30" i="1"/>
  <c r="Q30" i="1" s="1"/>
  <c r="AF30" i="1"/>
  <c r="AG30" i="1"/>
  <c r="CU30" i="1" s="1"/>
  <c r="T30" i="1" s="1"/>
  <c r="AH30" i="1"/>
  <c r="CV30" i="1" s="1"/>
  <c r="U30" i="1" s="1"/>
  <c r="AI30" i="1"/>
  <c r="AJ30" i="1"/>
  <c r="CR30" i="1"/>
  <c r="CS30" i="1"/>
  <c r="CT30" i="1"/>
  <c r="CW30" i="1"/>
  <c r="V30" i="1" s="1"/>
  <c r="CX30" i="1"/>
  <c r="W30" i="1" s="1"/>
  <c r="GL30" i="1"/>
  <c r="GN30" i="1"/>
  <c r="GO30" i="1"/>
  <c r="GP30" i="1"/>
  <c r="GV30" i="1"/>
  <c r="HC30" i="1" s="1"/>
  <c r="GX30" i="1" s="1"/>
  <c r="R31" i="1"/>
  <c r="S31" i="1"/>
  <c r="X31" i="1" s="1"/>
  <c r="AC31" i="1"/>
  <c r="AB31" i="1" s="1"/>
  <c r="AD31" i="1"/>
  <c r="AE31" i="1"/>
  <c r="Q31" i="1" s="1"/>
  <c r="AF31" i="1"/>
  <c r="AG31" i="1"/>
  <c r="CU31" i="1" s="1"/>
  <c r="T31" i="1" s="1"/>
  <c r="AH31" i="1"/>
  <c r="CV31" i="1" s="1"/>
  <c r="U31" i="1" s="1"/>
  <c r="AI31" i="1"/>
  <c r="AJ31" i="1"/>
  <c r="CR31" i="1"/>
  <c r="CS31" i="1"/>
  <c r="CT31" i="1"/>
  <c r="CW31" i="1"/>
  <c r="V31" i="1" s="1"/>
  <c r="CX31" i="1"/>
  <c r="W31" i="1" s="1"/>
  <c r="GL31" i="1"/>
  <c r="GN31" i="1"/>
  <c r="GO31" i="1"/>
  <c r="GP31" i="1"/>
  <c r="GV31" i="1"/>
  <c r="HC31" i="1" s="1"/>
  <c r="GX31" i="1" s="1"/>
  <c r="R32" i="1"/>
  <c r="S32" i="1"/>
  <c r="X32" i="1" s="1"/>
  <c r="AC32" i="1"/>
  <c r="AB32" i="1" s="1"/>
  <c r="AD32" i="1"/>
  <c r="AE32" i="1"/>
  <c r="Q32" i="1" s="1"/>
  <c r="AF32" i="1"/>
  <c r="AG32" i="1"/>
  <c r="CU32" i="1" s="1"/>
  <c r="T32" i="1" s="1"/>
  <c r="AH32" i="1"/>
  <c r="CV32" i="1" s="1"/>
  <c r="U32" i="1" s="1"/>
  <c r="AI32" i="1"/>
  <c r="AJ32" i="1"/>
  <c r="CR32" i="1"/>
  <c r="CS32" i="1"/>
  <c r="CT32" i="1"/>
  <c r="CW32" i="1"/>
  <c r="V32" i="1" s="1"/>
  <c r="CX32" i="1"/>
  <c r="W32" i="1" s="1"/>
  <c r="GL32" i="1"/>
  <c r="GN32" i="1"/>
  <c r="GO32" i="1"/>
  <c r="GP32" i="1"/>
  <c r="GV32" i="1"/>
  <c r="HC32" i="1" s="1"/>
  <c r="GX32" i="1" s="1"/>
  <c r="R33" i="1"/>
  <c r="S33" i="1"/>
  <c r="X33" i="1" s="1"/>
  <c r="AC33" i="1"/>
  <c r="AB33" i="1" s="1"/>
  <c r="AD33" i="1"/>
  <c r="AE33" i="1"/>
  <c r="Q33" i="1" s="1"/>
  <c r="AF33" i="1"/>
  <c r="AG33" i="1"/>
  <c r="CU33" i="1" s="1"/>
  <c r="T33" i="1" s="1"/>
  <c r="AH33" i="1"/>
  <c r="CV33" i="1" s="1"/>
  <c r="U33" i="1" s="1"/>
  <c r="AI33" i="1"/>
  <c r="AJ33" i="1"/>
  <c r="CR33" i="1"/>
  <c r="CS33" i="1"/>
  <c r="CT33" i="1"/>
  <c r="CW33" i="1"/>
  <c r="V33" i="1" s="1"/>
  <c r="CX33" i="1"/>
  <c r="W33" i="1" s="1"/>
  <c r="GL33" i="1"/>
  <c r="GN33" i="1"/>
  <c r="GO33" i="1"/>
  <c r="GP33" i="1"/>
  <c r="GV33" i="1"/>
  <c r="HC33" i="1" s="1"/>
  <c r="GX33" i="1" s="1"/>
  <c r="B35" i="1"/>
  <c r="B26" i="1" s="1"/>
  <c r="C35" i="1"/>
  <c r="C26" i="1" s="1"/>
  <c r="D35" i="1"/>
  <c r="D26" i="1" s="1"/>
  <c r="F35" i="1"/>
  <c r="F26" i="1" s="1"/>
  <c r="G35" i="1"/>
  <c r="G26" i="1" s="1"/>
  <c r="AF35" i="1"/>
  <c r="AF26" i="1" s="1"/>
  <c r="BX35" i="1"/>
  <c r="BX26" i="1" s="1"/>
  <c r="BZ35" i="1"/>
  <c r="AQ35" i="1" s="1"/>
  <c r="CB35" i="1"/>
  <c r="CB26" i="1" s="1"/>
  <c r="CD35" i="1"/>
  <c r="CD26" i="1" s="1"/>
  <c r="CK35" i="1"/>
  <c r="BB35" i="1" s="1"/>
  <c r="CL35" i="1"/>
  <c r="CL26" i="1" s="1"/>
  <c r="CM35" i="1"/>
  <c r="CM26" i="1" s="1"/>
  <c r="DK35" i="1"/>
  <c r="DK26" i="1" s="1"/>
  <c r="DX35" i="1"/>
  <c r="DX26" i="1" s="1"/>
  <c r="FP35" i="1"/>
  <c r="FP26" i="1" s="1"/>
  <c r="FR35" i="1"/>
  <c r="EI35" i="1" s="1"/>
  <c r="FT35" i="1"/>
  <c r="FT26" i="1" s="1"/>
  <c r="FV35" i="1"/>
  <c r="EM35" i="1" s="1"/>
  <c r="GC35" i="1"/>
  <c r="GC26" i="1" s="1"/>
  <c r="GD35" i="1"/>
  <c r="EU35" i="1" s="1"/>
  <c r="GE35" i="1"/>
  <c r="EV35" i="1" s="1"/>
  <c r="D65" i="1"/>
  <c r="E67" i="1"/>
  <c r="Z67" i="1"/>
  <c r="AA67" i="1"/>
  <c r="AM67" i="1"/>
  <c r="AN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R67" i="1"/>
  <c r="DS67" i="1"/>
  <c r="EE67" i="1"/>
  <c r="EF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C69" i="1"/>
  <c r="D69" i="1"/>
  <c r="I69" i="1"/>
  <c r="K69" i="1"/>
  <c r="R69" i="1"/>
  <c r="AC69" i="1"/>
  <c r="P69" i="1" s="1"/>
  <c r="AD69" i="1"/>
  <c r="AE69" i="1"/>
  <c r="Q69" i="1" s="1"/>
  <c r="AF69" i="1"/>
  <c r="AB69" i="1" s="1"/>
  <c r="AG69" i="1"/>
  <c r="CU69" i="1" s="1"/>
  <c r="T69" i="1" s="1"/>
  <c r="AH69" i="1"/>
  <c r="CV69" i="1" s="1"/>
  <c r="U69" i="1" s="1"/>
  <c r="AI69" i="1"/>
  <c r="AJ69" i="1"/>
  <c r="CX69" i="1" s="1"/>
  <c r="W69" i="1" s="1"/>
  <c r="CR69" i="1"/>
  <c r="CS69" i="1"/>
  <c r="CW69" i="1"/>
  <c r="V69" i="1" s="1"/>
  <c r="GL69" i="1"/>
  <c r="GO69" i="1"/>
  <c r="GP69" i="1"/>
  <c r="GV69" i="1"/>
  <c r="HC69" i="1" s="1"/>
  <c r="GX69" i="1" s="1"/>
  <c r="C70" i="1"/>
  <c r="D70" i="1"/>
  <c r="I70" i="1"/>
  <c r="R70" i="1" s="1"/>
  <c r="K70" i="1"/>
  <c r="S70" i="1"/>
  <c r="Y70" i="1" s="1"/>
  <c r="AC70" i="1"/>
  <c r="AB70" i="1" s="1"/>
  <c r="AD70" i="1"/>
  <c r="AE70" i="1"/>
  <c r="Q70" i="1" s="1"/>
  <c r="AF70" i="1"/>
  <c r="AG70" i="1"/>
  <c r="CU70" i="1" s="1"/>
  <c r="T70" i="1" s="1"/>
  <c r="AH70" i="1"/>
  <c r="CV70" i="1" s="1"/>
  <c r="U70" i="1" s="1"/>
  <c r="AI70" i="1"/>
  <c r="CW70" i="1" s="1"/>
  <c r="V70" i="1" s="1"/>
  <c r="AJ70" i="1"/>
  <c r="CR70" i="1"/>
  <c r="CT70" i="1"/>
  <c r="CX70" i="1"/>
  <c r="W70" i="1" s="1"/>
  <c r="GL70" i="1"/>
  <c r="GO70" i="1"/>
  <c r="GP70" i="1"/>
  <c r="GV70" i="1"/>
  <c r="HC70" i="1" s="1"/>
  <c r="GX70" i="1" s="1"/>
  <c r="P71" i="1"/>
  <c r="AC71" i="1"/>
  <c r="AD71" i="1"/>
  <c r="AB71" i="1" s="1"/>
  <c r="AE71" i="1"/>
  <c r="R71" i="1" s="1"/>
  <c r="AF71" i="1"/>
  <c r="S71" i="1" s="1"/>
  <c r="AG71" i="1"/>
  <c r="AH71" i="1"/>
  <c r="CV71" i="1" s="1"/>
  <c r="U71" i="1" s="1"/>
  <c r="AI71" i="1"/>
  <c r="CW71" i="1" s="1"/>
  <c r="V71" i="1" s="1"/>
  <c r="AJ71" i="1"/>
  <c r="CX71" i="1" s="1"/>
  <c r="W71" i="1" s="1"/>
  <c r="CQ71" i="1"/>
  <c r="CR71" i="1"/>
  <c r="CU71" i="1"/>
  <c r="T71" i="1" s="1"/>
  <c r="GL71" i="1"/>
  <c r="GO71" i="1"/>
  <c r="GP71" i="1"/>
  <c r="GV71" i="1"/>
  <c r="GX71" i="1"/>
  <c r="HC71" i="1"/>
  <c r="AC72" i="1"/>
  <c r="P72" i="1" s="1"/>
  <c r="AE72" i="1"/>
  <c r="AD72" i="1" s="1"/>
  <c r="AB72" i="1" s="1"/>
  <c r="AF72" i="1"/>
  <c r="S72" i="1" s="1"/>
  <c r="AG72" i="1"/>
  <c r="CU72" i="1" s="1"/>
  <c r="T72" i="1" s="1"/>
  <c r="AH72" i="1"/>
  <c r="AI72" i="1"/>
  <c r="CW72" i="1" s="1"/>
  <c r="V72" i="1" s="1"/>
  <c r="AJ72" i="1"/>
  <c r="CX72" i="1" s="1"/>
  <c r="W72" i="1" s="1"/>
  <c r="CR72" i="1"/>
  <c r="CV72" i="1"/>
  <c r="U72" i="1" s="1"/>
  <c r="GL72" i="1"/>
  <c r="GO72" i="1"/>
  <c r="GP72" i="1"/>
  <c r="GV72" i="1"/>
  <c r="HC72" i="1"/>
  <c r="GX72" i="1" s="1"/>
  <c r="R73" i="1"/>
  <c r="AC73" i="1"/>
  <c r="P73" i="1" s="1"/>
  <c r="AD73" i="1"/>
  <c r="AE73" i="1"/>
  <c r="Q73" i="1" s="1"/>
  <c r="AF73" i="1"/>
  <c r="AB73" i="1" s="1"/>
  <c r="AG73" i="1"/>
  <c r="CU73" i="1" s="1"/>
  <c r="T73" i="1" s="1"/>
  <c r="AH73" i="1"/>
  <c r="CV73" i="1" s="1"/>
  <c r="U73" i="1" s="1"/>
  <c r="AI73" i="1"/>
  <c r="AJ73" i="1"/>
  <c r="CX73" i="1" s="1"/>
  <c r="W73" i="1" s="1"/>
  <c r="CR73" i="1"/>
  <c r="CS73" i="1"/>
  <c r="CW73" i="1"/>
  <c r="V73" i="1" s="1"/>
  <c r="GL73" i="1"/>
  <c r="GO73" i="1"/>
  <c r="GP73" i="1"/>
  <c r="GV73" i="1"/>
  <c r="HC73" i="1" s="1"/>
  <c r="GX73" i="1" s="1"/>
  <c r="S74" i="1"/>
  <c r="Y74" i="1" s="1"/>
  <c r="AC74" i="1"/>
  <c r="AB74" i="1" s="1"/>
  <c r="AD74" i="1"/>
  <c r="AE74" i="1"/>
  <c r="Q74" i="1" s="1"/>
  <c r="AF74" i="1"/>
  <c r="AG74" i="1"/>
  <c r="CU74" i="1" s="1"/>
  <c r="T74" i="1" s="1"/>
  <c r="AH74" i="1"/>
  <c r="CV74" i="1" s="1"/>
  <c r="U74" i="1" s="1"/>
  <c r="AI74" i="1"/>
  <c r="CW74" i="1" s="1"/>
  <c r="V74" i="1" s="1"/>
  <c r="AJ74" i="1"/>
  <c r="CR74" i="1"/>
  <c r="CT74" i="1"/>
  <c r="CX74" i="1"/>
  <c r="W74" i="1" s="1"/>
  <c r="GL74" i="1"/>
  <c r="GO74" i="1"/>
  <c r="GP74" i="1"/>
  <c r="GV74" i="1"/>
  <c r="HC74" i="1" s="1"/>
  <c r="GX74" i="1" s="1"/>
  <c r="P75" i="1"/>
  <c r="AC75" i="1"/>
  <c r="AD75" i="1"/>
  <c r="AB75" i="1" s="1"/>
  <c r="AE75" i="1"/>
  <c r="R75" i="1" s="1"/>
  <c r="AF75" i="1"/>
  <c r="S75" i="1" s="1"/>
  <c r="AG75" i="1"/>
  <c r="AH75" i="1"/>
  <c r="CV75" i="1" s="1"/>
  <c r="U75" i="1" s="1"/>
  <c r="AI75" i="1"/>
  <c r="CW75" i="1" s="1"/>
  <c r="V75" i="1" s="1"/>
  <c r="AJ75" i="1"/>
  <c r="CX75" i="1" s="1"/>
  <c r="W75" i="1" s="1"/>
  <c r="CQ75" i="1"/>
  <c r="CR75" i="1"/>
  <c r="CU75" i="1"/>
  <c r="T75" i="1" s="1"/>
  <c r="GL75" i="1"/>
  <c r="GO75" i="1"/>
  <c r="GP75" i="1"/>
  <c r="GV75" i="1"/>
  <c r="GX75" i="1"/>
  <c r="HC75" i="1"/>
  <c r="AC76" i="1"/>
  <c r="P76" i="1" s="1"/>
  <c r="AE76" i="1"/>
  <c r="AD76" i="1" s="1"/>
  <c r="AB76" i="1" s="1"/>
  <c r="AF76" i="1"/>
  <c r="S76" i="1" s="1"/>
  <c r="AG76" i="1"/>
  <c r="CU76" i="1" s="1"/>
  <c r="T76" i="1" s="1"/>
  <c r="AH76" i="1"/>
  <c r="AI76" i="1"/>
  <c r="CW76" i="1" s="1"/>
  <c r="V76" i="1" s="1"/>
  <c r="AJ76" i="1"/>
  <c r="CX76" i="1" s="1"/>
  <c r="W76" i="1" s="1"/>
  <c r="CR76" i="1"/>
  <c r="CV76" i="1"/>
  <c r="U76" i="1" s="1"/>
  <c r="GL76" i="1"/>
  <c r="GO76" i="1"/>
  <c r="GP76" i="1"/>
  <c r="GV76" i="1"/>
  <c r="HC76" i="1"/>
  <c r="GX76" i="1" s="1"/>
  <c r="R77" i="1"/>
  <c r="AC77" i="1"/>
  <c r="P77" i="1" s="1"/>
  <c r="AD77" i="1"/>
  <c r="AE77" i="1"/>
  <c r="Q77" i="1" s="1"/>
  <c r="AF77" i="1"/>
  <c r="AB77" i="1" s="1"/>
  <c r="AG77" i="1"/>
  <c r="CU77" i="1" s="1"/>
  <c r="T77" i="1" s="1"/>
  <c r="AH77" i="1"/>
  <c r="CV77" i="1" s="1"/>
  <c r="U77" i="1" s="1"/>
  <c r="AI77" i="1"/>
  <c r="AJ77" i="1"/>
  <c r="CX77" i="1" s="1"/>
  <c r="W77" i="1" s="1"/>
  <c r="CR77" i="1"/>
  <c r="CS77" i="1"/>
  <c r="CW77" i="1"/>
  <c r="V77" i="1" s="1"/>
  <c r="GL77" i="1"/>
  <c r="GO77" i="1"/>
  <c r="GP77" i="1"/>
  <c r="GV77" i="1"/>
  <c r="HC77" i="1" s="1"/>
  <c r="GX77" i="1" s="1"/>
  <c r="S78" i="1"/>
  <c r="Y78" i="1" s="1"/>
  <c r="AC78" i="1"/>
  <c r="AB78" i="1" s="1"/>
  <c r="AD78" i="1"/>
  <c r="AE78" i="1"/>
  <c r="Q78" i="1" s="1"/>
  <c r="AF78" i="1"/>
  <c r="AG78" i="1"/>
  <c r="CU78" i="1" s="1"/>
  <c r="T78" i="1" s="1"/>
  <c r="AH78" i="1"/>
  <c r="CV78" i="1" s="1"/>
  <c r="U78" i="1" s="1"/>
  <c r="AI78" i="1"/>
  <c r="CW78" i="1" s="1"/>
  <c r="V78" i="1" s="1"/>
  <c r="AJ78" i="1"/>
  <c r="CR78" i="1"/>
  <c r="CT78" i="1"/>
  <c r="CX78" i="1"/>
  <c r="W78" i="1" s="1"/>
  <c r="GL78" i="1"/>
  <c r="GO78" i="1"/>
  <c r="GP78" i="1"/>
  <c r="GV78" i="1"/>
  <c r="HC78" i="1" s="1"/>
  <c r="GX78" i="1" s="1"/>
  <c r="P79" i="1"/>
  <c r="AC79" i="1"/>
  <c r="AD79" i="1"/>
  <c r="AB79" i="1" s="1"/>
  <c r="AE79" i="1"/>
  <c r="R79" i="1" s="1"/>
  <c r="AF79" i="1"/>
  <c r="S79" i="1" s="1"/>
  <c r="AG79" i="1"/>
  <c r="AH79" i="1"/>
  <c r="CV79" i="1" s="1"/>
  <c r="U79" i="1" s="1"/>
  <c r="AI79" i="1"/>
  <c r="CW79" i="1" s="1"/>
  <c r="V79" i="1" s="1"/>
  <c r="AJ79" i="1"/>
  <c r="CX79" i="1" s="1"/>
  <c r="W79" i="1" s="1"/>
  <c r="CQ79" i="1"/>
  <c r="CR79" i="1"/>
  <c r="CU79" i="1"/>
  <c r="T79" i="1" s="1"/>
  <c r="CY79" i="1"/>
  <c r="GL79" i="1"/>
  <c r="GO79" i="1"/>
  <c r="GP79" i="1"/>
  <c r="GV79" i="1"/>
  <c r="GX79" i="1"/>
  <c r="HC79" i="1"/>
  <c r="AC80" i="1"/>
  <c r="P80" i="1" s="1"/>
  <c r="AE80" i="1"/>
  <c r="Y80" i="1" s="1"/>
  <c r="AF80" i="1"/>
  <c r="S80" i="1" s="1"/>
  <c r="AG80" i="1"/>
  <c r="CU80" i="1" s="1"/>
  <c r="T80" i="1" s="1"/>
  <c r="AH80" i="1"/>
  <c r="AI80" i="1"/>
  <c r="CW80" i="1" s="1"/>
  <c r="V80" i="1" s="1"/>
  <c r="AJ80" i="1"/>
  <c r="CX80" i="1" s="1"/>
  <c r="W80" i="1" s="1"/>
  <c r="CV80" i="1"/>
  <c r="U80" i="1" s="1"/>
  <c r="CZ80" i="1"/>
  <c r="GL80" i="1"/>
  <c r="GO80" i="1"/>
  <c r="GP80" i="1"/>
  <c r="GV80" i="1"/>
  <c r="HC80" i="1"/>
  <c r="GX80" i="1" s="1"/>
  <c r="R81" i="1"/>
  <c r="AC81" i="1"/>
  <c r="P81" i="1" s="1"/>
  <c r="AD81" i="1"/>
  <c r="AE81" i="1"/>
  <c r="Q81" i="1" s="1"/>
  <c r="AF81" i="1"/>
  <c r="AG81" i="1"/>
  <c r="CU81" i="1" s="1"/>
  <c r="T81" i="1" s="1"/>
  <c r="AH81" i="1"/>
  <c r="CV81" i="1" s="1"/>
  <c r="U81" i="1" s="1"/>
  <c r="AI81" i="1"/>
  <c r="AJ81" i="1"/>
  <c r="CX81" i="1" s="1"/>
  <c r="W81" i="1" s="1"/>
  <c r="CR81" i="1"/>
  <c r="CS81" i="1"/>
  <c r="CW81" i="1"/>
  <c r="V81" i="1" s="1"/>
  <c r="GL81" i="1"/>
  <c r="GO81" i="1"/>
  <c r="GP81" i="1"/>
  <c r="GV81" i="1"/>
  <c r="HC81" i="1" s="1"/>
  <c r="GX81" i="1" s="1"/>
  <c r="S82" i="1"/>
  <c r="AC82" i="1"/>
  <c r="AD82" i="1"/>
  <c r="AE82" i="1"/>
  <c r="Q82" i="1" s="1"/>
  <c r="AF82" i="1"/>
  <c r="AG82" i="1"/>
  <c r="CU82" i="1" s="1"/>
  <c r="T82" i="1" s="1"/>
  <c r="AH82" i="1"/>
  <c r="CV82" i="1" s="1"/>
  <c r="U82" i="1" s="1"/>
  <c r="AI82" i="1"/>
  <c r="CW82" i="1" s="1"/>
  <c r="V82" i="1" s="1"/>
  <c r="AJ82" i="1"/>
  <c r="CR82" i="1"/>
  <c r="CT82" i="1"/>
  <c r="CX82" i="1"/>
  <c r="W82" i="1" s="1"/>
  <c r="GL82" i="1"/>
  <c r="GO82" i="1"/>
  <c r="GP82" i="1"/>
  <c r="GV82" i="1"/>
  <c r="HC82" i="1" s="1"/>
  <c r="GX82" i="1" s="1"/>
  <c r="C83" i="1"/>
  <c r="D83" i="1"/>
  <c r="I83" i="1"/>
  <c r="K83" i="1"/>
  <c r="P83" i="1"/>
  <c r="AC83" i="1"/>
  <c r="AD83" i="1"/>
  <c r="AB83" i="1" s="1"/>
  <c r="AE83" i="1"/>
  <c r="CS83" i="1" s="1"/>
  <c r="AF83" i="1"/>
  <c r="S83" i="1" s="1"/>
  <c r="AG83" i="1"/>
  <c r="AH83" i="1"/>
  <c r="CV83" i="1" s="1"/>
  <c r="U83" i="1" s="1"/>
  <c r="AI83" i="1"/>
  <c r="CW83" i="1" s="1"/>
  <c r="V83" i="1" s="1"/>
  <c r="AJ83" i="1"/>
  <c r="CX83" i="1" s="1"/>
  <c r="W83" i="1" s="1"/>
  <c r="CQ83" i="1"/>
  <c r="CR83" i="1"/>
  <c r="CU83" i="1"/>
  <c r="T83" i="1" s="1"/>
  <c r="CY83" i="1"/>
  <c r="GL83" i="1"/>
  <c r="GO83" i="1"/>
  <c r="GP83" i="1"/>
  <c r="GV83" i="1"/>
  <c r="GX83" i="1"/>
  <c r="HC83" i="1"/>
  <c r="C84" i="1"/>
  <c r="D84" i="1"/>
  <c r="I84" i="1"/>
  <c r="Q84" i="1" s="1"/>
  <c r="K84" i="1"/>
  <c r="AC84" i="1"/>
  <c r="AE84" i="1"/>
  <c r="AF84" i="1"/>
  <c r="AG84" i="1"/>
  <c r="CU84" i="1" s="1"/>
  <c r="T84" i="1" s="1"/>
  <c r="AH84" i="1"/>
  <c r="AI84" i="1"/>
  <c r="CW84" i="1" s="1"/>
  <c r="V84" i="1" s="1"/>
  <c r="AJ84" i="1"/>
  <c r="CX84" i="1" s="1"/>
  <c r="CR84" i="1"/>
  <c r="CV84" i="1"/>
  <c r="GL84" i="1"/>
  <c r="GO84" i="1"/>
  <c r="GP84" i="1"/>
  <c r="GV84" i="1"/>
  <c r="HC84" i="1"/>
  <c r="R85" i="1"/>
  <c r="AC85" i="1"/>
  <c r="P85" i="1" s="1"/>
  <c r="AD85" i="1"/>
  <c r="AE85" i="1"/>
  <c r="Q85" i="1" s="1"/>
  <c r="AF85" i="1"/>
  <c r="AG85" i="1"/>
  <c r="CU85" i="1" s="1"/>
  <c r="T85" i="1" s="1"/>
  <c r="AH85" i="1"/>
  <c r="AI85" i="1"/>
  <c r="AJ85" i="1"/>
  <c r="CX85" i="1" s="1"/>
  <c r="W85" i="1" s="1"/>
  <c r="CR85" i="1"/>
  <c r="CS85" i="1"/>
  <c r="CV85" i="1"/>
  <c r="U85" i="1" s="1"/>
  <c r="CW85" i="1"/>
  <c r="V85" i="1" s="1"/>
  <c r="GL85" i="1"/>
  <c r="GO85" i="1"/>
  <c r="GP85" i="1"/>
  <c r="GV85" i="1"/>
  <c r="HC85" i="1" s="1"/>
  <c r="GX85" i="1" s="1"/>
  <c r="S86" i="1"/>
  <c r="AC86" i="1"/>
  <c r="AD86" i="1"/>
  <c r="AE86" i="1"/>
  <c r="Q86" i="1" s="1"/>
  <c r="AF86" i="1"/>
  <c r="AG86" i="1"/>
  <c r="CU86" i="1" s="1"/>
  <c r="T86" i="1" s="1"/>
  <c r="AH86" i="1"/>
  <c r="CV86" i="1" s="1"/>
  <c r="U86" i="1" s="1"/>
  <c r="AI86" i="1"/>
  <c r="AJ86" i="1"/>
  <c r="CR86" i="1"/>
  <c r="CS86" i="1"/>
  <c r="CT86" i="1"/>
  <c r="CW86" i="1"/>
  <c r="V86" i="1" s="1"/>
  <c r="CX86" i="1"/>
  <c r="W86" i="1" s="1"/>
  <c r="GL86" i="1"/>
  <c r="GO86" i="1"/>
  <c r="GP86" i="1"/>
  <c r="GV86" i="1"/>
  <c r="HC86" i="1" s="1"/>
  <c r="GX86" i="1" s="1"/>
  <c r="P87" i="1"/>
  <c r="T87" i="1"/>
  <c r="AC87" i="1"/>
  <c r="AB87" i="1" s="1"/>
  <c r="AD87" i="1"/>
  <c r="AE87" i="1"/>
  <c r="R87" i="1" s="1"/>
  <c r="AF87" i="1"/>
  <c r="S87" i="1" s="1"/>
  <c r="AG87" i="1"/>
  <c r="AH87" i="1"/>
  <c r="CV87" i="1" s="1"/>
  <c r="U87" i="1" s="1"/>
  <c r="AI87" i="1"/>
  <c r="CW87" i="1" s="1"/>
  <c r="V87" i="1" s="1"/>
  <c r="AJ87" i="1"/>
  <c r="CQ87" i="1"/>
  <c r="CR87" i="1"/>
  <c r="CT87" i="1"/>
  <c r="CU87" i="1"/>
  <c r="CX87" i="1"/>
  <c r="W87" i="1" s="1"/>
  <c r="GL87" i="1"/>
  <c r="GO87" i="1"/>
  <c r="GP87" i="1"/>
  <c r="GV87" i="1"/>
  <c r="GX87" i="1"/>
  <c r="HC87" i="1"/>
  <c r="AC88" i="1"/>
  <c r="P88" i="1" s="1"/>
  <c r="AE88" i="1"/>
  <c r="AF88" i="1"/>
  <c r="S88" i="1" s="1"/>
  <c r="Y88" i="1" s="1"/>
  <c r="AG88" i="1"/>
  <c r="AH88" i="1"/>
  <c r="AI88" i="1"/>
  <c r="CW88" i="1" s="1"/>
  <c r="V88" i="1" s="1"/>
  <c r="AJ88" i="1"/>
  <c r="CX88" i="1" s="1"/>
  <c r="W88" i="1" s="1"/>
  <c r="CQ88" i="1"/>
  <c r="CR88" i="1"/>
  <c r="CU88" i="1"/>
  <c r="T88" i="1" s="1"/>
  <c r="CV88" i="1"/>
  <c r="U88" i="1" s="1"/>
  <c r="GL88" i="1"/>
  <c r="GO88" i="1"/>
  <c r="GP88" i="1"/>
  <c r="GV88" i="1"/>
  <c r="HC88" i="1"/>
  <c r="GX88" i="1" s="1"/>
  <c r="R89" i="1"/>
  <c r="AC89" i="1"/>
  <c r="P89" i="1" s="1"/>
  <c r="AE89" i="1"/>
  <c r="AD89" i="1" s="1"/>
  <c r="AF89" i="1"/>
  <c r="AB89" i="1" s="1"/>
  <c r="AG89" i="1"/>
  <c r="CU89" i="1" s="1"/>
  <c r="T89" i="1" s="1"/>
  <c r="AH89" i="1"/>
  <c r="AI89" i="1"/>
  <c r="AJ89" i="1"/>
  <c r="CX89" i="1" s="1"/>
  <c r="W89" i="1" s="1"/>
  <c r="CR89" i="1"/>
  <c r="CS89" i="1"/>
  <c r="CV89" i="1"/>
  <c r="U89" i="1" s="1"/>
  <c r="CW89" i="1"/>
  <c r="V89" i="1" s="1"/>
  <c r="GL89" i="1"/>
  <c r="GO89" i="1"/>
  <c r="GP89" i="1"/>
  <c r="GV89" i="1"/>
  <c r="HC89" i="1" s="1"/>
  <c r="GX89" i="1" s="1"/>
  <c r="S90" i="1"/>
  <c r="AC90" i="1"/>
  <c r="AD90" i="1"/>
  <c r="AE90" i="1"/>
  <c r="Q90" i="1" s="1"/>
  <c r="AF90" i="1"/>
  <c r="AG90" i="1"/>
  <c r="CU90" i="1" s="1"/>
  <c r="T90" i="1" s="1"/>
  <c r="AH90" i="1"/>
  <c r="CV90" i="1" s="1"/>
  <c r="U90" i="1" s="1"/>
  <c r="AI90" i="1"/>
  <c r="AJ90" i="1"/>
  <c r="CR90" i="1"/>
  <c r="CS90" i="1"/>
  <c r="CT90" i="1"/>
  <c r="CW90" i="1"/>
  <c r="V90" i="1" s="1"/>
  <c r="CX90" i="1"/>
  <c r="W90" i="1" s="1"/>
  <c r="GL90" i="1"/>
  <c r="GO90" i="1"/>
  <c r="GP90" i="1"/>
  <c r="GV90" i="1"/>
  <c r="HC90" i="1" s="1"/>
  <c r="GX90" i="1" s="1"/>
  <c r="P91" i="1"/>
  <c r="T91" i="1"/>
  <c r="AC91" i="1"/>
  <c r="AB91" i="1" s="1"/>
  <c r="AD91" i="1"/>
  <c r="AE91" i="1"/>
  <c r="R91" i="1" s="1"/>
  <c r="AF91" i="1"/>
  <c r="S91" i="1" s="1"/>
  <c r="AG91" i="1"/>
  <c r="AH91" i="1"/>
  <c r="CV91" i="1" s="1"/>
  <c r="U91" i="1" s="1"/>
  <c r="AI91" i="1"/>
  <c r="CW91" i="1" s="1"/>
  <c r="V91" i="1" s="1"/>
  <c r="AJ91" i="1"/>
  <c r="CQ91" i="1"/>
  <c r="CR91" i="1"/>
  <c r="CT91" i="1"/>
  <c r="CU91" i="1"/>
  <c r="CX91" i="1"/>
  <c r="W91" i="1" s="1"/>
  <c r="GL91" i="1"/>
  <c r="GO91" i="1"/>
  <c r="GP91" i="1"/>
  <c r="GV91" i="1"/>
  <c r="GX91" i="1"/>
  <c r="HC91" i="1"/>
  <c r="AC92" i="1"/>
  <c r="P92" i="1" s="1"/>
  <c r="AE92" i="1"/>
  <c r="AF92" i="1"/>
  <c r="S92" i="1" s="1"/>
  <c r="Y92" i="1" s="1"/>
  <c r="AG92" i="1"/>
  <c r="AH92" i="1"/>
  <c r="AI92" i="1"/>
  <c r="CW92" i="1" s="1"/>
  <c r="V92" i="1" s="1"/>
  <c r="AJ92" i="1"/>
  <c r="CX92" i="1" s="1"/>
  <c r="W92" i="1" s="1"/>
  <c r="CQ92" i="1"/>
  <c r="CR92" i="1"/>
  <c r="CU92" i="1"/>
  <c r="T92" i="1" s="1"/>
  <c r="CV92" i="1"/>
  <c r="U92" i="1" s="1"/>
  <c r="GL92" i="1"/>
  <c r="GO92" i="1"/>
  <c r="GP92" i="1"/>
  <c r="GV92" i="1"/>
  <c r="HC92" i="1"/>
  <c r="GX92" i="1" s="1"/>
  <c r="R93" i="1"/>
  <c r="AC93" i="1"/>
  <c r="P93" i="1" s="1"/>
  <c r="AE93" i="1"/>
  <c r="AD93" i="1" s="1"/>
  <c r="AB93" i="1" s="1"/>
  <c r="AF93" i="1"/>
  <c r="AG93" i="1"/>
  <c r="CU93" i="1" s="1"/>
  <c r="T93" i="1" s="1"/>
  <c r="AH93" i="1"/>
  <c r="AI93" i="1"/>
  <c r="AJ93" i="1"/>
  <c r="CX93" i="1" s="1"/>
  <c r="W93" i="1" s="1"/>
  <c r="CR93" i="1"/>
  <c r="CS93" i="1"/>
  <c r="CV93" i="1"/>
  <c r="U93" i="1" s="1"/>
  <c r="CW93" i="1"/>
  <c r="V93" i="1" s="1"/>
  <c r="GL93" i="1"/>
  <c r="GO93" i="1"/>
  <c r="GP93" i="1"/>
  <c r="GV93" i="1"/>
  <c r="HC93" i="1" s="1"/>
  <c r="GX93" i="1" s="1"/>
  <c r="R94" i="1"/>
  <c r="S94" i="1"/>
  <c r="AC94" i="1"/>
  <c r="AD94" i="1"/>
  <c r="AE94" i="1"/>
  <c r="Q94" i="1" s="1"/>
  <c r="AF94" i="1"/>
  <c r="AG94" i="1"/>
  <c r="CU94" i="1" s="1"/>
  <c r="T94" i="1" s="1"/>
  <c r="AH94" i="1"/>
  <c r="CV94" i="1" s="1"/>
  <c r="U94" i="1" s="1"/>
  <c r="AI94" i="1"/>
  <c r="AJ94" i="1"/>
  <c r="CR94" i="1"/>
  <c r="CS94" i="1"/>
  <c r="CT94" i="1"/>
  <c r="CW94" i="1"/>
  <c r="V94" i="1" s="1"/>
  <c r="CX94" i="1"/>
  <c r="W94" i="1" s="1"/>
  <c r="GL94" i="1"/>
  <c r="GO94" i="1"/>
  <c r="GP94" i="1"/>
  <c r="GV94" i="1"/>
  <c r="HC94" i="1" s="1"/>
  <c r="GX94" i="1" s="1"/>
  <c r="P95" i="1"/>
  <c r="S95" i="1"/>
  <c r="T95" i="1"/>
  <c r="X95" i="1"/>
  <c r="AC95" i="1"/>
  <c r="AB95" i="1" s="1"/>
  <c r="AD95" i="1"/>
  <c r="AE95" i="1"/>
  <c r="R95" i="1" s="1"/>
  <c r="AF95" i="1"/>
  <c r="AG95" i="1"/>
  <c r="AH95" i="1"/>
  <c r="CV95" i="1" s="1"/>
  <c r="U95" i="1" s="1"/>
  <c r="AI95" i="1"/>
  <c r="CW95" i="1" s="1"/>
  <c r="V95" i="1" s="1"/>
  <c r="AJ95" i="1"/>
  <c r="CQ95" i="1"/>
  <c r="CR95" i="1"/>
  <c r="CT95" i="1"/>
  <c r="CU95" i="1"/>
  <c r="CX95" i="1"/>
  <c r="W95" i="1" s="1"/>
  <c r="CY95" i="1"/>
  <c r="CZ95" i="1"/>
  <c r="GL95" i="1"/>
  <c r="GO95" i="1"/>
  <c r="GP95" i="1"/>
  <c r="GV95" i="1"/>
  <c r="GX95" i="1"/>
  <c r="HC95" i="1"/>
  <c r="P96" i="1"/>
  <c r="AC96" i="1"/>
  <c r="AE96" i="1"/>
  <c r="AF96" i="1"/>
  <c r="S96" i="1" s="1"/>
  <c r="Y96" i="1" s="1"/>
  <c r="AG96" i="1"/>
  <c r="AH96" i="1"/>
  <c r="AI96" i="1"/>
  <c r="CW96" i="1" s="1"/>
  <c r="V96" i="1" s="1"/>
  <c r="AJ96" i="1"/>
  <c r="CX96" i="1" s="1"/>
  <c r="W96" i="1" s="1"/>
  <c r="CQ96" i="1"/>
  <c r="CR96" i="1"/>
  <c r="CU96" i="1"/>
  <c r="T96" i="1" s="1"/>
  <c r="CV96" i="1"/>
  <c r="U96" i="1" s="1"/>
  <c r="GL96" i="1"/>
  <c r="GO96" i="1"/>
  <c r="GP96" i="1"/>
  <c r="GV96" i="1"/>
  <c r="HC96" i="1"/>
  <c r="GX96" i="1" s="1"/>
  <c r="C97" i="1"/>
  <c r="D97" i="1"/>
  <c r="I97" i="1"/>
  <c r="K97" i="1"/>
  <c r="R97" i="1"/>
  <c r="V97" i="1"/>
  <c r="AC97" i="1"/>
  <c r="AE97" i="1"/>
  <c r="AD97" i="1" s="1"/>
  <c r="AB97" i="1" s="1"/>
  <c r="AF97" i="1"/>
  <c r="S97" i="1" s="1"/>
  <c r="AG97" i="1"/>
  <c r="CU97" i="1" s="1"/>
  <c r="T97" i="1" s="1"/>
  <c r="AH97" i="1"/>
  <c r="AI97" i="1"/>
  <c r="AJ97" i="1"/>
  <c r="CR97" i="1"/>
  <c r="CS97" i="1"/>
  <c r="CT97" i="1"/>
  <c r="CV97" i="1"/>
  <c r="U97" i="1" s="1"/>
  <c r="CW97" i="1"/>
  <c r="CX97" i="1"/>
  <c r="W97" i="1" s="1"/>
  <c r="GL97" i="1"/>
  <c r="GO97" i="1"/>
  <c r="GP97" i="1"/>
  <c r="GV97" i="1"/>
  <c r="HC97" i="1" s="1"/>
  <c r="GX97" i="1" s="1"/>
  <c r="C98" i="1"/>
  <c r="D98" i="1"/>
  <c r="I98" i="1"/>
  <c r="K98" i="1"/>
  <c r="R98" i="1"/>
  <c r="S98" i="1"/>
  <c r="X98" i="1"/>
  <c r="AC98" i="1"/>
  <c r="P98" i="1" s="1"/>
  <c r="CP98" i="1" s="1"/>
  <c r="O98" i="1" s="1"/>
  <c r="AD98" i="1"/>
  <c r="AE98" i="1"/>
  <c r="Q98" i="1" s="1"/>
  <c r="AF98" i="1"/>
  <c r="AG98" i="1"/>
  <c r="AH98" i="1"/>
  <c r="CV98" i="1" s="1"/>
  <c r="U98" i="1" s="1"/>
  <c r="AI98" i="1"/>
  <c r="AJ98" i="1"/>
  <c r="CQ98" i="1"/>
  <c r="CR98" i="1"/>
  <c r="CS98" i="1"/>
  <c r="CT98" i="1"/>
  <c r="CU98" i="1"/>
  <c r="T98" i="1" s="1"/>
  <c r="CW98" i="1"/>
  <c r="V98" i="1" s="1"/>
  <c r="CX98" i="1"/>
  <c r="W98" i="1" s="1"/>
  <c r="CY98" i="1"/>
  <c r="GL98" i="1"/>
  <c r="GO98" i="1"/>
  <c r="GP98" i="1"/>
  <c r="GV98" i="1"/>
  <c r="HC98" i="1" s="1"/>
  <c r="GX98" i="1"/>
  <c r="S99" i="1"/>
  <c r="Y99" i="1" s="1"/>
  <c r="U99" i="1"/>
  <c r="AC99" i="1"/>
  <c r="CQ99" i="1" s="1"/>
  <c r="AE99" i="1"/>
  <c r="Q99" i="1" s="1"/>
  <c r="AF99" i="1"/>
  <c r="AG99" i="1"/>
  <c r="AH99" i="1"/>
  <c r="AI99" i="1"/>
  <c r="CW99" i="1" s="1"/>
  <c r="V99" i="1" s="1"/>
  <c r="AJ99" i="1"/>
  <c r="CR99" i="1"/>
  <c r="CT99" i="1"/>
  <c r="CU99" i="1"/>
  <c r="T99" i="1" s="1"/>
  <c r="CV99" i="1"/>
  <c r="CX99" i="1"/>
  <c r="W99" i="1" s="1"/>
  <c r="GL99" i="1"/>
  <c r="GO99" i="1"/>
  <c r="GP99" i="1"/>
  <c r="GV99" i="1"/>
  <c r="HC99" i="1" s="1"/>
  <c r="GX99" i="1" s="1"/>
  <c r="S100" i="1"/>
  <c r="X100" i="1" s="1"/>
  <c r="AC100" i="1"/>
  <c r="AE100" i="1"/>
  <c r="Q100" i="1" s="1"/>
  <c r="AF100" i="1"/>
  <c r="AG100" i="1"/>
  <c r="CU100" i="1" s="1"/>
  <c r="T100" i="1" s="1"/>
  <c r="AH100" i="1"/>
  <c r="AI100" i="1"/>
  <c r="CW100" i="1" s="1"/>
  <c r="V100" i="1" s="1"/>
  <c r="AJ100" i="1"/>
  <c r="CR100" i="1"/>
  <c r="CT100" i="1"/>
  <c r="CV100" i="1"/>
  <c r="U100" i="1" s="1"/>
  <c r="CX100" i="1"/>
  <c r="W100" i="1" s="1"/>
  <c r="CZ100" i="1"/>
  <c r="GL100" i="1"/>
  <c r="GO100" i="1"/>
  <c r="GP100" i="1"/>
  <c r="GV100" i="1"/>
  <c r="HC100" i="1"/>
  <c r="GX100" i="1" s="1"/>
  <c r="P101" i="1"/>
  <c r="R101" i="1"/>
  <c r="AC101" i="1"/>
  <c r="AD101" i="1"/>
  <c r="AE101" i="1"/>
  <c r="Q101" i="1" s="1"/>
  <c r="AF101" i="1"/>
  <c r="AB101" i="1" s="1"/>
  <c r="AG101" i="1"/>
  <c r="AH101" i="1"/>
  <c r="CV101" i="1" s="1"/>
  <c r="U101" i="1" s="1"/>
  <c r="AI101" i="1"/>
  <c r="AJ101" i="1"/>
  <c r="CX101" i="1" s="1"/>
  <c r="W101" i="1" s="1"/>
  <c r="CQ101" i="1"/>
  <c r="CR101" i="1"/>
  <c r="CS101" i="1"/>
  <c r="CU101" i="1"/>
  <c r="T101" i="1" s="1"/>
  <c r="CW101" i="1"/>
  <c r="V101" i="1" s="1"/>
  <c r="GL101" i="1"/>
  <c r="GO101" i="1"/>
  <c r="GP101" i="1"/>
  <c r="GV101" i="1"/>
  <c r="HC101" i="1" s="1"/>
  <c r="GX101" i="1" s="1"/>
  <c r="S102" i="1"/>
  <c r="X102" i="1" s="1"/>
  <c r="AC102" i="1"/>
  <c r="P102" i="1" s="1"/>
  <c r="AE102" i="1"/>
  <c r="AD102" i="1" s="1"/>
  <c r="AF102" i="1"/>
  <c r="AG102" i="1"/>
  <c r="CU102" i="1" s="1"/>
  <c r="T102" i="1" s="1"/>
  <c r="AH102" i="1"/>
  <c r="AI102" i="1"/>
  <c r="CW102" i="1" s="1"/>
  <c r="V102" i="1" s="1"/>
  <c r="AJ102" i="1"/>
  <c r="CR102" i="1"/>
  <c r="CT102" i="1"/>
  <c r="CV102" i="1"/>
  <c r="U102" i="1" s="1"/>
  <c r="CX102" i="1"/>
  <c r="W102" i="1" s="1"/>
  <c r="GL102" i="1"/>
  <c r="GO102" i="1"/>
  <c r="GP102" i="1"/>
  <c r="GV102" i="1"/>
  <c r="HC102" i="1" s="1"/>
  <c r="GX102" i="1" s="1"/>
  <c r="P103" i="1"/>
  <c r="R103" i="1"/>
  <c r="AC103" i="1"/>
  <c r="AD103" i="1"/>
  <c r="AB103" i="1" s="1"/>
  <c r="AE103" i="1"/>
  <c r="Q103" i="1" s="1"/>
  <c r="AF103" i="1"/>
  <c r="S103" i="1" s="1"/>
  <c r="AG103" i="1"/>
  <c r="AH103" i="1"/>
  <c r="CV103" i="1" s="1"/>
  <c r="U103" i="1" s="1"/>
  <c r="AI103" i="1"/>
  <c r="AJ103" i="1"/>
  <c r="CX103" i="1" s="1"/>
  <c r="W103" i="1" s="1"/>
  <c r="CQ103" i="1"/>
  <c r="CR103" i="1"/>
  <c r="CS103" i="1"/>
  <c r="CU103" i="1"/>
  <c r="T103" i="1" s="1"/>
  <c r="CW103" i="1"/>
  <c r="V103" i="1" s="1"/>
  <c r="GL103" i="1"/>
  <c r="GO103" i="1"/>
  <c r="GP103" i="1"/>
  <c r="GV103" i="1"/>
  <c r="GX103" i="1"/>
  <c r="HC103" i="1"/>
  <c r="S104" i="1"/>
  <c r="X104" i="1" s="1"/>
  <c r="AC104" i="1"/>
  <c r="AE104" i="1"/>
  <c r="Q104" i="1" s="1"/>
  <c r="AF104" i="1"/>
  <c r="AG104" i="1"/>
  <c r="CU104" i="1" s="1"/>
  <c r="T104" i="1" s="1"/>
  <c r="AH104" i="1"/>
  <c r="AI104" i="1"/>
  <c r="CW104" i="1" s="1"/>
  <c r="V104" i="1" s="1"/>
  <c r="AJ104" i="1"/>
  <c r="CR104" i="1"/>
  <c r="CT104" i="1"/>
  <c r="CV104" i="1"/>
  <c r="U104" i="1" s="1"/>
  <c r="CX104" i="1"/>
  <c r="W104" i="1" s="1"/>
  <c r="CZ104" i="1"/>
  <c r="GL104" i="1"/>
  <c r="GO104" i="1"/>
  <c r="GP104" i="1"/>
  <c r="GV104" i="1"/>
  <c r="HC104" i="1"/>
  <c r="GX104" i="1" s="1"/>
  <c r="P105" i="1"/>
  <c r="R105" i="1"/>
  <c r="AC105" i="1"/>
  <c r="AD105" i="1"/>
  <c r="AE105" i="1"/>
  <c r="Q105" i="1" s="1"/>
  <c r="AF105" i="1"/>
  <c r="AB105" i="1" s="1"/>
  <c r="AG105" i="1"/>
  <c r="AH105" i="1"/>
  <c r="CV105" i="1" s="1"/>
  <c r="U105" i="1" s="1"/>
  <c r="AI105" i="1"/>
  <c r="AJ105" i="1"/>
  <c r="CX105" i="1" s="1"/>
  <c r="W105" i="1" s="1"/>
  <c r="CQ105" i="1"/>
  <c r="CR105" i="1"/>
  <c r="CS105" i="1"/>
  <c r="CU105" i="1"/>
  <c r="T105" i="1" s="1"/>
  <c r="CW105" i="1"/>
  <c r="V105" i="1" s="1"/>
  <c r="GL105" i="1"/>
  <c r="GO105" i="1"/>
  <c r="GP105" i="1"/>
  <c r="GV105" i="1"/>
  <c r="HC105" i="1" s="1"/>
  <c r="GX105" i="1" s="1"/>
  <c r="S106" i="1"/>
  <c r="X106" i="1" s="1"/>
  <c r="AC106" i="1"/>
  <c r="P106" i="1" s="1"/>
  <c r="AE106" i="1"/>
  <c r="AD106" i="1" s="1"/>
  <c r="AF106" i="1"/>
  <c r="AG106" i="1"/>
  <c r="CU106" i="1" s="1"/>
  <c r="T106" i="1" s="1"/>
  <c r="AH106" i="1"/>
  <c r="AI106" i="1"/>
  <c r="CW106" i="1" s="1"/>
  <c r="V106" i="1" s="1"/>
  <c r="AJ106" i="1"/>
  <c r="CR106" i="1"/>
  <c r="CT106" i="1"/>
  <c r="CV106" i="1"/>
  <c r="U106" i="1" s="1"/>
  <c r="CX106" i="1"/>
  <c r="W106" i="1" s="1"/>
  <c r="GL106" i="1"/>
  <c r="GO106" i="1"/>
  <c r="GP106" i="1"/>
  <c r="GV106" i="1"/>
  <c r="HC106" i="1" s="1"/>
  <c r="GX106" i="1" s="1"/>
  <c r="C107" i="1"/>
  <c r="D107" i="1"/>
  <c r="I107" i="1"/>
  <c r="K107" i="1"/>
  <c r="P107" i="1"/>
  <c r="R107" i="1"/>
  <c r="AC107" i="1"/>
  <c r="AD107" i="1"/>
  <c r="AB107" i="1" s="1"/>
  <c r="AE107" i="1"/>
  <c r="Q107" i="1" s="1"/>
  <c r="AF107" i="1"/>
  <c r="S107" i="1" s="1"/>
  <c r="AG107" i="1"/>
  <c r="AH107" i="1"/>
  <c r="CV107" i="1" s="1"/>
  <c r="U107" i="1" s="1"/>
  <c r="AI107" i="1"/>
  <c r="AJ107" i="1"/>
  <c r="CX107" i="1" s="1"/>
  <c r="W107" i="1" s="1"/>
  <c r="CQ107" i="1"/>
  <c r="CR107" i="1"/>
  <c r="CS107" i="1"/>
  <c r="CU107" i="1"/>
  <c r="T107" i="1" s="1"/>
  <c r="CW107" i="1"/>
  <c r="V107" i="1" s="1"/>
  <c r="GL107" i="1"/>
  <c r="GO107" i="1"/>
  <c r="GP107" i="1"/>
  <c r="GV107" i="1"/>
  <c r="GX107" i="1"/>
  <c r="HC107" i="1"/>
  <c r="C108" i="1"/>
  <c r="D108" i="1"/>
  <c r="I108" i="1"/>
  <c r="R108" i="1" s="1"/>
  <c r="K108" i="1"/>
  <c r="AC108" i="1"/>
  <c r="AE108" i="1"/>
  <c r="Q108" i="1" s="1"/>
  <c r="AF108" i="1"/>
  <c r="AG108" i="1"/>
  <c r="CU108" i="1" s="1"/>
  <c r="T108" i="1" s="1"/>
  <c r="AH108" i="1"/>
  <c r="AI108" i="1"/>
  <c r="CW108" i="1" s="1"/>
  <c r="V108" i="1" s="1"/>
  <c r="AJ108" i="1"/>
  <c r="CR108" i="1"/>
  <c r="CT108" i="1"/>
  <c r="CV108" i="1"/>
  <c r="U108" i="1" s="1"/>
  <c r="CX108" i="1"/>
  <c r="W108" i="1" s="1"/>
  <c r="GL108" i="1"/>
  <c r="GO108" i="1"/>
  <c r="GP108" i="1"/>
  <c r="GV108" i="1"/>
  <c r="HC108" i="1"/>
  <c r="GX108" i="1" s="1"/>
  <c r="P109" i="1"/>
  <c r="R109" i="1"/>
  <c r="AC109" i="1"/>
  <c r="AD109" i="1"/>
  <c r="AE109" i="1"/>
  <c r="Q109" i="1" s="1"/>
  <c r="AF109" i="1"/>
  <c r="AB109" i="1" s="1"/>
  <c r="AG109" i="1"/>
  <c r="AH109" i="1"/>
  <c r="CV109" i="1" s="1"/>
  <c r="U109" i="1" s="1"/>
  <c r="AI109" i="1"/>
  <c r="AJ109" i="1"/>
  <c r="CX109" i="1" s="1"/>
  <c r="W109" i="1" s="1"/>
  <c r="CQ109" i="1"/>
  <c r="CR109" i="1"/>
  <c r="CS109" i="1"/>
  <c r="CU109" i="1"/>
  <c r="T109" i="1" s="1"/>
  <c r="CW109" i="1"/>
  <c r="V109" i="1" s="1"/>
  <c r="GL109" i="1"/>
  <c r="GO109" i="1"/>
  <c r="GP109" i="1"/>
  <c r="GV109" i="1"/>
  <c r="HC109" i="1" s="1"/>
  <c r="GX109" i="1" s="1"/>
  <c r="S110" i="1"/>
  <c r="X110" i="1" s="1"/>
  <c r="AC110" i="1"/>
  <c r="P110" i="1" s="1"/>
  <c r="AE110" i="1"/>
  <c r="AD110" i="1" s="1"/>
  <c r="AF110" i="1"/>
  <c r="AG110" i="1"/>
  <c r="CU110" i="1" s="1"/>
  <c r="T110" i="1" s="1"/>
  <c r="AH110" i="1"/>
  <c r="AI110" i="1"/>
  <c r="CW110" i="1" s="1"/>
  <c r="V110" i="1" s="1"/>
  <c r="AJ110" i="1"/>
  <c r="CR110" i="1"/>
  <c r="CT110" i="1"/>
  <c r="CV110" i="1"/>
  <c r="U110" i="1" s="1"/>
  <c r="CX110" i="1"/>
  <c r="W110" i="1" s="1"/>
  <c r="GL110" i="1"/>
  <c r="GO110" i="1"/>
  <c r="GP110" i="1"/>
  <c r="GV110" i="1"/>
  <c r="HC110" i="1" s="1"/>
  <c r="GX110" i="1" s="1"/>
  <c r="C111" i="1"/>
  <c r="D111" i="1"/>
  <c r="I111" i="1"/>
  <c r="K111" i="1"/>
  <c r="P111" i="1"/>
  <c r="R111" i="1"/>
  <c r="AC111" i="1"/>
  <c r="AD111" i="1"/>
  <c r="AB111" i="1" s="1"/>
  <c r="AE111" i="1"/>
  <c r="Q111" i="1" s="1"/>
  <c r="AF111" i="1"/>
  <c r="S111" i="1" s="1"/>
  <c r="AG111" i="1"/>
  <c r="AH111" i="1"/>
  <c r="CV111" i="1" s="1"/>
  <c r="U111" i="1" s="1"/>
  <c r="AI111" i="1"/>
  <c r="AJ111" i="1"/>
  <c r="CX111" i="1" s="1"/>
  <c r="W111" i="1" s="1"/>
  <c r="CQ111" i="1"/>
  <c r="CR111" i="1"/>
  <c r="CS111" i="1"/>
  <c r="CU111" i="1"/>
  <c r="T111" i="1" s="1"/>
  <c r="CW111" i="1"/>
  <c r="V111" i="1" s="1"/>
  <c r="GL111" i="1"/>
  <c r="GO111" i="1"/>
  <c r="GP111" i="1"/>
  <c r="GV111" i="1"/>
  <c r="GX111" i="1"/>
  <c r="HC111" i="1"/>
  <c r="C112" i="1"/>
  <c r="D112" i="1"/>
  <c r="I112" i="1"/>
  <c r="R112" i="1" s="1"/>
  <c r="K112" i="1"/>
  <c r="AC112" i="1"/>
  <c r="AE112" i="1"/>
  <c r="Q112" i="1" s="1"/>
  <c r="AF112" i="1"/>
  <c r="AG112" i="1"/>
  <c r="CU112" i="1" s="1"/>
  <c r="T112" i="1" s="1"/>
  <c r="AH112" i="1"/>
  <c r="AI112" i="1"/>
  <c r="CW112" i="1" s="1"/>
  <c r="V112" i="1" s="1"/>
  <c r="AJ112" i="1"/>
  <c r="CR112" i="1"/>
  <c r="CT112" i="1"/>
  <c r="CV112" i="1"/>
  <c r="U112" i="1" s="1"/>
  <c r="CX112" i="1"/>
  <c r="W112" i="1" s="1"/>
  <c r="GL112" i="1"/>
  <c r="GO112" i="1"/>
  <c r="GP112" i="1"/>
  <c r="GV112" i="1"/>
  <c r="HC112" i="1"/>
  <c r="GX112" i="1" s="1"/>
  <c r="P113" i="1"/>
  <c r="R113" i="1"/>
  <c r="AC113" i="1"/>
  <c r="AD113" i="1"/>
  <c r="AE113" i="1"/>
  <c r="Q113" i="1" s="1"/>
  <c r="AF113" i="1"/>
  <c r="AB113" i="1" s="1"/>
  <c r="AG113" i="1"/>
  <c r="AH113" i="1"/>
  <c r="CV113" i="1" s="1"/>
  <c r="U113" i="1" s="1"/>
  <c r="AI113" i="1"/>
  <c r="AJ113" i="1"/>
  <c r="CX113" i="1" s="1"/>
  <c r="W113" i="1" s="1"/>
  <c r="CQ113" i="1"/>
  <c r="CR113" i="1"/>
  <c r="CS113" i="1"/>
  <c r="CU113" i="1"/>
  <c r="T113" i="1" s="1"/>
  <c r="CW113" i="1"/>
  <c r="V113" i="1" s="1"/>
  <c r="GL113" i="1"/>
  <c r="GO113" i="1"/>
  <c r="GP113" i="1"/>
  <c r="GV113" i="1"/>
  <c r="HC113" i="1" s="1"/>
  <c r="GX113" i="1" s="1"/>
  <c r="S114" i="1"/>
  <c r="X114" i="1" s="1"/>
  <c r="AC114" i="1"/>
  <c r="P114" i="1" s="1"/>
  <c r="AE114" i="1"/>
  <c r="AD114" i="1" s="1"/>
  <c r="AF114" i="1"/>
  <c r="AG114" i="1"/>
  <c r="CU114" i="1" s="1"/>
  <c r="T114" i="1" s="1"/>
  <c r="AH114" i="1"/>
  <c r="AI114" i="1"/>
  <c r="CW114" i="1" s="1"/>
  <c r="V114" i="1" s="1"/>
  <c r="AJ114" i="1"/>
  <c r="CR114" i="1"/>
  <c r="CT114" i="1"/>
  <c r="CV114" i="1"/>
  <c r="U114" i="1" s="1"/>
  <c r="CX114" i="1"/>
  <c r="W114" i="1" s="1"/>
  <c r="GL114" i="1"/>
  <c r="GO114" i="1"/>
  <c r="GP114" i="1"/>
  <c r="GV114" i="1"/>
  <c r="HC114" i="1" s="1"/>
  <c r="GX114" i="1" s="1"/>
  <c r="P115" i="1"/>
  <c r="R115" i="1"/>
  <c r="AC115" i="1"/>
  <c r="AD115" i="1"/>
  <c r="AB115" i="1" s="1"/>
  <c r="AE115" i="1"/>
  <c r="Q115" i="1" s="1"/>
  <c r="AF115" i="1"/>
  <c r="S115" i="1" s="1"/>
  <c r="AG115" i="1"/>
  <c r="AH115" i="1"/>
  <c r="CV115" i="1" s="1"/>
  <c r="U115" i="1" s="1"/>
  <c r="AI115" i="1"/>
  <c r="AJ115" i="1"/>
  <c r="CX115" i="1" s="1"/>
  <c r="W115" i="1" s="1"/>
  <c r="CQ115" i="1"/>
  <c r="CR115" i="1"/>
  <c r="CS115" i="1"/>
  <c r="CU115" i="1"/>
  <c r="T115" i="1" s="1"/>
  <c r="CW115" i="1"/>
  <c r="V115" i="1" s="1"/>
  <c r="GL115" i="1"/>
  <c r="GO115" i="1"/>
  <c r="GP115" i="1"/>
  <c r="GV115" i="1"/>
  <c r="GX115" i="1"/>
  <c r="HC115" i="1"/>
  <c r="S116" i="1"/>
  <c r="X116" i="1" s="1"/>
  <c r="AC116" i="1"/>
  <c r="AE116" i="1"/>
  <c r="Q116" i="1" s="1"/>
  <c r="AF116" i="1"/>
  <c r="AG116" i="1"/>
  <c r="CU116" i="1" s="1"/>
  <c r="T116" i="1" s="1"/>
  <c r="AH116" i="1"/>
  <c r="AI116" i="1"/>
  <c r="CW116" i="1" s="1"/>
  <c r="V116" i="1" s="1"/>
  <c r="AJ116" i="1"/>
  <c r="CR116" i="1"/>
  <c r="CT116" i="1"/>
  <c r="CV116" i="1"/>
  <c r="U116" i="1" s="1"/>
  <c r="CX116" i="1"/>
  <c r="W116" i="1" s="1"/>
  <c r="CZ116" i="1"/>
  <c r="GL116" i="1"/>
  <c r="GO116" i="1"/>
  <c r="GP116" i="1"/>
  <c r="GV116" i="1"/>
  <c r="HC116" i="1"/>
  <c r="GX116" i="1" s="1"/>
  <c r="P117" i="1"/>
  <c r="R117" i="1"/>
  <c r="AC117" i="1"/>
  <c r="AD117" i="1"/>
  <c r="AE117" i="1"/>
  <c r="Q117" i="1" s="1"/>
  <c r="AF117" i="1"/>
  <c r="AB117" i="1" s="1"/>
  <c r="AG117" i="1"/>
  <c r="AH117" i="1"/>
  <c r="CV117" i="1" s="1"/>
  <c r="U117" i="1" s="1"/>
  <c r="AI117" i="1"/>
  <c r="AJ117" i="1"/>
  <c r="CX117" i="1" s="1"/>
  <c r="W117" i="1" s="1"/>
  <c r="CQ117" i="1"/>
  <c r="CR117" i="1"/>
  <c r="CS117" i="1"/>
  <c r="CU117" i="1"/>
  <c r="T117" i="1" s="1"/>
  <c r="CW117" i="1"/>
  <c r="V117" i="1" s="1"/>
  <c r="GL117" i="1"/>
  <c r="GO117" i="1"/>
  <c r="GP117" i="1"/>
  <c r="GV117" i="1"/>
  <c r="HC117" i="1" s="1"/>
  <c r="GX117" i="1" s="1"/>
  <c r="S118" i="1"/>
  <c r="X118" i="1" s="1"/>
  <c r="AC118" i="1"/>
  <c r="P118" i="1" s="1"/>
  <c r="AE118" i="1"/>
  <c r="AD118" i="1" s="1"/>
  <c r="AF118" i="1"/>
  <c r="AG118" i="1"/>
  <c r="CU118" i="1" s="1"/>
  <c r="T118" i="1" s="1"/>
  <c r="AH118" i="1"/>
  <c r="AI118" i="1"/>
  <c r="CW118" i="1" s="1"/>
  <c r="V118" i="1" s="1"/>
  <c r="AJ118" i="1"/>
  <c r="CR118" i="1"/>
  <c r="CT118" i="1"/>
  <c r="CV118" i="1"/>
  <c r="U118" i="1" s="1"/>
  <c r="CX118" i="1"/>
  <c r="W118" i="1" s="1"/>
  <c r="GL118" i="1"/>
  <c r="GO118" i="1"/>
  <c r="GP118" i="1"/>
  <c r="GV118" i="1"/>
  <c r="HC118" i="1" s="1"/>
  <c r="GX118" i="1" s="1"/>
  <c r="P119" i="1"/>
  <c r="R119" i="1"/>
  <c r="AC119" i="1"/>
  <c r="AD119" i="1"/>
  <c r="AB119" i="1" s="1"/>
  <c r="AE119" i="1"/>
  <c r="Q119" i="1" s="1"/>
  <c r="AF119" i="1"/>
  <c r="S119" i="1" s="1"/>
  <c r="AG119" i="1"/>
  <c r="AH119" i="1"/>
  <c r="CV119" i="1" s="1"/>
  <c r="U119" i="1" s="1"/>
  <c r="AI119" i="1"/>
  <c r="AJ119" i="1"/>
  <c r="CX119" i="1" s="1"/>
  <c r="W119" i="1" s="1"/>
  <c r="CQ119" i="1"/>
  <c r="CR119" i="1"/>
  <c r="CS119" i="1"/>
  <c r="CU119" i="1"/>
  <c r="T119" i="1" s="1"/>
  <c r="CW119" i="1"/>
  <c r="V119" i="1" s="1"/>
  <c r="GL119" i="1"/>
  <c r="GO119" i="1"/>
  <c r="GP119" i="1"/>
  <c r="GV119" i="1"/>
  <c r="GX119" i="1"/>
  <c r="HC119" i="1"/>
  <c r="S120" i="1"/>
  <c r="X120" i="1" s="1"/>
  <c r="AC120" i="1"/>
  <c r="AE120" i="1"/>
  <c r="Q120" i="1" s="1"/>
  <c r="AF120" i="1"/>
  <c r="AG120" i="1"/>
  <c r="CU120" i="1" s="1"/>
  <c r="T120" i="1" s="1"/>
  <c r="AH120" i="1"/>
  <c r="AI120" i="1"/>
  <c r="CW120" i="1" s="1"/>
  <c r="V120" i="1" s="1"/>
  <c r="AJ120" i="1"/>
  <c r="CR120" i="1"/>
  <c r="CT120" i="1"/>
  <c r="CV120" i="1"/>
  <c r="U120" i="1" s="1"/>
  <c r="CX120" i="1"/>
  <c r="W120" i="1" s="1"/>
  <c r="CZ120" i="1"/>
  <c r="GL120" i="1"/>
  <c r="GO120" i="1"/>
  <c r="GP120" i="1"/>
  <c r="GV120" i="1"/>
  <c r="HC120" i="1"/>
  <c r="GX120" i="1" s="1"/>
  <c r="C121" i="1"/>
  <c r="D121" i="1"/>
  <c r="I121" i="1"/>
  <c r="K121" i="1"/>
  <c r="P121" i="1"/>
  <c r="R121" i="1"/>
  <c r="AC121" i="1"/>
  <c r="AD121" i="1"/>
  <c r="AE121" i="1"/>
  <c r="Q121" i="1" s="1"/>
  <c r="AF121" i="1"/>
  <c r="AB121" i="1" s="1"/>
  <c r="AG121" i="1"/>
  <c r="AH121" i="1"/>
  <c r="CV121" i="1" s="1"/>
  <c r="U121" i="1" s="1"/>
  <c r="AI121" i="1"/>
  <c r="AJ121" i="1"/>
  <c r="CX121" i="1" s="1"/>
  <c r="W121" i="1" s="1"/>
  <c r="CQ121" i="1"/>
  <c r="CR121" i="1"/>
  <c r="CS121" i="1"/>
  <c r="CU121" i="1"/>
  <c r="T121" i="1" s="1"/>
  <c r="CW121" i="1"/>
  <c r="V121" i="1" s="1"/>
  <c r="GL121" i="1"/>
  <c r="GO121" i="1"/>
  <c r="GP121" i="1"/>
  <c r="GV121" i="1"/>
  <c r="GX121" i="1"/>
  <c r="HC121" i="1"/>
  <c r="C122" i="1"/>
  <c r="D122" i="1"/>
  <c r="I122" i="1"/>
  <c r="R122" i="1" s="1"/>
  <c r="K122" i="1"/>
  <c r="S122" i="1"/>
  <c r="X122" i="1" s="1"/>
  <c r="AC122" i="1"/>
  <c r="P122" i="1" s="1"/>
  <c r="AE122" i="1"/>
  <c r="AD122" i="1" s="1"/>
  <c r="AF122" i="1"/>
  <c r="AG122" i="1"/>
  <c r="CU122" i="1" s="1"/>
  <c r="T122" i="1" s="1"/>
  <c r="AH122" i="1"/>
  <c r="AI122" i="1"/>
  <c r="CW122" i="1" s="1"/>
  <c r="V122" i="1" s="1"/>
  <c r="AJ122" i="1"/>
  <c r="CR122" i="1"/>
  <c r="CT122" i="1"/>
  <c r="CV122" i="1"/>
  <c r="U122" i="1" s="1"/>
  <c r="CX122" i="1"/>
  <c r="W122" i="1" s="1"/>
  <c r="GL122" i="1"/>
  <c r="GO122" i="1"/>
  <c r="GP122" i="1"/>
  <c r="GV122" i="1"/>
  <c r="HC122" i="1" s="1"/>
  <c r="GX122" i="1" s="1"/>
  <c r="P123" i="1"/>
  <c r="R123" i="1"/>
  <c r="AC123" i="1"/>
  <c r="AD123" i="1"/>
  <c r="AB123" i="1" s="1"/>
  <c r="AE123" i="1"/>
  <c r="Q123" i="1" s="1"/>
  <c r="AF123" i="1"/>
  <c r="S123" i="1" s="1"/>
  <c r="AG123" i="1"/>
  <c r="AH123" i="1"/>
  <c r="CV123" i="1" s="1"/>
  <c r="U123" i="1" s="1"/>
  <c r="AI123" i="1"/>
  <c r="AJ123" i="1"/>
  <c r="CX123" i="1" s="1"/>
  <c r="W123" i="1" s="1"/>
  <c r="CQ123" i="1"/>
  <c r="CR123" i="1"/>
  <c r="CS123" i="1"/>
  <c r="CU123" i="1"/>
  <c r="T123" i="1" s="1"/>
  <c r="CW123" i="1"/>
  <c r="V123" i="1" s="1"/>
  <c r="GL123" i="1"/>
  <c r="GO123" i="1"/>
  <c r="GP123" i="1"/>
  <c r="GV123" i="1"/>
  <c r="HC123" i="1" s="1"/>
  <c r="GX123" i="1" s="1"/>
  <c r="S124" i="1"/>
  <c r="X124" i="1" s="1"/>
  <c r="AC124" i="1"/>
  <c r="AE124" i="1"/>
  <c r="Q124" i="1" s="1"/>
  <c r="AF124" i="1"/>
  <c r="AG124" i="1"/>
  <c r="CU124" i="1" s="1"/>
  <c r="T124" i="1" s="1"/>
  <c r="AH124" i="1"/>
  <c r="AI124" i="1"/>
  <c r="CW124" i="1" s="1"/>
  <c r="V124" i="1" s="1"/>
  <c r="AJ124" i="1"/>
  <c r="CR124" i="1"/>
  <c r="CT124" i="1"/>
  <c r="CV124" i="1"/>
  <c r="U124" i="1" s="1"/>
  <c r="CX124" i="1"/>
  <c r="W124" i="1" s="1"/>
  <c r="CZ124" i="1"/>
  <c r="GL124" i="1"/>
  <c r="GO124" i="1"/>
  <c r="GP124" i="1"/>
  <c r="GV124" i="1"/>
  <c r="HC124" i="1"/>
  <c r="GX124" i="1" s="1"/>
  <c r="C125" i="1"/>
  <c r="D125" i="1"/>
  <c r="I125" i="1"/>
  <c r="K125" i="1"/>
  <c r="P125" i="1"/>
  <c r="R125" i="1"/>
  <c r="AC125" i="1"/>
  <c r="AD125" i="1"/>
  <c r="AE125" i="1"/>
  <c r="Q125" i="1" s="1"/>
  <c r="AF125" i="1"/>
  <c r="AB125" i="1" s="1"/>
  <c r="AG125" i="1"/>
  <c r="AH125" i="1"/>
  <c r="CV125" i="1" s="1"/>
  <c r="U125" i="1" s="1"/>
  <c r="AI125" i="1"/>
  <c r="AJ125" i="1"/>
  <c r="CX125" i="1" s="1"/>
  <c r="W125" i="1" s="1"/>
  <c r="CQ125" i="1"/>
  <c r="CR125" i="1"/>
  <c r="CS125" i="1"/>
  <c r="CU125" i="1"/>
  <c r="T125" i="1" s="1"/>
  <c r="CW125" i="1"/>
  <c r="V125" i="1" s="1"/>
  <c r="GL125" i="1"/>
  <c r="GO125" i="1"/>
  <c r="GP125" i="1"/>
  <c r="GV125" i="1"/>
  <c r="GX125" i="1"/>
  <c r="HC125" i="1"/>
  <c r="C126" i="1"/>
  <c r="D126" i="1"/>
  <c r="I126" i="1"/>
  <c r="R126" i="1" s="1"/>
  <c r="K126" i="1"/>
  <c r="S126" i="1"/>
  <c r="X126" i="1" s="1"/>
  <c r="AC126" i="1"/>
  <c r="P126" i="1" s="1"/>
  <c r="AE126" i="1"/>
  <c r="AD126" i="1" s="1"/>
  <c r="AF126" i="1"/>
  <c r="AG126" i="1"/>
  <c r="CU126" i="1" s="1"/>
  <c r="T126" i="1" s="1"/>
  <c r="AH126" i="1"/>
  <c r="AI126" i="1"/>
  <c r="CW126" i="1" s="1"/>
  <c r="V126" i="1" s="1"/>
  <c r="AJ126" i="1"/>
  <c r="CR126" i="1"/>
  <c r="CT126" i="1"/>
  <c r="CV126" i="1"/>
  <c r="U126" i="1" s="1"/>
  <c r="CX126" i="1"/>
  <c r="W126" i="1" s="1"/>
  <c r="GL126" i="1"/>
  <c r="GO126" i="1"/>
  <c r="GP126" i="1"/>
  <c r="GV126" i="1"/>
  <c r="HC126" i="1" s="1"/>
  <c r="GX126" i="1" s="1"/>
  <c r="P127" i="1"/>
  <c r="R127" i="1"/>
  <c r="AC127" i="1"/>
  <c r="AD127" i="1"/>
  <c r="AB127" i="1" s="1"/>
  <c r="AE127" i="1"/>
  <c r="Q127" i="1" s="1"/>
  <c r="AF127" i="1"/>
  <c r="S127" i="1" s="1"/>
  <c r="AG127" i="1"/>
  <c r="AH127" i="1"/>
  <c r="CV127" i="1" s="1"/>
  <c r="U127" i="1" s="1"/>
  <c r="AI127" i="1"/>
  <c r="AJ127" i="1"/>
  <c r="CX127" i="1" s="1"/>
  <c r="W127" i="1" s="1"/>
  <c r="CQ127" i="1"/>
  <c r="CR127" i="1"/>
  <c r="CS127" i="1"/>
  <c r="CU127" i="1"/>
  <c r="T127" i="1" s="1"/>
  <c r="CW127" i="1"/>
  <c r="V127" i="1" s="1"/>
  <c r="GL127" i="1"/>
  <c r="GO127" i="1"/>
  <c r="GP127" i="1"/>
  <c r="GV127" i="1"/>
  <c r="HC127" i="1" s="1"/>
  <c r="GX127" i="1" s="1"/>
  <c r="S128" i="1"/>
  <c r="X128" i="1" s="1"/>
  <c r="AC128" i="1"/>
  <c r="AE128" i="1"/>
  <c r="Q128" i="1" s="1"/>
  <c r="AF128" i="1"/>
  <c r="AG128" i="1"/>
  <c r="CU128" i="1" s="1"/>
  <c r="T128" i="1" s="1"/>
  <c r="AH128" i="1"/>
  <c r="AI128" i="1"/>
  <c r="CW128" i="1" s="1"/>
  <c r="V128" i="1" s="1"/>
  <c r="AJ128" i="1"/>
  <c r="CR128" i="1"/>
  <c r="CT128" i="1"/>
  <c r="CV128" i="1"/>
  <c r="U128" i="1" s="1"/>
  <c r="CX128" i="1"/>
  <c r="W128" i="1" s="1"/>
  <c r="CZ128" i="1"/>
  <c r="GL128" i="1"/>
  <c r="GO128" i="1"/>
  <c r="GP128" i="1"/>
  <c r="GV128" i="1"/>
  <c r="HC128" i="1"/>
  <c r="GX128" i="1" s="1"/>
  <c r="P129" i="1"/>
  <c r="R129" i="1"/>
  <c r="AC129" i="1"/>
  <c r="AD129" i="1"/>
  <c r="AE129" i="1"/>
  <c r="Q129" i="1" s="1"/>
  <c r="AF129" i="1"/>
  <c r="AB129" i="1" s="1"/>
  <c r="AG129" i="1"/>
  <c r="AH129" i="1"/>
  <c r="CV129" i="1" s="1"/>
  <c r="U129" i="1" s="1"/>
  <c r="AI129" i="1"/>
  <c r="AJ129" i="1"/>
  <c r="CX129" i="1" s="1"/>
  <c r="W129" i="1" s="1"/>
  <c r="CQ129" i="1"/>
  <c r="CR129" i="1"/>
  <c r="CS129" i="1"/>
  <c r="CU129" i="1"/>
  <c r="T129" i="1" s="1"/>
  <c r="CW129" i="1"/>
  <c r="V129" i="1" s="1"/>
  <c r="GL129" i="1"/>
  <c r="GO129" i="1"/>
  <c r="GP129" i="1"/>
  <c r="GV129" i="1"/>
  <c r="GX129" i="1"/>
  <c r="HC129" i="1"/>
  <c r="S130" i="1"/>
  <c r="X130" i="1" s="1"/>
  <c r="AC130" i="1"/>
  <c r="P130" i="1" s="1"/>
  <c r="AE130" i="1"/>
  <c r="AD130" i="1" s="1"/>
  <c r="AF130" i="1"/>
  <c r="AG130" i="1"/>
  <c r="CU130" i="1" s="1"/>
  <c r="T130" i="1" s="1"/>
  <c r="AH130" i="1"/>
  <c r="AI130" i="1"/>
  <c r="CW130" i="1" s="1"/>
  <c r="V130" i="1" s="1"/>
  <c r="AJ130" i="1"/>
  <c r="CR130" i="1"/>
  <c r="CT130" i="1"/>
  <c r="CV130" i="1"/>
  <c r="U130" i="1" s="1"/>
  <c r="CX130" i="1"/>
  <c r="W130" i="1" s="1"/>
  <c r="GL130" i="1"/>
  <c r="GO130" i="1"/>
  <c r="GP130" i="1"/>
  <c r="GV130" i="1"/>
  <c r="HC130" i="1" s="1"/>
  <c r="GX130" i="1" s="1"/>
  <c r="P131" i="1"/>
  <c r="R131" i="1"/>
  <c r="T131" i="1"/>
  <c r="AC131" i="1"/>
  <c r="AD131" i="1"/>
  <c r="AB131" i="1" s="1"/>
  <c r="AE131" i="1"/>
  <c r="Q131" i="1" s="1"/>
  <c r="AF131" i="1"/>
  <c r="S131" i="1" s="1"/>
  <c r="AG131" i="1"/>
  <c r="AH131" i="1"/>
  <c r="CV131" i="1" s="1"/>
  <c r="U131" i="1" s="1"/>
  <c r="AI131" i="1"/>
  <c r="AJ131" i="1"/>
  <c r="CX131" i="1" s="1"/>
  <c r="W131" i="1" s="1"/>
  <c r="CQ131" i="1"/>
  <c r="CR131" i="1"/>
  <c r="CS131" i="1"/>
  <c r="CU131" i="1"/>
  <c r="CW131" i="1"/>
  <c r="V131" i="1" s="1"/>
  <c r="CY131" i="1"/>
  <c r="GL131" i="1"/>
  <c r="GO131" i="1"/>
  <c r="GP131" i="1"/>
  <c r="GV131" i="1"/>
  <c r="HC131" i="1" s="1"/>
  <c r="GX131" i="1" s="1"/>
  <c r="S132" i="1"/>
  <c r="U132" i="1"/>
  <c r="AC132" i="1"/>
  <c r="AE132" i="1"/>
  <c r="Y132" i="1" s="1"/>
  <c r="AF132" i="1"/>
  <c r="AG132" i="1"/>
  <c r="CU132" i="1" s="1"/>
  <c r="T132" i="1" s="1"/>
  <c r="AH132" i="1"/>
  <c r="AI132" i="1"/>
  <c r="CW132" i="1" s="1"/>
  <c r="V132" i="1" s="1"/>
  <c r="AJ132" i="1"/>
  <c r="CT132" i="1"/>
  <c r="CV132" i="1"/>
  <c r="CX132" i="1"/>
  <c r="W132" i="1" s="1"/>
  <c r="GL132" i="1"/>
  <c r="GO132" i="1"/>
  <c r="GP132" i="1"/>
  <c r="GV132" i="1"/>
  <c r="HC132" i="1"/>
  <c r="GX132" i="1" s="1"/>
  <c r="P133" i="1"/>
  <c r="R133" i="1"/>
  <c r="AC133" i="1"/>
  <c r="AD133" i="1"/>
  <c r="AE133" i="1"/>
  <c r="Q133" i="1" s="1"/>
  <c r="AF133" i="1"/>
  <c r="AG133" i="1"/>
  <c r="AH133" i="1"/>
  <c r="CV133" i="1" s="1"/>
  <c r="U133" i="1" s="1"/>
  <c r="AI133" i="1"/>
  <c r="AJ133" i="1"/>
  <c r="CX133" i="1" s="1"/>
  <c r="W133" i="1" s="1"/>
  <c r="CQ133" i="1"/>
  <c r="CR133" i="1"/>
  <c r="CS133" i="1"/>
  <c r="CU133" i="1"/>
  <c r="T133" i="1" s="1"/>
  <c r="CW133" i="1"/>
  <c r="V133" i="1" s="1"/>
  <c r="GL133" i="1"/>
  <c r="GO133" i="1"/>
  <c r="GP133" i="1"/>
  <c r="GV133" i="1"/>
  <c r="GX133" i="1"/>
  <c r="HC133" i="1"/>
  <c r="S134" i="1"/>
  <c r="AC134" i="1"/>
  <c r="AE134" i="1"/>
  <c r="AD134" i="1" s="1"/>
  <c r="AF134" i="1"/>
  <c r="AG134" i="1"/>
  <c r="CU134" i="1" s="1"/>
  <c r="T134" i="1" s="1"/>
  <c r="AH134" i="1"/>
  <c r="AI134" i="1"/>
  <c r="CW134" i="1" s="1"/>
  <c r="V134" i="1" s="1"/>
  <c r="AJ134" i="1"/>
  <c r="CR134" i="1"/>
  <c r="CT134" i="1"/>
  <c r="CV134" i="1"/>
  <c r="U134" i="1" s="1"/>
  <c r="CX134" i="1"/>
  <c r="W134" i="1" s="1"/>
  <c r="GL134" i="1"/>
  <c r="GO134" i="1"/>
  <c r="GP134" i="1"/>
  <c r="GV134" i="1"/>
  <c r="HC134" i="1" s="1"/>
  <c r="GX134" i="1" s="1"/>
  <c r="C135" i="1"/>
  <c r="D135" i="1"/>
  <c r="I135" i="1"/>
  <c r="K135" i="1"/>
  <c r="P135" i="1"/>
  <c r="R135" i="1"/>
  <c r="T135" i="1"/>
  <c r="AC135" i="1"/>
  <c r="AD135" i="1"/>
  <c r="AB135" i="1" s="1"/>
  <c r="AE135" i="1"/>
  <c r="Q135" i="1" s="1"/>
  <c r="AF135" i="1"/>
  <c r="S135" i="1" s="1"/>
  <c r="AG135" i="1"/>
  <c r="AH135" i="1"/>
  <c r="CV135" i="1" s="1"/>
  <c r="U135" i="1" s="1"/>
  <c r="AI135" i="1"/>
  <c r="AJ135" i="1"/>
  <c r="CX135" i="1" s="1"/>
  <c r="W135" i="1" s="1"/>
  <c r="CQ135" i="1"/>
  <c r="CR135" i="1"/>
  <c r="CS135" i="1"/>
  <c r="CU135" i="1"/>
  <c r="CW135" i="1"/>
  <c r="V135" i="1" s="1"/>
  <c r="CY135" i="1"/>
  <c r="GL135" i="1"/>
  <c r="GO135" i="1"/>
  <c r="GP135" i="1"/>
  <c r="GV135" i="1"/>
  <c r="GX135" i="1"/>
  <c r="HC135" i="1"/>
  <c r="C136" i="1"/>
  <c r="D136" i="1"/>
  <c r="I136" i="1"/>
  <c r="K136" i="1"/>
  <c r="U136" i="1"/>
  <c r="AC136" i="1"/>
  <c r="AE136" i="1"/>
  <c r="CR136" i="1" s="1"/>
  <c r="AF136" i="1"/>
  <c r="AG136" i="1"/>
  <c r="CU136" i="1" s="1"/>
  <c r="T136" i="1" s="1"/>
  <c r="AH136" i="1"/>
  <c r="AI136" i="1"/>
  <c r="CW136" i="1" s="1"/>
  <c r="V136" i="1" s="1"/>
  <c r="AJ136" i="1"/>
  <c r="CT136" i="1"/>
  <c r="CV136" i="1"/>
  <c r="CX136" i="1"/>
  <c r="W136" i="1" s="1"/>
  <c r="GL136" i="1"/>
  <c r="GO136" i="1"/>
  <c r="GP136" i="1"/>
  <c r="GV136" i="1"/>
  <c r="HC136" i="1"/>
  <c r="GX136" i="1" s="1"/>
  <c r="P137" i="1"/>
  <c r="R137" i="1"/>
  <c r="V137" i="1"/>
  <c r="AC137" i="1"/>
  <c r="AD137" i="1"/>
  <c r="AE137" i="1"/>
  <c r="Q137" i="1" s="1"/>
  <c r="AF137" i="1"/>
  <c r="AG137" i="1"/>
  <c r="AH137" i="1"/>
  <c r="CV137" i="1" s="1"/>
  <c r="U137" i="1" s="1"/>
  <c r="AI137" i="1"/>
  <c r="AJ137" i="1"/>
  <c r="CX137" i="1" s="1"/>
  <c r="W137" i="1" s="1"/>
  <c r="CQ137" i="1"/>
  <c r="CR137" i="1"/>
  <c r="CS137" i="1"/>
  <c r="CU137" i="1"/>
  <c r="T137" i="1" s="1"/>
  <c r="CW137" i="1"/>
  <c r="GL137" i="1"/>
  <c r="GO137" i="1"/>
  <c r="GP137" i="1"/>
  <c r="GV137" i="1"/>
  <c r="HC137" i="1" s="1"/>
  <c r="GX137" i="1"/>
  <c r="S138" i="1"/>
  <c r="U138" i="1"/>
  <c r="AC138" i="1"/>
  <c r="AE138" i="1"/>
  <c r="AF138" i="1"/>
  <c r="AG138" i="1"/>
  <c r="CU138" i="1" s="1"/>
  <c r="T138" i="1" s="1"/>
  <c r="AH138" i="1"/>
  <c r="AI138" i="1"/>
  <c r="CW138" i="1" s="1"/>
  <c r="V138" i="1" s="1"/>
  <c r="AJ138" i="1"/>
  <c r="CT138" i="1"/>
  <c r="CV138" i="1"/>
  <c r="CX138" i="1"/>
  <c r="W138" i="1" s="1"/>
  <c r="GL138" i="1"/>
  <c r="GO138" i="1"/>
  <c r="GP138" i="1"/>
  <c r="GV138" i="1"/>
  <c r="HC138" i="1" s="1"/>
  <c r="GX138" i="1" s="1"/>
  <c r="P139" i="1"/>
  <c r="R139" i="1"/>
  <c r="T139" i="1"/>
  <c r="AC139" i="1"/>
  <c r="AD139" i="1"/>
  <c r="AE139" i="1"/>
  <c r="Q139" i="1" s="1"/>
  <c r="AF139" i="1"/>
  <c r="AG139" i="1"/>
  <c r="AH139" i="1"/>
  <c r="CV139" i="1" s="1"/>
  <c r="U139" i="1" s="1"/>
  <c r="AI139" i="1"/>
  <c r="AJ139" i="1"/>
  <c r="CX139" i="1" s="1"/>
  <c r="W139" i="1" s="1"/>
  <c r="CQ139" i="1"/>
  <c r="CR139" i="1"/>
  <c r="CS139" i="1"/>
  <c r="CU139" i="1"/>
  <c r="CW139" i="1"/>
  <c r="V139" i="1" s="1"/>
  <c r="GL139" i="1"/>
  <c r="GO139" i="1"/>
  <c r="GP139" i="1"/>
  <c r="GV139" i="1"/>
  <c r="GX139" i="1"/>
  <c r="HC139" i="1"/>
  <c r="S140" i="1"/>
  <c r="U140" i="1"/>
  <c r="AC140" i="1"/>
  <c r="AE140" i="1"/>
  <c r="AF140" i="1"/>
  <c r="AG140" i="1"/>
  <c r="CU140" i="1" s="1"/>
  <c r="T140" i="1" s="1"/>
  <c r="AH140" i="1"/>
  <c r="AI140" i="1"/>
  <c r="CW140" i="1" s="1"/>
  <c r="V140" i="1" s="1"/>
  <c r="AJ140" i="1"/>
  <c r="CT140" i="1"/>
  <c r="CV140" i="1"/>
  <c r="CX140" i="1"/>
  <c r="W140" i="1" s="1"/>
  <c r="GL140" i="1"/>
  <c r="GO140" i="1"/>
  <c r="GP140" i="1"/>
  <c r="GV140" i="1"/>
  <c r="HC140" i="1" s="1"/>
  <c r="GX140" i="1" s="1"/>
  <c r="C141" i="1"/>
  <c r="D141" i="1"/>
  <c r="I141" i="1"/>
  <c r="K141" i="1"/>
  <c r="P141" i="1"/>
  <c r="R141" i="1"/>
  <c r="AC141" i="1"/>
  <c r="AD141" i="1"/>
  <c r="AE141" i="1"/>
  <c r="Q141" i="1" s="1"/>
  <c r="AF141" i="1"/>
  <c r="AG141" i="1"/>
  <c r="AH141" i="1"/>
  <c r="CV141" i="1" s="1"/>
  <c r="U141" i="1" s="1"/>
  <c r="AI141" i="1"/>
  <c r="AJ141" i="1"/>
  <c r="CX141" i="1" s="1"/>
  <c r="W141" i="1" s="1"/>
  <c r="CQ141" i="1"/>
  <c r="CR141" i="1"/>
  <c r="CS141" i="1"/>
  <c r="CU141" i="1"/>
  <c r="T141" i="1" s="1"/>
  <c r="CW141" i="1"/>
  <c r="V141" i="1" s="1"/>
  <c r="GL141" i="1"/>
  <c r="GO141" i="1"/>
  <c r="GP141" i="1"/>
  <c r="GV141" i="1"/>
  <c r="GX141" i="1"/>
  <c r="HC141" i="1"/>
  <c r="C142" i="1"/>
  <c r="D142" i="1"/>
  <c r="I142" i="1"/>
  <c r="U142" i="1" s="1"/>
  <c r="K142" i="1"/>
  <c r="S142" i="1"/>
  <c r="AC142" i="1"/>
  <c r="AE142" i="1"/>
  <c r="AF142" i="1"/>
  <c r="AG142" i="1"/>
  <c r="CU142" i="1" s="1"/>
  <c r="AH142" i="1"/>
  <c r="AI142" i="1"/>
  <c r="CW142" i="1" s="1"/>
  <c r="V142" i="1" s="1"/>
  <c r="AJ142" i="1"/>
  <c r="CR142" i="1"/>
  <c r="CT142" i="1"/>
  <c r="CV142" i="1"/>
  <c r="CX142" i="1"/>
  <c r="W142" i="1" s="1"/>
  <c r="CZ142" i="1"/>
  <c r="GL142" i="1"/>
  <c r="GO142" i="1"/>
  <c r="GP142" i="1"/>
  <c r="GV142" i="1"/>
  <c r="HC142" i="1" s="1"/>
  <c r="GX142" i="1" s="1"/>
  <c r="P143" i="1"/>
  <c r="R143" i="1"/>
  <c r="AC143" i="1"/>
  <c r="AD143" i="1"/>
  <c r="AE143" i="1"/>
  <c r="Q143" i="1" s="1"/>
  <c r="AF143" i="1"/>
  <c r="AG143" i="1"/>
  <c r="AH143" i="1"/>
  <c r="CV143" i="1" s="1"/>
  <c r="U143" i="1" s="1"/>
  <c r="AI143" i="1"/>
  <c r="AJ143" i="1"/>
  <c r="CX143" i="1" s="1"/>
  <c r="W143" i="1" s="1"/>
  <c r="CQ143" i="1"/>
  <c r="CR143" i="1"/>
  <c r="CS143" i="1"/>
  <c r="CU143" i="1"/>
  <c r="T143" i="1" s="1"/>
  <c r="CW143" i="1"/>
  <c r="V143" i="1" s="1"/>
  <c r="GL143" i="1"/>
  <c r="GO143" i="1"/>
  <c r="GP143" i="1"/>
  <c r="GV143" i="1"/>
  <c r="HC143" i="1" s="1"/>
  <c r="GX143" i="1"/>
  <c r="S144" i="1"/>
  <c r="Y144" i="1" s="1"/>
  <c r="U144" i="1"/>
  <c r="W144" i="1"/>
  <c r="AC144" i="1"/>
  <c r="AE144" i="1"/>
  <c r="Q144" i="1" s="1"/>
  <c r="AF144" i="1"/>
  <c r="AG144" i="1"/>
  <c r="CU144" i="1" s="1"/>
  <c r="T144" i="1" s="1"/>
  <c r="AH144" i="1"/>
  <c r="AI144" i="1"/>
  <c r="CW144" i="1" s="1"/>
  <c r="V144" i="1" s="1"/>
  <c r="AJ144" i="1"/>
  <c r="CT144" i="1"/>
  <c r="CV144" i="1"/>
  <c r="CX144" i="1"/>
  <c r="GL144" i="1"/>
  <c r="GO144" i="1"/>
  <c r="GP144" i="1"/>
  <c r="GV144" i="1"/>
  <c r="HC144" i="1" s="1"/>
  <c r="GX144" i="1" s="1"/>
  <c r="P145" i="1"/>
  <c r="T145" i="1"/>
  <c r="AC145" i="1"/>
  <c r="AE145" i="1"/>
  <c r="Q145" i="1" s="1"/>
  <c r="CP145" i="1" s="1"/>
  <c r="O145" i="1" s="1"/>
  <c r="AF145" i="1"/>
  <c r="S145" i="1" s="1"/>
  <c r="X145" i="1" s="1"/>
  <c r="AG145" i="1"/>
  <c r="AH145" i="1"/>
  <c r="AI145" i="1"/>
  <c r="CW145" i="1" s="1"/>
  <c r="V145" i="1" s="1"/>
  <c r="AJ145" i="1"/>
  <c r="CX145" i="1" s="1"/>
  <c r="W145" i="1" s="1"/>
  <c r="CQ145" i="1"/>
  <c r="CR145" i="1"/>
  <c r="CU145" i="1"/>
  <c r="CV145" i="1"/>
  <c r="U145" i="1" s="1"/>
  <c r="CZ145" i="1"/>
  <c r="GL145" i="1"/>
  <c r="GO145" i="1"/>
  <c r="GP145" i="1"/>
  <c r="GV145" i="1"/>
  <c r="HC145" i="1"/>
  <c r="GX145" i="1" s="1"/>
  <c r="R146" i="1"/>
  <c r="AC146" i="1"/>
  <c r="P146" i="1" s="1"/>
  <c r="CP146" i="1" s="1"/>
  <c r="O146" i="1" s="1"/>
  <c r="AE146" i="1"/>
  <c r="Q146" i="1" s="1"/>
  <c r="AF146" i="1"/>
  <c r="S146" i="1" s="1"/>
  <c r="AG146" i="1"/>
  <c r="CU146" i="1" s="1"/>
  <c r="T146" i="1" s="1"/>
  <c r="AH146" i="1"/>
  <c r="AI146" i="1"/>
  <c r="AJ146" i="1"/>
  <c r="CX146" i="1" s="1"/>
  <c r="W146" i="1" s="1"/>
  <c r="CR146" i="1"/>
  <c r="CS146" i="1"/>
  <c r="CV146" i="1"/>
  <c r="U146" i="1" s="1"/>
  <c r="CW146" i="1"/>
  <c r="V146" i="1" s="1"/>
  <c r="GL146" i="1"/>
  <c r="GO146" i="1"/>
  <c r="GP146" i="1"/>
  <c r="GV146" i="1"/>
  <c r="HC146" i="1" s="1"/>
  <c r="GX146" i="1" s="1"/>
  <c r="C147" i="1"/>
  <c r="D147" i="1"/>
  <c r="I147" i="1"/>
  <c r="K147" i="1"/>
  <c r="R147" i="1"/>
  <c r="S147" i="1"/>
  <c r="X147" i="1" s="1"/>
  <c r="AC147" i="1"/>
  <c r="AB147" i="1" s="1"/>
  <c r="AD147" i="1"/>
  <c r="AE147" i="1"/>
  <c r="Q147" i="1" s="1"/>
  <c r="AF147" i="1"/>
  <c r="AG147" i="1"/>
  <c r="CU147" i="1" s="1"/>
  <c r="T147" i="1" s="1"/>
  <c r="AH147" i="1"/>
  <c r="CV147" i="1" s="1"/>
  <c r="U147" i="1" s="1"/>
  <c r="AI147" i="1"/>
  <c r="AJ147" i="1"/>
  <c r="CR147" i="1"/>
  <c r="CS147" i="1"/>
  <c r="CT147" i="1"/>
  <c r="CW147" i="1"/>
  <c r="V147" i="1" s="1"/>
  <c r="CX147" i="1"/>
  <c r="W147" i="1" s="1"/>
  <c r="GL147" i="1"/>
  <c r="GO147" i="1"/>
  <c r="GP147" i="1"/>
  <c r="GV147" i="1"/>
  <c r="HC147" i="1" s="1"/>
  <c r="GX147" i="1" s="1"/>
  <c r="C148" i="1"/>
  <c r="D148" i="1"/>
  <c r="I148" i="1"/>
  <c r="R148" i="1" s="1"/>
  <c r="K148" i="1"/>
  <c r="P148" i="1"/>
  <c r="AC148" i="1"/>
  <c r="AB148" i="1" s="1"/>
  <c r="AD148" i="1"/>
  <c r="AE148" i="1"/>
  <c r="Q148" i="1" s="1"/>
  <c r="AF148" i="1"/>
  <c r="AG148" i="1"/>
  <c r="AH148" i="1"/>
  <c r="CV148" i="1" s="1"/>
  <c r="U148" i="1" s="1"/>
  <c r="AI148" i="1"/>
  <c r="CW148" i="1" s="1"/>
  <c r="V148" i="1" s="1"/>
  <c r="AJ148" i="1"/>
  <c r="CQ148" i="1"/>
  <c r="CR148" i="1"/>
  <c r="CT148" i="1"/>
  <c r="CU148" i="1"/>
  <c r="T148" i="1" s="1"/>
  <c r="CX148" i="1"/>
  <c r="W148" i="1" s="1"/>
  <c r="GL148" i="1"/>
  <c r="GO148" i="1"/>
  <c r="GP148" i="1"/>
  <c r="GV148" i="1"/>
  <c r="GX148" i="1"/>
  <c r="HC148" i="1"/>
  <c r="P149" i="1"/>
  <c r="AC149" i="1"/>
  <c r="AE149" i="1"/>
  <c r="AD149" i="1" s="1"/>
  <c r="AB149" i="1" s="1"/>
  <c r="AF149" i="1"/>
  <c r="S149" i="1" s="1"/>
  <c r="AG149" i="1"/>
  <c r="AH149" i="1"/>
  <c r="AI149" i="1"/>
  <c r="CW149" i="1" s="1"/>
  <c r="V149" i="1" s="1"/>
  <c r="AJ149" i="1"/>
  <c r="CX149" i="1" s="1"/>
  <c r="W149" i="1" s="1"/>
  <c r="CQ149" i="1"/>
  <c r="CR149" i="1"/>
  <c r="CU149" i="1"/>
  <c r="T149" i="1" s="1"/>
  <c r="CV149" i="1"/>
  <c r="U149" i="1" s="1"/>
  <c r="GL149" i="1"/>
  <c r="GO149" i="1"/>
  <c r="GP149" i="1"/>
  <c r="GV149" i="1"/>
  <c r="HC149" i="1"/>
  <c r="GX149" i="1" s="1"/>
  <c r="R150" i="1"/>
  <c r="AC150" i="1"/>
  <c r="P150" i="1" s="1"/>
  <c r="CP150" i="1" s="1"/>
  <c r="O150" i="1" s="1"/>
  <c r="AE150" i="1"/>
  <c r="Q150" i="1" s="1"/>
  <c r="AF150" i="1"/>
  <c r="S150" i="1" s="1"/>
  <c r="AG150" i="1"/>
  <c r="CU150" i="1" s="1"/>
  <c r="T150" i="1" s="1"/>
  <c r="AH150" i="1"/>
  <c r="AI150" i="1"/>
  <c r="AJ150" i="1"/>
  <c r="CX150" i="1" s="1"/>
  <c r="W150" i="1" s="1"/>
  <c r="CR150" i="1"/>
  <c r="CS150" i="1"/>
  <c r="CV150" i="1"/>
  <c r="U150" i="1" s="1"/>
  <c r="CW150" i="1"/>
  <c r="V150" i="1" s="1"/>
  <c r="GL150" i="1"/>
  <c r="GO150" i="1"/>
  <c r="GP150" i="1"/>
  <c r="GV150" i="1"/>
  <c r="HC150" i="1" s="1"/>
  <c r="GX150" i="1" s="1"/>
  <c r="C151" i="1"/>
  <c r="D151" i="1"/>
  <c r="I151" i="1"/>
  <c r="K151" i="1"/>
  <c r="R151" i="1"/>
  <c r="S151" i="1"/>
  <c r="X151" i="1" s="1"/>
  <c r="AC151" i="1"/>
  <c r="AB151" i="1" s="1"/>
  <c r="AD151" i="1"/>
  <c r="AE151" i="1"/>
  <c r="Q151" i="1" s="1"/>
  <c r="AF151" i="1"/>
  <c r="AG151" i="1"/>
  <c r="CU151" i="1" s="1"/>
  <c r="T151" i="1" s="1"/>
  <c r="AH151" i="1"/>
  <c r="CV151" i="1" s="1"/>
  <c r="U151" i="1" s="1"/>
  <c r="AI151" i="1"/>
  <c r="AJ151" i="1"/>
  <c r="CR151" i="1"/>
  <c r="CS151" i="1"/>
  <c r="CT151" i="1"/>
  <c r="CW151" i="1"/>
  <c r="V151" i="1" s="1"/>
  <c r="CX151" i="1"/>
  <c r="W151" i="1" s="1"/>
  <c r="GL151" i="1"/>
  <c r="GO151" i="1"/>
  <c r="GP151" i="1"/>
  <c r="GV151" i="1"/>
  <c r="HC151" i="1" s="1"/>
  <c r="GX151" i="1" s="1"/>
  <c r="C152" i="1"/>
  <c r="D152" i="1"/>
  <c r="I152" i="1"/>
  <c r="R152" i="1" s="1"/>
  <c r="K152" i="1"/>
  <c r="P152" i="1"/>
  <c r="AC152" i="1"/>
  <c r="AB152" i="1" s="1"/>
  <c r="AD152" i="1"/>
  <c r="AE152" i="1"/>
  <c r="Q152" i="1" s="1"/>
  <c r="AF152" i="1"/>
  <c r="AG152" i="1"/>
  <c r="AH152" i="1"/>
  <c r="CV152" i="1" s="1"/>
  <c r="U152" i="1" s="1"/>
  <c r="AI152" i="1"/>
  <c r="CW152" i="1" s="1"/>
  <c r="V152" i="1" s="1"/>
  <c r="AJ152" i="1"/>
  <c r="CQ152" i="1"/>
  <c r="CR152" i="1"/>
  <c r="CT152" i="1"/>
  <c r="CU152" i="1"/>
  <c r="T152" i="1" s="1"/>
  <c r="CX152" i="1"/>
  <c r="W152" i="1" s="1"/>
  <c r="GL152" i="1"/>
  <c r="GO152" i="1"/>
  <c r="GP152" i="1"/>
  <c r="GV152" i="1"/>
  <c r="GX152" i="1"/>
  <c r="HC152" i="1"/>
  <c r="P153" i="1"/>
  <c r="AC153" i="1"/>
  <c r="AE153" i="1"/>
  <c r="AD153" i="1" s="1"/>
  <c r="AB153" i="1" s="1"/>
  <c r="AF153" i="1"/>
  <c r="S153" i="1" s="1"/>
  <c r="AG153" i="1"/>
  <c r="AH153" i="1"/>
  <c r="AI153" i="1"/>
  <c r="CW153" i="1" s="1"/>
  <c r="V153" i="1" s="1"/>
  <c r="AJ153" i="1"/>
  <c r="CX153" i="1" s="1"/>
  <c r="W153" i="1" s="1"/>
  <c r="CQ153" i="1"/>
  <c r="CR153" i="1"/>
  <c r="CU153" i="1"/>
  <c r="T153" i="1" s="1"/>
  <c r="CV153" i="1"/>
  <c r="U153" i="1" s="1"/>
  <c r="GL153" i="1"/>
  <c r="GO153" i="1"/>
  <c r="GP153" i="1"/>
  <c r="GV153" i="1"/>
  <c r="HC153" i="1"/>
  <c r="GX153" i="1" s="1"/>
  <c r="R154" i="1"/>
  <c r="AC154" i="1"/>
  <c r="P154" i="1" s="1"/>
  <c r="CP154" i="1" s="1"/>
  <c r="O154" i="1" s="1"/>
  <c r="AE154" i="1"/>
  <c r="Q154" i="1" s="1"/>
  <c r="AF154" i="1"/>
  <c r="S154" i="1" s="1"/>
  <c r="AG154" i="1"/>
  <c r="CU154" i="1" s="1"/>
  <c r="T154" i="1" s="1"/>
  <c r="AH154" i="1"/>
  <c r="AI154" i="1"/>
  <c r="AJ154" i="1"/>
  <c r="CX154" i="1" s="1"/>
  <c r="W154" i="1" s="1"/>
  <c r="CR154" i="1"/>
  <c r="CS154" i="1"/>
  <c r="CV154" i="1"/>
  <c r="U154" i="1" s="1"/>
  <c r="CW154" i="1"/>
  <c r="V154" i="1" s="1"/>
  <c r="GL154" i="1"/>
  <c r="GO154" i="1"/>
  <c r="GP154" i="1"/>
  <c r="GV154" i="1"/>
  <c r="HC154" i="1" s="1"/>
  <c r="GX154" i="1" s="1"/>
  <c r="R155" i="1"/>
  <c r="S155" i="1"/>
  <c r="X155" i="1" s="1"/>
  <c r="AC155" i="1"/>
  <c r="AB155" i="1" s="1"/>
  <c r="AD155" i="1"/>
  <c r="AE155" i="1"/>
  <c r="Q155" i="1" s="1"/>
  <c r="AF155" i="1"/>
  <c r="AG155" i="1"/>
  <c r="CU155" i="1" s="1"/>
  <c r="T155" i="1" s="1"/>
  <c r="AH155" i="1"/>
  <c r="CV155" i="1" s="1"/>
  <c r="U155" i="1" s="1"/>
  <c r="AI155" i="1"/>
  <c r="AJ155" i="1"/>
  <c r="CR155" i="1"/>
  <c r="CS155" i="1"/>
  <c r="CT155" i="1"/>
  <c r="CW155" i="1"/>
  <c r="V155" i="1" s="1"/>
  <c r="CX155" i="1"/>
  <c r="W155" i="1" s="1"/>
  <c r="GL155" i="1"/>
  <c r="GO155" i="1"/>
  <c r="GP155" i="1"/>
  <c r="GV155" i="1"/>
  <c r="HC155" i="1" s="1"/>
  <c r="GX155" i="1" s="1"/>
  <c r="P156" i="1"/>
  <c r="CP156" i="1" s="1"/>
  <c r="O156" i="1" s="1"/>
  <c r="S156" i="1"/>
  <c r="X156" i="1"/>
  <c r="AC156" i="1"/>
  <c r="AB156" i="1" s="1"/>
  <c r="AD156" i="1"/>
  <c r="AE156" i="1"/>
  <c r="Q156" i="1" s="1"/>
  <c r="AF156" i="1"/>
  <c r="AG156" i="1"/>
  <c r="AH156" i="1"/>
  <c r="CV156" i="1" s="1"/>
  <c r="U156" i="1" s="1"/>
  <c r="AI156" i="1"/>
  <c r="CW156" i="1" s="1"/>
  <c r="V156" i="1" s="1"/>
  <c r="AJ156" i="1"/>
  <c r="CQ156" i="1"/>
  <c r="CR156" i="1"/>
  <c r="CT156" i="1"/>
  <c r="CU156" i="1"/>
  <c r="T156" i="1" s="1"/>
  <c r="CX156" i="1"/>
  <c r="W156" i="1" s="1"/>
  <c r="CY156" i="1"/>
  <c r="CZ156" i="1"/>
  <c r="GL156" i="1"/>
  <c r="GO156" i="1"/>
  <c r="GP156" i="1"/>
  <c r="GV156" i="1"/>
  <c r="GX156" i="1"/>
  <c r="HC156" i="1"/>
  <c r="P157" i="1"/>
  <c r="AC157" i="1"/>
  <c r="AE157" i="1"/>
  <c r="AD157" i="1" s="1"/>
  <c r="AB157" i="1" s="1"/>
  <c r="AF157" i="1"/>
  <c r="S157" i="1" s="1"/>
  <c r="AG157" i="1"/>
  <c r="AH157" i="1"/>
  <c r="AI157" i="1"/>
  <c r="CW157" i="1" s="1"/>
  <c r="V157" i="1" s="1"/>
  <c r="AJ157" i="1"/>
  <c r="CX157" i="1" s="1"/>
  <c r="W157" i="1" s="1"/>
  <c r="CQ157" i="1"/>
  <c r="CR157" i="1"/>
  <c r="CU157" i="1"/>
  <c r="T157" i="1" s="1"/>
  <c r="CV157" i="1"/>
  <c r="U157" i="1" s="1"/>
  <c r="GL157" i="1"/>
  <c r="GO157" i="1"/>
  <c r="GP157" i="1"/>
  <c r="GV157" i="1"/>
  <c r="HC157" i="1"/>
  <c r="GX157" i="1" s="1"/>
  <c r="R158" i="1"/>
  <c r="AC158" i="1"/>
  <c r="P158" i="1" s="1"/>
  <c r="CP158" i="1" s="1"/>
  <c r="O158" i="1" s="1"/>
  <c r="AE158" i="1"/>
  <c r="Q158" i="1" s="1"/>
  <c r="AF158" i="1"/>
  <c r="S158" i="1" s="1"/>
  <c r="AG158" i="1"/>
  <c r="CU158" i="1" s="1"/>
  <c r="T158" i="1" s="1"/>
  <c r="AH158" i="1"/>
  <c r="AI158" i="1"/>
  <c r="AJ158" i="1"/>
  <c r="CX158" i="1" s="1"/>
  <c r="W158" i="1" s="1"/>
  <c r="CR158" i="1"/>
  <c r="CS158" i="1"/>
  <c r="CV158" i="1"/>
  <c r="U158" i="1" s="1"/>
  <c r="CW158" i="1"/>
  <c r="V158" i="1" s="1"/>
  <c r="GL158" i="1"/>
  <c r="GO158" i="1"/>
  <c r="GP158" i="1"/>
  <c r="GV158" i="1"/>
  <c r="HC158" i="1" s="1"/>
  <c r="GX158" i="1" s="1"/>
  <c r="R159" i="1"/>
  <c r="S159" i="1"/>
  <c r="X159" i="1" s="1"/>
  <c r="AC159" i="1"/>
  <c r="AB159" i="1" s="1"/>
  <c r="AD159" i="1"/>
  <c r="AE159" i="1"/>
  <c r="Q159" i="1" s="1"/>
  <c r="AF159" i="1"/>
  <c r="AG159" i="1"/>
  <c r="CU159" i="1" s="1"/>
  <c r="T159" i="1" s="1"/>
  <c r="AH159" i="1"/>
  <c r="CV159" i="1" s="1"/>
  <c r="U159" i="1" s="1"/>
  <c r="AI159" i="1"/>
  <c r="AJ159" i="1"/>
  <c r="CR159" i="1"/>
  <c r="CS159" i="1"/>
  <c r="CT159" i="1"/>
  <c r="CW159" i="1"/>
  <c r="V159" i="1" s="1"/>
  <c r="CX159" i="1"/>
  <c r="W159" i="1" s="1"/>
  <c r="GL159" i="1"/>
  <c r="GO159" i="1"/>
  <c r="GP159" i="1"/>
  <c r="GV159" i="1"/>
  <c r="HC159" i="1" s="1"/>
  <c r="GX159" i="1" s="1"/>
  <c r="P160" i="1"/>
  <c r="CP160" i="1" s="1"/>
  <c r="O160" i="1" s="1"/>
  <c r="S160" i="1"/>
  <c r="X160" i="1"/>
  <c r="AC160" i="1"/>
  <c r="AB160" i="1" s="1"/>
  <c r="AD160" i="1"/>
  <c r="AE160" i="1"/>
  <c r="Q160" i="1" s="1"/>
  <c r="AF160" i="1"/>
  <c r="AG160" i="1"/>
  <c r="AH160" i="1"/>
  <c r="CV160" i="1" s="1"/>
  <c r="U160" i="1" s="1"/>
  <c r="AI160" i="1"/>
  <c r="CW160" i="1" s="1"/>
  <c r="V160" i="1" s="1"/>
  <c r="AJ160" i="1"/>
  <c r="CQ160" i="1"/>
  <c r="CR160" i="1"/>
  <c r="CT160" i="1"/>
  <c r="CU160" i="1"/>
  <c r="T160" i="1" s="1"/>
  <c r="CX160" i="1"/>
  <c r="W160" i="1" s="1"/>
  <c r="CY160" i="1"/>
  <c r="CZ160" i="1"/>
  <c r="GL160" i="1"/>
  <c r="GO160" i="1"/>
  <c r="GP160" i="1"/>
  <c r="GV160" i="1"/>
  <c r="GX160" i="1"/>
  <c r="HC160" i="1"/>
  <c r="P162" i="1"/>
  <c r="AC162" i="1"/>
  <c r="AE162" i="1"/>
  <c r="AD162" i="1" s="1"/>
  <c r="AB162" i="1" s="1"/>
  <c r="AF162" i="1"/>
  <c r="S162" i="1" s="1"/>
  <c r="AG162" i="1"/>
  <c r="AH162" i="1"/>
  <c r="AI162" i="1"/>
  <c r="CW162" i="1" s="1"/>
  <c r="V162" i="1" s="1"/>
  <c r="AJ162" i="1"/>
  <c r="CX162" i="1" s="1"/>
  <c r="W162" i="1" s="1"/>
  <c r="CQ162" i="1"/>
  <c r="CR162" i="1"/>
  <c r="CU162" i="1"/>
  <c r="T162" i="1" s="1"/>
  <c r="CV162" i="1"/>
  <c r="U162" i="1" s="1"/>
  <c r="GL162" i="1"/>
  <c r="GO162" i="1"/>
  <c r="GP162" i="1"/>
  <c r="GV162" i="1"/>
  <c r="HC162" i="1"/>
  <c r="GX162" i="1" s="1"/>
  <c r="R163" i="1"/>
  <c r="AC163" i="1"/>
  <c r="P163" i="1" s="1"/>
  <c r="CP163" i="1" s="1"/>
  <c r="O163" i="1" s="1"/>
  <c r="AE163" i="1"/>
  <c r="Q163" i="1" s="1"/>
  <c r="AF163" i="1"/>
  <c r="S163" i="1" s="1"/>
  <c r="AG163" i="1"/>
  <c r="CU163" i="1" s="1"/>
  <c r="T163" i="1" s="1"/>
  <c r="AH163" i="1"/>
  <c r="AI163" i="1"/>
  <c r="AJ163" i="1"/>
  <c r="CX163" i="1" s="1"/>
  <c r="W163" i="1" s="1"/>
  <c r="CR163" i="1"/>
  <c r="CS163" i="1"/>
  <c r="CV163" i="1"/>
  <c r="U163" i="1" s="1"/>
  <c r="CW163" i="1"/>
  <c r="V163" i="1" s="1"/>
  <c r="GL163" i="1"/>
  <c r="GO163" i="1"/>
  <c r="GP163" i="1"/>
  <c r="GV163" i="1"/>
  <c r="HC163" i="1"/>
  <c r="GX163" i="1" s="1"/>
  <c r="C165" i="1"/>
  <c r="D165" i="1"/>
  <c r="I165" i="1"/>
  <c r="K165" i="1"/>
  <c r="R165" i="1"/>
  <c r="S165" i="1"/>
  <c r="X165" i="1" s="1"/>
  <c r="AC165" i="1"/>
  <c r="AB165" i="1" s="1"/>
  <c r="AD165" i="1"/>
  <c r="AE165" i="1"/>
  <c r="Q165" i="1" s="1"/>
  <c r="AF165" i="1"/>
  <c r="AG165" i="1"/>
  <c r="CU165" i="1" s="1"/>
  <c r="T165" i="1" s="1"/>
  <c r="AH165" i="1"/>
  <c r="CV165" i="1" s="1"/>
  <c r="U165" i="1" s="1"/>
  <c r="AI165" i="1"/>
  <c r="AJ165" i="1"/>
  <c r="CR165" i="1"/>
  <c r="CS165" i="1"/>
  <c r="CT165" i="1"/>
  <c r="CW165" i="1"/>
  <c r="V165" i="1" s="1"/>
  <c r="CX165" i="1"/>
  <c r="W165" i="1" s="1"/>
  <c r="GL165" i="1"/>
  <c r="GO165" i="1"/>
  <c r="GP165" i="1"/>
  <c r="GV165" i="1"/>
  <c r="HC165" i="1" s="1"/>
  <c r="GX165" i="1" s="1"/>
  <c r="C166" i="1"/>
  <c r="D166" i="1"/>
  <c r="I166" i="1"/>
  <c r="R166" i="1" s="1"/>
  <c r="K166" i="1"/>
  <c r="P166" i="1"/>
  <c r="S166" i="1"/>
  <c r="Y166" i="1" s="1"/>
  <c r="X166" i="1"/>
  <c r="AC166" i="1"/>
  <c r="AB166" i="1" s="1"/>
  <c r="AD166" i="1"/>
  <c r="AE166" i="1"/>
  <c r="Q166" i="1" s="1"/>
  <c r="AF166" i="1"/>
  <c r="AG166" i="1"/>
  <c r="AH166" i="1"/>
  <c r="CV166" i="1" s="1"/>
  <c r="U166" i="1" s="1"/>
  <c r="AI166" i="1"/>
  <c r="CW166" i="1" s="1"/>
  <c r="V166" i="1" s="1"/>
  <c r="AJ166" i="1"/>
  <c r="CQ166" i="1"/>
  <c r="CR166" i="1"/>
  <c r="CT166" i="1"/>
  <c r="CU166" i="1"/>
  <c r="T166" i="1" s="1"/>
  <c r="CX166" i="1"/>
  <c r="W166" i="1" s="1"/>
  <c r="CY166" i="1"/>
  <c r="GL166" i="1"/>
  <c r="GO166" i="1"/>
  <c r="GP166" i="1"/>
  <c r="GV166" i="1"/>
  <c r="HC166" i="1" s="1"/>
  <c r="GX166" i="1" s="1"/>
  <c r="I167" i="1"/>
  <c r="P167" i="1"/>
  <c r="CP167" i="1" s="1"/>
  <c r="O167" i="1" s="1"/>
  <c r="S167" i="1"/>
  <c r="Y167" i="1" s="1"/>
  <c r="X167" i="1"/>
  <c r="AC167" i="1"/>
  <c r="AB167" i="1" s="1"/>
  <c r="AD167" i="1"/>
  <c r="AE167" i="1"/>
  <c r="Q167" i="1" s="1"/>
  <c r="AF167" i="1"/>
  <c r="AG167" i="1"/>
  <c r="AH167" i="1"/>
  <c r="CV167" i="1" s="1"/>
  <c r="U167" i="1" s="1"/>
  <c r="AI167" i="1"/>
  <c r="CW167" i="1" s="1"/>
  <c r="V167" i="1" s="1"/>
  <c r="AJ167" i="1"/>
  <c r="CQ167" i="1"/>
  <c r="CR167" i="1"/>
  <c r="CT167" i="1"/>
  <c r="CU167" i="1"/>
  <c r="T167" i="1" s="1"/>
  <c r="CX167" i="1"/>
  <c r="W167" i="1" s="1"/>
  <c r="CY167" i="1"/>
  <c r="GL167" i="1"/>
  <c r="GO167" i="1"/>
  <c r="GP167" i="1"/>
  <c r="GV167" i="1"/>
  <c r="HC167" i="1" s="1"/>
  <c r="GX167" i="1" s="1"/>
  <c r="AC168" i="1"/>
  <c r="AB168" i="1" s="1"/>
  <c r="AD168" i="1"/>
  <c r="AE168" i="1"/>
  <c r="CS168" i="1" s="1"/>
  <c r="AF168" i="1"/>
  <c r="AG168" i="1"/>
  <c r="AH168" i="1"/>
  <c r="CV168" i="1" s="1"/>
  <c r="AI168" i="1"/>
  <c r="CW168" i="1" s="1"/>
  <c r="AJ168" i="1"/>
  <c r="CQ168" i="1"/>
  <c r="CR168" i="1"/>
  <c r="CT168" i="1"/>
  <c r="CU168" i="1"/>
  <c r="CX168" i="1"/>
  <c r="GL168" i="1"/>
  <c r="GO168" i="1"/>
  <c r="GP168" i="1"/>
  <c r="GV168" i="1"/>
  <c r="HC168" i="1" s="1"/>
  <c r="I169" i="1"/>
  <c r="P169" i="1"/>
  <c r="CP169" i="1" s="1"/>
  <c r="O169" i="1" s="1"/>
  <c r="S169" i="1"/>
  <c r="Y169" i="1" s="1"/>
  <c r="X169" i="1"/>
  <c r="AC169" i="1"/>
  <c r="AB169" i="1" s="1"/>
  <c r="AD169" i="1"/>
  <c r="AE169" i="1"/>
  <c r="Q169" i="1" s="1"/>
  <c r="AF169" i="1"/>
  <c r="AG169" i="1"/>
  <c r="AH169" i="1"/>
  <c r="CV169" i="1" s="1"/>
  <c r="U169" i="1" s="1"/>
  <c r="AI169" i="1"/>
  <c r="CW169" i="1" s="1"/>
  <c r="V169" i="1" s="1"/>
  <c r="AJ169" i="1"/>
  <c r="CQ169" i="1"/>
  <c r="CR169" i="1"/>
  <c r="CT169" i="1"/>
  <c r="CU169" i="1"/>
  <c r="T169" i="1" s="1"/>
  <c r="CX169" i="1"/>
  <c r="W169" i="1" s="1"/>
  <c r="CY169" i="1"/>
  <c r="GL169" i="1"/>
  <c r="GO169" i="1"/>
  <c r="GP169" i="1"/>
  <c r="GV169" i="1"/>
  <c r="HC169" i="1" s="1"/>
  <c r="GX169" i="1" s="1"/>
  <c r="AC170" i="1"/>
  <c r="AB170" i="1" s="1"/>
  <c r="AD170" i="1"/>
  <c r="AE170" i="1"/>
  <c r="CS170" i="1" s="1"/>
  <c r="AF170" i="1"/>
  <c r="AG170" i="1"/>
  <c r="AH170" i="1"/>
  <c r="CV170" i="1" s="1"/>
  <c r="AI170" i="1"/>
  <c r="CW170" i="1" s="1"/>
  <c r="AJ170" i="1"/>
  <c r="CQ170" i="1"/>
  <c r="CR170" i="1"/>
  <c r="CT170" i="1"/>
  <c r="CU170" i="1"/>
  <c r="CX170" i="1"/>
  <c r="GL170" i="1"/>
  <c r="GO170" i="1"/>
  <c r="GP170" i="1"/>
  <c r="GV170" i="1"/>
  <c r="HC170" i="1" s="1"/>
  <c r="C171" i="1"/>
  <c r="D171" i="1"/>
  <c r="R171" i="1"/>
  <c r="S171" i="1"/>
  <c r="X171" i="1" s="1"/>
  <c r="AC171" i="1"/>
  <c r="AB171" i="1" s="1"/>
  <c r="AD171" i="1"/>
  <c r="AE171" i="1"/>
  <c r="Q171" i="1" s="1"/>
  <c r="AF171" i="1"/>
  <c r="AG171" i="1"/>
  <c r="CU171" i="1" s="1"/>
  <c r="T171" i="1" s="1"/>
  <c r="AH171" i="1"/>
  <c r="CV171" i="1" s="1"/>
  <c r="U171" i="1" s="1"/>
  <c r="AI171" i="1"/>
  <c r="AJ171" i="1"/>
  <c r="CR171" i="1"/>
  <c r="CS171" i="1"/>
  <c r="CT171" i="1"/>
  <c r="CW171" i="1"/>
  <c r="V171" i="1" s="1"/>
  <c r="CX171" i="1"/>
  <c r="W171" i="1" s="1"/>
  <c r="GL171" i="1"/>
  <c r="GN171" i="1"/>
  <c r="GP171" i="1"/>
  <c r="GV171" i="1"/>
  <c r="HC171" i="1" s="1"/>
  <c r="GX171" i="1" s="1"/>
  <c r="C172" i="1"/>
  <c r="D172" i="1"/>
  <c r="R172" i="1"/>
  <c r="AC172" i="1"/>
  <c r="P172" i="1" s="1"/>
  <c r="AE172" i="1"/>
  <c r="Q172" i="1" s="1"/>
  <c r="AF172" i="1"/>
  <c r="S172" i="1" s="1"/>
  <c r="AG172" i="1"/>
  <c r="CU172" i="1" s="1"/>
  <c r="T172" i="1" s="1"/>
  <c r="AH172" i="1"/>
  <c r="AI172" i="1"/>
  <c r="AJ172" i="1"/>
  <c r="CX172" i="1" s="1"/>
  <c r="W172" i="1" s="1"/>
  <c r="CR172" i="1"/>
  <c r="CS172" i="1"/>
  <c r="CV172" i="1"/>
  <c r="U172" i="1" s="1"/>
  <c r="CW172" i="1"/>
  <c r="V172" i="1" s="1"/>
  <c r="GL172" i="1"/>
  <c r="GN172" i="1"/>
  <c r="GP172" i="1"/>
  <c r="GV172" i="1"/>
  <c r="HC172" i="1"/>
  <c r="GX172" i="1" s="1"/>
  <c r="I173" i="1"/>
  <c r="Q173" i="1" s="1"/>
  <c r="R173" i="1"/>
  <c r="AC173" i="1"/>
  <c r="P173" i="1" s="1"/>
  <c r="CP173" i="1" s="1"/>
  <c r="O173" i="1" s="1"/>
  <c r="AE173" i="1"/>
  <c r="AD173" i="1" s="1"/>
  <c r="AB173" i="1" s="1"/>
  <c r="AF173" i="1"/>
  <c r="S173" i="1" s="1"/>
  <c r="AG173" i="1"/>
  <c r="CU173" i="1" s="1"/>
  <c r="T173" i="1" s="1"/>
  <c r="AH173" i="1"/>
  <c r="AI173" i="1"/>
  <c r="AJ173" i="1"/>
  <c r="CX173" i="1" s="1"/>
  <c r="W173" i="1" s="1"/>
  <c r="CR173" i="1"/>
  <c r="CS173" i="1"/>
  <c r="CV173" i="1"/>
  <c r="U173" i="1" s="1"/>
  <c r="CW173" i="1"/>
  <c r="V173" i="1" s="1"/>
  <c r="GL173" i="1"/>
  <c r="BZ176" i="1" s="1"/>
  <c r="GN173" i="1"/>
  <c r="GP173" i="1"/>
  <c r="CD176" i="1" s="1"/>
  <c r="GV173" i="1"/>
  <c r="HC173" i="1"/>
  <c r="GX173" i="1" s="1"/>
  <c r="I174" i="1"/>
  <c r="Q174" i="1" s="1"/>
  <c r="R174" i="1"/>
  <c r="AC174" i="1"/>
  <c r="P174" i="1" s="1"/>
  <c r="AE174" i="1"/>
  <c r="AD174" i="1" s="1"/>
  <c r="AB174" i="1" s="1"/>
  <c r="AF174" i="1"/>
  <c r="S174" i="1" s="1"/>
  <c r="AG174" i="1"/>
  <c r="CU174" i="1" s="1"/>
  <c r="T174" i="1" s="1"/>
  <c r="AH174" i="1"/>
  <c r="AI174" i="1"/>
  <c r="AJ174" i="1"/>
  <c r="CX174" i="1" s="1"/>
  <c r="W174" i="1" s="1"/>
  <c r="CR174" i="1"/>
  <c r="CS174" i="1"/>
  <c r="CV174" i="1"/>
  <c r="U174" i="1" s="1"/>
  <c r="CW174" i="1"/>
  <c r="V174" i="1" s="1"/>
  <c r="GL174" i="1"/>
  <c r="GN174" i="1"/>
  <c r="GP174" i="1"/>
  <c r="GV174" i="1"/>
  <c r="HC174" i="1"/>
  <c r="GX174" i="1" s="1"/>
  <c r="B176" i="1"/>
  <c r="B67" i="1" s="1"/>
  <c r="C176" i="1"/>
  <c r="C67" i="1" s="1"/>
  <c r="D176" i="1"/>
  <c r="D67" i="1" s="1"/>
  <c r="F176" i="1"/>
  <c r="F67" i="1" s="1"/>
  <c r="G176" i="1"/>
  <c r="G67" i="1" s="1"/>
  <c r="BX176" i="1"/>
  <c r="BX67" i="1" s="1"/>
  <c r="BY176" i="1"/>
  <c r="BY67" i="1" s="1"/>
  <c r="CK176" i="1"/>
  <c r="CK67" i="1" s="1"/>
  <c r="CL176" i="1"/>
  <c r="CL67" i="1" s="1"/>
  <c r="CM176" i="1"/>
  <c r="CM67" i="1" s="1"/>
  <c r="FP176" i="1"/>
  <c r="FP67" i="1" s="1"/>
  <c r="FQ176" i="1"/>
  <c r="FQ67" i="1" s="1"/>
  <c r="FR176" i="1"/>
  <c r="FR67" i="1" s="1"/>
  <c r="FV176" i="1"/>
  <c r="FV67" i="1" s="1"/>
  <c r="GA176" i="1"/>
  <c r="GA67" i="1" s="1"/>
  <c r="GC176" i="1"/>
  <c r="GC67" i="1" s="1"/>
  <c r="GD176" i="1"/>
  <c r="GD67" i="1" s="1"/>
  <c r="GE176" i="1"/>
  <c r="GE67" i="1" s="1"/>
  <c r="D206" i="1"/>
  <c r="E208" i="1"/>
  <c r="Z208" i="1"/>
  <c r="AA208" i="1"/>
  <c r="AM208" i="1"/>
  <c r="AN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R208" i="1"/>
  <c r="DS208" i="1"/>
  <c r="EE208" i="1"/>
  <c r="EF208" i="1"/>
  <c r="EW208" i="1"/>
  <c r="EX208" i="1"/>
  <c r="EY208" i="1"/>
  <c r="EZ208" i="1"/>
  <c r="FA208" i="1"/>
  <c r="FB208" i="1"/>
  <c r="FC208" i="1"/>
  <c r="FD208" i="1"/>
  <c r="FE208" i="1"/>
  <c r="FF208" i="1"/>
  <c r="FG208" i="1"/>
  <c r="FH208" i="1"/>
  <c r="FI208" i="1"/>
  <c r="FJ208" i="1"/>
  <c r="FK208" i="1"/>
  <c r="FL208" i="1"/>
  <c r="FM208" i="1"/>
  <c r="FN208" i="1"/>
  <c r="FO208" i="1"/>
  <c r="GF208" i="1"/>
  <c r="GG208" i="1"/>
  <c r="GH208" i="1"/>
  <c r="GI208" i="1"/>
  <c r="GJ208" i="1"/>
  <c r="GK208" i="1"/>
  <c r="GL208" i="1"/>
  <c r="GM208" i="1"/>
  <c r="GN208" i="1"/>
  <c r="GO208" i="1"/>
  <c r="GP208" i="1"/>
  <c r="GQ208" i="1"/>
  <c r="GR208" i="1"/>
  <c r="GS208" i="1"/>
  <c r="GT208" i="1"/>
  <c r="GU208" i="1"/>
  <c r="GV208" i="1"/>
  <c r="GW208" i="1"/>
  <c r="GX208" i="1"/>
  <c r="P210" i="1"/>
  <c r="AC210" i="1"/>
  <c r="AE210" i="1"/>
  <c r="AF210" i="1"/>
  <c r="S210" i="1" s="1"/>
  <c r="Y210" i="1" s="1"/>
  <c r="AG210" i="1"/>
  <c r="AH210" i="1"/>
  <c r="AI210" i="1"/>
  <c r="CW210" i="1" s="1"/>
  <c r="V210" i="1" s="1"/>
  <c r="AJ210" i="1"/>
  <c r="CX210" i="1" s="1"/>
  <c r="W210" i="1" s="1"/>
  <c r="CQ210" i="1"/>
  <c r="CR210" i="1"/>
  <c r="CU210" i="1"/>
  <c r="T210" i="1" s="1"/>
  <c r="CV210" i="1"/>
  <c r="U210" i="1" s="1"/>
  <c r="GL210" i="1"/>
  <c r="GO210" i="1"/>
  <c r="GP210" i="1"/>
  <c r="GV210" i="1"/>
  <c r="HC210" i="1"/>
  <c r="GX210" i="1" s="1"/>
  <c r="R211" i="1"/>
  <c r="AC211" i="1"/>
  <c r="P211" i="1" s="1"/>
  <c r="AE211" i="1"/>
  <c r="Q211" i="1" s="1"/>
  <c r="AF211" i="1"/>
  <c r="AG211" i="1"/>
  <c r="CU211" i="1" s="1"/>
  <c r="T211" i="1" s="1"/>
  <c r="AH211" i="1"/>
  <c r="AI211" i="1"/>
  <c r="AJ211" i="1"/>
  <c r="CX211" i="1" s="1"/>
  <c r="W211" i="1" s="1"/>
  <c r="CR211" i="1"/>
  <c r="CS211" i="1"/>
  <c r="CV211" i="1"/>
  <c r="U211" i="1" s="1"/>
  <c r="CW211" i="1"/>
  <c r="V211" i="1" s="1"/>
  <c r="GL211" i="1"/>
  <c r="GO211" i="1"/>
  <c r="GP211" i="1"/>
  <c r="GV211" i="1"/>
  <c r="HC211" i="1"/>
  <c r="GX211" i="1" s="1"/>
  <c r="C212" i="1"/>
  <c r="D212" i="1"/>
  <c r="P212" i="1"/>
  <c r="AC212" i="1"/>
  <c r="AE212" i="1"/>
  <c r="AF212" i="1"/>
  <c r="S212" i="1" s="1"/>
  <c r="Y212" i="1" s="1"/>
  <c r="AG212" i="1"/>
  <c r="AH212" i="1"/>
  <c r="AI212" i="1"/>
  <c r="CW212" i="1" s="1"/>
  <c r="V212" i="1" s="1"/>
  <c r="AJ212" i="1"/>
  <c r="CX212" i="1" s="1"/>
  <c r="W212" i="1" s="1"/>
  <c r="CQ212" i="1"/>
  <c r="CR212" i="1"/>
  <c r="CU212" i="1"/>
  <c r="T212" i="1" s="1"/>
  <c r="CV212" i="1"/>
  <c r="U212" i="1" s="1"/>
  <c r="GL212" i="1"/>
  <c r="GO212" i="1"/>
  <c r="GP212" i="1"/>
  <c r="GV212" i="1"/>
  <c r="HC212" i="1"/>
  <c r="GX212" i="1" s="1"/>
  <c r="C213" i="1"/>
  <c r="D213" i="1"/>
  <c r="P213" i="1"/>
  <c r="CP213" i="1" s="1"/>
  <c r="O213" i="1" s="1"/>
  <c r="S213" i="1"/>
  <c r="Y213" i="1" s="1"/>
  <c r="X213" i="1"/>
  <c r="AC213" i="1"/>
  <c r="AB213" i="1" s="1"/>
  <c r="AD213" i="1"/>
  <c r="AE213" i="1"/>
  <c r="Q213" i="1" s="1"/>
  <c r="AF213" i="1"/>
  <c r="AG213" i="1"/>
  <c r="AH213" i="1"/>
  <c r="CV213" i="1" s="1"/>
  <c r="U213" i="1" s="1"/>
  <c r="AI213" i="1"/>
  <c r="CW213" i="1" s="1"/>
  <c r="V213" i="1" s="1"/>
  <c r="AJ213" i="1"/>
  <c r="CQ213" i="1"/>
  <c r="CR213" i="1"/>
  <c r="CT213" i="1"/>
  <c r="CU213" i="1"/>
  <c r="T213" i="1" s="1"/>
  <c r="CX213" i="1"/>
  <c r="W213" i="1" s="1"/>
  <c r="CY213" i="1"/>
  <c r="GL213" i="1"/>
  <c r="GO213" i="1"/>
  <c r="GP213" i="1"/>
  <c r="GV213" i="1"/>
  <c r="HC213" i="1" s="1"/>
  <c r="GX213" i="1"/>
  <c r="I214" i="1"/>
  <c r="P214" i="1"/>
  <c r="S214" i="1"/>
  <c r="Y214" i="1" s="1"/>
  <c r="T214" i="1"/>
  <c r="X214" i="1"/>
  <c r="AC214" i="1"/>
  <c r="AB214" i="1" s="1"/>
  <c r="AD214" i="1"/>
  <c r="AE214" i="1"/>
  <c r="Q214" i="1" s="1"/>
  <c r="AF214" i="1"/>
  <c r="AG214" i="1"/>
  <c r="AH214" i="1"/>
  <c r="CV214" i="1" s="1"/>
  <c r="U214" i="1" s="1"/>
  <c r="AI214" i="1"/>
  <c r="CW214" i="1" s="1"/>
  <c r="V214" i="1" s="1"/>
  <c r="AJ214" i="1"/>
  <c r="CQ214" i="1"/>
  <c r="CR214" i="1"/>
  <c r="CT214" i="1"/>
  <c r="CU214" i="1"/>
  <c r="CX214" i="1"/>
  <c r="W214" i="1" s="1"/>
  <c r="CY214" i="1"/>
  <c r="GL214" i="1"/>
  <c r="GO214" i="1"/>
  <c r="GP214" i="1"/>
  <c r="GV214" i="1"/>
  <c r="HC214" i="1" s="1"/>
  <c r="GX214" i="1" s="1"/>
  <c r="I215" i="1"/>
  <c r="P215" i="1"/>
  <c r="S215" i="1"/>
  <c r="Y215" i="1" s="1"/>
  <c r="T215" i="1"/>
  <c r="X215" i="1"/>
  <c r="AC215" i="1"/>
  <c r="AD215" i="1"/>
  <c r="AE215" i="1"/>
  <c r="Q215" i="1" s="1"/>
  <c r="AF215" i="1"/>
  <c r="AG215" i="1"/>
  <c r="AH215" i="1"/>
  <c r="CV215" i="1" s="1"/>
  <c r="U215" i="1" s="1"/>
  <c r="AI215" i="1"/>
  <c r="CW215" i="1" s="1"/>
  <c r="V215" i="1" s="1"/>
  <c r="AJ215" i="1"/>
  <c r="CQ215" i="1"/>
  <c r="CR215" i="1"/>
  <c r="CT215" i="1"/>
  <c r="CU215" i="1"/>
  <c r="CX215" i="1"/>
  <c r="W215" i="1" s="1"/>
  <c r="CY215" i="1"/>
  <c r="GL215" i="1"/>
  <c r="GO215" i="1"/>
  <c r="GP215" i="1"/>
  <c r="GV215" i="1"/>
  <c r="HC215" i="1" s="1"/>
  <c r="GX215" i="1" s="1"/>
  <c r="I216" i="1"/>
  <c r="P216" i="1"/>
  <c r="CP216" i="1" s="1"/>
  <c r="O216" i="1" s="1"/>
  <c r="S216" i="1"/>
  <c r="W216" i="1"/>
  <c r="X216" i="1"/>
  <c r="AC216" i="1"/>
  <c r="AB216" i="1" s="1"/>
  <c r="AD216" i="1"/>
  <c r="AE216" i="1"/>
  <c r="Q216" i="1" s="1"/>
  <c r="AF216" i="1"/>
  <c r="AG216" i="1"/>
  <c r="AH216" i="1"/>
  <c r="CV216" i="1" s="1"/>
  <c r="U216" i="1" s="1"/>
  <c r="AI216" i="1"/>
  <c r="CW216" i="1" s="1"/>
  <c r="V216" i="1" s="1"/>
  <c r="AJ216" i="1"/>
  <c r="CR216" i="1"/>
  <c r="CT216" i="1"/>
  <c r="CU216" i="1"/>
  <c r="T216" i="1" s="1"/>
  <c r="CX216" i="1"/>
  <c r="CY216" i="1"/>
  <c r="GL216" i="1"/>
  <c r="GO216" i="1"/>
  <c r="GP216" i="1"/>
  <c r="GV216" i="1"/>
  <c r="HC216" i="1" s="1"/>
  <c r="GX216" i="1" s="1"/>
  <c r="I217" i="1"/>
  <c r="P217" i="1"/>
  <c r="CP217" i="1" s="1"/>
  <c r="O217" i="1" s="1"/>
  <c r="S217" i="1"/>
  <c r="T217" i="1"/>
  <c r="X217" i="1"/>
  <c r="AC217" i="1"/>
  <c r="AD217" i="1"/>
  <c r="AE217" i="1"/>
  <c r="Q217" i="1" s="1"/>
  <c r="AF217" i="1"/>
  <c r="AG217" i="1"/>
  <c r="AH217" i="1"/>
  <c r="CV217" i="1" s="1"/>
  <c r="U217" i="1" s="1"/>
  <c r="AI217" i="1"/>
  <c r="CW217" i="1" s="1"/>
  <c r="V217" i="1" s="1"/>
  <c r="AJ217" i="1"/>
  <c r="CQ217" i="1"/>
  <c r="CR217" i="1"/>
  <c r="CT217" i="1"/>
  <c r="CU217" i="1"/>
  <c r="CX217" i="1"/>
  <c r="W217" i="1" s="1"/>
  <c r="CY217" i="1"/>
  <c r="GL217" i="1"/>
  <c r="GO217" i="1"/>
  <c r="GP217" i="1"/>
  <c r="GV217" i="1"/>
  <c r="HC217" i="1" s="1"/>
  <c r="GX217" i="1"/>
  <c r="P218" i="1"/>
  <c r="AC218" i="1"/>
  <c r="AD218" i="1"/>
  <c r="AB218" i="1" s="1"/>
  <c r="AE218" i="1"/>
  <c r="Q218" i="1" s="1"/>
  <c r="AF218" i="1"/>
  <c r="S218" i="1" s="1"/>
  <c r="Y218" i="1" s="1"/>
  <c r="AG218" i="1"/>
  <c r="AH218" i="1"/>
  <c r="CV218" i="1" s="1"/>
  <c r="U218" i="1" s="1"/>
  <c r="AI218" i="1"/>
  <c r="CW218" i="1" s="1"/>
  <c r="V218" i="1" s="1"/>
  <c r="AJ218" i="1"/>
  <c r="CX218" i="1" s="1"/>
  <c r="W218" i="1" s="1"/>
  <c r="CQ218" i="1"/>
  <c r="CR218" i="1"/>
  <c r="CU218" i="1"/>
  <c r="T218" i="1" s="1"/>
  <c r="CZ218" i="1"/>
  <c r="GL218" i="1"/>
  <c r="GO218" i="1"/>
  <c r="GP218" i="1"/>
  <c r="GV218" i="1"/>
  <c r="GX218" i="1"/>
  <c r="HC218" i="1"/>
  <c r="Q219" i="1"/>
  <c r="R219" i="1"/>
  <c r="U219" i="1"/>
  <c r="AC219" i="1"/>
  <c r="P219" i="1" s="1"/>
  <c r="AE219" i="1"/>
  <c r="AD219" i="1" s="1"/>
  <c r="AF219" i="1"/>
  <c r="AB219" i="1" s="1"/>
  <c r="AG219" i="1"/>
  <c r="CU219" i="1" s="1"/>
  <c r="T219" i="1" s="1"/>
  <c r="AH219" i="1"/>
  <c r="AI219" i="1"/>
  <c r="AJ219" i="1"/>
  <c r="CX219" i="1" s="1"/>
  <c r="W219" i="1" s="1"/>
  <c r="CR219" i="1"/>
  <c r="CS219" i="1"/>
  <c r="CV219" i="1"/>
  <c r="CW219" i="1"/>
  <c r="V219" i="1" s="1"/>
  <c r="GL219" i="1"/>
  <c r="GO219" i="1"/>
  <c r="GP219" i="1"/>
  <c r="GV219" i="1"/>
  <c r="HC219" i="1"/>
  <c r="GX219" i="1" s="1"/>
  <c r="R220" i="1"/>
  <c r="AC220" i="1"/>
  <c r="AD220" i="1"/>
  <c r="AE220" i="1"/>
  <c r="Q220" i="1" s="1"/>
  <c r="AF220" i="1"/>
  <c r="AB220" i="1" s="1"/>
  <c r="AG220" i="1"/>
  <c r="CU220" i="1" s="1"/>
  <c r="T220" i="1" s="1"/>
  <c r="AH220" i="1"/>
  <c r="CV220" i="1" s="1"/>
  <c r="U220" i="1" s="1"/>
  <c r="AI220" i="1"/>
  <c r="AJ220" i="1"/>
  <c r="CX220" i="1" s="1"/>
  <c r="W220" i="1" s="1"/>
  <c r="CR220" i="1"/>
  <c r="CS220" i="1"/>
  <c r="CT220" i="1"/>
  <c r="CW220" i="1"/>
  <c r="V220" i="1" s="1"/>
  <c r="GL220" i="1"/>
  <c r="GO220" i="1"/>
  <c r="GP220" i="1"/>
  <c r="GV220" i="1"/>
  <c r="HC220" i="1" s="1"/>
  <c r="GX220" i="1" s="1"/>
  <c r="P221" i="1"/>
  <c r="CP221" i="1" s="1"/>
  <c r="O221" i="1" s="1"/>
  <c r="S221" i="1"/>
  <c r="W221" i="1"/>
  <c r="X221" i="1"/>
  <c r="AC221" i="1"/>
  <c r="AB221" i="1" s="1"/>
  <c r="AD221" i="1"/>
  <c r="AE221" i="1"/>
  <c r="Q221" i="1" s="1"/>
  <c r="AF221" i="1"/>
  <c r="AG221" i="1"/>
  <c r="AH221" i="1"/>
  <c r="CV221" i="1" s="1"/>
  <c r="U221" i="1" s="1"/>
  <c r="AI221" i="1"/>
  <c r="CW221" i="1" s="1"/>
  <c r="V221" i="1" s="1"/>
  <c r="AJ221" i="1"/>
  <c r="CR221" i="1"/>
  <c r="CT221" i="1"/>
  <c r="CU221" i="1"/>
  <c r="T221" i="1" s="1"/>
  <c r="CX221" i="1"/>
  <c r="CY221" i="1"/>
  <c r="GL221" i="1"/>
  <c r="GO221" i="1"/>
  <c r="GP221" i="1"/>
  <c r="GV221" i="1"/>
  <c r="HC221" i="1" s="1"/>
  <c r="GX221" i="1" s="1"/>
  <c r="P222" i="1"/>
  <c r="AC222" i="1"/>
  <c r="AE222" i="1"/>
  <c r="Q222" i="1" s="1"/>
  <c r="AF222" i="1"/>
  <c r="S222" i="1" s="1"/>
  <c r="Y222" i="1" s="1"/>
  <c r="AG222" i="1"/>
  <c r="AH222" i="1"/>
  <c r="AI222" i="1"/>
  <c r="CW222" i="1" s="1"/>
  <c r="V222" i="1" s="1"/>
  <c r="AJ222" i="1"/>
  <c r="CX222" i="1" s="1"/>
  <c r="W222" i="1" s="1"/>
  <c r="CQ222" i="1"/>
  <c r="CU222" i="1"/>
  <c r="T222" i="1" s="1"/>
  <c r="CV222" i="1"/>
  <c r="U222" i="1" s="1"/>
  <c r="GL222" i="1"/>
  <c r="GO222" i="1"/>
  <c r="GP222" i="1"/>
  <c r="GV222" i="1"/>
  <c r="GX222" i="1"/>
  <c r="HC222" i="1"/>
  <c r="AC223" i="1"/>
  <c r="AE223" i="1"/>
  <c r="AD223" i="1" s="1"/>
  <c r="AB223" i="1" s="1"/>
  <c r="AF223" i="1"/>
  <c r="S223" i="1" s="1"/>
  <c r="AG223" i="1"/>
  <c r="CU223" i="1" s="1"/>
  <c r="T223" i="1" s="1"/>
  <c r="AH223" i="1"/>
  <c r="AI223" i="1"/>
  <c r="CW223" i="1" s="1"/>
  <c r="V223" i="1" s="1"/>
  <c r="AJ223" i="1"/>
  <c r="CS223" i="1"/>
  <c r="CT223" i="1"/>
  <c r="CV223" i="1"/>
  <c r="U223" i="1" s="1"/>
  <c r="CX223" i="1"/>
  <c r="W223" i="1" s="1"/>
  <c r="GL223" i="1"/>
  <c r="GO223" i="1"/>
  <c r="GP223" i="1"/>
  <c r="GV223" i="1"/>
  <c r="HC223" i="1" s="1"/>
  <c r="GX223" i="1" s="1"/>
  <c r="C224" i="1"/>
  <c r="D224" i="1"/>
  <c r="P224" i="1"/>
  <c r="R224" i="1"/>
  <c r="T224" i="1"/>
  <c r="AC224" i="1"/>
  <c r="AD224" i="1"/>
  <c r="AB224" i="1" s="1"/>
  <c r="AE224" i="1"/>
  <c r="Q224" i="1" s="1"/>
  <c r="AF224" i="1"/>
  <c r="AG224" i="1"/>
  <c r="AH224" i="1"/>
  <c r="CV224" i="1" s="1"/>
  <c r="U224" i="1" s="1"/>
  <c r="AI224" i="1"/>
  <c r="AJ224" i="1"/>
  <c r="CX224" i="1" s="1"/>
  <c r="W224" i="1" s="1"/>
  <c r="CQ224" i="1"/>
  <c r="CR224" i="1"/>
  <c r="CS224" i="1"/>
  <c r="CU224" i="1"/>
  <c r="CW224" i="1"/>
  <c r="V224" i="1" s="1"/>
  <c r="GL224" i="1"/>
  <c r="GN224" i="1"/>
  <c r="GP224" i="1"/>
  <c r="GV224" i="1"/>
  <c r="GX224" i="1"/>
  <c r="HC224" i="1"/>
  <c r="C225" i="1"/>
  <c r="D225" i="1"/>
  <c r="Q225" i="1"/>
  <c r="S225" i="1"/>
  <c r="T225" i="1"/>
  <c r="U225" i="1"/>
  <c r="W225" i="1"/>
  <c r="Y225" i="1"/>
  <c r="AC225" i="1"/>
  <c r="AB225" i="1" s="1"/>
  <c r="AD225" i="1"/>
  <c r="AE225" i="1"/>
  <c r="AF225" i="1"/>
  <c r="AG225" i="1"/>
  <c r="AH225" i="1"/>
  <c r="AI225" i="1"/>
  <c r="CW225" i="1" s="1"/>
  <c r="V225" i="1" s="1"/>
  <c r="AJ225" i="1"/>
  <c r="CR225" i="1"/>
  <c r="CT225" i="1"/>
  <c r="CU225" i="1"/>
  <c r="CV225" i="1"/>
  <c r="CX225" i="1"/>
  <c r="CY225" i="1"/>
  <c r="CZ225" i="1"/>
  <c r="GL225" i="1"/>
  <c r="GN225" i="1"/>
  <c r="GP225" i="1"/>
  <c r="GV225" i="1"/>
  <c r="GX225" i="1"/>
  <c r="HC225" i="1"/>
  <c r="P226" i="1"/>
  <c r="R226" i="1"/>
  <c r="T226" i="1"/>
  <c r="AC226" i="1"/>
  <c r="AD226" i="1"/>
  <c r="AB226" i="1" s="1"/>
  <c r="AE226" i="1"/>
  <c r="Q226" i="1" s="1"/>
  <c r="AF226" i="1"/>
  <c r="AG226" i="1"/>
  <c r="AH226" i="1"/>
  <c r="CV226" i="1" s="1"/>
  <c r="U226" i="1" s="1"/>
  <c r="AI226" i="1"/>
  <c r="AJ226" i="1"/>
  <c r="CX226" i="1" s="1"/>
  <c r="W226" i="1" s="1"/>
  <c r="CQ226" i="1"/>
  <c r="CR226" i="1"/>
  <c r="CS226" i="1"/>
  <c r="CU226" i="1"/>
  <c r="CW226" i="1"/>
  <c r="V226" i="1" s="1"/>
  <c r="GL226" i="1"/>
  <c r="GO226" i="1"/>
  <c r="GP226" i="1"/>
  <c r="GV226" i="1"/>
  <c r="GX226" i="1"/>
  <c r="HC226" i="1"/>
  <c r="R227" i="1"/>
  <c r="S227" i="1"/>
  <c r="AC227" i="1"/>
  <c r="P227" i="1" s="1"/>
  <c r="AD227" i="1"/>
  <c r="AB227" i="1" s="1"/>
  <c r="AE227" i="1"/>
  <c r="Y227" i="1" s="1"/>
  <c r="AF227" i="1"/>
  <c r="CT227" i="1" s="1"/>
  <c r="AG227" i="1"/>
  <c r="AH227" i="1"/>
  <c r="CV227" i="1" s="1"/>
  <c r="U227" i="1" s="1"/>
  <c r="AI227" i="1"/>
  <c r="CW227" i="1" s="1"/>
  <c r="V227" i="1" s="1"/>
  <c r="AJ227" i="1"/>
  <c r="CX227" i="1" s="1"/>
  <c r="W227" i="1" s="1"/>
  <c r="CQ227" i="1"/>
  <c r="CR227" i="1"/>
  <c r="CU227" i="1"/>
  <c r="T227" i="1" s="1"/>
  <c r="CY227" i="1"/>
  <c r="CZ227" i="1"/>
  <c r="GL227" i="1"/>
  <c r="GO227" i="1"/>
  <c r="GP227" i="1"/>
  <c r="GV227" i="1"/>
  <c r="GX227" i="1"/>
  <c r="HC227" i="1"/>
  <c r="AC228" i="1"/>
  <c r="P228" i="1" s="1"/>
  <c r="AE228" i="1"/>
  <c r="Q228" i="1" s="1"/>
  <c r="AF228" i="1"/>
  <c r="S228" i="1" s="1"/>
  <c r="AG228" i="1"/>
  <c r="CU228" i="1" s="1"/>
  <c r="T228" i="1" s="1"/>
  <c r="AH228" i="1"/>
  <c r="AI228" i="1"/>
  <c r="CW228" i="1" s="1"/>
  <c r="V228" i="1" s="1"/>
  <c r="AJ228" i="1"/>
  <c r="CX228" i="1" s="1"/>
  <c r="W228" i="1" s="1"/>
  <c r="CR228" i="1"/>
  <c r="CV228" i="1"/>
  <c r="U228" i="1" s="1"/>
  <c r="GL228" i="1"/>
  <c r="GO228" i="1"/>
  <c r="GP228" i="1"/>
  <c r="GV228" i="1"/>
  <c r="HC228" i="1"/>
  <c r="GX228" i="1" s="1"/>
  <c r="R229" i="1"/>
  <c r="AC229" i="1"/>
  <c r="P229" i="1" s="1"/>
  <c r="AD229" i="1"/>
  <c r="AE229" i="1"/>
  <c r="Q229" i="1" s="1"/>
  <c r="AF229" i="1"/>
  <c r="AB229" i="1" s="1"/>
  <c r="AG229" i="1"/>
  <c r="CU229" i="1" s="1"/>
  <c r="T229" i="1" s="1"/>
  <c r="AH229" i="1"/>
  <c r="CV229" i="1" s="1"/>
  <c r="U229" i="1" s="1"/>
  <c r="AI229" i="1"/>
  <c r="AJ229" i="1"/>
  <c r="CX229" i="1" s="1"/>
  <c r="W229" i="1" s="1"/>
  <c r="CR229" i="1"/>
  <c r="CS229" i="1"/>
  <c r="CW229" i="1"/>
  <c r="V229" i="1" s="1"/>
  <c r="GL229" i="1"/>
  <c r="GO229" i="1"/>
  <c r="GP229" i="1"/>
  <c r="GV229" i="1"/>
  <c r="HC229" i="1" s="1"/>
  <c r="GX229" i="1" s="1"/>
  <c r="C230" i="1"/>
  <c r="D230" i="1"/>
  <c r="AC230" i="1"/>
  <c r="P230" i="1" s="1"/>
  <c r="AE230" i="1"/>
  <c r="Q230" i="1" s="1"/>
  <c r="AF230" i="1"/>
  <c r="S230" i="1" s="1"/>
  <c r="AG230" i="1"/>
  <c r="CU230" i="1" s="1"/>
  <c r="T230" i="1" s="1"/>
  <c r="AH230" i="1"/>
  <c r="AI230" i="1"/>
  <c r="CW230" i="1" s="1"/>
  <c r="V230" i="1" s="1"/>
  <c r="AJ230" i="1"/>
  <c r="CX230" i="1" s="1"/>
  <c r="W230" i="1" s="1"/>
  <c r="CR230" i="1"/>
  <c r="CV230" i="1"/>
  <c r="U230" i="1" s="1"/>
  <c r="GL230" i="1"/>
  <c r="GN230" i="1"/>
  <c r="GP230" i="1"/>
  <c r="GV230" i="1"/>
  <c r="HC230" i="1"/>
  <c r="GX230" i="1" s="1"/>
  <c r="C231" i="1"/>
  <c r="D231" i="1"/>
  <c r="P231" i="1"/>
  <c r="AC231" i="1"/>
  <c r="AD231" i="1"/>
  <c r="AB231" i="1" s="1"/>
  <c r="AE231" i="1"/>
  <c r="Q231" i="1" s="1"/>
  <c r="AF231" i="1"/>
  <c r="S231" i="1" s="1"/>
  <c r="AG231" i="1"/>
  <c r="AH231" i="1"/>
  <c r="CV231" i="1" s="1"/>
  <c r="U231" i="1" s="1"/>
  <c r="AI231" i="1"/>
  <c r="CW231" i="1" s="1"/>
  <c r="V231" i="1" s="1"/>
  <c r="AJ231" i="1"/>
  <c r="CX231" i="1" s="1"/>
  <c r="W231" i="1" s="1"/>
  <c r="CQ231" i="1"/>
  <c r="CR231" i="1"/>
  <c r="CU231" i="1"/>
  <c r="T231" i="1" s="1"/>
  <c r="GL231" i="1"/>
  <c r="GN231" i="1"/>
  <c r="GP231" i="1"/>
  <c r="GV231" i="1"/>
  <c r="GX231" i="1"/>
  <c r="HC231" i="1"/>
  <c r="AC232" i="1"/>
  <c r="P232" i="1" s="1"/>
  <c r="AE232" i="1"/>
  <c r="Q232" i="1" s="1"/>
  <c r="AF232" i="1"/>
  <c r="S232" i="1" s="1"/>
  <c r="AG232" i="1"/>
  <c r="CU232" i="1" s="1"/>
  <c r="T232" i="1" s="1"/>
  <c r="AH232" i="1"/>
  <c r="AI232" i="1"/>
  <c r="CW232" i="1" s="1"/>
  <c r="V232" i="1" s="1"/>
  <c r="AJ232" i="1"/>
  <c r="CX232" i="1" s="1"/>
  <c r="W232" i="1" s="1"/>
  <c r="CR232" i="1"/>
  <c r="CV232" i="1"/>
  <c r="U232" i="1" s="1"/>
  <c r="GL232" i="1"/>
  <c r="GO232" i="1"/>
  <c r="GP232" i="1"/>
  <c r="GV232" i="1"/>
  <c r="HC232" i="1"/>
  <c r="GX232" i="1" s="1"/>
  <c r="R233" i="1"/>
  <c r="AC233" i="1"/>
  <c r="P233" i="1" s="1"/>
  <c r="AD233" i="1"/>
  <c r="AE233" i="1"/>
  <c r="Q233" i="1" s="1"/>
  <c r="AF233" i="1"/>
  <c r="AB233" i="1" s="1"/>
  <c r="AG233" i="1"/>
  <c r="CU233" i="1" s="1"/>
  <c r="T233" i="1" s="1"/>
  <c r="AH233" i="1"/>
  <c r="CV233" i="1" s="1"/>
  <c r="U233" i="1" s="1"/>
  <c r="AI233" i="1"/>
  <c r="AJ233" i="1"/>
  <c r="CX233" i="1" s="1"/>
  <c r="W233" i="1" s="1"/>
  <c r="CR233" i="1"/>
  <c r="CS233" i="1"/>
  <c r="CW233" i="1"/>
  <c r="V233" i="1" s="1"/>
  <c r="GL233" i="1"/>
  <c r="GO233" i="1"/>
  <c r="GP233" i="1"/>
  <c r="GV233" i="1"/>
  <c r="HC233" i="1" s="1"/>
  <c r="GX233" i="1" s="1"/>
  <c r="S234" i="1"/>
  <c r="X234" i="1" s="1"/>
  <c r="AC234" i="1"/>
  <c r="P234" i="1" s="1"/>
  <c r="AD234" i="1"/>
  <c r="AE234" i="1"/>
  <c r="Q234" i="1" s="1"/>
  <c r="AF234" i="1"/>
  <c r="AG234" i="1"/>
  <c r="CU234" i="1" s="1"/>
  <c r="T234" i="1" s="1"/>
  <c r="AH234" i="1"/>
  <c r="CV234" i="1" s="1"/>
  <c r="U234" i="1" s="1"/>
  <c r="AI234" i="1"/>
  <c r="CW234" i="1" s="1"/>
  <c r="V234" i="1" s="1"/>
  <c r="AJ234" i="1"/>
  <c r="CR234" i="1"/>
  <c r="CT234" i="1"/>
  <c r="CX234" i="1"/>
  <c r="W234" i="1" s="1"/>
  <c r="GL234" i="1"/>
  <c r="GO234" i="1"/>
  <c r="GP234" i="1"/>
  <c r="GV234" i="1"/>
  <c r="HC234" i="1" s="1"/>
  <c r="GX234" i="1" s="1"/>
  <c r="P235" i="1"/>
  <c r="AC235" i="1"/>
  <c r="AD235" i="1"/>
  <c r="AB235" i="1" s="1"/>
  <c r="AE235" i="1"/>
  <c r="Q235" i="1" s="1"/>
  <c r="AF235" i="1"/>
  <c r="S235" i="1" s="1"/>
  <c r="AG235" i="1"/>
  <c r="AH235" i="1"/>
  <c r="CV235" i="1" s="1"/>
  <c r="U235" i="1" s="1"/>
  <c r="AI235" i="1"/>
  <c r="CW235" i="1" s="1"/>
  <c r="V235" i="1" s="1"/>
  <c r="AJ235" i="1"/>
  <c r="CX235" i="1" s="1"/>
  <c r="W235" i="1" s="1"/>
  <c r="CQ235" i="1"/>
  <c r="CR235" i="1"/>
  <c r="CU235" i="1"/>
  <c r="T235" i="1" s="1"/>
  <c r="GL235" i="1"/>
  <c r="GO235" i="1"/>
  <c r="GP235" i="1"/>
  <c r="GV235" i="1"/>
  <c r="GX235" i="1"/>
  <c r="HC235" i="1"/>
  <c r="C236" i="1"/>
  <c r="D236" i="1"/>
  <c r="S236" i="1"/>
  <c r="X236" i="1" s="1"/>
  <c r="AC236" i="1"/>
  <c r="P236" i="1" s="1"/>
  <c r="AD236" i="1"/>
  <c r="AE236" i="1"/>
  <c r="Q236" i="1" s="1"/>
  <c r="AF236" i="1"/>
  <c r="AG236" i="1"/>
  <c r="CU236" i="1" s="1"/>
  <c r="T236" i="1" s="1"/>
  <c r="AH236" i="1"/>
  <c r="CV236" i="1" s="1"/>
  <c r="U236" i="1" s="1"/>
  <c r="AI236" i="1"/>
  <c r="CW236" i="1" s="1"/>
  <c r="V236" i="1" s="1"/>
  <c r="AJ236" i="1"/>
  <c r="CR236" i="1"/>
  <c r="CT236" i="1"/>
  <c r="CX236" i="1"/>
  <c r="W236" i="1" s="1"/>
  <c r="GL236" i="1"/>
  <c r="GN236" i="1"/>
  <c r="GP236" i="1"/>
  <c r="GV236" i="1"/>
  <c r="HC236" i="1" s="1"/>
  <c r="GX236" i="1" s="1"/>
  <c r="C237" i="1"/>
  <c r="D237" i="1"/>
  <c r="R237" i="1"/>
  <c r="AC237" i="1"/>
  <c r="P237" i="1" s="1"/>
  <c r="AD237" i="1"/>
  <c r="AE237" i="1"/>
  <c r="Q237" i="1" s="1"/>
  <c r="AF237" i="1"/>
  <c r="AB237" i="1" s="1"/>
  <c r="AG237" i="1"/>
  <c r="CU237" i="1" s="1"/>
  <c r="T237" i="1" s="1"/>
  <c r="AH237" i="1"/>
  <c r="CV237" i="1" s="1"/>
  <c r="U237" i="1" s="1"/>
  <c r="AI237" i="1"/>
  <c r="AJ237" i="1"/>
  <c r="CX237" i="1" s="1"/>
  <c r="W237" i="1" s="1"/>
  <c r="CR237" i="1"/>
  <c r="CS237" i="1"/>
  <c r="CW237" i="1"/>
  <c r="V237" i="1" s="1"/>
  <c r="GL237" i="1"/>
  <c r="FR250" i="1" s="1"/>
  <c r="GN237" i="1"/>
  <c r="GP237" i="1"/>
  <c r="FV250" i="1" s="1"/>
  <c r="GV237" i="1"/>
  <c r="HC237" i="1" s="1"/>
  <c r="GX237" i="1" s="1"/>
  <c r="S238" i="1"/>
  <c r="X238" i="1" s="1"/>
  <c r="AC238" i="1"/>
  <c r="P238" i="1" s="1"/>
  <c r="CP238" i="1" s="1"/>
  <c r="O238" i="1" s="1"/>
  <c r="AD238" i="1"/>
  <c r="AE238" i="1"/>
  <c r="Q238" i="1" s="1"/>
  <c r="AF238" i="1"/>
  <c r="AG238" i="1"/>
  <c r="CU238" i="1" s="1"/>
  <c r="T238" i="1" s="1"/>
  <c r="AH238" i="1"/>
  <c r="CV238" i="1" s="1"/>
  <c r="U238" i="1" s="1"/>
  <c r="AI238" i="1"/>
  <c r="CW238" i="1" s="1"/>
  <c r="V238" i="1" s="1"/>
  <c r="AJ238" i="1"/>
  <c r="CR238" i="1"/>
  <c r="CT238" i="1"/>
  <c r="CX238" i="1"/>
  <c r="W238" i="1" s="1"/>
  <c r="GL238" i="1"/>
  <c r="GO238" i="1"/>
  <c r="GP238" i="1"/>
  <c r="GV238" i="1"/>
  <c r="HC238" i="1" s="1"/>
  <c r="GX238" i="1" s="1"/>
  <c r="P239" i="1"/>
  <c r="AC239" i="1"/>
  <c r="AD239" i="1"/>
  <c r="AB239" i="1" s="1"/>
  <c r="AE239" i="1"/>
  <c r="Q239" i="1" s="1"/>
  <c r="AF239" i="1"/>
  <c r="S239" i="1" s="1"/>
  <c r="AG239" i="1"/>
  <c r="AH239" i="1"/>
  <c r="CV239" i="1" s="1"/>
  <c r="U239" i="1" s="1"/>
  <c r="AI239" i="1"/>
  <c r="CW239" i="1" s="1"/>
  <c r="V239" i="1" s="1"/>
  <c r="AJ239" i="1"/>
  <c r="CX239" i="1" s="1"/>
  <c r="W239" i="1" s="1"/>
  <c r="CQ239" i="1"/>
  <c r="CR239" i="1"/>
  <c r="CU239" i="1"/>
  <c r="T239" i="1" s="1"/>
  <c r="GL239" i="1"/>
  <c r="GO239" i="1"/>
  <c r="GP239" i="1"/>
  <c r="GV239" i="1"/>
  <c r="GX239" i="1"/>
  <c r="HC239" i="1"/>
  <c r="AC240" i="1"/>
  <c r="P240" i="1" s="1"/>
  <c r="AE240" i="1"/>
  <c r="Q240" i="1" s="1"/>
  <c r="AF240" i="1"/>
  <c r="S240" i="1" s="1"/>
  <c r="AG240" i="1"/>
  <c r="CU240" i="1" s="1"/>
  <c r="T240" i="1" s="1"/>
  <c r="AH240" i="1"/>
  <c r="AI240" i="1"/>
  <c r="CW240" i="1" s="1"/>
  <c r="V240" i="1" s="1"/>
  <c r="AJ240" i="1"/>
  <c r="CX240" i="1" s="1"/>
  <c r="W240" i="1" s="1"/>
  <c r="CR240" i="1"/>
  <c r="CV240" i="1"/>
  <c r="U240" i="1" s="1"/>
  <c r="GL240" i="1"/>
  <c r="GO240" i="1"/>
  <c r="GP240" i="1"/>
  <c r="GV240" i="1"/>
  <c r="HC240" i="1"/>
  <c r="GX240" i="1" s="1"/>
  <c r="R241" i="1"/>
  <c r="AC241" i="1"/>
  <c r="P241" i="1" s="1"/>
  <c r="AD241" i="1"/>
  <c r="AE241" i="1"/>
  <c r="Q241" i="1" s="1"/>
  <c r="AF241" i="1"/>
  <c r="AB241" i="1" s="1"/>
  <c r="AG241" i="1"/>
  <c r="CU241" i="1" s="1"/>
  <c r="T241" i="1" s="1"/>
  <c r="AH241" i="1"/>
  <c r="CV241" i="1" s="1"/>
  <c r="U241" i="1" s="1"/>
  <c r="AI241" i="1"/>
  <c r="AJ241" i="1"/>
  <c r="CX241" i="1" s="1"/>
  <c r="W241" i="1" s="1"/>
  <c r="CR241" i="1"/>
  <c r="CS241" i="1"/>
  <c r="CW241" i="1"/>
  <c r="V241" i="1" s="1"/>
  <c r="GL241" i="1"/>
  <c r="GO241" i="1"/>
  <c r="GP241" i="1"/>
  <c r="GV241" i="1"/>
  <c r="HC241" i="1" s="1"/>
  <c r="GX241" i="1" s="1"/>
  <c r="C243" i="1"/>
  <c r="D243" i="1"/>
  <c r="I243" i="1"/>
  <c r="R243" i="1" s="1"/>
  <c r="K243" i="1"/>
  <c r="S243" i="1"/>
  <c r="X243" i="1" s="1"/>
  <c r="AC243" i="1"/>
  <c r="P243" i="1" s="1"/>
  <c r="CP243" i="1" s="1"/>
  <c r="O243" i="1" s="1"/>
  <c r="AD243" i="1"/>
  <c r="AE243" i="1"/>
  <c r="Q243" i="1" s="1"/>
  <c r="AF243" i="1"/>
  <c r="AG243" i="1"/>
  <c r="CU243" i="1" s="1"/>
  <c r="T243" i="1" s="1"/>
  <c r="AH243" i="1"/>
  <c r="CV243" i="1" s="1"/>
  <c r="U243" i="1" s="1"/>
  <c r="AI243" i="1"/>
  <c r="CW243" i="1" s="1"/>
  <c r="V243" i="1" s="1"/>
  <c r="AJ243" i="1"/>
  <c r="CR243" i="1"/>
  <c r="CT243" i="1"/>
  <c r="CX243" i="1"/>
  <c r="W243" i="1" s="1"/>
  <c r="GL243" i="1"/>
  <c r="GO243" i="1"/>
  <c r="GP243" i="1"/>
  <c r="GV243" i="1"/>
  <c r="HC243" i="1" s="1"/>
  <c r="GX243" i="1" s="1"/>
  <c r="C244" i="1"/>
  <c r="D244" i="1"/>
  <c r="I244" i="1"/>
  <c r="R244" i="1" s="1"/>
  <c r="K244" i="1"/>
  <c r="P244" i="1"/>
  <c r="AC244" i="1"/>
  <c r="AD244" i="1"/>
  <c r="AB244" i="1" s="1"/>
  <c r="AE244" i="1"/>
  <c r="Q244" i="1" s="1"/>
  <c r="AF244" i="1"/>
  <c r="S244" i="1" s="1"/>
  <c r="AG244" i="1"/>
  <c r="AH244" i="1"/>
  <c r="CV244" i="1" s="1"/>
  <c r="U244" i="1" s="1"/>
  <c r="AI244" i="1"/>
  <c r="CW244" i="1" s="1"/>
  <c r="V244" i="1" s="1"/>
  <c r="AJ244" i="1"/>
  <c r="CX244" i="1" s="1"/>
  <c r="W244" i="1" s="1"/>
  <c r="CQ244" i="1"/>
  <c r="CR244" i="1"/>
  <c r="CU244" i="1"/>
  <c r="T244" i="1" s="1"/>
  <c r="GL244" i="1"/>
  <c r="GO244" i="1"/>
  <c r="GP244" i="1"/>
  <c r="GV244" i="1"/>
  <c r="GX244" i="1"/>
  <c r="HC244" i="1"/>
  <c r="C245" i="1"/>
  <c r="D245" i="1"/>
  <c r="I245" i="1"/>
  <c r="R245" i="1" s="1"/>
  <c r="K245" i="1"/>
  <c r="AC245" i="1"/>
  <c r="P245" i="1" s="1"/>
  <c r="AE245" i="1"/>
  <c r="Q245" i="1" s="1"/>
  <c r="AF245" i="1"/>
  <c r="S245" i="1" s="1"/>
  <c r="AG245" i="1"/>
  <c r="CU245" i="1" s="1"/>
  <c r="T245" i="1" s="1"/>
  <c r="AH245" i="1"/>
  <c r="AI245" i="1"/>
  <c r="CW245" i="1" s="1"/>
  <c r="V245" i="1" s="1"/>
  <c r="AJ245" i="1"/>
  <c r="CX245" i="1" s="1"/>
  <c r="W245" i="1" s="1"/>
  <c r="CR245" i="1"/>
  <c r="CV245" i="1"/>
  <c r="U245" i="1" s="1"/>
  <c r="GL245" i="1"/>
  <c r="GO245" i="1"/>
  <c r="GP245" i="1"/>
  <c r="GV245" i="1"/>
  <c r="HC245" i="1"/>
  <c r="GX245" i="1" s="1"/>
  <c r="C246" i="1"/>
  <c r="D246" i="1"/>
  <c r="I246" i="1"/>
  <c r="CU294" i="3" s="1"/>
  <c r="K246" i="1"/>
  <c r="R246" i="1"/>
  <c r="AC246" i="1"/>
  <c r="P246" i="1" s="1"/>
  <c r="AD246" i="1"/>
  <c r="AE246" i="1"/>
  <c r="Q246" i="1" s="1"/>
  <c r="AF246" i="1"/>
  <c r="AB246" i="1" s="1"/>
  <c r="AG246" i="1"/>
  <c r="CU246" i="1" s="1"/>
  <c r="T246" i="1" s="1"/>
  <c r="AH246" i="1"/>
  <c r="CV246" i="1" s="1"/>
  <c r="U246" i="1" s="1"/>
  <c r="AI246" i="1"/>
  <c r="AJ246" i="1"/>
  <c r="CX246" i="1" s="1"/>
  <c r="W246" i="1" s="1"/>
  <c r="CR246" i="1"/>
  <c r="CS246" i="1"/>
  <c r="CW246" i="1"/>
  <c r="V246" i="1" s="1"/>
  <c r="GL246" i="1"/>
  <c r="GO246" i="1"/>
  <c r="GP246" i="1"/>
  <c r="GV246" i="1"/>
  <c r="HC246" i="1" s="1"/>
  <c r="GX246" i="1" s="1"/>
  <c r="S247" i="1"/>
  <c r="X247" i="1" s="1"/>
  <c r="AC247" i="1"/>
  <c r="P247" i="1" s="1"/>
  <c r="CP247" i="1" s="1"/>
  <c r="O247" i="1" s="1"/>
  <c r="AD247" i="1"/>
  <c r="AE247" i="1"/>
  <c r="Q247" i="1" s="1"/>
  <c r="AF247" i="1"/>
  <c r="AG247" i="1"/>
  <c r="CU247" i="1" s="1"/>
  <c r="T247" i="1" s="1"/>
  <c r="AH247" i="1"/>
  <c r="CV247" i="1" s="1"/>
  <c r="U247" i="1" s="1"/>
  <c r="AI247" i="1"/>
  <c r="CW247" i="1" s="1"/>
  <c r="V247" i="1" s="1"/>
  <c r="AJ247" i="1"/>
  <c r="CR247" i="1"/>
  <c r="CT247" i="1"/>
  <c r="CX247" i="1"/>
  <c r="W247" i="1" s="1"/>
  <c r="GL247" i="1"/>
  <c r="GO247" i="1"/>
  <c r="GP247" i="1"/>
  <c r="GV247" i="1"/>
  <c r="HC247" i="1" s="1"/>
  <c r="GX247" i="1" s="1"/>
  <c r="P248" i="1"/>
  <c r="AC248" i="1"/>
  <c r="AD248" i="1"/>
  <c r="AB248" i="1" s="1"/>
  <c r="AE248" i="1"/>
  <c r="Q248" i="1" s="1"/>
  <c r="AF248" i="1"/>
  <c r="S248" i="1" s="1"/>
  <c r="AG248" i="1"/>
  <c r="AH248" i="1"/>
  <c r="CV248" i="1" s="1"/>
  <c r="U248" i="1" s="1"/>
  <c r="AI248" i="1"/>
  <c r="CW248" i="1" s="1"/>
  <c r="V248" i="1" s="1"/>
  <c r="AJ248" i="1"/>
  <c r="CX248" i="1" s="1"/>
  <c r="W248" i="1" s="1"/>
  <c r="CQ248" i="1"/>
  <c r="CR248" i="1"/>
  <c r="CU248" i="1"/>
  <c r="T248" i="1" s="1"/>
  <c r="GL248" i="1"/>
  <c r="GO248" i="1"/>
  <c r="GP248" i="1"/>
  <c r="GV248" i="1"/>
  <c r="GX248" i="1"/>
  <c r="HC248" i="1"/>
  <c r="B250" i="1"/>
  <c r="B208" i="1" s="1"/>
  <c r="C250" i="1"/>
  <c r="C208" i="1" s="1"/>
  <c r="D250" i="1"/>
  <c r="D208" i="1" s="1"/>
  <c r="F250" i="1"/>
  <c r="F208" i="1" s="1"/>
  <c r="G250" i="1"/>
  <c r="G208" i="1" s="1"/>
  <c r="BX250" i="1"/>
  <c r="BX208" i="1" s="1"/>
  <c r="BY250" i="1"/>
  <c r="BY208" i="1" s="1"/>
  <c r="BZ250" i="1"/>
  <c r="BZ208" i="1" s="1"/>
  <c r="CD250" i="1"/>
  <c r="CD208" i="1" s="1"/>
  <c r="CI250" i="1"/>
  <c r="CI208" i="1" s="1"/>
  <c r="CK250" i="1"/>
  <c r="CK208" i="1" s="1"/>
  <c r="CL250" i="1"/>
  <c r="CL208" i="1" s="1"/>
  <c r="CM250" i="1"/>
  <c r="CM208" i="1" s="1"/>
  <c r="FP250" i="1"/>
  <c r="FP208" i="1" s="1"/>
  <c r="FQ250" i="1"/>
  <c r="EH250" i="1" s="1"/>
  <c r="GC250" i="1"/>
  <c r="GC208" i="1" s="1"/>
  <c r="GD250" i="1"/>
  <c r="GD208" i="1" s="1"/>
  <c r="GE250" i="1"/>
  <c r="GE208" i="1" s="1"/>
  <c r="D280" i="1"/>
  <c r="E282" i="1"/>
  <c r="Z282" i="1"/>
  <c r="AA282" i="1"/>
  <c r="AM282" i="1"/>
  <c r="AN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R282" i="1"/>
  <c r="DS282" i="1"/>
  <c r="EE282" i="1"/>
  <c r="EF282" i="1"/>
  <c r="EW282" i="1"/>
  <c r="EX282" i="1"/>
  <c r="EY282" i="1"/>
  <c r="EZ282" i="1"/>
  <c r="FA282" i="1"/>
  <c r="FB282" i="1"/>
  <c r="FC282" i="1"/>
  <c r="FD282" i="1"/>
  <c r="FE282" i="1"/>
  <c r="FF282" i="1"/>
  <c r="FG282" i="1"/>
  <c r="FH282" i="1"/>
  <c r="FI282" i="1"/>
  <c r="FJ282" i="1"/>
  <c r="FK282" i="1"/>
  <c r="FL282" i="1"/>
  <c r="FM282" i="1"/>
  <c r="FN282" i="1"/>
  <c r="FO282" i="1"/>
  <c r="GF282" i="1"/>
  <c r="GG282" i="1"/>
  <c r="GH282" i="1"/>
  <c r="GI282" i="1"/>
  <c r="GJ282" i="1"/>
  <c r="GK282" i="1"/>
  <c r="GL282" i="1"/>
  <c r="GM282" i="1"/>
  <c r="GN282" i="1"/>
  <c r="GO282" i="1"/>
  <c r="GP282" i="1"/>
  <c r="GQ282" i="1"/>
  <c r="GR282" i="1"/>
  <c r="GS282" i="1"/>
  <c r="GT282" i="1"/>
  <c r="GU282" i="1"/>
  <c r="GV282" i="1"/>
  <c r="GW282" i="1"/>
  <c r="GX282" i="1"/>
  <c r="C284" i="1"/>
  <c r="D284" i="1"/>
  <c r="I284" i="1"/>
  <c r="R284" i="1" s="1"/>
  <c r="K284" i="1"/>
  <c r="S284" i="1"/>
  <c r="AC284" i="1"/>
  <c r="AD284" i="1"/>
  <c r="AE284" i="1"/>
  <c r="Q284" i="1" s="1"/>
  <c r="AF284" i="1"/>
  <c r="AG284" i="1"/>
  <c r="CU284" i="1" s="1"/>
  <c r="T284" i="1" s="1"/>
  <c r="AH284" i="1"/>
  <c r="CV284" i="1" s="1"/>
  <c r="U284" i="1" s="1"/>
  <c r="AI284" i="1"/>
  <c r="CW284" i="1" s="1"/>
  <c r="V284" i="1" s="1"/>
  <c r="AJ284" i="1"/>
  <c r="CR284" i="1"/>
  <c r="CT284" i="1"/>
  <c r="CX284" i="1"/>
  <c r="W284" i="1" s="1"/>
  <c r="GL284" i="1"/>
  <c r="GO284" i="1"/>
  <c r="GP284" i="1"/>
  <c r="GV284" i="1"/>
  <c r="HC284" i="1" s="1"/>
  <c r="GX284" i="1" s="1"/>
  <c r="C285" i="1"/>
  <c r="D285" i="1"/>
  <c r="I285" i="1"/>
  <c r="R285" i="1" s="1"/>
  <c r="K285" i="1"/>
  <c r="P285" i="1"/>
  <c r="AC285" i="1"/>
  <c r="AD285" i="1"/>
  <c r="AB285" i="1" s="1"/>
  <c r="AE285" i="1"/>
  <c r="Q285" i="1" s="1"/>
  <c r="AF285" i="1"/>
  <c r="S285" i="1" s="1"/>
  <c r="AG285" i="1"/>
  <c r="AH285" i="1"/>
  <c r="CV285" i="1" s="1"/>
  <c r="U285" i="1" s="1"/>
  <c r="AI285" i="1"/>
  <c r="CW285" i="1" s="1"/>
  <c r="V285" i="1" s="1"/>
  <c r="AJ285" i="1"/>
  <c r="CX285" i="1" s="1"/>
  <c r="W285" i="1" s="1"/>
  <c r="CQ285" i="1"/>
  <c r="CR285" i="1"/>
  <c r="CU285" i="1"/>
  <c r="T285" i="1" s="1"/>
  <c r="CY285" i="1"/>
  <c r="GL285" i="1"/>
  <c r="GO285" i="1"/>
  <c r="GP285" i="1"/>
  <c r="GV285" i="1"/>
  <c r="GX285" i="1"/>
  <c r="HC285" i="1"/>
  <c r="I286" i="1"/>
  <c r="P286" i="1"/>
  <c r="AC286" i="1"/>
  <c r="AD286" i="1"/>
  <c r="AB286" i="1" s="1"/>
  <c r="AE286" i="1"/>
  <c r="Q286" i="1" s="1"/>
  <c r="AF286" i="1"/>
  <c r="S286" i="1" s="1"/>
  <c r="AG286" i="1"/>
  <c r="AH286" i="1"/>
  <c r="CV286" i="1" s="1"/>
  <c r="U286" i="1" s="1"/>
  <c r="AI286" i="1"/>
  <c r="CW286" i="1" s="1"/>
  <c r="V286" i="1" s="1"/>
  <c r="AJ286" i="1"/>
  <c r="CX286" i="1" s="1"/>
  <c r="W286" i="1" s="1"/>
  <c r="CQ286" i="1"/>
  <c r="CR286" i="1"/>
  <c r="CU286" i="1"/>
  <c r="T286" i="1" s="1"/>
  <c r="CY286" i="1"/>
  <c r="GL286" i="1"/>
  <c r="GO286" i="1"/>
  <c r="GP286" i="1"/>
  <c r="GV286" i="1"/>
  <c r="GX286" i="1"/>
  <c r="HC286" i="1"/>
  <c r="I287" i="1"/>
  <c r="P287" i="1"/>
  <c r="CP287" i="1" s="1"/>
  <c r="O287" i="1" s="1"/>
  <c r="AC287" i="1"/>
  <c r="AD287" i="1"/>
  <c r="AB287" i="1" s="1"/>
  <c r="AE287" i="1"/>
  <c r="Q287" i="1" s="1"/>
  <c r="AF287" i="1"/>
  <c r="S287" i="1" s="1"/>
  <c r="AG287" i="1"/>
  <c r="AH287" i="1"/>
  <c r="CV287" i="1" s="1"/>
  <c r="U287" i="1" s="1"/>
  <c r="AI287" i="1"/>
  <c r="CW287" i="1" s="1"/>
  <c r="V287" i="1" s="1"/>
  <c r="AJ287" i="1"/>
  <c r="CX287" i="1" s="1"/>
  <c r="W287" i="1" s="1"/>
  <c r="CQ287" i="1"/>
  <c r="CR287" i="1"/>
  <c r="CU287" i="1"/>
  <c r="T287" i="1" s="1"/>
  <c r="CY287" i="1"/>
  <c r="GL287" i="1"/>
  <c r="GO287" i="1"/>
  <c r="GP287" i="1"/>
  <c r="GV287" i="1"/>
  <c r="GX287" i="1"/>
  <c r="HC287" i="1"/>
  <c r="C288" i="1"/>
  <c r="D288" i="1"/>
  <c r="I288" i="1"/>
  <c r="K288" i="1"/>
  <c r="AC288" i="1"/>
  <c r="AE288" i="1"/>
  <c r="AF288" i="1"/>
  <c r="AG288" i="1"/>
  <c r="CU288" i="1" s="1"/>
  <c r="T288" i="1" s="1"/>
  <c r="AH288" i="1"/>
  <c r="AI288" i="1"/>
  <c r="CW288" i="1" s="1"/>
  <c r="AJ288" i="1"/>
  <c r="CX288" i="1" s="1"/>
  <c r="CR288" i="1"/>
  <c r="CV288" i="1"/>
  <c r="GL288" i="1"/>
  <c r="GO288" i="1"/>
  <c r="GP288" i="1"/>
  <c r="GV288" i="1"/>
  <c r="HC288" i="1"/>
  <c r="C289" i="1"/>
  <c r="D289" i="1"/>
  <c r="I289" i="1"/>
  <c r="K289" i="1"/>
  <c r="R289" i="1"/>
  <c r="AC289" i="1"/>
  <c r="P289" i="1" s="1"/>
  <c r="AD289" i="1"/>
  <c r="AE289" i="1"/>
  <c r="Q289" i="1" s="1"/>
  <c r="AF289" i="1"/>
  <c r="AG289" i="1"/>
  <c r="CU289" i="1" s="1"/>
  <c r="T289" i="1" s="1"/>
  <c r="AH289" i="1"/>
  <c r="CV289" i="1" s="1"/>
  <c r="U289" i="1" s="1"/>
  <c r="AI289" i="1"/>
  <c r="AJ289" i="1"/>
  <c r="CX289" i="1" s="1"/>
  <c r="W289" i="1" s="1"/>
  <c r="CR289" i="1"/>
  <c r="CS289" i="1"/>
  <c r="CW289" i="1"/>
  <c r="V289" i="1" s="1"/>
  <c r="GL289" i="1"/>
  <c r="GO289" i="1"/>
  <c r="GP289" i="1"/>
  <c r="GV289" i="1"/>
  <c r="HC289" i="1" s="1"/>
  <c r="GX289" i="1" s="1"/>
  <c r="AC290" i="1"/>
  <c r="AD290" i="1"/>
  <c r="AE290" i="1"/>
  <c r="AF290" i="1"/>
  <c r="AG290" i="1"/>
  <c r="CU290" i="1" s="1"/>
  <c r="AH290" i="1"/>
  <c r="CV290" i="1" s="1"/>
  <c r="AI290" i="1"/>
  <c r="AJ290" i="1"/>
  <c r="CX290" i="1" s="1"/>
  <c r="CR290" i="1"/>
  <c r="CS290" i="1"/>
  <c r="CW290" i="1"/>
  <c r="GL290" i="1"/>
  <c r="GO290" i="1"/>
  <c r="GP290" i="1"/>
  <c r="GV290" i="1"/>
  <c r="HC290" i="1" s="1"/>
  <c r="I291" i="1"/>
  <c r="Q291" i="1" s="1"/>
  <c r="R291" i="1"/>
  <c r="AC291" i="1"/>
  <c r="P291" i="1" s="1"/>
  <c r="AD291" i="1"/>
  <c r="AE291" i="1"/>
  <c r="AF291" i="1"/>
  <c r="AG291" i="1"/>
  <c r="CU291" i="1" s="1"/>
  <c r="T291" i="1" s="1"/>
  <c r="AH291" i="1"/>
  <c r="CV291" i="1" s="1"/>
  <c r="U291" i="1" s="1"/>
  <c r="AI291" i="1"/>
  <c r="AJ291" i="1"/>
  <c r="CX291" i="1" s="1"/>
  <c r="W291" i="1" s="1"/>
  <c r="CR291" i="1"/>
  <c r="CS291" i="1"/>
  <c r="CW291" i="1"/>
  <c r="V291" i="1" s="1"/>
  <c r="GL291" i="1"/>
  <c r="GO291" i="1"/>
  <c r="GP291" i="1"/>
  <c r="GV291" i="1"/>
  <c r="HC291" i="1" s="1"/>
  <c r="GX291" i="1" s="1"/>
  <c r="C292" i="1"/>
  <c r="D292" i="1"/>
  <c r="I292" i="1"/>
  <c r="R292" i="1" s="1"/>
  <c r="K292" i="1"/>
  <c r="S292" i="1"/>
  <c r="AC292" i="1"/>
  <c r="AD292" i="1"/>
  <c r="AE292" i="1"/>
  <c r="Q292" i="1" s="1"/>
  <c r="AF292" i="1"/>
  <c r="AG292" i="1"/>
  <c r="CU292" i="1" s="1"/>
  <c r="T292" i="1" s="1"/>
  <c r="AH292" i="1"/>
  <c r="CV292" i="1" s="1"/>
  <c r="U292" i="1" s="1"/>
  <c r="AI292" i="1"/>
  <c r="CW292" i="1" s="1"/>
  <c r="V292" i="1" s="1"/>
  <c r="AJ292" i="1"/>
  <c r="CR292" i="1"/>
  <c r="CT292" i="1"/>
  <c r="CX292" i="1"/>
  <c r="W292" i="1" s="1"/>
  <c r="GL292" i="1"/>
  <c r="GO292" i="1"/>
  <c r="GP292" i="1"/>
  <c r="GV292" i="1"/>
  <c r="HC292" i="1" s="1"/>
  <c r="GX292" i="1" s="1"/>
  <c r="C293" i="1"/>
  <c r="D293" i="1"/>
  <c r="I293" i="1"/>
  <c r="R293" i="1" s="1"/>
  <c r="K293" i="1"/>
  <c r="P293" i="1"/>
  <c r="CP293" i="1" s="1"/>
  <c r="O293" i="1" s="1"/>
  <c r="AC293" i="1"/>
  <c r="AD293" i="1"/>
  <c r="AB293" i="1" s="1"/>
  <c r="AE293" i="1"/>
  <c r="Q293" i="1" s="1"/>
  <c r="AF293" i="1"/>
  <c r="S293" i="1" s="1"/>
  <c r="AG293" i="1"/>
  <c r="AH293" i="1"/>
  <c r="CV293" i="1" s="1"/>
  <c r="U293" i="1" s="1"/>
  <c r="AI293" i="1"/>
  <c r="CW293" i="1" s="1"/>
  <c r="V293" i="1" s="1"/>
  <c r="AJ293" i="1"/>
  <c r="CX293" i="1" s="1"/>
  <c r="W293" i="1" s="1"/>
  <c r="CQ293" i="1"/>
  <c r="CR293" i="1"/>
  <c r="CU293" i="1"/>
  <c r="T293" i="1" s="1"/>
  <c r="CY293" i="1"/>
  <c r="GL293" i="1"/>
  <c r="GO293" i="1"/>
  <c r="GP293" i="1"/>
  <c r="GV293" i="1"/>
  <c r="GX293" i="1"/>
  <c r="HC293" i="1"/>
  <c r="I294" i="1"/>
  <c r="P294" i="1"/>
  <c r="AC294" i="1"/>
  <c r="AD294" i="1"/>
  <c r="AB294" i="1" s="1"/>
  <c r="AE294" i="1"/>
  <c r="Q294" i="1" s="1"/>
  <c r="AF294" i="1"/>
  <c r="S294" i="1" s="1"/>
  <c r="AG294" i="1"/>
  <c r="AH294" i="1"/>
  <c r="CV294" i="1" s="1"/>
  <c r="U294" i="1" s="1"/>
  <c r="AI294" i="1"/>
  <c r="CW294" i="1" s="1"/>
  <c r="V294" i="1" s="1"/>
  <c r="AJ294" i="1"/>
  <c r="CX294" i="1" s="1"/>
  <c r="W294" i="1" s="1"/>
  <c r="CQ294" i="1"/>
  <c r="CR294" i="1"/>
  <c r="CU294" i="1"/>
  <c r="T294" i="1" s="1"/>
  <c r="CY294" i="1"/>
  <c r="GL294" i="1"/>
  <c r="GO294" i="1"/>
  <c r="GP294" i="1"/>
  <c r="GV294" i="1"/>
  <c r="GX294" i="1"/>
  <c r="HC294" i="1"/>
  <c r="I295" i="1"/>
  <c r="P295" i="1"/>
  <c r="AC295" i="1"/>
  <c r="AD295" i="1"/>
  <c r="AB295" i="1" s="1"/>
  <c r="AE295" i="1"/>
  <c r="Q295" i="1" s="1"/>
  <c r="AF295" i="1"/>
  <c r="S295" i="1" s="1"/>
  <c r="AG295" i="1"/>
  <c r="AH295" i="1"/>
  <c r="CV295" i="1" s="1"/>
  <c r="U295" i="1" s="1"/>
  <c r="AI295" i="1"/>
  <c r="CW295" i="1" s="1"/>
  <c r="V295" i="1" s="1"/>
  <c r="AJ295" i="1"/>
  <c r="CX295" i="1" s="1"/>
  <c r="W295" i="1" s="1"/>
  <c r="CQ295" i="1"/>
  <c r="CR295" i="1"/>
  <c r="CU295" i="1"/>
  <c r="T295" i="1" s="1"/>
  <c r="CY295" i="1"/>
  <c r="GL295" i="1"/>
  <c r="GO295" i="1"/>
  <c r="GP295" i="1"/>
  <c r="GV295" i="1"/>
  <c r="GX295" i="1"/>
  <c r="HC295" i="1"/>
  <c r="C296" i="1"/>
  <c r="D296" i="1"/>
  <c r="I296" i="1"/>
  <c r="K296" i="1"/>
  <c r="AC296" i="1"/>
  <c r="P296" i="1" s="1"/>
  <c r="AE296" i="1"/>
  <c r="AF296" i="1"/>
  <c r="AG296" i="1"/>
  <c r="CU296" i="1" s="1"/>
  <c r="T296" i="1" s="1"/>
  <c r="AH296" i="1"/>
  <c r="AI296" i="1"/>
  <c r="CW296" i="1" s="1"/>
  <c r="V296" i="1" s="1"/>
  <c r="AJ296" i="1"/>
  <c r="CX296" i="1" s="1"/>
  <c r="CV296" i="1"/>
  <c r="U296" i="1" s="1"/>
  <c r="GL296" i="1"/>
  <c r="GO296" i="1"/>
  <c r="GP296" i="1"/>
  <c r="GV296" i="1"/>
  <c r="HC296" i="1"/>
  <c r="C297" i="1"/>
  <c r="D297" i="1"/>
  <c r="I297" i="1"/>
  <c r="K297" i="1"/>
  <c r="R297" i="1"/>
  <c r="AC297" i="1"/>
  <c r="P297" i="1" s="1"/>
  <c r="AD297" i="1"/>
  <c r="AE297" i="1"/>
  <c r="Q297" i="1" s="1"/>
  <c r="AF297" i="1"/>
  <c r="AG297" i="1"/>
  <c r="CU297" i="1" s="1"/>
  <c r="T297" i="1" s="1"/>
  <c r="AH297" i="1"/>
  <c r="CV297" i="1" s="1"/>
  <c r="U297" i="1" s="1"/>
  <c r="AI297" i="1"/>
  <c r="AJ297" i="1"/>
  <c r="CX297" i="1" s="1"/>
  <c r="W297" i="1" s="1"/>
  <c r="CR297" i="1"/>
  <c r="CS297" i="1"/>
  <c r="CW297" i="1"/>
  <c r="V297" i="1" s="1"/>
  <c r="GL297" i="1"/>
  <c r="GO297" i="1"/>
  <c r="GP297" i="1"/>
  <c r="GV297" i="1"/>
  <c r="HC297" i="1" s="1"/>
  <c r="GX297" i="1" s="1"/>
  <c r="I298" i="1"/>
  <c r="Q298" i="1" s="1"/>
  <c r="AC298" i="1"/>
  <c r="P298" i="1" s="1"/>
  <c r="AD298" i="1"/>
  <c r="AE298" i="1"/>
  <c r="AF298" i="1"/>
  <c r="AG298" i="1"/>
  <c r="CU298" i="1" s="1"/>
  <c r="T298" i="1" s="1"/>
  <c r="AH298" i="1"/>
  <c r="CV298" i="1" s="1"/>
  <c r="AI298" i="1"/>
  <c r="AJ298" i="1"/>
  <c r="CX298" i="1" s="1"/>
  <c r="CR298" i="1"/>
  <c r="CS298" i="1"/>
  <c r="CW298" i="1"/>
  <c r="V298" i="1" s="1"/>
  <c r="GL298" i="1"/>
  <c r="GO298" i="1"/>
  <c r="GP298" i="1"/>
  <c r="GV298" i="1"/>
  <c r="HC298" i="1" s="1"/>
  <c r="I299" i="1"/>
  <c r="Q299" i="1" s="1"/>
  <c r="R299" i="1"/>
  <c r="AC299" i="1"/>
  <c r="P299" i="1" s="1"/>
  <c r="AD299" i="1"/>
  <c r="AE299" i="1"/>
  <c r="AF299" i="1"/>
  <c r="AG299" i="1"/>
  <c r="CU299" i="1" s="1"/>
  <c r="T299" i="1" s="1"/>
  <c r="AH299" i="1"/>
  <c r="AI299" i="1"/>
  <c r="AJ299" i="1"/>
  <c r="CX299" i="1" s="1"/>
  <c r="CR299" i="1"/>
  <c r="CS299" i="1"/>
  <c r="CV299" i="1"/>
  <c r="CW299" i="1"/>
  <c r="V299" i="1" s="1"/>
  <c r="GL299" i="1"/>
  <c r="GO299" i="1"/>
  <c r="GP299" i="1"/>
  <c r="GV299" i="1"/>
  <c r="HC299" i="1" s="1"/>
  <c r="C300" i="1"/>
  <c r="D300" i="1"/>
  <c r="I300" i="1"/>
  <c r="K300" i="1"/>
  <c r="S300" i="1"/>
  <c r="AC300" i="1"/>
  <c r="AD300" i="1"/>
  <c r="AE300" i="1"/>
  <c r="Q300" i="1" s="1"/>
  <c r="AF300" i="1"/>
  <c r="AG300" i="1"/>
  <c r="CU300" i="1" s="1"/>
  <c r="T300" i="1" s="1"/>
  <c r="AH300" i="1"/>
  <c r="AI300" i="1"/>
  <c r="AJ300" i="1"/>
  <c r="CR300" i="1"/>
  <c r="CS300" i="1"/>
  <c r="CT300" i="1"/>
  <c r="CV300" i="1"/>
  <c r="U300" i="1" s="1"/>
  <c r="CW300" i="1"/>
  <c r="V300" i="1" s="1"/>
  <c r="CX300" i="1"/>
  <c r="W300" i="1" s="1"/>
  <c r="GL300" i="1"/>
  <c r="GO300" i="1"/>
  <c r="GP300" i="1"/>
  <c r="GV300" i="1"/>
  <c r="HC300" i="1" s="1"/>
  <c r="GX300" i="1" s="1"/>
  <c r="C301" i="1"/>
  <c r="D301" i="1"/>
  <c r="I301" i="1"/>
  <c r="K301" i="1"/>
  <c r="P301" i="1"/>
  <c r="R301" i="1"/>
  <c r="AC301" i="1"/>
  <c r="AE301" i="1"/>
  <c r="Q301" i="1" s="1"/>
  <c r="AF301" i="1"/>
  <c r="S301" i="1" s="1"/>
  <c r="AG301" i="1"/>
  <c r="AH301" i="1"/>
  <c r="AI301" i="1"/>
  <c r="AJ301" i="1"/>
  <c r="CX301" i="1" s="1"/>
  <c r="W301" i="1" s="1"/>
  <c r="CQ301" i="1"/>
  <c r="CR301" i="1"/>
  <c r="CS301" i="1"/>
  <c r="CU301" i="1"/>
  <c r="T301" i="1" s="1"/>
  <c r="CV301" i="1"/>
  <c r="U301" i="1" s="1"/>
  <c r="CW301" i="1"/>
  <c r="V301" i="1" s="1"/>
  <c r="GL301" i="1"/>
  <c r="GO301" i="1"/>
  <c r="GP301" i="1"/>
  <c r="GV301" i="1"/>
  <c r="HC301" i="1"/>
  <c r="GX301" i="1" s="1"/>
  <c r="I302" i="1"/>
  <c r="P302" i="1" s="1"/>
  <c r="R302" i="1"/>
  <c r="AC302" i="1"/>
  <c r="AE302" i="1"/>
  <c r="AD302" i="1" s="1"/>
  <c r="AB302" i="1" s="1"/>
  <c r="AF302" i="1"/>
  <c r="S302" i="1" s="1"/>
  <c r="AG302" i="1"/>
  <c r="AH302" i="1"/>
  <c r="AI302" i="1"/>
  <c r="AJ302" i="1"/>
  <c r="CX302" i="1" s="1"/>
  <c r="W302" i="1" s="1"/>
  <c r="CQ302" i="1"/>
  <c r="CR302" i="1"/>
  <c r="CS302" i="1"/>
  <c r="CU302" i="1"/>
  <c r="T302" i="1" s="1"/>
  <c r="CV302" i="1"/>
  <c r="U302" i="1" s="1"/>
  <c r="CW302" i="1"/>
  <c r="V302" i="1" s="1"/>
  <c r="GL302" i="1"/>
  <c r="BZ313" i="1" s="1"/>
  <c r="GO302" i="1"/>
  <c r="GP302" i="1"/>
  <c r="CD313" i="1" s="1"/>
  <c r="GV302" i="1"/>
  <c r="HC302" i="1"/>
  <c r="GX302" i="1" s="1"/>
  <c r="I303" i="1"/>
  <c r="P303" i="1" s="1"/>
  <c r="R303" i="1"/>
  <c r="AC303" i="1"/>
  <c r="AE303" i="1"/>
  <c r="AD303" i="1" s="1"/>
  <c r="AB303" i="1" s="1"/>
  <c r="AF303" i="1"/>
  <c r="S303" i="1" s="1"/>
  <c r="AG303" i="1"/>
  <c r="AH303" i="1"/>
  <c r="AI303" i="1"/>
  <c r="AJ303" i="1"/>
  <c r="CX303" i="1" s="1"/>
  <c r="W303" i="1" s="1"/>
  <c r="CQ303" i="1"/>
  <c r="CR303" i="1"/>
  <c r="CS303" i="1"/>
  <c r="CU303" i="1"/>
  <c r="T303" i="1" s="1"/>
  <c r="CV303" i="1"/>
  <c r="U303" i="1" s="1"/>
  <c r="CW303" i="1"/>
  <c r="V303" i="1" s="1"/>
  <c r="GL303" i="1"/>
  <c r="GO303" i="1"/>
  <c r="GP303" i="1"/>
  <c r="GV303" i="1"/>
  <c r="HC303" i="1"/>
  <c r="GX303" i="1" s="1"/>
  <c r="C304" i="1"/>
  <c r="D304" i="1"/>
  <c r="I304" i="1"/>
  <c r="K304" i="1"/>
  <c r="R304" i="1"/>
  <c r="S304" i="1"/>
  <c r="Y304" i="1" s="1"/>
  <c r="AC304" i="1"/>
  <c r="AE304" i="1"/>
  <c r="Q304" i="1" s="1"/>
  <c r="AF304" i="1"/>
  <c r="AG304" i="1"/>
  <c r="CU304" i="1" s="1"/>
  <c r="T304" i="1" s="1"/>
  <c r="AH304" i="1"/>
  <c r="AI304" i="1"/>
  <c r="AJ304" i="1"/>
  <c r="CR304" i="1"/>
  <c r="CS304" i="1"/>
  <c r="CT304" i="1"/>
  <c r="CV304" i="1"/>
  <c r="U304" i="1" s="1"/>
  <c r="CW304" i="1"/>
  <c r="V304" i="1" s="1"/>
  <c r="CX304" i="1"/>
  <c r="W304" i="1" s="1"/>
  <c r="GL304" i="1"/>
  <c r="GO304" i="1"/>
  <c r="GP304" i="1"/>
  <c r="GV304" i="1"/>
  <c r="HC304" i="1" s="1"/>
  <c r="GX304" i="1" s="1"/>
  <c r="C305" i="1"/>
  <c r="D305" i="1"/>
  <c r="I305" i="1"/>
  <c r="K305" i="1"/>
  <c r="P305" i="1"/>
  <c r="R305" i="1"/>
  <c r="S305" i="1"/>
  <c r="Y305" i="1" s="1"/>
  <c r="X305" i="1"/>
  <c r="AC305" i="1"/>
  <c r="AB305" i="1" s="1"/>
  <c r="AD305" i="1"/>
  <c r="AE305" i="1"/>
  <c r="Q305" i="1" s="1"/>
  <c r="AF305" i="1"/>
  <c r="AG305" i="1"/>
  <c r="AH305" i="1"/>
  <c r="CV305" i="1" s="1"/>
  <c r="U305" i="1" s="1"/>
  <c r="AI305" i="1"/>
  <c r="AJ305" i="1"/>
  <c r="CQ305" i="1"/>
  <c r="CR305" i="1"/>
  <c r="CS305" i="1"/>
  <c r="CT305" i="1"/>
  <c r="CU305" i="1"/>
  <c r="T305" i="1" s="1"/>
  <c r="CW305" i="1"/>
  <c r="V305" i="1" s="1"/>
  <c r="CX305" i="1"/>
  <c r="W305" i="1" s="1"/>
  <c r="CY305" i="1"/>
  <c r="GL305" i="1"/>
  <c r="GO305" i="1"/>
  <c r="GP305" i="1"/>
  <c r="GV305" i="1"/>
  <c r="HC305" i="1" s="1"/>
  <c r="GX305" i="1" s="1"/>
  <c r="I306" i="1"/>
  <c r="Q306" i="1" s="1"/>
  <c r="P306" i="1"/>
  <c r="CP306" i="1" s="1"/>
  <c r="O306" i="1" s="1"/>
  <c r="GM306" i="1" s="1"/>
  <c r="GN306" i="1" s="1"/>
  <c r="R306" i="1"/>
  <c r="S306" i="1"/>
  <c r="Y306" i="1" s="1"/>
  <c r="X306" i="1"/>
  <c r="AC306" i="1"/>
  <c r="AB306" i="1" s="1"/>
  <c r="AD306" i="1"/>
  <c r="AE306" i="1"/>
  <c r="AF306" i="1"/>
  <c r="AG306" i="1"/>
  <c r="AH306" i="1"/>
  <c r="CV306" i="1" s="1"/>
  <c r="U306" i="1" s="1"/>
  <c r="AI306" i="1"/>
  <c r="AJ306" i="1"/>
  <c r="CQ306" i="1"/>
  <c r="CR306" i="1"/>
  <c r="CS306" i="1"/>
  <c r="CT306" i="1"/>
  <c r="CU306" i="1"/>
  <c r="T306" i="1" s="1"/>
  <c r="CW306" i="1"/>
  <c r="V306" i="1" s="1"/>
  <c r="CX306" i="1"/>
  <c r="W306" i="1" s="1"/>
  <c r="CY306" i="1"/>
  <c r="GL306" i="1"/>
  <c r="GO306" i="1"/>
  <c r="GP306" i="1"/>
  <c r="GV306" i="1"/>
  <c r="HC306" i="1" s="1"/>
  <c r="GX306" i="1" s="1"/>
  <c r="I307" i="1"/>
  <c r="Q307" i="1" s="1"/>
  <c r="P307" i="1"/>
  <c r="CP307" i="1" s="1"/>
  <c r="O307" i="1" s="1"/>
  <c r="GM307" i="1" s="1"/>
  <c r="GN307" i="1" s="1"/>
  <c r="R307" i="1"/>
  <c r="S307" i="1"/>
  <c r="Y307" i="1" s="1"/>
  <c r="X307" i="1"/>
  <c r="AC307" i="1"/>
  <c r="AB307" i="1" s="1"/>
  <c r="AD307" i="1"/>
  <c r="AE307" i="1"/>
  <c r="AF307" i="1"/>
  <c r="AG307" i="1"/>
  <c r="AH307" i="1"/>
  <c r="CV307" i="1" s="1"/>
  <c r="U307" i="1" s="1"/>
  <c r="AI307" i="1"/>
  <c r="AJ307" i="1"/>
  <c r="CQ307" i="1"/>
  <c r="CR307" i="1"/>
  <c r="CS307" i="1"/>
  <c r="CT307" i="1"/>
  <c r="CU307" i="1"/>
  <c r="T307" i="1" s="1"/>
  <c r="CW307" i="1"/>
  <c r="V307" i="1" s="1"/>
  <c r="CX307" i="1"/>
  <c r="W307" i="1" s="1"/>
  <c r="CY307" i="1"/>
  <c r="GL307" i="1"/>
  <c r="GO307" i="1"/>
  <c r="GP307" i="1"/>
  <c r="GV307" i="1"/>
  <c r="HC307" i="1" s="1"/>
  <c r="GX307" i="1" s="1"/>
  <c r="C308" i="1"/>
  <c r="D308" i="1"/>
  <c r="I308" i="1"/>
  <c r="R308" i="1" s="1"/>
  <c r="K308" i="1"/>
  <c r="AC308" i="1"/>
  <c r="AB308" i="1" s="1"/>
  <c r="AE308" i="1"/>
  <c r="AD308" i="1" s="1"/>
  <c r="AF308" i="1"/>
  <c r="AG308" i="1"/>
  <c r="AH308" i="1"/>
  <c r="AI308" i="1"/>
  <c r="CW308" i="1" s="1"/>
  <c r="V308" i="1" s="1"/>
  <c r="AJ308" i="1"/>
  <c r="CQ308" i="1"/>
  <c r="CR308" i="1"/>
  <c r="CT308" i="1"/>
  <c r="CU308" i="1"/>
  <c r="T308" i="1" s="1"/>
  <c r="CV308" i="1"/>
  <c r="U308" i="1" s="1"/>
  <c r="CX308" i="1"/>
  <c r="W308" i="1" s="1"/>
  <c r="GL308" i="1"/>
  <c r="GO308" i="1"/>
  <c r="GP308" i="1"/>
  <c r="GV308" i="1"/>
  <c r="HC308" i="1"/>
  <c r="GX308" i="1" s="1"/>
  <c r="C309" i="1"/>
  <c r="D309" i="1"/>
  <c r="I309" i="1"/>
  <c r="K309" i="1"/>
  <c r="R309" i="1"/>
  <c r="AC309" i="1"/>
  <c r="AE309" i="1"/>
  <c r="AD309" i="1" s="1"/>
  <c r="AB309" i="1" s="1"/>
  <c r="AF309" i="1"/>
  <c r="S309" i="1" s="1"/>
  <c r="AG309" i="1"/>
  <c r="AH309" i="1"/>
  <c r="AI309" i="1"/>
  <c r="AJ309" i="1"/>
  <c r="CX309" i="1" s="1"/>
  <c r="W309" i="1" s="1"/>
  <c r="CQ309" i="1"/>
  <c r="CR309" i="1"/>
  <c r="CS309" i="1"/>
  <c r="CU309" i="1"/>
  <c r="T309" i="1" s="1"/>
  <c r="CV309" i="1"/>
  <c r="U309" i="1" s="1"/>
  <c r="CW309" i="1"/>
  <c r="V309" i="1" s="1"/>
  <c r="GL309" i="1"/>
  <c r="FR313" i="1" s="1"/>
  <c r="GO309" i="1"/>
  <c r="GP309" i="1"/>
  <c r="FV313" i="1" s="1"/>
  <c r="GV309" i="1"/>
  <c r="HC309" i="1"/>
  <c r="GX309" i="1" s="1"/>
  <c r="I310" i="1"/>
  <c r="P310" i="1" s="1"/>
  <c r="R310" i="1"/>
  <c r="AC310" i="1"/>
  <c r="AE310" i="1"/>
  <c r="AD310" i="1" s="1"/>
  <c r="AB310" i="1" s="1"/>
  <c r="AF310" i="1"/>
  <c r="S310" i="1" s="1"/>
  <c r="AG310" i="1"/>
  <c r="AH310" i="1"/>
  <c r="AI310" i="1"/>
  <c r="AJ310" i="1"/>
  <c r="CX310" i="1" s="1"/>
  <c r="W310" i="1" s="1"/>
  <c r="CQ310" i="1"/>
  <c r="CR310" i="1"/>
  <c r="CS310" i="1"/>
  <c r="CU310" i="1"/>
  <c r="T310" i="1" s="1"/>
  <c r="CV310" i="1"/>
  <c r="U310" i="1" s="1"/>
  <c r="CW310" i="1"/>
  <c r="V310" i="1" s="1"/>
  <c r="GL310" i="1"/>
  <c r="GO310" i="1"/>
  <c r="GP310" i="1"/>
  <c r="GV310" i="1"/>
  <c r="HC310" i="1"/>
  <c r="GX310" i="1" s="1"/>
  <c r="I311" i="1"/>
  <c r="P311" i="1" s="1"/>
  <c r="R311" i="1"/>
  <c r="AC311" i="1"/>
  <c r="AE311" i="1"/>
  <c r="AD311" i="1" s="1"/>
  <c r="AB311" i="1" s="1"/>
  <c r="AF311" i="1"/>
  <c r="S311" i="1" s="1"/>
  <c r="AG311" i="1"/>
  <c r="AH311" i="1"/>
  <c r="AI311" i="1"/>
  <c r="AJ311" i="1"/>
  <c r="CX311" i="1" s="1"/>
  <c r="W311" i="1" s="1"/>
  <c r="CQ311" i="1"/>
  <c r="CR311" i="1"/>
  <c r="CS311" i="1"/>
  <c r="CU311" i="1"/>
  <c r="T311" i="1" s="1"/>
  <c r="CV311" i="1"/>
  <c r="U311" i="1" s="1"/>
  <c r="CW311" i="1"/>
  <c r="V311" i="1" s="1"/>
  <c r="GL311" i="1"/>
  <c r="GO311" i="1"/>
  <c r="FU313" i="1" s="1"/>
  <c r="GP311" i="1"/>
  <c r="GV311" i="1"/>
  <c r="HC311" i="1"/>
  <c r="GX311" i="1" s="1"/>
  <c r="B313" i="1"/>
  <c r="B282" i="1" s="1"/>
  <c r="C313" i="1"/>
  <c r="C282" i="1" s="1"/>
  <c r="D313" i="1"/>
  <c r="D282" i="1" s="1"/>
  <c r="F313" i="1"/>
  <c r="F282" i="1" s="1"/>
  <c r="G313" i="1"/>
  <c r="G282" i="1" s="1"/>
  <c r="BX313" i="1"/>
  <c r="BX282" i="1" s="1"/>
  <c r="BY313" i="1"/>
  <c r="BY282" i="1" s="1"/>
  <c r="CC313" i="1"/>
  <c r="CC282" i="1" s="1"/>
  <c r="CK313" i="1"/>
  <c r="CK282" i="1" s="1"/>
  <c r="CL313" i="1"/>
  <c r="CL282" i="1" s="1"/>
  <c r="CM313" i="1"/>
  <c r="BD313" i="1" s="1"/>
  <c r="FP313" i="1"/>
  <c r="FP282" i="1" s="1"/>
  <c r="FQ313" i="1"/>
  <c r="FQ282" i="1" s="1"/>
  <c r="GC313" i="1"/>
  <c r="GC282" i="1" s="1"/>
  <c r="GD313" i="1"/>
  <c r="GD282" i="1" s="1"/>
  <c r="GE313" i="1"/>
  <c r="GE282" i="1" s="1"/>
  <c r="D343" i="1"/>
  <c r="E345" i="1"/>
  <c r="F345" i="1"/>
  <c r="Z345" i="1"/>
  <c r="AA345" i="1"/>
  <c r="AM345" i="1"/>
  <c r="AN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CN345" i="1"/>
  <c r="CO345" i="1"/>
  <c r="CP345" i="1"/>
  <c r="CQ345" i="1"/>
  <c r="CR345" i="1"/>
  <c r="CS345" i="1"/>
  <c r="CT345" i="1"/>
  <c r="CU345" i="1"/>
  <c r="CV345" i="1"/>
  <c r="CW345" i="1"/>
  <c r="CX345" i="1"/>
  <c r="CY345" i="1"/>
  <c r="CZ345" i="1"/>
  <c r="DA345" i="1"/>
  <c r="DB345" i="1"/>
  <c r="DC345" i="1"/>
  <c r="DD345" i="1"/>
  <c r="DE345" i="1"/>
  <c r="DF345" i="1"/>
  <c r="DR345" i="1"/>
  <c r="DS345" i="1"/>
  <c r="EE345" i="1"/>
  <c r="EF345" i="1"/>
  <c r="EW345" i="1"/>
  <c r="EX345" i="1"/>
  <c r="EY345" i="1"/>
  <c r="EZ345" i="1"/>
  <c r="FA345" i="1"/>
  <c r="FB345" i="1"/>
  <c r="FC345" i="1"/>
  <c r="FD345" i="1"/>
  <c r="FE345" i="1"/>
  <c r="FF345" i="1"/>
  <c r="FG345" i="1"/>
  <c r="FH345" i="1"/>
  <c r="FI345" i="1"/>
  <c r="FJ345" i="1"/>
  <c r="FK345" i="1"/>
  <c r="FL345" i="1"/>
  <c r="FM345" i="1"/>
  <c r="FN345" i="1"/>
  <c r="FO345" i="1"/>
  <c r="GF345" i="1"/>
  <c r="GG345" i="1"/>
  <c r="GH345" i="1"/>
  <c r="GI345" i="1"/>
  <c r="GJ345" i="1"/>
  <c r="GK345" i="1"/>
  <c r="GL345" i="1"/>
  <c r="GM345" i="1"/>
  <c r="GN345" i="1"/>
  <c r="GO345" i="1"/>
  <c r="GP345" i="1"/>
  <c r="GQ345" i="1"/>
  <c r="GR345" i="1"/>
  <c r="GS345" i="1"/>
  <c r="GT345" i="1"/>
  <c r="GU345" i="1"/>
  <c r="GV345" i="1"/>
  <c r="GW345" i="1"/>
  <c r="GX345" i="1"/>
  <c r="C347" i="1"/>
  <c r="D347" i="1"/>
  <c r="I347" i="1"/>
  <c r="R347" i="1" s="1"/>
  <c r="K347" i="1"/>
  <c r="AC347" i="1"/>
  <c r="AB347" i="1" s="1"/>
  <c r="AE347" i="1"/>
  <c r="AD347" i="1" s="1"/>
  <c r="AF347" i="1"/>
  <c r="AG347" i="1"/>
  <c r="AH347" i="1"/>
  <c r="AI347" i="1"/>
  <c r="CW347" i="1" s="1"/>
  <c r="V347" i="1" s="1"/>
  <c r="AJ347" i="1"/>
  <c r="CQ347" i="1"/>
  <c r="CR347" i="1"/>
  <c r="CT347" i="1"/>
  <c r="CU347" i="1"/>
  <c r="T347" i="1" s="1"/>
  <c r="CV347" i="1"/>
  <c r="U347" i="1" s="1"/>
  <c r="CX347" i="1"/>
  <c r="W347" i="1" s="1"/>
  <c r="GL347" i="1"/>
  <c r="GO347" i="1"/>
  <c r="CC364" i="1" s="1"/>
  <c r="GP347" i="1"/>
  <c r="GV347" i="1"/>
  <c r="HC347" i="1"/>
  <c r="GX347" i="1" s="1"/>
  <c r="C348" i="1"/>
  <c r="D348" i="1"/>
  <c r="I348" i="1"/>
  <c r="K348" i="1"/>
  <c r="R348" i="1"/>
  <c r="AC348" i="1"/>
  <c r="AE348" i="1"/>
  <c r="AD348" i="1" s="1"/>
  <c r="AB348" i="1" s="1"/>
  <c r="AF348" i="1"/>
  <c r="S348" i="1" s="1"/>
  <c r="AG348" i="1"/>
  <c r="AH348" i="1"/>
  <c r="AI348" i="1"/>
  <c r="AJ348" i="1"/>
  <c r="CX348" i="1" s="1"/>
  <c r="W348" i="1" s="1"/>
  <c r="CQ348" i="1"/>
  <c r="CR348" i="1"/>
  <c r="CS348" i="1"/>
  <c r="CU348" i="1"/>
  <c r="T348" i="1" s="1"/>
  <c r="CV348" i="1"/>
  <c r="U348" i="1" s="1"/>
  <c r="CW348" i="1"/>
  <c r="V348" i="1" s="1"/>
  <c r="GL348" i="1"/>
  <c r="FR364" i="1" s="1"/>
  <c r="GO348" i="1"/>
  <c r="GP348" i="1"/>
  <c r="FV364" i="1" s="1"/>
  <c r="GV348" i="1"/>
  <c r="HC348" i="1"/>
  <c r="GX348" i="1" s="1"/>
  <c r="I349" i="1"/>
  <c r="S349" i="1" s="1"/>
  <c r="K349" i="1"/>
  <c r="AC349" i="1"/>
  <c r="AE349" i="1"/>
  <c r="AD349" i="1" s="1"/>
  <c r="AF349" i="1"/>
  <c r="AG349" i="1"/>
  <c r="AH349" i="1"/>
  <c r="AI349" i="1"/>
  <c r="CW349" i="1" s="1"/>
  <c r="V349" i="1" s="1"/>
  <c r="AJ349" i="1"/>
  <c r="CQ349" i="1"/>
  <c r="CR349" i="1"/>
  <c r="CT349" i="1"/>
  <c r="CU349" i="1"/>
  <c r="T349" i="1" s="1"/>
  <c r="CV349" i="1"/>
  <c r="U349" i="1" s="1"/>
  <c r="CX349" i="1"/>
  <c r="W349" i="1" s="1"/>
  <c r="GL349" i="1"/>
  <c r="GO349" i="1"/>
  <c r="GP349" i="1"/>
  <c r="GV349" i="1"/>
  <c r="HC349" i="1"/>
  <c r="GX349" i="1" s="1"/>
  <c r="I350" i="1"/>
  <c r="K350" i="1"/>
  <c r="P350" i="1"/>
  <c r="CP350" i="1" s="1"/>
  <c r="O350" i="1" s="1"/>
  <c r="GM350" i="1" s="1"/>
  <c r="GN350" i="1" s="1"/>
  <c r="R350" i="1"/>
  <c r="S350" i="1"/>
  <c r="Y350" i="1" s="1"/>
  <c r="X350" i="1"/>
  <c r="AC350" i="1"/>
  <c r="AB350" i="1" s="1"/>
  <c r="AD350" i="1"/>
  <c r="AE350" i="1"/>
  <c r="Q350" i="1" s="1"/>
  <c r="AF350" i="1"/>
  <c r="AG350" i="1"/>
  <c r="AH350" i="1"/>
  <c r="CV350" i="1" s="1"/>
  <c r="U350" i="1" s="1"/>
  <c r="AI350" i="1"/>
  <c r="AJ350" i="1"/>
  <c r="CQ350" i="1"/>
  <c r="CR350" i="1"/>
  <c r="CS350" i="1"/>
  <c r="CT350" i="1"/>
  <c r="CU350" i="1"/>
  <c r="T350" i="1" s="1"/>
  <c r="CW350" i="1"/>
  <c r="V350" i="1" s="1"/>
  <c r="CX350" i="1"/>
  <c r="W350" i="1" s="1"/>
  <c r="CY350" i="1"/>
  <c r="GL350" i="1"/>
  <c r="GO350" i="1"/>
  <c r="GP350" i="1"/>
  <c r="GV350" i="1"/>
  <c r="HC350" i="1" s="1"/>
  <c r="GX350" i="1" s="1"/>
  <c r="P351" i="1"/>
  <c r="S351" i="1"/>
  <c r="AC351" i="1"/>
  <c r="AE351" i="1"/>
  <c r="X351" i="1" s="1"/>
  <c r="AF351" i="1"/>
  <c r="AG351" i="1"/>
  <c r="AH351" i="1"/>
  <c r="AI351" i="1"/>
  <c r="CW351" i="1" s="1"/>
  <c r="V351" i="1" s="1"/>
  <c r="AJ351" i="1"/>
  <c r="CQ351" i="1"/>
  <c r="CR351" i="1"/>
  <c r="CT351" i="1"/>
  <c r="CU351" i="1"/>
  <c r="T351" i="1" s="1"/>
  <c r="CV351" i="1"/>
  <c r="U351" i="1" s="1"/>
  <c r="CX351" i="1"/>
  <c r="W351" i="1" s="1"/>
  <c r="CZ351" i="1"/>
  <c r="GL351" i="1"/>
  <c r="GO351" i="1"/>
  <c r="GP351" i="1"/>
  <c r="GV351" i="1"/>
  <c r="HC351" i="1"/>
  <c r="GX351" i="1" s="1"/>
  <c r="P352" i="1"/>
  <c r="R352" i="1"/>
  <c r="AC352" i="1"/>
  <c r="AE352" i="1"/>
  <c r="AD352" i="1" s="1"/>
  <c r="AB352" i="1" s="1"/>
  <c r="AF352" i="1"/>
  <c r="S352" i="1" s="1"/>
  <c r="AG352" i="1"/>
  <c r="AH352" i="1"/>
  <c r="AI352" i="1"/>
  <c r="AJ352" i="1"/>
  <c r="CX352" i="1" s="1"/>
  <c r="W352" i="1" s="1"/>
  <c r="CQ352" i="1"/>
  <c r="CR352" i="1"/>
  <c r="CS352" i="1"/>
  <c r="CU352" i="1"/>
  <c r="T352" i="1" s="1"/>
  <c r="CV352" i="1"/>
  <c r="U352" i="1" s="1"/>
  <c r="CW352" i="1"/>
  <c r="V352" i="1" s="1"/>
  <c r="GL352" i="1"/>
  <c r="GO352" i="1"/>
  <c r="GP352" i="1"/>
  <c r="GV352" i="1"/>
  <c r="HC352" i="1"/>
  <c r="GX352" i="1" s="1"/>
  <c r="I353" i="1"/>
  <c r="S353" i="1" s="1"/>
  <c r="K353" i="1"/>
  <c r="AC353" i="1"/>
  <c r="AE353" i="1"/>
  <c r="AD353" i="1" s="1"/>
  <c r="AF353" i="1"/>
  <c r="AG353" i="1"/>
  <c r="AH353" i="1"/>
  <c r="AI353" i="1"/>
  <c r="CW353" i="1" s="1"/>
  <c r="V353" i="1" s="1"/>
  <c r="AJ353" i="1"/>
  <c r="CQ353" i="1"/>
  <c r="CR353" i="1"/>
  <c r="CT353" i="1"/>
  <c r="CU353" i="1"/>
  <c r="T353" i="1" s="1"/>
  <c r="CV353" i="1"/>
  <c r="U353" i="1" s="1"/>
  <c r="CX353" i="1"/>
  <c r="W353" i="1" s="1"/>
  <c r="GL353" i="1"/>
  <c r="GO353" i="1"/>
  <c r="GP353" i="1"/>
  <c r="GV353" i="1"/>
  <c r="HC353" i="1"/>
  <c r="GX353" i="1" s="1"/>
  <c r="I354" i="1"/>
  <c r="K354" i="1"/>
  <c r="P354" i="1"/>
  <c r="R354" i="1"/>
  <c r="S354" i="1"/>
  <c r="Y354" i="1" s="1"/>
  <c r="X354" i="1"/>
  <c r="AC354" i="1"/>
  <c r="AB354" i="1" s="1"/>
  <c r="AD354" i="1"/>
  <c r="AE354" i="1"/>
  <c r="Q354" i="1" s="1"/>
  <c r="AF354" i="1"/>
  <c r="AG354" i="1"/>
  <c r="AH354" i="1"/>
  <c r="CV354" i="1" s="1"/>
  <c r="U354" i="1" s="1"/>
  <c r="AI354" i="1"/>
  <c r="AJ354" i="1"/>
  <c r="CQ354" i="1"/>
  <c r="CR354" i="1"/>
  <c r="CS354" i="1"/>
  <c r="CT354" i="1"/>
  <c r="CU354" i="1"/>
  <c r="T354" i="1" s="1"/>
  <c r="CW354" i="1"/>
  <c r="V354" i="1" s="1"/>
  <c r="CX354" i="1"/>
  <c r="W354" i="1" s="1"/>
  <c r="CY354" i="1"/>
  <c r="GL354" i="1"/>
  <c r="GO354" i="1"/>
  <c r="GP354" i="1"/>
  <c r="GV354" i="1"/>
  <c r="HC354" i="1" s="1"/>
  <c r="GX354" i="1" s="1"/>
  <c r="I355" i="1"/>
  <c r="K355" i="1"/>
  <c r="R355" i="1"/>
  <c r="S355" i="1"/>
  <c r="Y355" i="1" s="1"/>
  <c r="AC355" i="1"/>
  <c r="AE355" i="1"/>
  <c r="Q355" i="1" s="1"/>
  <c r="AF355" i="1"/>
  <c r="AG355" i="1"/>
  <c r="CU355" i="1" s="1"/>
  <c r="T355" i="1" s="1"/>
  <c r="AH355" i="1"/>
  <c r="AI355" i="1"/>
  <c r="AJ355" i="1"/>
  <c r="CR355" i="1"/>
  <c r="CS355" i="1"/>
  <c r="CT355" i="1"/>
  <c r="CV355" i="1"/>
  <c r="U355" i="1" s="1"/>
  <c r="CW355" i="1"/>
  <c r="V355" i="1" s="1"/>
  <c r="CX355" i="1"/>
  <c r="W355" i="1" s="1"/>
  <c r="GL355" i="1"/>
  <c r="GO355" i="1"/>
  <c r="GP355" i="1"/>
  <c r="GV355" i="1"/>
  <c r="HC355" i="1" s="1"/>
  <c r="GX355" i="1" s="1"/>
  <c r="I356" i="1"/>
  <c r="P356" i="1" s="1"/>
  <c r="K356" i="1"/>
  <c r="R356" i="1"/>
  <c r="DW364" i="1" s="1"/>
  <c r="V356" i="1"/>
  <c r="AC356" i="1"/>
  <c r="AE356" i="1"/>
  <c r="AD356" i="1" s="1"/>
  <c r="AB356" i="1" s="1"/>
  <c r="AF356" i="1"/>
  <c r="S356" i="1" s="1"/>
  <c r="AG356" i="1"/>
  <c r="AH356" i="1"/>
  <c r="AI356" i="1"/>
  <c r="AJ356" i="1"/>
  <c r="CX356" i="1" s="1"/>
  <c r="W356" i="1" s="1"/>
  <c r="CQ356" i="1"/>
  <c r="CR356" i="1"/>
  <c r="CS356" i="1"/>
  <c r="CU356" i="1"/>
  <c r="T356" i="1" s="1"/>
  <c r="CV356" i="1"/>
  <c r="U356" i="1" s="1"/>
  <c r="CW356" i="1"/>
  <c r="GL356" i="1"/>
  <c r="GO356" i="1"/>
  <c r="GP356" i="1"/>
  <c r="GV356" i="1"/>
  <c r="HC356" i="1"/>
  <c r="GX356" i="1" s="1"/>
  <c r="R357" i="1"/>
  <c r="S357" i="1"/>
  <c r="Y357" i="1" s="1"/>
  <c r="AC357" i="1"/>
  <c r="AE357" i="1"/>
  <c r="Q357" i="1" s="1"/>
  <c r="AF357" i="1"/>
  <c r="AG357" i="1"/>
  <c r="CU357" i="1" s="1"/>
  <c r="T357" i="1" s="1"/>
  <c r="AH357" i="1"/>
  <c r="AI357" i="1"/>
  <c r="AJ357" i="1"/>
  <c r="CR357" i="1"/>
  <c r="CS357" i="1"/>
  <c r="CT357" i="1"/>
  <c r="CV357" i="1"/>
  <c r="U357" i="1" s="1"/>
  <c r="CW357" i="1"/>
  <c r="V357" i="1" s="1"/>
  <c r="CX357" i="1"/>
  <c r="W357" i="1" s="1"/>
  <c r="GL357" i="1"/>
  <c r="GO357" i="1"/>
  <c r="GP357" i="1"/>
  <c r="GV357" i="1"/>
  <c r="HC357" i="1" s="1"/>
  <c r="GX357" i="1" s="1"/>
  <c r="P358" i="1"/>
  <c r="CP358" i="1" s="1"/>
  <c r="O358" i="1" s="1"/>
  <c r="GM358" i="1" s="1"/>
  <c r="GN358" i="1" s="1"/>
  <c r="R358" i="1"/>
  <c r="S358" i="1"/>
  <c r="Y358" i="1" s="1"/>
  <c r="X358" i="1"/>
  <c r="AC358" i="1"/>
  <c r="AB358" i="1" s="1"/>
  <c r="AD358" i="1"/>
  <c r="AE358" i="1"/>
  <c r="Q358" i="1" s="1"/>
  <c r="AF358" i="1"/>
  <c r="AG358" i="1"/>
  <c r="AH358" i="1"/>
  <c r="CV358" i="1" s="1"/>
  <c r="U358" i="1" s="1"/>
  <c r="AI358" i="1"/>
  <c r="AJ358" i="1"/>
  <c r="CQ358" i="1"/>
  <c r="CR358" i="1"/>
  <c r="CS358" i="1"/>
  <c r="CT358" i="1"/>
  <c r="CU358" i="1"/>
  <c r="T358" i="1" s="1"/>
  <c r="CW358" i="1"/>
  <c r="V358" i="1" s="1"/>
  <c r="CX358" i="1"/>
  <c r="W358" i="1" s="1"/>
  <c r="CY358" i="1"/>
  <c r="GL358" i="1"/>
  <c r="GO358" i="1"/>
  <c r="GP358" i="1"/>
  <c r="GV358" i="1"/>
  <c r="HC358" i="1" s="1"/>
  <c r="GX358" i="1" s="1"/>
  <c r="I359" i="1"/>
  <c r="K359" i="1"/>
  <c r="R359" i="1"/>
  <c r="S359" i="1"/>
  <c r="Y359" i="1" s="1"/>
  <c r="AC359" i="1"/>
  <c r="AE359" i="1"/>
  <c r="Q359" i="1" s="1"/>
  <c r="AF359" i="1"/>
  <c r="AG359" i="1"/>
  <c r="CU359" i="1" s="1"/>
  <c r="T359" i="1" s="1"/>
  <c r="AH359" i="1"/>
  <c r="AI359" i="1"/>
  <c r="AJ359" i="1"/>
  <c r="CR359" i="1"/>
  <c r="CS359" i="1"/>
  <c r="CT359" i="1"/>
  <c r="CV359" i="1"/>
  <c r="U359" i="1" s="1"/>
  <c r="CW359" i="1"/>
  <c r="V359" i="1" s="1"/>
  <c r="CX359" i="1"/>
  <c r="W359" i="1" s="1"/>
  <c r="GL359" i="1"/>
  <c r="GO359" i="1"/>
  <c r="GP359" i="1"/>
  <c r="GV359" i="1"/>
  <c r="HC359" i="1" s="1"/>
  <c r="GX359" i="1" s="1"/>
  <c r="I360" i="1"/>
  <c r="P360" i="1" s="1"/>
  <c r="K360" i="1"/>
  <c r="R360" i="1"/>
  <c r="AC360" i="1"/>
  <c r="AE360" i="1"/>
  <c r="AD360" i="1" s="1"/>
  <c r="AB360" i="1" s="1"/>
  <c r="AF360" i="1"/>
  <c r="S360" i="1" s="1"/>
  <c r="AG360" i="1"/>
  <c r="AH360" i="1"/>
  <c r="AI360" i="1"/>
  <c r="AJ360" i="1"/>
  <c r="CX360" i="1" s="1"/>
  <c r="W360" i="1" s="1"/>
  <c r="CQ360" i="1"/>
  <c r="CR360" i="1"/>
  <c r="CS360" i="1"/>
  <c r="CU360" i="1"/>
  <c r="T360" i="1" s="1"/>
  <c r="CV360" i="1"/>
  <c r="U360" i="1" s="1"/>
  <c r="CW360" i="1"/>
  <c r="V360" i="1" s="1"/>
  <c r="GL360" i="1"/>
  <c r="GO360" i="1"/>
  <c r="GP360" i="1"/>
  <c r="GV360" i="1"/>
  <c r="HC360" i="1"/>
  <c r="GX360" i="1" s="1"/>
  <c r="I361" i="1"/>
  <c r="S361" i="1" s="1"/>
  <c r="K361" i="1"/>
  <c r="AC361" i="1"/>
  <c r="AE361" i="1"/>
  <c r="CR361" i="1" s="1"/>
  <c r="AF361" i="1"/>
  <c r="AG361" i="1"/>
  <c r="AH361" i="1"/>
  <c r="AI361" i="1"/>
  <c r="CW361" i="1" s="1"/>
  <c r="V361" i="1" s="1"/>
  <c r="AJ361" i="1"/>
  <c r="CQ361" i="1"/>
  <c r="CT361" i="1"/>
  <c r="CU361" i="1"/>
  <c r="T361" i="1" s="1"/>
  <c r="CV361" i="1"/>
  <c r="U361" i="1" s="1"/>
  <c r="CX361" i="1"/>
  <c r="W361" i="1" s="1"/>
  <c r="GL361" i="1"/>
  <c r="GO361" i="1"/>
  <c r="GP361" i="1"/>
  <c r="GV361" i="1"/>
  <c r="HC361" i="1"/>
  <c r="GX361" i="1" s="1"/>
  <c r="I362" i="1"/>
  <c r="K362" i="1"/>
  <c r="P362" i="1"/>
  <c r="CP362" i="1" s="1"/>
  <c r="O362" i="1" s="1"/>
  <c r="GM362" i="1" s="1"/>
  <c r="GN362" i="1" s="1"/>
  <c r="R362" i="1"/>
  <c r="S362" i="1"/>
  <c r="Y362" i="1" s="1"/>
  <c r="X362" i="1"/>
  <c r="AC362" i="1"/>
  <c r="AB362" i="1" s="1"/>
  <c r="AD362" i="1"/>
  <c r="AE362" i="1"/>
  <c r="Q362" i="1" s="1"/>
  <c r="AF362" i="1"/>
  <c r="AG362" i="1"/>
  <c r="AH362" i="1"/>
  <c r="CV362" i="1" s="1"/>
  <c r="U362" i="1" s="1"/>
  <c r="AI362" i="1"/>
  <c r="AJ362" i="1"/>
  <c r="CQ362" i="1"/>
  <c r="CR362" i="1"/>
  <c r="CS362" i="1"/>
  <c r="CT362" i="1"/>
  <c r="CU362" i="1"/>
  <c r="T362" i="1" s="1"/>
  <c r="CW362" i="1"/>
  <c r="V362" i="1" s="1"/>
  <c r="CX362" i="1"/>
  <c r="W362" i="1" s="1"/>
  <c r="CY362" i="1"/>
  <c r="GL362" i="1"/>
  <c r="GO362" i="1"/>
  <c r="GP362" i="1"/>
  <c r="GV362" i="1"/>
  <c r="HC362" i="1" s="1"/>
  <c r="GX362" i="1" s="1"/>
  <c r="B364" i="1"/>
  <c r="B345" i="1" s="1"/>
  <c r="C364" i="1"/>
  <c r="C345" i="1" s="1"/>
  <c r="D364" i="1"/>
  <c r="D345" i="1" s="1"/>
  <c r="F364" i="1"/>
  <c r="G364" i="1"/>
  <c r="G345" i="1" s="1"/>
  <c r="BX364" i="1"/>
  <c r="BX345" i="1" s="1"/>
  <c r="BY364" i="1"/>
  <c r="AP364" i="1" s="1"/>
  <c r="BZ364" i="1"/>
  <c r="CG364" i="1" s="1"/>
  <c r="CD364" i="1"/>
  <c r="AU364" i="1" s="1"/>
  <c r="CI364" i="1"/>
  <c r="CI345" i="1" s="1"/>
  <c r="CK364" i="1"/>
  <c r="BB364" i="1" s="1"/>
  <c r="CL364" i="1"/>
  <c r="BC364" i="1" s="1"/>
  <c r="CM364" i="1"/>
  <c r="CM345" i="1" s="1"/>
  <c r="FP364" i="1"/>
  <c r="EG364" i="1" s="1"/>
  <c r="FQ364" i="1"/>
  <c r="FU364" i="1"/>
  <c r="FU345" i="1" s="1"/>
  <c r="GC364" i="1"/>
  <c r="ET364" i="1" s="1"/>
  <c r="GD364" i="1"/>
  <c r="GD345" i="1" s="1"/>
  <c r="GE364" i="1"/>
  <c r="GE345" i="1" s="1"/>
  <c r="B394" i="1"/>
  <c r="B22" i="1" s="1"/>
  <c r="C394" i="1"/>
  <c r="C22" i="1" s="1"/>
  <c r="D394" i="1"/>
  <c r="D22" i="1" s="1"/>
  <c r="F394" i="1"/>
  <c r="F22" i="1" s="1"/>
  <c r="G394" i="1"/>
  <c r="G22" i="1" s="1"/>
  <c r="B424" i="1"/>
  <c r="B18" i="1" s="1"/>
  <c r="C424" i="1"/>
  <c r="C18" i="1" s="1"/>
  <c r="D424" i="1"/>
  <c r="D18" i="1" s="1"/>
  <c r="F424" i="1"/>
  <c r="F18" i="1" s="1"/>
  <c r="G424" i="1"/>
  <c r="G18" i="1" s="1"/>
  <c r="F12" i="6"/>
  <c r="G12" i="6"/>
  <c r="J544" i="7" l="1"/>
  <c r="H337" i="7"/>
  <c r="J597" i="7"/>
  <c r="J593" i="7"/>
  <c r="J50" i="7"/>
  <c r="H589" i="7"/>
  <c r="J337" i="7"/>
  <c r="H544" i="7"/>
  <c r="H597" i="7"/>
  <c r="H593" i="7"/>
  <c r="H50" i="7"/>
  <c r="P368" i="1"/>
  <c r="EG345" i="1"/>
  <c r="GB364" i="1"/>
  <c r="P377" i="1"/>
  <c r="ET345" i="1"/>
  <c r="AU345" i="1"/>
  <c r="F383" i="1"/>
  <c r="GA364" i="1"/>
  <c r="BB345" i="1"/>
  <c r="F377" i="1"/>
  <c r="AP345" i="1"/>
  <c r="F373" i="1"/>
  <c r="X356" i="1"/>
  <c r="CY356" i="1"/>
  <c r="Y356" i="1"/>
  <c r="CZ356" i="1"/>
  <c r="DW345" i="1"/>
  <c r="DJ364" i="1"/>
  <c r="X349" i="1"/>
  <c r="CY349" i="1"/>
  <c r="Y349" i="1"/>
  <c r="CZ349" i="1"/>
  <c r="DY364" i="1"/>
  <c r="EB364" i="1"/>
  <c r="X348" i="1"/>
  <c r="CY348" i="1"/>
  <c r="DX364" i="1"/>
  <c r="Y348" i="1"/>
  <c r="CZ348" i="1"/>
  <c r="CJ364" i="1"/>
  <c r="AI364" i="1"/>
  <c r="FU282" i="1"/>
  <c r="EL313" i="1"/>
  <c r="X311" i="1"/>
  <c r="CY311" i="1"/>
  <c r="Y311" i="1"/>
  <c r="CZ311" i="1"/>
  <c r="X310" i="1"/>
  <c r="CY310" i="1"/>
  <c r="Y310" i="1"/>
  <c r="CZ310" i="1"/>
  <c r="X309" i="1"/>
  <c r="CY309" i="1"/>
  <c r="Y309" i="1"/>
  <c r="CZ309" i="1"/>
  <c r="EA313" i="1"/>
  <c r="FR282" i="1"/>
  <c r="FY313" i="1"/>
  <c r="EI313" i="1"/>
  <c r="GA313" i="1"/>
  <c r="CD282" i="1"/>
  <c r="AU313" i="1"/>
  <c r="DY313" i="1"/>
  <c r="X353" i="1"/>
  <c r="CY353" i="1"/>
  <c r="Y353" i="1"/>
  <c r="CZ353" i="1"/>
  <c r="AJ364" i="1"/>
  <c r="AB357" i="1"/>
  <c r="AB349" i="1"/>
  <c r="EA364" i="1"/>
  <c r="AH364" i="1"/>
  <c r="BD282" i="1"/>
  <c r="F338" i="1"/>
  <c r="X303" i="1"/>
  <c r="CY303" i="1"/>
  <c r="Y303" i="1"/>
  <c r="CZ303" i="1"/>
  <c r="X302" i="1"/>
  <c r="CY302" i="1"/>
  <c r="Y302" i="1"/>
  <c r="CZ302" i="1"/>
  <c r="X301" i="1"/>
  <c r="CY301" i="1"/>
  <c r="Y301" i="1"/>
  <c r="CZ301" i="1"/>
  <c r="CP301" i="1"/>
  <c r="O301" i="1" s="1"/>
  <c r="X352" i="1"/>
  <c r="CY352" i="1"/>
  <c r="Y352" i="1"/>
  <c r="CZ352" i="1"/>
  <c r="FY364" i="1"/>
  <c r="FR345" i="1"/>
  <c r="EI364" i="1"/>
  <c r="BC345" i="1"/>
  <c r="F380" i="1"/>
  <c r="AX364" i="1"/>
  <c r="CG345" i="1"/>
  <c r="X361" i="1"/>
  <c r="CY361" i="1"/>
  <c r="Y361" i="1"/>
  <c r="CZ361" i="1"/>
  <c r="X360" i="1"/>
  <c r="CY360" i="1"/>
  <c r="Y360" i="1"/>
  <c r="CZ360" i="1"/>
  <c r="CP354" i="1"/>
  <c r="O354" i="1" s="1"/>
  <c r="GM354" i="1" s="1"/>
  <c r="GN354" i="1" s="1"/>
  <c r="AB353" i="1"/>
  <c r="FV345" i="1"/>
  <c r="EM364" i="1"/>
  <c r="DZ364" i="1"/>
  <c r="AT364" i="1"/>
  <c r="CC345" i="1"/>
  <c r="AG364" i="1"/>
  <c r="FV282" i="1"/>
  <c r="EM313" i="1"/>
  <c r="CP305" i="1"/>
  <c r="O305" i="1" s="1"/>
  <c r="GM305" i="1" s="1"/>
  <c r="GN305" i="1" s="1"/>
  <c r="BZ282" i="1"/>
  <c r="CG313" i="1"/>
  <c r="AQ313" i="1"/>
  <c r="EL364" i="1"/>
  <c r="EU364" i="1"/>
  <c r="AO364" i="1"/>
  <c r="CZ362" i="1"/>
  <c r="CS361" i="1"/>
  <c r="R361" i="1"/>
  <c r="CT360" i="1"/>
  <c r="CY359" i="1"/>
  <c r="CQ359" i="1"/>
  <c r="AD359" i="1"/>
  <c r="AB359" i="1" s="1"/>
  <c r="X359" i="1"/>
  <c r="P359" i="1"/>
  <c r="CP359" i="1" s="1"/>
  <c r="O359" i="1" s="1"/>
  <c r="CZ358" i="1"/>
  <c r="CY357" i="1"/>
  <c r="CQ357" i="1"/>
  <c r="AD357" i="1"/>
  <c r="X357" i="1"/>
  <c r="P357" i="1"/>
  <c r="CP357" i="1" s="1"/>
  <c r="O357" i="1" s="1"/>
  <c r="GM357" i="1" s="1"/>
  <c r="GN357" i="1" s="1"/>
  <c r="CT356" i="1"/>
  <c r="CY355" i="1"/>
  <c r="CQ355" i="1"/>
  <c r="AD355" i="1"/>
  <c r="AB355" i="1" s="1"/>
  <c r="X355" i="1"/>
  <c r="P355" i="1"/>
  <c r="CP355" i="1" s="1"/>
  <c r="O355" i="1" s="1"/>
  <c r="CZ354" i="1"/>
  <c r="CS353" i="1"/>
  <c r="R353" i="1"/>
  <c r="CT352" i="1"/>
  <c r="CS351" i="1"/>
  <c r="R351" i="1"/>
  <c r="AE364" i="1" s="1"/>
  <c r="CZ350" i="1"/>
  <c r="CS349" i="1"/>
  <c r="R349" i="1"/>
  <c r="CT348" i="1"/>
  <c r="CS347" i="1"/>
  <c r="CL345" i="1"/>
  <c r="CD345" i="1"/>
  <c r="BZ345" i="1"/>
  <c r="EG313" i="1"/>
  <c r="BC313" i="1"/>
  <c r="CT311" i="1"/>
  <c r="CT310" i="1"/>
  <c r="CT309" i="1"/>
  <c r="CS308" i="1"/>
  <c r="CZ307" i="1"/>
  <c r="CZ306" i="1"/>
  <c r="CZ305" i="1"/>
  <c r="CX436" i="3"/>
  <c r="CX438" i="3"/>
  <c r="CX441" i="3"/>
  <c r="CX445" i="3"/>
  <c r="CU436" i="3"/>
  <c r="CW438" i="3"/>
  <c r="CX440" i="3"/>
  <c r="CX444" i="3"/>
  <c r="CY304" i="1"/>
  <c r="CQ304" i="1"/>
  <c r="AD304" i="1"/>
  <c r="AB304" i="1" s="1"/>
  <c r="X304" i="1"/>
  <c r="P304" i="1"/>
  <c r="CP304" i="1" s="1"/>
  <c r="O304" i="1" s="1"/>
  <c r="CT303" i="1"/>
  <c r="CT302" i="1"/>
  <c r="CT301" i="1"/>
  <c r="U299" i="1"/>
  <c r="DZ313" i="1" s="1"/>
  <c r="U298" i="1"/>
  <c r="R298" i="1"/>
  <c r="GX296" i="1"/>
  <c r="W296" i="1"/>
  <c r="S296" i="1"/>
  <c r="Y294" i="1"/>
  <c r="CZ294" i="1"/>
  <c r="X294" i="1"/>
  <c r="X292" i="1"/>
  <c r="CY292" i="1"/>
  <c r="Y292" i="1"/>
  <c r="CZ292" i="1"/>
  <c r="CP291" i="1"/>
  <c r="O291" i="1" s="1"/>
  <c r="CT290" i="1"/>
  <c r="AB290" i="1"/>
  <c r="P288" i="1"/>
  <c r="CP286" i="1"/>
  <c r="O286" i="1" s="1"/>
  <c r="P284" i="1"/>
  <c r="CQ284" i="1"/>
  <c r="AB284" i="1"/>
  <c r="CP245" i="1"/>
  <c r="O245" i="1" s="1"/>
  <c r="CP240" i="1"/>
  <c r="O240" i="1" s="1"/>
  <c r="FV208" i="1"/>
  <c r="EM250" i="1"/>
  <c r="X235" i="1"/>
  <c r="CY235" i="1"/>
  <c r="Y235" i="1"/>
  <c r="CZ235" i="1"/>
  <c r="CP235" i="1"/>
  <c r="O235" i="1" s="1"/>
  <c r="Y232" i="1"/>
  <c r="CZ232" i="1"/>
  <c r="X232" i="1"/>
  <c r="CY232" i="1"/>
  <c r="X231" i="1"/>
  <c r="CY231" i="1"/>
  <c r="Y231" i="1"/>
  <c r="CZ231" i="1"/>
  <c r="CP231" i="1"/>
  <c r="O231" i="1" s="1"/>
  <c r="CP230" i="1"/>
  <c r="O230" i="1" s="1"/>
  <c r="CP228" i="1"/>
  <c r="O228" i="1" s="1"/>
  <c r="DY250" i="1"/>
  <c r="BD364" i="1"/>
  <c r="Q353" i="1"/>
  <c r="Y351" i="1"/>
  <c r="Q351" i="1"/>
  <c r="CP351" i="1" s="1"/>
  <c r="O351" i="1" s="1"/>
  <c r="GM351" i="1" s="1"/>
  <c r="GN351" i="1" s="1"/>
  <c r="Q349" i="1"/>
  <c r="Q347" i="1"/>
  <c r="CU469" i="3"/>
  <c r="CW471" i="3"/>
  <c r="CX474" i="3"/>
  <c r="CX469" i="3"/>
  <c r="CX471" i="3"/>
  <c r="CX475" i="3"/>
  <c r="GC345" i="1"/>
  <c r="FQ345" i="1"/>
  <c r="CK345" i="1"/>
  <c r="BY345" i="1"/>
  <c r="EV313" i="1"/>
  <c r="BB313" i="1"/>
  <c r="AT313" i="1"/>
  <c r="AP313" i="1"/>
  <c r="Q308" i="1"/>
  <c r="CX447" i="3"/>
  <c r="CX449" i="3"/>
  <c r="CX452" i="3"/>
  <c r="CX456" i="3"/>
  <c r="CU447" i="3"/>
  <c r="CW449" i="3"/>
  <c r="CX451" i="3"/>
  <c r="X300" i="1"/>
  <c r="CY300" i="1"/>
  <c r="Y300" i="1"/>
  <c r="CZ300" i="1"/>
  <c r="S297" i="1"/>
  <c r="CP297" i="1" s="1"/>
  <c r="O297" i="1" s="1"/>
  <c r="CT297" i="1"/>
  <c r="AB297" i="1"/>
  <c r="CS296" i="1"/>
  <c r="AD296" i="1"/>
  <c r="AB296" i="1" s="1"/>
  <c r="Q296" i="1"/>
  <c r="Y295" i="1"/>
  <c r="CZ295" i="1"/>
  <c r="X295" i="1"/>
  <c r="S291" i="1"/>
  <c r="CT291" i="1"/>
  <c r="AB291" i="1"/>
  <c r="CW322" i="3"/>
  <c r="CW324" i="3"/>
  <c r="CX327" i="3"/>
  <c r="CX331" i="3"/>
  <c r="CU321" i="3"/>
  <c r="CX322" i="3"/>
  <c r="CX324" i="3"/>
  <c r="CX328" i="3"/>
  <c r="CX332" i="3"/>
  <c r="CV321" i="3"/>
  <c r="R288" i="1"/>
  <c r="Y285" i="1"/>
  <c r="CZ285" i="1"/>
  <c r="X285" i="1"/>
  <c r="X223" i="1"/>
  <c r="CY223" i="1"/>
  <c r="Y223" i="1"/>
  <c r="CZ223" i="1"/>
  <c r="EA250" i="1"/>
  <c r="EH364" i="1"/>
  <c r="Q361" i="1"/>
  <c r="AQ364" i="1"/>
  <c r="AD361" i="1"/>
  <c r="AB361" i="1" s="1"/>
  <c r="P361" i="1"/>
  <c r="Q360" i="1"/>
  <c r="CP360" i="1" s="1"/>
  <c r="O360" i="1" s="1"/>
  <c r="GM360" i="1" s="1"/>
  <c r="GN360" i="1" s="1"/>
  <c r="Q356" i="1"/>
  <c r="CP356" i="1" s="1"/>
  <c r="O356" i="1" s="1"/>
  <c r="GM356" i="1" s="1"/>
  <c r="GN356" i="1" s="1"/>
  <c r="P353" i="1"/>
  <c r="CP353" i="1" s="1"/>
  <c r="O353" i="1" s="1"/>
  <c r="GM353" i="1" s="1"/>
  <c r="GN353" i="1" s="1"/>
  <c r="Q352" i="1"/>
  <c r="CP352" i="1" s="1"/>
  <c r="O352" i="1" s="1"/>
  <c r="GM352" i="1" s="1"/>
  <c r="GN352" i="1" s="1"/>
  <c r="CY351" i="1"/>
  <c r="AD351" i="1"/>
  <c r="AB351" i="1" s="1"/>
  <c r="P349" i="1"/>
  <c r="CP349" i="1" s="1"/>
  <c r="O349" i="1" s="1"/>
  <c r="GM349" i="1" s="1"/>
  <c r="GN349" i="1" s="1"/>
  <c r="Q348" i="1"/>
  <c r="CU477" i="3"/>
  <c r="CX482" i="3"/>
  <c r="CX477" i="3"/>
  <c r="CX479" i="3"/>
  <c r="CX483" i="3"/>
  <c r="P347" i="1"/>
  <c r="FP345" i="1"/>
  <c r="EU313" i="1"/>
  <c r="AO313" i="1"/>
  <c r="Q311" i="1"/>
  <c r="CP311" i="1" s="1"/>
  <c r="O311" i="1" s="1"/>
  <c r="GM311" i="1" s="1"/>
  <c r="GN311" i="1" s="1"/>
  <c r="Q310" i="1"/>
  <c r="CP310" i="1" s="1"/>
  <c r="O310" i="1" s="1"/>
  <c r="GM310" i="1" s="1"/>
  <c r="GN310" i="1" s="1"/>
  <c r="Q309" i="1"/>
  <c r="CX458" i="3"/>
  <c r="CU458" i="3"/>
  <c r="CX462" i="3"/>
  <c r="CX466" i="3"/>
  <c r="CX460" i="3"/>
  <c r="CX463" i="3"/>
  <c r="CX467" i="3"/>
  <c r="P308" i="1"/>
  <c r="Q303" i="1"/>
  <c r="DV313" i="1" s="1"/>
  <c r="Q302" i="1"/>
  <c r="CP302" i="1" s="1"/>
  <c r="O302" i="1" s="1"/>
  <c r="GM302" i="1" s="1"/>
  <c r="GN302" i="1" s="1"/>
  <c r="W298" i="1"/>
  <c r="S298" i="1"/>
  <c r="CT298" i="1"/>
  <c r="AB298" i="1"/>
  <c r="CP296" i="1"/>
  <c r="O296" i="1" s="1"/>
  <c r="CP294" i="1"/>
  <c r="O294" i="1" s="1"/>
  <c r="GM294" i="1" s="1"/>
  <c r="GN294" i="1" s="1"/>
  <c r="P292" i="1"/>
  <c r="CP292" i="1" s="1"/>
  <c r="O292" i="1" s="1"/>
  <c r="GM292" i="1" s="1"/>
  <c r="GN292" i="1" s="1"/>
  <c r="CQ292" i="1"/>
  <c r="AB292" i="1"/>
  <c r="GX288" i="1"/>
  <c r="W288" i="1"/>
  <c r="S288" i="1"/>
  <c r="U288" i="1"/>
  <c r="Y286" i="1"/>
  <c r="CZ286" i="1"/>
  <c r="X286" i="1"/>
  <c r="X284" i="1"/>
  <c r="CY284" i="1"/>
  <c r="Y284" i="1"/>
  <c r="CZ284" i="1"/>
  <c r="CM282" i="1"/>
  <c r="EH208" i="1"/>
  <c r="P259" i="1"/>
  <c r="X248" i="1"/>
  <c r="CY248" i="1"/>
  <c r="Y248" i="1"/>
  <c r="CZ248" i="1"/>
  <c r="CP248" i="1"/>
  <c r="O248" i="1" s="1"/>
  <c r="GM248" i="1" s="1"/>
  <c r="GN248" i="1" s="1"/>
  <c r="Y245" i="1"/>
  <c r="CZ245" i="1"/>
  <c r="X245" i="1"/>
  <c r="CY245" i="1"/>
  <c r="X244" i="1"/>
  <c r="CY244" i="1"/>
  <c r="Y244" i="1"/>
  <c r="CZ244" i="1"/>
  <c r="CP244" i="1"/>
  <c r="O244" i="1" s="1"/>
  <c r="GM244" i="1" s="1"/>
  <c r="GN244" i="1" s="1"/>
  <c r="Y240" i="1"/>
  <c r="CZ240" i="1"/>
  <c r="X240" i="1"/>
  <c r="CY240" i="1"/>
  <c r="X239" i="1"/>
  <c r="CY239" i="1"/>
  <c r="Y239" i="1"/>
  <c r="CZ239" i="1"/>
  <c r="CP239" i="1"/>
  <c r="O239" i="1" s="1"/>
  <c r="FR208" i="1"/>
  <c r="FY250" i="1"/>
  <c r="EI250" i="1"/>
  <c r="CP232" i="1"/>
  <c r="O232" i="1" s="1"/>
  <c r="GM232" i="1" s="1"/>
  <c r="GN232" i="1" s="1"/>
  <c r="Y230" i="1"/>
  <c r="CZ230" i="1"/>
  <c r="X230" i="1"/>
  <c r="CY230" i="1"/>
  <c r="Y228" i="1"/>
  <c r="CZ228" i="1"/>
  <c r="X228" i="1"/>
  <c r="CY228" i="1"/>
  <c r="DZ250" i="1"/>
  <c r="AI250" i="1"/>
  <c r="AJ250" i="1"/>
  <c r="CJ250" i="1"/>
  <c r="AH250" i="1"/>
  <c r="AZ364" i="1"/>
  <c r="EV364" i="1"/>
  <c r="CZ359" i="1"/>
  <c r="CZ357" i="1"/>
  <c r="CZ355" i="1"/>
  <c r="P348" i="1"/>
  <c r="S347" i="1"/>
  <c r="ET313" i="1"/>
  <c r="EH313" i="1"/>
  <c r="CI313" i="1"/>
  <c r="P309" i="1"/>
  <c r="CP309" i="1" s="1"/>
  <c r="O309" i="1" s="1"/>
  <c r="GM309" i="1" s="1"/>
  <c r="GN309" i="1" s="1"/>
  <c r="S308" i="1"/>
  <c r="CZ304" i="1"/>
  <c r="CX425" i="3"/>
  <c r="CX427" i="3"/>
  <c r="CX430" i="3"/>
  <c r="CX434" i="3"/>
  <c r="CU425" i="3"/>
  <c r="CW427" i="3"/>
  <c r="CX429" i="3"/>
  <c r="CX433" i="3"/>
  <c r="AD301" i="1"/>
  <c r="AB301" i="1" s="1"/>
  <c r="P300" i="1"/>
  <c r="CP300" i="1" s="1"/>
  <c r="O300" i="1" s="1"/>
  <c r="GM300" i="1" s="1"/>
  <c r="GN300" i="1" s="1"/>
  <c r="CQ300" i="1"/>
  <c r="AB300" i="1"/>
  <c r="GX299" i="1"/>
  <c r="GB313" i="1" s="1"/>
  <c r="W299" i="1"/>
  <c r="EB313" i="1" s="1"/>
  <c r="S299" i="1"/>
  <c r="CP299" i="1" s="1"/>
  <c r="O299" i="1" s="1"/>
  <c r="CT299" i="1"/>
  <c r="AB299" i="1"/>
  <c r="GX298" i="1"/>
  <c r="CR296" i="1"/>
  <c r="CW374" i="3"/>
  <c r="CW376" i="3"/>
  <c r="CX379" i="3"/>
  <c r="CX383" i="3"/>
  <c r="CU373" i="3"/>
  <c r="CX374" i="3"/>
  <c r="CX376" i="3"/>
  <c r="CX380" i="3"/>
  <c r="CV373" i="3"/>
  <c r="CW375" i="3"/>
  <c r="CX377" i="3"/>
  <c r="CX381" i="3"/>
  <c r="CX384" i="3"/>
  <c r="R296" i="1"/>
  <c r="CP295" i="1"/>
  <c r="O295" i="1" s="1"/>
  <c r="GM295" i="1" s="1"/>
  <c r="GN295" i="1" s="1"/>
  <c r="Y293" i="1"/>
  <c r="CZ293" i="1"/>
  <c r="X293" i="1"/>
  <c r="GM293" i="1" s="1"/>
  <c r="GN293" i="1" s="1"/>
  <c r="P290" i="1"/>
  <c r="I290" i="1"/>
  <c r="V290" i="1" s="1"/>
  <c r="S289" i="1"/>
  <c r="CT289" i="1"/>
  <c r="AB289" i="1"/>
  <c r="V288" i="1"/>
  <c r="CS288" i="1"/>
  <c r="AD288" i="1"/>
  <c r="AB288" i="1" s="1"/>
  <c r="Q288" i="1"/>
  <c r="Y287" i="1"/>
  <c r="CZ287" i="1"/>
  <c r="X287" i="1"/>
  <c r="GM287" i="1" s="1"/>
  <c r="GN287" i="1" s="1"/>
  <c r="CP285" i="1"/>
  <c r="O285" i="1" s="1"/>
  <c r="CP236" i="1"/>
  <c r="O236" i="1" s="1"/>
  <c r="CP234" i="1"/>
  <c r="O234" i="1" s="1"/>
  <c r="EB250" i="1"/>
  <c r="AG250" i="1"/>
  <c r="GB250" i="1"/>
  <c r="R300" i="1"/>
  <c r="CW388" i="3"/>
  <c r="CU386" i="3"/>
  <c r="CX392" i="3"/>
  <c r="CX390" i="3"/>
  <c r="CX394" i="3"/>
  <c r="CX386" i="3"/>
  <c r="CX388" i="3"/>
  <c r="CX398" i="3"/>
  <c r="CQ296" i="1"/>
  <c r="CT295" i="1"/>
  <c r="CT294" i="1"/>
  <c r="CT293" i="1"/>
  <c r="CS292" i="1"/>
  <c r="CW336" i="3"/>
  <c r="CX338" i="3"/>
  <c r="CX342" i="3"/>
  <c r="CX346" i="3"/>
  <c r="CX334" i="3"/>
  <c r="CX336" i="3"/>
  <c r="CX339" i="3"/>
  <c r="CX343" i="3"/>
  <c r="CU334" i="3"/>
  <c r="CQ288" i="1"/>
  <c r="CT287" i="1"/>
  <c r="CT286" i="1"/>
  <c r="CT285" i="1"/>
  <c r="CS284" i="1"/>
  <c r="EG250" i="1"/>
  <c r="BC250" i="1"/>
  <c r="AU250" i="1"/>
  <c r="AQ250" i="1"/>
  <c r="CT248" i="1"/>
  <c r="CS247" i="1"/>
  <c r="AB247" i="1"/>
  <c r="R247" i="1"/>
  <c r="CQ245" i="1"/>
  <c r="AD245" i="1"/>
  <c r="AB245" i="1" s="1"/>
  <c r="CT244" i="1"/>
  <c r="CS243" i="1"/>
  <c r="AB243" i="1"/>
  <c r="CQ240" i="1"/>
  <c r="AD240" i="1"/>
  <c r="AB240" i="1" s="1"/>
  <c r="CT239" i="1"/>
  <c r="CS238" i="1"/>
  <c r="AB238" i="1"/>
  <c r="R238" i="1"/>
  <c r="CS236" i="1"/>
  <c r="AB236" i="1"/>
  <c r="R236" i="1"/>
  <c r="CT235" i="1"/>
  <c r="CS234" i="1"/>
  <c r="AB234" i="1"/>
  <c r="R234" i="1"/>
  <c r="CQ232" i="1"/>
  <c r="AD232" i="1"/>
  <c r="AB232" i="1" s="1"/>
  <c r="CT231" i="1"/>
  <c r="CQ230" i="1"/>
  <c r="AD230" i="1"/>
  <c r="AB230" i="1" s="1"/>
  <c r="CQ228" i="1"/>
  <c r="AD228" i="1"/>
  <c r="AB228" i="1" s="1"/>
  <c r="Q227" i="1"/>
  <c r="CP227" i="1" s="1"/>
  <c r="O227" i="1" s="1"/>
  <c r="R225" i="1"/>
  <c r="CS225" i="1"/>
  <c r="X225" i="1"/>
  <c r="CR223" i="1"/>
  <c r="P223" i="1"/>
  <c r="CQ223" i="1"/>
  <c r="Q223" i="1"/>
  <c r="DV250" i="1" s="1"/>
  <c r="CZ222" i="1"/>
  <c r="CR222" i="1"/>
  <c r="AD222" i="1"/>
  <c r="AB222" i="1" s="1"/>
  <c r="CQ221" i="1"/>
  <c r="CY218" i="1"/>
  <c r="AB217" i="1"/>
  <c r="Y217" i="1"/>
  <c r="GM217" i="1" s="1"/>
  <c r="GN217" i="1" s="1"/>
  <c r="CZ217" i="1"/>
  <c r="CQ216" i="1"/>
  <c r="AB215" i="1"/>
  <c r="CP215" i="1"/>
  <c r="O215" i="1" s="1"/>
  <c r="GM215" i="1" s="1"/>
  <c r="GN215" i="1" s="1"/>
  <c r="AD212" i="1"/>
  <c r="AB212" i="1" s="1"/>
  <c r="R212" i="1"/>
  <c r="CS212" i="1"/>
  <c r="Q212" i="1"/>
  <c r="CZ210" i="1"/>
  <c r="BZ67" i="1"/>
  <c r="CG176" i="1"/>
  <c r="AQ176" i="1"/>
  <c r="CP166" i="1"/>
  <c r="O166" i="1" s="1"/>
  <c r="GM166" i="1" s="1"/>
  <c r="GN166" i="1" s="1"/>
  <c r="CV399" i="3"/>
  <c r="CX400" i="3"/>
  <c r="CX405" i="3"/>
  <c r="CX406" i="3"/>
  <c r="CX411" i="3"/>
  <c r="CX409" i="3"/>
  <c r="CW402" i="3"/>
  <c r="CU399" i="3"/>
  <c r="CW400" i="3"/>
  <c r="CW401" i="3"/>
  <c r="CX402" i="3"/>
  <c r="CX407" i="3"/>
  <c r="CQ299" i="1"/>
  <c r="CQ298" i="1"/>
  <c r="CQ297" i="1"/>
  <c r="CT296" i="1"/>
  <c r="CS295" i="1"/>
  <c r="R295" i="1"/>
  <c r="CS294" i="1"/>
  <c r="R294" i="1"/>
  <c r="CS293" i="1"/>
  <c r="CW348" i="3"/>
  <c r="CW350" i="3"/>
  <c r="CX353" i="3"/>
  <c r="CX357" i="3"/>
  <c r="CU347" i="3"/>
  <c r="CX348" i="3"/>
  <c r="CX350" i="3"/>
  <c r="CX354" i="3"/>
  <c r="CX358" i="3"/>
  <c r="CV347" i="3"/>
  <c r="CX351" i="3"/>
  <c r="CX355" i="3"/>
  <c r="CX359" i="3"/>
  <c r="CQ291" i="1"/>
  <c r="CQ290" i="1"/>
  <c r="CQ289" i="1"/>
  <c r="CT288" i="1"/>
  <c r="CS287" i="1"/>
  <c r="R287" i="1"/>
  <c r="DW313" i="1" s="1"/>
  <c r="CS286" i="1"/>
  <c r="R286" i="1"/>
  <c r="CS285" i="1"/>
  <c r="CV295" i="3"/>
  <c r="CX295" i="3"/>
  <c r="CX296" i="3"/>
  <c r="CX300" i="3"/>
  <c r="CX298" i="3"/>
  <c r="CX299" i="3"/>
  <c r="CX304" i="3"/>
  <c r="CX302" i="3"/>
  <c r="CU295" i="3"/>
  <c r="CX306" i="3"/>
  <c r="GA250" i="1"/>
  <c r="EV250" i="1"/>
  <c r="CG250" i="1"/>
  <c r="BB250" i="1"/>
  <c r="AP250" i="1"/>
  <c r="CS248" i="1"/>
  <c r="R248" i="1"/>
  <c r="CZ247" i="1"/>
  <c r="Y247" i="1"/>
  <c r="GM247" i="1" s="1"/>
  <c r="GN247" i="1" s="1"/>
  <c r="CQ246" i="1"/>
  <c r="CT245" i="1"/>
  <c r="CS244" i="1"/>
  <c r="CZ243" i="1"/>
  <c r="Y243" i="1"/>
  <c r="GM243" i="1" s="1"/>
  <c r="GN243" i="1" s="1"/>
  <c r="CU281" i="3"/>
  <c r="CX285" i="3"/>
  <c r="CX281" i="3"/>
  <c r="CX283" i="3"/>
  <c r="CQ241" i="1"/>
  <c r="CT240" i="1"/>
  <c r="CS239" i="1"/>
  <c r="R239" i="1"/>
  <c r="CZ238" i="1"/>
  <c r="Y238" i="1"/>
  <c r="GM238" i="1" s="1"/>
  <c r="GN238" i="1" s="1"/>
  <c r="CQ237" i="1"/>
  <c r="CZ236" i="1"/>
  <c r="Y236" i="1"/>
  <c r="CS235" i="1"/>
  <c r="R235" i="1"/>
  <c r="CZ234" i="1"/>
  <c r="Y234" i="1"/>
  <c r="CQ233" i="1"/>
  <c r="CT232" i="1"/>
  <c r="CS231" i="1"/>
  <c r="R231" i="1"/>
  <c r="CT230" i="1"/>
  <c r="CQ229" i="1"/>
  <c r="CT228" i="1"/>
  <c r="CS227" i="1"/>
  <c r="S226" i="1"/>
  <c r="CP226" i="1" s="1"/>
  <c r="O226" i="1" s="1"/>
  <c r="CT226" i="1"/>
  <c r="CQ225" i="1"/>
  <c r="S224" i="1"/>
  <c r="CP224" i="1" s="1"/>
  <c r="O224" i="1" s="1"/>
  <c r="CT224" i="1"/>
  <c r="CY222" i="1"/>
  <c r="Y221" i="1"/>
  <c r="GM221" i="1" s="1"/>
  <c r="GN221" i="1" s="1"/>
  <c r="CZ221" i="1"/>
  <c r="Y216" i="1"/>
  <c r="CZ216" i="1"/>
  <c r="CP214" i="1"/>
  <c r="O214" i="1" s="1"/>
  <c r="GM214" i="1" s="1"/>
  <c r="GN214" i="1" s="1"/>
  <c r="CP212" i="1"/>
  <c r="O212" i="1" s="1"/>
  <c r="S211" i="1"/>
  <c r="CT211" i="1"/>
  <c r="X210" i="1"/>
  <c r="CY210" i="1"/>
  <c r="CP174" i="1"/>
  <c r="O174" i="1" s="1"/>
  <c r="Y173" i="1"/>
  <c r="CZ173" i="1"/>
  <c r="X173" i="1"/>
  <c r="CY173" i="1"/>
  <c r="CP172" i="1"/>
  <c r="O172" i="1" s="1"/>
  <c r="Y163" i="1"/>
  <c r="CZ163" i="1"/>
  <c r="X163" i="1"/>
  <c r="CY163" i="1"/>
  <c r="Y158" i="1"/>
  <c r="CZ158" i="1"/>
  <c r="X158" i="1"/>
  <c r="CY158" i="1"/>
  <c r="Y154" i="1"/>
  <c r="CZ154" i="1"/>
  <c r="X154" i="1"/>
  <c r="CY154" i="1"/>
  <c r="Y150" i="1"/>
  <c r="CZ150" i="1"/>
  <c r="X150" i="1"/>
  <c r="CY150" i="1"/>
  <c r="Y146" i="1"/>
  <c r="CZ146" i="1"/>
  <c r="X146" i="1"/>
  <c r="CY146" i="1"/>
  <c r="CU412" i="3"/>
  <c r="CV412" i="3"/>
  <c r="CW413" i="3"/>
  <c r="CX414" i="3"/>
  <c r="CX419" i="3"/>
  <c r="CX423" i="3"/>
  <c r="CX412" i="3"/>
  <c r="CX416" i="3"/>
  <c r="CW414" i="3"/>
  <c r="CW415" i="3"/>
  <c r="CX418" i="3"/>
  <c r="CX422" i="3"/>
  <c r="CW362" i="3"/>
  <c r="CX364" i="3"/>
  <c r="CX368" i="3"/>
  <c r="CX372" i="3"/>
  <c r="CX362" i="3"/>
  <c r="CX365" i="3"/>
  <c r="CX369" i="3"/>
  <c r="CW361" i="3"/>
  <c r="CW363" i="3"/>
  <c r="CX366" i="3"/>
  <c r="CX370" i="3"/>
  <c r="CU360" i="3"/>
  <c r="CX310" i="3"/>
  <c r="CW311" i="3"/>
  <c r="CX317" i="3"/>
  <c r="CX318" i="3"/>
  <c r="CX320" i="3"/>
  <c r="CX311" i="3"/>
  <c r="CU308" i="3"/>
  <c r="CX313" i="3"/>
  <c r="EU250" i="1"/>
  <c r="AO250" i="1"/>
  <c r="CY247" i="1"/>
  <c r="CQ247" i="1"/>
  <c r="CT246" i="1"/>
  <c r="S246" i="1"/>
  <c r="CS245" i="1"/>
  <c r="CV287" i="3"/>
  <c r="CX287" i="3"/>
  <c r="CU287" i="3"/>
  <c r="CX288" i="3"/>
  <c r="CX291" i="3"/>
  <c r="CY243" i="1"/>
  <c r="CQ243" i="1"/>
  <c r="CT241" i="1"/>
  <c r="S241" i="1"/>
  <c r="CS240" i="1"/>
  <c r="R240" i="1"/>
  <c r="CY238" i="1"/>
  <c r="CQ238" i="1"/>
  <c r="CT237" i="1"/>
  <c r="S237" i="1"/>
  <c r="CY236" i="1"/>
  <c r="CQ236" i="1"/>
  <c r="CY234" i="1"/>
  <c r="CQ234" i="1"/>
  <c r="CT233" i="1"/>
  <c r="S233" i="1"/>
  <c r="CS232" i="1"/>
  <c r="R232" i="1"/>
  <c r="CS230" i="1"/>
  <c r="R230" i="1"/>
  <c r="CT229" i="1"/>
  <c r="S229" i="1"/>
  <c r="CS228" i="1"/>
  <c r="R228" i="1"/>
  <c r="X227" i="1"/>
  <c r="P225" i="1"/>
  <c r="CP225" i="1" s="1"/>
  <c r="O225" i="1" s="1"/>
  <c r="GM225" i="1" s="1"/>
  <c r="GO225" i="1" s="1"/>
  <c r="P220" i="1"/>
  <c r="CQ220" i="1"/>
  <c r="S220" i="1"/>
  <c r="R218" i="1"/>
  <c r="CS218" i="1"/>
  <c r="X218" i="1"/>
  <c r="CP218" i="1"/>
  <c r="O218" i="1" s="1"/>
  <c r="GM213" i="1"/>
  <c r="GN213" i="1" s="1"/>
  <c r="CZ212" i="1"/>
  <c r="AD210" i="1"/>
  <c r="AB210" i="1" s="1"/>
  <c r="R210" i="1"/>
  <c r="CS210" i="1"/>
  <c r="Q210" i="1"/>
  <c r="AD250" i="1" s="1"/>
  <c r="FQ208" i="1"/>
  <c r="CD67" i="1"/>
  <c r="AU176" i="1"/>
  <c r="GM167" i="1"/>
  <c r="GN167" i="1" s="1"/>
  <c r="X162" i="1"/>
  <c r="CY162" i="1"/>
  <c r="Y162" i="1"/>
  <c r="CZ162" i="1"/>
  <c r="X157" i="1"/>
  <c r="CY157" i="1"/>
  <c r="Y157" i="1"/>
  <c r="CZ157" i="1"/>
  <c r="X153" i="1"/>
  <c r="CY153" i="1"/>
  <c r="Y153" i="1"/>
  <c r="CZ153" i="1"/>
  <c r="X149" i="1"/>
  <c r="CY149" i="1"/>
  <c r="Y149" i="1"/>
  <c r="CZ149" i="1"/>
  <c r="ET250" i="1"/>
  <c r="BD250" i="1"/>
  <c r="AZ250" i="1"/>
  <c r="CU293" i="3"/>
  <c r="CX293" i="3"/>
  <c r="R223" i="1"/>
  <c r="R222" i="1"/>
  <c r="CS222" i="1"/>
  <c r="X222" i="1"/>
  <c r="CP222" i="1"/>
  <c r="O222" i="1" s="1"/>
  <c r="GM222" i="1" s="1"/>
  <c r="GN222" i="1" s="1"/>
  <c r="S219" i="1"/>
  <c r="CP219" i="1" s="1"/>
  <c r="O219" i="1" s="1"/>
  <c r="CT219" i="1"/>
  <c r="X212" i="1"/>
  <c r="CY212" i="1"/>
  <c r="CP211" i="1"/>
  <c r="O211" i="1" s="1"/>
  <c r="CP210" i="1"/>
  <c r="O210" i="1" s="1"/>
  <c r="Y174" i="1"/>
  <c r="CZ174" i="1"/>
  <c r="X174" i="1"/>
  <c r="CY174" i="1"/>
  <c r="GM173" i="1"/>
  <c r="GO173" i="1" s="1"/>
  <c r="Y172" i="1"/>
  <c r="CZ172" i="1"/>
  <c r="X172" i="1"/>
  <c r="CY172" i="1"/>
  <c r="T170" i="1"/>
  <c r="GM169" i="1"/>
  <c r="GN169" i="1" s="1"/>
  <c r="GM163" i="1"/>
  <c r="GN163" i="1" s="1"/>
  <c r="GM158" i="1"/>
  <c r="GN158" i="1" s="1"/>
  <c r="GM154" i="1"/>
  <c r="GN154" i="1" s="1"/>
  <c r="GM150" i="1"/>
  <c r="GN150" i="1" s="1"/>
  <c r="GM146" i="1"/>
  <c r="GN146" i="1" s="1"/>
  <c r="AH176" i="1"/>
  <c r="AJ176" i="1"/>
  <c r="AG176" i="1"/>
  <c r="AI176" i="1"/>
  <c r="CJ176" i="1"/>
  <c r="CT222" i="1"/>
  <c r="CS221" i="1"/>
  <c r="R221" i="1"/>
  <c r="CQ219" i="1"/>
  <c r="CT218" i="1"/>
  <c r="CS217" i="1"/>
  <c r="R217" i="1"/>
  <c r="CS216" i="1"/>
  <c r="R216" i="1"/>
  <c r="CS215" i="1"/>
  <c r="R215" i="1"/>
  <c r="CS214" i="1"/>
  <c r="R214" i="1"/>
  <c r="CS213" i="1"/>
  <c r="R213" i="1"/>
  <c r="CT212" i="1"/>
  <c r="CQ211" i="1"/>
  <c r="AD211" i="1"/>
  <c r="AB211" i="1" s="1"/>
  <c r="CT210" i="1"/>
  <c r="FY176" i="1"/>
  <c r="ET176" i="1"/>
  <c r="EH176" i="1"/>
  <c r="CI176" i="1"/>
  <c r="BD176" i="1"/>
  <c r="CQ174" i="1"/>
  <c r="CQ173" i="1"/>
  <c r="CQ172" i="1"/>
  <c r="AD172" i="1"/>
  <c r="AB172" i="1" s="1"/>
  <c r="CZ171" i="1"/>
  <c r="Y171" i="1"/>
  <c r="I170" i="1"/>
  <c r="V170" i="1" s="1"/>
  <c r="CS169" i="1"/>
  <c r="R169" i="1"/>
  <c r="I168" i="1"/>
  <c r="CS167" i="1"/>
  <c r="R167" i="1"/>
  <c r="CS166" i="1"/>
  <c r="CZ165" i="1"/>
  <c r="Y165" i="1"/>
  <c r="CX230" i="3"/>
  <c r="CX231" i="3"/>
  <c r="CW232" i="3"/>
  <c r="CX232" i="3"/>
  <c r="CU229" i="3"/>
  <c r="CX234" i="3"/>
  <c r="CQ163" i="1"/>
  <c r="AD163" i="1"/>
  <c r="AB163" i="1" s="1"/>
  <c r="CT162" i="1"/>
  <c r="CS160" i="1"/>
  <c r="R160" i="1"/>
  <c r="CZ159" i="1"/>
  <c r="Y159" i="1"/>
  <c r="CQ158" i="1"/>
  <c r="AD158" i="1"/>
  <c r="AB158" i="1" s="1"/>
  <c r="CT157" i="1"/>
  <c r="CS156" i="1"/>
  <c r="R156" i="1"/>
  <c r="CZ155" i="1"/>
  <c r="Y155" i="1"/>
  <c r="CQ154" i="1"/>
  <c r="AD154" i="1"/>
  <c r="AB154" i="1" s="1"/>
  <c r="CT153" i="1"/>
  <c r="CS152" i="1"/>
  <c r="CZ151" i="1"/>
  <c r="Y151" i="1"/>
  <c r="CU209" i="3"/>
  <c r="CX217" i="3"/>
  <c r="CX218" i="3"/>
  <c r="CX209" i="3"/>
  <c r="CX211" i="3"/>
  <c r="CW212" i="3"/>
  <c r="CX215" i="3"/>
  <c r="CQ150" i="1"/>
  <c r="AD150" i="1"/>
  <c r="AB150" i="1" s="1"/>
  <c r="CT149" i="1"/>
  <c r="CS148" i="1"/>
  <c r="CZ147" i="1"/>
  <c r="Y147" i="1"/>
  <c r="CU189" i="3"/>
  <c r="CX197" i="3"/>
  <c r="CX191" i="3"/>
  <c r="CX193" i="3"/>
  <c r="CQ146" i="1"/>
  <c r="AD146" i="1"/>
  <c r="AB146" i="1" s="1"/>
  <c r="CT145" i="1"/>
  <c r="CX159" i="3"/>
  <c r="CW160" i="3"/>
  <c r="CX160" i="3"/>
  <c r="CX161" i="3"/>
  <c r="CW162" i="3"/>
  <c r="CX165" i="3"/>
  <c r="CU159" i="3"/>
  <c r="CX167" i="3"/>
  <c r="R136" i="1"/>
  <c r="S136" i="1"/>
  <c r="Y135" i="1"/>
  <c r="CZ135" i="1"/>
  <c r="X135" i="1"/>
  <c r="P134" i="1"/>
  <c r="CQ134" i="1"/>
  <c r="AB134" i="1"/>
  <c r="CZ132" i="1"/>
  <c r="CR132" i="1"/>
  <c r="Y131" i="1"/>
  <c r="CZ131" i="1"/>
  <c r="X131" i="1"/>
  <c r="X127" i="1"/>
  <c r="CY127" i="1"/>
  <c r="Y127" i="1"/>
  <c r="CZ127" i="1"/>
  <c r="X115" i="1"/>
  <c r="CY115" i="1"/>
  <c r="Y115" i="1"/>
  <c r="CZ115" i="1"/>
  <c r="X111" i="1"/>
  <c r="CY111" i="1"/>
  <c r="Y111" i="1"/>
  <c r="CZ111" i="1"/>
  <c r="X107" i="1"/>
  <c r="CY107" i="1"/>
  <c r="Y107" i="1"/>
  <c r="CZ107" i="1"/>
  <c r="CZ215" i="1"/>
  <c r="CZ214" i="1"/>
  <c r="CZ213" i="1"/>
  <c r="EG176" i="1"/>
  <c r="BC176" i="1"/>
  <c r="CT174" i="1"/>
  <c r="CT173" i="1"/>
  <c r="CT172" i="1"/>
  <c r="CY171" i="1"/>
  <c r="CQ171" i="1"/>
  <c r="P171" i="1"/>
  <c r="CP171" i="1" s="1"/>
  <c r="O171" i="1" s="1"/>
  <c r="GM171" i="1" s="1"/>
  <c r="GO171" i="1" s="1"/>
  <c r="CC176" i="1" s="1"/>
  <c r="CZ169" i="1"/>
  <c r="CZ167" i="1"/>
  <c r="CZ166" i="1"/>
  <c r="CX237" i="3"/>
  <c r="CX239" i="3"/>
  <c r="CU236" i="3"/>
  <c r="CX241" i="3"/>
  <c r="CY165" i="1"/>
  <c r="CQ165" i="1"/>
  <c r="P165" i="1"/>
  <c r="CP165" i="1" s="1"/>
  <c r="O165" i="1" s="1"/>
  <c r="GM165" i="1" s="1"/>
  <c r="GN165" i="1" s="1"/>
  <c r="CT163" i="1"/>
  <c r="CS162" i="1"/>
  <c r="R162" i="1"/>
  <c r="Y160" i="1"/>
  <c r="GM160" i="1" s="1"/>
  <c r="GN160" i="1" s="1"/>
  <c r="CY159" i="1"/>
  <c r="CQ159" i="1"/>
  <c r="P159" i="1"/>
  <c r="CP159" i="1" s="1"/>
  <c r="O159" i="1" s="1"/>
  <c r="CT158" i="1"/>
  <c r="CS157" i="1"/>
  <c r="R157" i="1"/>
  <c r="Y156" i="1"/>
  <c r="GM156" i="1" s="1"/>
  <c r="GN156" i="1" s="1"/>
  <c r="CY155" i="1"/>
  <c r="CQ155" i="1"/>
  <c r="P155" i="1"/>
  <c r="CP155" i="1" s="1"/>
  <c r="O155" i="1" s="1"/>
  <c r="GM155" i="1" s="1"/>
  <c r="GN155" i="1" s="1"/>
  <c r="CT154" i="1"/>
  <c r="CS153" i="1"/>
  <c r="R153" i="1"/>
  <c r="CX219" i="3"/>
  <c r="CW220" i="3"/>
  <c r="CX220" i="3"/>
  <c r="CX223" i="3"/>
  <c r="CX224" i="3"/>
  <c r="CU219" i="3"/>
  <c r="CX227" i="3"/>
  <c r="CY151" i="1"/>
  <c r="CQ151" i="1"/>
  <c r="P151" i="1"/>
  <c r="CP151" i="1" s="1"/>
  <c r="O151" i="1" s="1"/>
  <c r="GM151" i="1" s="1"/>
  <c r="GN151" i="1" s="1"/>
  <c r="CT150" i="1"/>
  <c r="CS149" i="1"/>
  <c r="R149" i="1"/>
  <c r="CU199" i="3"/>
  <c r="CX201" i="3"/>
  <c r="CX203" i="3"/>
  <c r="CX207" i="3"/>
  <c r="CY147" i="1"/>
  <c r="CQ147" i="1"/>
  <c r="P147" i="1"/>
  <c r="CP147" i="1" s="1"/>
  <c r="O147" i="1" s="1"/>
  <c r="GM147" i="1" s="1"/>
  <c r="GN147" i="1" s="1"/>
  <c r="CT146" i="1"/>
  <c r="CS145" i="1"/>
  <c r="AD142" i="1"/>
  <c r="AB142" i="1" s="1"/>
  <c r="CS142" i="1"/>
  <c r="R140" i="1"/>
  <c r="CS140" i="1"/>
  <c r="AD140" i="1"/>
  <c r="AD138" i="1"/>
  <c r="R138" i="1"/>
  <c r="CS138" i="1"/>
  <c r="S137" i="1"/>
  <c r="CT137" i="1"/>
  <c r="AB137" i="1"/>
  <c r="CP127" i="1"/>
  <c r="O127" i="1" s="1"/>
  <c r="GM127" i="1" s="1"/>
  <c r="GN127" i="1" s="1"/>
  <c r="CP115" i="1"/>
  <c r="O115" i="1" s="1"/>
  <c r="GM115" i="1" s="1"/>
  <c r="GN115" i="1" s="1"/>
  <c r="CP111" i="1"/>
  <c r="O111" i="1" s="1"/>
  <c r="GM111" i="1" s="1"/>
  <c r="GN111" i="1" s="1"/>
  <c r="CP107" i="1"/>
  <c r="O107" i="1" s="1"/>
  <c r="X97" i="1"/>
  <c r="CY97" i="1"/>
  <c r="Y97" i="1"/>
  <c r="CZ97" i="1"/>
  <c r="EV176" i="1"/>
  <c r="ER176" i="1"/>
  <c r="BB176" i="1"/>
  <c r="AP176" i="1"/>
  <c r="Q162" i="1"/>
  <c r="CP162" i="1" s="1"/>
  <c r="O162" i="1" s="1"/>
  <c r="GM162" i="1" s="1"/>
  <c r="GN162" i="1" s="1"/>
  <c r="Q157" i="1"/>
  <c r="CP157" i="1" s="1"/>
  <c r="O157" i="1" s="1"/>
  <c r="GM157" i="1" s="1"/>
  <c r="GN157" i="1" s="1"/>
  <c r="Q153" i="1"/>
  <c r="CP153" i="1" s="1"/>
  <c r="O153" i="1" s="1"/>
  <c r="GM153" i="1" s="1"/>
  <c r="GN153" i="1" s="1"/>
  <c r="Q149" i="1"/>
  <c r="CP149" i="1" s="1"/>
  <c r="O149" i="1" s="1"/>
  <c r="GM149" i="1" s="1"/>
  <c r="GN149" i="1" s="1"/>
  <c r="Y145" i="1"/>
  <c r="GM145" i="1" s="1"/>
  <c r="GN145" i="1" s="1"/>
  <c r="R144" i="1"/>
  <c r="CS144" i="1"/>
  <c r="AD144" i="1"/>
  <c r="S143" i="1"/>
  <c r="CP143" i="1" s="1"/>
  <c r="O143" i="1" s="1"/>
  <c r="CT143" i="1"/>
  <c r="AB143" i="1"/>
  <c r="P142" i="1"/>
  <c r="CQ142" i="1"/>
  <c r="X142" i="1"/>
  <c r="CY142" i="1"/>
  <c r="CX182" i="3"/>
  <c r="CX183" i="3"/>
  <c r="CU179" i="3"/>
  <c r="CX187" i="3"/>
  <c r="R142" i="1"/>
  <c r="S141" i="1"/>
  <c r="CT141" i="1"/>
  <c r="AB141" i="1"/>
  <c r="CZ140" i="1"/>
  <c r="CR140" i="1"/>
  <c r="AB140" i="1"/>
  <c r="P140" i="1"/>
  <c r="CQ140" i="1"/>
  <c r="X140" i="1"/>
  <c r="CY140" i="1"/>
  <c r="S139" i="1"/>
  <c r="CT139" i="1"/>
  <c r="AB139" i="1"/>
  <c r="CZ138" i="1"/>
  <c r="CR138" i="1"/>
  <c r="P138" i="1"/>
  <c r="CP138" i="1" s="1"/>
  <c r="O138" i="1" s="1"/>
  <c r="GM138" i="1" s="1"/>
  <c r="GN138" i="1" s="1"/>
  <c r="CQ138" i="1"/>
  <c r="AB138" i="1"/>
  <c r="X138" i="1"/>
  <c r="CY138" i="1"/>
  <c r="CP137" i="1"/>
  <c r="O137" i="1" s="1"/>
  <c r="CS136" i="1"/>
  <c r="AD136" i="1"/>
  <c r="Q136" i="1"/>
  <c r="X134" i="1"/>
  <c r="CY134" i="1"/>
  <c r="Y134" i="1"/>
  <c r="CZ134" i="1"/>
  <c r="R132" i="1"/>
  <c r="CS132" i="1"/>
  <c r="AD132" i="1"/>
  <c r="X132" i="1"/>
  <c r="X123" i="1"/>
  <c r="CY123" i="1"/>
  <c r="Y123" i="1"/>
  <c r="CZ123" i="1"/>
  <c r="X119" i="1"/>
  <c r="CY119" i="1"/>
  <c r="Y119" i="1"/>
  <c r="CZ119" i="1"/>
  <c r="X103" i="1"/>
  <c r="CY103" i="1"/>
  <c r="Y103" i="1"/>
  <c r="CZ103" i="1"/>
  <c r="EU176" i="1"/>
  <c r="EM176" i="1"/>
  <c r="EI176" i="1"/>
  <c r="AO176" i="1"/>
  <c r="S152" i="1"/>
  <c r="S148" i="1"/>
  <c r="CY145" i="1"/>
  <c r="AD145" i="1"/>
  <c r="AB145" i="1" s="1"/>
  <c r="R145" i="1"/>
  <c r="CZ144" i="1"/>
  <c r="CR144" i="1"/>
  <c r="AB144" i="1"/>
  <c r="P144" i="1"/>
  <c r="CP144" i="1" s="1"/>
  <c r="O144" i="1" s="1"/>
  <c r="CQ144" i="1"/>
  <c r="X144" i="1"/>
  <c r="CY144" i="1"/>
  <c r="T142" i="1"/>
  <c r="Y142" i="1"/>
  <c r="Q142" i="1"/>
  <c r="CP141" i="1"/>
  <c r="O141" i="1" s="1"/>
  <c r="Y140" i="1"/>
  <c r="Q140" i="1"/>
  <c r="CP139" i="1"/>
  <c r="O139" i="1" s="1"/>
  <c r="Y138" i="1"/>
  <c r="Q138" i="1"/>
  <c r="AB136" i="1"/>
  <c r="CP135" i="1"/>
  <c r="O135" i="1" s="1"/>
  <c r="GM135" i="1" s="1"/>
  <c r="GN135" i="1" s="1"/>
  <c r="S133" i="1"/>
  <c r="CT133" i="1"/>
  <c r="AB133" i="1"/>
  <c r="AB132" i="1"/>
  <c r="Q132" i="1"/>
  <c r="CP131" i="1"/>
  <c r="O131" i="1" s="1"/>
  <c r="GM131" i="1" s="1"/>
  <c r="GN131" i="1" s="1"/>
  <c r="CP123" i="1"/>
  <c r="O123" i="1" s="1"/>
  <c r="GM123" i="1" s="1"/>
  <c r="GN123" i="1" s="1"/>
  <c r="CP119" i="1"/>
  <c r="O119" i="1" s="1"/>
  <c r="GM119" i="1" s="1"/>
  <c r="GN119" i="1" s="1"/>
  <c r="CP103" i="1"/>
  <c r="O103" i="1" s="1"/>
  <c r="GM103" i="1" s="1"/>
  <c r="GN103" i="1" s="1"/>
  <c r="CX170" i="3"/>
  <c r="CX171" i="3"/>
  <c r="CW172" i="3"/>
  <c r="CX175" i="3"/>
  <c r="CX172" i="3"/>
  <c r="CX173" i="3"/>
  <c r="CX174" i="3"/>
  <c r="CU169" i="3"/>
  <c r="CX177" i="3"/>
  <c r="CQ136" i="1"/>
  <c r="P136" i="1"/>
  <c r="CP136" i="1" s="1"/>
  <c r="O136" i="1" s="1"/>
  <c r="CT135" i="1"/>
  <c r="CS134" i="1"/>
  <c r="R134" i="1"/>
  <c r="CY132" i="1"/>
  <c r="CQ132" i="1"/>
  <c r="P132" i="1"/>
  <c r="CP132" i="1" s="1"/>
  <c r="O132" i="1" s="1"/>
  <c r="GM132" i="1" s="1"/>
  <c r="GN132" i="1" s="1"/>
  <c r="CT131" i="1"/>
  <c r="CS130" i="1"/>
  <c r="AB130" i="1"/>
  <c r="R130" i="1"/>
  <c r="CY128" i="1"/>
  <c r="CQ128" i="1"/>
  <c r="AD128" i="1"/>
  <c r="AB128" i="1" s="1"/>
  <c r="P128" i="1"/>
  <c r="CP128" i="1" s="1"/>
  <c r="O128" i="1" s="1"/>
  <c r="CT127" i="1"/>
  <c r="CS126" i="1"/>
  <c r="AB126" i="1"/>
  <c r="CU129" i="3"/>
  <c r="CX130" i="3"/>
  <c r="CX131" i="3"/>
  <c r="CW132" i="3"/>
  <c r="CX135" i="3"/>
  <c r="CX129" i="3"/>
  <c r="CX132" i="3"/>
  <c r="CX133" i="3"/>
  <c r="CX134" i="3"/>
  <c r="CX137" i="3"/>
  <c r="CY124" i="1"/>
  <c r="CQ124" i="1"/>
  <c r="AD124" i="1"/>
  <c r="AB124" i="1" s="1"/>
  <c r="P124" i="1"/>
  <c r="CP124" i="1" s="1"/>
  <c r="O124" i="1" s="1"/>
  <c r="CT123" i="1"/>
  <c r="CS122" i="1"/>
  <c r="AB122" i="1"/>
  <c r="CX109" i="3"/>
  <c r="CW110" i="3"/>
  <c r="CX110" i="3"/>
  <c r="CU109" i="3"/>
  <c r="CX117" i="3"/>
  <c r="CY120" i="1"/>
  <c r="CQ120" i="1"/>
  <c r="AD120" i="1"/>
  <c r="AB120" i="1" s="1"/>
  <c r="P120" i="1"/>
  <c r="CP120" i="1" s="1"/>
  <c r="O120" i="1" s="1"/>
  <c r="CT119" i="1"/>
  <c r="CS118" i="1"/>
  <c r="AB118" i="1"/>
  <c r="R118" i="1"/>
  <c r="CY116" i="1"/>
  <c r="CQ116" i="1"/>
  <c r="AD116" i="1"/>
  <c r="AB116" i="1" s="1"/>
  <c r="P116" i="1"/>
  <c r="CP116" i="1" s="1"/>
  <c r="O116" i="1" s="1"/>
  <c r="CT115" i="1"/>
  <c r="CS114" i="1"/>
  <c r="AB114" i="1"/>
  <c r="R114" i="1"/>
  <c r="CQ112" i="1"/>
  <c r="AD112" i="1"/>
  <c r="AB112" i="1" s="1"/>
  <c r="P112" i="1"/>
  <c r="CT111" i="1"/>
  <c r="CS110" i="1"/>
  <c r="AB110" i="1"/>
  <c r="R110" i="1"/>
  <c r="CQ108" i="1"/>
  <c r="AD108" i="1"/>
  <c r="AB108" i="1" s="1"/>
  <c r="P108" i="1"/>
  <c r="CT107" i="1"/>
  <c r="CS106" i="1"/>
  <c r="AB106" i="1"/>
  <c r="R106" i="1"/>
  <c r="CY104" i="1"/>
  <c r="CQ104" i="1"/>
  <c r="AD104" i="1"/>
  <c r="AB104" i="1" s="1"/>
  <c r="P104" i="1"/>
  <c r="CP104" i="1" s="1"/>
  <c r="O104" i="1" s="1"/>
  <c r="CT103" i="1"/>
  <c r="CS102" i="1"/>
  <c r="AB102" i="1"/>
  <c r="R102" i="1"/>
  <c r="CY100" i="1"/>
  <c r="CQ100" i="1"/>
  <c r="AD100" i="1"/>
  <c r="AB100" i="1" s="1"/>
  <c r="P100" i="1"/>
  <c r="CP100" i="1" s="1"/>
  <c r="O100" i="1" s="1"/>
  <c r="AD99" i="1"/>
  <c r="P97" i="1"/>
  <c r="CQ97" i="1"/>
  <c r="CZ96" i="1"/>
  <c r="AB94" i="1"/>
  <c r="P94" i="1"/>
  <c r="CP94" i="1" s="1"/>
  <c r="O94" i="1" s="1"/>
  <c r="CQ94" i="1"/>
  <c r="CZ92" i="1"/>
  <c r="Y91" i="1"/>
  <c r="CZ91" i="1"/>
  <c r="X91" i="1"/>
  <c r="CZ88" i="1"/>
  <c r="Y87" i="1"/>
  <c r="CZ87" i="1"/>
  <c r="X87" i="1"/>
  <c r="GX84" i="1"/>
  <c r="W84" i="1"/>
  <c r="S84" i="1"/>
  <c r="U84" i="1"/>
  <c r="AB82" i="1"/>
  <c r="P82" i="1"/>
  <c r="CP82" i="1" s="1"/>
  <c r="O82" i="1" s="1"/>
  <c r="CQ82" i="1"/>
  <c r="AQ26" i="1"/>
  <c r="F45" i="1"/>
  <c r="CJ35" i="1"/>
  <c r="GB35" i="1"/>
  <c r="EB35" i="1"/>
  <c r="AJ35" i="1"/>
  <c r="Q134" i="1"/>
  <c r="CZ130" i="1"/>
  <c r="Y130" i="1"/>
  <c r="Q130" i="1"/>
  <c r="CP130" i="1" s="1"/>
  <c r="O130" i="1" s="1"/>
  <c r="GM130" i="1" s="1"/>
  <c r="GN130" i="1" s="1"/>
  <c r="CZ126" i="1"/>
  <c r="Y126" i="1"/>
  <c r="Q126" i="1"/>
  <c r="CP126" i="1" s="1"/>
  <c r="O126" i="1" s="1"/>
  <c r="GM126" i="1" s="1"/>
  <c r="GN126" i="1" s="1"/>
  <c r="CX142" i="3"/>
  <c r="CX143" i="3"/>
  <c r="CX144" i="3"/>
  <c r="CU139" i="3"/>
  <c r="CX147" i="3"/>
  <c r="CX148" i="3"/>
  <c r="CZ122" i="1"/>
  <c r="Y122" i="1"/>
  <c r="Q122" i="1"/>
  <c r="CP122" i="1" s="1"/>
  <c r="O122" i="1" s="1"/>
  <c r="GM122" i="1" s="1"/>
  <c r="GN122" i="1" s="1"/>
  <c r="CU119" i="3"/>
  <c r="CX120" i="3"/>
  <c r="CW122" i="3"/>
  <c r="CX122" i="3"/>
  <c r="CX124" i="3"/>
  <c r="CX127" i="3"/>
  <c r="CX121" i="3"/>
  <c r="CZ118" i="1"/>
  <c r="Y118" i="1"/>
  <c r="Q118" i="1"/>
  <c r="CP118" i="1" s="1"/>
  <c r="O118" i="1" s="1"/>
  <c r="GM118" i="1" s="1"/>
  <c r="GN118" i="1" s="1"/>
  <c r="CZ114" i="1"/>
  <c r="Y114" i="1"/>
  <c r="Q114" i="1"/>
  <c r="CP114" i="1" s="1"/>
  <c r="O114" i="1" s="1"/>
  <c r="GM114" i="1" s="1"/>
  <c r="GN114" i="1" s="1"/>
  <c r="S112" i="1"/>
  <c r="CZ110" i="1"/>
  <c r="Y110" i="1"/>
  <c r="Q110" i="1"/>
  <c r="CP110" i="1" s="1"/>
  <c r="O110" i="1" s="1"/>
  <c r="GM110" i="1" s="1"/>
  <c r="GN110" i="1" s="1"/>
  <c r="S108" i="1"/>
  <c r="CZ106" i="1"/>
  <c r="Y106" i="1"/>
  <c r="Q106" i="1"/>
  <c r="CP106" i="1" s="1"/>
  <c r="O106" i="1" s="1"/>
  <c r="GM106" i="1" s="1"/>
  <c r="GN106" i="1" s="1"/>
  <c r="CZ102" i="1"/>
  <c r="Y102" i="1"/>
  <c r="Q102" i="1"/>
  <c r="CP102" i="1" s="1"/>
  <c r="O102" i="1" s="1"/>
  <c r="GM102" i="1" s="1"/>
  <c r="GN102" i="1" s="1"/>
  <c r="CZ99" i="1"/>
  <c r="AB99" i="1"/>
  <c r="P99" i="1"/>
  <c r="CP99" i="1" s="1"/>
  <c r="O99" i="1" s="1"/>
  <c r="X96" i="1"/>
  <c r="CY96" i="1"/>
  <c r="S93" i="1"/>
  <c r="CT93" i="1"/>
  <c r="X92" i="1"/>
  <c r="CY92" i="1"/>
  <c r="AB90" i="1"/>
  <c r="P90" i="1"/>
  <c r="CP90" i="1" s="1"/>
  <c r="O90" i="1" s="1"/>
  <c r="CQ90" i="1"/>
  <c r="S89" i="1"/>
  <c r="CT89" i="1"/>
  <c r="X88" i="1"/>
  <c r="CY88" i="1"/>
  <c r="AB86" i="1"/>
  <c r="P86" i="1"/>
  <c r="CP86" i="1" s="1"/>
  <c r="O86" i="1" s="1"/>
  <c r="CQ86" i="1"/>
  <c r="S85" i="1"/>
  <c r="CP85" i="1" s="1"/>
  <c r="O85" i="1" s="1"/>
  <c r="CT85" i="1"/>
  <c r="AB85" i="1"/>
  <c r="AD84" i="1"/>
  <c r="AB84" i="1" s="1"/>
  <c r="CS84" i="1"/>
  <c r="Y83" i="1"/>
  <c r="CZ83" i="1"/>
  <c r="X83" i="1"/>
  <c r="CR80" i="1"/>
  <c r="P54" i="1"/>
  <c r="EM26" i="1"/>
  <c r="F48" i="1"/>
  <c r="BB26" i="1"/>
  <c r="DM35" i="1"/>
  <c r="DZ26" i="1"/>
  <c r="EA35" i="1"/>
  <c r="DV35" i="1"/>
  <c r="DW26" i="1"/>
  <c r="DJ35" i="1"/>
  <c r="AG35" i="1"/>
  <c r="R35" i="1"/>
  <c r="AE26" i="1"/>
  <c r="CU149" i="3"/>
  <c r="CX157" i="3"/>
  <c r="CX158" i="3"/>
  <c r="CX149" i="3"/>
  <c r="CW150" i="3"/>
  <c r="CY130" i="1"/>
  <c r="CQ130" i="1"/>
  <c r="CT129" i="1"/>
  <c r="S129" i="1"/>
  <c r="CS128" i="1"/>
  <c r="R128" i="1"/>
  <c r="CY126" i="1"/>
  <c r="CQ126" i="1"/>
  <c r="CT125" i="1"/>
  <c r="S125" i="1"/>
  <c r="CS124" i="1"/>
  <c r="R124" i="1"/>
  <c r="CY122" i="1"/>
  <c r="CQ122" i="1"/>
  <c r="CT121" i="1"/>
  <c r="S121" i="1"/>
  <c r="CP121" i="1" s="1"/>
  <c r="O121" i="1" s="1"/>
  <c r="CS120" i="1"/>
  <c r="R120" i="1"/>
  <c r="CY118" i="1"/>
  <c r="CQ118" i="1"/>
  <c r="CT117" i="1"/>
  <c r="S117" i="1"/>
  <c r="CS116" i="1"/>
  <c r="R116" i="1"/>
  <c r="CY114" i="1"/>
  <c r="CQ114" i="1"/>
  <c r="CT113" i="1"/>
  <c r="S113" i="1"/>
  <c r="CS112" i="1"/>
  <c r="CU89" i="3"/>
  <c r="CX89" i="3"/>
  <c r="CX92" i="3"/>
  <c r="CX93" i="3"/>
  <c r="CX94" i="3"/>
  <c r="CX97" i="3"/>
  <c r="CY110" i="1"/>
  <c r="CQ110" i="1"/>
  <c r="CT109" i="1"/>
  <c r="S109" i="1"/>
  <c r="CP109" i="1" s="1"/>
  <c r="O109" i="1" s="1"/>
  <c r="CS108" i="1"/>
  <c r="CX71" i="3"/>
  <c r="CX73" i="3"/>
  <c r="CU69" i="3"/>
  <c r="CX78" i="3"/>
  <c r="CW70" i="3"/>
  <c r="CW72" i="3"/>
  <c r="CX77" i="3"/>
  <c r="CY106" i="1"/>
  <c r="CQ106" i="1"/>
  <c r="CT105" i="1"/>
  <c r="S105" i="1"/>
  <c r="CP105" i="1" s="1"/>
  <c r="O105" i="1" s="1"/>
  <c r="CS104" i="1"/>
  <c r="R104" i="1"/>
  <c r="CY102" i="1"/>
  <c r="CQ102" i="1"/>
  <c r="CT101" i="1"/>
  <c r="S101" i="1"/>
  <c r="CS100" i="1"/>
  <c r="R100" i="1"/>
  <c r="CY99" i="1"/>
  <c r="AB98" i="1"/>
  <c r="Y98" i="1"/>
  <c r="GM98" i="1" s="1"/>
  <c r="GN98" i="1" s="1"/>
  <c r="CZ98" i="1"/>
  <c r="AD96" i="1"/>
  <c r="AB96" i="1" s="1"/>
  <c r="R96" i="1"/>
  <c r="CS96" i="1"/>
  <c r="Q96" i="1"/>
  <c r="Y94" i="1"/>
  <c r="CZ94" i="1"/>
  <c r="X94" i="1"/>
  <c r="CY94" i="1"/>
  <c r="AD92" i="1"/>
  <c r="AB92" i="1" s="1"/>
  <c r="R92" i="1"/>
  <c r="CS92" i="1"/>
  <c r="Q92" i="1"/>
  <c r="CY91" i="1"/>
  <c r="AD88" i="1"/>
  <c r="AB88" i="1" s="1"/>
  <c r="R88" i="1"/>
  <c r="CS88" i="1"/>
  <c r="Q88" i="1"/>
  <c r="CY87" i="1"/>
  <c r="P84" i="1"/>
  <c r="CP84" i="1" s="1"/>
  <c r="O84" i="1" s="1"/>
  <c r="Y82" i="1"/>
  <c r="CZ82" i="1"/>
  <c r="X82" i="1"/>
  <c r="CY82" i="1"/>
  <c r="X80" i="1"/>
  <c r="CY80" i="1"/>
  <c r="CP77" i="1"/>
  <c r="O77" i="1" s="1"/>
  <c r="EV26" i="1"/>
  <c r="P60" i="1"/>
  <c r="AK35" i="1"/>
  <c r="AI35" i="1"/>
  <c r="AD35" i="1"/>
  <c r="Y128" i="1"/>
  <c r="Y124" i="1"/>
  <c r="Y120" i="1"/>
  <c r="Y116" i="1"/>
  <c r="CU99" i="3"/>
  <c r="CX107" i="3"/>
  <c r="CX108" i="3"/>
  <c r="CX99" i="3"/>
  <c r="CU79" i="3"/>
  <c r="CW80" i="3"/>
  <c r="CW82" i="3"/>
  <c r="CX84" i="3"/>
  <c r="CX87" i="3"/>
  <c r="CX81" i="3"/>
  <c r="CX83" i="3"/>
  <c r="Y104" i="1"/>
  <c r="Y100" i="1"/>
  <c r="R99" i="1"/>
  <c r="CS99" i="1"/>
  <c r="X99" i="1"/>
  <c r="CP96" i="1"/>
  <c r="O96" i="1" s="1"/>
  <c r="GM96" i="1" s="1"/>
  <c r="GN96" i="1" s="1"/>
  <c r="CP92" i="1"/>
  <c r="O92" i="1" s="1"/>
  <c r="GM92" i="1" s="1"/>
  <c r="GN92" i="1" s="1"/>
  <c r="Y90" i="1"/>
  <c r="CZ90" i="1"/>
  <c r="X90" i="1"/>
  <c r="CY90" i="1"/>
  <c r="CP88" i="1"/>
  <c r="O88" i="1" s="1"/>
  <c r="GM88" i="1" s="1"/>
  <c r="GN88" i="1" s="1"/>
  <c r="Y86" i="1"/>
  <c r="CZ86" i="1"/>
  <c r="X86" i="1"/>
  <c r="CY86" i="1"/>
  <c r="CW40" i="3"/>
  <c r="CX40" i="3"/>
  <c r="CX42" i="3"/>
  <c r="CX45" i="3"/>
  <c r="CX48" i="3"/>
  <c r="CU39" i="3"/>
  <c r="CW42" i="3"/>
  <c r="CX44" i="3"/>
  <c r="R84" i="1"/>
  <c r="CP83" i="1"/>
  <c r="O83" i="1" s="1"/>
  <c r="GM83" i="1" s="1"/>
  <c r="GN83" i="1" s="1"/>
  <c r="S81" i="1"/>
  <c r="CT81" i="1"/>
  <c r="AB81" i="1"/>
  <c r="AD80" i="1"/>
  <c r="AB80" i="1" s="1"/>
  <c r="R80" i="1"/>
  <c r="CS80" i="1"/>
  <c r="Q80" i="1"/>
  <c r="CP80" i="1" s="1"/>
  <c r="O80" i="1" s="1"/>
  <c r="GM80" i="1" s="1"/>
  <c r="GN80" i="1" s="1"/>
  <c r="X79" i="1"/>
  <c r="Y79" i="1"/>
  <c r="CZ79" i="1"/>
  <c r="X76" i="1"/>
  <c r="CY76" i="1"/>
  <c r="Y76" i="1"/>
  <c r="CZ76" i="1"/>
  <c r="X75" i="1"/>
  <c r="CY75" i="1"/>
  <c r="Y75" i="1"/>
  <c r="CZ75" i="1"/>
  <c r="X72" i="1"/>
  <c r="CY72" i="1"/>
  <c r="Y72" i="1"/>
  <c r="CZ72" i="1"/>
  <c r="X71" i="1"/>
  <c r="CY71" i="1"/>
  <c r="Y71" i="1"/>
  <c r="CZ71" i="1"/>
  <c r="EU26" i="1"/>
  <c r="P51" i="1"/>
  <c r="EI26" i="1"/>
  <c r="P45" i="1"/>
  <c r="DY35" i="1"/>
  <c r="AH35" i="1"/>
  <c r="CP28" i="1"/>
  <c r="O28" i="1" s="1"/>
  <c r="Y95" i="1"/>
  <c r="Q95" i="1"/>
  <c r="CP95" i="1" s="1"/>
  <c r="O95" i="1" s="1"/>
  <c r="GM95" i="1" s="1"/>
  <c r="GN95" i="1" s="1"/>
  <c r="Q91" i="1"/>
  <c r="CP91" i="1" s="1"/>
  <c r="O91" i="1" s="1"/>
  <c r="GM91" i="1" s="1"/>
  <c r="GN91" i="1" s="1"/>
  <c r="Q87" i="1"/>
  <c r="CP87" i="1" s="1"/>
  <c r="O87" i="1" s="1"/>
  <c r="GM87" i="1" s="1"/>
  <c r="GN87" i="1" s="1"/>
  <c r="Q83" i="1"/>
  <c r="CX37" i="3"/>
  <c r="CU29" i="3"/>
  <c r="CX38" i="3"/>
  <c r="CX32" i="3"/>
  <c r="CW30" i="3"/>
  <c r="CX34" i="3"/>
  <c r="CX30" i="3"/>
  <c r="CW32" i="3"/>
  <c r="Q79" i="1"/>
  <c r="CP79" i="1" s="1"/>
  <c r="O79" i="1" s="1"/>
  <c r="GM79" i="1" s="1"/>
  <c r="GN79" i="1" s="1"/>
  <c r="CY78" i="1"/>
  <c r="CQ78" i="1"/>
  <c r="X78" i="1"/>
  <c r="P78" i="1"/>
  <c r="CP78" i="1" s="1"/>
  <c r="O78" i="1" s="1"/>
  <c r="CT77" i="1"/>
  <c r="S77" i="1"/>
  <c r="CS76" i="1"/>
  <c r="R76" i="1"/>
  <c r="Q75" i="1"/>
  <c r="CP75" i="1" s="1"/>
  <c r="O75" i="1" s="1"/>
  <c r="GM75" i="1" s="1"/>
  <c r="GN75" i="1" s="1"/>
  <c r="CY74" i="1"/>
  <c r="CQ74" i="1"/>
  <c r="X74" i="1"/>
  <c r="P74" i="1"/>
  <c r="CP74" i="1" s="1"/>
  <c r="O74" i="1" s="1"/>
  <c r="GM74" i="1" s="1"/>
  <c r="GN74" i="1" s="1"/>
  <c r="CT73" i="1"/>
  <c r="S73" i="1"/>
  <c r="CS72" i="1"/>
  <c r="R72" i="1"/>
  <c r="Q71" i="1"/>
  <c r="CY70" i="1"/>
  <c r="CQ70" i="1"/>
  <c r="X70" i="1"/>
  <c r="P70" i="1"/>
  <c r="CT69" i="1"/>
  <c r="S69" i="1"/>
  <c r="CP69" i="1" s="1"/>
  <c r="O69" i="1" s="1"/>
  <c r="FY35" i="1"/>
  <c r="ET35" i="1"/>
  <c r="BD35" i="1"/>
  <c r="CZ33" i="1"/>
  <c r="Y33" i="1"/>
  <c r="CZ32" i="1"/>
  <c r="Y32" i="1"/>
  <c r="CZ31" i="1"/>
  <c r="Y31" i="1"/>
  <c r="ED35" i="1" s="1"/>
  <c r="CZ30" i="1"/>
  <c r="Y30" i="1"/>
  <c r="AL35" i="1" s="1"/>
  <c r="CY29" i="1"/>
  <c r="CQ29" i="1"/>
  <c r="AD29" i="1"/>
  <c r="AB29" i="1" s="1"/>
  <c r="X29" i="1"/>
  <c r="EC35" i="1" s="1"/>
  <c r="P29" i="1"/>
  <c r="GE26" i="1"/>
  <c r="CK26" i="1"/>
  <c r="BZ26" i="1"/>
  <c r="CV477" i="3"/>
  <c r="CX476" i="3"/>
  <c r="CX473" i="3"/>
  <c r="CX472" i="3"/>
  <c r="CX454" i="3"/>
  <c r="CX443" i="3"/>
  <c r="CX432" i="3"/>
  <c r="CX421" i="3"/>
  <c r="CX410" i="3"/>
  <c r="CW389" i="3"/>
  <c r="Q76" i="1"/>
  <c r="CP76" i="1" s="1"/>
  <c r="O76" i="1" s="1"/>
  <c r="GM76" i="1" s="1"/>
  <c r="GN76" i="1" s="1"/>
  <c r="Q72" i="1"/>
  <c r="EK35" i="1"/>
  <c r="EG35" i="1"/>
  <c r="BC35" i="1"/>
  <c r="AU35" i="1"/>
  <c r="S35" i="1"/>
  <c r="CY33" i="1"/>
  <c r="CQ33" i="1"/>
  <c r="P33" i="1"/>
  <c r="CY32" i="1"/>
  <c r="CQ32" i="1"/>
  <c r="P32" i="1"/>
  <c r="CY31" i="1"/>
  <c r="CQ31" i="1"/>
  <c r="P31" i="1"/>
  <c r="CY30" i="1"/>
  <c r="CQ30" i="1"/>
  <c r="P30" i="1"/>
  <c r="CS28" i="1"/>
  <c r="GD26" i="1"/>
  <c r="FV26" i="1"/>
  <c r="FR26" i="1"/>
  <c r="CW470" i="3"/>
  <c r="CX470" i="3"/>
  <c r="CX457" i="3"/>
  <c r="CX446" i="3"/>
  <c r="CX435" i="3"/>
  <c r="CX424" i="3"/>
  <c r="CX403" i="3"/>
  <c r="CX395" i="3"/>
  <c r="CW387" i="3"/>
  <c r="Q97" i="1"/>
  <c r="CW50" i="3"/>
  <c r="CW52" i="3"/>
  <c r="CX54" i="3"/>
  <c r="CX50" i="3"/>
  <c r="CX52" i="3"/>
  <c r="CU49" i="3"/>
  <c r="CX58" i="3"/>
  <c r="Q93" i="1"/>
  <c r="CP93" i="1" s="1"/>
  <c r="O93" i="1" s="1"/>
  <c r="R90" i="1"/>
  <c r="Q89" i="1"/>
  <c r="CP89" i="1" s="1"/>
  <c r="O89" i="1" s="1"/>
  <c r="R86" i="1"/>
  <c r="CQ84" i="1"/>
  <c r="CT83" i="1"/>
  <c r="CS82" i="1"/>
  <c r="R82" i="1"/>
  <c r="CQ80" i="1"/>
  <c r="CT79" i="1"/>
  <c r="CS78" i="1"/>
  <c r="R78" i="1"/>
  <c r="CQ76" i="1"/>
  <c r="CT75" i="1"/>
  <c r="CS74" i="1"/>
  <c r="R74" i="1"/>
  <c r="CQ72" i="1"/>
  <c r="CT71" i="1"/>
  <c r="CS70" i="1"/>
  <c r="CX17" i="3"/>
  <c r="CW10" i="3"/>
  <c r="CW12" i="3"/>
  <c r="CX14" i="3"/>
  <c r="CX10" i="3"/>
  <c r="CU9" i="3"/>
  <c r="CX18" i="3"/>
  <c r="CX12" i="3"/>
  <c r="P50" i="1"/>
  <c r="CG35" i="1"/>
  <c r="CS29" i="1"/>
  <c r="CW2" i="3"/>
  <c r="CX4" i="3"/>
  <c r="CU1" i="3"/>
  <c r="CX2" i="3"/>
  <c r="CX484" i="3"/>
  <c r="CX481" i="3"/>
  <c r="CX480" i="3"/>
  <c r="CV469" i="3"/>
  <c r="CX468" i="3"/>
  <c r="CX465" i="3"/>
  <c r="CX464" i="3"/>
  <c r="CW461" i="3"/>
  <c r="CX461" i="3"/>
  <c r="CV458" i="3"/>
  <c r="CX455" i="3"/>
  <c r="CW450" i="3"/>
  <c r="CV447" i="3"/>
  <c r="CW439" i="3"/>
  <c r="CV436" i="3"/>
  <c r="CW428" i="3"/>
  <c r="CV425" i="3"/>
  <c r="CX417" i="3"/>
  <c r="CX396" i="3"/>
  <c r="CX60" i="3"/>
  <c r="CX62" i="3"/>
  <c r="CX67" i="3"/>
  <c r="CU59" i="3"/>
  <c r="CX65" i="3"/>
  <c r="CW60" i="3"/>
  <c r="CW62" i="3"/>
  <c r="CX64" i="3"/>
  <c r="CX68" i="3"/>
  <c r="CT96" i="1"/>
  <c r="CS95" i="1"/>
  <c r="CQ93" i="1"/>
  <c r="CT92" i="1"/>
  <c r="CS91" i="1"/>
  <c r="CQ89" i="1"/>
  <c r="CT88" i="1"/>
  <c r="CS87" i="1"/>
  <c r="CQ85" i="1"/>
  <c r="CT84" i="1"/>
  <c r="R83" i="1"/>
  <c r="AE176" i="1" s="1"/>
  <c r="CQ81" i="1"/>
  <c r="CT80" i="1"/>
  <c r="CS79" i="1"/>
  <c r="CZ78" i="1"/>
  <c r="CQ77" i="1"/>
  <c r="CT76" i="1"/>
  <c r="CS75" i="1"/>
  <c r="CZ74" i="1"/>
  <c r="CQ73" i="1"/>
  <c r="CT72" i="1"/>
  <c r="CS71" i="1"/>
  <c r="CZ70" i="1"/>
  <c r="CX27" i="3"/>
  <c r="CU19" i="3"/>
  <c r="CX25" i="3"/>
  <c r="CW20" i="3"/>
  <c r="CW22" i="3"/>
  <c r="CX24" i="3"/>
  <c r="CX20" i="3"/>
  <c r="CX22" i="3"/>
  <c r="CX28" i="3"/>
  <c r="CQ69" i="1"/>
  <c r="AS35" i="1"/>
  <c r="AO35" i="1"/>
  <c r="CZ29" i="1"/>
  <c r="CW6" i="3"/>
  <c r="CU5" i="3"/>
  <c r="CX6" i="3"/>
  <c r="CX8" i="3"/>
  <c r="CW479" i="3"/>
  <c r="CW478" i="3"/>
  <c r="CX478" i="3"/>
  <c r="CW460" i="3"/>
  <c r="CW459" i="3"/>
  <c r="CX453" i="3"/>
  <c r="CW448" i="3"/>
  <c r="CX442" i="3"/>
  <c r="CW437" i="3"/>
  <c r="CX431" i="3"/>
  <c r="CW426" i="3"/>
  <c r="CX420" i="3"/>
  <c r="CX391" i="3"/>
  <c r="CX385" i="3"/>
  <c r="CX413" i="3"/>
  <c r="CX393" i="3"/>
  <c r="CX378" i="3"/>
  <c r="CX375" i="3"/>
  <c r="CX341" i="3"/>
  <c r="CX330" i="3"/>
  <c r="CX314" i="3"/>
  <c r="CX307" i="3"/>
  <c r="CX459" i="3"/>
  <c r="CX450" i="3"/>
  <c r="CX448" i="3"/>
  <c r="CX439" i="3"/>
  <c r="CX437" i="3"/>
  <c r="CX428" i="3"/>
  <c r="CX426" i="3"/>
  <c r="CX415" i="3"/>
  <c r="CX408" i="3"/>
  <c r="CX401" i="3"/>
  <c r="CX399" i="3"/>
  <c r="CV386" i="3"/>
  <c r="CX373" i="3"/>
  <c r="CX371" i="3"/>
  <c r="CX363" i="3"/>
  <c r="CV360" i="3"/>
  <c r="CX352" i="3"/>
  <c r="CW349" i="3"/>
  <c r="CX344" i="3"/>
  <c r="CX333" i="3"/>
  <c r="CX325" i="3"/>
  <c r="CX315" i="3"/>
  <c r="CX308" i="3"/>
  <c r="CW297" i="3"/>
  <c r="CX404" i="3"/>
  <c r="CX389" i="3"/>
  <c r="CX361" i="3"/>
  <c r="CX347" i="3"/>
  <c r="CX345" i="3"/>
  <c r="CW337" i="3"/>
  <c r="CV334" i="3"/>
  <c r="CX326" i="3"/>
  <c r="CW323" i="3"/>
  <c r="CX303" i="3"/>
  <c r="CX397" i="3"/>
  <c r="CX387" i="3"/>
  <c r="CX382" i="3"/>
  <c r="CX367" i="3"/>
  <c r="CX356" i="3"/>
  <c r="CX340" i="3"/>
  <c r="CW335" i="3"/>
  <c r="CX329" i="3"/>
  <c r="CX321" i="3"/>
  <c r="CX319" i="3"/>
  <c r="CX309" i="3"/>
  <c r="CX349" i="3"/>
  <c r="CX337" i="3"/>
  <c r="CX335" i="3"/>
  <c r="CX323" i="3"/>
  <c r="CW310" i="3"/>
  <c r="CW309" i="3"/>
  <c r="CX301" i="3"/>
  <c r="CW296" i="3"/>
  <c r="CV294" i="3"/>
  <c r="CX294" i="3"/>
  <c r="CV281" i="3"/>
  <c r="DH280" i="3"/>
  <c r="DI280" i="3"/>
  <c r="DF280" i="3"/>
  <c r="DJ280" i="3" s="1"/>
  <c r="DI279" i="3"/>
  <c r="DF279" i="3"/>
  <c r="DJ279" i="3" s="1"/>
  <c r="DG279" i="3"/>
  <c r="DI276" i="3"/>
  <c r="DF276" i="3"/>
  <c r="DJ276" i="3" s="1"/>
  <c r="DG276" i="3"/>
  <c r="DH276" i="3"/>
  <c r="DG272" i="3"/>
  <c r="DH272" i="3"/>
  <c r="DI272" i="3"/>
  <c r="DJ272" i="3" s="1"/>
  <c r="DF272" i="3"/>
  <c r="DG254" i="3"/>
  <c r="DH254" i="3"/>
  <c r="DI254" i="3"/>
  <c r="DF254" i="3"/>
  <c r="DJ254" i="3" s="1"/>
  <c r="DI250" i="3"/>
  <c r="DF250" i="3"/>
  <c r="DJ250" i="3" s="1"/>
  <c r="DG250" i="3"/>
  <c r="DH250" i="3"/>
  <c r="CW238" i="3"/>
  <c r="CX235" i="3"/>
  <c r="CW222" i="3"/>
  <c r="CX213" i="3"/>
  <c r="CX208" i="3"/>
  <c r="CW200" i="3"/>
  <c r="CX194" i="3"/>
  <c r="CX188" i="3"/>
  <c r="CV293" i="3"/>
  <c r="CX292" i="3"/>
  <c r="CX290" i="3"/>
  <c r="CW289" i="3"/>
  <c r="CX289" i="3"/>
  <c r="DI274" i="3"/>
  <c r="DF274" i="3"/>
  <c r="DJ274" i="3" s="1"/>
  <c r="DG274" i="3"/>
  <c r="DH274" i="3"/>
  <c r="DG270" i="3"/>
  <c r="DH270" i="3"/>
  <c r="DI270" i="3"/>
  <c r="DF270" i="3"/>
  <c r="DJ270" i="3" s="1"/>
  <c r="DI264" i="3"/>
  <c r="DF264" i="3"/>
  <c r="DJ264" i="3" s="1"/>
  <c r="DG264" i="3"/>
  <c r="DH264" i="3"/>
  <c r="DG248" i="3"/>
  <c r="DH248" i="3"/>
  <c r="DI248" i="3"/>
  <c r="DF248" i="3"/>
  <c r="DJ248" i="3" s="1"/>
  <c r="DI244" i="3"/>
  <c r="DF244" i="3"/>
  <c r="DJ244" i="3" s="1"/>
  <c r="DG244" i="3"/>
  <c r="DH244" i="3"/>
  <c r="CX236" i="3"/>
  <c r="CW230" i="3"/>
  <c r="CX225" i="3"/>
  <c r="CW192" i="3"/>
  <c r="CX189" i="3"/>
  <c r="CX360" i="3"/>
  <c r="CX316" i="3"/>
  <c r="CV308" i="3"/>
  <c r="CX297" i="3"/>
  <c r="CW288" i="3"/>
  <c r="CX286" i="3"/>
  <c r="CX284" i="3"/>
  <c r="DG268" i="3"/>
  <c r="DH268" i="3"/>
  <c r="DI268" i="3"/>
  <c r="DF268" i="3"/>
  <c r="DJ268" i="3" s="1"/>
  <c r="DI262" i="3"/>
  <c r="DF262" i="3"/>
  <c r="DJ262" i="3" s="1"/>
  <c r="DG262" i="3"/>
  <c r="DH262" i="3"/>
  <c r="DI258" i="3"/>
  <c r="DF258" i="3"/>
  <c r="DJ258" i="3" s="1"/>
  <c r="DG258" i="3"/>
  <c r="DH258" i="3"/>
  <c r="DG246" i="3"/>
  <c r="DH246" i="3"/>
  <c r="DI246" i="3"/>
  <c r="DF246" i="3"/>
  <c r="DJ246" i="3" s="1"/>
  <c r="CX242" i="3"/>
  <c r="CW239" i="3"/>
  <c r="CX228" i="3"/>
  <c r="CX214" i="3"/>
  <c r="CX212" i="3"/>
  <c r="CW210" i="3"/>
  <c r="CX204" i="3"/>
  <c r="CX198" i="3"/>
  <c r="CW190" i="3"/>
  <c r="CX184" i="3"/>
  <c r="CX312" i="3"/>
  <c r="CX305" i="3"/>
  <c r="CW298" i="3"/>
  <c r="CW283" i="3"/>
  <c r="CW282" i="3"/>
  <c r="CX282" i="3"/>
  <c r="DG260" i="3"/>
  <c r="DH260" i="3"/>
  <c r="DI260" i="3"/>
  <c r="DF260" i="3"/>
  <c r="DJ260" i="3" s="1"/>
  <c r="DI256" i="3"/>
  <c r="DF256" i="3"/>
  <c r="DJ256" i="3" s="1"/>
  <c r="DG256" i="3"/>
  <c r="DH256" i="3"/>
  <c r="DI252" i="3"/>
  <c r="DF252" i="3"/>
  <c r="DJ252" i="3" s="1"/>
  <c r="DG252" i="3"/>
  <c r="DH252" i="3"/>
  <c r="CX240" i="3"/>
  <c r="CW237" i="3"/>
  <c r="CX229" i="3"/>
  <c r="CX221" i="3"/>
  <c r="CW202" i="3"/>
  <c r="CX199" i="3"/>
  <c r="CX278" i="3"/>
  <c r="DG277" i="3"/>
  <c r="DI275" i="3"/>
  <c r="DJ275" i="3" s="1"/>
  <c r="DI273" i="3"/>
  <c r="DI271" i="3"/>
  <c r="DG269" i="3"/>
  <c r="DG267" i="3"/>
  <c r="CX266" i="3"/>
  <c r="DG265" i="3"/>
  <c r="DI263" i="3"/>
  <c r="DJ263" i="3" s="1"/>
  <c r="DI261" i="3"/>
  <c r="DG259" i="3"/>
  <c r="DI257" i="3"/>
  <c r="DJ257" i="3" s="1"/>
  <c r="DI255" i="3"/>
  <c r="DG253" i="3"/>
  <c r="DI251" i="3"/>
  <c r="DJ251" i="3" s="1"/>
  <c r="DI249" i="3"/>
  <c r="DG247" i="3"/>
  <c r="DG245" i="3"/>
  <c r="DI243" i="3"/>
  <c r="DJ243" i="3" s="1"/>
  <c r="CW231" i="3"/>
  <c r="CV209" i="3"/>
  <c r="CX196" i="3"/>
  <c r="CW180" i="3"/>
  <c r="CX180" i="3"/>
  <c r="CX179" i="3"/>
  <c r="CX178" i="3"/>
  <c r="CX168" i="3"/>
  <c r="CX163" i="3"/>
  <c r="CX154" i="3"/>
  <c r="CW152" i="3"/>
  <c r="CX150" i="3"/>
  <c r="CX141" i="3"/>
  <c r="CX139" i="3"/>
  <c r="CX123" i="3"/>
  <c r="DF277" i="3"/>
  <c r="DJ277" i="3" s="1"/>
  <c r="DF269" i="3"/>
  <c r="DF267" i="3"/>
  <c r="DJ267" i="3" s="1"/>
  <c r="DF265" i="3"/>
  <c r="DJ265" i="3" s="1"/>
  <c r="DF259" i="3"/>
  <c r="DJ259" i="3" s="1"/>
  <c r="DF253" i="3"/>
  <c r="DJ253" i="3" s="1"/>
  <c r="DF247" i="3"/>
  <c r="DF245" i="3"/>
  <c r="DJ245" i="3" s="1"/>
  <c r="CX238" i="3"/>
  <c r="CX222" i="3"/>
  <c r="CV219" i="3"/>
  <c r="CW213" i="3"/>
  <c r="CX210" i="3"/>
  <c r="CX202" i="3"/>
  <c r="CX200" i="3"/>
  <c r="CX195" i="3"/>
  <c r="CW193" i="3"/>
  <c r="CW191" i="3"/>
  <c r="CV189" i="3"/>
  <c r="CX181" i="3"/>
  <c r="CX169" i="3"/>
  <c r="CX155" i="3"/>
  <c r="CX145" i="3"/>
  <c r="CW130" i="3"/>
  <c r="CV236" i="3"/>
  <c r="CV229" i="3"/>
  <c r="CW223" i="3"/>
  <c r="CX216" i="3"/>
  <c r="CW211" i="3"/>
  <c r="CX206" i="3"/>
  <c r="CX186" i="3"/>
  <c r="CW182" i="3"/>
  <c r="CX164" i="3"/>
  <c r="CX162" i="3"/>
  <c r="CX153" i="3"/>
  <c r="CX151" i="3"/>
  <c r="CW142" i="3"/>
  <c r="CW140" i="3"/>
  <c r="CX233" i="3"/>
  <c r="CX226" i="3"/>
  <c r="CW221" i="3"/>
  <c r="CX205" i="3"/>
  <c r="CW203" i="3"/>
  <c r="CW201" i="3"/>
  <c r="CV199" i="3"/>
  <c r="CX192" i="3"/>
  <c r="CX190" i="3"/>
  <c r="CX185" i="3"/>
  <c r="CW170" i="3"/>
  <c r="CX138" i="3"/>
  <c r="CX128" i="3"/>
  <c r="CW183" i="3"/>
  <c r="CX176" i="3"/>
  <c r="CW171" i="3"/>
  <c r="CX152" i="3"/>
  <c r="CV149" i="3"/>
  <c r="CW143" i="3"/>
  <c r="CX140" i="3"/>
  <c r="CX136" i="3"/>
  <c r="CW131" i="3"/>
  <c r="CX126" i="3"/>
  <c r="CW120" i="3"/>
  <c r="CV119" i="3"/>
  <c r="CX119" i="3"/>
  <c r="CX118" i="3"/>
  <c r="CX116" i="3"/>
  <c r="CX113" i="3"/>
  <c r="CX103" i="3"/>
  <c r="CX101" i="3"/>
  <c r="CX98" i="3"/>
  <c r="CW92" i="3"/>
  <c r="CW90" i="3"/>
  <c r="CW181" i="3"/>
  <c r="CV159" i="3"/>
  <c r="CW153" i="3"/>
  <c r="CX146" i="3"/>
  <c r="CW141" i="3"/>
  <c r="CX125" i="3"/>
  <c r="CW123" i="3"/>
  <c r="CX115" i="3"/>
  <c r="CX114" i="3"/>
  <c r="CX79" i="3"/>
  <c r="CV169" i="3"/>
  <c r="CW163" i="3"/>
  <c r="CX156" i="3"/>
  <c r="CW151" i="3"/>
  <c r="CX104" i="3"/>
  <c r="CW102" i="3"/>
  <c r="CW100" i="3"/>
  <c r="CX91" i="3"/>
  <c r="CX88" i="3"/>
  <c r="CX74" i="3"/>
  <c r="CV179" i="3"/>
  <c r="CW173" i="3"/>
  <c r="CX166" i="3"/>
  <c r="CW161" i="3"/>
  <c r="CV139" i="3"/>
  <c r="CW133" i="3"/>
  <c r="CV129" i="3"/>
  <c r="CW112" i="3"/>
  <c r="CX112" i="3"/>
  <c r="CW111" i="3"/>
  <c r="CX111" i="3"/>
  <c r="CX105" i="3"/>
  <c r="CX95" i="3"/>
  <c r="CW121" i="3"/>
  <c r="CX102" i="3"/>
  <c r="CV99" i="3"/>
  <c r="CW93" i="3"/>
  <c r="CX90" i="3"/>
  <c r="CV89" i="3"/>
  <c r="CX82" i="3"/>
  <c r="CX80" i="3"/>
  <c r="CX75" i="3"/>
  <c r="CV109" i="3"/>
  <c r="CW103" i="3"/>
  <c r="CX100" i="3"/>
  <c r="CX96" i="3"/>
  <c r="CW91" i="3"/>
  <c r="CX86" i="3"/>
  <c r="CW113" i="3"/>
  <c r="CX106" i="3"/>
  <c r="CW101" i="3"/>
  <c r="CX85" i="3"/>
  <c r="CW83" i="3"/>
  <c r="CW81" i="3"/>
  <c r="CV79" i="3"/>
  <c r="CX76" i="3"/>
  <c r="CW73" i="3"/>
  <c r="CX72" i="3"/>
  <c r="CW71" i="3"/>
  <c r="CX70" i="3"/>
  <c r="CX69" i="3"/>
  <c r="CV69" i="3"/>
  <c r="CX55" i="3"/>
  <c r="CW53" i="3"/>
  <c r="CX53" i="3"/>
  <c r="CW51" i="3"/>
  <c r="CX51" i="3"/>
  <c r="CX47" i="3"/>
  <c r="CX15" i="3"/>
  <c r="CX66" i="3"/>
  <c r="CV49" i="3"/>
  <c r="CX49" i="3"/>
  <c r="CX46" i="3"/>
  <c r="CW63" i="3"/>
  <c r="CX63" i="3"/>
  <c r="CW61" i="3"/>
  <c r="CX61" i="3"/>
  <c r="CX57" i="3"/>
  <c r="CW43" i="3"/>
  <c r="CX43" i="3"/>
  <c r="CW41" i="3"/>
  <c r="CX41" i="3"/>
  <c r="CX26" i="3"/>
  <c r="CV59" i="3"/>
  <c r="CX59" i="3"/>
  <c r="CX56" i="3"/>
  <c r="CX35" i="3"/>
  <c r="CX29" i="3"/>
  <c r="CV29" i="3"/>
  <c r="CX39" i="3"/>
  <c r="CV39" i="3"/>
  <c r="CX36" i="3"/>
  <c r="CX19" i="3"/>
  <c r="CV19" i="3"/>
  <c r="CX16" i="3"/>
  <c r="CX5" i="3"/>
  <c r="CX33" i="3"/>
  <c r="CW33" i="3"/>
  <c r="CX31" i="3"/>
  <c r="CW31" i="3"/>
  <c r="CX13" i="3"/>
  <c r="CW13" i="3"/>
  <c r="CX11" i="3"/>
  <c r="CW11" i="3"/>
  <c r="CX3" i="3"/>
  <c r="CX9" i="3"/>
  <c r="CV9" i="3"/>
  <c r="CX1" i="3"/>
  <c r="CX23" i="3"/>
  <c r="CW23" i="3"/>
  <c r="CX21" i="3"/>
  <c r="CW21" i="3"/>
  <c r="CX7" i="3"/>
  <c r="CW7" i="3"/>
  <c r="CV5" i="3"/>
  <c r="CW3" i="3"/>
  <c r="CV1" i="3"/>
  <c r="AE345" i="1" l="1"/>
  <c r="R364" i="1"/>
  <c r="AL26" i="1"/>
  <c r="Y35" i="1"/>
  <c r="ED26" i="1"/>
  <c r="DQ35" i="1"/>
  <c r="DG43" i="3"/>
  <c r="DJ43" i="3" s="1"/>
  <c r="DH43" i="3"/>
  <c r="DF43" i="3"/>
  <c r="DI43" i="3"/>
  <c r="DH56" i="3"/>
  <c r="DI56" i="3"/>
  <c r="DF56" i="3"/>
  <c r="DJ56" i="3" s="1"/>
  <c r="DG56" i="3"/>
  <c r="DG57" i="3"/>
  <c r="DH57" i="3"/>
  <c r="DF57" i="3"/>
  <c r="DJ57" i="3" s="1"/>
  <c r="DI57" i="3"/>
  <c r="DH66" i="3"/>
  <c r="DI66" i="3"/>
  <c r="DG66" i="3"/>
  <c r="DF66" i="3"/>
  <c r="DJ66" i="3" s="1"/>
  <c r="DH75" i="3"/>
  <c r="DI75" i="3"/>
  <c r="DF75" i="3"/>
  <c r="DJ75" i="3" s="1"/>
  <c r="DG75" i="3"/>
  <c r="DG91" i="3"/>
  <c r="DJ91" i="3" s="1"/>
  <c r="DF91" i="3"/>
  <c r="DH91" i="3"/>
  <c r="DI91" i="3"/>
  <c r="DF79" i="3"/>
  <c r="DG79" i="3"/>
  <c r="DH79" i="3"/>
  <c r="DI79" i="3"/>
  <c r="DJ79" i="3" s="1"/>
  <c r="DH125" i="3"/>
  <c r="DI125" i="3"/>
  <c r="DG125" i="3"/>
  <c r="DF125" i="3"/>
  <c r="DJ125" i="3" s="1"/>
  <c r="DF98" i="3"/>
  <c r="DJ98" i="3" s="1"/>
  <c r="DH98" i="3"/>
  <c r="DI98" i="3"/>
  <c r="DG98" i="3"/>
  <c r="DH116" i="3"/>
  <c r="DG116" i="3"/>
  <c r="DI116" i="3"/>
  <c r="DF116" i="3"/>
  <c r="DJ116" i="3" s="1"/>
  <c r="DI140" i="3"/>
  <c r="DF140" i="3"/>
  <c r="DG140" i="3"/>
  <c r="DJ140" i="3" s="1"/>
  <c r="DH140" i="3"/>
  <c r="DF138" i="3"/>
  <c r="DJ138" i="3" s="1"/>
  <c r="DG138" i="3"/>
  <c r="DH138" i="3"/>
  <c r="DI138" i="3"/>
  <c r="DH192" i="3"/>
  <c r="DI192" i="3"/>
  <c r="DF192" i="3"/>
  <c r="DG192" i="3"/>
  <c r="DJ192" i="3" s="1"/>
  <c r="DH205" i="3"/>
  <c r="DI205" i="3"/>
  <c r="DF205" i="3"/>
  <c r="DJ205" i="3" s="1"/>
  <c r="DG205" i="3"/>
  <c r="DI162" i="3"/>
  <c r="DF162" i="3"/>
  <c r="DG162" i="3"/>
  <c r="DJ162" i="3" s="1"/>
  <c r="DH162" i="3"/>
  <c r="DG206" i="3"/>
  <c r="DH206" i="3"/>
  <c r="DF206" i="3"/>
  <c r="DJ206" i="3" s="1"/>
  <c r="DI206" i="3"/>
  <c r="DI155" i="3"/>
  <c r="DF155" i="3"/>
  <c r="DJ155" i="3" s="1"/>
  <c r="DG155" i="3"/>
  <c r="DH155" i="3"/>
  <c r="DH202" i="3"/>
  <c r="DI202" i="3"/>
  <c r="DF202" i="3"/>
  <c r="DG202" i="3"/>
  <c r="DJ202" i="3" s="1"/>
  <c r="DI222" i="3"/>
  <c r="DF222" i="3"/>
  <c r="DG222" i="3"/>
  <c r="DJ222" i="3" s="1"/>
  <c r="DH222" i="3"/>
  <c r="DG141" i="3"/>
  <c r="DJ141" i="3" s="1"/>
  <c r="DF141" i="3"/>
  <c r="DH141" i="3"/>
  <c r="DI141" i="3"/>
  <c r="DG163" i="3"/>
  <c r="DJ163" i="3" s="1"/>
  <c r="DF163" i="3"/>
  <c r="DH163" i="3"/>
  <c r="DI163" i="3"/>
  <c r="DI180" i="3"/>
  <c r="DG180" i="3"/>
  <c r="DJ180" i="3" s="1"/>
  <c r="DH180" i="3"/>
  <c r="DF180" i="3"/>
  <c r="DF278" i="3"/>
  <c r="DG278" i="3"/>
  <c r="DH278" i="3"/>
  <c r="DI278" i="3"/>
  <c r="DJ278" i="3" s="1"/>
  <c r="DG229" i="3"/>
  <c r="DF229" i="3"/>
  <c r="DH229" i="3"/>
  <c r="DI229" i="3"/>
  <c r="DJ229" i="3" s="1"/>
  <c r="DH312" i="3"/>
  <c r="DF312" i="3"/>
  <c r="DJ312" i="3" s="1"/>
  <c r="DG312" i="3"/>
  <c r="DI312" i="3"/>
  <c r="DI204" i="3"/>
  <c r="DF204" i="3"/>
  <c r="DJ204" i="3" s="1"/>
  <c r="DG204" i="3"/>
  <c r="DH204" i="3"/>
  <c r="DF228" i="3"/>
  <c r="DJ228" i="3" s="1"/>
  <c r="DG228" i="3"/>
  <c r="DH228" i="3"/>
  <c r="DI228" i="3"/>
  <c r="DF286" i="3"/>
  <c r="DJ286" i="3" s="1"/>
  <c r="DG286" i="3"/>
  <c r="DH286" i="3"/>
  <c r="DI286" i="3"/>
  <c r="DH316" i="3"/>
  <c r="DI316" i="3"/>
  <c r="DF316" i="3"/>
  <c r="DJ316" i="3" s="1"/>
  <c r="DG316" i="3"/>
  <c r="DI225" i="3"/>
  <c r="DG225" i="3"/>
  <c r="DH225" i="3"/>
  <c r="DF225" i="3"/>
  <c r="DJ225" i="3" s="1"/>
  <c r="DI188" i="3"/>
  <c r="DF188" i="3"/>
  <c r="DJ188" i="3" s="1"/>
  <c r="DH188" i="3"/>
  <c r="DG188" i="3"/>
  <c r="DG213" i="3"/>
  <c r="DJ213" i="3" s="1"/>
  <c r="DF213" i="3"/>
  <c r="DH213" i="3"/>
  <c r="DI213" i="3"/>
  <c r="DI349" i="3"/>
  <c r="DF349" i="3"/>
  <c r="DG349" i="3"/>
  <c r="DJ349" i="3" s="1"/>
  <c r="DH349" i="3"/>
  <c r="DF329" i="3"/>
  <c r="DJ329" i="3" s="1"/>
  <c r="DG329" i="3"/>
  <c r="DH329" i="3"/>
  <c r="DI329" i="3"/>
  <c r="DI367" i="3"/>
  <c r="DF367" i="3"/>
  <c r="DJ367" i="3" s="1"/>
  <c r="DG367" i="3"/>
  <c r="DH367" i="3"/>
  <c r="DF303" i="3"/>
  <c r="DJ303" i="3" s="1"/>
  <c r="DG303" i="3"/>
  <c r="DH303" i="3"/>
  <c r="DI303" i="3"/>
  <c r="DH389" i="3"/>
  <c r="DG389" i="3"/>
  <c r="DJ389" i="3" s="1"/>
  <c r="DI389" i="3"/>
  <c r="DF389" i="3"/>
  <c r="DI315" i="3"/>
  <c r="DF315" i="3"/>
  <c r="DJ315" i="3" s="1"/>
  <c r="DG315" i="3"/>
  <c r="DH315" i="3"/>
  <c r="DI371" i="3"/>
  <c r="DF371" i="3"/>
  <c r="DJ371" i="3" s="1"/>
  <c r="DG371" i="3"/>
  <c r="DH371" i="3"/>
  <c r="DH401" i="3"/>
  <c r="DF401" i="3"/>
  <c r="DG401" i="3"/>
  <c r="DJ401" i="3" s="1"/>
  <c r="DI401" i="3"/>
  <c r="DF428" i="3"/>
  <c r="DG428" i="3"/>
  <c r="DJ428" i="3" s="1"/>
  <c r="DH428" i="3"/>
  <c r="DI428" i="3"/>
  <c r="DF450" i="3"/>
  <c r="DG450" i="3"/>
  <c r="DJ450" i="3" s="1"/>
  <c r="DH450" i="3"/>
  <c r="DI450" i="3"/>
  <c r="DI330" i="3"/>
  <c r="DF330" i="3"/>
  <c r="DJ330" i="3" s="1"/>
  <c r="DG330" i="3"/>
  <c r="DH330" i="3"/>
  <c r="DH393" i="3"/>
  <c r="DF393" i="3"/>
  <c r="DJ393" i="3" s="1"/>
  <c r="DG393" i="3"/>
  <c r="DI393" i="3"/>
  <c r="DG420" i="3"/>
  <c r="DH420" i="3"/>
  <c r="DI420" i="3"/>
  <c r="DF420" i="3"/>
  <c r="DJ420" i="3" s="1"/>
  <c r="DG442" i="3"/>
  <c r="DH442" i="3"/>
  <c r="DI442" i="3"/>
  <c r="DF442" i="3"/>
  <c r="DJ442" i="3" s="1"/>
  <c r="DG8" i="3"/>
  <c r="DF8" i="3"/>
  <c r="DJ8" i="3" s="1"/>
  <c r="DH8" i="3"/>
  <c r="DI8" i="3"/>
  <c r="DG28" i="3"/>
  <c r="DF28" i="3"/>
  <c r="DJ28" i="3" s="1"/>
  <c r="DH28" i="3"/>
  <c r="DI28" i="3"/>
  <c r="DH27" i="3"/>
  <c r="DG27" i="3"/>
  <c r="DF27" i="3"/>
  <c r="DJ27" i="3" s="1"/>
  <c r="DI27" i="3"/>
  <c r="DG68" i="3"/>
  <c r="DI68" i="3"/>
  <c r="DF68" i="3"/>
  <c r="DJ68" i="3" s="1"/>
  <c r="DH68" i="3"/>
  <c r="DI65" i="3"/>
  <c r="DF65" i="3"/>
  <c r="DJ65" i="3" s="1"/>
  <c r="DH65" i="3"/>
  <c r="DG65" i="3"/>
  <c r="DI60" i="3"/>
  <c r="DF60" i="3"/>
  <c r="DG60" i="3"/>
  <c r="DJ60" i="3" s="1"/>
  <c r="DH60" i="3"/>
  <c r="DF2" i="3"/>
  <c r="DG2" i="3"/>
  <c r="DJ2" i="3" s="1"/>
  <c r="DH2" i="3"/>
  <c r="DI2" i="3"/>
  <c r="DG18" i="3"/>
  <c r="DF18" i="3"/>
  <c r="DJ18" i="3" s="1"/>
  <c r="DH18" i="3"/>
  <c r="DI18" i="3"/>
  <c r="DI52" i="3"/>
  <c r="DF52" i="3"/>
  <c r="DG52" i="3"/>
  <c r="DJ52" i="3" s="1"/>
  <c r="DH52" i="3"/>
  <c r="DI403" i="3"/>
  <c r="DF403" i="3"/>
  <c r="DJ403" i="3" s="1"/>
  <c r="DG403" i="3"/>
  <c r="DH403" i="3"/>
  <c r="DG457" i="3"/>
  <c r="DH457" i="3"/>
  <c r="DI457" i="3"/>
  <c r="DF457" i="3"/>
  <c r="DJ457" i="3" s="1"/>
  <c r="FR33" i="1"/>
  <c r="CP33" i="1"/>
  <c r="O33" i="1" s="1"/>
  <c r="GM33" i="1" s="1"/>
  <c r="AU26" i="1"/>
  <c r="F54" i="1"/>
  <c r="AU394" i="1"/>
  <c r="DF421" i="3"/>
  <c r="DJ421" i="3" s="1"/>
  <c r="DG421" i="3"/>
  <c r="DH421" i="3"/>
  <c r="DI421" i="3"/>
  <c r="DH472" i="3"/>
  <c r="DI472" i="3"/>
  <c r="DF472" i="3"/>
  <c r="DJ472" i="3" s="1"/>
  <c r="DG472" i="3"/>
  <c r="EC26" i="1"/>
  <c r="DP35" i="1"/>
  <c r="BD26" i="1"/>
  <c r="F60" i="1"/>
  <c r="BD394" i="1"/>
  <c r="X73" i="1"/>
  <c r="CY73" i="1"/>
  <c r="Y73" i="1"/>
  <c r="CZ73" i="1"/>
  <c r="DF32" i="3"/>
  <c r="DI32" i="3"/>
  <c r="DG32" i="3"/>
  <c r="DJ32" i="3" s="1"/>
  <c r="DH32" i="3"/>
  <c r="DL35" i="1"/>
  <c r="DY26" i="1"/>
  <c r="DF44" i="3"/>
  <c r="DJ44" i="3" s="1"/>
  <c r="DG44" i="3"/>
  <c r="DH44" i="3"/>
  <c r="DI44" i="3"/>
  <c r="DI45" i="3"/>
  <c r="DF45" i="3"/>
  <c r="DJ45" i="3" s="1"/>
  <c r="DH45" i="3"/>
  <c r="DG45" i="3"/>
  <c r="DF87" i="3"/>
  <c r="DJ87" i="3" s="1"/>
  <c r="DG87" i="3"/>
  <c r="DH87" i="3"/>
  <c r="DI87" i="3"/>
  <c r="DF73" i="3"/>
  <c r="DG73" i="3"/>
  <c r="DJ73" i="3" s="1"/>
  <c r="DH73" i="3"/>
  <c r="DI73" i="3"/>
  <c r="DF94" i="3"/>
  <c r="DJ94" i="3" s="1"/>
  <c r="DI94" i="3"/>
  <c r="DG94" i="3"/>
  <c r="DH94" i="3"/>
  <c r="X117" i="1"/>
  <c r="CY117" i="1"/>
  <c r="Y117" i="1"/>
  <c r="CZ117" i="1"/>
  <c r="X125" i="1"/>
  <c r="CY125" i="1"/>
  <c r="Y125" i="1"/>
  <c r="CZ125" i="1"/>
  <c r="DF158" i="3"/>
  <c r="DJ158" i="3" s="1"/>
  <c r="DI158" i="3"/>
  <c r="DG158" i="3"/>
  <c r="DH158" i="3"/>
  <c r="R26" i="1"/>
  <c r="F49" i="1"/>
  <c r="DV26" i="1"/>
  <c r="DI35" i="1"/>
  <c r="CP72" i="1"/>
  <c r="O72" i="1" s="1"/>
  <c r="GM72" i="1" s="1"/>
  <c r="GN72" i="1" s="1"/>
  <c r="GM86" i="1"/>
  <c r="GN86" i="1" s="1"/>
  <c r="X93" i="1"/>
  <c r="GM93" i="1" s="1"/>
  <c r="GN93" i="1" s="1"/>
  <c r="CY93" i="1"/>
  <c r="Y93" i="1"/>
  <c r="CZ93" i="1"/>
  <c r="GM99" i="1"/>
  <c r="GN99" i="1" s="1"/>
  <c r="DG121" i="3"/>
  <c r="DJ121" i="3" s="1"/>
  <c r="DF121" i="3"/>
  <c r="DH121" i="3"/>
  <c r="DI121" i="3"/>
  <c r="EB26" i="1"/>
  <c r="DO35" i="1"/>
  <c r="CP112" i="1"/>
  <c r="O112" i="1" s="1"/>
  <c r="DF134" i="3"/>
  <c r="DJ134" i="3" s="1"/>
  <c r="DH134" i="3"/>
  <c r="DI134" i="3"/>
  <c r="DG134" i="3"/>
  <c r="DI135" i="3"/>
  <c r="DH135" i="3"/>
  <c r="DF135" i="3"/>
  <c r="DJ135" i="3" s="1"/>
  <c r="DG135" i="3"/>
  <c r="GM128" i="1"/>
  <c r="GN128" i="1" s="1"/>
  <c r="DG177" i="3"/>
  <c r="DF177" i="3"/>
  <c r="DJ177" i="3" s="1"/>
  <c r="DI177" i="3"/>
  <c r="DH177" i="3"/>
  <c r="DI172" i="3"/>
  <c r="DG172" i="3"/>
  <c r="DJ172" i="3" s="1"/>
  <c r="DH172" i="3"/>
  <c r="DF172" i="3"/>
  <c r="DI170" i="3"/>
  <c r="DH170" i="3"/>
  <c r="DF170" i="3"/>
  <c r="DG170" i="3"/>
  <c r="DJ170" i="3" s="1"/>
  <c r="X148" i="1"/>
  <c r="CY148" i="1"/>
  <c r="Y148" i="1"/>
  <c r="CZ148" i="1"/>
  <c r="EM67" i="1"/>
  <c r="P195" i="1"/>
  <c r="EM394" i="1"/>
  <c r="CP117" i="1"/>
  <c r="O117" i="1" s="1"/>
  <c r="GM117" i="1" s="1"/>
  <c r="GN117" i="1" s="1"/>
  <c r="BB67" i="1"/>
  <c r="F189" i="1"/>
  <c r="BB394" i="1"/>
  <c r="GM107" i="1"/>
  <c r="GN107" i="1" s="1"/>
  <c r="Y137" i="1"/>
  <c r="CZ137" i="1"/>
  <c r="CY137" i="1"/>
  <c r="X137" i="1"/>
  <c r="DF201" i="3"/>
  <c r="DG201" i="3"/>
  <c r="DJ201" i="3" s="1"/>
  <c r="DI201" i="3"/>
  <c r="DH201" i="3"/>
  <c r="DG227" i="3"/>
  <c r="DF227" i="3"/>
  <c r="DJ227" i="3" s="1"/>
  <c r="DH227" i="3"/>
  <c r="DI227" i="3"/>
  <c r="DI220" i="3"/>
  <c r="DG220" i="3"/>
  <c r="DJ220" i="3" s="1"/>
  <c r="DH220" i="3"/>
  <c r="DF220" i="3"/>
  <c r="BC67" i="1"/>
  <c r="F192" i="1"/>
  <c r="DG159" i="3"/>
  <c r="DI159" i="3"/>
  <c r="DJ159" i="3" s="1"/>
  <c r="DF159" i="3"/>
  <c r="DH159" i="3"/>
  <c r="DF193" i="3"/>
  <c r="DG193" i="3"/>
  <c r="DJ193" i="3" s="1"/>
  <c r="DH193" i="3"/>
  <c r="DI193" i="3"/>
  <c r="DG211" i="3"/>
  <c r="DJ211" i="3" s="1"/>
  <c r="DF211" i="3"/>
  <c r="DH211" i="3"/>
  <c r="DI211" i="3"/>
  <c r="S168" i="1"/>
  <c r="P168" i="1"/>
  <c r="Q168" i="1"/>
  <c r="DV176" i="1" s="1"/>
  <c r="R168" i="1"/>
  <c r="EH67" i="1"/>
  <c r="P185" i="1"/>
  <c r="AG67" i="1"/>
  <c r="T176" i="1"/>
  <c r="V168" i="1"/>
  <c r="EA176" i="1" s="1"/>
  <c r="GM210" i="1"/>
  <c r="AU67" i="1"/>
  <c r="F195" i="1"/>
  <c r="X229" i="1"/>
  <c r="CY229" i="1"/>
  <c r="Y229" i="1"/>
  <c r="CZ229" i="1"/>
  <c r="X237" i="1"/>
  <c r="CY237" i="1"/>
  <c r="Y237" i="1"/>
  <c r="CZ237" i="1"/>
  <c r="X246" i="1"/>
  <c r="CY246" i="1"/>
  <c r="Y246" i="1"/>
  <c r="CZ246" i="1"/>
  <c r="AO208" i="1"/>
  <c r="F254" i="1"/>
  <c r="DI311" i="3"/>
  <c r="DG311" i="3"/>
  <c r="DJ311" i="3" s="1"/>
  <c r="DH311" i="3"/>
  <c r="DF311" i="3"/>
  <c r="DF366" i="3"/>
  <c r="DJ366" i="3" s="1"/>
  <c r="DG366" i="3"/>
  <c r="DH366" i="3"/>
  <c r="DI366" i="3"/>
  <c r="DG365" i="3"/>
  <c r="DH365" i="3"/>
  <c r="DI365" i="3"/>
  <c r="DF365" i="3"/>
  <c r="DJ365" i="3" s="1"/>
  <c r="DH364" i="3"/>
  <c r="DI364" i="3"/>
  <c r="DF364" i="3"/>
  <c r="DJ364" i="3" s="1"/>
  <c r="DG364" i="3"/>
  <c r="DH423" i="3"/>
  <c r="DI423" i="3"/>
  <c r="DF423" i="3"/>
  <c r="DJ423" i="3" s="1"/>
  <c r="DG423" i="3"/>
  <c r="GX168" i="1"/>
  <c r="GB176" i="1" s="1"/>
  <c r="GM212" i="1"/>
  <c r="GN212" i="1" s="1"/>
  <c r="DI283" i="3"/>
  <c r="DF283" i="3"/>
  <c r="DG283" i="3"/>
  <c r="DJ283" i="3" s="1"/>
  <c r="DH283" i="3"/>
  <c r="EV208" i="1"/>
  <c r="P275" i="1"/>
  <c r="DG302" i="3"/>
  <c r="DF302" i="3"/>
  <c r="DJ302" i="3" s="1"/>
  <c r="DH302" i="3"/>
  <c r="DI302" i="3"/>
  <c r="DI300" i="3"/>
  <c r="DH300" i="3"/>
  <c r="DF300" i="3"/>
  <c r="DJ300" i="3" s="1"/>
  <c r="DG300" i="3"/>
  <c r="DG348" i="3"/>
  <c r="DJ348" i="3" s="1"/>
  <c r="DH348" i="3"/>
  <c r="DI348" i="3"/>
  <c r="DF348" i="3"/>
  <c r="DF402" i="3"/>
  <c r="DG402" i="3"/>
  <c r="DJ402" i="3" s="1"/>
  <c r="DH402" i="3"/>
  <c r="DI402" i="3"/>
  <c r="DG405" i="3"/>
  <c r="DI405" i="3"/>
  <c r="DF405" i="3"/>
  <c r="DJ405" i="3" s="1"/>
  <c r="DH405" i="3"/>
  <c r="CG67" i="1"/>
  <c r="AX176" i="1"/>
  <c r="DU250" i="1"/>
  <c r="CP223" i="1"/>
  <c r="O223" i="1" s="1"/>
  <c r="GM223" i="1" s="1"/>
  <c r="GN223" i="1" s="1"/>
  <c r="AU208" i="1"/>
  <c r="F269" i="1"/>
  <c r="DG334" i="3"/>
  <c r="DH334" i="3"/>
  <c r="DI334" i="3"/>
  <c r="DJ334" i="3" s="1"/>
  <c r="DF334" i="3"/>
  <c r="DG386" i="3"/>
  <c r="DF386" i="3"/>
  <c r="DH386" i="3"/>
  <c r="DI386" i="3"/>
  <c r="DJ386" i="3" s="1"/>
  <c r="AG208" i="1"/>
  <c r="T250" i="1"/>
  <c r="GM234" i="1"/>
  <c r="GN234" i="1" s="1"/>
  <c r="X289" i="1"/>
  <c r="CY289" i="1"/>
  <c r="Y289" i="1"/>
  <c r="CZ289" i="1"/>
  <c r="DX313" i="1"/>
  <c r="DG374" i="3"/>
  <c r="DJ374" i="3" s="1"/>
  <c r="DH374" i="3"/>
  <c r="DI374" i="3"/>
  <c r="DF374" i="3"/>
  <c r="GB282" i="1"/>
  <c r="ES313" i="1"/>
  <c r="DH425" i="3"/>
  <c r="DI425" i="3"/>
  <c r="DJ425" i="3" s="1"/>
  <c r="DF425" i="3"/>
  <c r="DG425" i="3"/>
  <c r="CI282" i="1"/>
  <c r="AZ313" i="1"/>
  <c r="CP348" i="1"/>
  <c r="O348" i="1" s="1"/>
  <c r="DU364" i="1"/>
  <c r="P389" i="1"/>
  <c r="EV345" i="1"/>
  <c r="CJ208" i="1"/>
  <c r="BA250" i="1"/>
  <c r="GM239" i="1"/>
  <c r="GN239" i="1" s="1"/>
  <c r="DI467" i="3"/>
  <c r="DF467" i="3"/>
  <c r="DJ467" i="3" s="1"/>
  <c r="DG467" i="3"/>
  <c r="DH467" i="3"/>
  <c r="DF462" i="3"/>
  <c r="DJ462" i="3" s="1"/>
  <c r="DG462" i="3"/>
  <c r="DH462" i="3"/>
  <c r="DI462" i="3"/>
  <c r="DI477" i="3"/>
  <c r="DJ477" i="3" s="1"/>
  <c r="DF477" i="3"/>
  <c r="DG477" i="3"/>
  <c r="DH477" i="3"/>
  <c r="EA208" i="1"/>
  <c r="DN250" i="1"/>
  <c r="CP237" i="1"/>
  <c r="O237" i="1" s="1"/>
  <c r="GM237" i="1" s="1"/>
  <c r="GO237" i="1" s="1"/>
  <c r="CP246" i="1"/>
  <c r="O246" i="1" s="1"/>
  <c r="GM246" i="1" s="1"/>
  <c r="GN246" i="1" s="1"/>
  <c r="DG332" i="3"/>
  <c r="DH332" i="3"/>
  <c r="DI332" i="3"/>
  <c r="DF332" i="3"/>
  <c r="DJ332" i="3" s="1"/>
  <c r="X291" i="1"/>
  <c r="CY291" i="1"/>
  <c r="Y291" i="1"/>
  <c r="CZ291" i="1"/>
  <c r="DI451" i="3"/>
  <c r="DF451" i="3"/>
  <c r="DJ451" i="3" s="1"/>
  <c r="DG451" i="3"/>
  <c r="DH451" i="3"/>
  <c r="DH452" i="3"/>
  <c r="DI452" i="3"/>
  <c r="DF452" i="3"/>
  <c r="DJ452" i="3" s="1"/>
  <c r="DG452" i="3"/>
  <c r="AP282" i="1"/>
  <c r="F322" i="1"/>
  <c r="DI475" i="3"/>
  <c r="DF475" i="3"/>
  <c r="DJ475" i="3" s="1"/>
  <c r="DG475" i="3"/>
  <c r="DH475" i="3"/>
  <c r="DY208" i="1"/>
  <c r="DL250" i="1"/>
  <c r="GM235" i="1"/>
  <c r="GN235" i="1" s="1"/>
  <c r="GM245" i="1"/>
  <c r="GN245" i="1" s="1"/>
  <c r="GM286" i="1"/>
  <c r="GN286" i="1" s="1"/>
  <c r="S290" i="1"/>
  <c r="DZ282" i="1"/>
  <c r="DM313" i="1"/>
  <c r="GM304" i="1"/>
  <c r="GN304" i="1" s="1"/>
  <c r="DH436" i="3"/>
  <c r="DI436" i="3"/>
  <c r="DJ436" i="3" s="1"/>
  <c r="DF436" i="3"/>
  <c r="DG436" i="3"/>
  <c r="BC282" i="1"/>
  <c r="F329" i="1"/>
  <c r="GM355" i="1"/>
  <c r="GN355" i="1" s="1"/>
  <c r="GM359" i="1"/>
  <c r="GN359" i="1" s="1"/>
  <c r="AQ282" i="1"/>
  <c r="F323" i="1"/>
  <c r="P332" i="1"/>
  <c r="EM282" i="1"/>
  <c r="GM301" i="1"/>
  <c r="GN301" i="1" s="1"/>
  <c r="P323" i="1"/>
  <c r="EI282" i="1"/>
  <c r="DN313" i="1"/>
  <c r="EA282" i="1"/>
  <c r="EL282" i="1"/>
  <c r="P331" i="1"/>
  <c r="EC364" i="1"/>
  <c r="P378" i="1"/>
  <c r="DJ345" i="1"/>
  <c r="GB345" i="1"/>
  <c r="ES364" i="1"/>
  <c r="DH5" i="3"/>
  <c r="DI5" i="3"/>
  <c r="DJ5" i="3" s="1"/>
  <c r="DF5" i="3"/>
  <c r="DG5" i="3"/>
  <c r="DH29" i="3"/>
  <c r="DG29" i="3"/>
  <c r="DF29" i="3"/>
  <c r="DI29" i="3"/>
  <c r="DJ29" i="3" s="1"/>
  <c r="DG76" i="3"/>
  <c r="DH76" i="3"/>
  <c r="DF76" i="3"/>
  <c r="DJ76" i="3" s="1"/>
  <c r="DI76" i="3"/>
  <c r="DH9" i="3"/>
  <c r="DG9" i="3"/>
  <c r="DI9" i="3"/>
  <c r="DJ9" i="3" s="1"/>
  <c r="DF9" i="3"/>
  <c r="DH39" i="3"/>
  <c r="DG39" i="3"/>
  <c r="DI39" i="3"/>
  <c r="DJ39" i="3" s="1"/>
  <c r="DF39" i="3"/>
  <c r="DG41" i="3"/>
  <c r="DJ41" i="3" s="1"/>
  <c r="DH41" i="3"/>
  <c r="DF41" i="3"/>
  <c r="DI41" i="3"/>
  <c r="DF72" i="3"/>
  <c r="DH72" i="3"/>
  <c r="DI72" i="3"/>
  <c r="DG72" i="3"/>
  <c r="DJ72" i="3" s="1"/>
  <c r="DH106" i="3"/>
  <c r="DI106" i="3"/>
  <c r="DF106" i="3"/>
  <c r="DJ106" i="3" s="1"/>
  <c r="DG106" i="3"/>
  <c r="DH96" i="3"/>
  <c r="DG96" i="3"/>
  <c r="DI96" i="3"/>
  <c r="DF96" i="3"/>
  <c r="DJ96" i="3" s="1"/>
  <c r="DI90" i="3"/>
  <c r="DF90" i="3"/>
  <c r="DG90" i="3"/>
  <c r="DJ90" i="3" s="1"/>
  <c r="DH90" i="3"/>
  <c r="DH7" i="3"/>
  <c r="DF7" i="3"/>
  <c r="DG7" i="3"/>
  <c r="DJ7" i="3" s="1"/>
  <c r="DI7" i="3"/>
  <c r="DH23" i="3"/>
  <c r="DG23" i="3"/>
  <c r="DJ23" i="3" s="1"/>
  <c r="DI23" i="3"/>
  <c r="DF23" i="3"/>
  <c r="DH3" i="3"/>
  <c r="DI3" i="3"/>
  <c r="DF3" i="3"/>
  <c r="DG3" i="3"/>
  <c r="DJ3" i="3" s="1"/>
  <c r="DH13" i="3"/>
  <c r="DG13" i="3"/>
  <c r="DJ13" i="3" s="1"/>
  <c r="DI13" i="3"/>
  <c r="DF13" i="3"/>
  <c r="DH33" i="3"/>
  <c r="DG33" i="3"/>
  <c r="DJ33" i="3" s="1"/>
  <c r="DF33" i="3"/>
  <c r="DI33" i="3"/>
  <c r="DH19" i="3"/>
  <c r="DG19" i="3"/>
  <c r="DI19" i="3"/>
  <c r="DJ19" i="3" s="1"/>
  <c r="DF19" i="3"/>
  <c r="DG59" i="3"/>
  <c r="DH59" i="3"/>
  <c r="DF59" i="3"/>
  <c r="DI59" i="3"/>
  <c r="DJ59" i="3" s="1"/>
  <c r="DG61" i="3"/>
  <c r="DJ61" i="3" s="1"/>
  <c r="DH61" i="3"/>
  <c r="DF61" i="3"/>
  <c r="DI61" i="3"/>
  <c r="DH46" i="3"/>
  <c r="DI46" i="3"/>
  <c r="DG46" i="3"/>
  <c r="DF46" i="3"/>
  <c r="DJ46" i="3" s="1"/>
  <c r="DF15" i="3"/>
  <c r="DJ15" i="3" s="1"/>
  <c r="DI15" i="3"/>
  <c r="DG15" i="3"/>
  <c r="DH15" i="3"/>
  <c r="DG53" i="3"/>
  <c r="DJ53" i="3" s="1"/>
  <c r="DH53" i="3"/>
  <c r="DF53" i="3"/>
  <c r="DI53" i="3"/>
  <c r="DH69" i="3"/>
  <c r="DF69" i="3"/>
  <c r="DG69" i="3"/>
  <c r="DI69" i="3"/>
  <c r="DJ69" i="3" s="1"/>
  <c r="DI100" i="3"/>
  <c r="DF100" i="3"/>
  <c r="DG100" i="3"/>
  <c r="DJ100" i="3" s="1"/>
  <c r="DH100" i="3"/>
  <c r="DH80" i="3"/>
  <c r="DI80" i="3"/>
  <c r="DF80" i="3"/>
  <c r="DG80" i="3"/>
  <c r="DJ80" i="3" s="1"/>
  <c r="DI95" i="3"/>
  <c r="DF95" i="3"/>
  <c r="DJ95" i="3" s="1"/>
  <c r="DG95" i="3"/>
  <c r="DH95" i="3"/>
  <c r="DI112" i="3"/>
  <c r="DG112" i="3"/>
  <c r="DJ112" i="3" s="1"/>
  <c r="DH112" i="3"/>
  <c r="DF112" i="3"/>
  <c r="DH156" i="3"/>
  <c r="DI156" i="3"/>
  <c r="DF156" i="3"/>
  <c r="DJ156" i="3" s="1"/>
  <c r="DG156" i="3"/>
  <c r="DF114" i="3"/>
  <c r="DJ114" i="3" s="1"/>
  <c r="DH114" i="3"/>
  <c r="DI114" i="3"/>
  <c r="DG114" i="3"/>
  <c r="DG101" i="3"/>
  <c r="DJ101" i="3" s="1"/>
  <c r="DF101" i="3"/>
  <c r="DH101" i="3"/>
  <c r="DI101" i="3"/>
  <c r="DF118" i="3"/>
  <c r="DJ118" i="3" s="1"/>
  <c r="DH118" i="3"/>
  <c r="DI118" i="3"/>
  <c r="DG118" i="3"/>
  <c r="DG126" i="3"/>
  <c r="DH126" i="3"/>
  <c r="DF126" i="3"/>
  <c r="DJ126" i="3" s="1"/>
  <c r="DI126" i="3"/>
  <c r="DH176" i="3"/>
  <c r="DF176" i="3"/>
  <c r="DJ176" i="3" s="1"/>
  <c r="DG176" i="3"/>
  <c r="DI176" i="3"/>
  <c r="DF164" i="3"/>
  <c r="DJ164" i="3" s="1"/>
  <c r="DG164" i="3"/>
  <c r="DH164" i="3"/>
  <c r="DI164" i="3"/>
  <c r="DG169" i="3"/>
  <c r="DF169" i="3"/>
  <c r="DH169" i="3"/>
  <c r="DI169" i="3"/>
  <c r="DJ169" i="3" s="1"/>
  <c r="DI210" i="3"/>
  <c r="DF210" i="3"/>
  <c r="DG210" i="3"/>
  <c r="DJ210" i="3" s="1"/>
  <c r="DH210" i="3"/>
  <c r="DF238" i="3"/>
  <c r="DG238" i="3"/>
  <c r="DJ238" i="3" s="1"/>
  <c r="DH238" i="3"/>
  <c r="DI238" i="3"/>
  <c r="DI150" i="3"/>
  <c r="DF150" i="3"/>
  <c r="DG150" i="3"/>
  <c r="DJ150" i="3" s="1"/>
  <c r="DH150" i="3"/>
  <c r="DF168" i="3"/>
  <c r="DJ168" i="3" s="1"/>
  <c r="DG168" i="3"/>
  <c r="DH168" i="3"/>
  <c r="DI168" i="3"/>
  <c r="DI266" i="3"/>
  <c r="DJ266" i="3" s="1"/>
  <c r="DF266" i="3"/>
  <c r="DG266" i="3"/>
  <c r="DH266" i="3"/>
  <c r="DF199" i="3"/>
  <c r="DG199" i="3"/>
  <c r="DI199" i="3"/>
  <c r="DJ199" i="3" s="1"/>
  <c r="DH199" i="3"/>
  <c r="DI184" i="3"/>
  <c r="DF184" i="3"/>
  <c r="DJ184" i="3" s="1"/>
  <c r="DG184" i="3"/>
  <c r="DH184" i="3"/>
  <c r="DG360" i="3"/>
  <c r="DH360" i="3"/>
  <c r="DI360" i="3"/>
  <c r="DJ360" i="3" s="1"/>
  <c r="DF360" i="3"/>
  <c r="DF290" i="3"/>
  <c r="DJ290" i="3" s="1"/>
  <c r="DG290" i="3"/>
  <c r="DH290" i="3"/>
  <c r="DI290" i="3"/>
  <c r="DI194" i="3"/>
  <c r="DF194" i="3"/>
  <c r="DJ194" i="3" s="1"/>
  <c r="DH194" i="3"/>
  <c r="DG194" i="3"/>
  <c r="DI323" i="3"/>
  <c r="DF323" i="3"/>
  <c r="DG323" i="3"/>
  <c r="DJ323" i="3" s="1"/>
  <c r="DH323" i="3"/>
  <c r="DI309" i="3"/>
  <c r="DH309" i="3"/>
  <c r="DF309" i="3"/>
  <c r="DG309" i="3"/>
  <c r="DJ309" i="3" s="1"/>
  <c r="DI382" i="3"/>
  <c r="DH382" i="3"/>
  <c r="DF382" i="3"/>
  <c r="DJ382" i="3" s="1"/>
  <c r="DG382" i="3"/>
  <c r="DI345" i="3"/>
  <c r="DF345" i="3"/>
  <c r="DJ345" i="3" s="1"/>
  <c r="DG345" i="3"/>
  <c r="DH345" i="3"/>
  <c r="DH404" i="3"/>
  <c r="DI404" i="3"/>
  <c r="DF404" i="3"/>
  <c r="DJ404" i="3" s="1"/>
  <c r="DG404" i="3"/>
  <c r="DF325" i="3"/>
  <c r="DJ325" i="3" s="1"/>
  <c r="DG325" i="3"/>
  <c r="DH325" i="3"/>
  <c r="DI325" i="3"/>
  <c r="DI352" i="3"/>
  <c r="DF352" i="3"/>
  <c r="DJ352" i="3" s="1"/>
  <c r="DG352" i="3"/>
  <c r="DH352" i="3"/>
  <c r="DI373" i="3"/>
  <c r="DJ373" i="3" s="1"/>
  <c r="DF373" i="3"/>
  <c r="DG373" i="3"/>
  <c r="DH373" i="3"/>
  <c r="DH408" i="3"/>
  <c r="DG408" i="3"/>
  <c r="DI408" i="3"/>
  <c r="DF408" i="3"/>
  <c r="DJ408" i="3" s="1"/>
  <c r="DF437" i="3"/>
  <c r="DG437" i="3"/>
  <c r="DJ437" i="3" s="1"/>
  <c r="DH437" i="3"/>
  <c r="DI437" i="3"/>
  <c r="DG459" i="3"/>
  <c r="DJ459" i="3" s="1"/>
  <c r="DH459" i="3"/>
  <c r="DI459" i="3"/>
  <c r="DF459" i="3"/>
  <c r="DI341" i="3"/>
  <c r="DF341" i="3"/>
  <c r="DJ341" i="3" s="1"/>
  <c r="DG341" i="3"/>
  <c r="DH341" i="3"/>
  <c r="DH413" i="3"/>
  <c r="DF413" i="3"/>
  <c r="DG413" i="3"/>
  <c r="DJ413" i="3" s="1"/>
  <c r="DI413" i="3"/>
  <c r="DG478" i="3"/>
  <c r="DJ478" i="3" s="1"/>
  <c r="DH478" i="3"/>
  <c r="DI478" i="3"/>
  <c r="DF478" i="3"/>
  <c r="DF6" i="3"/>
  <c r="DG6" i="3"/>
  <c r="DJ6" i="3" s="1"/>
  <c r="DH6" i="3"/>
  <c r="DI6" i="3"/>
  <c r="F39" i="1"/>
  <c r="AO26" i="1"/>
  <c r="AO394" i="1"/>
  <c r="DF22" i="3"/>
  <c r="DI22" i="3"/>
  <c r="DH22" i="3"/>
  <c r="DG22" i="3"/>
  <c r="DJ22" i="3" s="1"/>
  <c r="AE67" i="1"/>
  <c r="R176" i="1"/>
  <c r="DF64" i="3"/>
  <c r="DJ64" i="3" s="1"/>
  <c r="DG64" i="3"/>
  <c r="DH64" i="3"/>
  <c r="DI64" i="3"/>
  <c r="DI396" i="3"/>
  <c r="DG396" i="3"/>
  <c r="DH396" i="3"/>
  <c r="DF396" i="3"/>
  <c r="DJ396" i="3" s="1"/>
  <c r="DI455" i="3"/>
  <c r="DF455" i="3"/>
  <c r="DJ455" i="3" s="1"/>
  <c r="DG455" i="3"/>
  <c r="DH455" i="3"/>
  <c r="DH464" i="3"/>
  <c r="DI464" i="3"/>
  <c r="DF464" i="3"/>
  <c r="DJ464" i="3" s="1"/>
  <c r="DG464" i="3"/>
  <c r="DH480" i="3"/>
  <c r="DI480" i="3"/>
  <c r="DF480" i="3"/>
  <c r="DJ480" i="3" s="1"/>
  <c r="DG480" i="3"/>
  <c r="CG26" i="1"/>
  <c r="AX35" i="1"/>
  <c r="DI50" i="3"/>
  <c r="DF50" i="3"/>
  <c r="DG50" i="3"/>
  <c r="DJ50" i="3" s="1"/>
  <c r="DH50" i="3"/>
  <c r="DG424" i="3"/>
  <c r="DH424" i="3"/>
  <c r="DI424" i="3"/>
  <c r="DF424" i="3"/>
  <c r="DJ424" i="3" s="1"/>
  <c r="DG470" i="3"/>
  <c r="DJ470" i="3" s="1"/>
  <c r="DH470" i="3"/>
  <c r="DI470" i="3"/>
  <c r="DF470" i="3"/>
  <c r="FR32" i="1"/>
  <c r="CP32" i="1"/>
  <c r="O32" i="1" s="1"/>
  <c r="GM32" i="1" s="1"/>
  <c r="BC26" i="1"/>
  <c r="F51" i="1"/>
  <c r="BC394" i="1"/>
  <c r="DF432" i="3"/>
  <c r="DJ432" i="3" s="1"/>
  <c r="DG432" i="3"/>
  <c r="DH432" i="3"/>
  <c r="DI432" i="3"/>
  <c r="DG473" i="3"/>
  <c r="DH473" i="3"/>
  <c r="DI473" i="3"/>
  <c r="DF473" i="3"/>
  <c r="DJ473" i="3" s="1"/>
  <c r="P48" i="1"/>
  <c r="ET26" i="1"/>
  <c r="ET394" i="1"/>
  <c r="CP70" i="1"/>
  <c r="O70" i="1" s="1"/>
  <c r="AD176" i="1"/>
  <c r="X77" i="1"/>
  <c r="CY77" i="1"/>
  <c r="Y77" i="1"/>
  <c r="CZ77" i="1"/>
  <c r="DF30" i="3"/>
  <c r="DI30" i="3"/>
  <c r="DG30" i="3"/>
  <c r="DJ30" i="3" s="1"/>
  <c r="DH30" i="3"/>
  <c r="DG38" i="3"/>
  <c r="DF38" i="3"/>
  <c r="DJ38" i="3" s="1"/>
  <c r="DH38" i="3"/>
  <c r="DI38" i="3"/>
  <c r="GM28" i="1"/>
  <c r="CP71" i="1"/>
  <c r="O71" i="1" s="1"/>
  <c r="GM71" i="1" s="1"/>
  <c r="GN71" i="1" s="1"/>
  <c r="X81" i="1"/>
  <c r="CY81" i="1"/>
  <c r="Y81" i="1"/>
  <c r="CZ81" i="1"/>
  <c r="DI42" i="3"/>
  <c r="DF42" i="3"/>
  <c r="DG42" i="3"/>
  <c r="DJ42" i="3" s="1"/>
  <c r="DH42" i="3"/>
  <c r="DI84" i="3"/>
  <c r="DF84" i="3"/>
  <c r="DJ84" i="3" s="1"/>
  <c r="DG84" i="3"/>
  <c r="DH84" i="3"/>
  <c r="DG99" i="3"/>
  <c r="DH99" i="3"/>
  <c r="DI99" i="3"/>
  <c r="DJ99" i="3" s="1"/>
  <c r="DF99" i="3"/>
  <c r="AK26" i="1"/>
  <c r="X35" i="1"/>
  <c r="CP73" i="1"/>
  <c r="O73" i="1" s="1"/>
  <c r="GM73" i="1" s="1"/>
  <c r="GN73" i="1" s="1"/>
  <c r="CP81" i="1"/>
  <c r="O81" i="1" s="1"/>
  <c r="GM81" i="1" s="1"/>
  <c r="GN81" i="1" s="1"/>
  <c r="X101" i="1"/>
  <c r="CY101" i="1"/>
  <c r="Y101" i="1"/>
  <c r="CZ101" i="1"/>
  <c r="DH71" i="3"/>
  <c r="DF71" i="3"/>
  <c r="DG71" i="3"/>
  <c r="DJ71" i="3" s="1"/>
  <c r="DI71" i="3"/>
  <c r="DG93" i="3"/>
  <c r="DJ93" i="3" s="1"/>
  <c r="DI93" i="3"/>
  <c r="DF93" i="3"/>
  <c r="DH93" i="3"/>
  <c r="DG157" i="3"/>
  <c r="DI157" i="3"/>
  <c r="DF157" i="3"/>
  <c r="DJ157" i="3" s="1"/>
  <c r="DH157" i="3"/>
  <c r="AG26" i="1"/>
  <c r="T35" i="1"/>
  <c r="EA26" i="1"/>
  <c r="DN35" i="1"/>
  <c r="X89" i="1"/>
  <c r="GM89" i="1" s="1"/>
  <c r="GN89" i="1" s="1"/>
  <c r="CY89" i="1"/>
  <c r="Y89" i="1"/>
  <c r="CZ89" i="1"/>
  <c r="Y108" i="1"/>
  <c r="CZ108" i="1"/>
  <c r="X108" i="1"/>
  <c r="CY108" i="1"/>
  <c r="Y112" i="1"/>
  <c r="CZ112" i="1"/>
  <c r="X112" i="1"/>
  <c r="CY112" i="1"/>
  <c r="DF127" i="3"/>
  <c r="DJ127" i="3" s="1"/>
  <c r="DG127" i="3"/>
  <c r="DI127" i="3"/>
  <c r="DH127" i="3"/>
  <c r="DI120" i="3"/>
  <c r="DF120" i="3"/>
  <c r="DG120" i="3"/>
  <c r="DJ120" i="3" s="1"/>
  <c r="DH120" i="3"/>
  <c r="DF144" i="3"/>
  <c r="DJ144" i="3" s="1"/>
  <c r="DI144" i="3"/>
  <c r="DG144" i="3"/>
  <c r="DH144" i="3"/>
  <c r="GB26" i="1"/>
  <c r="ES35" i="1"/>
  <c r="GM100" i="1"/>
  <c r="GN100" i="1" s="1"/>
  <c r="GM104" i="1"/>
  <c r="GN104" i="1" s="1"/>
  <c r="CP108" i="1"/>
  <c r="O108" i="1" s="1"/>
  <c r="GM108" i="1" s="1"/>
  <c r="GN108" i="1" s="1"/>
  <c r="DI110" i="3"/>
  <c r="DG110" i="3"/>
  <c r="DJ110" i="3" s="1"/>
  <c r="DH110" i="3"/>
  <c r="DF110" i="3"/>
  <c r="DG133" i="3"/>
  <c r="DJ133" i="3" s="1"/>
  <c r="DH133" i="3"/>
  <c r="DI133" i="3"/>
  <c r="DF133" i="3"/>
  <c r="DI175" i="3"/>
  <c r="DH175" i="3"/>
  <c r="DF175" i="3"/>
  <c r="DJ175" i="3" s="1"/>
  <c r="DG175" i="3"/>
  <c r="X133" i="1"/>
  <c r="CY133" i="1"/>
  <c r="Y133" i="1"/>
  <c r="CZ133" i="1"/>
  <c r="GM144" i="1"/>
  <c r="GN144" i="1" s="1"/>
  <c r="X152" i="1"/>
  <c r="CY152" i="1"/>
  <c r="Y152" i="1"/>
  <c r="CZ152" i="1"/>
  <c r="EU67" i="1"/>
  <c r="P192" i="1"/>
  <c r="EU394" i="1"/>
  <c r="CP133" i="1"/>
  <c r="O133" i="1" s="1"/>
  <c r="GM133" i="1" s="1"/>
  <c r="GN133" i="1" s="1"/>
  <c r="GM137" i="1"/>
  <c r="GN137" i="1" s="1"/>
  <c r="Y141" i="1"/>
  <c r="CZ141" i="1"/>
  <c r="X141" i="1"/>
  <c r="GM141" i="1" s="1"/>
  <c r="GN141" i="1" s="1"/>
  <c r="CY141" i="1"/>
  <c r="DF183" i="3"/>
  <c r="DG183" i="3"/>
  <c r="DJ183" i="3" s="1"/>
  <c r="DI183" i="3"/>
  <c r="DH183" i="3"/>
  <c r="ER67" i="1"/>
  <c r="P187" i="1"/>
  <c r="GM159" i="1"/>
  <c r="GN159" i="1" s="1"/>
  <c r="DH239" i="3"/>
  <c r="DI239" i="3"/>
  <c r="DF239" i="3"/>
  <c r="DG239" i="3"/>
  <c r="DJ239" i="3" s="1"/>
  <c r="EG67" i="1"/>
  <c r="P180" i="1"/>
  <c r="DG167" i="3"/>
  <c r="DF167" i="3"/>
  <c r="DJ167" i="3" s="1"/>
  <c r="DH167" i="3"/>
  <c r="DI167" i="3"/>
  <c r="DG161" i="3"/>
  <c r="DJ161" i="3" s="1"/>
  <c r="DH161" i="3"/>
  <c r="DI161" i="3"/>
  <c r="DF161" i="3"/>
  <c r="DF191" i="3"/>
  <c r="DG191" i="3"/>
  <c r="DJ191" i="3" s="1"/>
  <c r="DH191" i="3"/>
  <c r="DI191" i="3"/>
  <c r="DG209" i="3"/>
  <c r="DH209" i="3"/>
  <c r="DI209" i="3"/>
  <c r="DJ209" i="3" s="1"/>
  <c r="DF209" i="3"/>
  <c r="DG234" i="3"/>
  <c r="DF234" i="3"/>
  <c r="DJ234" i="3" s="1"/>
  <c r="DH234" i="3"/>
  <c r="DI234" i="3"/>
  <c r="DG231" i="3"/>
  <c r="DJ231" i="3" s="1"/>
  <c r="DI231" i="3"/>
  <c r="DF231" i="3"/>
  <c r="DH231" i="3"/>
  <c r="ET67" i="1"/>
  <c r="P189" i="1"/>
  <c r="AJ67" i="1"/>
  <c r="W176" i="1"/>
  <c r="X219" i="1"/>
  <c r="GM219" i="1" s="1"/>
  <c r="GN219" i="1" s="1"/>
  <c r="CY219" i="1"/>
  <c r="Y219" i="1"/>
  <c r="CZ219" i="1"/>
  <c r="AZ208" i="1"/>
  <c r="F261" i="1"/>
  <c r="T168" i="1"/>
  <c r="DY176" i="1" s="1"/>
  <c r="AE250" i="1"/>
  <c r="GM218" i="1"/>
  <c r="GN218" i="1" s="1"/>
  <c r="X220" i="1"/>
  <c r="CY220" i="1"/>
  <c r="Y220" i="1"/>
  <c r="AL250" i="1" s="1"/>
  <c r="CZ220" i="1"/>
  <c r="AF250" i="1"/>
  <c r="DG287" i="3"/>
  <c r="DH287" i="3"/>
  <c r="DI287" i="3"/>
  <c r="DJ287" i="3" s="1"/>
  <c r="DF287" i="3"/>
  <c r="EU208" i="1"/>
  <c r="P266" i="1"/>
  <c r="DH320" i="3"/>
  <c r="DI320" i="3"/>
  <c r="DF320" i="3"/>
  <c r="DJ320" i="3" s="1"/>
  <c r="DG320" i="3"/>
  <c r="DG310" i="3"/>
  <c r="DJ310" i="3" s="1"/>
  <c r="DI310" i="3"/>
  <c r="DF310" i="3"/>
  <c r="DH310" i="3"/>
  <c r="DG362" i="3"/>
  <c r="DJ362" i="3" s="1"/>
  <c r="DH362" i="3"/>
  <c r="DI362" i="3"/>
  <c r="DF362" i="3"/>
  <c r="DH419" i="3"/>
  <c r="DI419" i="3"/>
  <c r="DF419" i="3"/>
  <c r="DJ419" i="3" s="1"/>
  <c r="DG419" i="3"/>
  <c r="CP152" i="1"/>
  <c r="O152" i="1" s="1"/>
  <c r="GM152" i="1" s="1"/>
  <c r="GN152" i="1" s="1"/>
  <c r="U170" i="1"/>
  <c r="DI281" i="3"/>
  <c r="DJ281" i="3" s="1"/>
  <c r="DF281" i="3"/>
  <c r="DG281" i="3"/>
  <c r="DH281" i="3"/>
  <c r="AP208" i="1"/>
  <c r="F259" i="1"/>
  <c r="GA208" i="1"/>
  <c r="ER250" i="1"/>
  <c r="DI304" i="3"/>
  <c r="DG304" i="3"/>
  <c r="DH304" i="3"/>
  <c r="DF304" i="3"/>
  <c r="DJ304" i="3" s="1"/>
  <c r="DF296" i="3"/>
  <c r="DG296" i="3"/>
  <c r="DJ296" i="3" s="1"/>
  <c r="DH296" i="3"/>
  <c r="DI296" i="3"/>
  <c r="DF359" i="3"/>
  <c r="DJ359" i="3" s="1"/>
  <c r="DG359" i="3"/>
  <c r="DH359" i="3"/>
  <c r="DI359" i="3"/>
  <c r="DG358" i="3"/>
  <c r="DH358" i="3"/>
  <c r="DI358" i="3"/>
  <c r="DF358" i="3"/>
  <c r="DJ358" i="3" s="1"/>
  <c r="DG409" i="3"/>
  <c r="DH409" i="3"/>
  <c r="DI409" i="3"/>
  <c r="DF409" i="3"/>
  <c r="DJ409" i="3" s="1"/>
  <c r="DF400" i="3"/>
  <c r="DI400" i="3"/>
  <c r="DG400" i="3"/>
  <c r="DJ400" i="3" s="1"/>
  <c r="DH400" i="3"/>
  <c r="U168" i="1"/>
  <c r="DZ176" i="1" s="1"/>
  <c r="GM227" i="1"/>
  <c r="GN227" i="1" s="1"/>
  <c r="BC208" i="1"/>
  <c r="F266" i="1"/>
  <c r="DG343" i="3"/>
  <c r="DH343" i="3"/>
  <c r="DI343" i="3"/>
  <c r="DF343" i="3"/>
  <c r="DJ343" i="3" s="1"/>
  <c r="DH346" i="3"/>
  <c r="DI346" i="3"/>
  <c r="DF346" i="3"/>
  <c r="DJ346" i="3" s="1"/>
  <c r="DG346" i="3"/>
  <c r="DG394" i="3"/>
  <c r="DF394" i="3"/>
  <c r="DJ394" i="3" s="1"/>
  <c r="DH394" i="3"/>
  <c r="DI394" i="3"/>
  <c r="GM236" i="1"/>
  <c r="GO236" i="1" s="1"/>
  <c r="AI313" i="1"/>
  <c r="Q290" i="1"/>
  <c r="R290" i="1"/>
  <c r="AE313" i="1" s="1"/>
  <c r="DG384" i="3"/>
  <c r="DF384" i="3"/>
  <c r="DJ384" i="3" s="1"/>
  <c r="DH384" i="3"/>
  <c r="DI384" i="3"/>
  <c r="DI433" i="3"/>
  <c r="DF433" i="3"/>
  <c r="DJ433" i="3" s="1"/>
  <c r="DG433" i="3"/>
  <c r="DH433" i="3"/>
  <c r="DH434" i="3"/>
  <c r="DI434" i="3"/>
  <c r="DF434" i="3"/>
  <c r="DJ434" i="3" s="1"/>
  <c r="DG434" i="3"/>
  <c r="EH282" i="1"/>
  <c r="P322" i="1"/>
  <c r="AZ345" i="1"/>
  <c r="F375" i="1"/>
  <c r="AJ208" i="1"/>
  <c r="W250" i="1"/>
  <c r="EI208" i="1"/>
  <c r="P260" i="1"/>
  <c r="CP289" i="1"/>
  <c r="O289" i="1" s="1"/>
  <c r="GM289" i="1" s="1"/>
  <c r="GN289" i="1" s="1"/>
  <c r="DI463" i="3"/>
  <c r="DF463" i="3"/>
  <c r="DJ463" i="3" s="1"/>
  <c r="DG463" i="3"/>
  <c r="DH463" i="3"/>
  <c r="CP347" i="1"/>
  <c r="O347" i="1" s="1"/>
  <c r="AC364" i="1"/>
  <c r="DF482" i="3"/>
  <c r="DJ482" i="3" s="1"/>
  <c r="DG482" i="3"/>
  <c r="DH482" i="3"/>
  <c r="DI482" i="3"/>
  <c r="AQ345" i="1"/>
  <c r="F374" i="1"/>
  <c r="GM216" i="1"/>
  <c r="GN216" i="1" s="1"/>
  <c r="DG328" i="3"/>
  <c r="DH328" i="3"/>
  <c r="DI328" i="3"/>
  <c r="DF328" i="3"/>
  <c r="DJ328" i="3" s="1"/>
  <c r="DH331" i="3"/>
  <c r="DI331" i="3"/>
  <c r="DF331" i="3"/>
  <c r="DJ331" i="3" s="1"/>
  <c r="DG331" i="3"/>
  <c r="GX290" i="1"/>
  <c r="CJ313" i="1" s="1"/>
  <c r="DH449" i="3"/>
  <c r="DI449" i="3"/>
  <c r="DF449" i="3"/>
  <c r="DG449" i="3"/>
  <c r="DJ449" i="3" s="1"/>
  <c r="AT282" i="1"/>
  <c r="F331" i="1"/>
  <c r="DI471" i="3"/>
  <c r="DF471" i="3"/>
  <c r="DG471" i="3"/>
  <c r="DJ471" i="3" s="1"/>
  <c r="DH471" i="3"/>
  <c r="GM228" i="1"/>
  <c r="GN228" i="1" s="1"/>
  <c r="EM208" i="1"/>
  <c r="P269" i="1"/>
  <c r="CP288" i="1"/>
  <c r="O288" i="1" s="1"/>
  <c r="W290" i="1"/>
  <c r="AJ313" i="1" s="1"/>
  <c r="DI444" i="3"/>
  <c r="DF444" i="3"/>
  <c r="DJ444" i="3" s="1"/>
  <c r="DG444" i="3"/>
  <c r="DH444" i="3"/>
  <c r="DH445" i="3"/>
  <c r="DI445" i="3"/>
  <c r="DF445" i="3"/>
  <c r="DJ445" i="3" s="1"/>
  <c r="DG445" i="3"/>
  <c r="EG282" i="1"/>
  <c r="P317" i="1"/>
  <c r="F368" i="1"/>
  <c r="AO345" i="1"/>
  <c r="CG282" i="1"/>
  <c r="AX313" i="1"/>
  <c r="F382" i="1"/>
  <c r="AT345" i="1"/>
  <c r="AX345" i="1"/>
  <c r="F371" i="1"/>
  <c r="EI345" i="1"/>
  <c r="P374" i="1"/>
  <c r="AU282" i="1"/>
  <c r="F332" i="1"/>
  <c r="FY282" i="1"/>
  <c r="EP313" i="1"/>
  <c r="ED364" i="1"/>
  <c r="EB345" i="1"/>
  <c r="DO364" i="1"/>
  <c r="DH1" i="3"/>
  <c r="DI1" i="3"/>
  <c r="DJ1" i="3" s="1"/>
  <c r="DF1" i="3"/>
  <c r="DG1" i="3"/>
  <c r="DI36" i="3"/>
  <c r="DH36" i="3"/>
  <c r="DF36" i="3"/>
  <c r="DJ36" i="3" s="1"/>
  <c r="DG36" i="3"/>
  <c r="DG49" i="3"/>
  <c r="DH49" i="3"/>
  <c r="DF49" i="3"/>
  <c r="DI49" i="3"/>
  <c r="DJ49" i="3" s="1"/>
  <c r="DH85" i="3"/>
  <c r="DI85" i="3"/>
  <c r="DF85" i="3"/>
  <c r="DJ85" i="3" s="1"/>
  <c r="DG85" i="3"/>
  <c r="DI105" i="3"/>
  <c r="DF105" i="3"/>
  <c r="DJ105" i="3" s="1"/>
  <c r="DG105" i="3"/>
  <c r="DH105" i="3"/>
  <c r="DI74" i="3"/>
  <c r="DF74" i="3"/>
  <c r="DJ74" i="3" s="1"/>
  <c r="DG74" i="3"/>
  <c r="DH74" i="3"/>
  <c r="DH146" i="3"/>
  <c r="DG146" i="3"/>
  <c r="DI146" i="3"/>
  <c r="DF146" i="3"/>
  <c r="DJ146" i="3" s="1"/>
  <c r="DG103" i="3"/>
  <c r="DJ103" i="3" s="1"/>
  <c r="DF103" i="3"/>
  <c r="DH103" i="3"/>
  <c r="DI103" i="3"/>
  <c r="DH185" i="3"/>
  <c r="DI185" i="3"/>
  <c r="DF185" i="3"/>
  <c r="DJ185" i="3" s="1"/>
  <c r="DG185" i="3"/>
  <c r="DH226" i="3"/>
  <c r="DF226" i="3"/>
  <c r="DJ226" i="3" s="1"/>
  <c r="DG226" i="3"/>
  <c r="DI226" i="3"/>
  <c r="DH195" i="3"/>
  <c r="DI195" i="3"/>
  <c r="DG195" i="3"/>
  <c r="DF195" i="3"/>
  <c r="DJ195" i="3" s="1"/>
  <c r="DG123" i="3"/>
  <c r="DJ123" i="3" s="1"/>
  <c r="DF123" i="3"/>
  <c r="DH123" i="3"/>
  <c r="DI123" i="3"/>
  <c r="DG196" i="3"/>
  <c r="DH196" i="3"/>
  <c r="DF196" i="3"/>
  <c r="DJ196" i="3" s="1"/>
  <c r="DI196" i="3"/>
  <c r="DG240" i="3"/>
  <c r="DH240" i="3"/>
  <c r="DI240" i="3"/>
  <c r="DF240" i="3"/>
  <c r="DJ240" i="3" s="1"/>
  <c r="DI212" i="3"/>
  <c r="DF212" i="3"/>
  <c r="DG212" i="3"/>
  <c r="DJ212" i="3" s="1"/>
  <c r="DH212" i="3"/>
  <c r="DI242" i="3"/>
  <c r="DF242" i="3"/>
  <c r="DJ242" i="3" s="1"/>
  <c r="DG242" i="3"/>
  <c r="DH242" i="3"/>
  <c r="DI297" i="3"/>
  <c r="DG297" i="3"/>
  <c r="DJ297" i="3" s="1"/>
  <c r="DH297" i="3"/>
  <c r="DF297" i="3"/>
  <c r="DF189" i="3"/>
  <c r="DG189" i="3"/>
  <c r="DH189" i="3"/>
  <c r="DI189" i="3"/>
  <c r="DJ189" i="3" s="1"/>
  <c r="DG236" i="3"/>
  <c r="DF236" i="3"/>
  <c r="DH236" i="3"/>
  <c r="DI236" i="3"/>
  <c r="DJ236" i="3" s="1"/>
  <c r="DH292" i="3"/>
  <c r="DI292" i="3"/>
  <c r="DF292" i="3"/>
  <c r="DJ292" i="3" s="1"/>
  <c r="DG292" i="3"/>
  <c r="DF235" i="3"/>
  <c r="DJ235" i="3" s="1"/>
  <c r="DG235" i="3"/>
  <c r="DH235" i="3"/>
  <c r="DI235" i="3"/>
  <c r="DH301" i="3"/>
  <c r="DF301" i="3"/>
  <c r="DJ301" i="3" s="1"/>
  <c r="DG301" i="3"/>
  <c r="DI301" i="3"/>
  <c r="DI335" i="3"/>
  <c r="DF335" i="3"/>
  <c r="DG335" i="3"/>
  <c r="DJ335" i="3" s="1"/>
  <c r="DH335" i="3"/>
  <c r="DI319" i="3"/>
  <c r="DF319" i="3"/>
  <c r="DJ319" i="3" s="1"/>
  <c r="DG319" i="3"/>
  <c r="DH319" i="3"/>
  <c r="DF340" i="3"/>
  <c r="DJ340" i="3" s="1"/>
  <c r="DG340" i="3"/>
  <c r="DH340" i="3"/>
  <c r="DI340" i="3"/>
  <c r="DI387" i="3"/>
  <c r="DH387" i="3"/>
  <c r="DF387" i="3"/>
  <c r="DG387" i="3"/>
  <c r="DJ387" i="3" s="1"/>
  <c r="DI326" i="3"/>
  <c r="DF326" i="3"/>
  <c r="DJ326" i="3" s="1"/>
  <c r="DG326" i="3"/>
  <c r="DH326" i="3"/>
  <c r="DI347" i="3"/>
  <c r="DJ347" i="3" s="1"/>
  <c r="DF347" i="3"/>
  <c r="DG347" i="3"/>
  <c r="DH347" i="3"/>
  <c r="DF333" i="3"/>
  <c r="DJ333" i="3" s="1"/>
  <c r="DG333" i="3"/>
  <c r="DH333" i="3"/>
  <c r="DI333" i="3"/>
  <c r="DH415" i="3"/>
  <c r="DF415" i="3"/>
  <c r="DG415" i="3"/>
  <c r="DJ415" i="3" s="1"/>
  <c r="DI415" i="3"/>
  <c r="DF439" i="3"/>
  <c r="DG439" i="3"/>
  <c r="DJ439" i="3" s="1"/>
  <c r="DH439" i="3"/>
  <c r="DI439" i="3"/>
  <c r="DF307" i="3"/>
  <c r="DJ307" i="3" s="1"/>
  <c r="DG307" i="3"/>
  <c r="DH307" i="3"/>
  <c r="DI307" i="3"/>
  <c r="DI375" i="3"/>
  <c r="DF375" i="3"/>
  <c r="DG375" i="3"/>
  <c r="DJ375" i="3" s="1"/>
  <c r="DH375" i="3"/>
  <c r="DF385" i="3"/>
  <c r="DJ385" i="3" s="1"/>
  <c r="DI385" i="3"/>
  <c r="DH385" i="3"/>
  <c r="DG385" i="3"/>
  <c r="DG431" i="3"/>
  <c r="DH431" i="3"/>
  <c r="DI431" i="3"/>
  <c r="DF431" i="3"/>
  <c r="DJ431" i="3" s="1"/>
  <c r="DG453" i="3"/>
  <c r="DH453" i="3"/>
  <c r="DI453" i="3"/>
  <c r="DF453" i="3"/>
  <c r="DJ453" i="3" s="1"/>
  <c r="F52" i="1"/>
  <c r="AS26" i="1"/>
  <c r="DF20" i="3"/>
  <c r="DI20" i="3"/>
  <c r="DH20" i="3"/>
  <c r="DG20" i="3"/>
  <c r="DJ20" i="3" s="1"/>
  <c r="DF25" i="3"/>
  <c r="DJ25" i="3" s="1"/>
  <c r="DI25" i="3"/>
  <c r="DG25" i="3"/>
  <c r="DH25" i="3"/>
  <c r="DH67" i="3"/>
  <c r="DF67" i="3"/>
  <c r="DJ67" i="3" s="1"/>
  <c r="DG67" i="3"/>
  <c r="DI67" i="3"/>
  <c r="DF417" i="3"/>
  <c r="DJ417" i="3" s="1"/>
  <c r="DG417" i="3"/>
  <c r="DH417" i="3"/>
  <c r="DI417" i="3"/>
  <c r="DG465" i="3"/>
  <c r="DH465" i="3"/>
  <c r="DI465" i="3"/>
  <c r="DF465" i="3"/>
  <c r="DJ465" i="3" s="1"/>
  <c r="DG481" i="3"/>
  <c r="DH481" i="3"/>
  <c r="DI481" i="3"/>
  <c r="DF481" i="3"/>
  <c r="DJ481" i="3" s="1"/>
  <c r="DG4" i="3"/>
  <c r="DH4" i="3"/>
  <c r="DI4" i="3"/>
  <c r="DF4" i="3"/>
  <c r="DJ4" i="3" s="1"/>
  <c r="DF10" i="3"/>
  <c r="DI10" i="3"/>
  <c r="DH10" i="3"/>
  <c r="DG10" i="3"/>
  <c r="DJ10" i="3" s="1"/>
  <c r="DH17" i="3"/>
  <c r="DG17" i="3"/>
  <c r="DI17" i="3"/>
  <c r="DF17" i="3"/>
  <c r="DJ17" i="3" s="1"/>
  <c r="DF58" i="3"/>
  <c r="DJ58" i="3" s="1"/>
  <c r="DG58" i="3"/>
  <c r="DH58" i="3"/>
  <c r="DI58" i="3"/>
  <c r="DF54" i="3"/>
  <c r="DJ54" i="3" s="1"/>
  <c r="DG54" i="3"/>
  <c r="DI54" i="3"/>
  <c r="DH54" i="3"/>
  <c r="DG435" i="3"/>
  <c r="DH435" i="3"/>
  <c r="DI435" i="3"/>
  <c r="DF435" i="3"/>
  <c r="DJ435" i="3" s="1"/>
  <c r="FR31" i="1"/>
  <c r="FQ35" i="1" s="1"/>
  <c r="CP31" i="1"/>
  <c r="O31" i="1" s="1"/>
  <c r="GM31" i="1" s="1"/>
  <c r="EG26" i="1"/>
  <c r="P39" i="1"/>
  <c r="EG394" i="1"/>
  <c r="DF443" i="3"/>
  <c r="DJ443" i="3" s="1"/>
  <c r="DG443" i="3"/>
  <c r="DH443" i="3"/>
  <c r="DI443" i="3"/>
  <c r="DH476" i="3"/>
  <c r="DI476" i="3"/>
  <c r="DF476" i="3"/>
  <c r="DJ476" i="3" s="1"/>
  <c r="DG476" i="3"/>
  <c r="FY26" i="1"/>
  <c r="EP35" i="1"/>
  <c r="DG34" i="3"/>
  <c r="DF34" i="3"/>
  <c r="DJ34" i="3" s="1"/>
  <c r="DH34" i="3"/>
  <c r="DI34" i="3"/>
  <c r="U35" i="1"/>
  <c r="AH26" i="1"/>
  <c r="DF40" i="3"/>
  <c r="DI40" i="3"/>
  <c r="DH40" i="3"/>
  <c r="DG40" i="3"/>
  <c r="DJ40" i="3" s="1"/>
  <c r="DF83" i="3"/>
  <c r="DG83" i="3"/>
  <c r="DJ83" i="3" s="1"/>
  <c r="DH83" i="3"/>
  <c r="DI83" i="3"/>
  <c r="DF108" i="3"/>
  <c r="DJ108" i="3" s="1"/>
  <c r="DI108" i="3"/>
  <c r="DG108" i="3"/>
  <c r="DH108" i="3"/>
  <c r="Q35" i="1"/>
  <c r="AD26" i="1"/>
  <c r="GM77" i="1"/>
  <c r="GN77" i="1" s="1"/>
  <c r="DI78" i="3"/>
  <c r="DF78" i="3"/>
  <c r="DJ78" i="3" s="1"/>
  <c r="DG78" i="3"/>
  <c r="DH78" i="3"/>
  <c r="DI92" i="3"/>
  <c r="DH92" i="3"/>
  <c r="DF92" i="3"/>
  <c r="DG92" i="3"/>
  <c r="DJ92" i="3" s="1"/>
  <c r="X113" i="1"/>
  <c r="CY113" i="1"/>
  <c r="Y113" i="1"/>
  <c r="CZ113" i="1"/>
  <c r="X121" i="1"/>
  <c r="GM121" i="1" s="1"/>
  <c r="GN121" i="1" s="1"/>
  <c r="CY121" i="1"/>
  <c r="Y121" i="1"/>
  <c r="CZ121" i="1"/>
  <c r="X129" i="1"/>
  <c r="CY129" i="1"/>
  <c r="Y129" i="1"/>
  <c r="CZ129" i="1"/>
  <c r="DJ26" i="1"/>
  <c r="P49" i="1"/>
  <c r="X85" i="1"/>
  <c r="GM85" i="1" s="1"/>
  <c r="GN85" i="1" s="1"/>
  <c r="CY85" i="1"/>
  <c r="Y85" i="1"/>
  <c r="CZ85" i="1"/>
  <c r="DI124" i="3"/>
  <c r="DF124" i="3"/>
  <c r="DJ124" i="3" s="1"/>
  <c r="DH124" i="3"/>
  <c r="DG124" i="3"/>
  <c r="DF148" i="3"/>
  <c r="DJ148" i="3" s="1"/>
  <c r="DH148" i="3"/>
  <c r="DI148" i="3"/>
  <c r="DG148" i="3"/>
  <c r="DG143" i="3"/>
  <c r="DJ143" i="3" s="1"/>
  <c r="DI143" i="3"/>
  <c r="DF143" i="3"/>
  <c r="DH143" i="3"/>
  <c r="CJ26" i="1"/>
  <c r="BA35" i="1"/>
  <c r="X84" i="1"/>
  <c r="GM84" i="1" s="1"/>
  <c r="GN84" i="1" s="1"/>
  <c r="CY84" i="1"/>
  <c r="Y84" i="1"/>
  <c r="CZ84" i="1"/>
  <c r="DI132" i="3"/>
  <c r="DG132" i="3"/>
  <c r="DJ132" i="3" s="1"/>
  <c r="DH132" i="3"/>
  <c r="DF132" i="3"/>
  <c r="DG131" i="3"/>
  <c r="DJ131" i="3" s="1"/>
  <c r="DI131" i="3"/>
  <c r="DF131" i="3"/>
  <c r="DH131" i="3"/>
  <c r="DF174" i="3"/>
  <c r="DJ174" i="3" s="1"/>
  <c r="DH174" i="3"/>
  <c r="DI174" i="3"/>
  <c r="DG174" i="3"/>
  <c r="AO67" i="1"/>
  <c r="F180" i="1"/>
  <c r="CP101" i="1"/>
  <c r="O101" i="1" s="1"/>
  <c r="GM101" i="1" s="1"/>
  <c r="GN101" i="1" s="1"/>
  <c r="DI182" i="3"/>
  <c r="DH182" i="3"/>
  <c r="DF182" i="3"/>
  <c r="DG182" i="3"/>
  <c r="DJ182" i="3" s="1"/>
  <c r="Y143" i="1"/>
  <c r="CZ143" i="1"/>
  <c r="X143" i="1"/>
  <c r="GM143" i="1" s="1"/>
  <c r="GN143" i="1" s="1"/>
  <c r="CY143" i="1"/>
  <c r="EV67" i="1"/>
  <c r="P201" i="1"/>
  <c r="EV394" i="1"/>
  <c r="DF207" i="3"/>
  <c r="DJ207" i="3" s="1"/>
  <c r="DG207" i="3"/>
  <c r="DH207" i="3"/>
  <c r="DI207" i="3"/>
  <c r="DF224" i="3"/>
  <c r="DJ224" i="3" s="1"/>
  <c r="DG224" i="3"/>
  <c r="DH224" i="3"/>
  <c r="DI224" i="3"/>
  <c r="DG219" i="3"/>
  <c r="DI219" i="3"/>
  <c r="DJ219" i="3" s="1"/>
  <c r="DF219" i="3"/>
  <c r="DH219" i="3"/>
  <c r="DH237" i="3"/>
  <c r="DI237" i="3"/>
  <c r="DF237" i="3"/>
  <c r="DG237" i="3"/>
  <c r="DJ237" i="3" s="1"/>
  <c r="CC67" i="1"/>
  <c r="AT176" i="1"/>
  <c r="DI160" i="3"/>
  <c r="DG160" i="3"/>
  <c r="DJ160" i="3" s="1"/>
  <c r="DH160" i="3"/>
  <c r="DF160" i="3"/>
  <c r="DF197" i="3"/>
  <c r="DJ197" i="3" s="1"/>
  <c r="DG197" i="3"/>
  <c r="DI197" i="3"/>
  <c r="DH197" i="3"/>
  <c r="DI215" i="3"/>
  <c r="DF215" i="3"/>
  <c r="DJ215" i="3" s="1"/>
  <c r="DG215" i="3"/>
  <c r="DH215" i="3"/>
  <c r="DF218" i="3"/>
  <c r="DJ218" i="3" s="1"/>
  <c r="DI218" i="3"/>
  <c r="DG218" i="3"/>
  <c r="DH218" i="3"/>
  <c r="DI230" i="3"/>
  <c r="DH230" i="3"/>
  <c r="DF230" i="3"/>
  <c r="DG230" i="3"/>
  <c r="DJ230" i="3" s="1"/>
  <c r="BD67" i="1"/>
  <c r="F201" i="1"/>
  <c r="FY67" i="1"/>
  <c r="EP176" i="1"/>
  <c r="CJ67" i="1"/>
  <c r="BA176" i="1"/>
  <c r="AH67" i="1"/>
  <c r="U176" i="1"/>
  <c r="BD208" i="1"/>
  <c r="F275" i="1"/>
  <c r="W170" i="1"/>
  <c r="X233" i="1"/>
  <c r="CY233" i="1"/>
  <c r="Y233" i="1"/>
  <c r="CZ233" i="1"/>
  <c r="X241" i="1"/>
  <c r="CY241" i="1"/>
  <c r="Y241" i="1"/>
  <c r="CZ241" i="1"/>
  <c r="DI291" i="3"/>
  <c r="DF291" i="3"/>
  <c r="DJ291" i="3" s="1"/>
  <c r="DG291" i="3"/>
  <c r="DH291" i="3"/>
  <c r="DG313" i="3"/>
  <c r="DF313" i="3"/>
  <c r="DJ313" i="3" s="1"/>
  <c r="DH313" i="3"/>
  <c r="DI313" i="3"/>
  <c r="DF318" i="3"/>
  <c r="DJ318" i="3" s="1"/>
  <c r="DI318" i="3"/>
  <c r="DG318" i="3"/>
  <c r="DH318" i="3"/>
  <c r="DH372" i="3"/>
  <c r="DI372" i="3"/>
  <c r="DF372" i="3"/>
  <c r="DJ372" i="3" s="1"/>
  <c r="DG372" i="3"/>
  <c r="DI422" i="3"/>
  <c r="DF422" i="3"/>
  <c r="DJ422" i="3" s="1"/>
  <c r="DG422" i="3"/>
  <c r="DH422" i="3"/>
  <c r="DG416" i="3"/>
  <c r="DF416" i="3"/>
  <c r="DJ416" i="3" s="1"/>
  <c r="DH416" i="3"/>
  <c r="DI416" i="3"/>
  <c r="DF414" i="3"/>
  <c r="DI414" i="3"/>
  <c r="DG414" i="3"/>
  <c r="DJ414" i="3" s="1"/>
  <c r="DH414" i="3"/>
  <c r="GM172" i="1"/>
  <c r="GO172" i="1" s="1"/>
  <c r="X224" i="1"/>
  <c r="AK250" i="1" s="1"/>
  <c r="Y224" i="1"/>
  <c r="CY224" i="1"/>
  <c r="CZ224" i="1"/>
  <c r="X226" i="1"/>
  <c r="GM226" i="1" s="1"/>
  <c r="GN226" i="1" s="1"/>
  <c r="Y226" i="1"/>
  <c r="CY226" i="1"/>
  <c r="CZ226" i="1"/>
  <c r="DG285" i="3"/>
  <c r="DH285" i="3"/>
  <c r="DI285" i="3"/>
  <c r="DF285" i="3"/>
  <c r="DJ285" i="3" s="1"/>
  <c r="BB208" i="1"/>
  <c r="F263" i="1"/>
  <c r="DG306" i="3"/>
  <c r="DF306" i="3"/>
  <c r="DJ306" i="3" s="1"/>
  <c r="DH306" i="3"/>
  <c r="DI306" i="3"/>
  <c r="DF299" i="3"/>
  <c r="DJ299" i="3" s="1"/>
  <c r="DH299" i="3"/>
  <c r="DI299" i="3"/>
  <c r="DG299" i="3"/>
  <c r="DG295" i="3"/>
  <c r="DH295" i="3"/>
  <c r="DI295" i="3"/>
  <c r="DJ295" i="3" s="1"/>
  <c r="DF295" i="3"/>
  <c r="DF355" i="3"/>
  <c r="DJ355" i="3" s="1"/>
  <c r="DG355" i="3"/>
  <c r="DH355" i="3"/>
  <c r="DI355" i="3"/>
  <c r="DG354" i="3"/>
  <c r="DH354" i="3"/>
  <c r="DI354" i="3"/>
  <c r="DF354" i="3"/>
  <c r="DJ354" i="3" s="1"/>
  <c r="DH357" i="3"/>
  <c r="DI357" i="3"/>
  <c r="DF357" i="3"/>
  <c r="DJ357" i="3" s="1"/>
  <c r="DG357" i="3"/>
  <c r="DI411" i="3"/>
  <c r="DH411" i="3"/>
  <c r="DF411" i="3"/>
  <c r="DJ411" i="3" s="1"/>
  <c r="DG411" i="3"/>
  <c r="DV208" i="1"/>
  <c r="DI250" i="1"/>
  <c r="EG208" i="1"/>
  <c r="P254" i="1"/>
  <c r="DG339" i="3"/>
  <c r="DH339" i="3"/>
  <c r="DI339" i="3"/>
  <c r="DF339" i="3"/>
  <c r="DJ339" i="3" s="1"/>
  <c r="DH342" i="3"/>
  <c r="DI342" i="3"/>
  <c r="DF342" i="3"/>
  <c r="DJ342" i="3" s="1"/>
  <c r="DG342" i="3"/>
  <c r="DG398" i="3"/>
  <c r="DF398" i="3"/>
  <c r="DJ398" i="3" s="1"/>
  <c r="DH398" i="3"/>
  <c r="DI398" i="3"/>
  <c r="DG390" i="3"/>
  <c r="DH390" i="3"/>
  <c r="DI390" i="3"/>
  <c r="DF390" i="3"/>
  <c r="DJ390" i="3" s="1"/>
  <c r="EB208" i="1"/>
  <c r="DO250" i="1"/>
  <c r="GM285" i="1"/>
  <c r="AD313" i="1"/>
  <c r="CP290" i="1"/>
  <c r="O290" i="1" s="1"/>
  <c r="DF381" i="3"/>
  <c r="DJ381" i="3" s="1"/>
  <c r="DI381" i="3"/>
  <c r="DG381" i="3"/>
  <c r="DH381" i="3"/>
  <c r="DG380" i="3"/>
  <c r="DF380" i="3"/>
  <c r="DJ380" i="3" s="1"/>
  <c r="DI380" i="3"/>
  <c r="DH380" i="3"/>
  <c r="DH383" i="3"/>
  <c r="DG383" i="3"/>
  <c r="DF383" i="3"/>
  <c r="DJ383" i="3" s="1"/>
  <c r="DI383" i="3"/>
  <c r="X299" i="1"/>
  <c r="GM299" i="1" s="1"/>
  <c r="GN299" i="1" s="1"/>
  <c r="CY299" i="1"/>
  <c r="Y299" i="1"/>
  <c r="CZ299" i="1"/>
  <c r="DI429" i="3"/>
  <c r="DF429" i="3"/>
  <c r="DJ429" i="3" s="1"/>
  <c r="DG429" i="3"/>
  <c r="DH429" i="3"/>
  <c r="DH430" i="3"/>
  <c r="DI430" i="3"/>
  <c r="DF430" i="3"/>
  <c r="DJ430" i="3" s="1"/>
  <c r="DG430" i="3"/>
  <c r="X308" i="1"/>
  <c r="CY308" i="1"/>
  <c r="Y308" i="1"/>
  <c r="CZ308" i="1"/>
  <c r="ET282" i="1"/>
  <c r="P326" i="1"/>
  <c r="AI208" i="1"/>
  <c r="V250" i="1"/>
  <c r="EP250" i="1"/>
  <c r="FY208" i="1"/>
  <c r="X288" i="1"/>
  <c r="CY288" i="1"/>
  <c r="CZ288" i="1"/>
  <c r="Y288" i="1"/>
  <c r="AF313" i="1"/>
  <c r="U290" i="1"/>
  <c r="AH313" i="1" s="1"/>
  <c r="X298" i="1"/>
  <c r="CY298" i="1"/>
  <c r="Y298" i="1"/>
  <c r="CZ298" i="1"/>
  <c r="DV282" i="1"/>
  <c r="DI313" i="1"/>
  <c r="DI460" i="3"/>
  <c r="DF460" i="3"/>
  <c r="DG460" i="3"/>
  <c r="DJ460" i="3" s="1"/>
  <c r="DH460" i="3"/>
  <c r="DH458" i="3"/>
  <c r="DI458" i="3"/>
  <c r="DJ458" i="3" s="1"/>
  <c r="DF458" i="3"/>
  <c r="DG458" i="3"/>
  <c r="AO282" i="1"/>
  <c r="F317" i="1"/>
  <c r="DI483" i="3"/>
  <c r="DF483" i="3"/>
  <c r="DJ483" i="3" s="1"/>
  <c r="DG483" i="3"/>
  <c r="DH483" i="3"/>
  <c r="CP241" i="1"/>
  <c r="O241" i="1" s="1"/>
  <c r="GM241" i="1" s="1"/>
  <c r="GN241" i="1" s="1"/>
  <c r="EC313" i="1"/>
  <c r="DG324" i="3"/>
  <c r="DJ324" i="3" s="1"/>
  <c r="DH324" i="3"/>
  <c r="DI324" i="3"/>
  <c r="DF324" i="3"/>
  <c r="DH327" i="3"/>
  <c r="DI327" i="3"/>
  <c r="DF327" i="3"/>
  <c r="DJ327" i="3" s="1"/>
  <c r="DG327" i="3"/>
  <c r="X297" i="1"/>
  <c r="GM297" i="1" s="1"/>
  <c r="GN297" i="1" s="1"/>
  <c r="CY297" i="1"/>
  <c r="Y297" i="1"/>
  <c r="ED313" i="1" s="1"/>
  <c r="CZ297" i="1"/>
  <c r="DH447" i="3"/>
  <c r="DI447" i="3"/>
  <c r="DJ447" i="3" s="1"/>
  <c r="DF447" i="3"/>
  <c r="DG447" i="3"/>
  <c r="BB282" i="1"/>
  <c r="F326" i="1"/>
  <c r="DI469" i="3"/>
  <c r="DJ469" i="3" s="1"/>
  <c r="DF469" i="3"/>
  <c r="DG469" i="3"/>
  <c r="DH469" i="3"/>
  <c r="AD364" i="1"/>
  <c r="GM230" i="1"/>
  <c r="GO230" i="1" s="1"/>
  <c r="GM291" i="1"/>
  <c r="GN291" i="1" s="1"/>
  <c r="X296" i="1"/>
  <c r="CY296" i="1"/>
  <c r="Y296" i="1"/>
  <c r="CZ296" i="1"/>
  <c r="DI440" i="3"/>
  <c r="DF440" i="3"/>
  <c r="DJ440" i="3" s="1"/>
  <c r="DG440" i="3"/>
  <c r="DH440" i="3"/>
  <c r="DH441" i="3"/>
  <c r="DI441" i="3"/>
  <c r="DF441" i="3"/>
  <c r="DJ441" i="3" s="1"/>
  <c r="DG441" i="3"/>
  <c r="EU345" i="1"/>
  <c r="P380" i="1"/>
  <c r="DM364" i="1"/>
  <c r="DZ345" i="1"/>
  <c r="CP303" i="1"/>
  <c r="O303" i="1" s="1"/>
  <c r="GM303" i="1" s="1"/>
  <c r="GN303" i="1" s="1"/>
  <c r="AH345" i="1"/>
  <c r="U364" i="1"/>
  <c r="DY282" i="1"/>
  <c r="DL313" i="1"/>
  <c r="AI345" i="1"/>
  <c r="V364" i="1"/>
  <c r="DX345" i="1"/>
  <c r="DK364" i="1"/>
  <c r="DL364" i="1"/>
  <c r="DY345" i="1"/>
  <c r="DG47" i="3"/>
  <c r="DH47" i="3"/>
  <c r="DF47" i="3"/>
  <c r="DJ47" i="3" s="1"/>
  <c r="DI47" i="3"/>
  <c r="DF70" i="3"/>
  <c r="DH70" i="3"/>
  <c r="DI70" i="3"/>
  <c r="DG70" i="3"/>
  <c r="DJ70" i="3" s="1"/>
  <c r="DG86" i="3"/>
  <c r="DH86" i="3"/>
  <c r="DI86" i="3"/>
  <c r="DF86" i="3"/>
  <c r="DJ86" i="3" s="1"/>
  <c r="DH82" i="3"/>
  <c r="DI82" i="3"/>
  <c r="DF82" i="3"/>
  <c r="DG82" i="3"/>
  <c r="DJ82" i="3" s="1"/>
  <c r="DI115" i="3"/>
  <c r="DF115" i="3"/>
  <c r="DJ115" i="3" s="1"/>
  <c r="DG115" i="3"/>
  <c r="DH115" i="3"/>
  <c r="DG119" i="3"/>
  <c r="DH119" i="3"/>
  <c r="DI119" i="3"/>
  <c r="DJ119" i="3" s="1"/>
  <c r="DF119" i="3"/>
  <c r="DG151" i="3"/>
  <c r="DJ151" i="3" s="1"/>
  <c r="DF151" i="3"/>
  <c r="DH151" i="3"/>
  <c r="DI151" i="3"/>
  <c r="DH216" i="3"/>
  <c r="DI216" i="3"/>
  <c r="DF216" i="3"/>
  <c r="DJ216" i="3" s="1"/>
  <c r="DG216" i="3"/>
  <c r="DG181" i="3"/>
  <c r="DJ181" i="3" s="1"/>
  <c r="DH181" i="3"/>
  <c r="DI181" i="3"/>
  <c r="DF181" i="3"/>
  <c r="DF178" i="3"/>
  <c r="DJ178" i="3" s="1"/>
  <c r="DG178" i="3"/>
  <c r="DI178" i="3"/>
  <c r="DH178" i="3"/>
  <c r="DH21" i="3"/>
  <c r="DG21" i="3"/>
  <c r="DJ21" i="3" s="1"/>
  <c r="DI21" i="3"/>
  <c r="DF21" i="3"/>
  <c r="DH11" i="3"/>
  <c r="DG11" i="3"/>
  <c r="DJ11" i="3" s="1"/>
  <c r="DI11" i="3"/>
  <c r="DF11" i="3"/>
  <c r="DH31" i="3"/>
  <c r="DG31" i="3"/>
  <c r="DJ31" i="3" s="1"/>
  <c r="DF31" i="3"/>
  <c r="DI31" i="3"/>
  <c r="DI16" i="3"/>
  <c r="DH16" i="3"/>
  <c r="DF16" i="3"/>
  <c r="DJ16" i="3" s="1"/>
  <c r="DG16" i="3"/>
  <c r="DF35" i="3"/>
  <c r="DJ35" i="3" s="1"/>
  <c r="DI35" i="3"/>
  <c r="DG35" i="3"/>
  <c r="DH35" i="3"/>
  <c r="DI26" i="3"/>
  <c r="DH26" i="3"/>
  <c r="DF26" i="3"/>
  <c r="DJ26" i="3" s="1"/>
  <c r="DG26" i="3"/>
  <c r="DG63" i="3"/>
  <c r="DJ63" i="3" s="1"/>
  <c r="DH63" i="3"/>
  <c r="DF63" i="3"/>
  <c r="DI63" i="3"/>
  <c r="DG51" i="3"/>
  <c r="DJ51" i="3" s="1"/>
  <c r="DH51" i="3"/>
  <c r="DF51" i="3"/>
  <c r="DI51" i="3"/>
  <c r="DI55" i="3"/>
  <c r="DF55" i="3"/>
  <c r="DJ55" i="3" s="1"/>
  <c r="DG55" i="3"/>
  <c r="DH55" i="3"/>
  <c r="DI102" i="3"/>
  <c r="DF102" i="3"/>
  <c r="DG102" i="3"/>
  <c r="DJ102" i="3" s="1"/>
  <c r="DH102" i="3"/>
  <c r="DG111" i="3"/>
  <c r="DJ111" i="3" s="1"/>
  <c r="DI111" i="3"/>
  <c r="DF111" i="3"/>
  <c r="DH111" i="3"/>
  <c r="DH166" i="3"/>
  <c r="DF166" i="3"/>
  <c r="DJ166" i="3" s="1"/>
  <c r="DG166" i="3"/>
  <c r="DI166" i="3"/>
  <c r="DI88" i="3"/>
  <c r="DF88" i="3"/>
  <c r="DJ88" i="3" s="1"/>
  <c r="DG88" i="3"/>
  <c r="DH88" i="3"/>
  <c r="DF104" i="3"/>
  <c r="DJ104" i="3" s="1"/>
  <c r="DG104" i="3"/>
  <c r="DH104" i="3"/>
  <c r="DI104" i="3"/>
  <c r="DG113" i="3"/>
  <c r="DJ113" i="3" s="1"/>
  <c r="DH113" i="3"/>
  <c r="DI113" i="3"/>
  <c r="DF113" i="3"/>
  <c r="DH136" i="3"/>
  <c r="DF136" i="3"/>
  <c r="DJ136" i="3" s="1"/>
  <c r="DG136" i="3"/>
  <c r="DI136" i="3"/>
  <c r="DI152" i="3"/>
  <c r="DF152" i="3"/>
  <c r="DG152" i="3"/>
  <c r="DJ152" i="3" s="1"/>
  <c r="DH152" i="3"/>
  <c r="DI128" i="3"/>
  <c r="DF128" i="3"/>
  <c r="DJ128" i="3" s="1"/>
  <c r="DG128" i="3"/>
  <c r="DH128" i="3"/>
  <c r="DH190" i="3"/>
  <c r="DI190" i="3"/>
  <c r="DF190" i="3"/>
  <c r="DG190" i="3"/>
  <c r="DJ190" i="3" s="1"/>
  <c r="DH233" i="3"/>
  <c r="DF233" i="3"/>
  <c r="DJ233" i="3" s="1"/>
  <c r="DG233" i="3"/>
  <c r="DI233" i="3"/>
  <c r="DG153" i="3"/>
  <c r="DJ153" i="3" s="1"/>
  <c r="DF153" i="3"/>
  <c r="DH153" i="3"/>
  <c r="DI153" i="3"/>
  <c r="DG186" i="3"/>
  <c r="DH186" i="3"/>
  <c r="DF186" i="3"/>
  <c r="DJ186" i="3" s="1"/>
  <c r="DI186" i="3"/>
  <c r="DI145" i="3"/>
  <c r="DF145" i="3"/>
  <c r="DJ145" i="3" s="1"/>
  <c r="DG145" i="3"/>
  <c r="DH145" i="3"/>
  <c r="DH200" i="3"/>
  <c r="DI200" i="3"/>
  <c r="DF200" i="3"/>
  <c r="DG200" i="3"/>
  <c r="DJ200" i="3" s="1"/>
  <c r="DG139" i="3"/>
  <c r="DF139" i="3"/>
  <c r="DH139" i="3"/>
  <c r="DI139" i="3"/>
  <c r="DJ139" i="3" s="1"/>
  <c r="DF154" i="3"/>
  <c r="DJ154" i="3" s="1"/>
  <c r="DG154" i="3"/>
  <c r="DH154" i="3"/>
  <c r="DI154" i="3"/>
  <c r="DG179" i="3"/>
  <c r="DF179" i="3"/>
  <c r="DI179" i="3"/>
  <c r="DJ179" i="3" s="1"/>
  <c r="DH179" i="3"/>
  <c r="DG221" i="3"/>
  <c r="DJ221" i="3" s="1"/>
  <c r="DH221" i="3"/>
  <c r="DI221" i="3"/>
  <c r="DF221" i="3"/>
  <c r="DG282" i="3"/>
  <c r="DJ282" i="3" s="1"/>
  <c r="DH282" i="3"/>
  <c r="DI282" i="3"/>
  <c r="DF282" i="3"/>
  <c r="DH305" i="3"/>
  <c r="DF305" i="3"/>
  <c r="DJ305" i="3" s="1"/>
  <c r="DG305" i="3"/>
  <c r="DI305" i="3"/>
  <c r="DI198" i="3"/>
  <c r="DF198" i="3"/>
  <c r="DJ198" i="3" s="1"/>
  <c r="DG198" i="3"/>
  <c r="DH198" i="3"/>
  <c r="DF214" i="3"/>
  <c r="DJ214" i="3" s="1"/>
  <c r="DG214" i="3"/>
  <c r="DH214" i="3"/>
  <c r="DI214" i="3"/>
  <c r="DH284" i="3"/>
  <c r="DI284" i="3"/>
  <c r="DF284" i="3"/>
  <c r="DJ284" i="3" s="1"/>
  <c r="DG284" i="3"/>
  <c r="DG289" i="3"/>
  <c r="DJ289" i="3" s="1"/>
  <c r="DH289" i="3"/>
  <c r="DI289" i="3"/>
  <c r="DF289" i="3"/>
  <c r="DF208" i="3"/>
  <c r="DJ208" i="3" s="1"/>
  <c r="DH208" i="3"/>
  <c r="DI208" i="3"/>
  <c r="DG208" i="3"/>
  <c r="DF294" i="3"/>
  <c r="DG294" i="3"/>
  <c r="DH294" i="3"/>
  <c r="DI294" i="3"/>
  <c r="DJ294" i="3" s="1"/>
  <c r="DI337" i="3"/>
  <c r="DF337" i="3"/>
  <c r="DG337" i="3"/>
  <c r="DJ337" i="3" s="1"/>
  <c r="DH337" i="3"/>
  <c r="DI321" i="3"/>
  <c r="DJ321" i="3" s="1"/>
  <c r="DF321" i="3"/>
  <c r="DG321" i="3"/>
  <c r="DH321" i="3"/>
  <c r="DI356" i="3"/>
  <c r="DF356" i="3"/>
  <c r="DJ356" i="3" s="1"/>
  <c r="DG356" i="3"/>
  <c r="DH356" i="3"/>
  <c r="DH397" i="3"/>
  <c r="DF397" i="3"/>
  <c r="DJ397" i="3" s="1"/>
  <c r="DG397" i="3"/>
  <c r="DI397" i="3"/>
  <c r="DI361" i="3"/>
  <c r="DF361" i="3"/>
  <c r="DG361" i="3"/>
  <c r="DJ361" i="3" s="1"/>
  <c r="DH361" i="3"/>
  <c r="DG308" i="3"/>
  <c r="DF308" i="3"/>
  <c r="DH308" i="3"/>
  <c r="DI308" i="3"/>
  <c r="DJ308" i="3" s="1"/>
  <c r="DF344" i="3"/>
  <c r="DJ344" i="3" s="1"/>
  <c r="DG344" i="3"/>
  <c r="DH344" i="3"/>
  <c r="DI344" i="3"/>
  <c r="DI363" i="3"/>
  <c r="DF363" i="3"/>
  <c r="DG363" i="3"/>
  <c r="DJ363" i="3" s="1"/>
  <c r="DH363" i="3"/>
  <c r="DH399" i="3"/>
  <c r="DF399" i="3"/>
  <c r="DG399" i="3"/>
  <c r="DI399" i="3"/>
  <c r="DJ399" i="3" s="1"/>
  <c r="DF426" i="3"/>
  <c r="DG426" i="3"/>
  <c r="DJ426" i="3" s="1"/>
  <c r="DH426" i="3"/>
  <c r="DI426" i="3"/>
  <c r="DF448" i="3"/>
  <c r="DG448" i="3"/>
  <c r="DJ448" i="3" s="1"/>
  <c r="DH448" i="3"/>
  <c r="DI448" i="3"/>
  <c r="DF314" i="3"/>
  <c r="DJ314" i="3" s="1"/>
  <c r="DG314" i="3"/>
  <c r="DH314" i="3"/>
  <c r="DI314" i="3"/>
  <c r="DI378" i="3"/>
  <c r="DF378" i="3"/>
  <c r="DJ378" i="3" s="1"/>
  <c r="DG378" i="3"/>
  <c r="DH378" i="3"/>
  <c r="DF391" i="3"/>
  <c r="DJ391" i="3" s="1"/>
  <c r="DH391" i="3"/>
  <c r="DI391" i="3"/>
  <c r="DG391" i="3"/>
  <c r="DG24" i="3"/>
  <c r="DF24" i="3"/>
  <c r="DJ24" i="3" s="1"/>
  <c r="DH24" i="3"/>
  <c r="DI24" i="3"/>
  <c r="DI62" i="3"/>
  <c r="DF62" i="3"/>
  <c r="DG62" i="3"/>
  <c r="DJ62" i="3" s="1"/>
  <c r="DH62" i="3"/>
  <c r="DG461" i="3"/>
  <c r="DJ461" i="3" s="1"/>
  <c r="DH461" i="3"/>
  <c r="DI461" i="3"/>
  <c r="DF461" i="3"/>
  <c r="DH468" i="3"/>
  <c r="DI468" i="3"/>
  <c r="DF468" i="3"/>
  <c r="DJ468" i="3" s="1"/>
  <c r="DG468" i="3"/>
  <c r="DH484" i="3"/>
  <c r="DI484" i="3"/>
  <c r="DF484" i="3"/>
  <c r="DJ484" i="3" s="1"/>
  <c r="DG484" i="3"/>
  <c r="DF12" i="3"/>
  <c r="DI12" i="3"/>
  <c r="DH12" i="3"/>
  <c r="DG12" i="3"/>
  <c r="DJ12" i="3" s="1"/>
  <c r="DG14" i="3"/>
  <c r="DF14" i="3"/>
  <c r="DJ14" i="3" s="1"/>
  <c r="DH14" i="3"/>
  <c r="DI14" i="3"/>
  <c r="DF395" i="3"/>
  <c r="DJ395" i="3" s="1"/>
  <c r="DG395" i="3"/>
  <c r="DH395" i="3"/>
  <c r="DI395" i="3"/>
  <c r="DG446" i="3"/>
  <c r="DH446" i="3"/>
  <c r="DI446" i="3"/>
  <c r="DF446" i="3"/>
  <c r="DJ446" i="3" s="1"/>
  <c r="FR30" i="1"/>
  <c r="BY35" i="1" s="1"/>
  <c r="CP30" i="1"/>
  <c r="O30" i="1" s="1"/>
  <c r="GM30" i="1" s="1"/>
  <c r="AC35" i="1"/>
  <c r="F50" i="1"/>
  <c r="S26" i="1"/>
  <c r="EK26" i="1"/>
  <c r="P52" i="1"/>
  <c r="DF410" i="3"/>
  <c r="DJ410" i="3" s="1"/>
  <c r="DH410" i="3"/>
  <c r="DI410" i="3"/>
  <c r="DG410" i="3"/>
  <c r="DF454" i="3"/>
  <c r="DJ454" i="3" s="1"/>
  <c r="DG454" i="3"/>
  <c r="DH454" i="3"/>
  <c r="DI454" i="3"/>
  <c r="DU35" i="1"/>
  <c r="CP29" i="1"/>
  <c r="O29" i="1" s="1"/>
  <c r="X69" i="1"/>
  <c r="GM69" i="1" s="1"/>
  <c r="CY69" i="1"/>
  <c r="Y69" i="1"/>
  <c r="CZ69" i="1"/>
  <c r="AF176" i="1"/>
  <c r="GM78" i="1"/>
  <c r="GN78" i="1" s="1"/>
  <c r="DH37" i="3"/>
  <c r="DG37" i="3"/>
  <c r="DI37" i="3"/>
  <c r="DF37" i="3"/>
  <c r="DJ37" i="3" s="1"/>
  <c r="DF48" i="3"/>
  <c r="DJ48" i="3" s="1"/>
  <c r="DG48" i="3"/>
  <c r="DI48" i="3"/>
  <c r="DH48" i="3"/>
  <c r="DF81" i="3"/>
  <c r="DG81" i="3"/>
  <c r="DJ81" i="3" s="1"/>
  <c r="DH81" i="3"/>
  <c r="DI81" i="3"/>
  <c r="DG107" i="3"/>
  <c r="DI107" i="3"/>
  <c r="DF107" i="3"/>
  <c r="DJ107" i="3" s="1"/>
  <c r="DH107" i="3"/>
  <c r="V35" i="1"/>
  <c r="AI26" i="1"/>
  <c r="X105" i="1"/>
  <c r="GM105" i="1" s="1"/>
  <c r="GN105" i="1" s="1"/>
  <c r="CY105" i="1"/>
  <c r="Y105" i="1"/>
  <c r="CZ105" i="1"/>
  <c r="DF77" i="3"/>
  <c r="DJ77" i="3" s="1"/>
  <c r="DG77" i="3"/>
  <c r="DH77" i="3"/>
  <c r="DI77" i="3"/>
  <c r="X109" i="1"/>
  <c r="GM109" i="1" s="1"/>
  <c r="GN109" i="1" s="1"/>
  <c r="CY109" i="1"/>
  <c r="Y109" i="1"/>
  <c r="CZ109" i="1"/>
  <c r="DG97" i="3"/>
  <c r="DH97" i="3"/>
  <c r="DI97" i="3"/>
  <c r="DF97" i="3"/>
  <c r="DJ97" i="3" s="1"/>
  <c r="DF89" i="3"/>
  <c r="DG89" i="3"/>
  <c r="DH89" i="3"/>
  <c r="DI89" i="3"/>
  <c r="DJ89" i="3" s="1"/>
  <c r="DG149" i="3"/>
  <c r="DH149" i="3"/>
  <c r="DI149" i="3"/>
  <c r="DJ149" i="3" s="1"/>
  <c r="DF149" i="3"/>
  <c r="DM26" i="1"/>
  <c r="P57" i="1"/>
  <c r="GM90" i="1"/>
  <c r="GN90" i="1" s="1"/>
  <c r="DI122" i="3"/>
  <c r="DF122" i="3"/>
  <c r="DH122" i="3"/>
  <c r="DG122" i="3"/>
  <c r="DJ122" i="3" s="1"/>
  <c r="DG147" i="3"/>
  <c r="DH147" i="3"/>
  <c r="DI147" i="3"/>
  <c r="DF147" i="3"/>
  <c r="DJ147" i="3" s="1"/>
  <c r="DI142" i="3"/>
  <c r="DH142" i="3"/>
  <c r="DF142" i="3"/>
  <c r="DG142" i="3"/>
  <c r="DJ142" i="3" s="1"/>
  <c r="AJ26" i="1"/>
  <c r="W35" i="1"/>
  <c r="GM82" i="1"/>
  <c r="GN82" i="1" s="1"/>
  <c r="GM94" i="1"/>
  <c r="GN94" i="1" s="1"/>
  <c r="CP97" i="1"/>
  <c r="O97" i="1" s="1"/>
  <c r="GM97" i="1" s="1"/>
  <c r="GN97" i="1" s="1"/>
  <c r="AC176" i="1"/>
  <c r="GM116" i="1"/>
  <c r="GN116" i="1" s="1"/>
  <c r="GM120" i="1"/>
  <c r="GN120" i="1" s="1"/>
  <c r="DG117" i="3"/>
  <c r="DH117" i="3"/>
  <c r="DI117" i="3"/>
  <c r="DF117" i="3"/>
  <c r="DJ117" i="3" s="1"/>
  <c r="DG109" i="3"/>
  <c r="DI109" i="3"/>
  <c r="DJ109" i="3" s="1"/>
  <c r="DF109" i="3"/>
  <c r="DH109" i="3"/>
  <c r="GM124" i="1"/>
  <c r="GN124" i="1" s="1"/>
  <c r="DG137" i="3"/>
  <c r="DF137" i="3"/>
  <c r="DJ137" i="3" s="1"/>
  <c r="DH137" i="3"/>
  <c r="DI137" i="3"/>
  <c r="DF129" i="3"/>
  <c r="DG129" i="3"/>
  <c r="DI129" i="3"/>
  <c r="DJ129" i="3" s="1"/>
  <c r="DH129" i="3"/>
  <c r="DI130" i="3"/>
  <c r="DH130" i="3"/>
  <c r="DF130" i="3"/>
  <c r="DG130" i="3"/>
  <c r="DJ130" i="3" s="1"/>
  <c r="DG173" i="3"/>
  <c r="DJ173" i="3" s="1"/>
  <c r="DH173" i="3"/>
  <c r="DI173" i="3"/>
  <c r="DF173" i="3"/>
  <c r="DG171" i="3"/>
  <c r="DJ171" i="3" s="1"/>
  <c r="DI171" i="3"/>
  <c r="DF171" i="3"/>
  <c r="DH171" i="3"/>
  <c r="EI67" i="1"/>
  <c r="P186" i="1"/>
  <c r="EI394" i="1"/>
  <c r="CP125" i="1"/>
  <c r="O125" i="1" s="1"/>
  <c r="GM125" i="1" s="1"/>
  <c r="GN125" i="1" s="1"/>
  <c r="Y139" i="1"/>
  <c r="CZ139" i="1"/>
  <c r="X139" i="1"/>
  <c r="GM139" i="1" s="1"/>
  <c r="GN139" i="1" s="1"/>
  <c r="CY139" i="1"/>
  <c r="CP140" i="1"/>
  <c r="O140" i="1" s="1"/>
  <c r="GM140" i="1" s="1"/>
  <c r="GN140" i="1" s="1"/>
  <c r="DF187" i="3"/>
  <c r="DJ187" i="3" s="1"/>
  <c r="DG187" i="3"/>
  <c r="DH187" i="3"/>
  <c r="DI187" i="3"/>
  <c r="CP142" i="1"/>
  <c r="O142" i="1" s="1"/>
  <c r="GM142" i="1" s="1"/>
  <c r="GN142" i="1" s="1"/>
  <c r="AP67" i="1"/>
  <c r="F185" i="1"/>
  <c r="DF203" i="3"/>
  <c r="DG203" i="3"/>
  <c r="DJ203" i="3" s="1"/>
  <c r="DI203" i="3"/>
  <c r="DH203" i="3"/>
  <c r="DG223" i="3"/>
  <c r="DJ223" i="3" s="1"/>
  <c r="DF223" i="3"/>
  <c r="DH223" i="3"/>
  <c r="DI223" i="3"/>
  <c r="DF241" i="3"/>
  <c r="DJ241" i="3" s="1"/>
  <c r="DG241" i="3"/>
  <c r="DH241" i="3"/>
  <c r="DI241" i="3"/>
  <c r="CP113" i="1"/>
  <c r="O113" i="1" s="1"/>
  <c r="GM113" i="1" s="1"/>
  <c r="GN113" i="1" s="1"/>
  <c r="CP129" i="1"/>
  <c r="O129" i="1" s="1"/>
  <c r="GM129" i="1" s="1"/>
  <c r="GN129" i="1" s="1"/>
  <c r="CP134" i="1"/>
  <c r="O134" i="1" s="1"/>
  <c r="GM134" i="1" s="1"/>
  <c r="GN134" i="1" s="1"/>
  <c r="X136" i="1"/>
  <c r="GM136" i="1" s="1"/>
  <c r="GN136" i="1" s="1"/>
  <c r="CY136" i="1"/>
  <c r="Y136" i="1"/>
  <c r="CZ136" i="1"/>
  <c r="DI165" i="3"/>
  <c r="DG165" i="3"/>
  <c r="DH165" i="3"/>
  <c r="DF165" i="3"/>
  <c r="DJ165" i="3" s="1"/>
  <c r="DG217" i="3"/>
  <c r="DI217" i="3"/>
  <c r="DF217" i="3"/>
  <c r="DJ217" i="3" s="1"/>
  <c r="DH217" i="3"/>
  <c r="DI232" i="3"/>
  <c r="DG232" i="3"/>
  <c r="DJ232" i="3" s="1"/>
  <c r="DH232" i="3"/>
  <c r="DF232" i="3"/>
  <c r="S170" i="1"/>
  <c r="P170" i="1"/>
  <c r="Q170" i="1"/>
  <c r="R170" i="1"/>
  <c r="DW176" i="1" s="1"/>
  <c r="CI67" i="1"/>
  <c r="AZ176" i="1"/>
  <c r="DW250" i="1"/>
  <c r="AI67" i="1"/>
  <c r="V176" i="1"/>
  <c r="DI293" i="3"/>
  <c r="DJ293" i="3" s="1"/>
  <c r="DF293" i="3"/>
  <c r="DG293" i="3"/>
  <c r="DH293" i="3"/>
  <c r="ET208" i="1"/>
  <c r="P263" i="1"/>
  <c r="GX170" i="1"/>
  <c r="AD208" i="1"/>
  <c r="Q250" i="1"/>
  <c r="CP220" i="1"/>
  <c r="O220" i="1" s="1"/>
  <c r="GM220" i="1" s="1"/>
  <c r="GN220" i="1" s="1"/>
  <c r="AC250" i="1"/>
  <c r="DI288" i="3"/>
  <c r="DF288" i="3"/>
  <c r="DG288" i="3"/>
  <c r="DJ288" i="3" s="1"/>
  <c r="DH288" i="3"/>
  <c r="DG317" i="3"/>
  <c r="DI317" i="3"/>
  <c r="DF317" i="3"/>
  <c r="DJ317" i="3" s="1"/>
  <c r="DH317" i="3"/>
  <c r="DF370" i="3"/>
  <c r="DJ370" i="3" s="1"/>
  <c r="DG370" i="3"/>
  <c r="DH370" i="3"/>
  <c r="DI370" i="3"/>
  <c r="DG369" i="3"/>
  <c r="DH369" i="3"/>
  <c r="DI369" i="3"/>
  <c r="DF369" i="3"/>
  <c r="DJ369" i="3" s="1"/>
  <c r="DH368" i="3"/>
  <c r="DI368" i="3"/>
  <c r="DF368" i="3"/>
  <c r="DJ368" i="3" s="1"/>
  <c r="DG368" i="3"/>
  <c r="DI418" i="3"/>
  <c r="DF418" i="3"/>
  <c r="DJ418" i="3" s="1"/>
  <c r="DG418" i="3"/>
  <c r="DH418" i="3"/>
  <c r="DF412" i="3"/>
  <c r="DH412" i="3"/>
  <c r="DI412" i="3"/>
  <c r="DJ412" i="3" s="1"/>
  <c r="DG412" i="3"/>
  <c r="CP148" i="1"/>
  <c r="O148" i="1" s="1"/>
  <c r="GM148" i="1" s="1"/>
  <c r="GN148" i="1" s="1"/>
  <c r="W168" i="1"/>
  <c r="EB176" i="1" s="1"/>
  <c r="GM174" i="1"/>
  <c r="GO174" i="1" s="1"/>
  <c r="Y211" i="1"/>
  <c r="ED250" i="1" s="1"/>
  <c r="CZ211" i="1"/>
  <c r="X211" i="1"/>
  <c r="EC250" i="1" s="1"/>
  <c r="CY211" i="1"/>
  <c r="DX250" i="1"/>
  <c r="CG208" i="1"/>
  <c r="AX250" i="1"/>
  <c r="DG298" i="3"/>
  <c r="DJ298" i="3" s="1"/>
  <c r="DH298" i="3"/>
  <c r="DI298" i="3"/>
  <c r="DF298" i="3"/>
  <c r="DJ313" i="1"/>
  <c r="DW282" i="1"/>
  <c r="DF351" i="3"/>
  <c r="DJ351" i="3" s="1"/>
  <c r="DG351" i="3"/>
  <c r="DH351" i="3"/>
  <c r="DI351" i="3"/>
  <c r="DG350" i="3"/>
  <c r="DJ350" i="3" s="1"/>
  <c r="DH350" i="3"/>
  <c r="DI350" i="3"/>
  <c r="DF350" i="3"/>
  <c r="DH353" i="3"/>
  <c r="DI353" i="3"/>
  <c r="DF353" i="3"/>
  <c r="DJ353" i="3" s="1"/>
  <c r="DG353" i="3"/>
  <c r="DI407" i="3"/>
  <c r="DF407" i="3"/>
  <c r="DJ407" i="3" s="1"/>
  <c r="DG407" i="3"/>
  <c r="DH407" i="3"/>
  <c r="DF406" i="3"/>
  <c r="DJ406" i="3" s="1"/>
  <c r="DI406" i="3"/>
  <c r="DG406" i="3"/>
  <c r="DH406" i="3"/>
  <c r="AQ67" i="1"/>
  <c r="F186" i="1"/>
  <c r="AQ394" i="1"/>
  <c r="AQ208" i="1"/>
  <c r="F260" i="1"/>
  <c r="DG336" i="3"/>
  <c r="DJ336" i="3" s="1"/>
  <c r="DH336" i="3"/>
  <c r="DI336" i="3"/>
  <c r="DF336" i="3"/>
  <c r="DH338" i="3"/>
  <c r="DI338" i="3"/>
  <c r="DF338" i="3"/>
  <c r="DJ338" i="3" s="1"/>
  <c r="DG338" i="3"/>
  <c r="DF388" i="3"/>
  <c r="DG388" i="3"/>
  <c r="DJ388" i="3" s="1"/>
  <c r="DH388" i="3"/>
  <c r="DI388" i="3"/>
  <c r="DI392" i="3"/>
  <c r="DH392" i="3"/>
  <c r="DF392" i="3"/>
  <c r="DJ392" i="3" s="1"/>
  <c r="DG392" i="3"/>
  <c r="GB208" i="1"/>
  <c r="ES250" i="1"/>
  <c r="CP233" i="1"/>
  <c r="O233" i="1" s="1"/>
  <c r="GM233" i="1" s="1"/>
  <c r="GN233" i="1" s="1"/>
  <c r="T290" i="1"/>
  <c r="AG313" i="1" s="1"/>
  <c r="DF377" i="3"/>
  <c r="DJ377" i="3" s="1"/>
  <c r="DG377" i="3"/>
  <c r="DH377" i="3"/>
  <c r="DI377" i="3"/>
  <c r="DG376" i="3"/>
  <c r="DJ376" i="3" s="1"/>
  <c r="DH376" i="3"/>
  <c r="DI376" i="3"/>
  <c r="DF376" i="3"/>
  <c r="DH379" i="3"/>
  <c r="DI379" i="3"/>
  <c r="DG379" i="3"/>
  <c r="DF379" i="3"/>
  <c r="DJ379" i="3" s="1"/>
  <c r="EB282" i="1"/>
  <c r="DO313" i="1"/>
  <c r="DH427" i="3"/>
  <c r="DI427" i="3"/>
  <c r="DF427" i="3"/>
  <c r="DG427" i="3"/>
  <c r="DJ427" i="3" s="1"/>
  <c r="AF364" i="1"/>
  <c r="X347" i="1"/>
  <c r="AK364" i="1" s="1"/>
  <c r="CY347" i="1"/>
  <c r="Y347" i="1"/>
  <c r="AL364" i="1" s="1"/>
  <c r="CZ347" i="1"/>
  <c r="AH208" i="1"/>
  <c r="U250" i="1"/>
  <c r="DZ208" i="1"/>
  <c r="DM250" i="1"/>
  <c r="GM296" i="1"/>
  <c r="GN296" i="1" s="1"/>
  <c r="CP308" i="1"/>
  <c r="O308" i="1" s="1"/>
  <c r="GM308" i="1" s="1"/>
  <c r="GN308" i="1" s="1"/>
  <c r="DF466" i="3"/>
  <c r="DJ466" i="3" s="1"/>
  <c r="DG466" i="3"/>
  <c r="DH466" i="3"/>
  <c r="DI466" i="3"/>
  <c r="P329" i="1"/>
  <c r="EU282" i="1"/>
  <c r="DI479" i="3"/>
  <c r="DF479" i="3"/>
  <c r="DG479" i="3"/>
  <c r="DJ479" i="3" s="1"/>
  <c r="DH479" i="3"/>
  <c r="DV364" i="1"/>
  <c r="CP361" i="1"/>
  <c r="O361" i="1" s="1"/>
  <c r="GM361" i="1" s="1"/>
  <c r="GN361" i="1" s="1"/>
  <c r="P373" i="1"/>
  <c r="EH345" i="1"/>
  <c r="CP229" i="1"/>
  <c r="O229" i="1" s="1"/>
  <c r="GM229" i="1" s="1"/>
  <c r="GN229" i="1" s="1"/>
  <c r="DG322" i="3"/>
  <c r="DJ322" i="3" s="1"/>
  <c r="DH322" i="3"/>
  <c r="DI322" i="3"/>
  <c r="DF322" i="3"/>
  <c r="CP298" i="1"/>
  <c r="O298" i="1" s="1"/>
  <c r="GM298" i="1" s="1"/>
  <c r="GN298" i="1" s="1"/>
  <c r="DH456" i="3"/>
  <c r="DI456" i="3"/>
  <c r="DF456" i="3"/>
  <c r="DJ456" i="3" s="1"/>
  <c r="DG456" i="3"/>
  <c r="EV282" i="1"/>
  <c r="P338" i="1"/>
  <c r="DF474" i="3"/>
  <c r="DJ474" i="3" s="1"/>
  <c r="DG474" i="3"/>
  <c r="DH474" i="3"/>
  <c r="DI474" i="3"/>
  <c r="BD345" i="1"/>
  <c r="F389" i="1"/>
  <c r="GM231" i="1"/>
  <c r="GO231" i="1" s="1"/>
  <c r="FU250" i="1" s="1"/>
  <c r="GM240" i="1"/>
  <c r="GN240" i="1" s="1"/>
  <c r="CP284" i="1"/>
  <c r="O284" i="1" s="1"/>
  <c r="AC313" i="1"/>
  <c r="DH438" i="3"/>
  <c r="DI438" i="3"/>
  <c r="DF438" i="3"/>
  <c r="DG438" i="3"/>
  <c r="DJ438" i="3" s="1"/>
  <c r="P382" i="1"/>
  <c r="EL345" i="1"/>
  <c r="AG345" i="1"/>
  <c r="T364" i="1"/>
  <c r="EM345" i="1"/>
  <c r="P383" i="1"/>
  <c r="EP364" i="1"/>
  <c r="FY345" i="1"/>
  <c r="DU313" i="1"/>
  <c r="EA345" i="1"/>
  <c r="DN364" i="1"/>
  <c r="AJ345" i="1"/>
  <c r="W364" i="1"/>
  <c r="ER313" i="1"/>
  <c r="GA282" i="1"/>
  <c r="CJ345" i="1"/>
  <c r="BA364" i="1"/>
  <c r="GA345" i="1"/>
  <c r="ER364" i="1"/>
  <c r="EL250" i="1" l="1"/>
  <c r="FU208" i="1"/>
  <c r="EB67" i="1"/>
  <c r="DO176" i="1"/>
  <c r="GN69" i="1"/>
  <c r="CB176" i="1" s="1"/>
  <c r="CA176" i="1"/>
  <c r="AH282" i="1"/>
  <c r="U313" i="1"/>
  <c r="AJ282" i="1"/>
  <c r="W313" i="1"/>
  <c r="AL208" i="1"/>
  <c r="Y250" i="1"/>
  <c r="DZ67" i="1"/>
  <c r="DM176" i="1"/>
  <c r="DY67" i="1"/>
  <c r="DL176" i="1"/>
  <c r="AK208" i="1"/>
  <c r="X250" i="1"/>
  <c r="R313" i="1"/>
  <c r="AE282" i="1"/>
  <c r="GB67" i="1"/>
  <c r="ES176" i="1"/>
  <c r="DV67" i="1"/>
  <c r="DI176" i="1"/>
  <c r="DW67" i="1"/>
  <c r="DJ176" i="1"/>
  <c r="ED282" i="1"/>
  <c r="DQ313" i="1"/>
  <c r="CJ282" i="1"/>
  <c r="BA313" i="1"/>
  <c r="AC282" i="1"/>
  <c r="P313" i="1"/>
  <c r="CE313" i="1"/>
  <c r="CF313" i="1"/>
  <c r="CH313" i="1"/>
  <c r="P371" i="1"/>
  <c r="EP345" i="1"/>
  <c r="DI364" i="1"/>
  <c r="DV345" i="1"/>
  <c r="U208" i="1"/>
  <c r="F272" i="1"/>
  <c r="AX208" i="1"/>
  <c r="F257" i="1"/>
  <c r="DP250" i="1"/>
  <c r="EC208" i="1"/>
  <c r="Q208" i="1"/>
  <c r="F262" i="1"/>
  <c r="AZ67" i="1"/>
  <c r="F187" i="1"/>
  <c r="CP170" i="1"/>
  <c r="O170" i="1" s="1"/>
  <c r="AC67" i="1"/>
  <c r="CF176" i="1"/>
  <c r="CH176" i="1"/>
  <c r="P176" i="1"/>
  <c r="CE176" i="1"/>
  <c r="V26" i="1"/>
  <c r="F58" i="1"/>
  <c r="GM29" i="1"/>
  <c r="DT35" i="1"/>
  <c r="CF35" i="1"/>
  <c r="AC26" i="1"/>
  <c r="CH35" i="1"/>
  <c r="P35" i="1"/>
  <c r="CE35" i="1"/>
  <c r="P385" i="1"/>
  <c r="DL345" i="1"/>
  <c r="AD345" i="1"/>
  <c r="Q364" i="1"/>
  <c r="EP208" i="1"/>
  <c r="P257" i="1"/>
  <c r="GN285" i="1"/>
  <c r="FT313" i="1" s="1"/>
  <c r="FS313" i="1"/>
  <c r="BA26" i="1"/>
  <c r="F55" i="1"/>
  <c r="BA394" i="1"/>
  <c r="Q26" i="1"/>
  <c r="F47" i="1"/>
  <c r="EC176" i="1"/>
  <c r="AX282" i="1"/>
  <c r="F320" i="1"/>
  <c r="W208" i="1"/>
  <c r="F274" i="1"/>
  <c r="AI282" i="1"/>
  <c r="V313" i="1"/>
  <c r="AF208" i="1"/>
  <c r="S250" i="1"/>
  <c r="W67" i="1"/>
  <c r="F200" i="1"/>
  <c r="ES26" i="1"/>
  <c r="P55" i="1"/>
  <c r="ES394" i="1"/>
  <c r="T26" i="1"/>
  <c r="F56" i="1"/>
  <c r="X26" i="1"/>
  <c r="F61" i="1"/>
  <c r="AB35" i="1"/>
  <c r="ET22" i="1"/>
  <c r="ET424" i="1"/>
  <c r="P407" i="1"/>
  <c r="F42" i="1"/>
  <c r="AX26" i="1"/>
  <c r="AX394" i="1"/>
  <c r="AO22" i="1"/>
  <c r="AO424" i="1"/>
  <c r="F398" i="1"/>
  <c r="DM282" i="1"/>
  <c r="P335" i="1"/>
  <c r="EA67" i="1"/>
  <c r="DN176" i="1"/>
  <c r="X168" i="1"/>
  <c r="CY168" i="1"/>
  <c r="Y168" i="1"/>
  <c r="ED176" i="1" s="1"/>
  <c r="CZ168" i="1"/>
  <c r="BB22" i="1"/>
  <c r="F407" i="1"/>
  <c r="BB424" i="1"/>
  <c r="EM22" i="1"/>
  <c r="P413" i="1"/>
  <c r="EM424" i="1"/>
  <c r="DI26" i="1"/>
  <c r="P47" i="1"/>
  <c r="DI394" i="1"/>
  <c r="AL345" i="1"/>
  <c r="Y364" i="1"/>
  <c r="P375" i="1"/>
  <c r="ER345" i="1"/>
  <c r="P387" i="1"/>
  <c r="DN345" i="1"/>
  <c r="GM284" i="1"/>
  <c r="AB313" i="1"/>
  <c r="ER282" i="1"/>
  <c r="P324" i="1"/>
  <c r="AK345" i="1"/>
  <c r="X364" i="1"/>
  <c r="AG282" i="1"/>
  <c r="T313" i="1"/>
  <c r="V67" i="1"/>
  <c r="F199" i="1"/>
  <c r="X170" i="1"/>
  <c r="CY170" i="1"/>
  <c r="Y170" i="1"/>
  <c r="CZ170" i="1"/>
  <c r="W26" i="1"/>
  <c r="F59" i="1"/>
  <c r="W394" i="1"/>
  <c r="AL176" i="1"/>
  <c r="FZ35" i="1"/>
  <c r="DH35" i="1"/>
  <c r="FW35" i="1"/>
  <c r="FX35" i="1"/>
  <c r="DU26" i="1"/>
  <c r="DK345" i="1"/>
  <c r="P379" i="1"/>
  <c r="DL282" i="1"/>
  <c r="P334" i="1"/>
  <c r="V208" i="1"/>
  <c r="F273" i="1"/>
  <c r="DO208" i="1"/>
  <c r="P274" i="1"/>
  <c r="DI208" i="1"/>
  <c r="P262" i="1"/>
  <c r="FU176" i="1"/>
  <c r="U67" i="1"/>
  <c r="F198" i="1"/>
  <c r="EP67" i="1"/>
  <c r="P183" i="1"/>
  <c r="AT67" i="1"/>
  <c r="F194" i="1"/>
  <c r="EP26" i="1"/>
  <c r="P42" i="1"/>
  <c r="EP394" i="1"/>
  <c r="DQ364" i="1"/>
  <c r="ED345" i="1"/>
  <c r="CH364" i="1"/>
  <c r="AC345" i="1"/>
  <c r="CF364" i="1"/>
  <c r="P364" i="1"/>
  <c r="CE364" i="1"/>
  <c r="AD67" i="1"/>
  <c r="Q176" i="1"/>
  <c r="DN208" i="1"/>
  <c r="P273" i="1"/>
  <c r="BA208" i="1"/>
  <c r="F270" i="1"/>
  <c r="DH364" i="1"/>
  <c r="FW364" i="1"/>
  <c r="FX364" i="1"/>
  <c r="DU345" i="1"/>
  <c r="FZ364" i="1"/>
  <c r="ES282" i="1"/>
  <c r="P333" i="1"/>
  <c r="T208" i="1"/>
  <c r="F271" i="1"/>
  <c r="T67" i="1"/>
  <c r="F197" i="1"/>
  <c r="GM112" i="1"/>
  <c r="GN112" i="1" s="1"/>
  <c r="AU22" i="1"/>
  <c r="F413" i="1"/>
  <c r="AU424" i="1"/>
  <c r="F62" i="1"/>
  <c r="Y26" i="1"/>
  <c r="AB176" i="1"/>
  <c r="BA345" i="1"/>
  <c r="F384" i="1"/>
  <c r="W345" i="1"/>
  <c r="F388" i="1"/>
  <c r="DU282" i="1"/>
  <c r="FZ313" i="1"/>
  <c r="DH313" i="1"/>
  <c r="FW313" i="1"/>
  <c r="FX313" i="1"/>
  <c r="DM208" i="1"/>
  <c r="P272" i="1"/>
  <c r="AF345" i="1"/>
  <c r="S364" i="1"/>
  <c r="DX208" i="1"/>
  <c r="DK250" i="1"/>
  <c r="ED208" i="1"/>
  <c r="DQ250" i="1"/>
  <c r="AC208" i="1"/>
  <c r="P250" i="1"/>
  <c r="CE250" i="1"/>
  <c r="CF250" i="1"/>
  <c r="CH250" i="1"/>
  <c r="EI22" i="1"/>
  <c r="P404" i="1"/>
  <c r="EI424" i="1"/>
  <c r="AP35" i="1"/>
  <c r="BY26" i="1"/>
  <c r="CI35" i="1"/>
  <c r="AF282" i="1"/>
  <c r="S313" i="1"/>
  <c r="AD282" i="1"/>
  <c r="Q313" i="1"/>
  <c r="F57" i="1"/>
  <c r="U26" i="1"/>
  <c r="U394" i="1"/>
  <c r="EP282" i="1"/>
  <c r="P320" i="1"/>
  <c r="GM347" i="1"/>
  <c r="AB364" i="1"/>
  <c r="AE208" i="1"/>
  <c r="R250" i="1"/>
  <c r="DT250" i="1"/>
  <c r="P58" i="1"/>
  <c r="DN26" i="1"/>
  <c r="DN394" i="1"/>
  <c r="DU176" i="1"/>
  <c r="R67" i="1"/>
  <c r="F190" i="1"/>
  <c r="X290" i="1"/>
  <c r="AK313" i="1" s="1"/>
  <c r="CY290" i="1"/>
  <c r="Y290" i="1"/>
  <c r="AL313" i="1" s="1"/>
  <c r="CZ290" i="1"/>
  <c r="DL208" i="1"/>
  <c r="P271" i="1"/>
  <c r="DT364" i="1"/>
  <c r="GM348" i="1"/>
  <c r="DU208" i="1"/>
  <c r="FZ250" i="1"/>
  <c r="DH250" i="1"/>
  <c r="FW250" i="1"/>
  <c r="FX250" i="1"/>
  <c r="AB250" i="1"/>
  <c r="DL26" i="1"/>
  <c r="P56" i="1"/>
  <c r="DL394" i="1"/>
  <c r="DP26" i="1"/>
  <c r="P61" i="1"/>
  <c r="GM224" i="1"/>
  <c r="GO224" i="1" s="1"/>
  <c r="CC250" i="1" s="1"/>
  <c r="T345" i="1"/>
  <c r="F385" i="1"/>
  <c r="P337" i="1"/>
  <c r="DO282" i="1"/>
  <c r="ES208" i="1"/>
  <c r="P270" i="1"/>
  <c r="AQ22" i="1"/>
  <c r="F404" i="1"/>
  <c r="AQ424" i="1"/>
  <c r="DJ282" i="1"/>
  <c r="P327" i="1"/>
  <c r="DW208" i="1"/>
  <c r="DJ250" i="1"/>
  <c r="AF67" i="1"/>
  <c r="S176" i="1"/>
  <c r="AK176" i="1"/>
  <c r="V345" i="1"/>
  <c r="F387" i="1"/>
  <c r="F386" i="1"/>
  <c r="U345" i="1"/>
  <c r="P386" i="1"/>
  <c r="DM345" i="1"/>
  <c r="EC282" i="1"/>
  <c r="DP313" i="1"/>
  <c r="DI282" i="1"/>
  <c r="P325" i="1"/>
  <c r="DT313" i="1"/>
  <c r="BA67" i="1"/>
  <c r="F196" i="1"/>
  <c r="EV22" i="1"/>
  <c r="P419" i="1"/>
  <c r="EV424" i="1"/>
  <c r="DX176" i="1"/>
  <c r="EG22" i="1"/>
  <c r="P398" i="1"/>
  <c r="EG424" i="1"/>
  <c r="FQ26" i="1"/>
  <c r="GA35" i="1"/>
  <c r="EH35" i="1"/>
  <c r="DO345" i="1"/>
  <c r="P388" i="1"/>
  <c r="GM288" i="1"/>
  <c r="GN288" i="1" s="1"/>
  <c r="ER208" i="1"/>
  <c r="P261" i="1"/>
  <c r="GM211" i="1"/>
  <c r="EU22" i="1"/>
  <c r="EU424" i="1"/>
  <c r="P410" i="1"/>
  <c r="GO28" i="1"/>
  <c r="CC35" i="1" s="1"/>
  <c r="CA35" i="1"/>
  <c r="GM70" i="1"/>
  <c r="DT176" i="1"/>
  <c r="BC22" i="1"/>
  <c r="F410" i="1"/>
  <c r="BC424" i="1"/>
  <c r="P384" i="1"/>
  <c r="ES345" i="1"/>
  <c r="DP364" i="1"/>
  <c r="EC345" i="1"/>
  <c r="DN282" i="1"/>
  <c r="P336" i="1"/>
  <c r="AZ282" i="1"/>
  <c r="F324" i="1"/>
  <c r="DX282" i="1"/>
  <c r="DK313" i="1"/>
  <c r="AX67" i="1"/>
  <c r="F183" i="1"/>
  <c r="GN210" i="1"/>
  <c r="CB250" i="1" s="1"/>
  <c r="CA250" i="1"/>
  <c r="CP168" i="1"/>
  <c r="O168" i="1" s="1"/>
  <c r="GM168" i="1" s="1"/>
  <c r="GN168" i="1" s="1"/>
  <c r="DO26" i="1"/>
  <c r="P59" i="1"/>
  <c r="DO394" i="1"/>
  <c r="BD22" i="1"/>
  <c r="F419" i="1"/>
  <c r="BD424" i="1"/>
  <c r="DQ26" i="1"/>
  <c r="P62" i="1"/>
  <c r="F378" i="1"/>
  <c r="R345" i="1"/>
  <c r="ED67" i="1" l="1"/>
  <c r="DQ176" i="1"/>
  <c r="AK282" i="1"/>
  <c r="X313" i="1"/>
  <c r="AK67" i="1"/>
  <c r="X176" i="1"/>
  <c r="CC208" i="1"/>
  <c r="AT250" i="1"/>
  <c r="DL22" i="1"/>
  <c r="DL424" i="1"/>
  <c r="P415" i="1"/>
  <c r="AB208" i="1"/>
  <c r="O250" i="1"/>
  <c r="FZ208" i="1"/>
  <c r="EQ250" i="1"/>
  <c r="DU67" i="1"/>
  <c r="FZ176" i="1"/>
  <c r="DH176" i="1"/>
  <c r="FW176" i="1"/>
  <c r="FX176" i="1"/>
  <c r="DT208" i="1"/>
  <c r="DG250" i="1"/>
  <c r="CA364" i="1"/>
  <c r="GN347" i="1"/>
  <c r="CB364" i="1" s="1"/>
  <c r="F328" i="1"/>
  <c r="S282" i="1"/>
  <c r="AP26" i="1"/>
  <c r="F44" i="1"/>
  <c r="AP394" i="1"/>
  <c r="CH208" i="1"/>
  <c r="AY250" i="1"/>
  <c r="FZ282" i="1"/>
  <c r="EQ313" i="1"/>
  <c r="FZ345" i="1"/>
  <c r="EQ364" i="1"/>
  <c r="P367" i="1"/>
  <c r="DH345" i="1"/>
  <c r="P345" i="1"/>
  <c r="F367" i="1"/>
  <c r="GM290" i="1"/>
  <c r="GN290" i="1" s="1"/>
  <c r="FX26" i="1"/>
  <c r="EO35" i="1"/>
  <c r="AL67" i="1"/>
  <c r="Y176" i="1"/>
  <c r="X345" i="1"/>
  <c r="F390" i="1"/>
  <c r="AB282" i="1"/>
  <c r="O313" i="1"/>
  <c r="DI22" i="1"/>
  <c r="DI424" i="1"/>
  <c r="P406" i="1"/>
  <c r="AX22" i="1"/>
  <c r="F401" i="1"/>
  <c r="AX424" i="1"/>
  <c r="ET18" i="1"/>
  <c r="P437" i="1"/>
  <c r="V282" i="1"/>
  <c r="F336" i="1"/>
  <c r="V394" i="1"/>
  <c r="P67" i="1"/>
  <c r="F179" i="1"/>
  <c r="GM170" i="1"/>
  <c r="GN170" i="1" s="1"/>
  <c r="P376" i="1"/>
  <c r="DI345" i="1"/>
  <c r="CF282" i="1"/>
  <c r="AW313" i="1"/>
  <c r="BA282" i="1"/>
  <c r="F333" i="1"/>
  <c r="R282" i="1"/>
  <c r="F327" i="1"/>
  <c r="Y208" i="1"/>
  <c r="F277" i="1"/>
  <c r="U282" i="1"/>
  <c r="F335" i="1"/>
  <c r="DO67" i="1"/>
  <c r="P200" i="1"/>
  <c r="CB208" i="1"/>
  <c r="AS250" i="1"/>
  <c r="EG18" i="1"/>
  <c r="P428" i="1"/>
  <c r="BC18" i="1"/>
  <c r="F440" i="1"/>
  <c r="GN70" i="1"/>
  <c r="FT176" i="1" s="1"/>
  <c r="EU18" i="1"/>
  <c r="P440" i="1"/>
  <c r="P44" i="1"/>
  <c r="EH26" i="1"/>
  <c r="EH394" i="1"/>
  <c r="DT282" i="1"/>
  <c r="DG313" i="1"/>
  <c r="S67" i="1"/>
  <c r="F191" i="1"/>
  <c r="S394" i="1"/>
  <c r="FX208" i="1"/>
  <c r="EO250" i="1"/>
  <c r="DN22" i="1"/>
  <c r="DN424" i="1"/>
  <c r="P417" i="1"/>
  <c r="R208" i="1"/>
  <c r="F264" i="1"/>
  <c r="EI18" i="1"/>
  <c r="P434" i="1"/>
  <c r="CF208" i="1"/>
  <c r="AW250" i="1"/>
  <c r="DQ208" i="1"/>
  <c r="P277" i="1"/>
  <c r="S345" i="1"/>
  <c r="F379" i="1"/>
  <c r="FX282" i="1"/>
  <c r="EO313" i="1"/>
  <c r="Q67" i="1"/>
  <c r="F188" i="1"/>
  <c r="CF345" i="1"/>
  <c r="AW364" i="1"/>
  <c r="P391" i="1"/>
  <c r="DQ345" i="1"/>
  <c r="EN35" i="1"/>
  <c r="FW26" i="1"/>
  <c r="W22" i="1"/>
  <c r="W424" i="1"/>
  <c r="F418" i="1"/>
  <c r="GN284" i="1"/>
  <c r="CB313" i="1" s="1"/>
  <c r="CA313" i="1"/>
  <c r="DN67" i="1"/>
  <c r="P199" i="1"/>
  <c r="ES22" i="1"/>
  <c r="P414" i="1"/>
  <c r="H16" i="2" s="1"/>
  <c r="ES424" i="1"/>
  <c r="FS282" i="1"/>
  <c r="EJ313" i="1"/>
  <c r="Q345" i="1"/>
  <c r="F376" i="1"/>
  <c r="CE26" i="1"/>
  <c r="AV35" i="1"/>
  <c r="CF26" i="1"/>
  <c r="AW35" i="1"/>
  <c r="CH67" i="1"/>
  <c r="AY176" i="1"/>
  <c r="AV313" i="1"/>
  <c r="CE282" i="1"/>
  <c r="DJ67" i="1"/>
  <c r="P190" i="1"/>
  <c r="DJ394" i="1"/>
  <c r="ES67" i="1"/>
  <c r="P196" i="1"/>
  <c r="X208" i="1"/>
  <c r="F276" i="1"/>
  <c r="DM67" i="1"/>
  <c r="P198" i="1"/>
  <c r="DM394" i="1"/>
  <c r="BD18" i="1"/>
  <c r="F449" i="1"/>
  <c r="EV18" i="1"/>
  <c r="P449" i="1"/>
  <c r="DP345" i="1"/>
  <c r="P390" i="1"/>
  <c r="CA26" i="1"/>
  <c r="AR35" i="1"/>
  <c r="ER35" i="1"/>
  <c r="GA26" i="1"/>
  <c r="FW208" i="1"/>
  <c r="EN250" i="1"/>
  <c r="GN348" i="1"/>
  <c r="FT364" i="1" s="1"/>
  <c r="FS364" i="1"/>
  <c r="Q282" i="1"/>
  <c r="F325" i="1"/>
  <c r="CI26" i="1"/>
  <c r="AZ35" i="1"/>
  <c r="CE208" i="1"/>
  <c r="AV250" i="1"/>
  <c r="FW282" i="1"/>
  <c r="EN313" i="1"/>
  <c r="AB67" i="1"/>
  <c r="O176" i="1"/>
  <c r="AU18" i="1"/>
  <c r="F443" i="1"/>
  <c r="EO364" i="1"/>
  <c r="FX345" i="1"/>
  <c r="EP22" i="1"/>
  <c r="EP424" i="1"/>
  <c r="P401" i="1"/>
  <c r="DH26" i="1"/>
  <c r="P38" i="1"/>
  <c r="DH394" i="1"/>
  <c r="T282" i="1"/>
  <c r="F334" i="1"/>
  <c r="Y345" i="1"/>
  <c r="F391" i="1"/>
  <c r="BB18" i="1"/>
  <c r="F437" i="1"/>
  <c r="AO18" i="1"/>
  <c r="F428" i="1"/>
  <c r="AB26" i="1"/>
  <c r="O35" i="1"/>
  <c r="T394" i="1"/>
  <c r="S208" i="1"/>
  <c r="F265" i="1"/>
  <c r="EC67" i="1"/>
  <c r="DP176" i="1"/>
  <c r="BA22" i="1"/>
  <c r="BA424" i="1"/>
  <c r="F414" i="1"/>
  <c r="W16" i="2" s="1"/>
  <c r="FT282" i="1"/>
  <c r="EK313" i="1"/>
  <c r="P26" i="1"/>
  <c r="F38" i="1"/>
  <c r="P394" i="1"/>
  <c r="DT26" i="1"/>
  <c r="DG35" i="1"/>
  <c r="CF67" i="1"/>
  <c r="AW176" i="1"/>
  <c r="DP208" i="1"/>
  <c r="P276" i="1"/>
  <c r="P282" i="1"/>
  <c r="F316" i="1"/>
  <c r="DQ282" i="1"/>
  <c r="P340" i="1"/>
  <c r="W282" i="1"/>
  <c r="F337" i="1"/>
  <c r="CA67" i="1"/>
  <c r="AR176" i="1"/>
  <c r="DT67" i="1"/>
  <c r="DG176" i="1"/>
  <c r="DP282" i="1"/>
  <c r="P339" i="1"/>
  <c r="DO22" i="1"/>
  <c r="DO424" i="1"/>
  <c r="P418" i="1"/>
  <c r="CA208" i="1"/>
  <c r="AR250" i="1"/>
  <c r="DK282" i="1"/>
  <c r="P328" i="1"/>
  <c r="CC26" i="1"/>
  <c r="AT35" i="1"/>
  <c r="GN211" i="1"/>
  <c r="FT250" i="1" s="1"/>
  <c r="FS250" i="1"/>
  <c r="DX67" i="1"/>
  <c r="DK176" i="1"/>
  <c r="DJ208" i="1"/>
  <c r="P264" i="1"/>
  <c r="AQ18" i="1"/>
  <c r="F434" i="1"/>
  <c r="R394" i="1"/>
  <c r="DH208" i="1"/>
  <c r="P253" i="1"/>
  <c r="DT345" i="1"/>
  <c r="DG364" i="1"/>
  <c r="AL282" i="1"/>
  <c r="Y313" i="1"/>
  <c r="AB345" i="1"/>
  <c r="O364" i="1"/>
  <c r="U22" i="1"/>
  <c r="F416" i="1"/>
  <c r="U424" i="1"/>
  <c r="P208" i="1"/>
  <c r="F253" i="1"/>
  <c r="DK208" i="1"/>
  <c r="P265" i="1"/>
  <c r="DH282" i="1"/>
  <c r="P316" i="1"/>
  <c r="FW345" i="1"/>
  <c r="EN364" i="1"/>
  <c r="CE345" i="1"/>
  <c r="AV364" i="1"/>
  <c r="AY364" i="1"/>
  <c r="CH345" i="1"/>
  <c r="FU67" i="1"/>
  <c r="EL176" i="1"/>
  <c r="EQ35" i="1"/>
  <c r="FZ26" i="1"/>
  <c r="EM18" i="1"/>
  <c r="P443" i="1"/>
  <c r="Q394" i="1"/>
  <c r="CH26" i="1"/>
  <c r="AY35" i="1"/>
  <c r="GO29" i="1"/>
  <c r="FU35" i="1" s="1"/>
  <c r="FS35" i="1"/>
  <c r="CE67" i="1"/>
  <c r="AV176" i="1"/>
  <c r="CH282" i="1"/>
  <c r="AY313" i="1"/>
  <c r="DI67" i="1"/>
  <c r="P188" i="1"/>
  <c r="DL67" i="1"/>
  <c r="P197" i="1"/>
  <c r="CB67" i="1"/>
  <c r="AS176" i="1"/>
  <c r="EL208" i="1"/>
  <c r="P268" i="1"/>
  <c r="EJ35" i="1" l="1"/>
  <c r="FS26" i="1"/>
  <c r="EQ26" i="1"/>
  <c r="P43" i="1"/>
  <c r="AR208" i="1"/>
  <c r="F278" i="1"/>
  <c r="F37" i="1"/>
  <c r="O26" i="1"/>
  <c r="O394" i="1"/>
  <c r="O67" i="1"/>
  <c r="F178" i="1"/>
  <c r="AV208" i="1"/>
  <c r="F255" i="1"/>
  <c r="EN208" i="1"/>
  <c r="P255" i="1"/>
  <c r="AR26" i="1"/>
  <c r="F63" i="1"/>
  <c r="AR394" i="1"/>
  <c r="DM22" i="1"/>
  <c r="DM424" i="1"/>
  <c r="P416" i="1"/>
  <c r="AY67" i="1"/>
  <c r="F184" i="1"/>
  <c r="AV26" i="1"/>
  <c r="F40" i="1"/>
  <c r="AV394" i="1"/>
  <c r="EJ282" i="1"/>
  <c r="P341" i="1"/>
  <c r="CB282" i="1"/>
  <c r="AS313" i="1"/>
  <c r="AW345" i="1"/>
  <c r="F370" i="1"/>
  <c r="EO282" i="1"/>
  <c r="P319" i="1"/>
  <c r="P315" i="1"/>
  <c r="DG282" i="1"/>
  <c r="FT67" i="1"/>
  <c r="EK176" i="1"/>
  <c r="V22" i="1"/>
  <c r="F417" i="1"/>
  <c r="V424" i="1"/>
  <c r="O282" i="1"/>
  <c r="F315" i="1"/>
  <c r="Y67" i="1"/>
  <c r="F203" i="1"/>
  <c r="Y394" i="1"/>
  <c r="CB345" i="1"/>
  <c r="AS364" i="1"/>
  <c r="FX67" i="1"/>
  <c r="EO176" i="1"/>
  <c r="AT208" i="1"/>
  <c r="F268" i="1"/>
  <c r="X282" i="1"/>
  <c r="F339" i="1"/>
  <c r="AV67" i="1"/>
  <c r="F181" i="1"/>
  <c r="AY282" i="1"/>
  <c r="F321" i="1"/>
  <c r="Q22" i="1"/>
  <c r="Q424" i="1"/>
  <c r="F406" i="1"/>
  <c r="AY345" i="1"/>
  <c r="F372" i="1"/>
  <c r="U18" i="1"/>
  <c r="F446" i="1"/>
  <c r="DK67" i="1"/>
  <c r="P191" i="1"/>
  <c r="DK394" i="1"/>
  <c r="F53" i="1"/>
  <c r="AT26" i="1"/>
  <c r="AT394" i="1"/>
  <c r="FU26" i="1"/>
  <c r="EL35" i="1"/>
  <c r="EL67" i="1"/>
  <c r="P194" i="1"/>
  <c r="AV345" i="1"/>
  <c r="F369" i="1"/>
  <c r="Y282" i="1"/>
  <c r="F340" i="1"/>
  <c r="AR67" i="1"/>
  <c r="F204" i="1"/>
  <c r="DG26" i="1"/>
  <c r="P37" i="1"/>
  <c r="DG394" i="1"/>
  <c r="BA18" i="1"/>
  <c r="F444" i="1"/>
  <c r="P370" i="1"/>
  <c r="EO345" i="1"/>
  <c r="EN26" i="1"/>
  <c r="P40" i="1"/>
  <c r="DN18" i="1"/>
  <c r="P447" i="1"/>
  <c r="S22" i="1"/>
  <c r="F409" i="1"/>
  <c r="S424" i="1"/>
  <c r="AS208" i="1"/>
  <c r="F267" i="1"/>
  <c r="AW282" i="1"/>
  <c r="F319" i="1"/>
  <c r="AX18" i="1"/>
  <c r="F431" i="1"/>
  <c r="EQ345" i="1"/>
  <c r="P372" i="1"/>
  <c r="AY208" i="1"/>
  <c r="F258" i="1"/>
  <c r="CA345" i="1"/>
  <c r="AR364" i="1"/>
  <c r="FW67" i="1"/>
  <c r="EN176" i="1"/>
  <c r="EN394" i="1" s="1"/>
  <c r="EQ208" i="1"/>
  <c r="P258" i="1"/>
  <c r="FS208" i="1"/>
  <c r="EJ250" i="1"/>
  <c r="EK282" i="1"/>
  <c r="P330" i="1"/>
  <c r="EP18" i="1"/>
  <c r="P431" i="1"/>
  <c r="EN282" i="1"/>
  <c r="P318" i="1"/>
  <c r="AZ26" i="1"/>
  <c r="F46" i="1"/>
  <c r="AZ394" i="1"/>
  <c r="FS345" i="1"/>
  <c r="EJ364" i="1"/>
  <c r="AW26" i="1"/>
  <c r="F41" i="1"/>
  <c r="AW394" i="1"/>
  <c r="ES18" i="1"/>
  <c r="P444" i="1"/>
  <c r="W18" i="1"/>
  <c r="F448" i="1"/>
  <c r="AW208" i="1"/>
  <c r="F256" i="1"/>
  <c r="EH22" i="1"/>
  <c r="EH424" i="1"/>
  <c r="P403" i="1"/>
  <c r="G16" i="2" s="1"/>
  <c r="DI18" i="1"/>
  <c r="P436" i="1"/>
  <c r="EO26" i="1"/>
  <c r="P41" i="1"/>
  <c r="EO394" i="1"/>
  <c r="DG208" i="1"/>
  <c r="P252" i="1"/>
  <c r="DH67" i="1"/>
  <c r="P179" i="1"/>
  <c r="DL18" i="1"/>
  <c r="P445" i="1"/>
  <c r="X67" i="1"/>
  <c r="F202" i="1"/>
  <c r="X394" i="1"/>
  <c r="DQ67" i="1"/>
  <c r="P203" i="1"/>
  <c r="DQ394" i="1"/>
  <c r="AS67" i="1"/>
  <c r="F193" i="1"/>
  <c r="F43" i="1"/>
  <c r="AY26" i="1"/>
  <c r="AY394" i="1"/>
  <c r="DH22" i="1"/>
  <c r="P397" i="1"/>
  <c r="DH424" i="1"/>
  <c r="P369" i="1"/>
  <c r="EN345" i="1"/>
  <c r="O345" i="1"/>
  <c r="F366" i="1"/>
  <c r="DG345" i="1"/>
  <c r="P366" i="1"/>
  <c r="R22" i="1"/>
  <c r="R424" i="1"/>
  <c r="F408" i="1"/>
  <c r="FT208" i="1"/>
  <c r="EK250" i="1"/>
  <c r="DO18" i="1"/>
  <c r="P448" i="1"/>
  <c r="DG67" i="1"/>
  <c r="P178" i="1"/>
  <c r="AW67" i="1"/>
  <c r="F182" i="1"/>
  <c r="P22" i="1"/>
  <c r="F397" i="1"/>
  <c r="P424" i="1"/>
  <c r="DP67" i="1"/>
  <c r="P202" i="1"/>
  <c r="DP394" i="1"/>
  <c r="T22" i="1"/>
  <c r="F415" i="1"/>
  <c r="T424" i="1"/>
  <c r="EK364" i="1"/>
  <c r="FT345" i="1"/>
  <c r="ER26" i="1"/>
  <c r="P46" i="1"/>
  <c r="ER394" i="1"/>
  <c r="DJ22" i="1"/>
  <c r="P408" i="1"/>
  <c r="DJ424" i="1"/>
  <c r="AV282" i="1"/>
  <c r="F318" i="1"/>
  <c r="AR313" i="1"/>
  <c r="CA282" i="1"/>
  <c r="EO208" i="1"/>
  <c r="P256" i="1"/>
  <c r="FS176" i="1"/>
  <c r="EQ282" i="1"/>
  <c r="P321" i="1"/>
  <c r="AP22" i="1"/>
  <c r="F403" i="1"/>
  <c r="V16" i="2" s="1"/>
  <c r="AP424" i="1"/>
  <c r="FZ67" i="1"/>
  <c r="EQ176" i="1"/>
  <c r="O208" i="1"/>
  <c r="F252" i="1"/>
  <c r="EN22" i="1" l="1"/>
  <c r="P399" i="1"/>
  <c r="EN424" i="1"/>
  <c r="ER22" i="1"/>
  <c r="P405" i="1"/>
  <c r="ER424" i="1"/>
  <c r="EO22" i="1"/>
  <c r="P400" i="1"/>
  <c r="EO424" i="1"/>
  <c r="EQ67" i="1"/>
  <c r="P184" i="1"/>
  <c r="P18" i="1"/>
  <c r="F427" i="1"/>
  <c r="R18" i="1"/>
  <c r="F438" i="1"/>
  <c r="DH18" i="1"/>
  <c r="P427" i="1"/>
  <c r="X22" i="1"/>
  <c r="F420" i="1"/>
  <c r="X424" i="1"/>
  <c r="AZ22" i="1"/>
  <c r="F405" i="1"/>
  <c r="AZ424" i="1"/>
  <c r="Y16" i="2"/>
  <c r="AT22" i="1"/>
  <c r="AT424" i="1"/>
  <c r="F412" i="1"/>
  <c r="U16" i="2" s="1"/>
  <c r="EJ208" i="1"/>
  <c r="P278" i="1"/>
  <c r="Y22" i="1"/>
  <c r="F421" i="1"/>
  <c r="Y424" i="1"/>
  <c r="EK67" i="1"/>
  <c r="P193" i="1"/>
  <c r="EK394" i="1"/>
  <c r="AS282" i="1"/>
  <c r="F330" i="1"/>
  <c r="AV22" i="1"/>
  <c r="F399" i="1"/>
  <c r="AV424" i="1"/>
  <c r="AR22" i="1"/>
  <c r="AR424" i="1"/>
  <c r="F422" i="1"/>
  <c r="P381" i="1"/>
  <c r="EK345" i="1"/>
  <c r="P267" i="1"/>
  <c r="EK208" i="1"/>
  <c r="DQ22" i="1"/>
  <c r="P421" i="1"/>
  <c r="DQ424" i="1"/>
  <c r="EN67" i="1"/>
  <c r="P181" i="1"/>
  <c r="EO67" i="1"/>
  <c r="P182" i="1"/>
  <c r="AP18" i="1"/>
  <c r="F433" i="1"/>
  <c r="DJ18" i="1"/>
  <c r="P438" i="1"/>
  <c r="T18" i="1"/>
  <c r="F445" i="1"/>
  <c r="AS394" i="1"/>
  <c r="EJ345" i="1"/>
  <c r="P392" i="1"/>
  <c r="EL26" i="1"/>
  <c r="P53" i="1"/>
  <c r="EL394" i="1"/>
  <c r="V18" i="1"/>
  <c r="F447" i="1"/>
  <c r="O22" i="1"/>
  <c r="O424" i="1"/>
  <c r="F396" i="1"/>
  <c r="DP22" i="1"/>
  <c r="DP424" i="1"/>
  <c r="P420" i="1"/>
  <c r="FS67" i="1"/>
  <c r="EJ176" i="1"/>
  <c r="AR282" i="1"/>
  <c r="F341" i="1"/>
  <c r="AY22" i="1"/>
  <c r="AY424" i="1"/>
  <c r="F402" i="1"/>
  <c r="EH18" i="1"/>
  <c r="P433" i="1"/>
  <c r="AW22" i="1"/>
  <c r="AW424" i="1"/>
  <c r="F400" i="1"/>
  <c r="F392" i="1"/>
  <c r="AR345" i="1"/>
  <c r="S18" i="1"/>
  <c r="F439" i="1"/>
  <c r="DG22" i="1"/>
  <c r="DG424" i="1"/>
  <c r="P396" i="1"/>
  <c r="DK22" i="1"/>
  <c r="DK424" i="1"/>
  <c r="P409" i="1"/>
  <c r="J16" i="2" s="1"/>
  <c r="Q18" i="1"/>
  <c r="F436" i="1"/>
  <c r="AS345" i="1"/>
  <c r="F381" i="1"/>
  <c r="DM18" i="1"/>
  <c r="P446" i="1"/>
  <c r="EQ394" i="1"/>
  <c r="EJ26" i="1"/>
  <c r="P63" i="1"/>
  <c r="EJ394" i="1"/>
  <c r="EJ22" i="1" l="1"/>
  <c r="EJ424" i="1"/>
  <c r="P422" i="1"/>
  <c r="O18" i="1"/>
  <c r="F426" i="1"/>
  <c r="DQ18" i="1"/>
  <c r="P451" i="1"/>
  <c r="DG18" i="1"/>
  <c r="P426" i="1"/>
  <c r="AY18" i="1"/>
  <c r="F432" i="1"/>
  <c r="EJ67" i="1"/>
  <c r="P204" i="1"/>
  <c r="AV18" i="1"/>
  <c r="F429" i="1"/>
  <c r="Y18" i="1"/>
  <c r="F451" i="1"/>
  <c r="X18" i="1"/>
  <c r="F450" i="1"/>
  <c r="DK18" i="1"/>
  <c r="P439" i="1"/>
  <c r="EK22" i="1"/>
  <c r="EK424" i="1"/>
  <c r="P411" i="1"/>
  <c r="E16" i="2" s="1"/>
  <c r="AZ18" i="1"/>
  <c r="F435" i="1"/>
  <c r="EN18" i="1"/>
  <c r="P429" i="1"/>
  <c r="EQ22" i="1"/>
  <c r="EQ424" i="1"/>
  <c r="P402" i="1"/>
  <c r="EL22" i="1"/>
  <c r="EL424" i="1"/>
  <c r="P412" i="1"/>
  <c r="F16" i="2" s="1"/>
  <c r="AR18" i="1"/>
  <c r="F452" i="1"/>
  <c r="AT18" i="1"/>
  <c r="F442" i="1"/>
  <c r="ER18" i="1"/>
  <c r="P435" i="1"/>
  <c r="AW18" i="1"/>
  <c r="F430" i="1"/>
  <c r="DP18" i="1"/>
  <c r="P450" i="1"/>
  <c r="AS22" i="1"/>
  <c r="F411" i="1"/>
  <c r="T16" i="2" s="1"/>
  <c r="X16" i="2" s="1"/>
  <c r="AC16" i="2" s="1"/>
  <c r="AS424" i="1"/>
  <c r="EO18" i="1"/>
  <c r="P430" i="1"/>
  <c r="EK18" i="1" l="1"/>
  <c r="P441" i="1"/>
  <c r="I16" i="2"/>
  <c r="N16" i="2" s="1"/>
  <c r="AS18" i="1"/>
  <c r="F441" i="1"/>
  <c r="EJ18" i="1"/>
  <c r="P452" i="1"/>
  <c r="EQ18" i="1"/>
  <c r="P432" i="1"/>
  <c r="EL18" i="1"/>
  <c r="P442" i="1"/>
</calcChain>
</file>

<file path=xl/sharedStrings.xml><?xml version="1.0" encoding="utf-8"?>
<sst xmlns="http://schemas.openxmlformats.org/spreadsheetml/2006/main" count="20920" uniqueCount="713">
  <si>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</si>
  <si>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</si>
  <si>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</si>
  <si>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</si>
  <si>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</si>
  <si>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02-01-06 Отопление</t>
  </si>
  <si>
    <t>2024-00272-00-0-ИОС4.1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</si>
  <si>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</si>
  <si>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</si>
  <si>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</si>
  <si>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ремонт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</si>
  <si>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</si>
  <si>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</si>
  <si>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</si>
  <si>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</si>
  <si>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02-01-06</t>
  </si>
  <si>
    <t>Отопление</t>
  </si>
  <si>
    <t>Конвекторы</t>
  </si>
  <si>
    <t>1</t>
  </si>
  <si>
    <t>4.8-254-1</t>
  </si>
  <si>
    <t>Монтаж приборов нагревательных, электрополотенце/прим. конвектор электрический настенный 1000 Вт</t>
  </si>
  <si>
    <t>1  ШТ.</t>
  </si>
  <si>
    <t>ТСН-2001.4 Доп. 68, Сб. 8, т. 254, поз. 1</t>
  </si>
  <si>
    <t>*1,1</t>
  </si>
  <si>
    <t>Монтаж оборудования</t>
  </si>
  <si>
    <t>ТСН-2001.4-8. Электротехнические установки</t>
  </si>
  <si>
    <t>ТСН-2001.4-8-1</t>
  </si>
  <si>
    <t>Поправка: Гл.12.Прил.8.п.8. 5_12.00.01.11.003</t>
  </si>
  <si>
    <t>2</t>
  </si>
  <si>
    <t>13.1-11-142</t>
  </si>
  <si>
    <t>Конвектор электрический, номинальная мощность 0,5 кВт, для отопления жилых и промышленных помещений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</si>
  <si>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</si>
  <si>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</si>
  <si>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</si>
  <si>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</si>
  <si>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3</t>
  </si>
  <si>
    <t>13.1-11-143</t>
  </si>
  <si>
    <t>Конвектор электрический, номинальная мощность 1 кВт, для отопления жилых и промышленных помещений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</si>
  <si>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</si>
  <si>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</si>
  <si>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</si>
  <si>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</si>
  <si>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</si>
  <si>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</si>
  <si>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</si>
  <si>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</si>
  <si>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</si>
  <si>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</si>
  <si>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</si>
  <si>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</si>
  <si>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</si>
  <si>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</si>
  <si>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</si>
  <si>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</si>
  <si>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</si>
  <si>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</si>
  <si>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</si>
  <si>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</si>
  <si>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</si>
  <si>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</si>
  <si>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</si>
  <si>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</si>
  <si>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</si>
  <si>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</si>
  <si>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</si>
  <si>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</si>
  <si>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</si>
  <si>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</si>
  <si>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</si>
  <si>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</si>
  <si>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</si>
  <si>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</si>
  <si>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</si>
  <si>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</si>
  <si>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</si>
  <si>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</si>
  <si>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</si>
  <si>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</si>
  <si>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</si>
  <si>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</si>
  <si>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</si>
  <si>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</si>
  <si>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</si>
  <si>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</si>
  <si>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</si>
  <si>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</si>
  <si>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</si>
  <si>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</si>
  <si>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</si>
  <si>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</si>
  <si>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</si>
  <si>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</si>
  <si>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Радиаторы отопления</t>
  </si>
  <si>
    <t>4</t>
  </si>
  <si>
    <t>3.18-25-1</t>
  </si>
  <si>
    <t>Установка радиаторов стальных панельных однорядных с креплением к стене длиной до 1600 мм</t>
  </si>
  <si>
    <t>100 шт.</t>
  </si>
  <si>
    <t>ТСН-2001.3 Доп. 80, Сб. 18, т. 25, поз. 1</t>
  </si>
  <si>
    <t>*1,25)*1,1</t>
  </si>
  <si>
    <t>*1,15)*1,1</t>
  </si>
  <si>
    <t>Строительные работы</t>
  </si>
  <si>
    <t>ТСН-2001.3-18. Отопление - внутренние устройства</t>
  </si>
  <si>
    <t>ТСН-2001.3-18-1</t>
  </si>
  <si>
    <t>Поправка: О.П. п.3.4. 6 Поправка: О.П. п.3.4.30.в</t>
  </si>
  <si>
    <t>5</t>
  </si>
  <si>
    <t>КА-1</t>
  </si>
  <si>
    <t>Радиатор стальной трубчатый GUARDO TORRE 3D, 400 мм (BK-VER-BLACK), черный  3D-400-350 (мощность 0,336 кВт)</t>
  </si>
  <si>
    <t>ШТ</t>
  </si>
  <si>
    <t>Материалы</t>
  </si>
  <si>
    <t>Материалы, изделия и конструкции</t>
  </si>
  <si>
    <t>[11 490 / 1,2 /  9,88] +  2% Заг.скл</t>
  </si>
  <si>
    <t>0</t>
  </si>
  <si>
    <t>6</t>
  </si>
  <si>
    <t>КА-2</t>
  </si>
  <si>
    <t>Радиатор стальной трубчатый GUARDO TORRE 3D, 400 мм (BK-VER-BLACK), черный  3D-400-750  (мощность 0,663 кВт)</t>
  </si>
  <si>
    <t>[19 140 / 1,2 /  9,88] +  2% Заг.скл</t>
  </si>
  <si>
    <t>7</t>
  </si>
  <si>
    <t>КА-3</t>
  </si>
  <si>
    <t>Радиатор стальной трубчатый GUARDO TORRE 3D, 400 мм (BK-VER-WHITE), белый   3D-400-1650  (мощность 1,330 кВт)</t>
  </si>
  <si>
    <t>[36 990 / 1,2 /  9,88] +  2% Заг.скл</t>
  </si>
  <si>
    <t>8</t>
  </si>
  <si>
    <t>КА-4</t>
  </si>
  <si>
    <t>Радиатор стальной трубчатый GUARDO TORRE 3D, 400 мм (BK-VER-WHITE), белый  3D-400-1950  (мощность 1,552 кВт)</t>
  </si>
  <si>
    <t>[43 170 / 1,2 /  9,88] +  2% Заг.скл</t>
  </si>
  <si>
    <t>9</t>
  </si>
  <si>
    <t>КА-5</t>
  </si>
  <si>
    <t>Радиатор стальной трубчатый GUARDO TORRE 3D, 400 мм (BK-VER-WHITE), белый  3D-400-350 (мощность 0,336 к Вт)</t>
  </si>
  <si>
    <t>10</t>
  </si>
  <si>
    <t>КА-6</t>
  </si>
  <si>
    <t>Радиатор стальной трубчатый GUARDO TORRE 3D, 400 мм (BK-VER-WHITE), белый  3D-400-750 (мощность 0,663 кВт)</t>
  </si>
  <si>
    <t>11</t>
  </si>
  <si>
    <t>12</t>
  </si>
  <si>
    <t>КА-7</t>
  </si>
  <si>
    <t>Стальной панельный радиатор, гигиеническое исполнение Royal Thermo H 20-0400-0400 (тепловая мощность 0,488 кВт)</t>
  </si>
  <si>
    <t>[4 020 / 1,2 /  9,88] +  2% Заг.скл</t>
  </si>
  <si>
    <t>13</t>
  </si>
  <si>
    <t>КА-8</t>
  </si>
  <si>
    <t>Стальной панельный радиатор, гигиеническое исполнение Royal Thermо  H 20-0400-0600 (тепловая мощность  0,732 кВт)</t>
  </si>
  <si>
    <t>[4 090 / 1,2 /  9,88] +  2% Заг.скл</t>
  </si>
  <si>
    <t>14</t>
  </si>
  <si>
    <t>КА-9</t>
  </si>
  <si>
    <t>Стальной панельный радиатор, гигиеническое исполнение Royal Thermо H 20-0400-0800 (тепловая мощность 0,9759 кВт)</t>
  </si>
  <si>
    <t>[4 850 / 1,2 /  9,88] +  2% Заг.скл</t>
  </si>
  <si>
    <t>15</t>
  </si>
  <si>
    <t>КА-10</t>
  </si>
  <si>
    <t>Стальной панельный радиатор, гигиеническое исполнение Royal Thermо  H 20-0400-1000  (тепловая мощность1,2199 кВт)</t>
  </si>
  <si>
    <t>[5 850 / 1,2 /  9,88] +  2% Заг.скл</t>
  </si>
  <si>
    <t>16</t>
  </si>
  <si>
    <t>КА-11</t>
  </si>
  <si>
    <t>Стальной панельный радиатор, гигиеническое исполнение Royal Thermо H 20-0400-1200 (тепловая мощность  1,4639 кВт)</t>
  </si>
  <si>
    <t>[6 650 / 1,2 /  9,88] +  2% Заг.скл</t>
  </si>
  <si>
    <t>17</t>
  </si>
  <si>
    <t>КА-12</t>
  </si>
  <si>
    <t>Стальной панельный радиатор, гигиеническое исполнение Royal Thermо H 20-0400-1400 (тепловая мощность  1,7079 кВт)</t>
  </si>
  <si>
    <t>[7 490 / 1,2 /  9,88] +  2% Заг.скл</t>
  </si>
  <si>
    <t>18</t>
  </si>
  <si>
    <t>19</t>
  </si>
  <si>
    <t>КА-13</t>
  </si>
  <si>
    <t>Стальной панельный радиатор, гигиеническое исполнение Royal Thermо H 10-0400-0600 (тепловая мощность  0,4221 кВт)</t>
  </si>
  <si>
    <t>[3 150 / 1,2 /  9,88] +  2% Заг.скл</t>
  </si>
  <si>
    <t>20</t>
  </si>
  <si>
    <t>КА-14</t>
  </si>
  <si>
    <t>Стальной панельный радиатор, гигиеническое исполнение Royal Thermо H 10-0400-1000 (тепловая мощность  0,7035 кВт)</t>
  </si>
  <si>
    <t>[4 590 / 1,2 /  9,88] +  2% Заг.скл</t>
  </si>
  <si>
    <t>21</t>
  </si>
  <si>
    <t>КА-15</t>
  </si>
  <si>
    <t>Стальной панельный радиатор, гигиеническое исполнение Royal Thermо H 10-0400-1400 (тепловая мощность  0,9849 кВт)</t>
  </si>
  <si>
    <t>[6 020 / 1,2 /  9,88] +  2% Заг.скл</t>
  </si>
  <si>
    <t>22</t>
  </si>
  <si>
    <t>КА-16</t>
  </si>
  <si>
    <t>Стальной панельный радиатор, гигиеническое исполнение Royal Thermо H 10-0400-1600 (тепловая мощность  1,1256 кВт)</t>
  </si>
  <si>
    <t>[6 710 / 1,2 /  9,88] +  2% Заг.скл</t>
  </si>
  <si>
    <t>23</t>
  </si>
  <si>
    <t>24</t>
  </si>
  <si>
    <t>КА-17</t>
  </si>
  <si>
    <t>Стальной панельный радиатор, гигиеническое исполнение Royal Thermо H 30-0400-0600 (тепловая мощность  1,019 кВт)</t>
  </si>
  <si>
    <t>[7 080 / 1,2 /  9,88] +  2% Заг.скл</t>
  </si>
  <si>
    <t>25</t>
  </si>
  <si>
    <t>26</t>
  </si>
  <si>
    <t>КА-18</t>
  </si>
  <si>
    <t>Стальной панельный радиатор боковое подключение Royal Thermо С 11-0400-1000 (тепловая мощность  0,9956 кВт)</t>
  </si>
  <si>
    <t>[4 830 / 1,2 /  9,88] +  2% Заг.скл</t>
  </si>
  <si>
    <t>27</t>
  </si>
  <si>
    <t>КА-19</t>
  </si>
  <si>
    <t>Стальной панельный радиатор боковое подключение Royal Thermо С 11-0400-1200 (тепловая мощность 1.1948 кВт)</t>
  </si>
  <si>
    <t>[5 570 / 1,2 /  9,88] +  2% Заг.скл</t>
  </si>
  <si>
    <t>28</t>
  </si>
  <si>
    <t>КА-20</t>
  </si>
  <si>
    <t>Стальной панельный радиатор боковое подключение Royal Thermо С 11-0400-1400 (тепловая мощность 1.3939 кВт)</t>
  </si>
  <si>
    <t>[6 350 / 1,2 /  9,88] +  2% Заг.скл</t>
  </si>
  <si>
    <t>29</t>
  </si>
  <si>
    <t>КА-21</t>
  </si>
  <si>
    <t>Стальной панельный радиатор боковое подключение Royal Thermо С 11-0400-1600 (тепловая мощность 1.593 кВт)</t>
  </si>
  <si>
    <t>[7 090 / 1,2 /  9,88] +  2% Заг.скл</t>
  </si>
  <si>
    <t>30</t>
  </si>
  <si>
    <t>3.18-25-2</t>
  </si>
  <si>
    <t>Установка радиаторов стальных панельных однорядных с креплением к стене длиной свыше 1600 до 2000 мм</t>
  </si>
  <si>
    <t>ТСН-2001.3 Доп. 80, Сб. 18, т. 25, поз. 2</t>
  </si>
  <si>
    <t>*1,1)*1,25</t>
  </si>
  <si>
    <t>*1,1)*1,15</t>
  </si>
  <si>
    <t>Поправка: О.П. п.3.4.30.в Поправка: О.П. п.3.4. 6</t>
  </si>
  <si>
    <t>31</t>
  </si>
  <si>
    <t>КА-22</t>
  </si>
  <si>
    <t>Стальной панельный радиатор боковое подключение Royal Thermо С 11-0400-1800 (тепловая мощность 1.7922 кВт)</t>
  </si>
  <si>
    <t>[7 850 / 1,2 /  9,88] +  2% Заг.скл</t>
  </si>
  <si>
    <t>32</t>
  </si>
  <si>
    <t>33</t>
  </si>
  <si>
    <t>1.18-4-191</t>
  </si>
  <si>
    <t>Радиатор отопительный, стальной, панельный, ГОСТ 31311, с боковым подключением, типа 21 K, высота 400 мм, длина 800 мм, теплоотдача 1291 Вт</t>
  </si>
  <si>
    <t>ТСН-2001.1 Доп. 79, Р. 18, о. 4, поз. 191</t>
  </si>
  <si>
    <t>Материалы строительные</t>
  </si>
  <si>
    <t>ТСН-2001.1 Материалы строительные</t>
  </si>
  <si>
    <t>ТСН-2001.1-1</t>
  </si>
  <si>
    <t>34</t>
  </si>
  <si>
    <t>1.18-4-211</t>
  </si>
  <si>
    <t>Радиатор отопительный, стальной, панельный, ГОСТ 31311, с боковым подключением, типа 21 K, высота 400 мм, длина 1200 мм, теплоотдача 1936 Вт</t>
  </si>
  <si>
    <t>ТСН-2001.1 Доп. 79, Р. 18, о. 4, поз. 211</t>
  </si>
  <si>
    <t>35</t>
  </si>
  <si>
    <t>1.18-4-219</t>
  </si>
  <si>
    <t>Радиатор отопительный, стальной, панельный, ГОСТ 31311, с боковым подключением, типа 21 K, высота 400 мм, длина 1400 мм, теплоотдача 2259 Вт</t>
  </si>
  <si>
    <t>ТСН-2001.1 Доп. 79, Р. 18, о. 4, поз. 219</t>
  </si>
  <si>
    <t>36</t>
  </si>
  <si>
    <t>1.18-4-224</t>
  </si>
  <si>
    <t>Радиатор отопительный, стальной, панельный, ГОСТ 31311, с боковым подключением, типа 21 K, высота 400 мм, длина 1600 мм, теплоотдача 2582 Вт</t>
  </si>
  <si>
    <t>ТСН-2001.1 Доп. 79, Р. 18, о. 4, поз. 224</t>
  </si>
  <si>
    <t>37</t>
  </si>
  <si>
    <t>38</t>
  </si>
  <si>
    <t>1.18-4-228</t>
  </si>
  <si>
    <t>Радиатор отопительный, стальной, панельный, ГОСТ 31311, с боковым подключением, типа 21 K, высота 400 мм, длина 1800 мм, теплоотдача 2905 Вт</t>
  </si>
  <si>
    <t>ТСН-2001.1 Доп. 79, Р. 18, о. 4, поз. 228</t>
  </si>
  <si>
    <t>39</t>
  </si>
  <si>
    <t>КА-23</t>
  </si>
  <si>
    <t>Стальной панельный радиатор боковое подключение Royal Thermо С 21-0400-2000 (тепловая мощность 2,8201 кВт)</t>
  </si>
  <si>
    <t>[12 040 / 1,2 /  9,88] +  2% Заг.скл</t>
  </si>
  <si>
    <t>40</t>
  </si>
  <si>
    <t>41</t>
  </si>
  <si>
    <t>1.18-4-313</t>
  </si>
  <si>
    <t>Радиатор отопительный, стальной, панельный, ГОСТ 31311, с боковым подключением, типа 22 K, высота 400 мм, длина 800 мм, теплоотдача 1683 Вт</t>
  </si>
  <si>
    <t>ТСН-2001.1 Доп. 79, Р. 18, о. 4, поз. 313</t>
  </si>
  <si>
    <t>42</t>
  </si>
  <si>
    <t>1.18-4-348</t>
  </si>
  <si>
    <t>Радиатор отопительный, стальной, панельный, ГОСТ 31311, с боковым подключением, типа 22 K, высота 400 мм, длина 1600 мм, теплоотдача 3366 Вт</t>
  </si>
  <si>
    <t>ТСН-2001.1 Доп. 79, Р. 18, о. 4, поз. 348</t>
  </si>
  <si>
    <t>43</t>
  </si>
  <si>
    <t>44</t>
  </si>
  <si>
    <t>1.18-4-353</t>
  </si>
  <si>
    <t>Радиатор отопительный, стальной, панельный, ГОСТ 31311, с боковым подключением, типа 22 K, высота 400 мм, длина 1800 мм, теплоотдача 3787 Вт</t>
  </si>
  <si>
    <t>ТСН-2001.1 Доп. 80, Р. 18, о. 4, поз. 353</t>
  </si>
  <si>
    <t>45</t>
  </si>
  <si>
    <t>46</t>
  </si>
  <si>
    <t>КА-24</t>
  </si>
  <si>
    <t>Стальной панельный радиатор боковое подключение Royal Thermо С 33-0400-0400 (тепловая мощность 1,0383 кВт)</t>
  </si>
  <si>
    <t>[6 820 / 1,2 /  9,88] +  2% Заг.скл</t>
  </si>
  <si>
    <t>47</t>
  </si>
  <si>
    <t>КА-25</t>
  </si>
  <si>
    <t>Стальной панельный радиатор боковое подключение Royal Thermо С 33-0400-0600 (тепловая мощность 1,5575 кВт)</t>
  </si>
  <si>
    <t>[8 430 / 1,2 /  9,88] +  2% Заг.скл</t>
  </si>
  <si>
    <t>48</t>
  </si>
  <si>
    <t>1.18-4-464</t>
  </si>
  <si>
    <t>Радиатор отопительный, стальной, панельный, ГОСТ 31311, с боковым подключением, типа 33 K, высота 400 мм, длина 800 мм, теплоотдача 2405 Вт</t>
  </si>
  <si>
    <t>ТСН-2001.1 Доп. 80, Р. 18, о. 4, поз. 464</t>
  </si>
  <si>
    <t>49</t>
  </si>
  <si>
    <t>1.18-4-466</t>
  </si>
  <si>
    <t>Радиатор отопительный, стальной, панельный, ГОСТ 31311, с боковым подключением, типа 33 K, высота 400 мм, длина 1000 мм, теплоотдача 3006 Вт</t>
  </si>
  <si>
    <t>ТСН-2001.1 Доп. 80, Р. 18, о. 4, поз. 466</t>
  </si>
  <si>
    <t>Аксессуары для радиаторов</t>
  </si>
  <si>
    <t>50</t>
  </si>
  <si>
    <t>КА-26</t>
  </si>
  <si>
    <t>Комплект KIT 1/2" (футорки 1/2" - 4 шт., возд. 1/2", загл. 1/2", ключ для воздух)</t>
  </si>
  <si>
    <t>[660 / 1,2 /  9,88] +  2% Заг.скл</t>
  </si>
  <si>
    <t>Арматура радиаторная</t>
  </si>
  <si>
    <t>51</t>
  </si>
  <si>
    <t>3.18-22-1</t>
  </si>
  <si>
    <t>Установка терморегулирующих клапанов на отопительных приборах</t>
  </si>
  <si>
    <t>ТСН-2001.3 Доп. 79, Сб. 18, т. 22, поз. 1</t>
  </si>
  <si>
    <t>51,1</t>
  </si>
  <si>
    <t>1.13-3-172</t>
  </si>
  <si>
    <t>Клапан термостатический, из никелированной бронзы, прямой, без предварительной настройки, для двухтрубной системы отопления, максимальная температура +120°C, пропускная способность 2,0 м3/ч, номинальное давление PN 1,0 МПа, номинальный диаметр DN 15 мм</t>
  </si>
  <si>
    <t>ТСН-2001.1 Доп. 79, Р. 13, о. 3, поз. 172</t>
  </si>
  <si>
    <t>51,2</t>
  </si>
  <si>
    <t>1.13-5-24</t>
  </si>
  <si>
    <t>Элемент термостатический, газоконденсатный, диапазон настройки температуры от +5 до +26°С, с выносным датчиком температуры, ограничением и блокировкой настройки, защитой от замерзания</t>
  </si>
  <si>
    <t>ТСН-2001.1 Доп. 55, Р. 13, о. 5, поз. 24</t>
  </si>
  <si>
    <t>52</t>
  </si>
  <si>
    <t>4.11-2-1</t>
  </si>
  <si>
    <t>Установка прибора на резьбовых соединениях</t>
  </si>
  <si>
    <t>ТСН-2001.4 Доп. 67, Сб. 11, т. 2, поз. 1</t>
  </si>
  <si>
    <t>ТСН-2001.4-11. Приборы и средства автоматизации и вычислительной техники</t>
  </si>
  <si>
    <t>ТСН-2001.4-11-1</t>
  </si>
  <si>
    <t>52,1</t>
  </si>
  <si>
    <t>1.13-3-33</t>
  </si>
  <si>
    <t>Клапан обратный, латунный, подъемный, муфтовый, 16б1бк, номинальное давление PN 1,6 МПа, номинальный диаметр DN 15 мм</t>
  </si>
  <si>
    <t>ТСН-2001.1 Доп. 73, Р. 13, о. 3, поз. 33</t>
  </si>
  <si>
    <t>Арматура трубопроводная</t>
  </si>
  <si>
    <t>53</t>
  </si>
  <si>
    <t>1.13-4-72</t>
  </si>
  <si>
    <t>ТСН-2001.1 Доп. 73, Р. 13, о. 4, поз. 72</t>
  </si>
  <si>
    <t>54</t>
  </si>
  <si>
    <t>3.18-20-5</t>
  </si>
  <si>
    <t>Установка кранов воздушных</t>
  </si>
  <si>
    <t>1 комплект</t>
  </si>
  <si>
    <t>ТСН-2001.3. Доп. 1-42. Сб. 18, т. 20, поз. 5</t>
  </si>
  <si>
    <t>54,1</t>
  </si>
  <si>
    <t>1.13-4-40</t>
  </si>
  <si>
    <t>Кран спуска воздуха из систем водяного отопления (кран Маевского), латунный, цапковый, максимальная температура +110°С, номинальное давление PN 1,0 МПа, номинальный диаметр DN 15 мм</t>
  </si>
  <si>
    <t>ТСН-2001.1 Доп. 67, Р. 13, о. 4, поз. 40</t>
  </si>
  <si>
    <t>54,2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</si>
  <si>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</si>
  <si>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</si>
  <si>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</si>
  <si>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55</t>
  </si>
  <si>
    <t>1.13-4-125</t>
  </si>
  <si>
    <t>Кран шаровой, латунный, полнопроходной, муфтовый, 11б27п1, номинальное давление PN 1,6 МПа, номинальный диаметр DN 15 мм</t>
  </si>
  <si>
    <t>ТСН-2001.1 Доп. 73, Р. 13, о. 4, поз. 125</t>
  </si>
  <si>
    <t>56</t>
  </si>
  <si>
    <t>1.13-4-126</t>
  </si>
  <si>
    <t>Кран шаровой, латунный, полнопроходной, муфтовый, 11б27п1, номинальное давление PN 1,6 МПа, номинальный диаметр DN 20 мм</t>
  </si>
  <si>
    <t>ТСН-2001.1 Доп. 73, Р. 13, о. 4, поз. 126</t>
  </si>
  <si>
    <t>57</t>
  </si>
  <si>
    <t>1.13-4-127</t>
  </si>
  <si>
    <t>Кран шаровой, латунный, полнопроходной, муфтовый, 11б27п1, номинальное давление PN 1,6 МПа, номинальный диаметр DN 25 мм</t>
  </si>
  <si>
    <t>ТСН-2001.1 Доп. 73, Р. 13, о. 4, поз. 127</t>
  </si>
  <si>
    <t>58</t>
  </si>
  <si>
    <t>59</t>
  </si>
  <si>
    <t>КА-27</t>
  </si>
  <si>
    <t>Регулятор перепада давления Dy15 APT-R 15</t>
  </si>
  <si>
    <t>[15 610 / 1,2 /  9,88] +  2% Заг.скл</t>
  </si>
  <si>
    <t>60</t>
  </si>
  <si>
    <t>1.13-3-185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</si>
  <si>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1,6 м3/ч, номинальное давление PN 1,6 МПа, номинальный диаметр DN 15 мм</t>
  </si>
  <si>
    <t>ТСН-2001.1 Доп. 73, Р. 13, о. 3, поз. 185</t>
  </si>
  <si>
    <t>61</t>
  </si>
  <si>
    <t>62</t>
  </si>
  <si>
    <t>КА-28</t>
  </si>
  <si>
    <t>Регулятор перепада давления Dy20 APT-R 20</t>
  </si>
  <si>
    <t>[16 812 / 1,2 /  9,88] +  2% Заг.скл</t>
  </si>
  <si>
    <t>63</t>
  </si>
  <si>
    <t>1.13-3-186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</si>
  <si>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2,5 м3/ч, номинальное давление PN 1,6 МПа, номинальный диаметр DN 20 мм</t>
  </si>
  <si>
    <t>ТСН-2001.1 Доп. 73, Р. 13, о. 3, поз. 186</t>
  </si>
  <si>
    <t>64</t>
  </si>
  <si>
    <t>КА-29</t>
  </si>
  <si>
    <t>Регулятор перепада давления Dy25 APT-R 25</t>
  </si>
  <si>
    <t>[20 109 / 1,2 /  9,88] +  2% Заг.скл</t>
  </si>
  <si>
    <t>65</t>
  </si>
  <si>
    <t>1.13-3-187</t>
  </si>
  <si>
    <t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4,0 м3/ч, номинальное давление PN 1,6 МПа, номинальный диаметр DN 25 мм</t>
  </si>
  <si>
    <t>ТСН-2001.1 Доп. 79, Р. 13, о. 3, поз. 187</t>
  </si>
  <si>
    <t>Гребенка (2024-00272-00-0-ИОС4.1 Лист 5 Схема гребенки отопления)</t>
  </si>
  <si>
    <t>66</t>
  </si>
  <si>
    <t>3.16-39-1</t>
  </si>
  <si>
    <t>Установка распределительного коллектора для систем отопления и водоснабжения диаметром до 32 мм до 4-х контуров</t>
  </si>
  <si>
    <t>10 шт.</t>
  </si>
  <si>
    <t>ТСН-2001.3 Доп. 79, Сб. 16, т. 39, поз. 1</t>
  </si>
  <si>
    <t>*1,25))*1,1</t>
  </si>
  <si>
    <t>*1,15))*1,1</t>
  </si>
  <si>
    <t>ТСН-2001.3-16. Трубопроводы внутренние</t>
  </si>
  <si>
    <t>ТСН-2001.3-16-1</t>
  </si>
  <si>
    <t>Поправка: О.П. п.3.4. 6 Поправка: О.П. п.3.4.30.в Поправка: О.П. п.3.4.30.в</t>
  </si>
  <si>
    <t>67</t>
  </si>
  <si>
    <t>3.16-39-2</t>
  </si>
  <si>
    <t>Установка распределительного коллектора для систем отопления и водоснабжения, добавляется к позиции 3.16-39-1 на каждый последующий контур</t>
  </si>
  <si>
    <t>ТСН-2001.3. Доп. 1-42. Сб. 16, т. 39, поз. 2</t>
  </si>
  <si>
    <t>68</t>
  </si>
  <si>
    <t>КА-30</t>
  </si>
  <si>
    <t>Комплект коллекторов РИДАН FHF-5RF set с расходомерами, кронштейнами и воздухоотводчиками, 5 контуров  (2024-00272-00-0-ИОС4.1 Лист 5 Схема гребенки отопления)</t>
  </si>
  <si>
    <t>[14 481,86 / 1,2 /  9,88] +  2% Заг.скл</t>
  </si>
  <si>
    <t>Трубы стальные</t>
  </si>
  <si>
    <t>69</t>
  </si>
  <si>
    <t>3.16-6-1</t>
  </si>
  <si>
    <t>Прокладка трубопроводов отопления из стальных водогазопроводных неоцинкованных труб диаметром 15 мм</t>
  </si>
  <si>
    <t>100 м трубопровода</t>
  </si>
  <si>
    <t>ТСН-2001.3 Доп. 79, Сб. 16, т. 6, поз. 1</t>
  </si>
  <si>
    <t>69,1</t>
  </si>
  <si>
    <t>1.12-1-40</t>
  </si>
  <si>
    <t>Узел трубопровода из стальных водогазопроводных неоцинкованных труб, с гильзами, для систем отопления, диаметр условного прохода 15 мм</t>
  </si>
  <si>
    <t>м</t>
  </si>
  <si>
    <t>ТСН-2001.1 Доп. 79, Р. 12, о. 1, поз. 40</t>
  </si>
  <si>
    <t>70</t>
  </si>
  <si>
    <t>3.16-6-2</t>
  </si>
  <si>
    <t>Прокладка трубопроводов отопления из стальных водогазопроводных неоцинкованных труб диаметром 20 мм</t>
  </si>
  <si>
    <t>ТСН-2001.3 Доп. 79, Сб. 16, т. 6, поз. 2</t>
  </si>
  <si>
    <t>70,1</t>
  </si>
  <si>
    <t>1.12-1-41</t>
  </si>
  <si>
    <t>Узел трубопровода из стальных водогазопроводных неоцинкованных труб, с гильзами, для систем отопления, диаметр условного прохода 20 мм</t>
  </si>
  <si>
    <t>ТСН-2001.1 Доп. 79, Р. 12, о. 1, поз. 41</t>
  </si>
  <si>
    <t>71</t>
  </si>
  <si>
    <t>3.16-6-3</t>
  </si>
  <si>
    <t>Прокладка трубопроводов отопления из стальных водогазопроводных неоцинкованных труб диаметром 25 мм</t>
  </si>
  <si>
    <t>ТСН-2001.3 Доп. 79, Сб. 16, т. 6, поз. 3</t>
  </si>
  <si>
    <t>71,1</t>
  </si>
  <si>
    <t>1.12-1-42</t>
  </si>
  <si>
    <t>Узел трубопровода из стальных водогазопроводных неоцинкованных труб, с гильзами, для систем отопления, диаметр условного прохода 25 мм</t>
  </si>
  <si>
    <t>ТСН-2001.1 Доп. 79, Р. 12, о. 1, поз. 42</t>
  </si>
  <si>
    <t>72</t>
  </si>
  <si>
    <t>3.16-6-4</t>
  </si>
  <si>
    <t>Прокладка трубопроводов отопления из стальных водогазопроводных неоцинкованных труб диаметром 32 мм</t>
  </si>
  <si>
    <t>ТСН-2001.3 Доп. 79, Сб. 16, т. 6, поз. 4</t>
  </si>
  <si>
    <t>72,1</t>
  </si>
  <si>
    <t>1.12-1-43</t>
  </si>
  <si>
    <t>Узел трубопровода из стальных водогазопроводных неоцинкованных труб, с гильзами, для систем отопления, диаметр условного прохода 32 мм</t>
  </si>
  <si>
    <t>ТСН-2001.1 Доп. 79, Р. 12, о. 1, поз. 43</t>
  </si>
  <si>
    <t>73</t>
  </si>
  <si>
    <t>3.16-6-5</t>
  </si>
  <si>
    <t>Прокладка трубопроводов отопления из стальных водогазопроводных неоцинкованных труб диаметром 40 мм</t>
  </si>
  <si>
    <t>ТСН-2001.3 Доп. 79, Сб. 16, т. 6, поз. 5</t>
  </si>
  <si>
    <t>73,1</t>
  </si>
  <si>
    <t>1.12-1-44</t>
  </si>
  <si>
    <t>Узел трубопровода из стальных водогазопроводных неоцинкованных труб, с гильзами, для систем отопления, диаметр условного прохода 40 мм</t>
  </si>
  <si>
    <t>ТСН-2001.1 Доп. 79, Р. 12, о. 1, поз. 44</t>
  </si>
  <si>
    <t>74</t>
  </si>
  <si>
    <t>3.16-10-2</t>
  </si>
  <si>
    <t>Прокладка трубопроводов отопления и водоснабжения из стальных электросварных труб диаметром 50 мм</t>
  </si>
  <si>
    <t>ТСН-2001.3 Доп. 79, Сб. 16, т. 10, поз. 2</t>
  </si>
  <si>
    <t>74,1</t>
  </si>
  <si>
    <t>1.12-1-46</t>
  </si>
  <si>
    <t>Узел трубопровода отопления, водоснабжения из стальных электросварных труб, с гильзами, наружный диаметр (толщина стенки) 57х3,5 мм</t>
  </si>
  <si>
    <t>ТСН-2001.1 Доп. 79, Р. 12, о. 1, поз. 46</t>
  </si>
  <si>
    <t>75</t>
  </si>
  <si>
    <t>3.16-10-3</t>
  </si>
  <si>
    <t>Прокладка трубопроводов отопления и водоснабжения из стальных электросварных труб диаметром 65 мм</t>
  </si>
  <si>
    <t>ТСН-2001.3 Доп. 79, Сб. 16, т. 10, поз. 3</t>
  </si>
  <si>
    <t>75,1</t>
  </si>
  <si>
    <t>1.12-1-47</t>
  </si>
  <si>
    <t>Узел трубопровода отопления, водоснабжения из стальных электросварных труб, с гильзами, наружный диаметр (толщина стенки) 76х3,5 мм (прим. диам 65 мм)</t>
  </si>
  <si>
    <t>ТСН-2001.1 Доп. 79, Р. 12, о. 1, поз. 47</t>
  </si>
  <si>
    <t>Изоляция трубная</t>
  </si>
  <si>
    <t>76</t>
  </si>
  <si>
    <t>3.26-1-1</t>
  </si>
  <si>
    <t>Изоляция трубопроводов цилиндрами, полуцилиндрами из минеральной ваты на синтетическом связующем</t>
  </si>
  <si>
    <t>1 м3</t>
  </si>
  <si>
    <t>ТСН-2001.3 Доп. 79, Сб. 26, т. 1, поз. 1</t>
  </si>
  <si>
    <t>ТСН-2001.3-26. Теплоизоляционные работы</t>
  </si>
  <si>
    <t>ТСН-2001.3-26-1</t>
  </si>
  <si>
    <t>77</t>
  </si>
  <si>
    <t>1.1-1-1346</t>
  </si>
  <si>
    <t>Цилиндры и полуцилиндры теплоизоляционные минераловатные на синтетическом связующем, простые, диаметр 25 мм, толщина 40 мм</t>
  </si>
  <si>
    <t>ТСН-2001.1 Доп. 79, Р. 1, о. 1, поз. 1346</t>
  </si>
  <si>
    <t>78</t>
  </si>
  <si>
    <t>Цилиндры и полуцилиндры теплоизоляционные минераловатные на синтетическом связующем, простые, диаметр 25 мм, толщина 40 мм  (прим. диам.28 мм)</t>
  </si>
  <si>
    <t>79</t>
  </si>
  <si>
    <t>1.1-1-1350</t>
  </si>
  <si>
    <t>Цилиндры и полуцилиндры теплоизоляционные минераловатные на синтетическом связующем, простые, диаметр 32 мм, толщина 40 мм</t>
  </si>
  <si>
    <t>ТСН-2001.1 Доп. 79, Р. 1, о. 1, поз. 1350</t>
  </si>
  <si>
    <t>80</t>
  </si>
  <si>
    <t>1.1-1-1354</t>
  </si>
  <si>
    <t>Цилиндры и полуцилиндры теплоизоляционные минераловатные на синтетическом связующем, простые, диаметр 38 мм, толщина 40 мм</t>
  </si>
  <si>
    <t>ТСН-2001.1 Доп. 79, Р. 1, о. 1, поз. 1354</t>
  </si>
  <si>
    <t>81</t>
  </si>
  <si>
    <t>1.1-1-1358</t>
  </si>
  <si>
    <t>Цилиндры и полуцилиндры теплоизоляционные минераловатные на синтетическом связующем, простые, диаметр 45 мм, толщина 40 мм (прим. диам.48 мм)</t>
  </si>
  <si>
    <t>ТСН-2001.1 Доп. 79, Р. 1, о. 1, поз. 1358</t>
  </si>
  <si>
    <t>82</t>
  </si>
  <si>
    <t>1.1-1-1363</t>
  </si>
  <si>
    <t>Цилиндры и полуцилиндры теплоизоляционные минераловатные на синтетическом связующем, простые, диаметр 57 мм, толщина 40 мм</t>
  </si>
  <si>
    <t>ТСН-2001.1 Доп. 79, Р. 1, о. 1, поз. 1363</t>
  </si>
  <si>
    <t>83</t>
  </si>
  <si>
    <t>1.1-1-1367</t>
  </si>
  <si>
    <t>Цилиндры и полуцилиндры теплоизоляционные минераловатные на синтетическом связующем, простые, диаметр 76 мм, толщина 40 мм</t>
  </si>
  <si>
    <t>ТСН-2001.1 Доп. 79, Р. 1, о. 1, поз. 1367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</si>
  <si>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</si>
  <si>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</si>
  <si>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</si>
  <si>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</si>
  <si>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</si>
  <si>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</si>
  <si>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</si>
  <si>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</si>
  <si>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</si>
  <si>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</si>
  <si>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</si>
  <si>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</si>
  <si>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</si>
  <si>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</si>
  <si>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</si>
  <si>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</si>
  <si>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80, ремонт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</si>
  <si>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</si>
  <si>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</si>
  <si>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</si>
  <si>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</si>
  <si>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</si>
  <si>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</si>
  <si>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</si>
  <si>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</si>
  <si>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</si>
  <si>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</si>
  <si>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</si>
  <si>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</si>
  <si>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</si>
  <si>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2.1-30-96</t>
  </si>
  <si>
    <t>ТСН-2001.2. Доп. 64. п.1-30-96 (303703)</t>
  </si>
  <si>
    <t>Дрели электрические, мощность до 200 Вт</t>
  </si>
  <si>
    <t>1.1-1-3644</t>
  </si>
  <si>
    <t>ТСН-2001.1 Доп. 80, Р. 1, о. 1, поз. 3644</t>
  </si>
  <si>
    <t>Дюбель распорный пластмассовый, диаметр 8 мм, длина 50 мм</t>
  </si>
  <si>
    <t>)*1,25)*1,1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</si>
  <si>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</si>
  <si>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</si>
  <si>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</si>
  <si>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</si>
  <si>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</si>
  <si>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</si>
  <si>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2.1-3-38</t>
  </si>
  <si>
    <t>ТСН-2001.2. Доп. 68. п.1-3-38 (032009)</t>
  </si>
  <si>
    <t>Краны на автомобильном ходу, грузоподъемность до 16 т</t>
  </si>
  <si>
    <t>1.1-1-118</t>
  </si>
  <si>
    <t>ТСН-2001.1. Доп. 1-42. Р. 1, о. 1, поз. 118</t>
  </si>
  <si>
    <t>Вода</t>
  </si>
  <si>
    <t>м3</t>
  </si>
  <si>
    <t>1.1-1-8264</t>
  </si>
  <si>
    <t>ТСН-2001.1 Доп. 80, Р. 1, о. 1, поз. 8264</t>
  </si>
  <si>
    <t>Дюбель пластиковый, с цилиндрическим бортиком, с оцинкованным шурупом, диаметр 8 мм, длина 80 мм</t>
  </si>
  <si>
    <t>1.12-10-26</t>
  </si>
  <si>
    <t>ТСН-2001.1 Доп. 67, Р. 12, о. 10, поз. 26</t>
  </si>
  <si>
    <t>Кронштейн настенный, охватывающий, с подпружиненным верхним захватом, для крепления радиаторов отопления стальных панельных, типа 21/22/33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</si>
  <si>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</si>
  <si>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</si>
  <si>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</si>
  <si>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9999990006</t>
  </si>
  <si>
    <t>Стоимость прочих материалов (ЭСН)</t>
  </si>
  <si>
    <t>руб.</t>
  </si>
  <si>
    <t>2.1-30-116</t>
  </si>
  <si>
    <t>ТСН-2001.2. Доп. 68. п.1-30-116 (359001)</t>
  </si>
  <si>
    <t>Пилы электрические цепные, мощность до 2 кВт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</si>
  <si>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</si>
  <si>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</si>
  <si>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</si>
  <si>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кг</t>
  </si>
  <si>
    <t>1.18-7-1</t>
  </si>
  <si>
    <t>ТСН-2001.1 Доп. 79, Р. 18, о. 7, поз. 1</t>
  </si>
  <si>
    <t>Прокладка паронитовая, уплотнительная, толщина от 0,5 до 2,5 мм</t>
  </si>
  <si>
    <t>9999990002</t>
  </si>
  <si>
    <t>Масса оборудования</t>
  </si>
  <si>
    <t>т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</si>
  <si>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</si>
  <si>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</si>
  <si>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</si>
  <si>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</si>
  <si>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</si>
  <si>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</si>
  <si>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</si>
  <si>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</si>
  <si>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</si>
  <si>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2.1-30-102</t>
  </si>
  <si>
    <t>ТСН-2001.2. Доп. 68. п.1-30-102 (303704)</t>
  </si>
  <si>
    <t>Дрели, мощность до 800 Вт</t>
  </si>
  <si>
    <t>1.1-1-238</t>
  </si>
  <si>
    <t>ТСН-2001.1 Доп. 80, Р. 1, о. 1, поз. 238</t>
  </si>
  <si>
    <t>Дюбель пластмассовый</t>
  </si>
  <si>
    <t>1.1-1-2687</t>
  </si>
  <si>
    <t>ТСН-2001.1 Доп. 79, Р. 1, о. 1, поз. 2687</t>
  </si>
  <si>
    <t>Винт самонарезающий оцинкованный, с шестигранной головкой, с уплотнительной шайбой, наконечник сверло, размер 5,5х63 мм</t>
  </si>
  <si>
    <t>1.7-3-24</t>
  </si>
  <si>
    <t>ТСН-2001.1. Доп. 1-42. Р. 7, о. 3, поз. 24</t>
  </si>
  <si>
    <t>Сверло победитовое, диаметр 10 мм, длина 400 мм</t>
  </si>
  <si>
    <t>2.1-13-16</t>
  </si>
  <si>
    <t>ТСН-2001.2. Доп. 68. п.1-13-16 (136301)</t>
  </si>
  <si>
    <t>Аппараты для газовой сварки и резки (комплект оборудования)</t>
  </si>
  <si>
    <t>1.1-1-1664</t>
  </si>
  <si>
    <t>ТСН-2001.1 Доп. 79, Р. 1, о. 1, поз. 1664</t>
  </si>
  <si>
    <t>Проволока сварочная, марка СВ-08 Г2С, диаметр 2 мм</t>
  </si>
  <si>
    <t>1.1-1-258</t>
  </si>
  <si>
    <t>ТСН-2001.1 Доп. 79, Р. 1, о. 1, поз. 258</t>
  </si>
  <si>
    <t>Известь хлорная</t>
  </si>
  <si>
    <t>1.1-1-26</t>
  </si>
  <si>
    <t>ТСН-2001.1 Доп. 79, Р. 1, о. 1, поз. 26</t>
  </si>
  <si>
    <t>Ацетилен технический</t>
  </si>
  <si>
    <t>1.1-1-376</t>
  </si>
  <si>
    <t>ТСН-2001.1 Доп. 79, Р. 1, о. 1, поз. 376</t>
  </si>
  <si>
    <t>Кислород технический, газообразный</t>
  </si>
  <si>
    <t>1.3-2-133</t>
  </si>
  <si>
    <t>ТСН-2001.1 Доп. 79, Р. 3, о. 2, поз. 133</t>
  </si>
  <si>
    <t>Раствор цементный, марка М200 Пк2 F50</t>
  </si>
  <si>
    <t>2.1-30-71</t>
  </si>
  <si>
    <t>ТСН-2001.2. Доп. 68. п.1-30-71 (340601)</t>
  </si>
  <si>
    <t>Механизмы монтажные для гибки листового металла</t>
  </si>
  <si>
    <t>1.1-1-1087</t>
  </si>
  <si>
    <t>ТСН-2001.1 Доп. 79, Р. 1, о. 1, поз. 1087</t>
  </si>
  <si>
    <t>Лист стальной, оцинкованный, толщина от 0,7 до 0,8 мм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</si>
  <si>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</si>
  <si>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</si>
  <si>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</si>
  <si>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1.1-1-545</t>
  </si>
  <si>
    <t>ТСН-2001.1 Доп. 79, Р. 1, о. 1, поз. 545</t>
  </si>
  <si>
    <t>Лента стальная упаковочная, мягкая, нормальной точности, размер 0,7х20-50 мм</t>
  </si>
  <si>
    <t>1.1-1-966</t>
  </si>
  <si>
    <t>ТСН-2001.1 Доп. 79, Р. 1, о. 1, поз. 966</t>
  </si>
  <si>
    <t>Проволока стальная низкоуглеродистая общего назначения оцинкованная, диаметр 1,1 мм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</si>
  <si>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</si>
  <si>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</si>
  <si>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</si>
  <si>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3468780000</t>
  </si>
  <si>
    <t>Электросушитель для рук</t>
  </si>
  <si>
    <t>4935120000</t>
  </si>
  <si>
    <t>Радиаторы стальные панельные</t>
  </si>
  <si>
    <t>3712510000</t>
  </si>
  <si>
    <t>Клапаны терморегулирующие</t>
  </si>
  <si>
    <t>4218830000</t>
  </si>
  <si>
    <t>Элементы термостатические</t>
  </si>
  <si>
    <t>4200000000</t>
  </si>
  <si>
    <t>Приборы, устанавливаемые на резьбовых соединениях</t>
  </si>
  <si>
    <t>4938271000</t>
  </si>
  <si>
    <t>Коллекторы распределительные комплектно с кронштейнами, воздухоудалителями, сливными и шаровыми кранами, евроконусами</t>
  </si>
  <si>
    <t>КОМПЛЕКТ</t>
  </si>
  <si>
    <t>1468070000</t>
  </si>
  <si>
    <t>Средства для крепления труб</t>
  </si>
  <si>
    <t>3700000000</t>
  </si>
  <si>
    <t>4923010000</t>
  </si>
  <si>
    <t>Узлы укрупненные монтажные (трубопроводы) из стальных водогазопроводных неоцинкованных труб с гильзами</t>
  </si>
  <si>
    <t>4923040000</t>
  </si>
  <si>
    <t>Трубопроводы отопления и водоснабжения из стальных электросварных труб с гильзами</t>
  </si>
  <si>
    <t>5762920000</t>
  </si>
  <si>
    <t>Полуцилиндры и цилиндры из минеральной ваты на синтетическом связующем</t>
  </si>
  <si>
    <t>*1,25</t>
  </si>
  <si>
    <t>*1,15</t>
  </si>
  <si>
    <t>)*1,25</t>
  </si>
  <si>
    <t>О.П. п.3.4. 6</t>
  </si>
  <si>
    <t>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</si>
  <si>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Глава 12</t>
  </si>
  <si>
    <t>О.П. п.3.4.30.в</t>
  </si>
  <si>
    <t>*1,25)</t>
  </si>
  <si>
    <t>*1,15)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</si>
  <si>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</si>
  <si>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</si>
  <si>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 6 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 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</si>
  <si>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 Поправка: О.П. п.3.4. 6 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</t>
  </si>
  <si>
    <t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28 м3/ч, номинальное давление PN 4,0 МПа, номинальный диаметр DN 20 мм</t>
  </si>
  <si>
    <t>Поправка: О.П. п.3.4. 6 Наименование: Выполняемые при ремонте и реконструкции работы аналогичные технологическим процессам, характерным для нового строительства и отсутствующим в сборниках на ремонтно-строительные работы 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 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</si>
  <si>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</si>
  <si>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</si>
  <si>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</si>
  <si>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</si>
  <si>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</si>
  <si>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</si>
  <si>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</si>
  <si>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</si>
  <si>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</si>
  <si>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</si>
  <si>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</si>
  <si>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</si>
  <si>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</si>
  <si>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</si>
  <si>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</si>
  <si>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</si>
  <si>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</si>
  <si>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</si>
  <si>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</si>
  <si>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</si>
  <si>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</si>
  <si>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</si>
  <si>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02-01-06 Отопление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</si>
  <si>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</si>
  <si>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ремонт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</si>
  <si>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</si>
  <si>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</si>
  <si>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</si>
  <si>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</si>
  <si>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</si>
  <si>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</si>
  <si>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</si>
  <si>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</si>
  <si>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</si>
  <si>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</si>
  <si>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</si>
  <si>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</si>
  <si>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</si>
  <si>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ОБОРУДОВАНИЕ:_x000D_
Конвектор электрический, номинальная мощность 0,5 кВт, для отопления жилых и промышленных помещений</t>
  </si>
  <si>
    <t>ОБОРУДОВАНИЕ:_x000D_
Конвектор электрический, номинальная мощность 1 кВт, для отопления жилых и промышленных помещений</t>
  </si>
  <si>
    <t xml:space="preserve">   Итого по ТСН-2001.16</t>
  </si>
  <si>
    <t xml:space="preserve">   Итого возвратных сумм</t>
  </si>
  <si>
    <r>
      <t>Радиатор стальной трубчатый GUARDO TORRE 3D, 400 мм (BK-VER-BLACK), черный  3D-400-350 (мощность 0,336 кВт)</t>
    </r>
    <r>
      <rPr>
        <i/>
        <sz val="10"/>
        <rFont val="Arial"/>
        <family val="2"/>
        <charset val="204"/>
      </rPr>
      <t xml:space="preserve">
988,51 = [11 490 / 1,2 /  9,88] +  2% Заг.скл</t>
    </r>
  </si>
  <si>
    <r>
      <t>Радиатор стальной трубчатый GUARDO TORRE 3D, 400 мм (BK-VER-BLACK), черный  3D-400-750  (мощность 0,663 кВт)</t>
    </r>
    <r>
      <rPr>
        <i/>
        <sz val="10"/>
        <rFont val="Arial"/>
        <family val="2"/>
        <charset val="204"/>
      </rPr>
      <t xml:space="preserve">
1 646,66 = [19 140 / 1,2 /  9,88] +  2% Заг.скл</t>
    </r>
  </si>
  <si>
    <r>
      <t>Радиатор стальной трубчатый GUARDO TORRE 3D, 400 мм (BK-VER-WHITE), белый   3D-400-1650  (мощность 1,330 кВт)</t>
    </r>
    <r>
      <rPr>
        <i/>
        <sz val="10"/>
        <rFont val="Arial"/>
        <family val="2"/>
        <charset val="204"/>
      </rPr>
      <t xml:space="preserve">
3 182,34 = [36 990 / 1,2 /  9,88] +  2% Заг.скл</t>
    </r>
  </si>
  <si>
    <r>
      <t>Радиатор стальной трубчатый GUARDO TORRE 3D, 400 мм (BK-VER-WHITE), белый  3D-400-1950  (мощность 1,552 кВт)</t>
    </r>
    <r>
      <rPr>
        <i/>
        <sz val="10"/>
        <rFont val="Arial"/>
        <family val="2"/>
        <charset val="204"/>
      </rPr>
      <t xml:space="preserve">
3 714,01 = [43 170 / 1,2 /  9,88] +  2% Заг.скл</t>
    </r>
  </si>
  <si>
    <r>
      <t>Радиатор стальной трубчатый GUARDO TORRE 3D, 400 мм (BK-VER-WHITE), белый  3D-400-350 (мощность 0,336 к Вт)</t>
    </r>
    <r>
      <rPr>
        <i/>
        <sz val="10"/>
        <rFont val="Arial"/>
        <family val="2"/>
        <charset val="204"/>
      </rPr>
      <t xml:space="preserve">
988,51 = [11 490 / 1,2 /  9,88] +  2% Заг.скл</t>
    </r>
  </si>
  <si>
    <r>
      <t>Радиатор стальной трубчатый GUARDO TORRE 3D, 400 мм (BK-VER-WHITE), белый  3D-400-750 (мощность 0,663 кВт)</t>
    </r>
    <r>
      <rPr>
        <i/>
        <sz val="10"/>
        <rFont val="Arial"/>
        <family val="2"/>
        <charset val="204"/>
      </rPr>
      <t xml:space="preserve">
1 646,66 = [19 140 / 1,2 /  9,88] +  2% Заг.скл</t>
    </r>
  </si>
  <si>
    <r>
      <t>Стальной панельный радиатор, гигиеническое исполнение Royal Thermo H 20-0400-0400 (тепловая мощность 0,488 кВт)</t>
    </r>
    <r>
      <rPr>
        <i/>
        <sz val="10"/>
        <rFont val="Arial"/>
        <family val="2"/>
        <charset val="204"/>
      </rPr>
      <t xml:space="preserve">
345,85 = [4 020 / 1,2 /  9,88] +  2% Заг.скл</t>
    </r>
  </si>
  <si>
    <r>
      <t>Стальной панельный радиатор, гигиеническое исполнение Royal Thermо  H 20-0400-0600 (тепловая мощность  0,732 кВт)</t>
    </r>
    <r>
      <rPr>
        <i/>
        <sz val="10"/>
        <rFont val="Arial"/>
        <family val="2"/>
        <charset val="204"/>
      </rPr>
      <t xml:space="preserve">
351,87 = [4 090 / 1,2 /  9,88] +  2% Заг.скл</t>
    </r>
  </si>
  <si>
    <r>
      <t>Стальной панельный радиатор, гигиеническое исполнение Royal Thermо H 20-0400-0800 (тепловая мощность 0,9759 кВт)</t>
    </r>
    <r>
      <rPr>
        <i/>
        <sz val="10"/>
        <rFont val="Arial"/>
        <family val="2"/>
        <charset val="204"/>
      </rPr>
      <t xml:space="preserve">
417,26 = [4 850 / 1,2 /  9,88] +  2% Заг.скл</t>
    </r>
  </si>
  <si>
    <r>
      <t>Стальной панельный радиатор, гигиеническое исполнение Royal Thermо  H 20-0400-1000  (тепловая мощность1,2199 кВт)</t>
    </r>
    <r>
      <rPr>
        <i/>
        <sz val="10"/>
        <rFont val="Arial"/>
        <family val="2"/>
        <charset val="204"/>
      </rPr>
      <t xml:space="preserve">
503,29 = [5 850 / 1,2 /  9,88] +  2% Заг.скл</t>
    </r>
  </si>
  <si>
    <r>
      <t>Стальной панельный радиатор, гигиеническое исполнение Royal Thermо H 20-0400-1200 (тепловая мощность  1,4639 кВт)</t>
    </r>
    <r>
      <rPr>
        <i/>
        <sz val="10"/>
        <rFont val="Arial"/>
        <family val="2"/>
        <charset val="204"/>
      </rPr>
      <t xml:space="preserve">
572,12 = [6 650 / 1,2 /  9,88] +  2% Заг.скл</t>
    </r>
  </si>
  <si>
    <r>
      <t>Стальной панельный радиатор, гигиеническое исполнение Royal Thermо H 20-0400-1400 (тепловая мощность  1,7079 кВт)</t>
    </r>
    <r>
      <rPr>
        <i/>
        <sz val="10"/>
        <rFont val="Arial"/>
        <family val="2"/>
        <charset val="204"/>
      </rPr>
      <t xml:space="preserve">
644,39 = [7 490 / 1,2 /  9,88] +  2% Заг.скл</t>
    </r>
  </si>
  <si>
    <r>
      <t>Стальной панельный радиатор, гигиеническое исполнение Royal Thermо H 10-0400-0600 (тепловая мощность  0,4221 кВт)</t>
    </r>
    <r>
      <rPr>
        <i/>
        <sz val="10"/>
        <rFont val="Arial"/>
        <family val="2"/>
        <charset val="204"/>
      </rPr>
      <t xml:space="preserve">
271,00 = [3 150 / 1,2 /  9,88] +  2% Заг.скл</t>
    </r>
  </si>
  <si>
    <r>
      <t>Стальной панельный радиатор, гигиеническое исполнение Royal Thermо H 10-0400-1000 (тепловая мощность  0,7035 кВт)</t>
    </r>
    <r>
      <rPr>
        <i/>
        <sz val="10"/>
        <rFont val="Arial"/>
        <family val="2"/>
        <charset val="204"/>
      </rPr>
      <t xml:space="preserve">
394,89 = [4 590 / 1,2 /  9,88] +  2% Заг.скл</t>
    </r>
  </si>
  <si>
    <r>
      <t>Стальной панельный радиатор, гигиеническое исполнение Royal Thermо H 10-0400-1400 (тепловая мощность  0,9849 кВт)</t>
    </r>
    <r>
      <rPr>
        <i/>
        <sz val="10"/>
        <rFont val="Arial"/>
        <family val="2"/>
        <charset val="204"/>
      </rPr>
      <t xml:space="preserve">
517,92 = [6 020 / 1,2 /  9,88] +  2% Заг.скл</t>
    </r>
  </si>
  <si>
    <r>
      <t>Стальной панельный радиатор, гигиеническое исполнение Royal Thermо H 10-0400-1600 (тепловая мощность  1,1256 кВт)</t>
    </r>
    <r>
      <rPr>
        <i/>
        <sz val="10"/>
        <rFont val="Arial"/>
        <family val="2"/>
        <charset val="204"/>
      </rPr>
      <t xml:space="preserve">
577,28 = [6 710 / 1,2 /  9,88] +  2% Заг.скл</t>
    </r>
  </si>
  <si>
    <r>
      <t>Стальной панельный радиатор, гигиеническое исполнение Royal Thermо H 30-0400-0600 (тепловая мощность  1,019 кВт)</t>
    </r>
    <r>
      <rPr>
        <i/>
        <sz val="10"/>
        <rFont val="Arial"/>
        <family val="2"/>
        <charset val="204"/>
      </rPr>
      <t xml:space="preserve">
609,11 = [7 080 / 1,2 /  9,88] +  2% Заг.скл</t>
    </r>
  </si>
  <si>
    <r>
      <t>Стальной панельный радиатор боковое подключение Royal Thermо С 11-0400-1000 (тепловая мощность  0,9956 кВт)</t>
    </r>
    <r>
      <rPr>
        <i/>
        <sz val="10"/>
        <rFont val="Arial"/>
        <family val="2"/>
        <charset val="204"/>
      </rPr>
      <t xml:space="preserve">
415,54 = [4 830 / 1,2 /  9,88] +  2% Заг.скл</t>
    </r>
  </si>
  <si>
    <r>
      <t>Стальной панельный радиатор боковое подключение Royal Thermо С 11-0400-1200 (тепловая мощность 1.1948 кВт)</t>
    </r>
    <r>
      <rPr>
        <i/>
        <sz val="10"/>
        <rFont val="Arial"/>
        <family val="2"/>
        <charset val="204"/>
      </rPr>
      <t xml:space="preserve">
479,20 = [5 570 / 1,2 /  9,88] +  2% Заг.скл</t>
    </r>
  </si>
  <si>
    <r>
      <t>Стальной панельный радиатор боковое подключение Royal Thermо С 11-0400-1400 (тепловая мощность 1.3939 кВт)</t>
    </r>
    <r>
      <rPr>
        <i/>
        <sz val="10"/>
        <rFont val="Arial"/>
        <family val="2"/>
        <charset val="204"/>
      </rPr>
      <t xml:space="preserve">
546,30 = [6 350 / 1,2 /  9,88] +  2% Заг.скл</t>
    </r>
  </si>
  <si>
    <r>
      <t>Стальной панельный радиатор боковое подключение Royal Thermо С 11-0400-1600 (тепловая мощность 1.593 кВт)</t>
    </r>
    <r>
      <rPr>
        <i/>
        <sz val="10"/>
        <rFont val="Arial"/>
        <family val="2"/>
        <charset val="204"/>
      </rPr>
      <t xml:space="preserve">
609,97 = [7 090 / 1,2 /  9,88] +  2% Заг.скл</t>
    </r>
  </si>
  <si>
    <r>
      <t>Стальной панельный радиатор боковое подключение Royal Thermо С 11-0400-1800 (тепловая мощность 1.7922 кВт)</t>
    </r>
    <r>
      <rPr>
        <i/>
        <sz val="10"/>
        <rFont val="Arial"/>
        <family val="2"/>
        <charset val="204"/>
      </rPr>
      <t xml:space="preserve">
675,35 = [7 850 / 1,2 /  9,88] +  2% Заг.скл</t>
    </r>
  </si>
  <si>
    <r>
      <t>Стальной панельный радиатор боковое подключение Royal Thermо С 21-0400-2000 (тепловая мощность 2,8201 кВт)</t>
    </r>
    <r>
      <rPr>
        <i/>
        <sz val="10"/>
        <rFont val="Arial"/>
        <family val="2"/>
        <charset val="204"/>
      </rPr>
      <t xml:space="preserve">
1 035,83 = [12 040 / 1,2 /  9,88] +  2% Заг.скл</t>
    </r>
  </si>
  <si>
    <r>
      <t>Стальной панельный радиатор боковое подключение Royal Thermо С 33-0400-0400 (тепловая мощность 1,0383 кВт)</t>
    </r>
    <r>
      <rPr>
        <i/>
        <sz val="10"/>
        <rFont val="Arial"/>
        <family val="2"/>
        <charset val="204"/>
      </rPr>
      <t xml:space="preserve">
586,74 = [6 820 / 1,2 /  9,88] +  2% Заг.скл</t>
    </r>
  </si>
  <si>
    <r>
      <t>Стальной панельный радиатор боковое подключение Royal Thermо С 33-0400-0600 (тепловая мощность 1,5575 кВт)</t>
    </r>
    <r>
      <rPr>
        <i/>
        <sz val="10"/>
        <rFont val="Arial"/>
        <family val="2"/>
        <charset val="204"/>
      </rPr>
      <t xml:space="preserve">
725,25 = [8 430 / 1,2 /  9,88] +  2% Заг.скл</t>
    </r>
  </si>
  <si>
    <r>
      <t>Комплект KIT 1/2" (футорки 1/2" - 4 шт., возд. 1/2", загл. 1/2", ключ для воздух)</t>
    </r>
    <r>
      <rPr>
        <i/>
        <sz val="10"/>
        <rFont val="Arial"/>
        <family val="2"/>
        <charset val="204"/>
      </rPr>
      <t xml:space="preserve">
56,78 = [660 / 1,2 /  9,88] +  2% Заг.скл</t>
    </r>
  </si>
  <si>
    <r>
      <t>Регулятор перепада давления Dy15 APT-R 15</t>
    </r>
    <r>
      <rPr>
        <i/>
        <sz val="10"/>
        <rFont val="Arial"/>
        <family val="2"/>
        <charset val="204"/>
      </rPr>
      <t xml:space="preserve">
1 342,96 = [15 610 / 1,2 /  9,88] +  2% Заг.скл</t>
    </r>
  </si>
  <si>
    <r>
      <t>Регулятор перепада давления Dy20 APT-R 20</t>
    </r>
    <r>
      <rPr>
        <i/>
        <sz val="10"/>
        <rFont val="Arial"/>
        <family val="2"/>
        <charset val="204"/>
      </rPr>
      <t xml:space="preserve">
1 446,38 = [16 812 / 1,2 /  9,88] +  2% Заг.скл</t>
    </r>
  </si>
  <si>
    <r>
      <t>Комплект коллекторов РИДАН FHF-5RF set с расходомерами, кронштейнами и воздухоотводчиками, 5 контуров  (2024-00272-00-0-ИОС4.1 Лист 5 Схема гребенки отопления)</t>
    </r>
    <r>
      <rPr>
        <i/>
        <sz val="10"/>
        <rFont val="Arial"/>
        <family val="2"/>
        <charset val="204"/>
      </rPr>
      <t xml:space="preserve">
1 245,91 = [14 481,86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</si>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</sst>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b/>
      <u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1" fillId="0" borderId="0" xfId="0" applyFont="1"/>
    <xf numFmtId="0" fontId="22" fillId="0" borderId="0" xfId="0" applyFont="1" applyAlignment="1">
      <alignment vertical="top"/>
    </xf>
    <xf numFmtId="164" fontId="22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606"/>
  <sheetViews>
    <sheetView tabSelected="1" topLeftCell="A106" zoomScale="55" zoomScaleNormal="55" workbookViewId="0">
      <selection activeCell="K20" sqref="K19:K20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140625" bestFit="1" customWidth="1"/>
    <col min="6" max="6" width="9" bestFit="1" customWidth="1"/>
    <col min="9" max="9" width="11.28515625" bestFit="1" customWidth="1"/>
    <col min="10" max="10" width="12.5703125" customWidth="1"/>
    <col min="11" max="11" width="13.140625" bestFit="1" customWidth="1"/>
    <col min="15" max="41" width="0" hidden="1" customWidth="1"/>
    <col min="42" max="42" width="129.7109375" hidden="1" customWidth="1"/>
    <col min="43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1" t="s">
        <v>650</v>
      </c>
      <c r="K2" s="31"/>
    </row>
    <row r="3" spans="1:42" ht="31.5" x14ac:dyDescent="0.25">
      <c r="A3" s="12" t="s">
        <v>712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651</v>
      </c>
    </row>
    <row r="4" spans="1:42" x14ac:dyDescent="0.2">
      <c r="A4" s="13" t="s">
        <v>629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02-01-06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Отопление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630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2024-00272-00-0-ИОС4.1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631</v>
      </c>
      <c r="J13" s="20" t="s">
        <v>632</v>
      </c>
      <c r="K13" s="11"/>
    </row>
    <row r="14" spans="1:42" ht="15" x14ac:dyDescent="0.25">
      <c r="A14" s="11"/>
      <c r="B14" s="11"/>
      <c r="C14" s="11"/>
      <c r="D14" s="11"/>
      <c r="E14" s="21" t="s">
        <v>633</v>
      </c>
      <c r="F14" s="21"/>
      <c r="G14" s="21"/>
      <c r="H14" s="21"/>
      <c r="I14" s="22">
        <f>I15+I16+I17+I18</f>
        <v>1090.71</v>
      </c>
      <c r="J14" s="22">
        <f>J15+J16+J17+J18</f>
        <v>14180.73</v>
      </c>
      <c r="K14" s="23" t="s">
        <v>700</v>
      </c>
    </row>
    <row r="15" spans="1:42" ht="14.25" x14ac:dyDescent="0.2">
      <c r="A15" s="11"/>
      <c r="B15" s="11"/>
      <c r="C15" s="11"/>
      <c r="D15" s="11"/>
      <c r="E15" s="24" t="s">
        <v>100</v>
      </c>
      <c r="F15" s="24"/>
      <c r="G15" s="24"/>
      <c r="H15" s="24"/>
      <c r="I15" s="25">
        <f>ROUND((Source!F411)/1000, 2)</f>
        <v>1065.26</v>
      </c>
      <c r="J15" s="25">
        <f>ROUND((Source!P411)/1000, 2)</f>
        <v>13845.9</v>
      </c>
      <c r="K15" s="11" t="s">
        <v>700</v>
      </c>
    </row>
    <row r="16" spans="1:42" ht="14.25" x14ac:dyDescent="0.2">
      <c r="A16" s="11"/>
      <c r="B16" s="11"/>
      <c r="C16" s="11"/>
      <c r="D16" s="11"/>
      <c r="E16" s="24" t="s">
        <v>634</v>
      </c>
      <c r="F16" s="24"/>
      <c r="G16" s="24"/>
      <c r="H16" s="24"/>
      <c r="I16" s="25">
        <f>ROUND((Source!F412)/1000, 2)</f>
        <v>24.13</v>
      </c>
      <c r="J16" s="25">
        <f>ROUND((Source!P412)/1000, 2)</f>
        <v>326.58</v>
      </c>
      <c r="K16" s="11" t="s">
        <v>700</v>
      </c>
    </row>
    <row r="17" spans="1:42" ht="14.25" x14ac:dyDescent="0.2">
      <c r="A17" s="11"/>
      <c r="B17" s="11"/>
      <c r="C17" s="11"/>
      <c r="D17" s="11"/>
      <c r="E17" s="24" t="s">
        <v>635</v>
      </c>
      <c r="F17" s="24"/>
      <c r="G17" s="24"/>
      <c r="H17" s="24"/>
      <c r="I17" s="25">
        <f>ROUND((Source!F403)/1000, 2)</f>
        <v>1.32</v>
      </c>
      <c r="J17" s="25">
        <f>ROUND((Source!P403)/1000, 2)</f>
        <v>8.25</v>
      </c>
      <c r="K17" s="11" t="s">
        <v>700</v>
      </c>
    </row>
    <row r="18" spans="1:42" ht="14.25" x14ac:dyDescent="0.2">
      <c r="A18" s="11"/>
      <c r="B18" s="11"/>
      <c r="C18" s="11"/>
      <c r="D18" s="11"/>
      <c r="E18" s="24" t="s">
        <v>636</v>
      </c>
      <c r="F18" s="24"/>
      <c r="G18" s="24"/>
      <c r="H18" s="24"/>
      <c r="I18" s="25">
        <f>ROUND((Source!F413+Source!F414)/1000, 2)</f>
        <v>0</v>
      </c>
      <c r="J18" s="25">
        <f>ROUND((Source!P413+Source!P414)/1000, 2)</f>
        <v>0</v>
      </c>
      <c r="K18" s="11" t="s">
        <v>700</v>
      </c>
    </row>
    <row r="19" spans="1:42" ht="14.25" x14ac:dyDescent="0.2">
      <c r="A19" s="11"/>
      <c r="B19" s="11"/>
      <c r="C19" s="11"/>
      <c r="D19" s="11"/>
      <c r="E19" s="24" t="s">
        <v>637</v>
      </c>
      <c r="F19" s="24"/>
      <c r="G19" s="24"/>
      <c r="H19" s="24"/>
      <c r="I19" s="25">
        <f>(Source!F409+ Source!F408)/1000</f>
        <v>41.326840000000004</v>
      </c>
      <c r="J19" s="25">
        <f>((Source!P409 + Source!P408)/1000)</f>
        <v>2272.5629399999998</v>
      </c>
      <c r="K19" s="11" t="s">
        <v>700</v>
      </c>
    </row>
    <row r="20" spans="1:42" ht="14.25" x14ac:dyDescent="0.2">
      <c r="A20" s="11"/>
      <c r="B20" s="11"/>
      <c r="C20" s="11"/>
      <c r="D20" s="11"/>
      <c r="E20" s="24" t="s">
        <v>638</v>
      </c>
      <c r="F20" s="24"/>
      <c r="G20" s="24"/>
      <c r="H20" s="24"/>
      <c r="I20" s="25">
        <f>Source!F416</f>
        <v>3249.2220453386099</v>
      </c>
      <c r="J20" s="25"/>
      <c r="K20" s="11" t="s">
        <v>484</v>
      </c>
    </row>
    <row r="21" spans="1:42" ht="14.25" hidden="1" x14ac:dyDescent="0.2">
      <c r="A21" s="11"/>
      <c r="B21" s="11"/>
      <c r="C21" s="11"/>
      <c r="D21" s="11"/>
      <c r="E21" s="26" t="s">
        <v>639</v>
      </c>
      <c r="F21" s="26"/>
      <c r="G21" s="26"/>
      <c r="H21" s="26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7" t="s">
        <v>77</v>
      </c>
      <c r="F22" s="27"/>
      <c r="G22" s="27"/>
      <c r="H22" s="27"/>
      <c r="I22" s="25">
        <f>SUM(Y28:Y595)/1000</f>
        <v>0</v>
      </c>
      <c r="J22" s="25">
        <f>SUM(Z28:Z595)/1000</f>
        <v>0</v>
      </c>
      <c r="K22" s="11" t="s">
        <v>700</v>
      </c>
    </row>
    <row r="23" spans="1:42" ht="14.25" x14ac:dyDescent="0.2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25" x14ac:dyDescent="0.2">
      <c r="A24" s="11" t="s">
        <v>652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5" x14ac:dyDescent="0.2">
      <c r="A25" s="18" t="s">
        <v>653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653</v>
      </c>
    </row>
    <row r="26" spans="1:42" ht="114" x14ac:dyDescent="0.2">
      <c r="A26" s="29" t="s">
        <v>640</v>
      </c>
      <c r="B26" s="29" t="s">
        <v>641</v>
      </c>
      <c r="C26" s="29" t="s">
        <v>642</v>
      </c>
      <c r="D26" s="29" t="s">
        <v>643</v>
      </c>
      <c r="E26" s="29" t="s">
        <v>644</v>
      </c>
      <c r="F26" s="29" t="s">
        <v>645</v>
      </c>
      <c r="G26" s="30" t="s">
        <v>646</v>
      </c>
      <c r="H26" s="30" t="s">
        <v>647</v>
      </c>
      <c r="I26" s="29" t="s">
        <v>654</v>
      </c>
      <c r="J26" s="29" t="s">
        <v>648</v>
      </c>
      <c r="K26" s="29" t="s">
        <v>649</v>
      </c>
    </row>
    <row r="27" spans="1:42" ht="14.25" x14ac:dyDescent="0.2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5" x14ac:dyDescent="0.2">
      <c r="A29" s="34" t="str">
        <f>CONCATENATE("Раздел: ",IF(Source!G24&lt;&gt;"Новый раздел", Source!G24, ""))</f>
        <v>Раздел: Конвекторы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42.75" x14ac:dyDescent="0.2">
      <c r="A30" s="35">
        <v>1</v>
      </c>
      <c r="B30" s="35" t="str">
        <f>Source!F28</f>
        <v>4.8-254-1</v>
      </c>
      <c r="C30" s="35" t="s">
        <v>20</v>
      </c>
      <c r="D30" s="37" t="str">
        <f>Source!H28</f>
        <v>1  ШТ.</v>
      </c>
      <c r="E30" s="36">
        <f>Source!I28</f>
        <v>3</v>
      </c>
      <c r="F30" s="39"/>
      <c r="G30" s="38"/>
      <c r="H30" s="36"/>
      <c r="I30" s="39"/>
      <c r="J30" s="36"/>
      <c r="K30" s="39"/>
      <c r="Q30">
        <f>Source!X28</f>
        <v>45.28</v>
      </c>
      <c r="R30">
        <f>Source!X29</f>
        <v>2489.9299999999998</v>
      </c>
      <c r="S30">
        <f>Source!Y28</f>
        <v>23.81</v>
      </c>
      <c r="T30">
        <f>Source!Y29</f>
        <v>1309.1400000000001</v>
      </c>
      <c r="U30">
        <f>ROUND((175/100)*ROUND(Source!R28, 2), 2)</f>
        <v>0.79</v>
      </c>
      <c r="V30">
        <f>ROUND((0/100)*ROUND(Source!R29, 2), 2)</f>
        <v>0</v>
      </c>
      <c r="AC30">
        <v>0</v>
      </c>
    </row>
    <row r="31" spans="1:42" x14ac:dyDescent="0.2">
      <c r="C31" s="40" t="str">
        <f>"Объем: "&amp;Source!I28&amp;"=1+"&amp;"2"</f>
        <v>Объем: 3=1+2</v>
      </c>
    </row>
    <row r="32" spans="1:42" ht="14.25" x14ac:dyDescent="0.2">
      <c r="A32" s="35"/>
      <c r="B32" s="35"/>
      <c r="C32" s="35" t="s">
        <v>655</v>
      </c>
      <c r="D32" s="37"/>
      <c r="E32" s="36"/>
      <c r="F32" s="39">
        <f>Source!AO28</f>
        <v>13.38</v>
      </c>
      <c r="G32" s="38" t="str">
        <f>Source!DG28</f>
        <v>*1,1</v>
      </c>
      <c r="H32" s="36">
        <f>Source!AV29</f>
        <v>1.0469999999999999</v>
      </c>
      <c r="I32" s="39">
        <f>Source!S28</f>
        <v>46.23</v>
      </c>
      <c r="J32" s="36">
        <f>IF(Source!BA29&lt;&gt; 0, Source!BA29, 1)</f>
        <v>54.99</v>
      </c>
      <c r="K32" s="39">
        <f>Source!S29</f>
        <v>2542.19</v>
      </c>
    </row>
    <row r="33" spans="1:29" ht="14.25" x14ac:dyDescent="0.2">
      <c r="A33" s="35"/>
      <c r="B33" s="35"/>
      <c r="C33" s="35" t="s">
        <v>656</v>
      </c>
      <c r="D33" s="37"/>
      <c r="E33" s="36"/>
      <c r="F33" s="39">
        <f>Source!AM28</f>
        <v>0.91</v>
      </c>
      <c r="G33" s="38" t="str">
        <f>Source!DE28</f>
        <v>*1,1</v>
      </c>
      <c r="H33" s="36">
        <f>Source!AV29</f>
        <v>1.0469999999999999</v>
      </c>
      <c r="I33" s="39">
        <f>Source!Q28</f>
        <v>3.14</v>
      </c>
      <c r="J33" s="36">
        <f>IF(Source!BB29&lt;&gt; 0, Source!BB29, 1)</f>
        <v>15.59</v>
      </c>
      <c r="K33" s="39">
        <f>Source!Q29</f>
        <v>48.95</v>
      </c>
    </row>
    <row r="34" spans="1:29" ht="14.25" x14ac:dyDescent="0.2">
      <c r="A34" s="35"/>
      <c r="B34" s="35"/>
      <c r="C34" s="35" t="s">
        <v>657</v>
      </c>
      <c r="D34" s="37"/>
      <c r="E34" s="36"/>
      <c r="F34" s="39">
        <f>Source!AN28</f>
        <v>0.13</v>
      </c>
      <c r="G34" s="38" t="str">
        <f>Source!DF28</f>
        <v>*1,1</v>
      </c>
      <c r="H34" s="36">
        <f>Source!AV29</f>
        <v>1.0469999999999999</v>
      </c>
      <c r="I34" s="41">
        <f>Source!R28</f>
        <v>0.45</v>
      </c>
      <c r="J34" s="36">
        <f>IF(Source!BS29&lt;&gt; 0, Source!BS29, 1)</f>
        <v>54.99</v>
      </c>
      <c r="K34" s="41">
        <f>Source!R29</f>
        <v>24.75</v>
      </c>
    </row>
    <row r="35" spans="1:29" ht="14.25" x14ac:dyDescent="0.2">
      <c r="A35" s="35"/>
      <c r="B35" s="35"/>
      <c r="C35" s="35" t="s">
        <v>658</v>
      </c>
      <c r="D35" s="37"/>
      <c r="E35" s="36"/>
      <c r="F35" s="39">
        <f>Source!AL28</f>
        <v>0.41</v>
      </c>
      <c r="G35" s="38" t="str">
        <f>Source!DD28</f>
        <v/>
      </c>
      <c r="H35" s="36">
        <f>Source!AW29</f>
        <v>1</v>
      </c>
      <c r="I35" s="39">
        <f>Source!P28</f>
        <v>1.23</v>
      </c>
      <c r="J35" s="36">
        <f>IF(Source!BC29&lt;&gt; 0, Source!BC29, 1)</f>
        <v>3.95</v>
      </c>
      <c r="K35" s="39">
        <f>Source!P29</f>
        <v>4.8600000000000003</v>
      </c>
    </row>
    <row r="36" spans="1:29" ht="14.25" x14ac:dyDescent="0.2">
      <c r="A36" s="35"/>
      <c r="B36" s="35"/>
      <c r="C36" s="35" t="s">
        <v>659</v>
      </c>
      <c r="D36" s="37" t="s">
        <v>660</v>
      </c>
      <c r="E36" s="36">
        <f>Source!BZ29</f>
        <v>97</v>
      </c>
      <c r="F36" s="39"/>
      <c r="G36" s="38"/>
      <c r="H36" s="36"/>
      <c r="I36" s="39">
        <f>SUM(Q30:Q35)</f>
        <v>45.28</v>
      </c>
      <c r="J36" s="36">
        <f>Source!AT29</f>
        <v>97</v>
      </c>
      <c r="K36" s="39">
        <f>SUM(R30:R35)</f>
        <v>2489.9299999999998</v>
      </c>
    </row>
    <row r="37" spans="1:29" ht="14.25" x14ac:dyDescent="0.2">
      <c r="A37" s="35"/>
      <c r="B37" s="35"/>
      <c r="C37" s="35" t="s">
        <v>661</v>
      </c>
      <c r="D37" s="37" t="s">
        <v>660</v>
      </c>
      <c r="E37" s="36">
        <f>Source!CA29</f>
        <v>51</v>
      </c>
      <c r="F37" s="39"/>
      <c r="G37" s="38"/>
      <c r="H37" s="36"/>
      <c r="I37" s="39">
        <f>SUM(S30:S36)</f>
        <v>23.81</v>
      </c>
      <c r="J37" s="36">
        <f>Source!AU29</f>
        <v>51</v>
      </c>
      <c r="K37" s="39">
        <f>SUM(T30:T36)</f>
        <v>1309.1400000000001</v>
      </c>
    </row>
    <row r="38" spans="1:29" ht="14.25" x14ac:dyDescent="0.2">
      <c r="A38" s="42"/>
      <c r="B38" s="42"/>
      <c r="C38" s="42" t="s">
        <v>662</v>
      </c>
      <c r="D38" s="43" t="s">
        <v>663</v>
      </c>
      <c r="E38" s="44">
        <f>Source!AQ28</f>
        <v>1.03</v>
      </c>
      <c r="F38" s="45"/>
      <c r="G38" s="46" t="str">
        <f>Source!DI28</f>
        <v>*1,1</v>
      </c>
      <c r="H38" s="44">
        <f>Source!AV29</f>
        <v>1.0469999999999999</v>
      </c>
      <c r="I38" s="45">
        <f>Source!U28</f>
        <v>3.5587530000000003</v>
      </c>
      <c r="J38" s="44"/>
      <c r="K38" s="45"/>
    </row>
    <row r="39" spans="1:29" ht="15" x14ac:dyDescent="0.2">
      <c r="C39" s="47" t="s">
        <v>664</v>
      </c>
      <c r="H39" s="48">
        <f>I32+I33+I35+I36+I37+0-0-0</f>
        <v>119.69</v>
      </c>
      <c r="I39" s="48"/>
      <c r="J39" s="48">
        <f>K32+K33+K35+K36+K37+0-0-0</f>
        <v>6395.0700000000006</v>
      </c>
      <c r="K39" s="48"/>
    </row>
    <row r="40" spans="1:29" ht="15" hidden="1" x14ac:dyDescent="0.2">
      <c r="C40" s="47" t="s">
        <v>665</v>
      </c>
      <c r="H40" s="50">
        <f>0+0</f>
        <v>0</v>
      </c>
      <c r="I40" s="50"/>
      <c r="J40" s="50">
        <f>0+0</f>
        <v>0</v>
      </c>
      <c r="K40" s="50"/>
    </row>
    <row r="41" spans="1:29" ht="15" x14ac:dyDescent="0.2">
      <c r="C41" s="47" t="s">
        <v>666</v>
      </c>
      <c r="H41" s="50">
        <f>I32+I33+I35+I36+I37+0</f>
        <v>119.69</v>
      </c>
      <c r="I41" s="50"/>
      <c r="J41" s="50">
        <f>K32+K33+K35+K36+K37+0</f>
        <v>6395.0700000000006</v>
      </c>
      <c r="K41" s="50"/>
      <c r="O41" s="51">
        <f>I32+I33+I35+I36+I37+0</f>
        <v>119.69</v>
      </c>
      <c r="P41" s="51">
        <f>K32+K33+K35+K36+K37+0</f>
        <v>6395.0700000000006</v>
      </c>
    </row>
    <row r="43" spans="1:29" ht="71.25" x14ac:dyDescent="0.2">
      <c r="A43" s="52">
        <v>2</v>
      </c>
      <c r="B43" s="52" t="str">
        <f>Source!F30</f>
        <v>13.1-11-142</v>
      </c>
      <c r="C43" s="52" t="s">
        <v>667</v>
      </c>
      <c r="D43" s="53" t="str">
        <f>Source!H30</f>
        <v>шт.</v>
      </c>
      <c r="E43" s="54">
        <f>Source!I30</f>
        <v>1</v>
      </c>
      <c r="F43" s="55">
        <f>Source!AL30</f>
        <v>388.69</v>
      </c>
      <c r="G43" s="56" t="str">
        <f>Source!DD30</f>
        <v/>
      </c>
      <c r="H43" s="54">
        <f>Source!AW31</f>
        <v>1</v>
      </c>
      <c r="I43" s="55">
        <f>Source!P30</f>
        <v>388.69</v>
      </c>
      <c r="J43" s="54">
        <f>IF(Source!BC31&lt;&gt; 0, Source!BC31, 1)</f>
        <v>6.57</v>
      </c>
      <c r="K43" s="55">
        <f>Source!P31</f>
        <v>2553.69</v>
      </c>
      <c r="Q43">
        <f>Source!X30</f>
        <v>0</v>
      </c>
      <c r="R43">
        <f>Source!X31</f>
        <v>0</v>
      </c>
      <c r="S43">
        <f>Source!Y30</f>
        <v>0</v>
      </c>
      <c r="T43">
        <f>Source!Y31</f>
        <v>0</v>
      </c>
      <c r="U43">
        <f>ROUND((175/100)*ROUND(Source!R30, 2), 2)</f>
        <v>0</v>
      </c>
      <c r="V43">
        <f>ROUND((0/100)*ROUND(Source!R31, 2), 2)</f>
        <v>0</v>
      </c>
      <c r="AC43">
        <v>5</v>
      </c>
    </row>
    <row r="44" spans="1:29" ht="15" x14ac:dyDescent="0.2">
      <c r="A44" s="57"/>
      <c r="B44" s="57"/>
      <c r="C44" s="58" t="s">
        <v>666</v>
      </c>
      <c r="D44" s="57"/>
      <c r="E44" s="57"/>
      <c r="F44" s="57"/>
      <c r="G44" s="57"/>
      <c r="H44" s="59">
        <f>I43+0</f>
        <v>388.69</v>
      </c>
      <c r="I44" s="59"/>
      <c r="J44" s="59">
        <f>K43+0</f>
        <v>2553.69</v>
      </c>
      <c r="K44" s="59"/>
      <c r="O44" s="51">
        <f>I43+0</f>
        <v>388.69</v>
      </c>
      <c r="P44" s="51">
        <f>K43+0</f>
        <v>2553.69</v>
      </c>
    </row>
    <row r="46" spans="1:29" ht="71.25" x14ac:dyDescent="0.2">
      <c r="A46" s="52">
        <v>3</v>
      </c>
      <c r="B46" s="52" t="str">
        <f>Source!F32</f>
        <v>13.1-11-143</v>
      </c>
      <c r="C46" s="52" t="s">
        <v>668</v>
      </c>
      <c r="D46" s="53" t="str">
        <f>Source!H32</f>
        <v>шт.</v>
      </c>
      <c r="E46" s="54">
        <f>Source!I32</f>
        <v>2</v>
      </c>
      <c r="F46" s="55">
        <f>Source!AL32</f>
        <v>464.74</v>
      </c>
      <c r="G46" s="56" t="str">
        <f>Source!DD32</f>
        <v/>
      </c>
      <c r="H46" s="54">
        <f>Source!AW33</f>
        <v>1</v>
      </c>
      <c r="I46" s="55">
        <f>Source!P32</f>
        <v>929.48</v>
      </c>
      <c r="J46" s="54">
        <f>IF(Source!BC33&lt;&gt; 0, Source!BC33, 1)</f>
        <v>6.13</v>
      </c>
      <c r="K46" s="55">
        <f>Source!P33</f>
        <v>5697.71</v>
      </c>
      <c r="Q46">
        <f>Source!X32</f>
        <v>0</v>
      </c>
      <c r="R46">
        <f>Source!X33</f>
        <v>0</v>
      </c>
      <c r="S46">
        <f>Source!Y32</f>
        <v>0</v>
      </c>
      <c r="T46">
        <f>Source!Y33</f>
        <v>0</v>
      </c>
      <c r="U46">
        <f>ROUND((175/100)*ROUND(Source!R32, 2), 2)</f>
        <v>0</v>
      </c>
      <c r="V46">
        <f>ROUND((0/100)*ROUND(Source!R33, 2), 2)</f>
        <v>0</v>
      </c>
      <c r="AC46">
        <v>5</v>
      </c>
    </row>
    <row r="47" spans="1:29" ht="15" x14ac:dyDescent="0.2">
      <c r="A47" s="57"/>
      <c r="B47" s="57"/>
      <c r="C47" s="58" t="s">
        <v>666</v>
      </c>
      <c r="D47" s="57"/>
      <c r="E47" s="57"/>
      <c r="F47" s="57"/>
      <c r="G47" s="57"/>
      <c r="H47" s="59">
        <f>I46+0</f>
        <v>929.48</v>
      </c>
      <c r="I47" s="59"/>
      <c r="J47" s="59">
        <f>K46+0</f>
        <v>5697.71</v>
      </c>
      <c r="K47" s="59"/>
      <c r="O47" s="51">
        <f>I46+0</f>
        <v>929.48</v>
      </c>
      <c r="P47" s="51">
        <f>K46+0</f>
        <v>5697.71</v>
      </c>
    </row>
    <row r="50" spans="1:29" ht="15" x14ac:dyDescent="0.25">
      <c r="A50" s="60" t="str">
        <f>CONCATENATE("Итого по разделу: ",IF(Source!G35&lt;&gt;"Новый раздел", Source!G35, ""))</f>
        <v>Итого по разделу: Конвекторы</v>
      </c>
      <c r="B50" s="60"/>
      <c r="C50" s="60"/>
      <c r="D50" s="60"/>
      <c r="E50" s="60"/>
      <c r="F50" s="60"/>
      <c r="G50" s="60"/>
      <c r="H50" s="50">
        <f>SUM(O29:O49)</f>
        <v>1437.8600000000001</v>
      </c>
      <c r="I50" s="49"/>
      <c r="J50" s="50">
        <f>SUM(P29:P49)</f>
        <v>14646.470000000001</v>
      </c>
      <c r="K50" s="49"/>
    </row>
    <row r="51" spans="1:29" hidden="1" x14ac:dyDescent="0.2">
      <c r="A51" t="s">
        <v>669</v>
      </c>
      <c r="I51">
        <f>SUM(W29:W50)</f>
        <v>0</v>
      </c>
      <c r="J51">
        <f>SUM(X29:X50)</f>
        <v>0</v>
      </c>
    </row>
    <row r="52" spans="1:29" hidden="1" x14ac:dyDescent="0.2">
      <c r="A52" t="s">
        <v>670</v>
      </c>
      <c r="I52">
        <f>SUM(Y29:Y51)</f>
        <v>0</v>
      </c>
      <c r="J52">
        <f>SUM(Z29:Z51)</f>
        <v>0</v>
      </c>
    </row>
    <row r="54" spans="1:29" ht="16.5" x14ac:dyDescent="0.2">
      <c r="A54" s="34" t="str">
        <f>CONCATENATE("Раздел: ",IF(Source!G65&lt;&gt;"Новый раздел", Source!G65, ""))</f>
        <v>Раздел: Радиаторы отопления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29" ht="42.75" x14ac:dyDescent="0.2">
      <c r="A55" s="35">
        <v>4</v>
      </c>
      <c r="B55" s="35" t="str">
        <f>Source!F69</f>
        <v>3.18-25-1</v>
      </c>
      <c r="C55" s="35" t="s">
        <v>95</v>
      </c>
      <c r="D55" s="37" t="str">
        <f>Source!H69</f>
        <v>100 шт.</v>
      </c>
      <c r="E55" s="36">
        <f>Source!I69</f>
        <v>0.36</v>
      </c>
      <c r="F55" s="39"/>
      <c r="G55" s="38"/>
      <c r="H55" s="36"/>
      <c r="I55" s="39"/>
      <c r="J55" s="36"/>
      <c r="K55" s="39"/>
      <c r="Q55">
        <f>Source!X69</f>
        <v>491.4</v>
      </c>
      <c r="R55">
        <f>Source!X70</f>
        <v>27022.35</v>
      </c>
      <c r="S55">
        <f>Source!Y69</f>
        <v>275.01</v>
      </c>
      <c r="T55">
        <f>Source!Y70</f>
        <v>15122.6</v>
      </c>
      <c r="U55">
        <f>ROUND((175/100)*ROUND(Source!R69, 2), 2)</f>
        <v>9.52</v>
      </c>
      <c r="V55">
        <f>ROUND((0/100)*ROUND(Source!R70, 2), 2)</f>
        <v>0</v>
      </c>
      <c r="AC55">
        <v>0</v>
      </c>
    </row>
    <row r="56" spans="1:29" x14ac:dyDescent="0.2">
      <c r="C56" s="40" t="str">
        <f>"Объем: "&amp;Source!I69&amp;"=(1+"&amp;"3+"&amp;"2+"&amp;"20+"&amp;"1+"&amp;"9)/"&amp;"100"</f>
        <v>Объем: 0,36=(1+3+2+20+1+9)/100</v>
      </c>
    </row>
    <row r="57" spans="1:29" ht="28.5" x14ac:dyDescent="0.2">
      <c r="A57" s="35"/>
      <c r="B57" s="35"/>
      <c r="C57" s="35" t="s">
        <v>655</v>
      </c>
      <c r="D57" s="37"/>
      <c r="E57" s="36"/>
      <c r="F57" s="39">
        <f>Source!AO69</f>
        <v>916.6</v>
      </c>
      <c r="G57" s="38" t="str">
        <f>Source!DG69</f>
        <v>*1,15)*1,1</v>
      </c>
      <c r="H57" s="36">
        <f>Source!AV70</f>
        <v>1.0669999999999999</v>
      </c>
      <c r="I57" s="39">
        <f>Source!S69</f>
        <v>445.39</v>
      </c>
      <c r="J57" s="36">
        <f>IF(Source!BA70&lt;&gt; 0, Source!BA70, 1)</f>
        <v>54.99</v>
      </c>
      <c r="K57" s="39">
        <f>Source!S70</f>
        <v>24492</v>
      </c>
    </row>
    <row r="58" spans="1:29" ht="28.5" x14ac:dyDescent="0.2">
      <c r="A58" s="35"/>
      <c r="B58" s="35"/>
      <c r="C58" s="35" t="s">
        <v>656</v>
      </c>
      <c r="D58" s="37"/>
      <c r="E58" s="36"/>
      <c r="F58" s="39">
        <f>Source!AM69</f>
        <v>95.35</v>
      </c>
      <c r="G58" s="38" t="str">
        <f>Source!DE69</f>
        <v>*1,25)*1,1</v>
      </c>
      <c r="H58" s="36">
        <f>Source!AV70</f>
        <v>1.0669999999999999</v>
      </c>
      <c r="I58" s="39">
        <f>Source!Q69</f>
        <v>50.36</v>
      </c>
      <c r="J58" s="36">
        <f>IF(Source!BB70&lt;&gt; 0, Source!BB70, 1)</f>
        <v>14.33</v>
      </c>
      <c r="K58" s="39">
        <f>Source!Q70</f>
        <v>721.66</v>
      </c>
    </row>
    <row r="59" spans="1:29" ht="28.5" x14ac:dyDescent="0.2">
      <c r="A59" s="35"/>
      <c r="B59" s="35"/>
      <c r="C59" s="35" t="s">
        <v>657</v>
      </c>
      <c r="D59" s="37"/>
      <c r="E59" s="36"/>
      <c r="F59" s="39">
        <f>Source!AN69</f>
        <v>10.3</v>
      </c>
      <c r="G59" s="38" t="str">
        <f>Source!DF69</f>
        <v>*1,25)*1,1</v>
      </c>
      <c r="H59" s="36">
        <f>Source!AV70</f>
        <v>1.0669999999999999</v>
      </c>
      <c r="I59" s="41">
        <f>Source!R69</f>
        <v>5.44</v>
      </c>
      <c r="J59" s="36">
        <f>IF(Source!BS70&lt;&gt; 0, Source!BS70, 1)</f>
        <v>54.99</v>
      </c>
      <c r="K59" s="41">
        <f>Source!R70</f>
        <v>299.14999999999998</v>
      </c>
    </row>
    <row r="60" spans="1:29" ht="14.25" x14ac:dyDescent="0.2">
      <c r="A60" s="35"/>
      <c r="B60" s="35"/>
      <c r="C60" s="35" t="s">
        <v>658</v>
      </c>
      <c r="D60" s="37"/>
      <c r="E60" s="36"/>
      <c r="F60" s="39">
        <f>Source!AL69</f>
        <v>2078.9</v>
      </c>
      <c r="G60" s="38" t="str">
        <f>Source!DD69</f>
        <v/>
      </c>
      <c r="H60" s="36">
        <f>Source!AW70</f>
        <v>1</v>
      </c>
      <c r="I60" s="39">
        <f>Source!P69</f>
        <v>748.4</v>
      </c>
      <c r="J60" s="36">
        <f>IF(Source!BC70&lt;&gt; 0, Source!BC70, 1)</f>
        <v>20.59</v>
      </c>
      <c r="K60" s="39">
        <f>Source!P70</f>
        <v>15409.56</v>
      </c>
    </row>
    <row r="61" spans="1:29" ht="14.25" x14ac:dyDescent="0.2">
      <c r="A61" s="35"/>
      <c r="B61" s="35"/>
      <c r="C61" s="35" t="s">
        <v>659</v>
      </c>
      <c r="D61" s="37" t="s">
        <v>660</v>
      </c>
      <c r="E61" s="36">
        <f>Source!BZ70</f>
        <v>109</v>
      </c>
      <c r="F61" s="39"/>
      <c r="G61" s="38"/>
      <c r="H61" s="36"/>
      <c r="I61" s="39">
        <f>SUM(Q55:Q60)</f>
        <v>491.4</v>
      </c>
      <c r="J61" s="36">
        <f>Source!AT70</f>
        <v>109</v>
      </c>
      <c r="K61" s="39">
        <f>SUM(R55:R60)</f>
        <v>27022.35</v>
      </c>
    </row>
    <row r="62" spans="1:29" ht="14.25" x14ac:dyDescent="0.2">
      <c r="A62" s="35"/>
      <c r="B62" s="35"/>
      <c r="C62" s="35" t="s">
        <v>661</v>
      </c>
      <c r="D62" s="37" t="s">
        <v>660</v>
      </c>
      <c r="E62" s="36">
        <f>Source!CA70</f>
        <v>61</v>
      </c>
      <c r="F62" s="39"/>
      <c r="G62" s="38"/>
      <c r="H62" s="36"/>
      <c r="I62" s="39">
        <f>SUM(S55:S61)</f>
        <v>275.01</v>
      </c>
      <c r="J62" s="36">
        <f>Source!AU70</f>
        <v>61</v>
      </c>
      <c r="K62" s="39">
        <f>SUM(T55:T61)</f>
        <v>15122.6</v>
      </c>
    </row>
    <row r="63" spans="1:29" ht="28.5" x14ac:dyDescent="0.2">
      <c r="A63" s="42"/>
      <c r="B63" s="42"/>
      <c r="C63" s="42" t="s">
        <v>662</v>
      </c>
      <c r="D63" s="43" t="s">
        <v>663</v>
      </c>
      <c r="E63" s="44">
        <f>Source!AQ69</f>
        <v>74.7</v>
      </c>
      <c r="F63" s="45"/>
      <c r="G63" s="46" t="str">
        <f>Source!DI69</f>
        <v>*1,15)*1,1</v>
      </c>
      <c r="H63" s="44">
        <f>Source!AV70</f>
        <v>1.0669999999999999</v>
      </c>
      <c r="I63" s="45">
        <f>Source!U69</f>
        <v>36.297611459999999</v>
      </c>
      <c r="J63" s="44"/>
      <c r="K63" s="45"/>
    </row>
    <row r="64" spans="1:29" ht="15" x14ac:dyDescent="0.2">
      <c r="C64" s="47" t="s">
        <v>664</v>
      </c>
      <c r="H64" s="48">
        <f>I57+I58+I60+I61+I62+0-0-0</f>
        <v>2010.5600000000002</v>
      </c>
      <c r="I64" s="48"/>
      <c r="J64" s="48">
        <f>K57+K58+K60+K61+K62+0-0-0</f>
        <v>82768.170000000013</v>
      </c>
      <c r="K64" s="48"/>
    </row>
    <row r="65" spans="1:29" ht="15" hidden="1" x14ac:dyDescent="0.2">
      <c r="C65" s="47" t="s">
        <v>665</v>
      </c>
      <c r="H65" s="50">
        <f>0+0</f>
        <v>0</v>
      </c>
      <c r="I65" s="50"/>
      <c r="J65" s="50">
        <f>0+0</f>
        <v>0</v>
      </c>
      <c r="K65" s="50"/>
    </row>
    <row r="66" spans="1:29" ht="15" x14ac:dyDescent="0.2">
      <c r="C66" s="47" t="s">
        <v>666</v>
      </c>
      <c r="H66" s="50">
        <f>I57+I58+I60+I61+I62+0</f>
        <v>2010.5600000000002</v>
      </c>
      <c r="I66" s="50"/>
      <c r="J66" s="50">
        <f>K57+K58+K60+K61+K62+0</f>
        <v>82768.170000000013</v>
      </c>
      <c r="K66" s="50"/>
      <c r="O66" s="51">
        <f>I57+I58+I60+I61+I62+0</f>
        <v>2010.5600000000002</v>
      </c>
      <c r="P66" s="51">
        <f>K57+K58+K60+K61+K62+0</f>
        <v>82768.170000000013</v>
      </c>
    </row>
    <row r="68" spans="1:29" ht="69.75" x14ac:dyDescent="0.2">
      <c r="A68" s="42">
        <v>5</v>
      </c>
      <c r="B68" s="42" t="str">
        <f>Source!F71</f>
        <v>КА-1</v>
      </c>
      <c r="C68" s="42" t="s">
        <v>671</v>
      </c>
      <c r="D68" s="43" t="str">
        <f>Source!H71</f>
        <v>ШТ</v>
      </c>
      <c r="E68" s="44">
        <f>Source!I71</f>
        <v>1</v>
      </c>
      <c r="F68" s="45">
        <f>Source!AL71</f>
        <v>988.51</v>
      </c>
      <c r="G68" s="46" t="str">
        <f>Source!DD71</f>
        <v/>
      </c>
      <c r="H68" s="44">
        <f>Source!AW72</f>
        <v>1</v>
      </c>
      <c r="I68" s="45">
        <f>Source!P71</f>
        <v>988.51</v>
      </c>
      <c r="J68" s="44">
        <f>IF(Source!BC72&lt;&gt; 0, Source!BC72, 1)</f>
        <v>9.8800000000000008</v>
      </c>
      <c r="K68" s="45">
        <f>Source!P72</f>
        <v>9766.48</v>
      </c>
      <c r="Q68">
        <f>Source!X71</f>
        <v>0</v>
      </c>
      <c r="R68">
        <f>Source!X72</f>
        <v>0</v>
      </c>
      <c r="S68">
        <f>Source!Y71</f>
        <v>0</v>
      </c>
      <c r="T68">
        <f>Source!Y72</f>
        <v>0</v>
      </c>
      <c r="U68">
        <f>ROUND((175/100)*ROUND(Source!R71, 2), 2)</f>
        <v>0</v>
      </c>
      <c r="V68">
        <f>ROUND((0/100)*ROUND(Source!R72, 2), 2)</f>
        <v>0</v>
      </c>
      <c r="AC68">
        <v>3</v>
      </c>
    </row>
    <row r="69" spans="1:29" ht="15" x14ac:dyDescent="0.2">
      <c r="C69" s="47" t="s">
        <v>666</v>
      </c>
      <c r="H69" s="48">
        <f>I68+0</f>
        <v>988.51</v>
      </c>
      <c r="I69" s="48"/>
      <c r="J69" s="48">
        <f>K68+0</f>
        <v>9766.48</v>
      </c>
      <c r="K69" s="48"/>
      <c r="O69" s="51">
        <f>I68+0</f>
        <v>988.51</v>
      </c>
      <c r="P69" s="51">
        <f>K68+0</f>
        <v>9766.48</v>
      </c>
    </row>
    <row r="71" spans="1:29" ht="82.5" x14ac:dyDescent="0.2">
      <c r="A71" s="42">
        <v>6</v>
      </c>
      <c r="B71" s="42" t="str">
        <f>Source!F73</f>
        <v>КА-2</v>
      </c>
      <c r="C71" s="42" t="s">
        <v>672</v>
      </c>
      <c r="D71" s="43" t="str">
        <f>Source!H73</f>
        <v>ШТ</v>
      </c>
      <c r="E71" s="44">
        <f>Source!I73</f>
        <v>3</v>
      </c>
      <c r="F71" s="45">
        <f>Source!AL73</f>
        <v>1646.6599999999999</v>
      </c>
      <c r="G71" s="46" t="str">
        <f>Source!DD73</f>
        <v/>
      </c>
      <c r="H71" s="44">
        <f>Source!AW74</f>
        <v>1</v>
      </c>
      <c r="I71" s="45">
        <f>Source!P73</f>
        <v>4939.9799999999996</v>
      </c>
      <c r="J71" s="44">
        <f>IF(Source!BC74&lt;&gt; 0, Source!BC74, 1)</f>
        <v>9.8800000000000008</v>
      </c>
      <c r="K71" s="45">
        <f>Source!P74</f>
        <v>48807</v>
      </c>
      <c r="Q71">
        <f>Source!X73</f>
        <v>0</v>
      </c>
      <c r="R71">
        <f>Source!X74</f>
        <v>0</v>
      </c>
      <c r="S71">
        <f>Source!Y73</f>
        <v>0</v>
      </c>
      <c r="T71">
        <f>Source!Y74</f>
        <v>0</v>
      </c>
      <c r="U71">
        <f>ROUND((175/100)*ROUND(Source!R73, 2), 2)</f>
        <v>0</v>
      </c>
      <c r="V71">
        <f>ROUND((0/100)*ROUND(Source!R74, 2), 2)</f>
        <v>0</v>
      </c>
      <c r="AC71">
        <v>3</v>
      </c>
    </row>
    <row r="72" spans="1:29" ht="15" x14ac:dyDescent="0.2">
      <c r="C72" s="47" t="s">
        <v>666</v>
      </c>
      <c r="H72" s="48">
        <f>I71+0</f>
        <v>4939.9799999999996</v>
      </c>
      <c r="I72" s="48"/>
      <c r="J72" s="48">
        <f>K71+0</f>
        <v>48807</v>
      </c>
      <c r="K72" s="48"/>
      <c r="O72" s="51">
        <f>I71+0</f>
        <v>4939.9799999999996</v>
      </c>
      <c r="P72" s="51">
        <f>K71+0</f>
        <v>48807</v>
      </c>
    </row>
    <row r="74" spans="1:29" ht="82.5" x14ac:dyDescent="0.2">
      <c r="A74" s="42">
        <v>7</v>
      </c>
      <c r="B74" s="42" t="str">
        <f>Source!F75</f>
        <v>КА-3</v>
      </c>
      <c r="C74" s="42" t="s">
        <v>673</v>
      </c>
      <c r="D74" s="43" t="str">
        <f>Source!H75</f>
        <v>ШТ</v>
      </c>
      <c r="E74" s="44">
        <f>Source!I75</f>
        <v>2</v>
      </c>
      <c r="F74" s="45">
        <f>Source!AL75</f>
        <v>3182.34</v>
      </c>
      <c r="G74" s="46" t="str">
        <f>Source!DD75</f>
        <v/>
      </c>
      <c r="H74" s="44">
        <f>Source!AW76</f>
        <v>1</v>
      </c>
      <c r="I74" s="45">
        <f>Source!P75</f>
        <v>6364.68</v>
      </c>
      <c r="J74" s="44">
        <f>IF(Source!BC76&lt;&gt; 0, Source!BC76, 1)</f>
        <v>9.8800000000000008</v>
      </c>
      <c r="K74" s="45">
        <f>Source!P76</f>
        <v>62883.040000000001</v>
      </c>
      <c r="Q74">
        <f>Source!X75</f>
        <v>0</v>
      </c>
      <c r="R74">
        <f>Source!X76</f>
        <v>0</v>
      </c>
      <c r="S74">
        <f>Source!Y75</f>
        <v>0</v>
      </c>
      <c r="T74">
        <f>Source!Y76</f>
        <v>0</v>
      </c>
      <c r="U74">
        <f>ROUND((175/100)*ROUND(Source!R75, 2), 2)</f>
        <v>0</v>
      </c>
      <c r="V74">
        <f>ROUND((0/100)*ROUND(Source!R76, 2), 2)</f>
        <v>0</v>
      </c>
      <c r="AC74">
        <v>3</v>
      </c>
    </row>
    <row r="75" spans="1:29" ht="15" x14ac:dyDescent="0.2">
      <c r="C75" s="47" t="s">
        <v>666</v>
      </c>
      <c r="H75" s="48">
        <f>I74+0</f>
        <v>6364.68</v>
      </c>
      <c r="I75" s="48"/>
      <c r="J75" s="48">
        <f>K74+0</f>
        <v>62883.040000000001</v>
      </c>
      <c r="K75" s="48"/>
      <c r="O75" s="51">
        <f>I74+0</f>
        <v>6364.68</v>
      </c>
      <c r="P75" s="51">
        <f>K74+0</f>
        <v>62883.040000000001</v>
      </c>
    </row>
    <row r="77" spans="1:29" ht="82.5" x14ac:dyDescent="0.2">
      <c r="A77" s="42">
        <v>8</v>
      </c>
      <c r="B77" s="42" t="str">
        <f>Source!F77</f>
        <v>КА-4</v>
      </c>
      <c r="C77" s="42" t="s">
        <v>674</v>
      </c>
      <c r="D77" s="43" t="str">
        <f>Source!H77</f>
        <v>ШТ</v>
      </c>
      <c r="E77" s="44">
        <f>Source!I77</f>
        <v>20</v>
      </c>
      <c r="F77" s="45">
        <f>Source!AL77</f>
        <v>3714.01</v>
      </c>
      <c r="G77" s="46" t="str">
        <f>Source!DD77</f>
        <v/>
      </c>
      <c r="H77" s="44">
        <f>Source!AW78</f>
        <v>1</v>
      </c>
      <c r="I77" s="45">
        <f>Source!P77</f>
        <v>74280.2</v>
      </c>
      <c r="J77" s="44">
        <f>IF(Source!BC78&lt;&gt; 0, Source!BC78, 1)</f>
        <v>9.8800000000000008</v>
      </c>
      <c r="K77" s="45">
        <f>Source!P78</f>
        <v>733888.38</v>
      </c>
      <c r="Q77">
        <f>Source!X77</f>
        <v>0</v>
      </c>
      <c r="R77">
        <f>Source!X78</f>
        <v>0</v>
      </c>
      <c r="S77">
        <f>Source!Y77</f>
        <v>0</v>
      </c>
      <c r="T77">
        <f>Source!Y78</f>
        <v>0</v>
      </c>
      <c r="U77">
        <f>ROUND((175/100)*ROUND(Source!R77, 2), 2)</f>
        <v>0</v>
      </c>
      <c r="V77">
        <f>ROUND((0/100)*ROUND(Source!R78, 2), 2)</f>
        <v>0</v>
      </c>
      <c r="AC77">
        <v>3</v>
      </c>
    </row>
    <row r="78" spans="1:29" ht="15" x14ac:dyDescent="0.2">
      <c r="C78" s="47" t="s">
        <v>666</v>
      </c>
      <c r="H78" s="48">
        <f>I77+0</f>
        <v>74280.2</v>
      </c>
      <c r="I78" s="48"/>
      <c r="J78" s="48">
        <f>K77+0</f>
        <v>733888.38</v>
      </c>
      <c r="K78" s="48"/>
      <c r="O78" s="51">
        <f>I77+0</f>
        <v>74280.2</v>
      </c>
      <c r="P78" s="51">
        <f>K77+0</f>
        <v>733888.38</v>
      </c>
    </row>
    <row r="80" spans="1:29" ht="69.75" x14ac:dyDescent="0.2">
      <c r="A80" s="42">
        <v>9</v>
      </c>
      <c r="B80" s="42" t="str">
        <f>Source!F79</f>
        <v>КА-5</v>
      </c>
      <c r="C80" s="42" t="s">
        <v>675</v>
      </c>
      <c r="D80" s="43" t="str">
        <f>Source!H79</f>
        <v>ШТ</v>
      </c>
      <c r="E80" s="44">
        <f>Source!I79</f>
        <v>1</v>
      </c>
      <c r="F80" s="45">
        <f>Source!AL79</f>
        <v>988.51</v>
      </c>
      <c r="G80" s="46" t="str">
        <f>Source!DD79</f>
        <v/>
      </c>
      <c r="H80" s="44">
        <f>Source!AW80</f>
        <v>1</v>
      </c>
      <c r="I80" s="45">
        <f>Source!P79</f>
        <v>988.51</v>
      </c>
      <c r="J80" s="44">
        <f>IF(Source!BC80&lt;&gt; 0, Source!BC80, 1)</f>
        <v>9.8800000000000008</v>
      </c>
      <c r="K80" s="45">
        <f>Source!P80</f>
        <v>9766.48</v>
      </c>
      <c r="Q80">
        <f>Source!X79</f>
        <v>0</v>
      </c>
      <c r="R80">
        <f>Source!X80</f>
        <v>0</v>
      </c>
      <c r="S80">
        <f>Source!Y79</f>
        <v>0</v>
      </c>
      <c r="T80">
        <f>Source!Y80</f>
        <v>0</v>
      </c>
      <c r="U80">
        <f>ROUND((175/100)*ROUND(Source!R79, 2), 2)</f>
        <v>0</v>
      </c>
      <c r="V80">
        <f>ROUND((0/100)*ROUND(Source!R80, 2), 2)</f>
        <v>0</v>
      </c>
      <c r="AC80">
        <v>3</v>
      </c>
    </row>
    <row r="81" spans="1:29" ht="15" x14ac:dyDescent="0.2">
      <c r="C81" s="47" t="s">
        <v>666</v>
      </c>
      <c r="H81" s="48">
        <f>I80+0</f>
        <v>988.51</v>
      </c>
      <c r="I81" s="48"/>
      <c r="J81" s="48">
        <f>K80+0</f>
        <v>9766.48</v>
      </c>
      <c r="K81" s="48"/>
      <c r="O81" s="51">
        <f>I80+0</f>
        <v>988.51</v>
      </c>
      <c r="P81" s="51">
        <f>K80+0</f>
        <v>9766.48</v>
      </c>
    </row>
    <row r="83" spans="1:29" ht="82.5" x14ac:dyDescent="0.2">
      <c r="A83" s="42">
        <v>10</v>
      </c>
      <c r="B83" s="42" t="str">
        <f>Source!F81</f>
        <v>КА-6</v>
      </c>
      <c r="C83" s="42" t="s">
        <v>676</v>
      </c>
      <c r="D83" s="43" t="str">
        <f>Source!H81</f>
        <v>ШТ</v>
      </c>
      <c r="E83" s="44">
        <f>Source!I81</f>
        <v>9</v>
      </c>
      <c r="F83" s="45">
        <f>Source!AL81</f>
        <v>1646.6599999999999</v>
      </c>
      <c r="G83" s="46" t="str">
        <f>Source!DD81</f>
        <v/>
      </c>
      <c r="H83" s="44">
        <f>Source!AW82</f>
        <v>1</v>
      </c>
      <c r="I83" s="45">
        <f>Source!P81</f>
        <v>14819.94</v>
      </c>
      <c r="J83" s="44">
        <f>IF(Source!BC82&lt;&gt; 0, Source!BC82, 1)</f>
        <v>9.8800000000000008</v>
      </c>
      <c r="K83" s="45">
        <f>Source!P82</f>
        <v>146421.01</v>
      </c>
      <c r="Q83">
        <f>Source!X81</f>
        <v>0</v>
      </c>
      <c r="R83">
        <f>Source!X82</f>
        <v>0</v>
      </c>
      <c r="S83">
        <f>Source!Y81</f>
        <v>0</v>
      </c>
      <c r="T83">
        <f>Source!Y82</f>
        <v>0</v>
      </c>
      <c r="U83">
        <f>ROUND((175/100)*ROUND(Source!R81, 2), 2)</f>
        <v>0</v>
      </c>
      <c r="V83">
        <f>ROUND((0/100)*ROUND(Source!R82, 2), 2)</f>
        <v>0</v>
      </c>
      <c r="AC83">
        <v>3</v>
      </c>
    </row>
    <row r="84" spans="1:29" ht="15" x14ac:dyDescent="0.2">
      <c r="C84" s="47" t="s">
        <v>666</v>
      </c>
      <c r="H84" s="48">
        <f>I83+0</f>
        <v>14819.94</v>
      </c>
      <c r="I84" s="48"/>
      <c r="J84" s="48">
        <f>K83+0</f>
        <v>146421.01</v>
      </c>
      <c r="K84" s="48"/>
      <c r="O84" s="51">
        <f>I83+0</f>
        <v>14819.94</v>
      </c>
      <c r="P84" s="51">
        <f>K83+0</f>
        <v>146421.01</v>
      </c>
    </row>
    <row r="86" spans="1:29" ht="42.75" x14ac:dyDescent="0.2">
      <c r="A86" s="35">
        <v>11</v>
      </c>
      <c r="B86" s="35" t="str">
        <f>Source!F83</f>
        <v>3.18-25-1</v>
      </c>
      <c r="C86" s="35" t="s">
        <v>95</v>
      </c>
      <c r="D86" s="37" t="str">
        <f>Source!H83</f>
        <v>100 шт.</v>
      </c>
      <c r="E86" s="36">
        <f>Source!I83</f>
        <v>0.1</v>
      </c>
      <c r="F86" s="39"/>
      <c r="G86" s="38"/>
      <c r="H86" s="36"/>
      <c r="I86" s="39"/>
      <c r="J86" s="36"/>
      <c r="K86" s="39"/>
      <c r="Q86">
        <f>Source!X83</f>
        <v>136.5</v>
      </c>
      <c r="R86">
        <f>Source!X84</f>
        <v>7506.17</v>
      </c>
      <c r="S86">
        <f>Source!Y83</f>
        <v>76.39</v>
      </c>
      <c r="T86">
        <f>Source!Y84</f>
        <v>4200.7</v>
      </c>
      <c r="U86">
        <f>ROUND((175/100)*ROUND(Source!R83, 2), 2)</f>
        <v>2.64</v>
      </c>
      <c r="V86">
        <f>ROUND((0/100)*ROUND(Source!R84, 2), 2)</f>
        <v>0</v>
      </c>
      <c r="AC86">
        <v>0</v>
      </c>
    </row>
    <row r="87" spans="1:29" x14ac:dyDescent="0.2">
      <c r="C87" s="40" t="str">
        <f>"Объем: "&amp;Source!I83&amp;"=(1+"&amp;"2+"&amp;"1+"&amp;"1+"&amp;"3+"&amp;"2)/"&amp;"100"</f>
        <v>Объем: 0,1=(1+2+1+1+3+2)/100</v>
      </c>
    </row>
    <row r="88" spans="1:29" ht="28.5" x14ac:dyDescent="0.2">
      <c r="A88" s="35"/>
      <c r="B88" s="35"/>
      <c r="C88" s="35" t="s">
        <v>655</v>
      </c>
      <c r="D88" s="37"/>
      <c r="E88" s="36"/>
      <c r="F88" s="39">
        <f>Source!AO83</f>
        <v>916.6</v>
      </c>
      <c r="G88" s="38" t="str">
        <f>Source!DG83</f>
        <v>*1,15)*1,1</v>
      </c>
      <c r="H88" s="36">
        <f>Source!AV84</f>
        <v>1.0669999999999999</v>
      </c>
      <c r="I88" s="39">
        <f>Source!S83</f>
        <v>123.72</v>
      </c>
      <c r="J88" s="36">
        <f>IF(Source!BA84&lt;&gt; 0, Source!BA84, 1)</f>
        <v>54.99</v>
      </c>
      <c r="K88" s="39">
        <f>Source!S84</f>
        <v>6803.36</v>
      </c>
    </row>
    <row r="89" spans="1:29" ht="28.5" x14ac:dyDescent="0.2">
      <c r="A89" s="35"/>
      <c r="B89" s="35"/>
      <c r="C89" s="35" t="s">
        <v>656</v>
      </c>
      <c r="D89" s="37"/>
      <c r="E89" s="36"/>
      <c r="F89" s="39">
        <f>Source!AM83</f>
        <v>95.35</v>
      </c>
      <c r="G89" s="38" t="str">
        <f>Source!DE83</f>
        <v>*1,25)*1,1</v>
      </c>
      <c r="H89" s="36">
        <f>Source!AV84</f>
        <v>1.0669999999999999</v>
      </c>
      <c r="I89" s="39">
        <f>Source!Q83</f>
        <v>13.99</v>
      </c>
      <c r="J89" s="36">
        <f>IF(Source!BB84&lt;&gt; 0, Source!BB84, 1)</f>
        <v>14.33</v>
      </c>
      <c r="K89" s="39">
        <f>Source!Q84</f>
        <v>200.48</v>
      </c>
    </row>
    <row r="90" spans="1:29" ht="28.5" x14ac:dyDescent="0.2">
      <c r="A90" s="35"/>
      <c r="B90" s="35"/>
      <c r="C90" s="35" t="s">
        <v>657</v>
      </c>
      <c r="D90" s="37"/>
      <c r="E90" s="36"/>
      <c r="F90" s="39">
        <f>Source!AN83</f>
        <v>10.3</v>
      </c>
      <c r="G90" s="38" t="str">
        <f>Source!DF83</f>
        <v>*1,25)*1,1</v>
      </c>
      <c r="H90" s="36">
        <f>Source!AV84</f>
        <v>1.0669999999999999</v>
      </c>
      <c r="I90" s="41">
        <f>Source!R83</f>
        <v>1.51</v>
      </c>
      <c r="J90" s="36">
        <f>IF(Source!BS84&lt;&gt; 0, Source!BS84, 1)</f>
        <v>54.99</v>
      </c>
      <c r="K90" s="41">
        <f>Source!R84</f>
        <v>83.03</v>
      </c>
    </row>
    <row r="91" spans="1:29" ht="14.25" x14ac:dyDescent="0.2">
      <c r="A91" s="35"/>
      <c r="B91" s="35"/>
      <c r="C91" s="35" t="s">
        <v>658</v>
      </c>
      <c r="D91" s="37"/>
      <c r="E91" s="36"/>
      <c r="F91" s="39">
        <f>Source!AL83</f>
        <v>2078.9</v>
      </c>
      <c r="G91" s="38" t="str">
        <f>Source!DD83</f>
        <v/>
      </c>
      <c r="H91" s="36">
        <f>Source!AW84</f>
        <v>1</v>
      </c>
      <c r="I91" s="39">
        <f>Source!P83</f>
        <v>207.89</v>
      </c>
      <c r="J91" s="36">
        <f>IF(Source!BC84&lt;&gt; 0, Source!BC84, 1)</f>
        <v>20.59</v>
      </c>
      <c r="K91" s="39">
        <f>Source!P84</f>
        <v>4280.46</v>
      </c>
    </row>
    <row r="92" spans="1:29" ht="14.25" x14ac:dyDescent="0.2">
      <c r="A92" s="35"/>
      <c r="B92" s="35"/>
      <c r="C92" s="35" t="s">
        <v>659</v>
      </c>
      <c r="D92" s="37" t="s">
        <v>660</v>
      </c>
      <c r="E92" s="36">
        <f>Source!BZ84</f>
        <v>109</v>
      </c>
      <c r="F92" s="39"/>
      <c r="G92" s="38"/>
      <c r="H92" s="36"/>
      <c r="I92" s="39">
        <f>SUM(Q86:Q91)</f>
        <v>136.5</v>
      </c>
      <c r="J92" s="36">
        <f>Source!AT84</f>
        <v>109</v>
      </c>
      <c r="K92" s="39">
        <f>SUM(R86:R91)</f>
        <v>7506.17</v>
      </c>
    </row>
    <row r="93" spans="1:29" ht="14.25" x14ac:dyDescent="0.2">
      <c r="A93" s="35"/>
      <c r="B93" s="35"/>
      <c r="C93" s="35" t="s">
        <v>661</v>
      </c>
      <c r="D93" s="37" t="s">
        <v>660</v>
      </c>
      <c r="E93" s="36">
        <f>Source!CA84</f>
        <v>61</v>
      </c>
      <c r="F93" s="39"/>
      <c r="G93" s="38"/>
      <c r="H93" s="36"/>
      <c r="I93" s="39">
        <f>SUM(S86:S92)</f>
        <v>76.39</v>
      </c>
      <c r="J93" s="36">
        <f>Source!AU84</f>
        <v>61</v>
      </c>
      <c r="K93" s="39">
        <f>SUM(T86:T92)</f>
        <v>4200.7</v>
      </c>
    </row>
    <row r="94" spans="1:29" ht="28.5" x14ac:dyDescent="0.2">
      <c r="A94" s="42"/>
      <c r="B94" s="42"/>
      <c r="C94" s="42" t="s">
        <v>662</v>
      </c>
      <c r="D94" s="43" t="s">
        <v>663</v>
      </c>
      <c r="E94" s="44">
        <f>Source!AQ83</f>
        <v>74.7</v>
      </c>
      <c r="F94" s="45"/>
      <c r="G94" s="46" t="str">
        <f>Source!DI83</f>
        <v>*1,15)*1,1</v>
      </c>
      <c r="H94" s="44">
        <f>Source!AV84</f>
        <v>1.0669999999999999</v>
      </c>
      <c r="I94" s="45">
        <f>Source!U83</f>
        <v>10.082669850000002</v>
      </c>
      <c r="J94" s="44"/>
      <c r="K94" s="45"/>
    </row>
    <row r="95" spans="1:29" ht="15" x14ac:dyDescent="0.2">
      <c r="C95" s="47" t="s">
        <v>664</v>
      </c>
      <c r="H95" s="48">
        <f>I88+I89+I91+I92+I93+0-0-0</f>
        <v>558.49</v>
      </c>
      <c r="I95" s="48"/>
      <c r="J95" s="48">
        <f>K88+K89+K91+K92+K93+0-0-0</f>
        <v>22991.170000000002</v>
      </c>
      <c r="K95" s="48"/>
    </row>
    <row r="96" spans="1:29" ht="15" hidden="1" x14ac:dyDescent="0.2">
      <c r="C96" s="47" t="s">
        <v>665</v>
      </c>
      <c r="H96" s="50">
        <f>0+0</f>
        <v>0</v>
      </c>
      <c r="I96" s="50"/>
      <c r="J96" s="50">
        <f>0+0</f>
        <v>0</v>
      </c>
      <c r="K96" s="50"/>
    </row>
    <row r="97" spans="1:29" ht="15" x14ac:dyDescent="0.2">
      <c r="C97" s="47" t="s">
        <v>666</v>
      </c>
      <c r="H97" s="50">
        <f>I88+I89+I91+I92+I93+0</f>
        <v>558.49</v>
      </c>
      <c r="I97" s="50"/>
      <c r="J97" s="50">
        <f>K88+K89+K91+K92+K93+0</f>
        <v>22991.170000000002</v>
      </c>
      <c r="K97" s="50"/>
      <c r="O97" s="51">
        <f>I88+I89+I91+I92+I93+0</f>
        <v>558.49</v>
      </c>
      <c r="P97" s="51">
        <f>K88+K89+K91+K92+K93+0</f>
        <v>22991.170000000002</v>
      </c>
    </row>
    <row r="99" spans="1:29" ht="69.75" x14ac:dyDescent="0.2">
      <c r="A99" s="42">
        <v>12</v>
      </c>
      <c r="B99" s="42" t="str">
        <f>Source!F85</f>
        <v>КА-7</v>
      </c>
      <c r="C99" s="42" t="s">
        <v>677</v>
      </c>
      <c r="D99" s="43" t="str">
        <f>Source!H85</f>
        <v>ШТ</v>
      </c>
      <c r="E99" s="44">
        <f>Source!I85</f>
        <v>1</v>
      </c>
      <c r="F99" s="45">
        <f>Source!AL85</f>
        <v>345.84999999999997</v>
      </c>
      <c r="G99" s="46" t="str">
        <f>Source!DD85</f>
        <v/>
      </c>
      <c r="H99" s="44">
        <f>Source!AW86</f>
        <v>1</v>
      </c>
      <c r="I99" s="45">
        <f>Source!P85</f>
        <v>345.85</v>
      </c>
      <c r="J99" s="44">
        <f>IF(Source!BC86&lt;&gt; 0, Source!BC86, 1)</f>
        <v>9.8800000000000008</v>
      </c>
      <c r="K99" s="45">
        <f>Source!P86</f>
        <v>3417</v>
      </c>
      <c r="Q99">
        <f>Source!X85</f>
        <v>0</v>
      </c>
      <c r="R99">
        <f>Source!X86</f>
        <v>0</v>
      </c>
      <c r="S99">
        <f>Source!Y85</f>
        <v>0</v>
      </c>
      <c r="T99">
        <f>Source!Y86</f>
        <v>0</v>
      </c>
      <c r="U99">
        <f>ROUND((175/100)*ROUND(Source!R85, 2), 2)</f>
        <v>0</v>
      </c>
      <c r="V99">
        <f>ROUND((0/100)*ROUND(Source!R86, 2), 2)</f>
        <v>0</v>
      </c>
      <c r="AC99">
        <v>3</v>
      </c>
    </row>
    <row r="100" spans="1:29" ht="15" x14ac:dyDescent="0.2">
      <c r="C100" s="47" t="s">
        <v>666</v>
      </c>
      <c r="H100" s="48">
        <f>I99+0</f>
        <v>345.85</v>
      </c>
      <c r="I100" s="48"/>
      <c r="J100" s="48">
        <f>K99+0</f>
        <v>3417</v>
      </c>
      <c r="K100" s="48"/>
      <c r="O100" s="51">
        <f>I99+0</f>
        <v>345.85</v>
      </c>
      <c r="P100" s="51">
        <f>K99+0</f>
        <v>3417</v>
      </c>
    </row>
    <row r="102" spans="1:29" ht="69.75" x14ac:dyDescent="0.2">
      <c r="A102" s="42">
        <v>13</v>
      </c>
      <c r="B102" s="42" t="str">
        <f>Source!F87</f>
        <v>КА-8</v>
      </c>
      <c r="C102" s="42" t="s">
        <v>678</v>
      </c>
      <c r="D102" s="43" t="str">
        <f>Source!H87</f>
        <v>ШТ</v>
      </c>
      <c r="E102" s="44">
        <f>Source!I87</f>
        <v>2</v>
      </c>
      <c r="F102" s="45">
        <f>Source!AL87</f>
        <v>351.87</v>
      </c>
      <c r="G102" s="46" t="str">
        <f>Source!DD87</f>
        <v/>
      </c>
      <c r="H102" s="44">
        <f>Source!AW88</f>
        <v>1</v>
      </c>
      <c r="I102" s="45">
        <f>Source!P87</f>
        <v>703.74</v>
      </c>
      <c r="J102" s="44">
        <f>IF(Source!BC88&lt;&gt; 0, Source!BC88, 1)</f>
        <v>9.8800000000000008</v>
      </c>
      <c r="K102" s="45">
        <f>Source!P88</f>
        <v>6952.95</v>
      </c>
      <c r="Q102">
        <f>Source!X87</f>
        <v>0</v>
      </c>
      <c r="R102">
        <f>Source!X88</f>
        <v>0</v>
      </c>
      <c r="S102">
        <f>Source!Y87</f>
        <v>0</v>
      </c>
      <c r="T102">
        <f>Source!Y88</f>
        <v>0</v>
      </c>
      <c r="U102">
        <f>ROUND((175/100)*ROUND(Source!R87, 2), 2)</f>
        <v>0</v>
      </c>
      <c r="V102">
        <f>ROUND((0/100)*ROUND(Source!R88, 2), 2)</f>
        <v>0</v>
      </c>
      <c r="AC102">
        <v>3</v>
      </c>
    </row>
    <row r="103" spans="1:29" ht="15" x14ac:dyDescent="0.2">
      <c r="C103" s="47" t="s">
        <v>666</v>
      </c>
      <c r="H103" s="48">
        <f>I102+0</f>
        <v>703.74</v>
      </c>
      <c r="I103" s="48"/>
      <c r="J103" s="48">
        <f>K102+0</f>
        <v>6952.95</v>
      </c>
      <c r="K103" s="48"/>
      <c r="O103" s="51">
        <f>I102+0</f>
        <v>703.74</v>
      </c>
      <c r="P103" s="51">
        <f>K102+0</f>
        <v>6952.95</v>
      </c>
    </row>
    <row r="105" spans="1:29" ht="69.75" x14ac:dyDescent="0.2">
      <c r="A105" s="42">
        <v>14</v>
      </c>
      <c r="B105" s="42" t="str">
        <f>Source!F89</f>
        <v>КА-9</v>
      </c>
      <c r="C105" s="42" t="s">
        <v>679</v>
      </c>
      <c r="D105" s="43" t="str">
        <f>Source!H89</f>
        <v>ШТ</v>
      </c>
      <c r="E105" s="44">
        <f>Source!I89</f>
        <v>1</v>
      </c>
      <c r="F105" s="45">
        <f>Source!AL89</f>
        <v>417.26</v>
      </c>
      <c r="G105" s="46" t="str">
        <f>Source!DD89</f>
        <v/>
      </c>
      <c r="H105" s="44">
        <f>Source!AW90</f>
        <v>1</v>
      </c>
      <c r="I105" s="45">
        <f>Source!P89</f>
        <v>417.26</v>
      </c>
      <c r="J105" s="44">
        <f>IF(Source!BC90&lt;&gt; 0, Source!BC90, 1)</f>
        <v>9.8800000000000008</v>
      </c>
      <c r="K105" s="45">
        <f>Source!P90</f>
        <v>4122.53</v>
      </c>
      <c r="Q105">
        <f>Source!X89</f>
        <v>0</v>
      </c>
      <c r="R105">
        <f>Source!X90</f>
        <v>0</v>
      </c>
      <c r="S105">
        <f>Source!Y89</f>
        <v>0</v>
      </c>
      <c r="T105">
        <f>Source!Y90</f>
        <v>0</v>
      </c>
      <c r="U105">
        <f>ROUND((175/100)*ROUND(Source!R89, 2), 2)</f>
        <v>0</v>
      </c>
      <c r="V105">
        <f>ROUND((0/100)*ROUND(Source!R90, 2), 2)</f>
        <v>0</v>
      </c>
      <c r="AC105">
        <v>3</v>
      </c>
    </row>
    <row r="106" spans="1:29" ht="15" x14ac:dyDescent="0.2">
      <c r="C106" s="47" t="s">
        <v>666</v>
      </c>
      <c r="H106" s="48">
        <f>I105+0</f>
        <v>417.26</v>
      </c>
      <c r="I106" s="48"/>
      <c r="J106" s="48">
        <f>K105+0</f>
        <v>4122.53</v>
      </c>
      <c r="K106" s="48"/>
      <c r="O106" s="51">
        <f>I105+0</f>
        <v>417.26</v>
      </c>
      <c r="P106" s="51">
        <f>K105+0</f>
        <v>4122.53</v>
      </c>
    </row>
    <row r="108" spans="1:29" ht="69.75" x14ac:dyDescent="0.2">
      <c r="A108" s="42">
        <v>15</v>
      </c>
      <c r="B108" s="42" t="str">
        <f>Source!F91</f>
        <v>КА-10</v>
      </c>
      <c r="C108" s="42" t="s">
        <v>680</v>
      </c>
      <c r="D108" s="43" t="str">
        <f>Source!H91</f>
        <v>ШТ</v>
      </c>
      <c r="E108" s="44">
        <f>Source!I91</f>
        <v>1</v>
      </c>
      <c r="F108" s="45">
        <f>Source!AL91</f>
        <v>503.29</v>
      </c>
      <c r="G108" s="46" t="str">
        <f>Source!DD91</f>
        <v/>
      </c>
      <c r="H108" s="44">
        <f>Source!AW92</f>
        <v>1</v>
      </c>
      <c r="I108" s="45">
        <f>Source!P91</f>
        <v>503.29</v>
      </c>
      <c r="J108" s="44">
        <f>IF(Source!BC92&lt;&gt; 0, Source!BC92, 1)</f>
        <v>9.8800000000000008</v>
      </c>
      <c r="K108" s="45">
        <f>Source!P92</f>
        <v>4972.51</v>
      </c>
      <c r="Q108">
        <f>Source!X91</f>
        <v>0</v>
      </c>
      <c r="R108">
        <f>Source!X92</f>
        <v>0</v>
      </c>
      <c r="S108">
        <f>Source!Y91</f>
        <v>0</v>
      </c>
      <c r="T108">
        <f>Source!Y92</f>
        <v>0</v>
      </c>
      <c r="U108">
        <f>ROUND((175/100)*ROUND(Source!R91, 2), 2)</f>
        <v>0</v>
      </c>
      <c r="V108">
        <f>ROUND((0/100)*ROUND(Source!R92, 2), 2)</f>
        <v>0</v>
      </c>
      <c r="AC108">
        <v>3</v>
      </c>
    </row>
    <row r="109" spans="1:29" ht="15" x14ac:dyDescent="0.2">
      <c r="C109" s="47" t="s">
        <v>666</v>
      </c>
      <c r="H109" s="48">
        <f>I108+0</f>
        <v>503.29</v>
      </c>
      <c r="I109" s="48"/>
      <c r="J109" s="48">
        <f>K108+0</f>
        <v>4972.51</v>
      </c>
      <c r="K109" s="48"/>
      <c r="O109" s="51">
        <f>I108+0</f>
        <v>503.29</v>
      </c>
      <c r="P109" s="51">
        <f>K108+0</f>
        <v>4972.51</v>
      </c>
    </row>
    <row r="111" spans="1:29" ht="69.75" x14ac:dyDescent="0.2">
      <c r="A111" s="42">
        <v>16</v>
      </c>
      <c r="B111" s="42" t="str">
        <f>Source!F93</f>
        <v>КА-11</v>
      </c>
      <c r="C111" s="42" t="s">
        <v>681</v>
      </c>
      <c r="D111" s="43" t="str">
        <f>Source!H93</f>
        <v>ШТ</v>
      </c>
      <c r="E111" s="44">
        <f>Source!I93</f>
        <v>3</v>
      </c>
      <c r="F111" s="45">
        <f>Source!AL93</f>
        <v>572.12</v>
      </c>
      <c r="G111" s="46" t="str">
        <f>Source!DD93</f>
        <v/>
      </c>
      <c r="H111" s="44">
        <f>Source!AW94</f>
        <v>1</v>
      </c>
      <c r="I111" s="45">
        <f>Source!P93</f>
        <v>1716.36</v>
      </c>
      <c r="J111" s="44">
        <f>IF(Source!BC94&lt;&gt; 0, Source!BC94, 1)</f>
        <v>9.8800000000000008</v>
      </c>
      <c r="K111" s="45">
        <f>Source!P94</f>
        <v>16957.64</v>
      </c>
      <c r="Q111">
        <f>Source!X93</f>
        <v>0</v>
      </c>
      <c r="R111">
        <f>Source!X94</f>
        <v>0</v>
      </c>
      <c r="S111">
        <f>Source!Y93</f>
        <v>0</v>
      </c>
      <c r="T111">
        <f>Source!Y94</f>
        <v>0</v>
      </c>
      <c r="U111">
        <f>ROUND((175/100)*ROUND(Source!R93, 2), 2)</f>
        <v>0</v>
      </c>
      <c r="V111">
        <f>ROUND((0/100)*ROUND(Source!R94, 2), 2)</f>
        <v>0</v>
      </c>
      <c r="AC111">
        <v>3</v>
      </c>
    </row>
    <row r="112" spans="1:29" ht="15" x14ac:dyDescent="0.2">
      <c r="C112" s="47" t="s">
        <v>666</v>
      </c>
      <c r="H112" s="48">
        <f>I111+0</f>
        <v>1716.36</v>
      </c>
      <c r="I112" s="48"/>
      <c r="J112" s="48">
        <f>K111+0</f>
        <v>16957.64</v>
      </c>
      <c r="K112" s="48"/>
      <c r="O112" s="51">
        <f>I111+0</f>
        <v>1716.36</v>
      </c>
      <c r="P112" s="51">
        <f>K111+0</f>
        <v>16957.64</v>
      </c>
    </row>
    <row r="114" spans="1:29" ht="69.75" x14ac:dyDescent="0.2">
      <c r="A114" s="42">
        <v>17</v>
      </c>
      <c r="B114" s="42" t="str">
        <f>Source!F95</f>
        <v>КА-12</v>
      </c>
      <c r="C114" s="42" t="s">
        <v>682</v>
      </c>
      <c r="D114" s="43" t="str">
        <f>Source!H95</f>
        <v>ШТ</v>
      </c>
      <c r="E114" s="44">
        <f>Source!I95</f>
        <v>2</v>
      </c>
      <c r="F114" s="45">
        <f>Source!AL95</f>
        <v>644.39</v>
      </c>
      <c r="G114" s="46" t="str">
        <f>Source!DD95</f>
        <v/>
      </c>
      <c r="H114" s="44">
        <f>Source!AW96</f>
        <v>1</v>
      </c>
      <c r="I114" s="45">
        <f>Source!P95</f>
        <v>1288.78</v>
      </c>
      <c r="J114" s="44">
        <f>IF(Source!BC96&lt;&gt; 0, Source!BC96, 1)</f>
        <v>9.8800000000000008</v>
      </c>
      <c r="K114" s="45">
        <f>Source!P96</f>
        <v>12733.15</v>
      </c>
      <c r="Q114">
        <f>Source!X95</f>
        <v>0</v>
      </c>
      <c r="R114">
        <f>Source!X96</f>
        <v>0</v>
      </c>
      <c r="S114">
        <f>Source!Y95</f>
        <v>0</v>
      </c>
      <c r="T114">
        <f>Source!Y96</f>
        <v>0</v>
      </c>
      <c r="U114">
        <f>ROUND((175/100)*ROUND(Source!R95, 2), 2)</f>
        <v>0</v>
      </c>
      <c r="V114">
        <f>ROUND((0/100)*ROUND(Source!R96, 2), 2)</f>
        <v>0</v>
      </c>
      <c r="AC114">
        <v>3</v>
      </c>
    </row>
    <row r="115" spans="1:29" ht="15" x14ac:dyDescent="0.2">
      <c r="C115" s="47" t="s">
        <v>666</v>
      </c>
      <c r="H115" s="48">
        <f>I114+0</f>
        <v>1288.78</v>
      </c>
      <c r="I115" s="48"/>
      <c r="J115" s="48">
        <f>K114+0</f>
        <v>12733.15</v>
      </c>
      <c r="K115" s="48"/>
      <c r="O115" s="51">
        <f>I114+0</f>
        <v>1288.78</v>
      </c>
      <c r="P115" s="51">
        <f>K114+0</f>
        <v>12733.15</v>
      </c>
    </row>
    <row r="117" spans="1:29" ht="42.75" x14ac:dyDescent="0.2">
      <c r="A117" s="35">
        <v>18</v>
      </c>
      <c r="B117" s="35" t="str">
        <f>Source!F97</f>
        <v>3.18-25-1</v>
      </c>
      <c r="C117" s="35" t="s">
        <v>95</v>
      </c>
      <c r="D117" s="37" t="str">
        <f>Source!H97</f>
        <v>100 шт.</v>
      </c>
      <c r="E117" s="36">
        <f>Source!I97</f>
        <v>0.16</v>
      </c>
      <c r="F117" s="39"/>
      <c r="G117" s="38"/>
      <c r="H117" s="36"/>
      <c r="I117" s="39"/>
      <c r="J117" s="36"/>
      <c r="K117" s="39"/>
      <c r="Q117">
        <f>Source!X97</f>
        <v>218.4</v>
      </c>
      <c r="R117">
        <f>Source!X98</f>
        <v>12010</v>
      </c>
      <c r="S117">
        <f>Source!Y97</f>
        <v>122.23</v>
      </c>
      <c r="T117">
        <f>Source!Y98</f>
        <v>6721.19</v>
      </c>
      <c r="U117">
        <f>ROUND((175/100)*ROUND(Source!R97, 2), 2)</f>
        <v>4.24</v>
      </c>
      <c r="V117">
        <f>ROUND((0/100)*ROUND(Source!R98, 2), 2)</f>
        <v>0</v>
      </c>
      <c r="AC117">
        <v>0</v>
      </c>
    </row>
    <row r="118" spans="1:29" x14ac:dyDescent="0.2">
      <c r="C118" s="40" t="str">
        <f>"Объем: "&amp;Source!I97&amp;"=(1+"&amp;"5+"&amp;"8+"&amp;"2)/"&amp;"100"</f>
        <v>Объем: 0,16=(1+5+8+2)/100</v>
      </c>
    </row>
    <row r="119" spans="1:29" ht="28.5" x14ac:dyDescent="0.2">
      <c r="A119" s="35"/>
      <c r="B119" s="35"/>
      <c r="C119" s="35" t="s">
        <v>655</v>
      </c>
      <c r="D119" s="37"/>
      <c r="E119" s="36"/>
      <c r="F119" s="39">
        <f>Source!AO97</f>
        <v>916.6</v>
      </c>
      <c r="G119" s="38" t="str">
        <f>Source!DG97</f>
        <v>*1,15)*1,1</v>
      </c>
      <c r="H119" s="36">
        <f>Source!AV98</f>
        <v>1.0669999999999999</v>
      </c>
      <c r="I119" s="39">
        <f>Source!S97</f>
        <v>197.95</v>
      </c>
      <c r="J119" s="36">
        <f>IF(Source!BA98&lt;&gt; 0, Source!BA98, 1)</f>
        <v>54.99</v>
      </c>
      <c r="K119" s="39">
        <f>Source!S98</f>
        <v>10885.27</v>
      </c>
    </row>
    <row r="120" spans="1:29" ht="28.5" x14ac:dyDescent="0.2">
      <c r="A120" s="35"/>
      <c r="B120" s="35"/>
      <c r="C120" s="35" t="s">
        <v>656</v>
      </c>
      <c r="D120" s="37"/>
      <c r="E120" s="36"/>
      <c r="F120" s="39">
        <f>Source!AM97</f>
        <v>95.35</v>
      </c>
      <c r="G120" s="38" t="str">
        <f>Source!DE97</f>
        <v>*1,25)*1,1</v>
      </c>
      <c r="H120" s="36">
        <f>Source!AV98</f>
        <v>1.0669999999999999</v>
      </c>
      <c r="I120" s="39">
        <f>Source!Q97</f>
        <v>22.38</v>
      </c>
      <c r="J120" s="36">
        <f>IF(Source!BB98&lt;&gt; 0, Source!BB98, 1)</f>
        <v>14.33</v>
      </c>
      <c r="K120" s="39">
        <f>Source!Q98</f>
        <v>320.70999999999998</v>
      </c>
    </row>
    <row r="121" spans="1:29" ht="28.5" x14ac:dyDescent="0.2">
      <c r="A121" s="35"/>
      <c r="B121" s="35"/>
      <c r="C121" s="35" t="s">
        <v>657</v>
      </c>
      <c r="D121" s="37"/>
      <c r="E121" s="36"/>
      <c r="F121" s="39">
        <f>Source!AN97</f>
        <v>10.3</v>
      </c>
      <c r="G121" s="38" t="str">
        <f>Source!DF97</f>
        <v>*1,25)*1,1</v>
      </c>
      <c r="H121" s="36">
        <f>Source!AV98</f>
        <v>1.0669999999999999</v>
      </c>
      <c r="I121" s="41">
        <f>Source!R97</f>
        <v>2.42</v>
      </c>
      <c r="J121" s="36">
        <f>IF(Source!BS98&lt;&gt; 0, Source!BS98, 1)</f>
        <v>54.99</v>
      </c>
      <c r="K121" s="41">
        <f>Source!R98</f>
        <v>133.08000000000001</v>
      </c>
    </row>
    <row r="122" spans="1:29" ht="14.25" x14ac:dyDescent="0.2">
      <c r="A122" s="35"/>
      <c r="B122" s="35"/>
      <c r="C122" s="35" t="s">
        <v>658</v>
      </c>
      <c r="D122" s="37"/>
      <c r="E122" s="36"/>
      <c r="F122" s="39">
        <f>Source!AL97</f>
        <v>2078.9</v>
      </c>
      <c r="G122" s="38" t="str">
        <f>Source!DD97</f>
        <v/>
      </c>
      <c r="H122" s="36">
        <f>Source!AW98</f>
        <v>1</v>
      </c>
      <c r="I122" s="39">
        <f>Source!P97</f>
        <v>332.62</v>
      </c>
      <c r="J122" s="36">
        <f>IF(Source!BC98&lt;&gt; 0, Source!BC98, 1)</f>
        <v>20.59</v>
      </c>
      <c r="K122" s="39">
        <f>Source!P98</f>
        <v>6848.65</v>
      </c>
    </row>
    <row r="123" spans="1:29" ht="14.25" x14ac:dyDescent="0.2">
      <c r="A123" s="35"/>
      <c r="B123" s="35"/>
      <c r="C123" s="35" t="s">
        <v>659</v>
      </c>
      <c r="D123" s="37" t="s">
        <v>660</v>
      </c>
      <c r="E123" s="36">
        <f>Source!BZ98</f>
        <v>109</v>
      </c>
      <c r="F123" s="39"/>
      <c r="G123" s="38"/>
      <c r="H123" s="36"/>
      <c r="I123" s="39">
        <f>SUM(Q117:Q122)</f>
        <v>218.4</v>
      </c>
      <c r="J123" s="36">
        <f>Source!AT98</f>
        <v>109</v>
      </c>
      <c r="K123" s="39">
        <f>SUM(R117:R122)</f>
        <v>12010</v>
      </c>
    </row>
    <row r="124" spans="1:29" ht="14.25" x14ac:dyDescent="0.2">
      <c r="A124" s="35"/>
      <c r="B124" s="35"/>
      <c r="C124" s="35" t="s">
        <v>661</v>
      </c>
      <c r="D124" s="37" t="s">
        <v>660</v>
      </c>
      <c r="E124" s="36">
        <f>Source!CA98</f>
        <v>61</v>
      </c>
      <c r="F124" s="39"/>
      <c r="G124" s="38"/>
      <c r="H124" s="36"/>
      <c r="I124" s="39">
        <f>SUM(S117:S123)</f>
        <v>122.23</v>
      </c>
      <c r="J124" s="36">
        <f>Source!AU98</f>
        <v>61</v>
      </c>
      <c r="K124" s="39">
        <f>SUM(T117:T123)</f>
        <v>6721.19</v>
      </c>
    </row>
    <row r="125" spans="1:29" ht="28.5" x14ac:dyDescent="0.2">
      <c r="A125" s="42"/>
      <c r="B125" s="42"/>
      <c r="C125" s="42" t="s">
        <v>662</v>
      </c>
      <c r="D125" s="43" t="s">
        <v>663</v>
      </c>
      <c r="E125" s="44">
        <f>Source!AQ97</f>
        <v>74.7</v>
      </c>
      <c r="F125" s="45"/>
      <c r="G125" s="46" t="str">
        <f>Source!DI97</f>
        <v>*1,15)*1,1</v>
      </c>
      <c r="H125" s="44">
        <f>Source!AV98</f>
        <v>1.0669999999999999</v>
      </c>
      <c r="I125" s="45">
        <f>Source!U97</f>
        <v>16.132271760000002</v>
      </c>
      <c r="J125" s="44"/>
      <c r="K125" s="45"/>
    </row>
    <row r="126" spans="1:29" ht="15" x14ac:dyDescent="0.2">
      <c r="C126" s="47" t="s">
        <v>664</v>
      </c>
      <c r="H126" s="48">
        <f>I119+I120+I122+I123+I124+0-0-0</f>
        <v>893.58</v>
      </c>
      <c r="I126" s="48"/>
      <c r="J126" s="48">
        <f>K119+K120+K122+K123+K124+0-0-0</f>
        <v>36785.82</v>
      </c>
      <c r="K126" s="48"/>
    </row>
    <row r="127" spans="1:29" ht="15" hidden="1" x14ac:dyDescent="0.2">
      <c r="C127" s="47" t="s">
        <v>665</v>
      </c>
      <c r="H127" s="50">
        <f>0+0</f>
        <v>0</v>
      </c>
      <c r="I127" s="50"/>
      <c r="J127" s="50">
        <f>0+0</f>
        <v>0</v>
      </c>
      <c r="K127" s="50"/>
    </row>
    <row r="128" spans="1:29" ht="15" x14ac:dyDescent="0.2">
      <c r="C128" s="47" t="s">
        <v>666</v>
      </c>
      <c r="H128" s="50">
        <f>I119+I120+I122+I123+I124+0</f>
        <v>893.58</v>
      </c>
      <c r="I128" s="50"/>
      <c r="J128" s="50">
        <f>K119+K120+K122+K123+K124+0</f>
        <v>36785.82</v>
      </c>
      <c r="K128" s="50"/>
      <c r="O128" s="51">
        <f>I119+I120+I122+I123+I124+0</f>
        <v>893.58</v>
      </c>
      <c r="P128" s="51">
        <f>K119+K120+K122+K123+K124+0</f>
        <v>36785.82</v>
      </c>
    </row>
    <row r="130" spans="1:29" ht="69.75" x14ac:dyDescent="0.2">
      <c r="A130" s="42">
        <v>19</v>
      </c>
      <c r="B130" s="42" t="str">
        <f>Source!F99</f>
        <v>КА-13</v>
      </c>
      <c r="C130" s="42" t="s">
        <v>683</v>
      </c>
      <c r="D130" s="43" t="str">
        <f>Source!H99</f>
        <v>ШТ</v>
      </c>
      <c r="E130" s="44">
        <f>Source!I99</f>
        <v>1</v>
      </c>
      <c r="F130" s="45">
        <f>Source!AL99</f>
        <v>271</v>
      </c>
      <c r="G130" s="46" t="str">
        <f>Source!DD99</f>
        <v/>
      </c>
      <c r="H130" s="44">
        <f>Source!AW100</f>
        <v>1</v>
      </c>
      <c r="I130" s="45">
        <f>Source!P99</f>
        <v>271</v>
      </c>
      <c r="J130" s="44">
        <f>IF(Source!BC100&lt;&gt; 0, Source!BC100, 1)</f>
        <v>9.8800000000000008</v>
      </c>
      <c r="K130" s="45">
        <f>Source!P100</f>
        <v>2677.48</v>
      </c>
      <c r="Q130">
        <f>Source!X99</f>
        <v>0</v>
      </c>
      <c r="R130">
        <f>Source!X100</f>
        <v>0</v>
      </c>
      <c r="S130">
        <f>Source!Y99</f>
        <v>0</v>
      </c>
      <c r="T130">
        <f>Source!Y100</f>
        <v>0</v>
      </c>
      <c r="U130">
        <f>ROUND((175/100)*ROUND(Source!R99, 2), 2)</f>
        <v>0</v>
      </c>
      <c r="V130">
        <f>ROUND((0/100)*ROUND(Source!R100, 2), 2)</f>
        <v>0</v>
      </c>
      <c r="AC130">
        <v>3</v>
      </c>
    </row>
    <row r="131" spans="1:29" ht="15" x14ac:dyDescent="0.2">
      <c r="C131" s="47" t="s">
        <v>666</v>
      </c>
      <c r="H131" s="48">
        <f>I130+0</f>
        <v>271</v>
      </c>
      <c r="I131" s="48"/>
      <c r="J131" s="48">
        <f>K130+0</f>
        <v>2677.48</v>
      </c>
      <c r="K131" s="48"/>
      <c r="O131" s="51">
        <f>I130+0</f>
        <v>271</v>
      </c>
      <c r="P131" s="51">
        <f>K130+0</f>
        <v>2677.48</v>
      </c>
    </row>
    <row r="133" spans="1:29" ht="69.75" x14ac:dyDescent="0.2">
      <c r="A133" s="42">
        <v>20</v>
      </c>
      <c r="B133" s="42" t="str">
        <f>Source!F101</f>
        <v>КА-14</v>
      </c>
      <c r="C133" s="42" t="s">
        <v>684</v>
      </c>
      <c r="D133" s="43" t="str">
        <f>Source!H101</f>
        <v>ШТ</v>
      </c>
      <c r="E133" s="44">
        <f>Source!I101</f>
        <v>5</v>
      </c>
      <c r="F133" s="45">
        <f>Source!AL101</f>
        <v>394.89</v>
      </c>
      <c r="G133" s="46" t="str">
        <f>Source!DD101</f>
        <v/>
      </c>
      <c r="H133" s="44">
        <f>Source!AW102</f>
        <v>1</v>
      </c>
      <c r="I133" s="45">
        <f>Source!P101</f>
        <v>1974.45</v>
      </c>
      <c r="J133" s="44">
        <f>IF(Source!BC102&lt;&gt; 0, Source!BC102, 1)</f>
        <v>9.8800000000000008</v>
      </c>
      <c r="K133" s="45">
        <f>Source!P102</f>
        <v>19507.57</v>
      </c>
      <c r="Q133">
        <f>Source!X101</f>
        <v>0</v>
      </c>
      <c r="R133">
        <f>Source!X102</f>
        <v>0</v>
      </c>
      <c r="S133">
        <f>Source!Y101</f>
        <v>0</v>
      </c>
      <c r="T133">
        <f>Source!Y102</f>
        <v>0</v>
      </c>
      <c r="U133">
        <f>ROUND((175/100)*ROUND(Source!R101, 2), 2)</f>
        <v>0</v>
      </c>
      <c r="V133">
        <f>ROUND((0/100)*ROUND(Source!R102, 2), 2)</f>
        <v>0</v>
      </c>
      <c r="AC133">
        <v>3</v>
      </c>
    </row>
    <row r="134" spans="1:29" ht="15" x14ac:dyDescent="0.2">
      <c r="C134" s="47" t="s">
        <v>666</v>
      </c>
      <c r="H134" s="48">
        <f>I133+0</f>
        <v>1974.45</v>
      </c>
      <c r="I134" s="48"/>
      <c r="J134" s="48">
        <f>K133+0</f>
        <v>19507.57</v>
      </c>
      <c r="K134" s="48"/>
      <c r="O134" s="51">
        <f>I133+0</f>
        <v>1974.45</v>
      </c>
      <c r="P134" s="51">
        <f>K133+0</f>
        <v>19507.57</v>
      </c>
    </row>
    <row r="136" spans="1:29" ht="69.75" x14ac:dyDescent="0.2">
      <c r="A136" s="42">
        <v>21</v>
      </c>
      <c r="B136" s="42" t="str">
        <f>Source!F103</f>
        <v>КА-15</v>
      </c>
      <c r="C136" s="42" t="s">
        <v>685</v>
      </c>
      <c r="D136" s="43" t="str">
        <f>Source!H103</f>
        <v>ШТ</v>
      </c>
      <c r="E136" s="44">
        <f>Source!I103</f>
        <v>8</v>
      </c>
      <c r="F136" s="45">
        <f>Source!AL103</f>
        <v>517.91999999999996</v>
      </c>
      <c r="G136" s="46" t="str">
        <f>Source!DD103</f>
        <v/>
      </c>
      <c r="H136" s="44">
        <f>Source!AW104</f>
        <v>1</v>
      </c>
      <c r="I136" s="45">
        <f>Source!P103</f>
        <v>4143.3599999999997</v>
      </c>
      <c r="J136" s="44">
        <f>IF(Source!BC104&lt;&gt; 0, Source!BC104, 1)</f>
        <v>9.8800000000000008</v>
      </c>
      <c r="K136" s="45">
        <f>Source!P104</f>
        <v>40936.400000000001</v>
      </c>
      <c r="Q136">
        <f>Source!X103</f>
        <v>0</v>
      </c>
      <c r="R136">
        <f>Source!X104</f>
        <v>0</v>
      </c>
      <c r="S136">
        <f>Source!Y103</f>
        <v>0</v>
      </c>
      <c r="T136">
        <f>Source!Y104</f>
        <v>0</v>
      </c>
      <c r="U136">
        <f>ROUND((175/100)*ROUND(Source!R103, 2), 2)</f>
        <v>0</v>
      </c>
      <c r="V136">
        <f>ROUND((0/100)*ROUND(Source!R104, 2), 2)</f>
        <v>0</v>
      </c>
      <c r="AC136">
        <v>3</v>
      </c>
    </row>
    <row r="137" spans="1:29" ht="15" x14ac:dyDescent="0.2">
      <c r="C137" s="47" t="s">
        <v>666</v>
      </c>
      <c r="H137" s="48">
        <f>I136+0</f>
        <v>4143.3599999999997</v>
      </c>
      <c r="I137" s="48"/>
      <c r="J137" s="48">
        <f>K136+0</f>
        <v>40936.400000000001</v>
      </c>
      <c r="K137" s="48"/>
      <c r="O137" s="51">
        <f>I136+0</f>
        <v>4143.3599999999997</v>
      </c>
      <c r="P137" s="51">
        <f>K136+0</f>
        <v>40936.400000000001</v>
      </c>
    </row>
    <row r="139" spans="1:29" ht="69.75" x14ac:dyDescent="0.2">
      <c r="A139" s="42">
        <v>22</v>
      </c>
      <c r="B139" s="42" t="str">
        <f>Source!F105</f>
        <v>КА-16</v>
      </c>
      <c r="C139" s="42" t="s">
        <v>686</v>
      </c>
      <c r="D139" s="43" t="str">
        <f>Source!H105</f>
        <v>ШТ</v>
      </c>
      <c r="E139" s="44">
        <f>Source!I105</f>
        <v>2</v>
      </c>
      <c r="F139" s="45">
        <f>Source!AL105</f>
        <v>577.28000000000009</v>
      </c>
      <c r="G139" s="46" t="str">
        <f>Source!DD105</f>
        <v/>
      </c>
      <c r="H139" s="44">
        <f>Source!AW106</f>
        <v>1</v>
      </c>
      <c r="I139" s="45">
        <f>Source!P105</f>
        <v>1154.56</v>
      </c>
      <c r="J139" s="44">
        <f>IF(Source!BC106&lt;&gt; 0, Source!BC106, 1)</f>
        <v>9.8800000000000008</v>
      </c>
      <c r="K139" s="45">
        <f>Source!P106</f>
        <v>11407.05</v>
      </c>
      <c r="Q139">
        <f>Source!X105</f>
        <v>0</v>
      </c>
      <c r="R139">
        <f>Source!X106</f>
        <v>0</v>
      </c>
      <c r="S139">
        <f>Source!Y105</f>
        <v>0</v>
      </c>
      <c r="T139">
        <f>Source!Y106</f>
        <v>0</v>
      </c>
      <c r="U139">
        <f>ROUND((175/100)*ROUND(Source!R105, 2), 2)</f>
        <v>0</v>
      </c>
      <c r="V139">
        <f>ROUND((0/100)*ROUND(Source!R106, 2), 2)</f>
        <v>0</v>
      </c>
      <c r="AC139">
        <v>3</v>
      </c>
    </row>
    <row r="140" spans="1:29" ht="15" x14ac:dyDescent="0.2">
      <c r="C140" s="47" t="s">
        <v>666</v>
      </c>
      <c r="H140" s="48">
        <f>I139+0</f>
        <v>1154.56</v>
      </c>
      <c r="I140" s="48"/>
      <c r="J140" s="48">
        <f>K139+0</f>
        <v>11407.05</v>
      </c>
      <c r="K140" s="48"/>
      <c r="O140" s="51">
        <f>I139+0</f>
        <v>1154.56</v>
      </c>
      <c r="P140" s="51">
        <f>K139+0</f>
        <v>11407.05</v>
      </c>
    </row>
    <row r="142" spans="1:29" ht="42.75" x14ac:dyDescent="0.2">
      <c r="A142" s="35">
        <v>23</v>
      </c>
      <c r="B142" s="35" t="str">
        <f>Source!F107</f>
        <v>3.18-25-1</v>
      </c>
      <c r="C142" s="35" t="s">
        <v>95</v>
      </c>
      <c r="D142" s="37" t="str">
        <f>Source!H107</f>
        <v>100 шт.</v>
      </c>
      <c r="E142" s="36">
        <f>Source!I107</f>
        <v>0.01</v>
      </c>
      <c r="F142" s="39"/>
      <c r="G142" s="38"/>
      <c r="H142" s="36"/>
      <c r="I142" s="39"/>
      <c r="J142" s="36"/>
      <c r="K142" s="39"/>
      <c r="Q142">
        <f>Source!X107</f>
        <v>13.65</v>
      </c>
      <c r="R142">
        <f>Source!X108</f>
        <v>750.44</v>
      </c>
      <c r="S142">
        <f>Source!Y107</f>
        <v>7.64</v>
      </c>
      <c r="T142">
        <f>Source!Y108</f>
        <v>419.97</v>
      </c>
      <c r="U142">
        <f>ROUND((175/100)*ROUND(Source!R107, 2), 2)</f>
        <v>0.26</v>
      </c>
      <c r="V142">
        <f>ROUND((0/100)*ROUND(Source!R108, 2), 2)</f>
        <v>0</v>
      </c>
      <c r="AC142">
        <v>0</v>
      </c>
    </row>
    <row r="143" spans="1:29" x14ac:dyDescent="0.2">
      <c r="C143" s="40" t="str">
        <f>"Объем: "&amp;Source!I107&amp;"=1/"&amp;"100"</f>
        <v>Объем: 0,01=1/100</v>
      </c>
    </row>
    <row r="144" spans="1:29" ht="28.5" x14ac:dyDescent="0.2">
      <c r="A144" s="35"/>
      <c r="B144" s="35"/>
      <c r="C144" s="35" t="s">
        <v>655</v>
      </c>
      <c r="D144" s="37"/>
      <c r="E144" s="36"/>
      <c r="F144" s="39">
        <f>Source!AO107</f>
        <v>916.6</v>
      </c>
      <c r="G144" s="38" t="str">
        <f>Source!DG107</f>
        <v>*1,15)*1,1</v>
      </c>
      <c r="H144" s="36">
        <f>Source!AV108</f>
        <v>1.0669999999999999</v>
      </c>
      <c r="I144" s="39">
        <f>Source!S107</f>
        <v>12.37</v>
      </c>
      <c r="J144" s="36">
        <f>IF(Source!BA108&lt;&gt; 0, Source!BA108, 1)</f>
        <v>54.99</v>
      </c>
      <c r="K144" s="39">
        <f>Source!S108</f>
        <v>680.23</v>
      </c>
    </row>
    <row r="145" spans="1:29" ht="28.5" x14ac:dyDescent="0.2">
      <c r="A145" s="35"/>
      <c r="B145" s="35"/>
      <c r="C145" s="35" t="s">
        <v>656</v>
      </c>
      <c r="D145" s="37"/>
      <c r="E145" s="36"/>
      <c r="F145" s="39">
        <f>Source!AM107</f>
        <v>95.35</v>
      </c>
      <c r="G145" s="38" t="str">
        <f>Source!DE107</f>
        <v>*1,25)*1,1</v>
      </c>
      <c r="H145" s="36">
        <f>Source!AV108</f>
        <v>1.0669999999999999</v>
      </c>
      <c r="I145" s="39">
        <f>Source!Q107</f>
        <v>1.4</v>
      </c>
      <c r="J145" s="36">
        <f>IF(Source!BB108&lt;&gt; 0, Source!BB108, 1)</f>
        <v>14.33</v>
      </c>
      <c r="K145" s="39">
        <f>Source!Q108</f>
        <v>20.059999999999999</v>
      </c>
    </row>
    <row r="146" spans="1:29" ht="28.5" x14ac:dyDescent="0.2">
      <c r="A146" s="35"/>
      <c r="B146" s="35"/>
      <c r="C146" s="35" t="s">
        <v>657</v>
      </c>
      <c r="D146" s="37"/>
      <c r="E146" s="36"/>
      <c r="F146" s="39">
        <f>Source!AN107</f>
        <v>10.3</v>
      </c>
      <c r="G146" s="38" t="str">
        <f>Source!DF107</f>
        <v>*1,25)*1,1</v>
      </c>
      <c r="H146" s="36">
        <f>Source!AV108</f>
        <v>1.0669999999999999</v>
      </c>
      <c r="I146" s="41">
        <f>Source!R107</f>
        <v>0.15</v>
      </c>
      <c r="J146" s="36">
        <f>IF(Source!BS108&lt;&gt; 0, Source!BS108, 1)</f>
        <v>54.99</v>
      </c>
      <c r="K146" s="41">
        <f>Source!R108</f>
        <v>8.25</v>
      </c>
    </row>
    <row r="147" spans="1:29" ht="14.25" x14ac:dyDescent="0.2">
      <c r="A147" s="35"/>
      <c r="B147" s="35"/>
      <c r="C147" s="35" t="s">
        <v>658</v>
      </c>
      <c r="D147" s="37"/>
      <c r="E147" s="36"/>
      <c r="F147" s="39">
        <f>Source!AL107</f>
        <v>2078.9</v>
      </c>
      <c r="G147" s="38" t="str">
        <f>Source!DD107</f>
        <v/>
      </c>
      <c r="H147" s="36">
        <f>Source!AW108</f>
        <v>1</v>
      </c>
      <c r="I147" s="39">
        <f>Source!P107</f>
        <v>20.79</v>
      </c>
      <c r="J147" s="36">
        <f>IF(Source!BC108&lt;&gt; 0, Source!BC108, 1)</f>
        <v>20.59</v>
      </c>
      <c r="K147" s="39">
        <f>Source!P108</f>
        <v>428.07</v>
      </c>
    </row>
    <row r="148" spans="1:29" ht="14.25" x14ac:dyDescent="0.2">
      <c r="A148" s="35"/>
      <c r="B148" s="35"/>
      <c r="C148" s="35" t="s">
        <v>659</v>
      </c>
      <c r="D148" s="37" t="s">
        <v>660</v>
      </c>
      <c r="E148" s="36">
        <f>Source!BZ108</f>
        <v>109</v>
      </c>
      <c r="F148" s="39"/>
      <c r="G148" s="38"/>
      <c r="H148" s="36"/>
      <c r="I148" s="39">
        <f>SUM(Q142:Q147)</f>
        <v>13.65</v>
      </c>
      <c r="J148" s="36">
        <f>Source!AT108</f>
        <v>109</v>
      </c>
      <c r="K148" s="39">
        <f>SUM(R142:R147)</f>
        <v>750.44</v>
      </c>
    </row>
    <row r="149" spans="1:29" ht="14.25" x14ac:dyDescent="0.2">
      <c r="A149" s="35"/>
      <c r="B149" s="35"/>
      <c r="C149" s="35" t="s">
        <v>661</v>
      </c>
      <c r="D149" s="37" t="s">
        <v>660</v>
      </c>
      <c r="E149" s="36">
        <f>Source!CA108</f>
        <v>61</v>
      </c>
      <c r="F149" s="39"/>
      <c r="G149" s="38"/>
      <c r="H149" s="36"/>
      <c r="I149" s="39">
        <f>SUM(S142:S148)</f>
        <v>7.64</v>
      </c>
      <c r="J149" s="36">
        <f>Source!AU108</f>
        <v>61</v>
      </c>
      <c r="K149" s="39">
        <f>SUM(T142:T148)</f>
        <v>419.97</v>
      </c>
    </row>
    <row r="150" spans="1:29" ht="28.5" x14ac:dyDescent="0.2">
      <c r="A150" s="42"/>
      <c r="B150" s="42"/>
      <c r="C150" s="42" t="s">
        <v>662</v>
      </c>
      <c r="D150" s="43" t="s">
        <v>663</v>
      </c>
      <c r="E150" s="44">
        <f>Source!AQ107</f>
        <v>74.7</v>
      </c>
      <c r="F150" s="45"/>
      <c r="G150" s="46" t="str">
        <f>Source!DI107</f>
        <v>*1,15)*1,1</v>
      </c>
      <c r="H150" s="44">
        <f>Source!AV108</f>
        <v>1.0669999999999999</v>
      </c>
      <c r="I150" s="45">
        <f>Source!U107</f>
        <v>1.0082669850000001</v>
      </c>
      <c r="J150" s="44"/>
      <c r="K150" s="45"/>
    </row>
    <row r="151" spans="1:29" ht="15" x14ac:dyDescent="0.2">
      <c r="C151" s="47" t="s">
        <v>664</v>
      </c>
      <c r="H151" s="48">
        <f>I144+I145+I147+I148+I149+0-0-0</f>
        <v>55.85</v>
      </c>
      <c r="I151" s="48"/>
      <c r="J151" s="48">
        <f>K144+K145+K147+K148+K149+0-0-0</f>
        <v>2298.77</v>
      </c>
      <c r="K151" s="48"/>
    </row>
    <row r="152" spans="1:29" ht="15" hidden="1" x14ac:dyDescent="0.2">
      <c r="C152" s="47" t="s">
        <v>665</v>
      </c>
      <c r="H152" s="50">
        <f>0+0</f>
        <v>0</v>
      </c>
      <c r="I152" s="50"/>
      <c r="J152" s="50">
        <f>0+0</f>
        <v>0</v>
      </c>
      <c r="K152" s="50"/>
    </row>
    <row r="153" spans="1:29" ht="15" x14ac:dyDescent="0.2">
      <c r="C153" s="47" t="s">
        <v>666</v>
      </c>
      <c r="H153" s="50">
        <f>I144+I145+I147+I148+I149+0</f>
        <v>55.85</v>
      </c>
      <c r="I153" s="50"/>
      <c r="J153" s="50">
        <f>K144+K145+K147+K148+K149+0</f>
        <v>2298.77</v>
      </c>
      <c r="K153" s="50"/>
      <c r="O153" s="51">
        <f>I144+I145+I147+I148+I149+0</f>
        <v>55.85</v>
      </c>
      <c r="P153" s="51">
        <f>K144+K145+K147+K148+K149+0</f>
        <v>2298.77</v>
      </c>
    </row>
    <row r="155" spans="1:29" ht="69.75" x14ac:dyDescent="0.2">
      <c r="A155" s="42">
        <v>24</v>
      </c>
      <c r="B155" s="42" t="str">
        <f>Source!F109</f>
        <v>КА-17</v>
      </c>
      <c r="C155" s="42" t="s">
        <v>687</v>
      </c>
      <c r="D155" s="43" t="str">
        <f>Source!H109</f>
        <v>ШТ</v>
      </c>
      <c r="E155" s="44">
        <f>Source!I109</f>
        <v>1</v>
      </c>
      <c r="F155" s="45">
        <f>Source!AL109</f>
        <v>609.11</v>
      </c>
      <c r="G155" s="46" t="str">
        <f>Source!DD109</f>
        <v/>
      </c>
      <c r="H155" s="44">
        <f>Source!AW110</f>
        <v>1</v>
      </c>
      <c r="I155" s="45">
        <f>Source!P109</f>
        <v>609.11</v>
      </c>
      <c r="J155" s="44">
        <f>IF(Source!BC110&lt;&gt; 0, Source!BC110, 1)</f>
        <v>9.8800000000000008</v>
      </c>
      <c r="K155" s="45">
        <f>Source!P110</f>
        <v>6018.01</v>
      </c>
      <c r="Q155">
        <f>Source!X109</f>
        <v>0</v>
      </c>
      <c r="R155">
        <f>Source!X110</f>
        <v>0</v>
      </c>
      <c r="S155">
        <f>Source!Y109</f>
        <v>0</v>
      </c>
      <c r="T155">
        <f>Source!Y110</f>
        <v>0</v>
      </c>
      <c r="U155">
        <f>ROUND((175/100)*ROUND(Source!R109, 2), 2)</f>
        <v>0</v>
      </c>
      <c r="V155">
        <f>ROUND((0/100)*ROUND(Source!R110, 2), 2)</f>
        <v>0</v>
      </c>
      <c r="AC155">
        <v>3</v>
      </c>
    </row>
    <row r="156" spans="1:29" ht="15" x14ac:dyDescent="0.2">
      <c r="C156" s="47" t="s">
        <v>666</v>
      </c>
      <c r="H156" s="48">
        <f>I155+0</f>
        <v>609.11</v>
      </c>
      <c r="I156" s="48"/>
      <c r="J156" s="48">
        <f>K155+0</f>
        <v>6018.01</v>
      </c>
      <c r="K156" s="48"/>
      <c r="O156" s="51">
        <f>I155+0</f>
        <v>609.11</v>
      </c>
      <c r="P156" s="51">
        <f>K155+0</f>
        <v>6018.01</v>
      </c>
    </row>
    <row r="158" spans="1:29" ht="42.75" x14ac:dyDescent="0.2">
      <c r="A158" s="35">
        <v>25</v>
      </c>
      <c r="B158" s="35" t="str">
        <f>Source!F111</f>
        <v>3.18-25-1</v>
      </c>
      <c r="C158" s="35" t="s">
        <v>95</v>
      </c>
      <c r="D158" s="37" t="str">
        <f>Source!H111</f>
        <v>100 шт.</v>
      </c>
      <c r="E158" s="36">
        <f>Source!I111</f>
        <v>1.44</v>
      </c>
      <c r="F158" s="39"/>
      <c r="G158" s="38"/>
      <c r="H158" s="36"/>
      <c r="I158" s="39"/>
      <c r="J158" s="36"/>
      <c r="K158" s="39"/>
      <c r="Q158">
        <f>Source!X111</f>
        <v>1965.61</v>
      </c>
      <c r="R158">
        <f>Source!X112</f>
        <v>108088.77</v>
      </c>
      <c r="S158">
        <f>Source!Y111</f>
        <v>1100.02</v>
      </c>
      <c r="T158">
        <f>Source!Y112</f>
        <v>60490.05</v>
      </c>
      <c r="U158">
        <f>ROUND((175/100)*ROUND(Source!R111, 2), 2)</f>
        <v>38.08</v>
      </c>
      <c r="V158">
        <f>ROUND((0/100)*ROUND(Source!R112, 2), 2)</f>
        <v>0</v>
      </c>
      <c r="AC158">
        <v>0</v>
      </c>
    </row>
    <row r="159" spans="1:29" x14ac:dyDescent="0.2">
      <c r="C159" s="40" t="str">
        <f>"Объем: "&amp;Source!I111&amp;"=(1+"&amp;"43+"&amp;"87+"&amp;"13)/"&amp;"100"</f>
        <v>Объем: 1,44=(1+43+87+13)/100</v>
      </c>
    </row>
    <row r="160" spans="1:29" ht="28.5" x14ac:dyDescent="0.2">
      <c r="A160" s="35"/>
      <c r="B160" s="35"/>
      <c r="C160" s="35" t="s">
        <v>655</v>
      </c>
      <c r="D160" s="37"/>
      <c r="E160" s="36"/>
      <c r="F160" s="39">
        <f>Source!AO111</f>
        <v>916.6</v>
      </c>
      <c r="G160" s="38" t="str">
        <f>Source!DG111</f>
        <v>*1,15)*1,1</v>
      </c>
      <c r="H160" s="36">
        <f>Source!AV112</f>
        <v>1.0669999999999999</v>
      </c>
      <c r="I160" s="39">
        <f>Source!S111</f>
        <v>1781.55</v>
      </c>
      <c r="J160" s="36">
        <f>IF(Source!BA112&lt;&gt; 0, Source!BA112, 1)</f>
        <v>54.99</v>
      </c>
      <c r="K160" s="39">
        <f>Source!S112</f>
        <v>97967.43</v>
      </c>
    </row>
    <row r="161" spans="1:29" ht="28.5" x14ac:dyDescent="0.2">
      <c r="A161" s="35"/>
      <c r="B161" s="35"/>
      <c r="C161" s="35" t="s">
        <v>656</v>
      </c>
      <c r="D161" s="37"/>
      <c r="E161" s="36"/>
      <c r="F161" s="39">
        <f>Source!AM111</f>
        <v>95.35</v>
      </c>
      <c r="G161" s="38" t="str">
        <f>Source!DE111</f>
        <v>*1,25)*1,1</v>
      </c>
      <c r="H161" s="36">
        <f>Source!AV112</f>
        <v>1.0669999999999999</v>
      </c>
      <c r="I161" s="39">
        <f>Source!Q111</f>
        <v>201.44</v>
      </c>
      <c r="J161" s="36">
        <f>IF(Source!BB112&lt;&gt; 0, Source!BB112, 1)</f>
        <v>14.33</v>
      </c>
      <c r="K161" s="39">
        <f>Source!Q112</f>
        <v>2886.64</v>
      </c>
    </row>
    <row r="162" spans="1:29" ht="28.5" x14ac:dyDescent="0.2">
      <c r="A162" s="35"/>
      <c r="B162" s="35"/>
      <c r="C162" s="35" t="s">
        <v>657</v>
      </c>
      <c r="D162" s="37"/>
      <c r="E162" s="36"/>
      <c r="F162" s="39">
        <f>Source!AN111</f>
        <v>10.3</v>
      </c>
      <c r="G162" s="38" t="str">
        <f>Source!DF111</f>
        <v>*1,25)*1,1</v>
      </c>
      <c r="H162" s="36">
        <f>Source!AV112</f>
        <v>1.0669999999999999</v>
      </c>
      <c r="I162" s="41">
        <f>Source!R111</f>
        <v>21.76</v>
      </c>
      <c r="J162" s="36">
        <f>IF(Source!BS112&lt;&gt; 0, Source!BS112, 1)</f>
        <v>54.99</v>
      </c>
      <c r="K162" s="41">
        <f>Source!R112</f>
        <v>1196.58</v>
      </c>
    </row>
    <row r="163" spans="1:29" ht="14.25" x14ac:dyDescent="0.2">
      <c r="A163" s="35"/>
      <c r="B163" s="35"/>
      <c r="C163" s="35" t="s">
        <v>658</v>
      </c>
      <c r="D163" s="37"/>
      <c r="E163" s="36"/>
      <c r="F163" s="39">
        <f>Source!AL111</f>
        <v>2078.9</v>
      </c>
      <c r="G163" s="38" t="str">
        <f>Source!DD111</f>
        <v/>
      </c>
      <c r="H163" s="36">
        <f>Source!AW112</f>
        <v>1</v>
      </c>
      <c r="I163" s="39">
        <f>Source!P111</f>
        <v>2993.62</v>
      </c>
      <c r="J163" s="36">
        <f>IF(Source!BC112&lt;&gt; 0, Source!BC112, 1)</f>
        <v>20.59</v>
      </c>
      <c r="K163" s="39">
        <f>Source!P112</f>
        <v>61638.64</v>
      </c>
    </row>
    <row r="164" spans="1:29" ht="14.25" x14ac:dyDescent="0.2">
      <c r="A164" s="35"/>
      <c r="B164" s="35"/>
      <c r="C164" s="35" t="s">
        <v>659</v>
      </c>
      <c r="D164" s="37" t="s">
        <v>660</v>
      </c>
      <c r="E164" s="36">
        <f>Source!BZ112</f>
        <v>109</v>
      </c>
      <c r="F164" s="39"/>
      <c r="G164" s="38"/>
      <c r="H164" s="36"/>
      <c r="I164" s="39">
        <f>SUM(Q158:Q163)</f>
        <v>1965.61</v>
      </c>
      <c r="J164" s="36">
        <f>Source!AT112</f>
        <v>109</v>
      </c>
      <c r="K164" s="39">
        <f>SUM(R158:R163)</f>
        <v>108088.77</v>
      </c>
    </row>
    <row r="165" spans="1:29" ht="14.25" x14ac:dyDescent="0.2">
      <c r="A165" s="35"/>
      <c r="B165" s="35"/>
      <c r="C165" s="35" t="s">
        <v>661</v>
      </c>
      <c r="D165" s="37" t="s">
        <v>660</v>
      </c>
      <c r="E165" s="36">
        <f>Source!CA112</f>
        <v>61</v>
      </c>
      <c r="F165" s="39"/>
      <c r="G165" s="38"/>
      <c r="H165" s="36"/>
      <c r="I165" s="39">
        <f>SUM(S158:S164)</f>
        <v>1100.02</v>
      </c>
      <c r="J165" s="36">
        <f>Source!AU112</f>
        <v>61</v>
      </c>
      <c r="K165" s="39">
        <f>SUM(T158:T164)</f>
        <v>60490.05</v>
      </c>
    </row>
    <row r="166" spans="1:29" ht="28.5" x14ac:dyDescent="0.2">
      <c r="A166" s="42"/>
      <c r="B166" s="42"/>
      <c r="C166" s="42" t="s">
        <v>662</v>
      </c>
      <c r="D166" s="43" t="s">
        <v>663</v>
      </c>
      <c r="E166" s="44">
        <f>Source!AQ111</f>
        <v>74.7</v>
      </c>
      <c r="F166" s="45"/>
      <c r="G166" s="46" t="str">
        <f>Source!DI111</f>
        <v>*1,15)*1,1</v>
      </c>
      <c r="H166" s="44">
        <f>Source!AV112</f>
        <v>1.0669999999999999</v>
      </c>
      <c r="I166" s="45">
        <f>Source!U111</f>
        <v>145.19044584</v>
      </c>
      <c r="J166" s="44"/>
      <c r="K166" s="45"/>
    </row>
    <row r="167" spans="1:29" ht="15" x14ac:dyDescent="0.2">
      <c r="C167" s="47" t="s">
        <v>664</v>
      </c>
      <c r="H167" s="48">
        <f>I160+I161+I163+I164+I165+0-0-0</f>
        <v>8042.24</v>
      </c>
      <c r="I167" s="48"/>
      <c r="J167" s="48">
        <f>K160+K161+K163+K164+K165+0-0-0</f>
        <v>331071.52999999997</v>
      </c>
      <c r="K167" s="48"/>
    </row>
    <row r="168" spans="1:29" ht="15" hidden="1" x14ac:dyDescent="0.2">
      <c r="C168" s="47" t="s">
        <v>665</v>
      </c>
      <c r="H168" s="50">
        <f>0+0</f>
        <v>0</v>
      </c>
      <c r="I168" s="50"/>
      <c r="J168" s="50">
        <f>0+0</f>
        <v>0</v>
      </c>
      <c r="K168" s="50"/>
    </row>
    <row r="169" spans="1:29" ht="15" x14ac:dyDescent="0.2">
      <c r="C169" s="47" t="s">
        <v>666</v>
      </c>
      <c r="H169" s="50">
        <f>I160+I161+I163+I164+I165+0</f>
        <v>8042.24</v>
      </c>
      <c r="I169" s="50"/>
      <c r="J169" s="50">
        <f>K160+K161+K163+K164+K165+0</f>
        <v>331071.52999999997</v>
      </c>
      <c r="K169" s="50"/>
      <c r="O169" s="51">
        <f>I160+I161+I163+I164+I165+0</f>
        <v>8042.24</v>
      </c>
      <c r="P169" s="51">
        <f>K160+K161+K163+K164+K165+0</f>
        <v>331071.52999999997</v>
      </c>
    </row>
    <row r="171" spans="1:29" ht="69.75" x14ac:dyDescent="0.2">
      <c r="A171" s="42">
        <v>26</v>
      </c>
      <c r="B171" s="42" t="str">
        <f>Source!F113</f>
        <v>КА-18</v>
      </c>
      <c r="C171" s="42" t="s">
        <v>688</v>
      </c>
      <c r="D171" s="43" t="str">
        <f>Source!H113</f>
        <v>ШТ</v>
      </c>
      <c r="E171" s="44">
        <f>Source!I113</f>
        <v>1</v>
      </c>
      <c r="F171" s="45">
        <f>Source!AL113</f>
        <v>415.53999999999996</v>
      </c>
      <c r="G171" s="46" t="str">
        <f>Source!DD113</f>
        <v/>
      </c>
      <c r="H171" s="44">
        <f>Source!AW114</f>
        <v>1</v>
      </c>
      <c r="I171" s="45">
        <f>Source!P113</f>
        <v>415.54</v>
      </c>
      <c r="J171" s="44">
        <f>IF(Source!BC114&lt;&gt; 0, Source!BC114, 1)</f>
        <v>9.8800000000000008</v>
      </c>
      <c r="K171" s="45">
        <f>Source!P114</f>
        <v>4105.54</v>
      </c>
      <c r="Q171">
        <f>Source!X113</f>
        <v>0</v>
      </c>
      <c r="R171">
        <f>Source!X114</f>
        <v>0</v>
      </c>
      <c r="S171">
        <f>Source!Y113</f>
        <v>0</v>
      </c>
      <c r="T171">
        <f>Source!Y114</f>
        <v>0</v>
      </c>
      <c r="U171">
        <f>ROUND((175/100)*ROUND(Source!R113, 2), 2)</f>
        <v>0</v>
      </c>
      <c r="V171">
        <f>ROUND((0/100)*ROUND(Source!R114, 2), 2)</f>
        <v>0</v>
      </c>
      <c r="AC171">
        <v>3</v>
      </c>
    </row>
    <row r="172" spans="1:29" ht="15" x14ac:dyDescent="0.2">
      <c r="C172" s="47" t="s">
        <v>666</v>
      </c>
      <c r="H172" s="48">
        <f>I171+0</f>
        <v>415.54</v>
      </c>
      <c r="I172" s="48"/>
      <c r="J172" s="48">
        <f>K171+0</f>
        <v>4105.54</v>
      </c>
      <c r="K172" s="48"/>
      <c r="O172" s="51">
        <f>I171+0</f>
        <v>415.54</v>
      </c>
      <c r="P172" s="51">
        <f>K171+0</f>
        <v>4105.54</v>
      </c>
    </row>
    <row r="174" spans="1:29" ht="69.75" x14ac:dyDescent="0.2">
      <c r="A174" s="42">
        <v>27</v>
      </c>
      <c r="B174" s="42" t="str">
        <f>Source!F115</f>
        <v>КА-19</v>
      </c>
      <c r="C174" s="42" t="s">
        <v>689</v>
      </c>
      <c r="D174" s="43" t="str">
        <f>Source!H115</f>
        <v>ШТ</v>
      </c>
      <c r="E174" s="44">
        <f>Source!I115</f>
        <v>43</v>
      </c>
      <c r="F174" s="45">
        <f>Source!AL115</f>
        <v>479.2</v>
      </c>
      <c r="G174" s="46" t="str">
        <f>Source!DD115</f>
        <v/>
      </c>
      <c r="H174" s="44">
        <f>Source!AW116</f>
        <v>1</v>
      </c>
      <c r="I174" s="45">
        <f>Source!P115</f>
        <v>20605.599999999999</v>
      </c>
      <c r="J174" s="44">
        <f>IF(Source!BC116&lt;&gt; 0, Source!BC116, 1)</f>
        <v>9.8800000000000008</v>
      </c>
      <c r="K174" s="45">
        <f>Source!P116</f>
        <v>203583.33</v>
      </c>
      <c r="Q174">
        <f>Source!X115</f>
        <v>0</v>
      </c>
      <c r="R174">
        <f>Source!X116</f>
        <v>0</v>
      </c>
      <c r="S174">
        <f>Source!Y115</f>
        <v>0</v>
      </c>
      <c r="T174">
        <f>Source!Y116</f>
        <v>0</v>
      </c>
      <c r="U174">
        <f>ROUND((175/100)*ROUND(Source!R115, 2), 2)</f>
        <v>0</v>
      </c>
      <c r="V174">
        <f>ROUND((0/100)*ROUND(Source!R116, 2), 2)</f>
        <v>0</v>
      </c>
      <c r="AC174">
        <v>3</v>
      </c>
    </row>
    <row r="175" spans="1:29" ht="15" x14ac:dyDescent="0.2">
      <c r="C175" s="47" t="s">
        <v>666</v>
      </c>
      <c r="H175" s="48">
        <f>I174+0</f>
        <v>20605.599999999999</v>
      </c>
      <c r="I175" s="48"/>
      <c r="J175" s="48">
        <f>K174+0</f>
        <v>203583.33</v>
      </c>
      <c r="K175" s="48"/>
      <c r="O175" s="51">
        <f>I174+0</f>
        <v>20605.599999999999</v>
      </c>
      <c r="P175" s="51">
        <f>K174+0</f>
        <v>203583.33</v>
      </c>
    </row>
    <row r="177" spans="1:29" ht="69.75" x14ac:dyDescent="0.2">
      <c r="A177" s="42">
        <v>28</v>
      </c>
      <c r="B177" s="42" t="str">
        <f>Source!F117</f>
        <v>КА-20</v>
      </c>
      <c r="C177" s="42" t="s">
        <v>690</v>
      </c>
      <c r="D177" s="43" t="str">
        <f>Source!H117</f>
        <v>ШТ</v>
      </c>
      <c r="E177" s="44">
        <f>Source!I117</f>
        <v>87</v>
      </c>
      <c r="F177" s="45">
        <f>Source!AL117</f>
        <v>546.30000000000007</v>
      </c>
      <c r="G177" s="46" t="str">
        <f>Source!DD117</f>
        <v/>
      </c>
      <c r="H177" s="44">
        <f>Source!AW118</f>
        <v>1</v>
      </c>
      <c r="I177" s="45">
        <f>Source!P117</f>
        <v>47528.1</v>
      </c>
      <c r="J177" s="44">
        <f>IF(Source!BC118&lt;&gt; 0, Source!BC118, 1)</f>
        <v>9.8800000000000008</v>
      </c>
      <c r="K177" s="45">
        <f>Source!P118</f>
        <v>469577.63</v>
      </c>
      <c r="Q177">
        <f>Source!X117</f>
        <v>0</v>
      </c>
      <c r="R177">
        <f>Source!X118</f>
        <v>0</v>
      </c>
      <c r="S177">
        <f>Source!Y117</f>
        <v>0</v>
      </c>
      <c r="T177">
        <f>Source!Y118</f>
        <v>0</v>
      </c>
      <c r="U177">
        <f>ROUND((175/100)*ROUND(Source!R117, 2), 2)</f>
        <v>0</v>
      </c>
      <c r="V177">
        <f>ROUND((0/100)*ROUND(Source!R118, 2), 2)</f>
        <v>0</v>
      </c>
      <c r="AC177">
        <v>3</v>
      </c>
    </row>
    <row r="178" spans="1:29" ht="15" x14ac:dyDescent="0.2">
      <c r="C178" s="47" t="s">
        <v>666</v>
      </c>
      <c r="H178" s="48">
        <f>I177+0</f>
        <v>47528.1</v>
      </c>
      <c r="I178" s="48"/>
      <c r="J178" s="48">
        <f>K177+0</f>
        <v>469577.63</v>
      </c>
      <c r="K178" s="48"/>
      <c r="O178" s="51">
        <f>I177+0</f>
        <v>47528.1</v>
      </c>
      <c r="P178" s="51">
        <f>K177+0</f>
        <v>469577.63</v>
      </c>
    </row>
    <row r="180" spans="1:29" ht="69.75" x14ac:dyDescent="0.2">
      <c r="A180" s="42">
        <v>29</v>
      </c>
      <c r="B180" s="42" t="str">
        <f>Source!F119</f>
        <v>КА-21</v>
      </c>
      <c r="C180" s="42" t="s">
        <v>691</v>
      </c>
      <c r="D180" s="43" t="str">
        <f>Source!H119</f>
        <v>ШТ</v>
      </c>
      <c r="E180" s="44">
        <f>Source!I119</f>
        <v>13</v>
      </c>
      <c r="F180" s="45">
        <f>Source!AL119</f>
        <v>609.97</v>
      </c>
      <c r="G180" s="46" t="str">
        <f>Source!DD119</f>
        <v/>
      </c>
      <c r="H180" s="44">
        <f>Source!AW120</f>
        <v>1</v>
      </c>
      <c r="I180" s="45">
        <f>Source!P119</f>
        <v>7929.61</v>
      </c>
      <c r="J180" s="44">
        <f>IF(Source!BC120&lt;&gt; 0, Source!BC120, 1)</f>
        <v>9.8800000000000008</v>
      </c>
      <c r="K180" s="45">
        <f>Source!P120</f>
        <v>78344.55</v>
      </c>
      <c r="Q180">
        <f>Source!X119</f>
        <v>0</v>
      </c>
      <c r="R180">
        <f>Source!X120</f>
        <v>0</v>
      </c>
      <c r="S180">
        <f>Source!Y119</f>
        <v>0</v>
      </c>
      <c r="T180">
        <f>Source!Y120</f>
        <v>0</v>
      </c>
      <c r="U180">
        <f>ROUND((175/100)*ROUND(Source!R119, 2), 2)</f>
        <v>0</v>
      </c>
      <c r="V180">
        <f>ROUND((0/100)*ROUND(Source!R120, 2), 2)</f>
        <v>0</v>
      </c>
      <c r="AC180">
        <v>3</v>
      </c>
    </row>
    <row r="181" spans="1:29" ht="15" x14ac:dyDescent="0.2">
      <c r="C181" s="47" t="s">
        <v>666</v>
      </c>
      <c r="H181" s="48">
        <f>I180+0</f>
        <v>7929.61</v>
      </c>
      <c r="I181" s="48"/>
      <c r="J181" s="48">
        <f>K180+0</f>
        <v>78344.55</v>
      </c>
      <c r="K181" s="48"/>
      <c r="O181" s="51">
        <f>I180+0</f>
        <v>7929.61</v>
      </c>
      <c r="P181" s="51">
        <f>K180+0</f>
        <v>78344.55</v>
      </c>
    </row>
    <row r="183" spans="1:29" ht="42.75" x14ac:dyDescent="0.2">
      <c r="A183" s="35">
        <v>30</v>
      </c>
      <c r="B183" s="35" t="str">
        <f>Source!F121</f>
        <v>3.18-25-2</v>
      </c>
      <c r="C183" s="35" t="s">
        <v>196</v>
      </c>
      <c r="D183" s="37" t="str">
        <f>Source!H121</f>
        <v>100 шт.</v>
      </c>
      <c r="E183" s="36">
        <f>Source!I121</f>
        <v>0.7</v>
      </c>
      <c r="F183" s="39"/>
      <c r="G183" s="38"/>
      <c r="H183" s="36"/>
      <c r="I183" s="39"/>
      <c r="J183" s="36"/>
      <c r="K183" s="39"/>
      <c r="Q183">
        <f>Source!X121</f>
        <v>1252.1400000000001</v>
      </c>
      <c r="R183">
        <f>Source!X122</f>
        <v>68855.039999999994</v>
      </c>
      <c r="S183">
        <f>Source!Y121</f>
        <v>700.74</v>
      </c>
      <c r="T183">
        <f>Source!Y122</f>
        <v>38533.550000000003</v>
      </c>
      <c r="U183">
        <f>ROUND((175/100)*ROUND(Source!R121, 2), 2)</f>
        <v>32.479999999999997</v>
      </c>
      <c r="V183">
        <f>ROUND((0/100)*ROUND(Source!R122, 2), 2)</f>
        <v>0</v>
      </c>
      <c r="AC183">
        <v>0</v>
      </c>
    </row>
    <row r="184" spans="1:29" x14ac:dyDescent="0.2">
      <c r="C184" s="40" t="str">
        <f>"Объем: "&amp;Source!I121&amp;"=70/"&amp;"100"</f>
        <v>Объем: 0,7=70/100</v>
      </c>
    </row>
    <row r="185" spans="1:29" ht="28.5" x14ac:dyDescent="0.2">
      <c r="A185" s="35"/>
      <c r="B185" s="35"/>
      <c r="C185" s="35" t="s">
        <v>655</v>
      </c>
      <c r="D185" s="37"/>
      <c r="E185" s="36"/>
      <c r="F185" s="39">
        <f>Source!AO121</f>
        <v>1196.19</v>
      </c>
      <c r="G185" s="38" t="str">
        <f>Source!DG121</f>
        <v>*1,1)*1,15</v>
      </c>
      <c r="H185" s="36">
        <f>Source!AV122</f>
        <v>1.0669999999999999</v>
      </c>
      <c r="I185" s="39">
        <f>Source!S121</f>
        <v>1130.19</v>
      </c>
      <c r="J185" s="36">
        <f>IF(Source!BA122&lt;&gt; 0, Source!BA122, 1)</f>
        <v>54.99</v>
      </c>
      <c r="K185" s="39">
        <f>Source!S122</f>
        <v>62149.15</v>
      </c>
    </row>
    <row r="186" spans="1:29" ht="28.5" x14ac:dyDescent="0.2">
      <c r="A186" s="35"/>
      <c r="B186" s="35"/>
      <c r="C186" s="35" t="s">
        <v>656</v>
      </c>
      <c r="D186" s="37"/>
      <c r="E186" s="36"/>
      <c r="F186" s="39">
        <f>Source!AM121</f>
        <v>166.7</v>
      </c>
      <c r="G186" s="38" t="str">
        <f>Source!DE121</f>
        <v>*1,1)*1,25</v>
      </c>
      <c r="H186" s="36">
        <f>Source!AV122</f>
        <v>1.0669999999999999</v>
      </c>
      <c r="I186" s="39">
        <f>Source!Q121</f>
        <v>171.2</v>
      </c>
      <c r="J186" s="36">
        <f>IF(Source!BB122&lt;&gt; 0, Source!BB122, 1)</f>
        <v>14.35</v>
      </c>
      <c r="K186" s="39">
        <f>Source!Q122</f>
        <v>2456.7199999999998</v>
      </c>
    </row>
    <row r="187" spans="1:29" ht="28.5" x14ac:dyDescent="0.2">
      <c r="A187" s="35"/>
      <c r="B187" s="35"/>
      <c r="C187" s="35" t="s">
        <v>657</v>
      </c>
      <c r="D187" s="37"/>
      <c r="E187" s="36"/>
      <c r="F187" s="39">
        <f>Source!AN121</f>
        <v>18.07</v>
      </c>
      <c r="G187" s="38" t="str">
        <f>Source!DF121</f>
        <v>*1,1)*1,25</v>
      </c>
      <c r="H187" s="36">
        <f>Source!AV122</f>
        <v>1.0669999999999999</v>
      </c>
      <c r="I187" s="41">
        <f>Source!R121</f>
        <v>18.559999999999999</v>
      </c>
      <c r="J187" s="36">
        <f>IF(Source!BS122&lt;&gt; 0, Source!BS122, 1)</f>
        <v>54.99</v>
      </c>
      <c r="K187" s="41">
        <f>Source!R122</f>
        <v>1020.61</v>
      </c>
    </row>
    <row r="188" spans="1:29" ht="14.25" x14ac:dyDescent="0.2">
      <c r="A188" s="35"/>
      <c r="B188" s="35"/>
      <c r="C188" s="35" t="s">
        <v>658</v>
      </c>
      <c r="D188" s="37"/>
      <c r="E188" s="36"/>
      <c r="F188" s="39">
        <f>Source!AL121</f>
        <v>3119.11</v>
      </c>
      <c r="G188" s="38" t="str">
        <f>Source!DD121</f>
        <v/>
      </c>
      <c r="H188" s="36">
        <f>Source!AW122</f>
        <v>1</v>
      </c>
      <c r="I188" s="39">
        <f>Source!P121</f>
        <v>2183.38</v>
      </c>
      <c r="J188" s="36">
        <f>IF(Source!BC122&lt;&gt; 0, Source!BC122, 1)</f>
        <v>20.59</v>
      </c>
      <c r="K188" s="39">
        <f>Source!P122</f>
        <v>44955.79</v>
      </c>
    </row>
    <row r="189" spans="1:29" ht="14.25" x14ac:dyDescent="0.2">
      <c r="A189" s="35"/>
      <c r="B189" s="35"/>
      <c r="C189" s="35" t="s">
        <v>659</v>
      </c>
      <c r="D189" s="37" t="s">
        <v>660</v>
      </c>
      <c r="E189" s="36">
        <f>Source!BZ122</f>
        <v>109</v>
      </c>
      <c r="F189" s="39"/>
      <c r="G189" s="38"/>
      <c r="H189" s="36"/>
      <c r="I189" s="39">
        <f>SUM(Q183:Q188)</f>
        <v>1252.1400000000001</v>
      </c>
      <c r="J189" s="36">
        <f>Source!AT122</f>
        <v>109</v>
      </c>
      <c r="K189" s="39">
        <f>SUM(R183:R188)</f>
        <v>68855.039999999994</v>
      </c>
    </row>
    <row r="190" spans="1:29" ht="14.25" x14ac:dyDescent="0.2">
      <c r="A190" s="35"/>
      <c r="B190" s="35"/>
      <c r="C190" s="35" t="s">
        <v>661</v>
      </c>
      <c r="D190" s="37" t="s">
        <v>660</v>
      </c>
      <c r="E190" s="36">
        <f>Source!CA122</f>
        <v>61</v>
      </c>
      <c r="F190" s="39"/>
      <c r="G190" s="38"/>
      <c r="H190" s="36"/>
      <c r="I190" s="39">
        <f>SUM(S183:S189)</f>
        <v>700.74</v>
      </c>
      <c r="J190" s="36">
        <f>Source!AU122</f>
        <v>61</v>
      </c>
      <c r="K190" s="39">
        <f>SUM(T183:T189)</f>
        <v>38533.550000000003</v>
      </c>
    </row>
    <row r="191" spans="1:29" ht="28.5" x14ac:dyDescent="0.2">
      <c r="A191" s="42"/>
      <c r="B191" s="42"/>
      <c r="C191" s="42" t="s">
        <v>662</v>
      </c>
      <c r="D191" s="43" t="s">
        <v>663</v>
      </c>
      <c r="E191" s="44">
        <f>Source!AQ121</f>
        <v>97.55</v>
      </c>
      <c r="F191" s="45"/>
      <c r="G191" s="46" t="str">
        <f>Source!DI121</f>
        <v>*1,1)*1,15</v>
      </c>
      <c r="H191" s="44">
        <f>Source!AV122</f>
        <v>1.0669999999999999</v>
      </c>
      <c r="I191" s="45">
        <f>Source!U121</f>
        <v>92.168020174999995</v>
      </c>
      <c r="J191" s="44"/>
      <c r="K191" s="45"/>
    </row>
    <row r="192" spans="1:29" ht="15" x14ac:dyDescent="0.2">
      <c r="C192" s="47" t="s">
        <v>664</v>
      </c>
      <c r="H192" s="48">
        <f>I185+I186+I188+I189+I190+0-0-0</f>
        <v>5437.6500000000005</v>
      </c>
      <c r="I192" s="48"/>
      <c r="J192" s="48">
        <f>K185+K186+K188+K189+K190+0-0-0</f>
        <v>216950.25</v>
      </c>
      <c r="K192" s="48"/>
    </row>
    <row r="193" spans="1:29" ht="15" hidden="1" x14ac:dyDescent="0.2">
      <c r="C193" s="47" t="s">
        <v>665</v>
      </c>
      <c r="H193" s="50">
        <f>0+0</f>
        <v>0</v>
      </c>
      <c r="I193" s="50"/>
      <c r="J193" s="50">
        <f>0+0</f>
        <v>0</v>
      </c>
      <c r="K193" s="50"/>
    </row>
    <row r="194" spans="1:29" ht="15" x14ac:dyDescent="0.2">
      <c r="C194" s="47" t="s">
        <v>666</v>
      </c>
      <c r="H194" s="50">
        <f>I185+I186+I188+I189+I190+0</f>
        <v>5437.6500000000005</v>
      </c>
      <c r="I194" s="50"/>
      <c r="J194" s="50">
        <f>K185+K186+K188+K189+K190+0</f>
        <v>216950.25</v>
      </c>
      <c r="K194" s="50"/>
      <c r="O194" s="51">
        <f>I185+I186+I188+I189+I190+0</f>
        <v>5437.6500000000005</v>
      </c>
      <c r="P194" s="51">
        <f>K185+K186+K188+K189+K190+0</f>
        <v>216950.25</v>
      </c>
    </row>
    <row r="196" spans="1:29" ht="69.75" x14ac:dyDescent="0.2">
      <c r="A196" s="42">
        <v>31</v>
      </c>
      <c r="B196" s="42" t="str">
        <f>Source!F123</f>
        <v>КА-22</v>
      </c>
      <c r="C196" s="42" t="s">
        <v>692</v>
      </c>
      <c r="D196" s="43" t="str">
        <f>Source!H123</f>
        <v>ШТ</v>
      </c>
      <c r="E196" s="44">
        <f>Source!I123</f>
        <v>70</v>
      </c>
      <c r="F196" s="45">
        <f>Source!AL123</f>
        <v>675.35</v>
      </c>
      <c r="G196" s="46" t="str">
        <f>Source!DD123</f>
        <v/>
      </c>
      <c r="H196" s="44">
        <f>Source!AW124</f>
        <v>1</v>
      </c>
      <c r="I196" s="45">
        <f>Source!P123</f>
        <v>47274.5</v>
      </c>
      <c r="J196" s="44">
        <f>IF(Source!BC124&lt;&gt; 0, Source!BC124, 1)</f>
        <v>9.8800000000000008</v>
      </c>
      <c r="K196" s="45">
        <f>Source!P124</f>
        <v>467072.06</v>
      </c>
      <c r="Q196">
        <f>Source!X123</f>
        <v>0</v>
      </c>
      <c r="R196">
        <f>Source!X124</f>
        <v>0</v>
      </c>
      <c r="S196">
        <f>Source!Y123</f>
        <v>0</v>
      </c>
      <c r="T196">
        <f>Source!Y124</f>
        <v>0</v>
      </c>
      <c r="U196">
        <f>ROUND((175/100)*ROUND(Source!R123, 2), 2)</f>
        <v>0</v>
      </c>
      <c r="V196">
        <f>ROUND((0/100)*ROUND(Source!R124, 2), 2)</f>
        <v>0</v>
      </c>
      <c r="AC196">
        <v>3</v>
      </c>
    </row>
    <row r="197" spans="1:29" ht="15" x14ac:dyDescent="0.2">
      <c r="C197" s="47" t="s">
        <v>666</v>
      </c>
      <c r="H197" s="48">
        <f>I196+0</f>
        <v>47274.5</v>
      </c>
      <c r="I197" s="48"/>
      <c r="J197" s="48">
        <f>K196+0</f>
        <v>467072.06</v>
      </c>
      <c r="K197" s="48"/>
      <c r="O197" s="51">
        <f>I196+0</f>
        <v>47274.5</v>
      </c>
      <c r="P197" s="51">
        <f>K196+0</f>
        <v>467072.06</v>
      </c>
    </row>
    <row r="199" spans="1:29" ht="42.75" x14ac:dyDescent="0.2">
      <c r="A199" s="35">
        <v>32</v>
      </c>
      <c r="B199" s="35" t="str">
        <f>Source!F125</f>
        <v>3.18-25-1</v>
      </c>
      <c r="C199" s="35" t="s">
        <v>95</v>
      </c>
      <c r="D199" s="37" t="str">
        <f>Source!H125</f>
        <v>100 шт.</v>
      </c>
      <c r="E199" s="36">
        <f>Source!I125</f>
        <v>0.08</v>
      </c>
      <c r="F199" s="39"/>
      <c r="G199" s="38"/>
      <c r="H199" s="36"/>
      <c r="I199" s="39"/>
      <c r="J199" s="36"/>
      <c r="K199" s="39"/>
      <c r="Q199">
        <f>Source!X125</f>
        <v>109.2</v>
      </c>
      <c r="R199">
        <f>Source!X126</f>
        <v>6004.7</v>
      </c>
      <c r="S199">
        <f>Source!Y125</f>
        <v>61.11</v>
      </c>
      <c r="T199">
        <f>Source!Y126</f>
        <v>3360.43</v>
      </c>
      <c r="U199">
        <f>ROUND((175/100)*ROUND(Source!R125, 2), 2)</f>
        <v>2.12</v>
      </c>
      <c r="V199">
        <f>ROUND((0/100)*ROUND(Source!R126, 2), 2)</f>
        <v>0</v>
      </c>
      <c r="AC199">
        <v>0</v>
      </c>
    </row>
    <row r="200" spans="1:29" x14ac:dyDescent="0.2">
      <c r="C200" s="40" t="str">
        <f>"Объем: "&amp;Source!I125&amp;"=(1+"&amp;"1+"&amp;"4+"&amp;"2)/"&amp;"100"</f>
        <v>Объем: 0,08=(1+1+4+2)/100</v>
      </c>
    </row>
    <row r="201" spans="1:29" ht="28.5" x14ac:dyDescent="0.2">
      <c r="A201" s="35"/>
      <c r="B201" s="35"/>
      <c r="C201" s="35" t="s">
        <v>655</v>
      </c>
      <c r="D201" s="37"/>
      <c r="E201" s="36"/>
      <c r="F201" s="39">
        <f>Source!AO125</f>
        <v>916.6</v>
      </c>
      <c r="G201" s="38" t="str">
        <f>Source!DG125</f>
        <v>*1,15)*1,1</v>
      </c>
      <c r="H201" s="36">
        <f>Source!AV126</f>
        <v>1.0669999999999999</v>
      </c>
      <c r="I201" s="39">
        <f>Source!S125</f>
        <v>98.97</v>
      </c>
      <c r="J201" s="36">
        <f>IF(Source!BA126&lt;&gt; 0, Source!BA126, 1)</f>
        <v>54.99</v>
      </c>
      <c r="K201" s="39">
        <f>Source!S126</f>
        <v>5442.36</v>
      </c>
    </row>
    <row r="202" spans="1:29" ht="28.5" x14ac:dyDescent="0.2">
      <c r="A202" s="35"/>
      <c r="B202" s="35"/>
      <c r="C202" s="35" t="s">
        <v>656</v>
      </c>
      <c r="D202" s="37"/>
      <c r="E202" s="36"/>
      <c r="F202" s="39">
        <f>Source!AM125</f>
        <v>95.35</v>
      </c>
      <c r="G202" s="38" t="str">
        <f>Source!DE125</f>
        <v>*1,25)*1,1</v>
      </c>
      <c r="H202" s="36">
        <f>Source!AV126</f>
        <v>1.0669999999999999</v>
      </c>
      <c r="I202" s="39">
        <f>Source!Q125</f>
        <v>11.19</v>
      </c>
      <c r="J202" s="36">
        <f>IF(Source!BB126&lt;&gt; 0, Source!BB126, 1)</f>
        <v>14.33</v>
      </c>
      <c r="K202" s="39">
        <f>Source!Q126</f>
        <v>160.35</v>
      </c>
    </row>
    <row r="203" spans="1:29" ht="28.5" x14ac:dyDescent="0.2">
      <c r="A203" s="35"/>
      <c r="B203" s="35"/>
      <c r="C203" s="35" t="s">
        <v>657</v>
      </c>
      <c r="D203" s="37"/>
      <c r="E203" s="36"/>
      <c r="F203" s="39">
        <f>Source!AN125</f>
        <v>10.3</v>
      </c>
      <c r="G203" s="38" t="str">
        <f>Source!DF125</f>
        <v>*1,25)*1,1</v>
      </c>
      <c r="H203" s="36">
        <f>Source!AV126</f>
        <v>1.0669999999999999</v>
      </c>
      <c r="I203" s="41">
        <f>Source!R125</f>
        <v>1.21</v>
      </c>
      <c r="J203" s="36">
        <f>IF(Source!BS126&lt;&gt; 0, Source!BS126, 1)</f>
        <v>54.99</v>
      </c>
      <c r="K203" s="41">
        <f>Source!R126</f>
        <v>66.540000000000006</v>
      </c>
    </row>
    <row r="204" spans="1:29" ht="14.25" x14ac:dyDescent="0.2">
      <c r="A204" s="35"/>
      <c r="B204" s="35"/>
      <c r="C204" s="35" t="s">
        <v>658</v>
      </c>
      <c r="D204" s="37"/>
      <c r="E204" s="36"/>
      <c r="F204" s="39">
        <f>Source!AL125</f>
        <v>2078.9</v>
      </c>
      <c r="G204" s="38" t="str">
        <f>Source!DD125</f>
        <v/>
      </c>
      <c r="H204" s="36">
        <f>Source!AW126</f>
        <v>1</v>
      </c>
      <c r="I204" s="39">
        <f>Source!P125</f>
        <v>166.31</v>
      </c>
      <c r="J204" s="36">
        <f>IF(Source!BC126&lt;&gt; 0, Source!BC126, 1)</f>
        <v>20.59</v>
      </c>
      <c r="K204" s="39">
        <f>Source!P126</f>
        <v>3424.32</v>
      </c>
    </row>
    <row r="205" spans="1:29" ht="14.25" x14ac:dyDescent="0.2">
      <c r="A205" s="35"/>
      <c r="B205" s="35"/>
      <c r="C205" s="35" t="s">
        <v>659</v>
      </c>
      <c r="D205" s="37" t="s">
        <v>660</v>
      </c>
      <c r="E205" s="36">
        <f>Source!BZ126</f>
        <v>109</v>
      </c>
      <c r="F205" s="39"/>
      <c r="G205" s="38"/>
      <c r="H205" s="36"/>
      <c r="I205" s="39">
        <f>SUM(Q199:Q204)</f>
        <v>109.2</v>
      </c>
      <c r="J205" s="36">
        <f>Source!AT126</f>
        <v>109</v>
      </c>
      <c r="K205" s="39">
        <f>SUM(R199:R204)</f>
        <v>6004.7</v>
      </c>
    </row>
    <row r="206" spans="1:29" ht="14.25" x14ac:dyDescent="0.2">
      <c r="A206" s="35"/>
      <c r="B206" s="35"/>
      <c r="C206" s="35" t="s">
        <v>661</v>
      </c>
      <c r="D206" s="37" t="s">
        <v>660</v>
      </c>
      <c r="E206" s="36">
        <f>Source!CA126</f>
        <v>61</v>
      </c>
      <c r="F206" s="39"/>
      <c r="G206" s="38"/>
      <c r="H206" s="36"/>
      <c r="I206" s="39">
        <f>SUM(S199:S205)</f>
        <v>61.11</v>
      </c>
      <c r="J206" s="36">
        <f>Source!AU126</f>
        <v>61</v>
      </c>
      <c r="K206" s="39">
        <f>SUM(T199:T205)</f>
        <v>3360.43</v>
      </c>
    </row>
    <row r="207" spans="1:29" ht="28.5" x14ac:dyDescent="0.2">
      <c r="A207" s="42"/>
      <c r="B207" s="42"/>
      <c r="C207" s="42" t="s">
        <v>662</v>
      </c>
      <c r="D207" s="43" t="s">
        <v>663</v>
      </c>
      <c r="E207" s="44">
        <f>Source!AQ125</f>
        <v>74.7</v>
      </c>
      <c r="F207" s="45"/>
      <c r="G207" s="46" t="str">
        <f>Source!DI125</f>
        <v>*1,15)*1,1</v>
      </c>
      <c r="H207" s="44">
        <f>Source!AV126</f>
        <v>1.0669999999999999</v>
      </c>
      <c r="I207" s="45">
        <f>Source!U125</f>
        <v>8.0661358800000009</v>
      </c>
      <c r="J207" s="44"/>
      <c r="K207" s="45"/>
    </row>
    <row r="208" spans="1:29" ht="15" x14ac:dyDescent="0.2">
      <c r="C208" s="47" t="s">
        <v>664</v>
      </c>
      <c r="H208" s="48">
        <f>I201+I202+I204+I205+I206+0-0-0</f>
        <v>446.78000000000003</v>
      </c>
      <c r="I208" s="48"/>
      <c r="J208" s="48">
        <f>K201+K202+K204+K205+K206+0-0-0</f>
        <v>18392.16</v>
      </c>
      <c r="K208" s="48"/>
    </row>
    <row r="209" spans="1:29" ht="15" hidden="1" x14ac:dyDescent="0.2">
      <c r="C209" s="47" t="s">
        <v>665</v>
      </c>
      <c r="H209" s="50">
        <f>0+0</f>
        <v>0</v>
      </c>
      <c r="I209" s="50"/>
      <c r="J209" s="50">
        <f>0+0</f>
        <v>0</v>
      </c>
      <c r="K209" s="50"/>
    </row>
    <row r="210" spans="1:29" ht="15" x14ac:dyDescent="0.2">
      <c r="C210" s="47" t="s">
        <v>666</v>
      </c>
      <c r="H210" s="50">
        <f>I201+I202+I204+I205+I206+0</f>
        <v>446.78000000000003</v>
      </c>
      <c r="I210" s="50"/>
      <c r="J210" s="50">
        <f>K201+K202+K204+K205+K206+0</f>
        <v>18392.16</v>
      </c>
      <c r="K210" s="50"/>
      <c r="O210" s="51">
        <f>I201+I202+I204+I205+I206+0</f>
        <v>446.78000000000003</v>
      </c>
      <c r="P210" s="51">
        <f>K201+K202+K204+K205+K206+0</f>
        <v>18392.16</v>
      </c>
    </row>
    <row r="212" spans="1:29" ht="71.25" x14ac:dyDescent="0.2">
      <c r="A212" s="42">
        <v>33</v>
      </c>
      <c r="B212" s="42" t="str">
        <f>Source!F127</f>
        <v>1.18-4-191</v>
      </c>
      <c r="C212" s="42" t="s">
        <v>208</v>
      </c>
      <c r="D212" s="43" t="str">
        <f>Source!H127</f>
        <v>шт.</v>
      </c>
      <c r="E212" s="44">
        <f>Source!I127</f>
        <v>1</v>
      </c>
      <c r="F212" s="45">
        <f>Source!AL127</f>
        <v>1164.3599999999999</v>
      </c>
      <c r="G212" s="46" t="str">
        <f>Source!DD127</f>
        <v/>
      </c>
      <c r="H212" s="44">
        <f>Source!AW128</f>
        <v>1</v>
      </c>
      <c r="I212" s="45">
        <f>Source!P127</f>
        <v>1164.3599999999999</v>
      </c>
      <c r="J212" s="44">
        <f>IF(Source!BC128&lt;&gt; 0, Source!BC128, 1)</f>
        <v>3.91</v>
      </c>
      <c r="K212" s="45">
        <f>Source!P128</f>
        <v>4552.6499999999996</v>
      </c>
      <c r="Q212">
        <f>Source!X127</f>
        <v>0</v>
      </c>
      <c r="R212">
        <f>Source!X128</f>
        <v>0</v>
      </c>
      <c r="S212">
        <f>Source!Y127</f>
        <v>0</v>
      </c>
      <c r="T212">
        <f>Source!Y128</f>
        <v>0</v>
      </c>
      <c r="U212">
        <f>ROUND((175/100)*ROUND(Source!R127, 2), 2)</f>
        <v>0</v>
      </c>
      <c r="V212">
        <f>ROUND((0/100)*ROUND(Source!R128, 2), 2)</f>
        <v>0</v>
      </c>
      <c r="AC212">
        <v>3</v>
      </c>
    </row>
    <row r="213" spans="1:29" ht="15" x14ac:dyDescent="0.2">
      <c r="C213" s="47" t="s">
        <v>666</v>
      </c>
      <c r="H213" s="48">
        <f>I212+0</f>
        <v>1164.3599999999999</v>
      </c>
      <c r="I213" s="48"/>
      <c r="J213" s="48">
        <f>K212+0</f>
        <v>4552.6499999999996</v>
      </c>
      <c r="K213" s="48"/>
      <c r="O213" s="51">
        <f>I212+0</f>
        <v>1164.3599999999999</v>
      </c>
      <c r="P213" s="51">
        <f>K212+0</f>
        <v>4552.6499999999996</v>
      </c>
    </row>
    <row r="215" spans="1:29" ht="71.25" x14ac:dyDescent="0.2">
      <c r="A215" s="42">
        <v>34</v>
      </c>
      <c r="B215" s="42" t="str">
        <f>Source!F129</f>
        <v>1.18-4-211</v>
      </c>
      <c r="C215" s="42" t="s">
        <v>215</v>
      </c>
      <c r="D215" s="43" t="str">
        <f>Source!H129</f>
        <v>шт.</v>
      </c>
      <c r="E215" s="44">
        <f>Source!I129</f>
        <v>1</v>
      </c>
      <c r="F215" s="45">
        <f>Source!AL129</f>
        <v>1548.66</v>
      </c>
      <c r="G215" s="46" t="str">
        <f>Source!DD129</f>
        <v/>
      </c>
      <c r="H215" s="44">
        <f>Source!AW130</f>
        <v>1</v>
      </c>
      <c r="I215" s="45">
        <f>Source!P129</f>
        <v>1548.66</v>
      </c>
      <c r="J215" s="44">
        <f>IF(Source!BC130&lt;&gt; 0, Source!BC130, 1)</f>
        <v>3.93</v>
      </c>
      <c r="K215" s="45">
        <f>Source!P130</f>
        <v>6086.23</v>
      </c>
      <c r="Q215">
        <f>Source!X129</f>
        <v>0</v>
      </c>
      <c r="R215">
        <f>Source!X130</f>
        <v>0</v>
      </c>
      <c r="S215">
        <f>Source!Y129</f>
        <v>0</v>
      </c>
      <c r="T215">
        <f>Source!Y130</f>
        <v>0</v>
      </c>
      <c r="U215">
        <f>ROUND((175/100)*ROUND(Source!R129, 2), 2)</f>
        <v>0</v>
      </c>
      <c r="V215">
        <f>ROUND((0/100)*ROUND(Source!R130, 2), 2)</f>
        <v>0</v>
      </c>
      <c r="AC215">
        <v>3</v>
      </c>
    </row>
    <row r="216" spans="1:29" ht="15" x14ac:dyDescent="0.2">
      <c r="C216" s="47" t="s">
        <v>666</v>
      </c>
      <c r="H216" s="48">
        <f>I215+0</f>
        <v>1548.66</v>
      </c>
      <c r="I216" s="48"/>
      <c r="J216" s="48">
        <f>K215+0</f>
        <v>6086.23</v>
      </c>
      <c r="K216" s="48"/>
      <c r="O216" s="51">
        <f>I215+0</f>
        <v>1548.66</v>
      </c>
      <c r="P216" s="51">
        <f>K215+0</f>
        <v>6086.23</v>
      </c>
    </row>
    <row r="218" spans="1:29" ht="71.25" x14ac:dyDescent="0.2">
      <c r="A218" s="42">
        <v>35</v>
      </c>
      <c r="B218" s="42" t="str">
        <f>Source!F131</f>
        <v>1.18-4-219</v>
      </c>
      <c r="C218" s="42" t="s">
        <v>219</v>
      </c>
      <c r="D218" s="43" t="str">
        <f>Source!H131</f>
        <v>шт.</v>
      </c>
      <c r="E218" s="44">
        <f>Source!I131</f>
        <v>4</v>
      </c>
      <c r="F218" s="45">
        <f>Source!AL131</f>
        <v>1790.63</v>
      </c>
      <c r="G218" s="46" t="str">
        <f>Source!DD131</f>
        <v/>
      </c>
      <c r="H218" s="44">
        <f>Source!AW132</f>
        <v>1</v>
      </c>
      <c r="I218" s="45">
        <f>Source!P131</f>
        <v>7162.52</v>
      </c>
      <c r="J218" s="44">
        <f>IF(Source!BC132&lt;&gt; 0, Source!BC132, 1)</f>
        <v>3.84</v>
      </c>
      <c r="K218" s="45">
        <f>Source!P132</f>
        <v>27504.080000000002</v>
      </c>
      <c r="Q218">
        <f>Source!X131</f>
        <v>0</v>
      </c>
      <c r="R218">
        <f>Source!X132</f>
        <v>0</v>
      </c>
      <c r="S218">
        <f>Source!Y131</f>
        <v>0</v>
      </c>
      <c r="T218">
        <f>Source!Y132</f>
        <v>0</v>
      </c>
      <c r="U218">
        <f>ROUND((175/100)*ROUND(Source!R131, 2), 2)</f>
        <v>0</v>
      </c>
      <c r="V218">
        <f>ROUND((0/100)*ROUND(Source!R132, 2), 2)</f>
        <v>0</v>
      </c>
      <c r="AC218">
        <v>3</v>
      </c>
    </row>
    <row r="219" spans="1:29" ht="15" x14ac:dyDescent="0.2">
      <c r="C219" s="47" t="s">
        <v>666</v>
      </c>
      <c r="H219" s="48">
        <f>I218+0</f>
        <v>7162.52</v>
      </c>
      <c r="I219" s="48"/>
      <c r="J219" s="48">
        <f>K218+0</f>
        <v>27504.080000000002</v>
      </c>
      <c r="K219" s="48"/>
      <c r="O219" s="51">
        <f>I218+0</f>
        <v>7162.52</v>
      </c>
      <c r="P219" s="51">
        <f>K218+0</f>
        <v>27504.080000000002</v>
      </c>
    </row>
    <row r="221" spans="1:29" ht="71.25" x14ac:dyDescent="0.2">
      <c r="A221" s="42">
        <v>36</v>
      </c>
      <c r="B221" s="42" t="str">
        <f>Source!F133</f>
        <v>1.18-4-224</v>
      </c>
      <c r="C221" s="42" t="s">
        <v>223</v>
      </c>
      <c r="D221" s="43" t="str">
        <f>Source!H133</f>
        <v>шт.</v>
      </c>
      <c r="E221" s="44">
        <f>Source!I133</f>
        <v>2</v>
      </c>
      <c r="F221" s="45">
        <f>Source!AL133</f>
        <v>2021.2</v>
      </c>
      <c r="G221" s="46" t="str">
        <f>Source!DD133</f>
        <v/>
      </c>
      <c r="H221" s="44">
        <f>Source!AW134</f>
        <v>1</v>
      </c>
      <c r="I221" s="45">
        <f>Source!P133</f>
        <v>4042.4</v>
      </c>
      <c r="J221" s="44">
        <f>IF(Source!BC134&lt;&gt; 0, Source!BC134, 1)</f>
        <v>3.91</v>
      </c>
      <c r="K221" s="45">
        <f>Source!P134</f>
        <v>15805.78</v>
      </c>
      <c r="Q221">
        <f>Source!X133</f>
        <v>0</v>
      </c>
      <c r="R221">
        <f>Source!X134</f>
        <v>0</v>
      </c>
      <c r="S221">
        <f>Source!Y133</f>
        <v>0</v>
      </c>
      <c r="T221">
        <f>Source!Y134</f>
        <v>0</v>
      </c>
      <c r="U221">
        <f>ROUND((175/100)*ROUND(Source!R133, 2), 2)</f>
        <v>0</v>
      </c>
      <c r="V221">
        <f>ROUND((0/100)*ROUND(Source!R134, 2), 2)</f>
        <v>0</v>
      </c>
      <c r="AC221">
        <v>3</v>
      </c>
    </row>
    <row r="222" spans="1:29" ht="15" x14ac:dyDescent="0.2">
      <c r="C222" s="47" t="s">
        <v>666</v>
      </c>
      <c r="H222" s="48">
        <f>I221+0</f>
        <v>4042.4</v>
      </c>
      <c r="I222" s="48"/>
      <c r="J222" s="48">
        <f>K221+0</f>
        <v>15805.78</v>
      </c>
      <c r="K222" s="48"/>
      <c r="O222" s="51">
        <f>I221+0</f>
        <v>4042.4</v>
      </c>
      <c r="P222" s="51">
        <f>K221+0</f>
        <v>15805.78</v>
      </c>
    </row>
    <row r="224" spans="1:29" ht="42.75" x14ac:dyDescent="0.2">
      <c r="A224" s="35">
        <v>37</v>
      </c>
      <c r="B224" s="35" t="str">
        <f>Source!F135</f>
        <v>3.18-25-2</v>
      </c>
      <c r="C224" s="35" t="s">
        <v>196</v>
      </c>
      <c r="D224" s="37" t="str">
        <f>Source!H135</f>
        <v>100 шт.</v>
      </c>
      <c r="E224" s="36">
        <f>Source!I135</f>
        <v>0.1</v>
      </c>
      <c r="F224" s="39"/>
      <c r="G224" s="38"/>
      <c r="H224" s="36"/>
      <c r="I224" s="39"/>
      <c r="J224" s="36"/>
      <c r="K224" s="39"/>
      <c r="Q224">
        <f>Source!X135</f>
        <v>178.88</v>
      </c>
      <c r="R224">
        <f>Source!X136</f>
        <v>9836.61</v>
      </c>
      <c r="S224">
        <f>Source!Y135</f>
        <v>100.11</v>
      </c>
      <c r="T224">
        <f>Source!Y136</f>
        <v>5504.89</v>
      </c>
      <c r="U224">
        <f>ROUND((175/100)*ROUND(Source!R135, 2), 2)</f>
        <v>4.6399999999999997</v>
      </c>
      <c r="V224">
        <f>ROUND((0/100)*ROUND(Source!R136, 2), 2)</f>
        <v>0</v>
      </c>
      <c r="AC224">
        <v>0</v>
      </c>
    </row>
    <row r="225" spans="1:29" x14ac:dyDescent="0.2">
      <c r="C225" s="40" t="str">
        <f>"Объем: "&amp;Source!I135&amp;"=(6+"&amp;"4)/"&amp;"100"</f>
        <v>Объем: 0,1=(6+4)/100</v>
      </c>
    </row>
    <row r="226" spans="1:29" ht="28.5" x14ac:dyDescent="0.2">
      <c r="A226" s="35"/>
      <c r="B226" s="35"/>
      <c r="C226" s="35" t="s">
        <v>655</v>
      </c>
      <c r="D226" s="37"/>
      <c r="E226" s="36"/>
      <c r="F226" s="39">
        <f>Source!AO135</f>
        <v>1196.19</v>
      </c>
      <c r="G226" s="38" t="str">
        <f>Source!DG135</f>
        <v>*1,1)*1,15</v>
      </c>
      <c r="H226" s="36">
        <f>Source!AV136</f>
        <v>1.0669999999999999</v>
      </c>
      <c r="I226" s="39">
        <f>Source!S135</f>
        <v>161.46</v>
      </c>
      <c r="J226" s="36">
        <f>IF(Source!BA136&lt;&gt; 0, Source!BA136, 1)</f>
        <v>54.99</v>
      </c>
      <c r="K226" s="39">
        <f>Source!S136</f>
        <v>8878.69</v>
      </c>
    </row>
    <row r="227" spans="1:29" ht="28.5" x14ac:dyDescent="0.2">
      <c r="A227" s="35"/>
      <c r="B227" s="35"/>
      <c r="C227" s="35" t="s">
        <v>656</v>
      </c>
      <c r="D227" s="37"/>
      <c r="E227" s="36"/>
      <c r="F227" s="39">
        <f>Source!AM135</f>
        <v>166.7</v>
      </c>
      <c r="G227" s="38" t="str">
        <f>Source!DE135</f>
        <v>*1,1)*1,25</v>
      </c>
      <c r="H227" s="36">
        <f>Source!AV136</f>
        <v>1.0669999999999999</v>
      </c>
      <c r="I227" s="39">
        <f>Source!Q135</f>
        <v>24.46</v>
      </c>
      <c r="J227" s="36">
        <f>IF(Source!BB136&lt;&gt; 0, Source!BB136, 1)</f>
        <v>14.35</v>
      </c>
      <c r="K227" s="39">
        <f>Source!Q136</f>
        <v>351</v>
      </c>
    </row>
    <row r="228" spans="1:29" ht="28.5" x14ac:dyDescent="0.2">
      <c r="A228" s="35"/>
      <c r="B228" s="35"/>
      <c r="C228" s="35" t="s">
        <v>657</v>
      </c>
      <c r="D228" s="37"/>
      <c r="E228" s="36"/>
      <c r="F228" s="39">
        <f>Source!AN135</f>
        <v>18.07</v>
      </c>
      <c r="G228" s="38" t="str">
        <f>Source!DF135</f>
        <v>*1,1)*1,25</v>
      </c>
      <c r="H228" s="36">
        <f>Source!AV136</f>
        <v>1.0669999999999999</v>
      </c>
      <c r="I228" s="41">
        <f>Source!R135</f>
        <v>2.65</v>
      </c>
      <c r="J228" s="36">
        <f>IF(Source!BS136&lt;&gt; 0, Source!BS136, 1)</f>
        <v>54.99</v>
      </c>
      <c r="K228" s="41">
        <f>Source!R136</f>
        <v>145.72</v>
      </c>
    </row>
    <row r="229" spans="1:29" ht="14.25" x14ac:dyDescent="0.2">
      <c r="A229" s="35"/>
      <c r="B229" s="35"/>
      <c r="C229" s="35" t="s">
        <v>658</v>
      </c>
      <c r="D229" s="37"/>
      <c r="E229" s="36"/>
      <c r="F229" s="39">
        <f>Source!AL135</f>
        <v>3119.11</v>
      </c>
      <c r="G229" s="38" t="str">
        <f>Source!DD135</f>
        <v/>
      </c>
      <c r="H229" s="36">
        <f>Source!AW136</f>
        <v>1</v>
      </c>
      <c r="I229" s="39">
        <f>Source!P135</f>
        <v>311.91000000000003</v>
      </c>
      <c r="J229" s="36">
        <f>IF(Source!BC136&lt;&gt; 0, Source!BC136, 1)</f>
        <v>20.59</v>
      </c>
      <c r="K229" s="39">
        <f>Source!P136</f>
        <v>6422.23</v>
      </c>
    </row>
    <row r="230" spans="1:29" ht="14.25" x14ac:dyDescent="0.2">
      <c r="A230" s="35"/>
      <c r="B230" s="35"/>
      <c r="C230" s="35" t="s">
        <v>659</v>
      </c>
      <c r="D230" s="37" t="s">
        <v>660</v>
      </c>
      <c r="E230" s="36">
        <f>Source!BZ136</f>
        <v>109</v>
      </c>
      <c r="F230" s="39"/>
      <c r="G230" s="38"/>
      <c r="H230" s="36"/>
      <c r="I230" s="39">
        <f>SUM(Q224:Q229)</f>
        <v>178.88</v>
      </c>
      <c r="J230" s="36">
        <f>Source!AT136</f>
        <v>109</v>
      </c>
      <c r="K230" s="39">
        <f>SUM(R224:R229)</f>
        <v>9836.61</v>
      </c>
    </row>
    <row r="231" spans="1:29" ht="14.25" x14ac:dyDescent="0.2">
      <c r="A231" s="35"/>
      <c r="B231" s="35"/>
      <c r="C231" s="35" t="s">
        <v>661</v>
      </c>
      <c r="D231" s="37" t="s">
        <v>660</v>
      </c>
      <c r="E231" s="36">
        <f>Source!CA136</f>
        <v>61</v>
      </c>
      <c r="F231" s="39"/>
      <c r="G231" s="38"/>
      <c r="H231" s="36"/>
      <c r="I231" s="39">
        <f>SUM(S224:S230)</f>
        <v>100.11</v>
      </c>
      <c r="J231" s="36">
        <f>Source!AU136</f>
        <v>61</v>
      </c>
      <c r="K231" s="39">
        <f>SUM(T224:T230)</f>
        <v>5504.89</v>
      </c>
    </row>
    <row r="232" spans="1:29" ht="28.5" x14ac:dyDescent="0.2">
      <c r="A232" s="42"/>
      <c r="B232" s="42"/>
      <c r="C232" s="42" t="s">
        <v>662</v>
      </c>
      <c r="D232" s="43" t="s">
        <v>663</v>
      </c>
      <c r="E232" s="44">
        <f>Source!AQ135</f>
        <v>97.55</v>
      </c>
      <c r="F232" s="45"/>
      <c r="G232" s="46" t="str">
        <f>Source!DI135</f>
        <v>*1,1)*1,15</v>
      </c>
      <c r="H232" s="44">
        <f>Source!AV136</f>
        <v>1.0669999999999999</v>
      </c>
      <c r="I232" s="45">
        <f>Source!U135</f>
        <v>13.166860025</v>
      </c>
      <c r="J232" s="44"/>
      <c r="K232" s="45"/>
    </row>
    <row r="233" spans="1:29" ht="15" x14ac:dyDescent="0.2">
      <c r="C233" s="47" t="s">
        <v>664</v>
      </c>
      <c r="H233" s="48">
        <f>I226+I227+I229+I230+I231+0-0-0</f>
        <v>776.82</v>
      </c>
      <c r="I233" s="48"/>
      <c r="J233" s="48">
        <f>K226+K227+K229+K230+K231+0-0-0</f>
        <v>30993.42</v>
      </c>
      <c r="K233" s="48"/>
    </row>
    <row r="234" spans="1:29" ht="15" hidden="1" x14ac:dyDescent="0.2">
      <c r="C234" s="47" t="s">
        <v>665</v>
      </c>
      <c r="H234" s="50">
        <f>0+0</f>
        <v>0</v>
      </c>
      <c r="I234" s="50"/>
      <c r="J234" s="50">
        <f>0+0</f>
        <v>0</v>
      </c>
      <c r="K234" s="50"/>
    </row>
    <row r="235" spans="1:29" ht="15" x14ac:dyDescent="0.2">
      <c r="C235" s="47" t="s">
        <v>666</v>
      </c>
      <c r="H235" s="50">
        <f>I226+I227+I229+I230+I231+0</f>
        <v>776.82</v>
      </c>
      <c r="I235" s="50"/>
      <c r="J235" s="50">
        <f>K226+K227+K229+K230+K231+0</f>
        <v>30993.42</v>
      </c>
      <c r="K235" s="50"/>
      <c r="O235" s="51">
        <f>I226+I227+I229+I230+I231+0</f>
        <v>776.82</v>
      </c>
      <c r="P235" s="51">
        <f>K226+K227+K229+K230+K231+0</f>
        <v>30993.42</v>
      </c>
    </row>
    <row r="237" spans="1:29" ht="71.25" x14ac:dyDescent="0.2">
      <c r="A237" s="42">
        <v>38</v>
      </c>
      <c r="B237" s="42" t="str">
        <f>Source!F137</f>
        <v>1.18-4-228</v>
      </c>
      <c r="C237" s="42" t="s">
        <v>228</v>
      </c>
      <c r="D237" s="43" t="str">
        <f>Source!H137</f>
        <v>шт.</v>
      </c>
      <c r="E237" s="44">
        <f>Source!I137</f>
        <v>6</v>
      </c>
      <c r="F237" s="45">
        <f>Source!AL137</f>
        <v>2211.94</v>
      </c>
      <c r="G237" s="46" t="str">
        <f>Source!DD137</f>
        <v/>
      </c>
      <c r="H237" s="44">
        <f>Source!AW138</f>
        <v>1</v>
      </c>
      <c r="I237" s="45">
        <f>Source!P137</f>
        <v>13271.64</v>
      </c>
      <c r="J237" s="44">
        <f>IF(Source!BC138&lt;&gt; 0, Source!BC138, 1)</f>
        <v>3.97</v>
      </c>
      <c r="K237" s="45">
        <f>Source!P138</f>
        <v>52688.41</v>
      </c>
      <c r="Q237">
        <f>Source!X137</f>
        <v>0</v>
      </c>
      <c r="R237">
        <f>Source!X138</f>
        <v>0</v>
      </c>
      <c r="S237">
        <f>Source!Y137</f>
        <v>0</v>
      </c>
      <c r="T237">
        <f>Source!Y138</f>
        <v>0</v>
      </c>
      <c r="U237">
        <f>ROUND((175/100)*ROUND(Source!R137, 2), 2)</f>
        <v>0</v>
      </c>
      <c r="V237">
        <f>ROUND((0/100)*ROUND(Source!R138, 2), 2)</f>
        <v>0</v>
      </c>
      <c r="AC237">
        <v>3</v>
      </c>
    </row>
    <row r="238" spans="1:29" ht="15" x14ac:dyDescent="0.2">
      <c r="C238" s="47" t="s">
        <v>666</v>
      </c>
      <c r="H238" s="48">
        <f>I237+0</f>
        <v>13271.64</v>
      </c>
      <c r="I238" s="48"/>
      <c r="J238" s="48">
        <f>K237+0</f>
        <v>52688.41</v>
      </c>
      <c r="K238" s="48"/>
      <c r="O238" s="51">
        <f>I237+0</f>
        <v>13271.64</v>
      </c>
      <c r="P238" s="51">
        <f>K237+0</f>
        <v>52688.41</v>
      </c>
    </row>
    <row r="240" spans="1:29" ht="82.5" x14ac:dyDescent="0.2">
      <c r="A240" s="42">
        <v>39</v>
      </c>
      <c r="B240" s="42" t="str">
        <f>Source!F139</f>
        <v>КА-23</v>
      </c>
      <c r="C240" s="42" t="s">
        <v>693</v>
      </c>
      <c r="D240" s="43" t="str">
        <f>Source!H139</f>
        <v>ШТ</v>
      </c>
      <c r="E240" s="44">
        <f>Source!I139</f>
        <v>4</v>
      </c>
      <c r="F240" s="45">
        <f>Source!AL139</f>
        <v>1035.83</v>
      </c>
      <c r="G240" s="46" t="str">
        <f>Source!DD139</f>
        <v/>
      </c>
      <c r="H240" s="44">
        <f>Source!AW140</f>
        <v>1</v>
      </c>
      <c r="I240" s="45">
        <f>Source!P139</f>
        <v>4143.32</v>
      </c>
      <c r="J240" s="44">
        <f>IF(Source!BC140&lt;&gt; 0, Source!BC140, 1)</f>
        <v>9.8800000000000008</v>
      </c>
      <c r="K240" s="45">
        <f>Source!P140</f>
        <v>40936</v>
      </c>
      <c r="Q240">
        <f>Source!X139</f>
        <v>0</v>
      </c>
      <c r="R240">
        <f>Source!X140</f>
        <v>0</v>
      </c>
      <c r="S240">
        <f>Source!Y139</f>
        <v>0</v>
      </c>
      <c r="T240">
        <f>Source!Y140</f>
        <v>0</v>
      </c>
      <c r="U240">
        <f>ROUND((175/100)*ROUND(Source!R139, 2), 2)</f>
        <v>0</v>
      </c>
      <c r="V240">
        <f>ROUND((0/100)*ROUND(Source!R140, 2), 2)</f>
        <v>0</v>
      </c>
      <c r="AC240">
        <v>3</v>
      </c>
    </row>
    <row r="241" spans="1:29" ht="15" x14ac:dyDescent="0.2">
      <c r="C241" s="47" t="s">
        <v>666</v>
      </c>
      <c r="H241" s="48">
        <f>I240+0</f>
        <v>4143.32</v>
      </c>
      <c r="I241" s="48"/>
      <c r="J241" s="48">
        <f>K240+0</f>
        <v>40936</v>
      </c>
      <c r="K241" s="48"/>
      <c r="O241" s="51">
        <f>I240+0</f>
        <v>4143.32</v>
      </c>
      <c r="P241" s="51">
        <f>K240+0</f>
        <v>40936</v>
      </c>
    </row>
    <row r="243" spans="1:29" ht="42.75" x14ac:dyDescent="0.2">
      <c r="A243" s="35">
        <v>40</v>
      </c>
      <c r="B243" s="35" t="str">
        <f>Source!F141</f>
        <v>3.18-25-1</v>
      </c>
      <c r="C243" s="35" t="s">
        <v>95</v>
      </c>
      <c r="D243" s="37" t="str">
        <f>Source!H141</f>
        <v>100 шт.</v>
      </c>
      <c r="E243" s="36">
        <f>Source!I141</f>
        <v>0.19</v>
      </c>
      <c r="F243" s="39"/>
      <c r="G243" s="38"/>
      <c r="H243" s="36"/>
      <c r="I243" s="39"/>
      <c r="J243" s="36"/>
      <c r="K243" s="39"/>
      <c r="Q243">
        <f>Source!X141</f>
        <v>259.35000000000002</v>
      </c>
      <c r="R243">
        <f>Source!X142</f>
        <v>14261.91</v>
      </c>
      <c r="S243">
        <f>Source!Y141</f>
        <v>145.13999999999999</v>
      </c>
      <c r="T243">
        <f>Source!Y142</f>
        <v>7981.44</v>
      </c>
      <c r="U243">
        <f>ROUND((175/100)*ROUND(Source!R141, 2), 2)</f>
        <v>5.0199999999999996</v>
      </c>
      <c r="V243">
        <f>ROUND((0/100)*ROUND(Source!R142, 2), 2)</f>
        <v>0</v>
      </c>
      <c r="AC243">
        <v>0</v>
      </c>
    </row>
    <row r="244" spans="1:29" x14ac:dyDescent="0.2">
      <c r="C244" s="40" t="str">
        <f>"Объем: "&amp;Source!I141&amp;"=(2+"&amp;"17)/"&amp;"100"</f>
        <v>Объем: 0,19=(2+17)/100</v>
      </c>
    </row>
    <row r="245" spans="1:29" ht="28.5" x14ac:dyDescent="0.2">
      <c r="A245" s="35"/>
      <c r="B245" s="35"/>
      <c r="C245" s="35" t="s">
        <v>655</v>
      </c>
      <c r="D245" s="37"/>
      <c r="E245" s="36"/>
      <c r="F245" s="39">
        <f>Source!AO141</f>
        <v>916.6</v>
      </c>
      <c r="G245" s="38" t="str">
        <f>Source!DG141</f>
        <v>*1,15)*1,1</v>
      </c>
      <c r="H245" s="36">
        <f>Source!AV142</f>
        <v>1.0669999999999999</v>
      </c>
      <c r="I245" s="39">
        <f>Source!S141</f>
        <v>235.07</v>
      </c>
      <c r="J245" s="36">
        <f>IF(Source!BA142&lt;&gt; 0, Source!BA142, 1)</f>
        <v>54.99</v>
      </c>
      <c r="K245" s="39">
        <f>Source!S142</f>
        <v>12926.5</v>
      </c>
    </row>
    <row r="246" spans="1:29" ht="28.5" x14ac:dyDescent="0.2">
      <c r="A246" s="35"/>
      <c r="B246" s="35"/>
      <c r="C246" s="35" t="s">
        <v>656</v>
      </c>
      <c r="D246" s="37"/>
      <c r="E246" s="36"/>
      <c r="F246" s="39">
        <f>Source!AM141</f>
        <v>95.35</v>
      </c>
      <c r="G246" s="38" t="str">
        <f>Source!DE141</f>
        <v>*1,25)*1,1</v>
      </c>
      <c r="H246" s="36">
        <f>Source!AV142</f>
        <v>1.0669999999999999</v>
      </c>
      <c r="I246" s="39">
        <f>Source!Q141</f>
        <v>26.58</v>
      </c>
      <c r="J246" s="36">
        <f>IF(Source!BB142&lt;&gt; 0, Source!BB142, 1)</f>
        <v>14.33</v>
      </c>
      <c r="K246" s="39">
        <f>Source!Q142</f>
        <v>380.89</v>
      </c>
    </row>
    <row r="247" spans="1:29" ht="28.5" x14ac:dyDescent="0.2">
      <c r="A247" s="35"/>
      <c r="B247" s="35"/>
      <c r="C247" s="35" t="s">
        <v>657</v>
      </c>
      <c r="D247" s="37"/>
      <c r="E247" s="36"/>
      <c r="F247" s="39">
        <f>Source!AN141</f>
        <v>10.3</v>
      </c>
      <c r="G247" s="38" t="str">
        <f>Source!DF141</f>
        <v>*1,25)*1,1</v>
      </c>
      <c r="H247" s="36">
        <f>Source!AV142</f>
        <v>1.0669999999999999</v>
      </c>
      <c r="I247" s="41">
        <f>Source!R141</f>
        <v>2.87</v>
      </c>
      <c r="J247" s="36">
        <f>IF(Source!BS142&lt;&gt; 0, Source!BS142, 1)</f>
        <v>54.99</v>
      </c>
      <c r="K247" s="41">
        <f>Source!R142</f>
        <v>157.82</v>
      </c>
    </row>
    <row r="248" spans="1:29" ht="14.25" x14ac:dyDescent="0.2">
      <c r="A248" s="35"/>
      <c r="B248" s="35"/>
      <c r="C248" s="35" t="s">
        <v>658</v>
      </c>
      <c r="D248" s="37"/>
      <c r="E248" s="36"/>
      <c r="F248" s="39">
        <f>Source!AL141</f>
        <v>2078.9</v>
      </c>
      <c r="G248" s="38" t="str">
        <f>Source!DD141</f>
        <v/>
      </c>
      <c r="H248" s="36">
        <f>Source!AW142</f>
        <v>1</v>
      </c>
      <c r="I248" s="39">
        <f>Source!P141</f>
        <v>394.99</v>
      </c>
      <c r="J248" s="36">
        <f>IF(Source!BC142&lt;&gt; 0, Source!BC142, 1)</f>
        <v>20.59</v>
      </c>
      <c r="K248" s="39">
        <f>Source!P142</f>
        <v>8132.84</v>
      </c>
    </row>
    <row r="249" spans="1:29" ht="14.25" x14ac:dyDescent="0.2">
      <c r="A249" s="35"/>
      <c r="B249" s="35"/>
      <c r="C249" s="35" t="s">
        <v>659</v>
      </c>
      <c r="D249" s="37" t="s">
        <v>660</v>
      </c>
      <c r="E249" s="36">
        <f>Source!BZ142</f>
        <v>109</v>
      </c>
      <c r="F249" s="39"/>
      <c r="G249" s="38"/>
      <c r="H249" s="36"/>
      <c r="I249" s="39">
        <f>SUM(Q243:Q248)</f>
        <v>259.35000000000002</v>
      </c>
      <c r="J249" s="36">
        <f>Source!AT142</f>
        <v>109</v>
      </c>
      <c r="K249" s="39">
        <f>SUM(R243:R248)</f>
        <v>14261.91</v>
      </c>
    </row>
    <row r="250" spans="1:29" ht="14.25" x14ac:dyDescent="0.2">
      <c r="A250" s="35"/>
      <c r="B250" s="35"/>
      <c r="C250" s="35" t="s">
        <v>661</v>
      </c>
      <c r="D250" s="37" t="s">
        <v>660</v>
      </c>
      <c r="E250" s="36">
        <f>Source!CA142</f>
        <v>61</v>
      </c>
      <c r="F250" s="39"/>
      <c r="G250" s="38"/>
      <c r="H250" s="36"/>
      <c r="I250" s="39">
        <f>SUM(S243:S249)</f>
        <v>145.13999999999999</v>
      </c>
      <c r="J250" s="36">
        <f>Source!AU142</f>
        <v>61</v>
      </c>
      <c r="K250" s="39">
        <f>SUM(T243:T249)</f>
        <v>7981.44</v>
      </c>
    </row>
    <row r="251" spans="1:29" ht="28.5" x14ac:dyDescent="0.2">
      <c r="A251" s="42"/>
      <c r="B251" s="42"/>
      <c r="C251" s="42" t="s">
        <v>662</v>
      </c>
      <c r="D251" s="43" t="s">
        <v>663</v>
      </c>
      <c r="E251" s="44">
        <f>Source!AQ141</f>
        <v>74.7</v>
      </c>
      <c r="F251" s="45"/>
      <c r="G251" s="46" t="str">
        <f>Source!DI141</f>
        <v>*1,15)*1,1</v>
      </c>
      <c r="H251" s="44">
        <f>Source!AV142</f>
        <v>1.0669999999999999</v>
      </c>
      <c r="I251" s="45">
        <f>Source!U141</f>
        <v>19.157072715000002</v>
      </c>
      <c r="J251" s="44"/>
      <c r="K251" s="45"/>
    </row>
    <row r="252" spans="1:29" ht="15" x14ac:dyDescent="0.2">
      <c r="C252" s="47" t="s">
        <v>664</v>
      </c>
      <c r="H252" s="48">
        <f>I245+I246+I248+I249+I250+0-0-0</f>
        <v>1061.1300000000001</v>
      </c>
      <c r="I252" s="48"/>
      <c r="J252" s="48">
        <f>K245+K246+K248+K249+K250+0-0-0</f>
        <v>43683.58</v>
      </c>
      <c r="K252" s="48"/>
    </row>
    <row r="253" spans="1:29" ht="15" hidden="1" x14ac:dyDescent="0.2">
      <c r="C253" s="47" t="s">
        <v>665</v>
      </c>
      <c r="H253" s="50">
        <f>0+0</f>
        <v>0</v>
      </c>
      <c r="I253" s="50"/>
      <c r="J253" s="50">
        <f>0+0</f>
        <v>0</v>
      </c>
      <c r="K253" s="50"/>
    </row>
    <row r="254" spans="1:29" ht="15" x14ac:dyDescent="0.2">
      <c r="C254" s="47" t="s">
        <v>666</v>
      </c>
      <c r="H254" s="50">
        <f>I245+I246+I248+I249+I250+0</f>
        <v>1061.1300000000001</v>
      </c>
      <c r="I254" s="50"/>
      <c r="J254" s="50">
        <f>K245+K246+K248+K249+K250+0</f>
        <v>43683.58</v>
      </c>
      <c r="K254" s="50"/>
      <c r="O254" s="51">
        <f>I245+I246+I248+I249+I250+0</f>
        <v>1061.1300000000001</v>
      </c>
      <c r="P254" s="51">
        <f>K245+K246+K248+K249+K250+0</f>
        <v>43683.58</v>
      </c>
    </row>
    <row r="256" spans="1:29" ht="71.25" x14ac:dyDescent="0.2">
      <c r="A256" s="42">
        <v>41</v>
      </c>
      <c r="B256" s="42" t="str">
        <f>Source!F143</f>
        <v>1.18-4-313</v>
      </c>
      <c r="C256" s="42" t="s">
        <v>237</v>
      </c>
      <c r="D256" s="43" t="str">
        <f>Source!H143</f>
        <v>шт.</v>
      </c>
      <c r="E256" s="44">
        <f>Source!I143</f>
        <v>2</v>
      </c>
      <c r="F256" s="45">
        <f>Source!AL143</f>
        <v>1369.31</v>
      </c>
      <c r="G256" s="46" t="str">
        <f>Source!DD143</f>
        <v/>
      </c>
      <c r="H256" s="44">
        <f>Source!AW144</f>
        <v>1</v>
      </c>
      <c r="I256" s="45">
        <f>Source!P143</f>
        <v>2738.62</v>
      </c>
      <c r="J256" s="44">
        <f>IF(Source!BC144&lt;&gt; 0, Source!BC144, 1)</f>
        <v>3.46</v>
      </c>
      <c r="K256" s="45">
        <f>Source!P144</f>
        <v>9475.6299999999992</v>
      </c>
      <c r="Q256">
        <f>Source!X143</f>
        <v>0</v>
      </c>
      <c r="R256">
        <f>Source!X144</f>
        <v>0</v>
      </c>
      <c r="S256">
        <f>Source!Y143</f>
        <v>0</v>
      </c>
      <c r="T256">
        <f>Source!Y144</f>
        <v>0</v>
      </c>
      <c r="U256">
        <f>ROUND((175/100)*ROUND(Source!R143, 2), 2)</f>
        <v>0</v>
      </c>
      <c r="V256">
        <f>ROUND((0/100)*ROUND(Source!R144, 2), 2)</f>
        <v>0</v>
      </c>
      <c r="AC256">
        <v>3</v>
      </c>
    </row>
    <row r="257" spans="1:29" ht="15" x14ac:dyDescent="0.2">
      <c r="C257" s="47" t="s">
        <v>666</v>
      </c>
      <c r="H257" s="48">
        <f>I256+0</f>
        <v>2738.62</v>
      </c>
      <c r="I257" s="48"/>
      <c r="J257" s="48">
        <f>K256+0</f>
        <v>9475.6299999999992</v>
      </c>
      <c r="K257" s="48"/>
      <c r="O257" s="51">
        <f>I256+0</f>
        <v>2738.62</v>
      </c>
      <c r="P257" s="51">
        <f>K256+0</f>
        <v>9475.6299999999992</v>
      </c>
    </row>
    <row r="259" spans="1:29" ht="71.25" x14ac:dyDescent="0.2">
      <c r="A259" s="42">
        <v>42</v>
      </c>
      <c r="B259" s="42" t="str">
        <f>Source!F145</f>
        <v>1.18-4-348</v>
      </c>
      <c r="C259" s="42" t="s">
        <v>241</v>
      </c>
      <c r="D259" s="43" t="str">
        <f>Source!H145</f>
        <v>шт.</v>
      </c>
      <c r="E259" s="44">
        <f>Source!I145</f>
        <v>17</v>
      </c>
      <c r="F259" s="45">
        <f>Source!AL145</f>
        <v>2303.0100000000002</v>
      </c>
      <c r="G259" s="46" t="str">
        <f>Source!DD145</f>
        <v/>
      </c>
      <c r="H259" s="44">
        <f>Source!AW146</f>
        <v>1</v>
      </c>
      <c r="I259" s="45">
        <f>Source!P145</f>
        <v>39151.17</v>
      </c>
      <c r="J259" s="44">
        <f>IF(Source!BC146&lt;&gt; 0, Source!BC146, 1)</f>
        <v>3.59</v>
      </c>
      <c r="K259" s="45">
        <f>Source!P146</f>
        <v>140552.70000000001</v>
      </c>
      <c r="Q259">
        <f>Source!X145</f>
        <v>0</v>
      </c>
      <c r="R259">
        <f>Source!X146</f>
        <v>0</v>
      </c>
      <c r="S259">
        <f>Source!Y145</f>
        <v>0</v>
      </c>
      <c r="T259">
        <f>Source!Y146</f>
        <v>0</v>
      </c>
      <c r="U259">
        <f>ROUND((175/100)*ROUND(Source!R145, 2), 2)</f>
        <v>0</v>
      </c>
      <c r="V259">
        <f>ROUND((0/100)*ROUND(Source!R146, 2), 2)</f>
        <v>0</v>
      </c>
      <c r="AC259">
        <v>3</v>
      </c>
    </row>
    <row r="260" spans="1:29" ht="15" x14ac:dyDescent="0.2">
      <c r="C260" s="47" t="s">
        <v>666</v>
      </c>
      <c r="H260" s="48">
        <f>I259+0</f>
        <v>39151.17</v>
      </c>
      <c r="I260" s="48"/>
      <c r="J260" s="48">
        <f>K259+0</f>
        <v>140552.70000000001</v>
      </c>
      <c r="K260" s="48"/>
      <c r="O260" s="51">
        <f>I259+0</f>
        <v>39151.17</v>
      </c>
      <c r="P260" s="51">
        <f>K259+0</f>
        <v>140552.70000000001</v>
      </c>
    </row>
    <row r="262" spans="1:29" ht="42.75" x14ac:dyDescent="0.2">
      <c r="A262" s="35">
        <v>43</v>
      </c>
      <c r="B262" s="35" t="str">
        <f>Source!F147</f>
        <v>3.18-25-2</v>
      </c>
      <c r="C262" s="35" t="s">
        <v>196</v>
      </c>
      <c r="D262" s="37" t="str">
        <f>Source!H147</f>
        <v>100 шт.</v>
      </c>
      <c r="E262" s="36">
        <f>Source!I147</f>
        <v>0.02</v>
      </c>
      <c r="F262" s="39"/>
      <c r="G262" s="38"/>
      <c r="H262" s="36"/>
      <c r="I262" s="39"/>
      <c r="J262" s="36"/>
      <c r="K262" s="39"/>
      <c r="Q262">
        <f>Source!X147</f>
        <v>35.770000000000003</v>
      </c>
      <c r="R262">
        <f>Source!X148</f>
        <v>1967.2</v>
      </c>
      <c r="S262">
        <f>Source!Y147</f>
        <v>20.02</v>
      </c>
      <c r="T262">
        <f>Source!Y148</f>
        <v>1100.9100000000001</v>
      </c>
      <c r="U262">
        <f>ROUND((175/100)*ROUND(Source!R147, 2), 2)</f>
        <v>0.93</v>
      </c>
      <c r="V262">
        <f>ROUND((0/100)*ROUND(Source!R148, 2), 2)</f>
        <v>0</v>
      </c>
      <c r="AC262">
        <v>0</v>
      </c>
    </row>
    <row r="263" spans="1:29" x14ac:dyDescent="0.2">
      <c r="C263" s="40" t="str">
        <f>"Объем: "&amp;Source!I147&amp;"=(2)/"&amp;"100"</f>
        <v>Объем: 0,02=(2)/100</v>
      </c>
    </row>
    <row r="264" spans="1:29" ht="28.5" x14ac:dyDescent="0.2">
      <c r="A264" s="35"/>
      <c r="B264" s="35"/>
      <c r="C264" s="35" t="s">
        <v>655</v>
      </c>
      <c r="D264" s="37"/>
      <c r="E264" s="36"/>
      <c r="F264" s="39">
        <f>Source!AO147</f>
        <v>1196.19</v>
      </c>
      <c r="G264" s="38" t="str">
        <f>Source!DG147</f>
        <v>*1,1)*1,15</v>
      </c>
      <c r="H264" s="36">
        <f>Source!AV148</f>
        <v>1.0669999999999999</v>
      </c>
      <c r="I264" s="39">
        <f>Source!S147</f>
        <v>32.29</v>
      </c>
      <c r="J264" s="36">
        <f>IF(Source!BA148&lt;&gt; 0, Source!BA148, 1)</f>
        <v>54.99</v>
      </c>
      <c r="K264" s="39">
        <f>Source!S148</f>
        <v>1775.63</v>
      </c>
    </row>
    <row r="265" spans="1:29" ht="28.5" x14ac:dyDescent="0.2">
      <c r="A265" s="35"/>
      <c r="B265" s="35"/>
      <c r="C265" s="35" t="s">
        <v>656</v>
      </c>
      <c r="D265" s="37"/>
      <c r="E265" s="36"/>
      <c r="F265" s="39">
        <f>Source!AM147</f>
        <v>166.7</v>
      </c>
      <c r="G265" s="38" t="str">
        <f>Source!DE147</f>
        <v>*1,1)*1,25</v>
      </c>
      <c r="H265" s="36">
        <f>Source!AV148</f>
        <v>1.0669999999999999</v>
      </c>
      <c r="I265" s="39">
        <f>Source!Q147</f>
        <v>4.8899999999999997</v>
      </c>
      <c r="J265" s="36">
        <f>IF(Source!BB148&lt;&gt; 0, Source!BB148, 1)</f>
        <v>14.35</v>
      </c>
      <c r="K265" s="39">
        <f>Source!Q148</f>
        <v>70.17</v>
      </c>
    </row>
    <row r="266" spans="1:29" ht="28.5" x14ac:dyDescent="0.2">
      <c r="A266" s="35"/>
      <c r="B266" s="35"/>
      <c r="C266" s="35" t="s">
        <v>657</v>
      </c>
      <c r="D266" s="37"/>
      <c r="E266" s="36"/>
      <c r="F266" s="39">
        <f>Source!AN147</f>
        <v>18.07</v>
      </c>
      <c r="G266" s="38" t="str">
        <f>Source!DF147</f>
        <v>*1,1)*1,25</v>
      </c>
      <c r="H266" s="36">
        <f>Source!AV148</f>
        <v>1.0669999999999999</v>
      </c>
      <c r="I266" s="41">
        <f>Source!R147</f>
        <v>0.53</v>
      </c>
      <c r="J266" s="36">
        <f>IF(Source!BS148&lt;&gt; 0, Source!BS148, 1)</f>
        <v>54.99</v>
      </c>
      <c r="K266" s="41">
        <f>Source!R148</f>
        <v>29.14</v>
      </c>
    </row>
    <row r="267" spans="1:29" ht="14.25" x14ac:dyDescent="0.2">
      <c r="A267" s="35"/>
      <c r="B267" s="35"/>
      <c r="C267" s="35" t="s">
        <v>658</v>
      </c>
      <c r="D267" s="37"/>
      <c r="E267" s="36"/>
      <c r="F267" s="39">
        <f>Source!AL147</f>
        <v>3119.11</v>
      </c>
      <c r="G267" s="38" t="str">
        <f>Source!DD147</f>
        <v/>
      </c>
      <c r="H267" s="36">
        <f>Source!AW148</f>
        <v>1</v>
      </c>
      <c r="I267" s="39">
        <f>Source!P147</f>
        <v>62.38</v>
      </c>
      <c r="J267" s="36">
        <f>IF(Source!BC148&lt;&gt; 0, Source!BC148, 1)</f>
        <v>20.59</v>
      </c>
      <c r="K267" s="39">
        <f>Source!P148</f>
        <v>1284.4000000000001</v>
      </c>
    </row>
    <row r="268" spans="1:29" ht="14.25" x14ac:dyDescent="0.2">
      <c r="A268" s="35"/>
      <c r="B268" s="35"/>
      <c r="C268" s="35" t="s">
        <v>659</v>
      </c>
      <c r="D268" s="37" t="s">
        <v>660</v>
      </c>
      <c r="E268" s="36">
        <f>Source!BZ148</f>
        <v>109</v>
      </c>
      <c r="F268" s="39"/>
      <c r="G268" s="38"/>
      <c r="H268" s="36"/>
      <c r="I268" s="39">
        <f>SUM(Q262:Q267)</f>
        <v>35.770000000000003</v>
      </c>
      <c r="J268" s="36">
        <f>Source!AT148</f>
        <v>109</v>
      </c>
      <c r="K268" s="39">
        <f>SUM(R262:R267)</f>
        <v>1967.2</v>
      </c>
    </row>
    <row r="269" spans="1:29" ht="14.25" x14ac:dyDescent="0.2">
      <c r="A269" s="35"/>
      <c r="B269" s="35"/>
      <c r="C269" s="35" t="s">
        <v>661</v>
      </c>
      <c r="D269" s="37" t="s">
        <v>660</v>
      </c>
      <c r="E269" s="36">
        <f>Source!CA148</f>
        <v>61</v>
      </c>
      <c r="F269" s="39"/>
      <c r="G269" s="38"/>
      <c r="H269" s="36"/>
      <c r="I269" s="39">
        <f>SUM(S262:S268)</f>
        <v>20.02</v>
      </c>
      <c r="J269" s="36">
        <f>Source!AU148</f>
        <v>61</v>
      </c>
      <c r="K269" s="39">
        <f>SUM(T262:T268)</f>
        <v>1100.9100000000001</v>
      </c>
    </row>
    <row r="270" spans="1:29" ht="28.5" x14ac:dyDescent="0.2">
      <c r="A270" s="42"/>
      <c r="B270" s="42"/>
      <c r="C270" s="42" t="s">
        <v>662</v>
      </c>
      <c r="D270" s="43" t="s">
        <v>663</v>
      </c>
      <c r="E270" s="44">
        <f>Source!AQ147</f>
        <v>97.55</v>
      </c>
      <c r="F270" s="45"/>
      <c r="G270" s="46" t="str">
        <f>Source!DI147</f>
        <v>*1,1)*1,15</v>
      </c>
      <c r="H270" s="44">
        <f>Source!AV148</f>
        <v>1.0669999999999999</v>
      </c>
      <c r="I270" s="45">
        <f>Source!U147</f>
        <v>2.633372005</v>
      </c>
      <c r="J270" s="44"/>
      <c r="K270" s="45"/>
    </row>
    <row r="271" spans="1:29" ht="15" x14ac:dyDescent="0.2">
      <c r="C271" s="47" t="s">
        <v>664</v>
      </c>
      <c r="H271" s="48">
        <f>I264+I265+I267+I268+I269+0-0-0</f>
        <v>155.35000000000002</v>
      </c>
      <c r="I271" s="48"/>
      <c r="J271" s="48">
        <f>K264+K265+K267+K268+K269+0-0-0</f>
        <v>6198.31</v>
      </c>
      <c r="K271" s="48"/>
    </row>
    <row r="272" spans="1:29" ht="15" hidden="1" x14ac:dyDescent="0.2">
      <c r="C272" s="47" t="s">
        <v>665</v>
      </c>
      <c r="H272" s="50">
        <f>0+0</f>
        <v>0</v>
      </c>
      <c r="I272" s="50"/>
      <c r="J272" s="50">
        <f>0+0</f>
        <v>0</v>
      </c>
      <c r="K272" s="50"/>
    </row>
    <row r="273" spans="1:29" ht="15" x14ac:dyDescent="0.2">
      <c r="C273" s="47" t="s">
        <v>666</v>
      </c>
      <c r="H273" s="50">
        <f>I264+I265+I267+I268+I269+0</f>
        <v>155.35000000000002</v>
      </c>
      <c r="I273" s="50"/>
      <c r="J273" s="50">
        <f>K264+K265+K267+K268+K269+0</f>
        <v>6198.31</v>
      </c>
      <c r="K273" s="50"/>
      <c r="O273" s="51">
        <f>I264+I265+I267+I268+I269+0</f>
        <v>155.35000000000002</v>
      </c>
      <c r="P273" s="51">
        <f>K264+K265+K267+K268+K269+0</f>
        <v>6198.31</v>
      </c>
    </row>
    <row r="275" spans="1:29" ht="71.25" x14ac:dyDescent="0.2">
      <c r="A275" s="42">
        <v>44</v>
      </c>
      <c r="B275" s="42" t="str">
        <f>Source!F149</f>
        <v>1.18-4-353</v>
      </c>
      <c r="C275" s="42" t="s">
        <v>246</v>
      </c>
      <c r="D275" s="43" t="str">
        <f>Source!H149</f>
        <v>шт.</v>
      </c>
      <c r="E275" s="44">
        <f>Source!I149</f>
        <v>2</v>
      </c>
      <c r="F275" s="45">
        <f>Source!AL149</f>
        <v>2493.7199999999998</v>
      </c>
      <c r="G275" s="46" t="str">
        <f>Source!DD149</f>
        <v/>
      </c>
      <c r="H275" s="44">
        <f>Source!AW150</f>
        <v>1</v>
      </c>
      <c r="I275" s="45">
        <f>Source!P149</f>
        <v>4987.4399999999996</v>
      </c>
      <c r="J275" s="44">
        <f>IF(Source!BC150&lt;&gt; 0, Source!BC150, 1)</f>
        <v>3.71</v>
      </c>
      <c r="K275" s="45">
        <f>Source!P150</f>
        <v>18503.400000000001</v>
      </c>
      <c r="Q275">
        <f>Source!X149</f>
        <v>0</v>
      </c>
      <c r="R275">
        <f>Source!X150</f>
        <v>0</v>
      </c>
      <c r="S275">
        <f>Source!Y149</f>
        <v>0</v>
      </c>
      <c r="T275">
        <f>Source!Y150</f>
        <v>0</v>
      </c>
      <c r="U275">
        <f>ROUND((175/100)*ROUND(Source!R149, 2), 2)</f>
        <v>0</v>
      </c>
      <c r="V275">
        <f>ROUND((0/100)*ROUND(Source!R150, 2), 2)</f>
        <v>0</v>
      </c>
      <c r="AC275">
        <v>3</v>
      </c>
    </row>
    <row r="276" spans="1:29" ht="15" x14ac:dyDescent="0.2">
      <c r="C276" s="47" t="s">
        <v>666</v>
      </c>
      <c r="H276" s="48">
        <f>I275+0</f>
        <v>4987.4399999999996</v>
      </c>
      <c r="I276" s="48"/>
      <c r="J276" s="48">
        <f>K275+0</f>
        <v>18503.400000000001</v>
      </c>
      <c r="K276" s="48"/>
      <c r="O276" s="51">
        <f>I275+0</f>
        <v>4987.4399999999996</v>
      </c>
      <c r="P276" s="51">
        <f>K275+0</f>
        <v>18503.400000000001</v>
      </c>
    </row>
    <row r="278" spans="1:29" ht="42.75" x14ac:dyDescent="0.2">
      <c r="A278" s="35">
        <v>45</v>
      </c>
      <c r="B278" s="35" t="str">
        <f>Source!F151</f>
        <v>3.18-25-1</v>
      </c>
      <c r="C278" s="35" t="s">
        <v>95</v>
      </c>
      <c r="D278" s="37" t="str">
        <f>Source!H151</f>
        <v>100 шт.</v>
      </c>
      <c r="E278" s="36">
        <f>Source!I151</f>
        <v>0.31</v>
      </c>
      <c r="F278" s="39"/>
      <c r="G278" s="38"/>
      <c r="H278" s="36"/>
      <c r="I278" s="39"/>
      <c r="J278" s="36"/>
      <c r="K278" s="39"/>
      <c r="Q278">
        <f>Source!X151</f>
        <v>423.15</v>
      </c>
      <c r="R278">
        <f>Source!X152</f>
        <v>23268.95</v>
      </c>
      <c r="S278">
        <f>Source!Y151</f>
        <v>236.81</v>
      </c>
      <c r="T278">
        <f>Source!Y152</f>
        <v>13022.07</v>
      </c>
      <c r="U278">
        <f>ROUND((175/100)*ROUND(Source!R151, 2), 2)</f>
        <v>8.19</v>
      </c>
      <c r="V278">
        <f>ROUND((0/100)*ROUND(Source!R152, 2), 2)</f>
        <v>0</v>
      </c>
      <c r="AC278">
        <v>0</v>
      </c>
    </row>
    <row r="279" spans="1:29" x14ac:dyDescent="0.2">
      <c r="C279" s="40" t="str">
        <f>"Объем: "&amp;Source!I151&amp;"=(1+"&amp;"5+"&amp;"13+"&amp;"12)/"&amp;"100"</f>
        <v>Объем: 0,31=(1+5+13+12)/100</v>
      </c>
    </row>
    <row r="280" spans="1:29" ht="28.5" x14ac:dyDescent="0.2">
      <c r="A280" s="35"/>
      <c r="B280" s="35"/>
      <c r="C280" s="35" t="s">
        <v>655</v>
      </c>
      <c r="D280" s="37"/>
      <c r="E280" s="36"/>
      <c r="F280" s="39">
        <f>Source!AO151</f>
        <v>916.6</v>
      </c>
      <c r="G280" s="38" t="str">
        <f>Source!DG151</f>
        <v>*1,15)*1,1</v>
      </c>
      <c r="H280" s="36">
        <f>Source!AV152</f>
        <v>1.0669999999999999</v>
      </c>
      <c r="I280" s="39">
        <f>Source!S151</f>
        <v>383.53</v>
      </c>
      <c r="J280" s="36">
        <f>IF(Source!BA152&lt;&gt; 0, Source!BA152, 1)</f>
        <v>54.99</v>
      </c>
      <c r="K280" s="39">
        <f>Source!S152</f>
        <v>21090.31</v>
      </c>
    </row>
    <row r="281" spans="1:29" ht="28.5" x14ac:dyDescent="0.2">
      <c r="A281" s="35"/>
      <c r="B281" s="35"/>
      <c r="C281" s="35" t="s">
        <v>656</v>
      </c>
      <c r="D281" s="37"/>
      <c r="E281" s="36"/>
      <c r="F281" s="39">
        <f>Source!AM151</f>
        <v>95.35</v>
      </c>
      <c r="G281" s="38" t="str">
        <f>Source!DE151</f>
        <v>*1,25)*1,1</v>
      </c>
      <c r="H281" s="36">
        <f>Source!AV152</f>
        <v>1.0669999999999999</v>
      </c>
      <c r="I281" s="39">
        <f>Source!Q151</f>
        <v>43.37</v>
      </c>
      <c r="J281" s="36">
        <f>IF(Source!BB152&lt;&gt; 0, Source!BB152, 1)</f>
        <v>14.33</v>
      </c>
      <c r="K281" s="39">
        <f>Source!Q152</f>
        <v>621.49</v>
      </c>
    </row>
    <row r="282" spans="1:29" ht="28.5" x14ac:dyDescent="0.2">
      <c r="A282" s="35"/>
      <c r="B282" s="35"/>
      <c r="C282" s="35" t="s">
        <v>657</v>
      </c>
      <c r="D282" s="37"/>
      <c r="E282" s="36"/>
      <c r="F282" s="39">
        <f>Source!AN151</f>
        <v>10.3</v>
      </c>
      <c r="G282" s="38" t="str">
        <f>Source!DF151</f>
        <v>*1,25)*1,1</v>
      </c>
      <c r="H282" s="36">
        <f>Source!AV152</f>
        <v>1.0669999999999999</v>
      </c>
      <c r="I282" s="41">
        <f>Source!R151</f>
        <v>4.68</v>
      </c>
      <c r="J282" s="36">
        <f>IF(Source!BS152&lt;&gt; 0, Source!BS152, 1)</f>
        <v>54.99</v>
      </c>
      <c r="K282" s="41">
        <f>Source!R152</f>
        <v>257.35000000000002</v>
      </c>
    </row>
    <row r="283" spans="1:29" ht="14.25" x14ac:dyDescent="0.2">
      <c r="A283" s="35"/>
      <c r="B283" s="35"/>
      <c r="C283" s="35" t="s">
        <v>658</v>
      </c>
      <c r="D283" s="37"/>
      <c r="E283" s="36"/>
      <c r="F283" s="39">
        <f>Source!AL151</f>
        <v>2078.9</v>
      </c>
      <c r="G283" s="38" t="str">
        <f>Source!DD151</f>
        <v/>
      </c>
      <c r="H283" s="36">
        <f>Source!AW152</f>
        <v>1</v>
      </c>
      <c r="I283" s="39">
        <f>Source!P151</f>
        <v>644.46</v>
      </c>
      <c r="J283" s="36">
        <f>IF(Source!BC152&lt;&gt; 0, Source!BC152, 1)</f>
        <v>20.59</v>
      </c>
      <c r="K283" s="39">
        <f>Source!P152</f>
        <v>13269.43</v>
      </c>
    </row>
    <row r="284" spans="1:29" ht="14.25" x14ac:dyDescent="0.2">
      <c r="A284" s="35"/>
      <c r="B284" s="35"/>
      <c r="C284" s="35" t="s">
        <v>659</v>
      </c>
      <c r="D284" s="37" t="s">
        <v>660</v>
      </c>
      <c r="E284" s="36">
        <f>Source!BZ152</f>
        <v>109</v>
      </c>
      <c r="F284" s="39"/>
      <c r="G284" s="38"/>
      <c r="H284" s="36"/>
      <c r="I284" s="39">
        <f>SUM(Q278:Q283)</f>
        <v>423.15</v>
      </c>
      <c r="J284" s="36">
        <f>Source!AT152</f>
        <v>109</v>
      </c>
      <c r="K284" s="39">
        <f>SUM(R278:R283)</f>
        <v>23268.95</v>
      </c>
    </row>
    <row r="285" spans="1:29" ht="14.25" x14ac:dyDescent="0.2">
      <c r="A285" s="35"/>
      <c r="B285" s="35"/>
      <c r="C285" s="35" t="s">
        <v>661</v>
      </c>
      <c r="D285" s="37" t="s">
        <v>660</v>
      </c>
      <c r="E285" s="36">
        <f>Source!CA152</f>
        <v>61</v>
      </c>
      <c r="F285" s="39"/>
      <c r="G285" s="38"/>
      <c r="H285" s="36"/>
      <c r="I285" s="39">
        <f>SUM(S278:S284)</f>
        <v>236.81</v>
      </c>
      <c r="J285" s="36">
        <f>Source!AU152</f>
        <v>61</v>
      </c>
      <c r="K285" s="39">
        <f>SUM(T278:T284)</f>
        <v>13022.07</v>
      </c>
    </row>
    <row r="286" spans="1:29" ht="28.5" x14ac:dyDescent="0.2">
      <c r="A286" s="42"/>
      <c r="B286" s="42"/>
      <c r="C286" s="42" t="s">
        <v>662</v>
      </c>
      <c r="D286" s="43" t="s">
        <v>663</v>
      </c>
      <c r="E286" s="44">
        <f>Source!AQ151</f>
        <v>74.7</v>
      </c>
      <c r="F286" s="45"/>
      <c r="G286" s="46" t="str">
        <f>Source!DI151</f>
        <v>*1,15)*1,1</v>
      </c>
      <c r="H286" s="44">
        <f>Source!AV152</f>
        <v>1.0669999999999999</v>
      </c>
      <c r="I286" s="45">
        <f>Source!U151</f>
        <v>31.256276535000001</v>
      </c>
      <c r="J286" s="44"/>
      <c r="K286" s="45"/>
    </row>
    <row r="287" spans="1:29" ht="15" x14ac:dyDescent="0.2">
      <c r="C287" s="47" t="s">
        <v>664</v>
      </c>
      <c r="H287" s="48">
        <f>I280+I281+I283+I284+I285+0-0-0</f>
        <v>1731.3200000000002</v>
      </c>
      <c r="I287" s="48"/>
      <c r="J287" s="48">
        <f>K280+K281+K283+K284+K285+0-0-0</f>
        <v>71272.25</v>
      </c>
      <c r="K287" s="48"/>
    </row>
    <row r="288" spans="1:29" ht="15" hidden="1" x14ac:dyDescent="0.2">
      <c r="C288" s="47" t="s">
        <v>665</v>
      </c>
      <c r="H288" s="50">
        <f>0+0</f>
        <v>0</v>
      </c>
      <c r="I288" s="50"/>
      <c r="J288" s="50">
        <f>0+0</f>
        <v>0</v>
      </c>
      <c r="K288" s="50"/>
    </row>
    <row r="289" spans="1:29" ht="15" x14ac:dyDescent="0.2">
      <c r="C289" s="47" t="s">
        <v>666</v>
      </c>
      <c r="H289" s="50">
        <f>I280+I281+I283+I284+I285+0</f>
        <v>1731.3200000000002</v>
      </c>
      <c r="I289" s="50"/>
      <c r="J289" s="50">
        <f>K280+K281+K283+K284+K285+0</f>
        <v>71272.25</v>
      </c>
      <c r="K289" s="50"/>
      <c r="O289" s="51">
        <f>I280+I281+I283+I284+I285+0</f>
        <v>1731.3200000000002</v>
      </c>
      <c r="P289" s="51">
        <f>K280+K281+K283+K284+K285+0</f>
        <v>71272.25</v>
      </c>
    </row>
    <row r="291" spans="1:29" ht="69.75" x14ac:dyDescent="0.2">
      <c r="A291" s="42">
        <v>46</v>
      </c>
      <c r="B291" s="42" t="str">
        <f>Source!F153</f>
        <v>КА-24</v>
      </c>
      <c r="C291" s="42" t="s">
        <v>694</v>
      </c>
      <c r="D291" s="43" t="str">
        <f>Source!H153</f>
        <v>ШТ</v>
      </c>
      <c r="E291" s="44">
        <f>Source!I153</f>
        <v>1</v>
      </c>
      <c r="F291" s="45">
        <f>Source!AL153</f>
        <v>586.74</v>
      </c>
      <c r="G291" s="46" t="str">
        <f>Source!DD153</f>
        <v/>
      </c>
      <c r="H291" s="44">
        <f>Source!AW154</f>
        <v>1</v>
      </c>
      <c r="I291" s="45">
        <f>Source!P153</f>
        <v>586.74</v>
      </c>
      <c r="J291" s="44">
        <f>IF(Source!BC154&lt;&gt; 0, Source!BC154, 1)</f>
        <v>9.8800000000000008</v>
      </c>
      <c r="K291" s="45">
        <f>Source!P154</f>
        <v>5796.99</v>
      </c>
      <c r="Q291">
        <f>Source!X153</f>
        <v>0</v>
      </c>
      <c r="R291">
        <f>Source!X154</f>
        <v>0</v>
      </c>
      <c r="S291">
        <f>Source!Y153</f>
        <v>0</v>
      </c>
      <c r="T291">
        <f>Source!Y154</f>
        <v>0</v>
      </c>
      <c r="U291">
        <f>ROUND((175/100)*ROUND(Source!R153, 2), 2)</f>
        <v>0</v>
      </c>
      <c r="V291">
        <f>ROUND((0/100)*ROUND(Source!R154, 2), 2)</f>
        <v>0</v>
      </c>
      <c r="AC291">
        <v>3</v>
      </c>
    </row>
    <row r="292" spans="1:29" ht="15" x14ac:dyDescent="0.2">
      <c r="C292" s="47" t="s">
        <v>666</v>
      </c>
      <c r="H292" s="48">
        <f>I291+0</f>
        <v>586.74</v>
      </c>
      <c r="I292" s="48"/>
      <c r="J292" s="48">
        <f>K291+0</f>
        <v>5796.99</v>
      </c>
      <c r="K292" s="48"/>
      <c r="O292" s="51">
        <f>I291+0</f>
        <v>586.74</v>
      </c>
      <c r="P292" s="51">
        <f>K291+0</f>
        <v>5796.99</v>
      </c>
    </row>
    <row r="294" spans="1:29" ht="69.75" x14ac:dyDescent="0.2">
      <c r="A294" s="42">
        <v>47</v>
      </c>
      <c r="B294" s="42" t="str">
        <f>Source!F155</f>
        <v>КА-25</v>
      </c>
      <c r="C294" s="42" t="s">
        <v>695</v>
      </c>
      <c r="D294" s="43" t="str">
        <f>Source!H155</f>
        <v>ШТ</v>
      </c>
      <c r="E294" s="44">
        <f>Source!I155</f>
        <v>5</v>
      </c>
      <c r="F294" s="45">
        <f>Source!AL155</f>
        <v>725.25</v>
      </c>
      <c r="G294" s="46" t="str">
        <f>Source!DD155</f>
        <v/>
      </c>
      <c r="H294" s="44">
        <f>Source!AW156</f>
        <v>1</v>
      </c>
      <c r="I294" s="45">
        <f>Source!P155</f>
        <v>3626.25</v>
      </c>
      <c r="J294" s="44">
        <f>IF(Source!BC156&lt;&gt; 0, Source!BC156, 1)</f>
        <v>9.8800000000000008</v>
      </c>
      <c r="K294" s="45">
        <f>Source!P156</f>
        <v>35827.35</v>
      </c>
      <c r="Q294">
        <f>Source!X155</f>
        <v>0</v>
      </c>
      <c r="R294">
        <f>Source!X156</f>
        <v>0</v>
      </c>
      <c r="S294">
        <f>Source!Y155</f>
        <v>0</v>
      </c>
      <c r="T294">
        <f>Source!Y156</f>
        <v>0</v>
      </c>
      <c r="U294">
        <f>ROUND((175/100)*ROUND(Source!R155, 2), 2)</f>
        <v>0</v>
      </c>
      <c r="V294">
        <f>ROUND((0/100)*ROUND(Source!R156, 2), 2)</f>
        <v>0</v>
      </c>
      <c r="AC294">
        <v>3</v>
      </c>
    </row>
    <row r="295" spans="1:29" ht="15" x14ac:dyDescent="0.2">
      <c r="C295" s="47" t="s">
        <v>666</v>
      </c>
      <c r="H295" s="48">
        <f>I294+0</f>
        <v>3626.25</v>
      </c>
      <c r="I295" s="48"/>
      <c r="J295" s="48">
        <f>K294+0</f>
        <v>35827.35</v>
      </c>
      <c r="K295" s="48"/>
      <c r="O295" s="51">
        <f>I294+0</f>
        <v>3626.25</v>
      </c>
      <c r="P295" s="51">
        <f>K294+0</f>
        <v>35827.35</v>
      </c>
    </row>
    <row r="297" spans="1:29" ht="71.25" x14ac:dyDescent="0.2">
      <c r="A297" s="42">
        <v>48</v>
      </c>
      <c r="B297" s="42" t="str">
        <f>Source!F157</f>
        <v>1.18-4-464</v>
      </c>
      <c r="C297" s="42" t="s">
        <v>259</v>
      </c>
      <c r="D297" s="43" t="str">
        <f>Source!H157</f>
        <v>шт.</v>
      </c>
      <c r="E297" s="44">
        <f>Source!I157</f>
        <v>13</v>
      </c>
      <c r="F297" s="45">
        <f>Source!AL157</f>
        <v>2004.13</v>
      </c>
      <c r="G297" s="46" t="str">
        <f>Source!DD157</f>
        <v/>
      </c>
      <c r="H297" s="44">
        <f>Source!AW158</f>
        <v>1</v>
      </c>
      <c r="I297" s="45">
        <f>Source!P157</f>
        <v>26053.69</v>
      </c>
      <c r="J297" s="44">
        <f>IF(Source!BC158&lt;&gt; 0, Source!BC158, 1)</f>
        <v>5</v>
      </c>
      <c r="K297" s="45">
        <f>Source!P158</f>
        <v>130268.45</v>
      </c>
      <c r="Q297">
        <f>Source!X157</f>
        <v>0</v>
      </c>
      <c r="R297">
        <f>Source!X158</f>
        <v>0</v>
      </c>
      <c r="S297">
        <f>Source!Y157</f>
        <v>0</v>
      </c>
      <c r="T297">
        <f>Source!Y158</f>
        <v>0</v>
      </c>
      <c r="U297">
        <f>ROUND((175/100)*ROUND(Source!R157, 2), 2)</f>
        <v>0</v>
      </c>
      <c r="V297">
        <f>ROUND((0/100)*ROUND(Source!R158, 2), 2)</f>
        <v>0</v>
      </c>
      <c r="AC297">
        <v>3</v>
      </c>
    </row>
    <row r="298" spans="1:29" ht="15" x14ac:dyDescent="0.2">
      <c r="C298" s="47" t="s">
        <v>666</v>
      </c>
      <c r="H298" s="48">
        <f>I297+0</f>
        <v>26053.69</v>
      </c>
      <c r="I298" s="48"/>
      <c r="J298" s="48">
        <f>K297+0</f>
        <v>130268.45</v>
      </c>
      <c r="K298" s="48"/>
      <c r="O298" s="51">
        <f>I297+0</f>
        <v>26053.69</v>
      </c>
      <c r="P298" s="51">
        <f>K297+0</f>
        <v>130268.45</v>
      </c>
    </row>
    <row r="300" spans="1:29" ht="71.25" x14ac:dyDescent="0.2">
      <c r="A300" s="42">
        <v>49</v>
      </c>
      <c r="B300" s="42" t="str">
        <f>Source!F159</f>
        <v>1.18-4-466</v>
      </c>
      <c r="C300" s="42" t="s">
        <v>263</v>
      </c>
      <c r="D300" s="43" t="str">
        <f>Source!H159</f>
        <v>шт.</v>
      </c>
      <c r="E300" s="44">
        <f>Source!I159</f>
        <v>12</v>
      </c>
      <c r="F300" s="45">
        <f>Source!AL159</f>
        <v>2394.12</v>
      </c>
      <c r="G300" s="46" t="str">
        <f>Source!DD159</f>
        <v/>
      </c>
      <c r="H300" s="44">
        <f>Source!AW160</f>
        <v>1</v>
      </c>
      <c r="I300" s="45">
        <f>Source!P159</f>
        <v>28729.439999999999</v>
      </c>
      <c r="J300" s="44">
        <f>IF(Source!BC160&lt;&gt; 0, Source!BC160, 1)</f>
        <v>4.83</v>
      </c>
      <c r="K300" s="45">
        <f>Source!P160</f>
        <v>138763.20000000001</v>
      </c>
      <c r="Q300">
        <f>Source!X159</f>
        <v>0</v>
      </c>
      <c r="R300">
        <f>Source!X160</f>
        <v>0</v>
      </c>
      <c r="S300">
        <f>Source!Y159</f>
        <v>0</v>
      </c>
      <c r="T300">
        <f>Source!Y160</f>
        <v>0</v>
      </c>
      <c r="U300">
        <f>ROUND((175/100)*ROUND(Source!R159, 2), 2)</f>
        <v>0</v>
      </c>
      <c r="V300">
        <f>ROUND((0/100)*ROUND(Source!R160, 2), 2)</f>
        <v>0</v>
      </c>
      <c r="AC300">
        <v>3</v>
      </c>
    </row>
    <row r="301" spans="1:29" ht="15" x14ac:dyDescent="0.2">
      <c r="C301" s="47" t="s">
        <v>666</v>
      </c>
      <c r="H301" s="48">
        <f>I300+0</f>
        <v>28729.439999999999</v>
      </c>
      <c r="I301" s="48"/>
      <c r="J301" s="48">
        <f>K300+0</f>
        <v>138763.20000000001</v>
      </c>
      <c r="K301" s="48"/>
      <c r="O301" s="51">
        <f>I300+0</f>
        <v>28729.439999999999</v>
      </c>
      <c r="P301" s="51">
        <f>K300+0</f>
        <v>138763.20000000001</v>
      </c>
    </row>
    <row r="304" spans="1:29" ht="15" x14ac:dyDescent="0.25">
      <c r="B304" s="61" t="str">
        <f>Source!G161</f>
        <v>Аксессуары для радиаторов</v>
      </c>
      <c r="C304" s="61"/>
      <c r="D304" s="61"/>
      <c r="E304" s="61"/>
      <c r="F304" s="61"/>
      <c r="G304" s="61"/>
      <c r="H304" s="61"/>
      <c r="I304" s="61"/>
      <c r="J304" s="61"/>
    </row>
    <row r="305" spans="1:29" ht="41.25" x14ac:dyDescent="0.2">
      <c r="A305" s="42">
        <v>50</v>
      </c>
      <c r="B305" s="42" t="str">
        <f>Source!F162</f>
        <v>КА-26</v>
      </c>
      <c r="C305" s="42" t="s">
        <v>696</v>
      </c>
      <c r="D305" s="43" t="str">
        <f>Source!H162</f>
        <v>ШТ</v>
      </c>
      <c r="E305" s="44">
        <f>Source!I162</f>
        <v>347</v>
      </c>
      <c r="F305" s="45">
        <f>Source!AL162</f>
        <v>56.78</v>
      </c>
      <c r="G305" s="46" t="str">
        <f>Source!DD162</f>
        <v/>
      </c>
      <c r="H305" s="44">
        <f>Source!AW163</f>
        <v>1</v>
      </c>
      <c r="I305" s="45">
        <f>Source!P162</f>
        <v>19702.66</v>
      </c>
      <c r="J305" s="44">
        <f>IF(Source!BC163&lt;&gt; 0, Source!BC163, 1)</f>
        <v>9.8800000000000008</v>
      </c>
      <c r="K305" s="45">
        <f>Source!P163</f>
        <v>194662.28</v>
      </c>
      <c r="Q305">
        <f>Source!X162</f>
        <v>0</v>
      </c>
      <c r="R305">
        <f>Source!X163</f>
        <v>0</v>
      </c>
      <c r="S305">
        <f>Source!Y162</f>
        <v>0</v>
      </c>
      <c r="T305">
        <f>Source!Y163</f>
        <v>0</v>
      </c>
      <c r="U305">
        <f>ROUND((175/100)*ROUND(Source!R162, 2), 2)</f>
        <v>0</v>
      </c>
      <c r="V305">
        <f>ROUND((0/100)*ROUND(Source!R163, 2), 2)</f>
        <v>0</v>
      </c>
      <c r="AC305">
        <v>3</v>
      </c>
    </row>
    <row r="306" spans="1:29" ht="15" x14ac:dyDescent="0.2">
      <c r="C306" s="47" t="s">
        <v>666</v>
      </c>
      <c r="H306" s="48">
        <f>I305+0</f>
        <v>19702.66</v>
      </c>
      <c r="I306" s="48"/>
      <c r="J306" s="48">
        <f>K305+0</f>
        <v>194662.28</v>
      </c>
      <c r="K306" s="48"/>
      <c r="O306" s="51">
        <f>I305+0</f>
        <v>19702.66</v>
      </c>
      <c r="P306" s="51">
        <f>K305+0</f>
        <v>194662.28</v>
      </c>
    </row>
    <row r="309" spans="1:29" ht="15" x14ac:dyDescent="0.25">
      <c r="B309" s="61" t="str">
        <f>Source!G164</f>
        <v>Арматура радиаторная</v>
      </c>
      <c r="C309" s="61"/>
      <c r="D309" s="61"/>
      <c r="E309" s="61"/>
      <c r="F309" s="61"/>
      <c r="G309" s="61"/>
      <c r="H309" s="61"/>
      <c r="I309" s="61"/>
      <c r="J309" s="61"/>
    </row>
    <row r="310" spans="1:29" ht="28.5" x14ac:dyDescent="0.2">
      <c r="A310" s="35">
        <v>51</v>
      </c>
      <c r="B310" s="35" t="str">
        <f>Source!F165</f>
        <v>3.18-22-1</v>
      </c>
      <c r="C310" s="35" t="s">
        <v>273</v>
      </c>
      <c r="D310" s="37" t="str">
        <f>Source!H165</f>
        <v>100 шт.</v>
      </c>
      <c r="E310" s="36">
        <f>Source!I165</f>
        <v>3.47</v>
      </c>
      <c r="F310" s="39"/>
      <c r="G310" s="38"/>
      <c r="H310" s="36"/>
      <c r="I310" s="39"/>
      <c r="J310" s="36"/>
      <c r="K310" s="39"/>
      <c r="Q310">
        <f>Source!X165</f>
        <v>5258.42</v>
      </c>
      <c r="R310">
        <f>Source!X166</f>
        <v>289160.59999999998</v>
      </c>
      <c r="S310">
        <f>Source!Y165</f>
        <v>2942.79</v>
      </c>
      <c r="T310">
        <f>Source!Y166</f>
        <v>161823.82</v>
      </c>
      <c r="U310">
        <f>ROUND((175/100)*ROUND(Source!R165, 2), 2)</f>
        <v>2.68</v>
      </c>
      <c r="V310">
        <f>ROUND((0/100)*ROUND(Source!R166, 2), 2)</f>
        <v>0</v>
      </c>
      <c r="AC310">
        <v>0</v>
      </c>
    </row>
    <row r="311" spans="1:29" x14ac:dyDescent="0.2">
      <c r="C311" s="40" t="str">
        <f>"Объем: "&amp;Source!I165&amp;"=347/"&amp;"100"</f>
        <v>Объем: 3,47=347/100</v>
      </c>
    </row>
    <row r="312" spans="1:29" ht="28.5" x14ac:dyDescent="0.2">
      <c r="A312" s="35"/>
      <c r="B312" s="35"/>
      <c r="C312" s="35" t="s">
        <v>655</v>
      </c>
      <c r="D312" s="37"/>
      <c r="E312" s="36"/>
      <c r="F312" s="39">
        <f>Source!AO165</f>
        <v>1029.69</v>
      </c>
      <c r="G312" s="38" t="str">
        <f>Source!DG165</f>
        <v>*1,15)*1,1</v>
      </c>
      <c r="H312" s="36">
        <f>Source!AV166</f>
        <v>1.0669999999999999</v>
      </c>
      <c r="I312" s="39">
        <f>Source!S165</f>
        <v>4822.71</v>
      </c>
      <c r="J312" s="36">
        <f>IF(Source!BA166&lt;&gt; 0, Source!BA166, 1)</f>
        <v>54.99</v>
      </c>
      <c r="K312" s="39">
        <f>Source!S166</f>
        <v>265200.82</v>
      </c>
    </row>
    <row r="313" spans="1:29" ht="28.5" x14ac:dyDescent="0.2">
      <c r="A313" s="35"/>
      <c r="B313" s="35"/>
      <c r="C313" s="35" t="s">
        <v>656</v>
      </c>
      <c r="D313" s="37"/>
      <c r="E313" s="36"/>
      <c r="F313" s="39">
        <f>Source!AM165</f>
        <v>7.12</v>
      </c>
      <c r="G313" s="38" t="str">
        <f>Source!DE165</f>
        <v>*1,25)*1,1</v>
      </c>
      <c r="H313" s="36">
        <f>Source!AV166</f>
        <v>1.0669999999999999</v>
      </c>
      <c r="I313" s="39">
        <f>Source!Q165</f>
        <v>36.25</v>
      </c>
      <c r="J313" s="36">
        <f>IF(Source!BB166&lt;&gt; 0, Source!BB166, 1)</f>
        <v>11.26</v>
      </c>
      <c r="K313" s="39">
        <f>Source!Q166</f>
        <v>408.18</v>
      </c>
    </row>
    <row r="314" spans="1:29" ht="28.5" x14ac:dyDescent="0.2">
      <c r="A314" s="35"/>
      <c r="B314" s="35"/>
      <c r="C314" s="35" t="s">
        <v>657</v>
      </c>
      <c r="D314" s="37"/>
      <c r="E314" s="36"/>
      <c r="F314" s="39">
        <f>Source!AN165</f>
        <v>0.3</v>
      </c>
      <c r="G314" s="38" t="str">
        <f>Source!DF165</f>
        <v>*1,25)*1,1</v>
      </c>
      <c r="H314" s="36">
        <f>Source!AV166</f>
        <v>1.0669999999999999</v>
      </c>
      <c r="I314" s="41">
        <f>Source!R165</f>
        <v>1.53</v>
      </c>
      <c r="J314" s="36">
        <f>IF(Source!BS166&lt;&gt; 0, Source!BS166, 1)</f>
        <v>54.99</v>
      </c>
      <c r="K314" s="41">
        <f>Source!R166</f>
        <v>84.13</v>
      </c>
    </row>
    <row r="315" spans="1:29" ht="14.25" x14ac:dyDescent="0.2">
      <c r="A315" s="35"/>
      <c r="B315" s="35"/>
      <c r="C315" s="35" t="s">
        <v>658</v>
      </c>
      <c r="D315" s="37"/>
      <c r="E315" s="36"/>
      <c r="F315" s="39">
        <f>Source!AL165</f>
        <v>156.15</v>
      </c>
      <c r="G315" s="38" t="str">
        <f>Source!DD165</f>
        <v/>
      </c>
      <c r="H315" s="36">
        <f>Source!AW166</f>
        <v>1</v>
      </c>
      <c r="I315" s="39">
        <f>Source!P165</f>
        <v>541.84</v>
      </c>
      <c r="J315" s="36">
        <f>IF(Source!BC166&lt;&gt; 0, Source!BC166, 1)</f>
        <v>1.96</v>
      </c>
      <c r="K315" s="39">
        <f>Source!P166</f>
        <v>1062.01</v>
      </c>
    </row>
    <row r="316" spans="1:29" ht="114" x14ac:dyDescent="0.2">
      <c r="A316" s="35" t="s">
        <v>275</v>
      </c>
      <c r="B316" s="35" t="str">
        <f>Source!F167</f>
        <v>1.13-3-172</v>
      </c>
      <c r="C316" s="35" t="s">
        <v>277</v>
      </c>
      <c r="D316" s="37" t="str">
        <f>Source!H167</f>
        <v>шт.</v>
      </c>
      <c r="E316" s="36">
        <f>Source!I167</f>
        <v>347</v>
      </c>
      <c r="F316" s="39">
        <f>Source!AK167</f>
        <v>183.31</v>
      </c>
      <c r="G316" s="62" t="s">
        <v>3</v>
      </c>
      <c r="H316" s="36">
        <f>Source!AW168</f>
        <v>1</v>
      </c>
      <c r="I316" s="39">
        <f>Source!O167</f>
        <v>63608.57</v>
      </c>
      <c r="J316" s="36">
        <f>IF(Source!BC168&lt;&gt; 0, Source!BC168, 1)</f>
        <v>6.39</v>
      </c>
      <c r="K316" s="39">
        <f>Source!O168</f>
        <v>406458.76</v>
      </c>
      <c r="Q316">
        <f>Source!X167</f>
        <v>0</v>
      </c>
      <c r="R316">
        <f>Source!X168</f>
        <v>0</v>
      </c>
      <c r="S316">
        <f>Source!Y167</f>
        <v>0</v>
      </c>
      <c r="T316">
        <f>Source!Y168</f>
        <v>0</v>
      </c>
      <c r="U316">
        <f>ROUND((175/100)*ROUND(Source!R167, 2), 2)</f>
        <v>0</v>
      </c>
      <c r="V316">
        <f>ROUND((0/100)*ROUND(Source!R168, 2), 2)</f>
        <v>0</v>
      </c>
      <c r="AC316">
        <v>3</v>
      </c>
    </row>
    <row r="317" spans="1:29" ht="99.75" x14ac:dyDescent="0.2">
      <c r="A317" s="35" t="s">
        <v>279</v>
      </c>
      <c r="B317" s="35" t="str">
        <f>Source!F169</f>
        <v>1.13-5-24</v>
      </c>
      <c r="C317" s="35" t="s">
        <v>281</v>
      </c>
      <c r="D317" s="37" t="str">
        <f>Source!H169</f>
        <v>шт.</v>
      </c>
      <c r="E317" s="36">
        <f>Source!I169</f>
        <v>347</v>
      </c>
      <c r="F317" s="39">
        <f>Source!AK169</f>
        <v>307.77</v>
      </c>
      <c r="G317" s="62" t="s">
        <v>3</v>
      </c>
      <c r="H317" s="36">
        <f>Source!AW170</f>
        <v>1</v>
      </c>
      <c r="I317" s="39">
        <f>Source!O169</f>
        <v>106796.19</v>
      </c>
      <c r="J317" s="36">
        <f>IF(Source!BC170&lt;&gt; 0, Source!BC170, 1)</f>
        <v>7.36</v>
      </c>
      <c r="K317" s="39">
        <f>Source!O170</f>
        <v>786019.96</v>
      </c>
      <c r="Q317">
        <f>Source!X169</f>
        <v>0</v>
      </c>
      <c r="R317">
        <f>Source!X170</f>
        <v>0</v>
      </c>
      <c r="S317">
        <f>Source!Y169</f>
        <v>0</v>
      </c>
      <c r="T317">
        <f>Source!Y170</f>
        <v>0</v>
      </c>
      <c r="U317">
        <f>ROUND((175/100)*ROUND(Source!R169, 2), 2)</f>
        <v>0</v>
      </c>
      <c r="V317">
        <f>ROUND((0/100)*ROUND(Source!R170, 2), 2)</f>
        <v>0</v>
      </c>
      <c r="AC317">
        <v>3</v>
      </c>
    </row>
    <row r="318" spans="1:29" ht="14.25" x14ac:dyDescent="0.2">
      <c r="A318" s="35"/>
      <c r="B318" s="35"/>
      <c r="C318" s="35" t="s">
        <v>659</v>
      </c>
      <c r="D318" s="37" t="s">
        <v>660</v>
      </c>
      <c r="E318" s="36">
        <f>Source!BZ166</f>
        <v>109</v>
      </c>
      <c r="F318" s="39"/>
      <c r="G318" s="38"/>
      <c r="H318" s="36"/>
      <c r="I318" s="39">
        <f>SUM(Q310:Q317)</f>
        <v>5258.42</v>
      </c>
      <c r="J318" s="36">
        <f>Source!AT166</f>
        <v>109</v>
      </c>
      <c r="K318" s="39">
        <f>SUM(R310:R317)</f>
        <v>289160.59999999998</v>
      </c>
    </row>
    <row r="319" spans="1:29" ht="14.25" x14ac:dyDescent="0.2">
      <c r="A319" s="35"/>
      <c r="B319" s="35"/>
      <c r="C319" s="35" t="s">
        <v>661</v>
      </c>
      <c r="D319" s="37" t="s">
        <v>660</v>
      </c>
      <c r="E319" s="36">
        <f>Source!CA166</f>
        <v>61</v>
      </c>
      <c r="F319" s="39"/>
      <c r="G319" s="38"/>
      <c r="H319" s="36"/>
      <c r="I319" s="39">
        <f>SUM(S310:S318)</f>
        <v>2942.79</v>
      </c>
      <c r="J319" s="36">
        <f>Source!AU166</f>
        <v>61</v>
      </c>
      <c r="K319" s="39">
        <f>SUM(T310:T318)</f>
        <v>161823.82</v>
      </c>
    </row>
    <row r="320" spans="1:29" ht="28.5" x14ac:dyDescent="0.2">
      <c r="A320" s="42"/>
      <c r="B320" s="42"/>
      <c r="C320" s="42" t="s">
        <v>662</v>
      </c>
      <c r="D320" s="43" t="s">
        <v>663</v>
      </c>
      <c r="E320" s="44">
        <f>Source!AQ165</f>
        <v>86.53</v>
      </c>
      <c r="F320" s="45"/>
      <c r="G320" s="46" t="str">
        <f>Source!DI165</f>
        <v>*1,15)*1,1</v>
      </c>
      <c r="H320" s="44">
        <f>Source!AV166</f>
        <v>1.0669999999999999</v>
      </c>
      <c r="I320" s="45">
        <f>Source!U165</f>
        <v>405.27622152049997</v>
      </c>
      <c r="J320" s="44"/>
      <c r="K320" s="45"/>
    </row>
    <row r="321" spans="1:29" ht="15" x14ac:dyDescent="0.2">
      <c r="C321" s="47" t="s">
        <v>664</v>
      </c>
      <c r="H321" s="48">
        <f>I312+I313+I315+I318+I319+SUM(I316:I317)-SUMIF(AC316:AC317, 5, I316:I317)-SUMIF(AC316:AC317, 6, I316:I317)</f>
        <v>184006.77000000002</v>
      </c>
      <c r="I321" s="48"/>
      <c r="J321" s="48">
        <f>K312+K313+K315+K318+K319+SUM(K316:K317)-SUMIF(AC316:AC317, 5, K316:K317)-SUMIF(AC316:AC317, 6, K316:K317)</f>
        <v>1910134.15</v>
      </c>
      <c r="K321" s="48"/>
    </row>
    <row r="322" spans="1:29" ht="15" hidden="1" x14ac:dyDescent="0.2">
      <c r="C322" s="47" t="s">
        <v>665</v>
      </c>
      <c r="H322" s="50">
        <f>SUMIF(AC316:AC317, 5, I316:I317)+SUMIF(AC316:AC317, 6, I316:I317)</f>
        <v>0</v>
      </c>
      <c r="I322" s="50"/>
      <c r="J322" s="50">
        <f>SUMIF(AC316:AC317, 5, K316:K317)+SUMIF(AC316:AC317, 6, K316:K317)</f>
        <v>0</v>
      </c>
      <c r="K322" s="50"/>
    </row>
    <row r="323" spans="1:29" ht="15" x14ac:dyDescent="0.2">
      <c r="C323" s="47" t="s">
        <v>666</v>
      </c>
      <c r="H323" s="50">
        <f>I312+I313+I315+I318+I319+SUM(I316:I317)</f>
        <v>184006.77000000002</v>
      </c>
      <c r="I323" s="50"/>
      <c r="J323" s="50">
        <f>K312+K313+K315+K318+K319+SUM(K316:K317)</f>
        <v>1910134.15</v>
      </c>
      <c r="K323" s="50"/>
      <c r="O323" s="51">
        <f>I312+I313+I315+I318+I319+SUM(I316:I317)</f>
        <v>184006.77000000002</v>
      </c>
      <c r="P323" s="51">
        <f>K312+K313+K315+K318+K319+SUM(K316:K317)</f>
        <v>1910134.15</v>
      </c>
    </row>
    <row r="325" spans="1:29" ht="28.5" x14ac:dyDescent="0.2">
      <c r="A325" s="35">
        <v>52</v>
      </c>
      <c r="B325" s="35" t="str">
        <f>Source!F171</f>
        <v>4.11-2-1</v>
      </c>
      <c r="C325" s="35" t="s">
        <v>285</v>
      </c>
      <c r="D325" s="37" t="str">
        <f>Source!H171</f>
        <v>1  ШТ.</v>
      </c>
      <c r="E325" s="36">
        <f>Source!I171</f>
        <v>347</v>
      </c>
      <c r="F325" s="39"/>
      <c r="G325" s="38"/>
      <c r="H325" s="36"/>
      <c r="I325" s="39"/>
      <c r="J325" s="36"/>
      <c r="K325" s="39"/>
      <c r="Q325">
        <f>Source!X171</f>
        <v>1613.14</v>
      </c>
      <c r="R325">
        <f>Source!X172</f>
        <v>88706.68</v>
      </c>
      <c r="S325">
        <f>Source!Y171</f>
        <v>824.49</v>
      </c>
      <c r="T325">
        <f>Source!Y172</f>
        <v>45338.97</v>
      </c>
      <c r="U325">
        <f>ROUND((175/100)*ROUND(Source!R171, 2), 2)</f>
        <v>0</v>
      </c>
      <c r="V325">
        <f>ROUND((0/100)*ROUND(Source!R172, 2), 2)</f>
        <v>0</v>
      </c>
      <c r="AC325">
        <v>0</v>
      </c>
    </row>
    <row r="326" spans="1:29" ht="28.5" x14ac:dyDescent="0.2">
      <c r="A326" s="35"/>
      <c r="B326" s="35"/>
      <c r="C326" s="35" t="s">
        <v>655</v>
      </c>
      <c r="D326" s="37"/>
      <c r="E326" s="36"/>
      <c r="F326" s="39">
        <f>Source!AO171</f>
        <v>3.9</v>
      </c>
      <c r="G326" s="38" t="str">
        <f>Source!DG171</f>
        <v>*1,15)*1,1</v>
      </c>
      <c r="H326" s="36">
        <f>Source!AV172</f>
        <v>1.0469999999999999</v>
      </c>
      <c r="I326" s="39">
        <f>Source!S171</f>
        <v>1792.38</v>
      </c>
      <c r="J326" s="36">
        <f>IF(Source!BA172&lt;&gt; 0, Source!BA172, 1)</f>
        <v>54.99</v>
      </c>
      <c r="K326" s="39">
        <f>Source!S172</f>
        <v>98562.98</v>
      </c>
    </row>
    <row r="327" spans="1:29" ht="14.25" x14ac:dyDescent="0.2">
      <c r="A327" s="35"/>
      <c r="B327" s="35"/>
      <c r="C327" s="35" t="s">
        <v>658</v>
      </c>
      <c r="D327" s="37"/>
      <c r="E327" s="36"/>
      <c r="F327" s="39">
        <f>Source!AL171</f>
        <v>0.81</v>
      </c>
      <c r="G327" s="38" t="str">
        <f>Source!DD171</f>
        <v/>
      </c>
      <c r="H327" s="36">
        <f>Source!AW172</f>
        <v>1</v>
      </c>
      <c r="I327" s="39">
        <f>Source!P171</f>
        <v>281.07</v>
      </c>
      <c r="J327" s="36">
        <f>IF(Source!BC172&lt;&gt; 0, Source!BC172, 1)</f>
        <v>8.8000000000000007</v>
      </c>
      <c r="K327" s="39">
        <f>Source!P172</f>
        <v>2473.42</v>
      </c>
    </row>
    <row r="328" spans="1:29" ht="57" x14ac:dyDescent="0.2">
      <c r="A328" s="35" t="s">
        <v>289</v>
      </c>
      <c r="B328" s="35" t="str">
        <f>Source!F173</f>
        <v>1.13-3-33</v>
      </c>
      <c r="C328" s="35" t="s">
        <v>291</v>
      </c>
      <c r="D328" s="37" t="str">
        <f>Source!H173</f>
        <v>шт.</v>
      </c>
      <c r="E328" s="36">
        <f>Source!I173</f>
        <v>347</v>
      </c>
      <c r="F328" s="39">
        <f>Source!AK173</f>
        <v>54.24</v>
      </c>
      <c r="G328" s="62" t="s">
        <v>3</v>
      </c>
      <c r="H328" s="36">
        <f>Source!AW174</f>
        <v>1</v>
      </c>
      <c r="I328" s="39">
        <f>Source!O173</f>
        <v>18821.28</v>
      </c>
      <c r="J328" s="36">
        <f>IF(Source!BC174&lt;&gt; 0, Source!BC174, 1)</f>
        <v>2.65</v>
      </c>
      <c r="K328" s="39">
        <f>Source!O174</f>
        <v>49876.39</v>
      </c>
      <c r="Q328">
        <f>Source!X173</f>
        <v>0</v>
      </c>
      <c r="R328">
        <f>Source!X174</f>
        <v>0</v>
      </c>
      <c r="S328">
        <f>Source!Y173</f>
        <v>0</v>
      </c>
      <c r="T328">
        <f>Source!Y174</f>
        <v>0</v>
      </c>
      <c r="U328">
        <f>ROUND((175/100)*ROUND(Source!R173, 2), 2)</f>
        <v>0</v>
      </c>
      <c r="V328">
        <f>ROUND((0/100)*ROUND(Source!R174, 2), 2)</f>
        <v>0</v>
      </c>
      <c r="AC328">
        <v>3</v>
      </c>
    </row>
    <row r="329" spans="1:29" ht="14.25" x14ac:dyDescent="0.2">
      <c r="A329" s="35"/>
      <c r="B329" s="35"/>
      <c r="C329" s="35" t="s">
        <v>659</v>
      </c>
      <c r="D329" s="37" t="s">
        <v>660</v>
      </c>
      <c r="E329" s="36">
        <f>Source!BZ172</f>
        <v>90</v>
      </c>
      <c r="F329" s="39"/>
      <c r="G329" s="38"/>
      <c r="H329" s="36"/>
      <c r="I329" s="39">
        <f>SUM(Q325:Q328)</f>
        <v>1613.14</v>
      </c>
      <c r="J329" s="36">
        <f>Source!AT172</f>
        <v>90</v>
      </c>
      <c r="K329" s="39">
        <f>SUM(R325:R328)</f>
        <v>88706.68</v>
      </c>
    </row>
    <row r="330" spans="1:29" ht="14.25" x14ac:dyDescent="0.2">
      <c r="A330" s="35"/>
      <c r="B330" s="35"/>
      <c r="C330" s="35" t="s">
        <v>661</v>
      </c>
      <c r="D330" s="37" t="s">
        <v>660</v>
      </c>
      <c r="E330" s="36">
        <f>Source!CA172</f>
        <v>46</v>
      </c>
      <c r="F330" s="39"/>
      <c r="G330" s="38"/>
      <c r="H330" s="36"/>
      <c r="I330" s="39">
        <f>SUM(S325:S329)</f>
        <v>824.49</v>
      </c>
      <c r="J330" s="36">
        <f>Source!AU172</f>
        <v>46</v>
      </c>
      <c r="K330" s="39">
        <f>SUM(T325:T329)</f>
        <v>45338.97</v>
      </c>
    </row>
    <row r="331" spans="1:29" ht="28.5" x14ac:dyDescent="0.2">
      <c r="A331" s="42"/>
      <c r="B331" s="42"/>
      <c r="C331" s="42" t="s">
        <v>662</v>
      </c>
      <c r="D331" s="43" t="s">
        <v>663</v>
      </c>
      <c r="E331" s="44">
        <f>Source!AQ171</f>
        <v>0.3</v>
      </c>
      <c r="F331" s="45"/>
      <c r="G331" s="46" t="str">
        <f>Source!DI171</f>
        <v>*1,15)*1,1</v>
      </c>
      <c r="H331" s="44">
        <f>Source!AV172</f>
        <v>1.0469999999999999</v>
      </c>
      <c r="I331" s="45">
        <f>Source!U171</f>
        <v>137.8757655</v>
      </c>
      <c r="J331" s="44"/>
      <c r="K331" s="45"/>
    </row>
    <row r="332" spans="1:29" ht="15" x14ac:dyDescent="0.2">
      <c r="C332" s="47" t="s">
        <v>664</v>
      </c>
      <c r="H332" s="48">
        <f>I326+I327+I329+I330+SUM(I328:I328)-SUMIF(AC328:AC328, 5, I328:I328)-SUMIF(AC328:AC328, 6, I328:I328)</f>
        <v>23332.36</v>
      </c>
      <c r="I332" s="48"/>
      <c r="J332" s="48">
        <f>K326+K327+K329+K330+SUM(K328:K328)-SUMIF(AC328:AC328, 5, K328:K328)-SUMIF(AC328:AC328, 6, K328:K328)</f>
        <v>284958.44</v>
      </c>
      <c r="K332" s="48"/>
    </row>
    <row r="333" spans="1:29" ht="15" hidden="1" x14ac:dyDescent="0.2">
      <c r="C333" s="47" t="s">
        <v>665</v>
      </c>
      <c r="H333" s="50">
        <f>SUMIF(AC328:AC328, 5, I328:I328)+SUMIF(AC328:AC328, 6, I328:I328)</f>
        <v>0</v>
      </c>
      <c r="I333" s="50"/>
      <c r="J333" s="50">
        <f>SUMIF(AC328:AC328, 5, K328:K328)+SUMIF(AC328:AC328, 6, K328:K328)</f>
        <v>0</v>
      </c>
      <c r="K333" s="50"/>
    </row>
    <row r="334" spans="1:29" ht="15" x14ac:dyDescent="0.2">
      <c r="C334" s="47" t="s">
        <v>666</v>
      </c>
      <c r="H334" s="50">
        <f>I326+I327+I329+I330+SUM(I328:I328)</f>
        <v>23332.36</v>
      </c>
      <c r="I334" s="50"/>
      <c r="J334" s="50">
        <f>K326+K327+K329+K330+SUM(K328:K328)</f>
        <v>284958.44</v>
      </c>
      <c r="K334" s="50"/>
      <c r="O334" s="51">
        <f>I326+I327+I329+I330+SUM(I328:I328)</f>
        <v>23332.36</v>
      </c>
      <c r="P334" s="51">
        <f>K326+K327+K329+K330+SUM(K328:K328)</f>
        <v>284958.44</v>
      </c>
    </row>
    <row r="337" spans="1:29" ht="15" x14ac:dyDescent="0.25">
      <c r="A337" s="60" t="str">
        <f>CONCATENATE("Итого по разделу: ",IF(Source!G176&lt;&gt;"Новый раздел", Source!G176, ""))</f>
        <v>Итого по разделу: Радиаторы отопления</v>
      </c>
      <c r="B337" s="60"/>
      <c r="C337" s="60"/>
      <c r="D337" s="60"/>
      <c r="E337" s="60"/>
      <c r="F337" s="60"/>
      <c r="G337" s="60"/>
      <c r="H337" s="50">
        <f>SUM(O54:O336)</f>
        <v>624680.74</v>
      </c>
      <c r="I337" s="49"/>
      <c r="J337" s="50">
        <f>SUM(P54:P336)</f>
        <v>6243838.9600000009</v>
      </c>
      <c r="K337" s="49"/>
    </row>
    <row r="338" spans="1:29" hidden="1" x14ac:dyDescent="0.2">
      <c r="A338" t="s">
        <v>669</v>
      </c>
      <c r="I338">
        <f>SUM(W54:W337)</f>
        <v>0</v>
      </c>
      <c r="J338">
        <f>SUM(X54:X337)</f>
        <v>0</v>
      </c>
    </row>
    <row r="339" spans="1:29" hidden="1" x14ac:dyDescent="0.2">
      <c r="A339" t="s">
        <v>670</v>
      </c>
      <c r="I339">
        <f>SUM(Y54:Y338)</f>
        <v>0</v>
      </c>
      <c r="J339">
        <f>SUM(Z54:Z338)</f>
        <v>0</v>
      </c>
    </row>
    <row r="341" spans="1:29" ht="16.5" x14ac:dyDescent="0.2">
      <c r="A341" s="34" t="str">
        <f>CONCATENATE("Раздел: ",IF(Source!G206&lt;&gt;"Новый раздел", Source!G206, ""))</f>
        <v>Раздел: Арматура трубопроводная</v>
      </c>
      <c r="B341" s="34"/>
      <c r="C341" s="34"/>
      <c r="D341" s="34"/>
      <c r="E341" s="34"/>
      <c r="F341" s="34"/>
      <c r="G341" s="34"/>
      <c r="H341" s="34"/>
      <c r="I341" s="34"/>
      <c r="J341" s="34"/>
      <c r="K341" s="34"/>
    </row>
    <row r="342" spans="1:29" ht="128.25" x14ac:dyDescent="0.2">
      <c r="A342" s="42">
        <v>53</v>
      </c>
      <c r="B342" s="42" t="str">
        <f>Source!F210</f>
        <v>1.13-4-72</v>
      </c>
      <c r="C342" s="42" t="s">
        <v>627</v>
      </c>
      <c r="D342" s="43" t="str">
        <f>Source!H210</f>
        <v>шт.</v>
      </c>
      <c r="E342" s="44">
        <f>Source!I210</f>
        <v>120</v>
      </c>
      <c r="F342" s="45">
        <f>Source!AL210</f>
        <v>56.67</v>
      </c>
      <c r="G342" s="46" t="str">
        <f>Source!DD210</f>
        <v/>
      </c>
      <c r="H342" s="44">
        <f>Source!AW211</f>
        <v>1</v>
      </c>
      <c r="I342" s="45">
        <f>Source!P210</f>
        <v>6800.4</v>
      </c>
      <c r="J342" s="44">
        <f>IF(Source!BC211&lt;&gt; 0, Source!BC211, 1)</f>
        <v>25.51</v>
      </c>
      <c r="K342" s="45">
        <f>Source!P211</f>
        <v>173478.2</v>
      </c>
      <c r="Q342">
        <f>Source!X210</f>
        <v>0</v>
      </c>
      <c r="R342">
        <f>Source!X211</f>
        <v>0</v>
      </c>
      <c r="S342">
        <f>Source!Y210</f>
        <v>0</v>
      </c>
      <c r="T342">
        <f>Source!Y211</f>
        <v>0</v>
      </c>
      <c r="U342">
        <f>ROUND((175/100)*ROUND(Source!R210, 2), 2)</f>
        <v>0</v>
      </c>
      <c r="V342">
        <f>ROUND((0/100)*ROUND(Source!R211, 2), 2)</f>
        <v>0</v>
      </c>
      <c r="AC342">
        <v>3</v>
      </c>
    </row>
    <row r="343" spans="1:29" ht="15" x14ac:dyDescent="0.2">
      <c r="C343" s="47" t="s">
        <v>666</v>
      </c>
      <c r="H343" s="48">
        <f>I342+0</f>
        <v>6800.4</v>
      </c>
      <c r="I343" s="48"/>
      <c r="J343" s="48">
        <f>K342+0</f>
        <v>173478.2</v>
      </c>
      <c r="K343" s="48"/>
      <c r="O343" s="51">
        <f>I342+0</f>
        <v>6800.4</v>
      </c>
      <c r="P343" s="51">
        <f>K342+0</f>
        <v>173478.2</v>
      </c>
    </row>
    <row r="345" spans="1:29" ht="28.5" x14ac:dyDescent="0.2">
      <c r="A345" s="35">
        <v>54</v>
      </c>
      <c r="B345" s="35" t="str">
        <f>Source!F212</f>
        <v>3.18-20-5</v>
      </c>
      <c r="C345" s="35" t="s">
        <v>299</v>
      </c>
      <c r="D345" s="37" t="str">
        <f>Source!H212</f>
        <v>1 комплект</v>
      </c>
      <c r="E345" s="36">
        <f>Source!I212</f>
        <v>20</v>
      </c>
      <c r="F345" s="39"/>
      <c r="G345" s="38"/>
      <c r="H345" s="36"/>
      <c r="I345" s="39"/>
      <c r="J345" s="36"/>
      <c r="K345" s="39"/>
      <c r="Q345">
        <f>Source!X212</f>
        <v>46.49</v>
      </c>
      <c r="R345">
        <f>Source!X213</f>
        <v>2556.4</v>
      </c>
      <c r="S345">
        <f>Source!Y212</f>
        <v>26.02</v>
      </c>
      <c r="T345">
        <f>Source!Y213</f>
        <v>1430.65</v>
      </c>
      <c r="U345">
        <f>ROUND((175/100)*ROUND(Source!R212, 2), 2)</f>
        <v>0</v>
      </c>
      <c r="V345">
        <f>ROUND((0/100)*ROUND(Source!R213, 2), 2)</f>
        <v>0</v>
      </c>
      <c r="AC345">
        <v>0</v>
      </c>
    </row>
    <row r="346" spans="1:29" ht="28.5" x14ac:dyDescent="0.2">
      <c r="A346" s="35"/>
      <c r="B346" s="35"/>
      <c r="C346" s="35" t="s">
        <v>655</v>
      </c>
      <c r="D346" s="37"/>
      <c r="E346" s="36"/>
      <c r="F346" s="39">
        <f>Source!AO212</f>
        <v>1.58</v>
      </c>
      <c r="G346" s="38" t="str">
        <f>Source!DG212</f>
        <v>*1,15)*1,1</v>
      </c>
      <c r="H346" s="36">
        <f>Source!AV213</f>
        <v>1.0669999999999999</v>
      </c>
      <c r="I346" s="39">
        <f>Source!S212</f>
        <v>42.65</v>
      </c>
      <c r="J346" s="36">
        <f>IF(Source!BA213&lt;&gt; 0, Source!BA213, 1)</f>
        <v>54.99</v>
      </c>
      <c r="K346" s="39">
        <f>Source!S213</f>
        <v>2345.3200000000002</v>
      </c>
    </row>
    <row r="347" spans="1:29" ht="14.25" x14ac:dyDescent="0.2">
      <c r="A347" s="35"/>
      <c r="B347" s="35"/>
      <c r="C347" s="35" t="s">
        <v>658</v>
      </c>
      <c r="D347" s="37"/>
      <c r="E347" s="36"/>
      <c r="F347" s="39">
        <f>Source!AL212</f>
        <v>5.92</v>
      </c>
      <c r="G347" s="38" t="str">
        <f>Source!DD212</f>
        <v/>
      </c>
      <c r="H347" s="36">
        <f>Source!AW213</f>
        <v>1</v>
      </c>
      <c r="I347" s="39">
        <f>Source!P212</f>
        <v>118.4</v>
      </c>
      <c r="J347" s="36">
        <f>IF(Source!BC213&lt;&gt; 0, Source!BC213, 1)</f>
        <v>6.49</v>
      </c>
      <c r="K347" s="39">
        <f>Source!P213</f>
        <v>768.42</v>
      </c>
    </row>
    <row r="348" spans="1:29" ht="85.5" x14ac:dyDescent="0.2">
      <c r="A348" s="35" t="s">
        <v>302</v>
      </c>
      <c r="B348" s="35" t="str">
        <f>Source!F214</f>
        <v>1.13-4-40</v>
      </c>
      <c r="C348" s="35" t="s">
        <v>304</v>
      </c>
      <c r="D348" s="37" t="str">
        <f>Source!H214</f>
        <v>шт.</v>
      </c>
      <c r="E348" s="36">
        <f>Source!I214</f>
        <v>-20</v>
      </c>
      <c r="F348" s="39">
        <f>Source!AK214</f>
        <v>4.99</v>
      </c>
      <c r="G348" s="62" t="s">
        <v>3</v>
      </c>
      <c r="H348" s="36">
        <f>Source!AW215</f>
        <v>1</v>
      </c>
      <c r="I348" s="39">
        <f>Source!O214</f>
        <v>-99.8</v>
      </c>
      <c r="J348" s="36">
        <f>IF(Source!BC215&lt;&gt; 0, Source!BC215, 1)</f>
        <v>6.76</v>
      </c>
      <c r="K348" s="39">
        <f>Source!O215</f>
        <v>-674.65</v>
      </c>
      <c r="Q348">
        <f>Source!X214</f>
        <v>0</v>
      </c>
      <c r="R348">
        <f>Source!X215</f>
        <v>0</v>
      </c>
      <c r="S348">
        <f>Source!Y214</f>
        <v>0</v>
      </c>
      <c r="T348">
        <f>Source!Y215</f>
        <v>0</v>
      </c>
      <c r="U348">
        <f>ROUND((175/100)*ROUND(Source!R214, 2), 2)</f>
        <v>0</v>
      </c>
      <c r="V348">
        <f>ROUND((0/100)*ROUND(Source!R215, 2), 2)</f>
        <v>0</v>
      </c>
      <c r="AC348">
        <v>3</v>
      </c>
    </row>
    <row r="349" spans="1:29" ht="85.5" x14ac:dyDescent="0.2">
      <c r="A349" s="35" t="s">
        <v>306</v>
      </c>
      <c r="B349" s="35" t="str">
        <f>Source!F216</f>
        <v>1.18-6-143</v>
      </c>
      <c r="C349" s="35" t="s">
        <v>308</v>
      </c>
      <c r="D349" s="37" t="str">
        <f>Source!H216</f>
        <v>шт.</v>
      </c>
      <c r="E349" s="36">
        <f>Source!I216</f>
        <v>20</v>
      </c>
      <c r="F349" s="39">
        <f>Source!AK216</f>
        <v>132.38</v>
      </c>
      <c r="G349" s="62" t="s">
        <v>3</v>
      </c>
      <c r="H349" s="36">
        <f>Source!AW217</f>
        <v>1</v>
      </c>
      <c r="I349" s="39">
        <f>Source!O216</f>
        <v>2647.6</v>
      </c>
      <c r="J349" s="36">
        <f>IF(Source!BC217&lt;&gt; 0, Source!BC217, 1)</f>
        <v>6.32</v>
      </c>
      <c r="K349" s="39">
        <f>Source!O217</f>
        <v>16732.830000000002</v>
      </c>
      <c r="Q349">
        <f>Source!X216</f>
        <v>0</v>
      </c>
      <c r="R349">
        <f>Source!X217</f>
        <v>0</v>
      </c>
      <c r="S349">
        <f>Source!Y216</f>
        <v>0</v>
      </c>
      <c r="T349">
        <f>Source!Y217</f>
        <v>0</v>
      </c>
      <c r="U349">
        <f>ROUND((175/100)*ROUND(Source!R216, 2), 2)</f>
        <v>0</v>
      </c>
      <c r="V349">
        <f>ROUND((0/100)*ROUND(Source!R217, 2), 2)</f>
        <v>0</v>
      </c>
      <c r="AC349">
        <v>3</v>
      </c>
    </row>
    <row r="350" spans="1:29" ht="14.25" x14ac:dyDescent="0.2">
      <c r="A350" s="35"/>
      <c r="B350" s="35"/>
      <c r="C350" s="35" t="s">
        <v>659</v>
      </c>
      <c r="D350" s="37" t="s">
        <v>660</v>
      </c>
      <c r="E350" s="36">
        <f>Source!BZ213</f>
        <v>109</v>
      </c>
      <c r="F350" s="39"/>
      <c r="G350" s="38"/>
      <c r="H350" s="36"/>
      <c r="I350" s="39">
        <f>SUM(Q345:Q349)</f>
        <v>46.49</v>
      </c>
      <c r="J350" s="36">
        <f>Source!AT213</f>
        <v>109</v>
      </c>
      <c r="K350" s="39">
        <f>SUM(R345:R349)</f>
        <v>2556.4</v>
      </c>
    </row>
    <row r="351" spans="1:29" ht="14.25" x14ac:dyDescent="0.2">
      <c r="A351" s="35"/>
      <c r="B351" s="35"/>
      <c r="C351" s="35" t="s">
        <v>661</v>
      </c>
      <c r="D351" s="37" t="s">
        <v>660</v>
      </c>
      <c r="E351" s="36">
        <f>Source!CA213</f>
        <v>61</v>
      </c>
      <c r="F351" s="39"/>
      <c r="G351" s="38"/>
      <c r="H351" s="36"/>
      <c r="I351" s="39">
        <f>SUM(S345:S350)</f>
        <v>26.02</v>
      </c>
      <c r="J351" s="36">
        <f>Source!AU213</f>
        <v>61</v>
      </c>
      <c r="K351" s="39">
        <f>SUM(T345:T350)</f>
        <v>1430.65</v>
      </c>
    </row>
    <row r="352" spans="1:29" ht="28.5" x14ac:dyDescent="0.2">
      <c r="A352" s="42"/>
      <c r="B352" s="42"/>
      <c r="C352" s="42" t="s">
        <v>662</v>
      </c>
      <c r="D352" s="43" t="s">
        <v>663</v>
      </c>
      <c r="E352" s="44">
        <f>Source!AQ212</f>
        <v>0.12</v>
      </c>
      <c r="F352" s="45"/>
      <c r="G352" s="46" t="str">
        <f>Source!DI212</f>
        <v>*1,15)*1,1</v>
      </c>
      <c r="H352" s="44">
        <f>Source!AV213</f>
        <v>1.0669999999999999</v>
      </c>
      <c r="I352" s="45">
        <f>Source!U212</f>
        <v>3.2394119999999997</v>
      </c>
      <c r="J352" s="44"/>
      <c r="K352" s="45"/>
    </row>
    <row r="353" spans="1:29" ht="15" x14ac:dyDescent="0.2">
      <c r="C353" s="47" t="s">
        <v>664</v>
      </c>
      <c r="H353" s="48">
        <f>I346+I347+I350+I351+SUM(I348:I349)-SUMIF(AC348:AC349, 5, I348:I349)-SUMIF(AC348:AC349, 6, I348:I349)</f>
        <v>2781.3599999999997</v>
      </c>
      <c r="I353" s="48"/>
      <c r="J353" s="48">
        <f>K346+K347+K350+K351+SUM(K348:K349)-SUMIF(AC348:AC349, 5, K348:K349)-SUMIF(AC348:AC349, 6, K348:K349)</f>
        <v>23158.97</v>
      </c>
      <c r="K353" s="48"/>
    </row>
    <row r="354" spans="1:29" ht="15" hidden="1" x14ac:dyDescent="0.2">
      <c r="C354" s="47" t="s">
        <v>665</v>
      </c>
      <c r="H354" s="50">
        <f>SUMIF(AC348:AC349, 5, I348:I349)+SUMIF(AC348:AC349, 6, I348:I349)</f>
        <v>0</v>
      </c>
      <c r="I354" s="50"/>
      <c r="J354" s="50">
        <f>SUMIF(AC348:AC349, 5, K348:K349)+SUMIF(AC348:AC349, 6, K348:K349)</f>
        <v>0</v>
      </c>
      <c r="K354" s="50"/>
    </row>
    <row r="355" spans="1:29" ht="15" x14ac:dyDescent="0.2">
      <c r="C355" s="47" t="s">
        <v>666</v>
      </c>
      <c r="H355" s="50">
        <f>I346+I347+I350+I351+SUM(I348:I349)</f>
        <v>2781.3599999999997</v>
      </c>
      <c r="I355" s="50"/>
      <c r="J355" s="50">
        <f>K346+K347+K350+K351+SUM(K348:K349)</f>
        <v>23158.97</v>
      </c>
      <c r="K355" s="50"/>
      <c r="O355" s="51">
        <f>I346+I347+I350+I351+SUM(I348:I349)</f>
        <v>2781.3599999999997</v>
      </c>
      <c r="P355" s="51">
        <f>K346+K347+K350+K351+SUM(K348:K349)</f>
        <v>23158.97</v>
      </c>
    </row>
    <row r="357" spans="1:29" ht="57" x14ac:dyDescent="0.2">
      <c r="A357" s="42">
        <v>55</v>
      </c>
      <c r="B357" s="42" t="str">
        <f>Source!F218</f>
        <v>1.13-4-125</v>
      </c>
      <c r="C357" s="42" t="s">
        <v>312</v>
      </c>
      <c r="D357" s="43" t="str">
        <f>Source!H218</f>
        <v>шт.</v>
      </c>
      <c r="E357" s="44">
        <f>Source!I218</f>
        <v>86</v>
      </c>
      <c r="F357" s="45">
        <f>Source!AL218</f>
        <v>17.59</v>
      </c>
      <c r="G357" s="46" t="str">
        <f>Source!DD218</f>
        <v/>
      </c>
      <c r="H357" s="44">
        <f>Source!AW219</f>
        <v>1</v>
      </c>
      <c r="I357" s="45">
        <f>Source!P218</f>
        <v>1512.74</v>
      </c>
      <c r="J357" s="44">
        <f>IF(Source!BC219&lt;&gt; 0, Source!BC219, 1)</f>
        <v>7.26</v>
      </c>
      <c r="K357" s="45">
        <f>Source!P219</f>
        <v>10982.49</v>
      </c>
      <c r="Q357">
        <f>Source!X218</f>
        <v>0</v>
      </c>
      <c r="R357">
        <f>Source!X219</f>
        <v>0</v>
      </c>
      <c r="S357">
        <f>Source!Y218</f>
        <v>0</v>
      </c>
      <c r="T357">
        <f>Source!Y219</f>
        <v>0</v>
      </c>
      <c r="U357">
        <f>ROUND((175/100)*ROUND(Source!R218, 2), 2)</f>
        <v>0</v>
      </c>
      <c r="V357">
        <f>ROUND((0/100)*ROUND(Source!R219, 2), 2)</f>
        <v>0</v>
      </c>
      <c r="AC357">
        <v>3</v>
      </c>
    </row>
    <row r="358" spans="1:29" ht="15" x14ac:dyDescent="0.2">
      <c r="C358" s="47" t="s">
        <v>666</v>
      </c>
      <c r="H358" s="48">
        <f>I357+0</f>
        <v>1512.74</v>
      </c>
      <c r="I358" s="48"/>
      <c r="J358" s="48">
        <f>K357+0</f>
        <v>10982.49</v>
      </c>
      <c r="K358" s="48"/>
      <c r="O358" s="51">
        <f>I357+0</f>
        <v>1512.74</v>
      </c>
      <c r="P358" s="51">
        <f>K357+0</f>
        <v>10982.49</v>
      </c>
    </row>
    <row r="360" spans="1:29" ht="57" x14ac:dyDescent="0.2">
      <c r="A360" s="42">
        <v>56</v>
      </c>
      <c r="B360" s="42" t="str">
        <f>Source!F220</f>
        <v>1.13-4-126</v>
      </c>
      <c r="C360" s="42" t="s">
        <v>316</v>
      </c>
      <c r="D360" s="43" t="str">
        <f>Source!H220</f>
        <v>шт.</v>
      </c>
      <c r="E360" s="44">
        <f>Source!I220</f>
        <v>10</v>
      </c>
      <c r="F360" s="45">
        <f>Source!AL220</f>
        <v>28.16</v>
      </c>
      <c r="G360" s="46" t="str">
        <f>Source!DD220</f>
        <v/>
      </c>
      <c r="H360" s="44">
        <f>Source!AW221</f>
        <v>1</v>
      </c>
      <c r="I360" s="45">
        <f>Source!P220</f>
        <v>281.60000000000002</v>
      </c>
      <c r="J360" s="44">
        <f>IF(Source!BC221&lt;&gt; 0, Source!BC221, 1)</f>
        <v>5.47</v>
      </c>
      <c r="K360" s="45">
        <f>Source!P221</f>
        <v>1540.35</v>
      </c>
      <c r="Q360">
        <f>Source!X220</f>
        <v>0</v>
      </c>
      <c r="R360">
        <f>Source!X221</f>
        <v>0</v>
      </c>
      <c r="S360">
        <f>Source!Y220</f>
        <v>0</v>
      </c>
      <c r="T360">
        <f>Source!Y221</f>
        <v>0</v>
      </c>
      <c r="U360">
        <f>ROUND((175/100)*ROUND(Source!R220, 2), 2)</f>
        <v>0</v>
      </c>
      <c r="V360">
        <f>ROUND((0/100)*ROUND(Source!R221, 2), 2)</f>
        <v>0</v>
      </c>
      <c r="AC360">
        <v>3</v>
      </c>
    </row>
    <row r="361" spans="1:29" ht="15" x14ac:dyDescent="0.2">
      <c r="C361" s="47" t="s">
        <v>666</v>
      </c>
      <c r="H361" s="48">
        <f>I360+0</f>
        <v>281.60000000000002</v>
      </c>
      <c r="I361" s="48"/>
      <c r="J361" s="48">
        <f>K360+0</f>
        <v>1540.35</v>
      </c>
      <c r="K361" s="48"/>
      <c r="O361" s="51">
        <f>I360+0</f>
        <v>281.60000000000002</v>
      </c>
      <c r="P361" s="51">
        <f>K360+0</f>
        <v>1540.35</v>
      </c>
    </row>
    <row r="363" spans="1:29" ht="57" x14ac:dyDescent="0.2">
      <c r="A363" s="42">
        <v>57</v>
      </c>
      <c r="B363" s="42" t="str">
        <f>Source!F222</f>
        <v>1.13-4-127</v>
      </c>
      <c r="C363" s="42" t="s">
        <v>320</v>
      </c>
      <c r="D363" s="43" t="str">
        <f>Source!H222</f>
        <v>шт.</v>
      </c>
      <c r="E363" s="44">
        <f>Source!I222</f>
        <v>6</v>
      </c>
      <c r="F363" s="45">
        <f>Source!AL222</f>
        <v>66.81</v>
      </c>
      <c r="G363" s="46" t="str">
        <f>Source!DD222</f>
        <v/>
      </c>
      <c r="H363" s="44">
        <f>Source!AW223</f>
        <v>1</v>
      </c>
      <c r="I363" s="45">
        <f>Source!P222</f>
        <v>400.86</v>
      </c>
      <c r="J363" s="44">
        <f>IF(Source!BC223&lt;&gt; 0, Source!BC223, 1)</f>
        <v>4.05</v>
      </c>
      <c r="K363" s="45">
        <f>Source!P223</f>
        <v>1623.48</v>
      </c>
      <c r="Q363">
        <f>Source!X222</f>
        <v>0</v>
      </c>
      <c r="R363">
        <f>Source!X223</f>
        <v>0</v>
      </c>
      <c r="S363">
        <f>Source!Y222</f>
        <v>0</v>
      </c>
      <c r="T363">
        <f>Source!Y223</f>
        <v>0</v>
      </c>
      <c r="U363">
        <f>ROUND((175/100)*ROUND(Source!R222, 2), 2)</f>
        <v>0</v>
      </c>
      <c r="V363">
        <f>ROUND((0/100)*ROUND(Source!R223, 2), 2)</f>
        <v>0</v>
      </c>
      <c r="AC363">
        <v>3</v>
      </c>
    </row>
    <row r="364" spans="1:29" ht="15" x14ac:dyDescent="0.2">
      <c r="C364" s="47" t="s">
        <v>666</v>
      </c>
      <c r="H364" s="48">
        <f>I363+0</f>
        <v>400.86</v>
      </c>
      <c r="I364" s="48"/>
      <c r="J364" s="48">
        <f>K363+0</f>
        <v>1623.48</v>
      </c>
      <c r="K364" s="48"/>
      <c r="O364" s="51">
        <f>I363+0</f>
        <v>400.86</v>
      </c>
      <c r="P364" s="51">
        <f>K363+0</f>
        <v>1623.48</v>
      </c>
    </row>
    <row r="366" spans="1:29" ht="28.5" x14ac:dyDescent="0.2">
      <c r="A366" s="35">
        <v>58</v>
      </c>
      <c r="B366" s="35" t="str">
        <f>Source!F224</f>
        <v>4.11-2-1</v>
      </c>
      <c r="C366" s="35" t="s">
        <v>285</v>
      </c>
      <c r="D366" s="37" t="str">
        <f>Source!H224</f>
        <v>1  ШТ.</v>
      </c>
      <c r="E366" s="36">
        <f>Source!I224</f>
        <v>45</v>
      </c>
      <c r="F366" s="39"/>
      <c r="G366" s="38"/>
      <c r="H366" s="36"/>
      <c r="I366" s="39"/>
      <c r="J366" s="36"/>
      <c r="K366" s="39"/>
      <c r="Q366">
        <f>Source!X224</f>
        <v>209.2</v>
      </c>
      <c r="R366">
        <f>Source!X225</f>
        <v>11503.69</v>
      </c>
      <c r="S366">
        <f>Source!Y224</f>
        <v>106.92</v>
      </c>
      <c r="T366">
        <f>Source!Y225</f>
        <v>5879.66</v>
      </c>
      <c r="U366">
        <f>ROUND((175/100)*ROUND(Source!R224, 2), 2)</f>
        <v>0</v>
      </c>
      <c r="V366">
        <f>ROUND((0/100)*ROUND(Source!R225, 2), 2)</f>
        <v>0</v>
      </c>
      <c r="AC366">
        <v>0</v>
      </c>
    </row>
    <row r="367" spans="1:29" ht="28.5" x14ac:dyDescent="0.2">
      <c r="A367" s="35"/>
      <c r="B367" s="35"/>
      <c r="C367" s="35" t="s">
        <v>655</v>
      </c>
      <c r="D367" s="37"/>
      <c r="E367" s="36"/>
      <c r="F367" s="39">
        <f>Source!AO224</f>
        <v>3.9</v>
      </c>
      <c r="G367" s="38" t="str">
        <f>Source!DG224</f>
        <v>*1,15)*1,1</v>
      </c>
      <c r="H367" s="36">
        <f>Source!AV225</f>
        <v>1.0469999999999999</v>
      </c>
      <c r="I367" s="39">
        <f>Source!S224</f>
        <v>232.44</v>
      </c>
      <c r="J367" s="36">
        <f>IF(Source!BA225&lt;&gt; 0, Source!BA225, 1)</f>
        <v>54.99</v>
      </c>
      <c r="K367" s="39">
        <f>Source!S225</f>
        <v>12781.88</v>
      </c>
    </row>
    <row r="368" spans="1:29" ht="14.25" x14ac:dyDescent="0.2">
      <c r="A368" s="35"/>
      <c r="B368" s="35"/>
      <c r="C368" s="35" t="s">
        <v>658</v>
      </c>
      <c r="D368" s="37"/>
      <c r="E368" s="36"/>
      <c r="F368" s="39">
        <f>Source!AL224</f>
        <v>0.81</v>
      </c>
      <c r="G368" s="38" t="str">
        <f>Source!DD224</f>
        <v/>
      </c>
      <c r="H368" s="36">
        <f>Source!AW225</f>
        <v>1</v>
      </c>
      <c r="I368" s="39">
        <f>Source!P224</f>
        <v>36.450000000000003</v>
      </c>
      <c r="J368" s="36">
        <f>IF(Source!BC225&lt;&gt; 0, Source!BC225, 1)</f>
        <v>8.8000000000000007</v>
      </c>
      <c r="K368" s="39">
        <f>Source!P225</f>
        <v>320.76</v>
      </c>
    </row>
    <row r="369" spans="1:29" ht="14.25" x14ac:dyDescent="0.2">
      <c r="A369" s="35"/>
      <c r="B369" s="35"/>
      <c r="C369" s="35" t="s">
        <v>659</v>
      </c>
      <c r="D369" s="37" t="s">
        <v>660</v>
      </c>
      <c r="E369" s="36">
        <f>Source!BZ225</f>
        <v>90</v>
      </c>
      <c r="F369" s="39"/>
      <c r="G369" s="38"/>
      <c r="H369" s="36"/>
      <c r="I369" s="39">
        <f>SUM(Q366:Q368)</f>
        <v>209.2</v>
      </c>
      <c r="J369" s="36">
        <f>Source!AT225</f>
        <v>90</v>
      </c>
      <c r="K369" s="39">
        <f>SUM(R366:R368)</f>
        <v>11503.69</v>
      </c>
    </row>
    <row r="370" spans="1:29" ht="14.25" x14ac:dyDescent="0.2">
      <c r="A370" s="35"/>
      <c r="B370" s="35"/>
      <c r="C370" s="35" t="s">
        <v>661</v>
      </c>
      <c r="D370" s="37" t="s">
        <v>660</v>
      </c>
      <c r="E370" s="36">
        <f>Source!CA225</f>
        <v>46</v>
      </c>
      <c r="F370" s="39"/>
      <c r="G370" s="38"/>
      <c r="H370" s="36"/>
      <c r="I370" s="39">
        <f>SUM(S366:S369)</f>
        <v>106.92</v>
      </c>
      <c r="J370" s="36">
        <f>Source!AU225</f>
        <v>46</v>
      </c>
      <c r="K370" s="39">
        <f>SUM(T366:T369)</f>
        <v>5879.66</v>
      </c>
    </row>
    <row r="371" spans="1:29" ht="28.5" x14ac:dyDescent="0.2">
      <c r="A371" s="42"/>
      <c r="B371" s="42"/>
      <c r="C371" s="42" t="s">
        <v>662</v>
      </c>
      <c r="D371" s="43" t="s">
        <v>663</v>
      </c>
      <c r="E371" s="44">
        <f>Source!AQ224</f>
        <v>0.3</v>
      </c>
      <c r="F371" s="45"/>
      <c r="G371" s="46" t="str">
        <f>Source!DI224</f>
        <v>*1,15)*1,1</v>
      </c>
      <c r="H371" s="44">
        <f>Source!AV225</f>
        <v>1.0469999999999999</v>
      </c>
      <c r="I371" s="45">
        <f>Source!U224</f>
        <v>17.880142499999998</v>
      </c>
      <c r="J371" s="44"/>
      <c r="K371" s="45"/>
    </row>
    <row r="372" spans="1:29" ht="15" x14ac:dyDescent="0.2">
      <c r="C372" s="47" t="s">
        <v>664</v>
      </c>
      <c r="H372" s="48">
        <f>I367+I368+I369+I370+0-0-0</f>
        <v>585.01</v>
      </c>
      <c r="I372" s="48"/>
      <c r="J372" s="48">
        <f>K367+K368+K369+K370+0-0-0</f>
        <v>30485.99</v>
      </c>
      <c r="K372" s="48"/>
    </row>
    <row r="373" spans="1:29" ht="15" hidden="1" x14ac:dyDescent="0.2">
      <c r="C373" s="47" t="s">
        <v>665</v>
      </c>
      <c r="H373" s="50">
        <f>0+0</f>
        <v>0</v>
      </c>
      <c r="I373" s="50"/>
      <c r="J373" s="50">
        <f>0+0</f>
        <v>0</v>
      </c>
      <c r="K373" s="50"/>
    </row>
    <row r="374" spans="1:29" ht="15" x14ac:dyDescent="0.2">
      <c r="C374" s="47" t="s">
        <v>666</v>
      </c>
      <c r="H374" s="50">
        <f>I367+I368+I369+I370+0</f>
        <v>585.01</v>
      </c>
      <c r="I374" s="50"/>
      <c r="J374" s="50">
        <f>K367+K368+K369+K370+0</f>
        <v>30485.99</v>
      </c>
      <c r="K374" s="50"/>
      <c r="O374" s="51">
        <f>I367+I368+I369+I370+0</f>
        <v>585.01</v>
      </c>
      <c r="P374" s="51">
        <f>K367+K368+K369+K370+0</f>
        <v>30485.99</v>
      </c>
    </row>
    <row r="376" spans="1:29" ht="54" x14ac:dyDescent="0.2">
      <c r="A376" s="42">
        <v>59</v>
      </c>
      <c r="B376" s="42" t="str">
        <f>Source!F226</f>
        <v>КА-27</v>
      </c>
      <c r="C376" s="42" t="s">
        <v>697</v>
      </c>
      <c r="D376" s="43" t="str">
        <f>Source!H226</f>
        <v>ШТ</v>
      </c>
      <c r="E376" s="44">
        <f>Source!I226</f>
        <v>45</v>
      </c>
      <c r="F376" s="45">
        <f>Source!AL226</f>
        <v>1342.96</v>
      </c>
      <c r="G376" s="46" t="str">
        <f>Source!DD226</f>
        <v/>
      </c>
      <c r="H376" s="44">
        <f>Source!AW227</f>
        <v>1</v>
      </c>
      <c r="I376" s="45">
        <f>Source!P226</f>
        <v>60433.2</v>
      </c>
      <c r="J376" s="44">
        <f>IF(Source!BC227&lt;&gt; 0, Source!BC227, 1)</f>
        <v>9.8800000000000008</v>
      </c>
      <c r="K376" s="45">
        <f>Source!P227</f>
        <v>597080.02</v>
      </c>
      <c r="Q376">
        <f>Source!X226</f>
        <v>0</v>
      </c>
      <c r="R376">
        <f>Source!X227</f>
        <v>0</v>
      </c>
      <c r="S376">
        <f>Source!Y226</f>
        <v>0</v>
      </c>
      <c r="T376">
        <f>Source!Y227</f>
        <v>0</v>
      </c>
      <c r="U376">
        <f>ROUND((175/100)*ROUND(Source!R226, 2), 2)</f>
        <v>0</v>
      </c>
      <c r="V376">
        <f>ROUND((0/100)*ROUND(Source!R227, 2), 2)</f>
        <v>0</v>
      </c>
      <c r="AC376">
        <v>3</v>
      </c>
    </row>
    <row r="377" spans="1:29" ht="15" x14ac:dyDescent="0.2">
      <c r="C377" s="47" t="s">
        <v>666</v>
      </c>
      <c r="H377" s="48">
        <f>I376+0</f>
        <v>60433.2</v>
      </c>
      <c r="I377" s="48"/>
      <c r="J377" s="48">
        <f>K376+0</f>
        <v>597080.02</v>
      </c>
      <c r="K377" s="48"/>
      <c r="O377" s="51">
        <f>I376+0</f>
        <v>60433.2</v>
      </c>
      <c r="P377" s="51">
        <f>K376+0</f>
        <v>597080.02</v>
      </c>
    </row>
    <row r="379" spans="1:29" ht="114" x14ac:dyDescent="0.2">
      <c r="A379" s="42">
        <v>60</v>
      </c>
      <c r="B379" s="42" t="str">
        <f>Source!F228</f>
        <v>1.13-3-185</v>
      </c>
      <c r="C379" s="42" t="s">
        <v>329</v>
      </c>
      <c r="D379" s="43" t="str">
        <f>Source!H228</f>
        <v>шт.</v>
      </c>
      <c r="E379" s="44">
        <f>Source!I228</f>
        <v>45</v>
      </c>
      <c r="F379" s="45">
        <f>Source!AL228</f>
        <v>425.1</v>
      </c>
      <c r="G379" s="46" t="str">
        <f>Source!DD228</f>
        <v/>
      </c>
      <c r="H379" s="44">
        <f>Source!AW229</f>
        <v>1</v>
      </c>
      <c r="I379" s="45">
        <f>Source!P228</f>
        <v>19129.5</v>
      </c>
      <c r="J379" s="44">
        <f>IF(Source!BC229&lt;&gt; 0, Source!BC229, 1)</f>
        <v>10.44</v>
      </c>
      <c r="K379" s="45">
        <f>Source!P229</f>
        <v>199711.98</v>
      </c>
      <c r="Q379">
        <f>Source!X228</f>
        <v>0</v>
      </c>
      <c r="R379">
        <f>Source!X229</f>
        <v>0</v>
      </c>
      <c r="S379">
        <f>Source!Y228</f>
        <v>0</v>
      </c>
      <c r="T379">
        <f>Source!Y229</f>
        <v>0</v>
      </c>
      <c r="U379">
        <f>ROUND((175/100)*ROUND(Source!R228, 2), 2)</f>
        <v>0</v>
      </c>
      <c r="V379">
        <f>ROUND((0/100)*ROUND(Source!R229, 2), 2)</f>
        <v>0</v>
      </c>
      <c r="AC379">
        <v>3</v>
      </c>
    </row>
    <row r="380" spans="1:29" ht="15" x14ac:dyDescent="0.2">
      <c r="C380" s="47" t="s">
        <v>666</v>
      </c>
      <c r="H380" s="48">
        <f>I379+0</f>
        <v>19129.5</v>
      </c>
      <c r="I380" s="48"/>
      <c r="J380" s="48">
        <f>K379+0</f>
        <v>199711.98</v>
      </c>
      <c r="K380" s="48"/>
      <c r="O380" s="51">
        <f>I379+0</f>
        <v>19129.5</v>
      </c>
      <c r="P380" s="51">
        <f>K379+0</f>
        <v>199711.98</v>
      </c>
    </row>
    <row r="382" spans="1:29" ht="28.5" x14ac:dyDescent="0.2">
      <c r="A382" s="35">
        <v>61</v>
      </c>
      <c r="B382" s="35" t="str">
        <f>Source!F230</f>
        <v>4.11-2-1</v>
      </c>
      <c r="C382" s="35" t="s">
        <v>285</v>
      </c>
      <c r="D382" s="37" t="str">
        <f>Source!H230</f>
        <v>1  ШТ.</v>
      </c>
      <c r="E382" s="36">
        <f>Source!I230</f>
        <v>4</v>
      </c>
      <c r="F382" s="39"/>
      <c r="G382" s="38"/>
      <c r="H382" s="36"/>
      <c r="I382" s="39"/>
      <c r="J382" s="36"/>
      <c r="K382" s="39"/>
      <c r="Q382">
        <f>Source!X230</f>
        <v>18.59</v>
      </c>
      <c r="R382">
        <f>Source!X231</f>
        <v>1022.48</v>
      </c>
      <c r="S382">
        <f>Source!Y230</f>
        <v>9.5</v>
      </c>
      <c r="T382">
        <f>Source!Y231</f>
        <v>522.6</v>
      </c>
      <c r="U382">
        <f>ROUND((175/100)*ROUND(Source!R230, 2), 2)</f>
        <v>0</v>
      </c>
      <c r="V382">
        <f>ROUND((0/100)*ROUND(Source!R231, 2), 2)</f>
        <v>0</v>
      </c>
      <c r="AC382">
        <v>0</v>
      </c>
    </row>
    <row r="383" spans="1:29" ht="28.5" x14ac:dyDescent="0.2">
      <c r="A383" s="35"/>
      <c r="B383" s="35"/>
      <c r="C383" s="35" t="s">
        <v>655</v>
      </c>
      <c r="D383" s="37"/>
      <c r="E383" s="36"/>
      <c r="F383" s="39">
        <f>Source!AO230</f>
        <v>3.9</v>
      </c>
      <c r="G383" s="38" t="str">
        <f>Source!DG230</f>
        <v>*1,15)*1,1</v>
      </c>
      <c r="H383" s="36">
        <f>Source!AV231</f>
        <v>1.0469999999999999</v>
      </c>
      <c r="I383" s="39">
        <f>Source!S230</f>
        <v>20.66</v>
      </c>
      <c r="J383" s="36">
        <f>IF(Source!BA231&lt;&gt; 0, Source!BA231, 1)</f>
        <v>54.99</v>
      </c>
      <c r="K383" s="39">
        <f>Source!S231</f>
        <v>1136.0899999999999</v>
      </c>
    </row>
    <row r="384" spans="1:29" ht="14.25" x14ac:dyDescent="0.2">
      <c r="A384" s="35"/>
      <c r="B384" s="35"/>
      <c r="C384" s="35" t="s">
        <v>658</v>
      </c>
      <c r="D384" s="37"/>
      <c r="E384" s="36"/>
      <c r="F384" s="39">
        <f>Source!AL230</f>
        <v>0.81</v>
      </c>
      <c r="G384" s="38" t="str">
        <f>Source!DD230</f>
        <v/>
      </c>
      <c r="H384" s="36">
        <f>Source!AW231</f>
        <v>1</v>
      </c>
      <c r="I384" s="39">
        <f>Source!P230</f>
        <v>3.24</v>
      </c>
      <c r="J384" s="36">
        <f>IF(Source!BC231&lt;&gt; 0, Source!BC231, 1)</f>
        <v>8.8000000000000007</v>
      </c>
      <c r="K384" s="39">
        <f>Source!P231</f>
        <v>28.51</v>
      </c>
    </row>
    <row r="385" spans="1:29" ht="14.25" x14ac:dyDescent="0.2">
      <c r="A385" s="35"/>
      <c r="B385" s="35"/>
      <c r="C385" s="35" t="s">
        <v>659</v>
      </c>
      <c r="D385" s="37" t="s">
        <v>660</v>
      </c>
      <c r="E385" s="36">
        <f>Source!BZ231</f>
        <v>90</v>
      </c>
      <c r="F385" s="39"/>
      <c r="G385" s="38"/>
      <c r="H385" s="36"/>
      <c r="I385" s="39">
        <f>SUM(Q382:Q384)</f>
        <v>18.59</v>
      </c>
      <c r="J385" s="36">
        <f>Source!AT231</f>
        <v>90</v>
      </c>
      <c r="K385" s="39">
        <f>SUM(R382:R384)</f>
        <v>1022.48</v>
      </c>
    </row>
    <row r="386" spans="1:29" ht="14.25" x14ac:dyDescent="0.2">
      <c r="A386" s="35"/>
      <c r="B386" s="35"/>
      <c r="C386" s="35" t="s">
        <v>661</v>
      </c>
      <c r="D386" s="37" t="s">
        <v>660</v>
      </c>
      <c r="E386" s="36">
        <f>Source!CA231</f>
        <v>46</v>
      </c>
      <c r="F386" s="39"/>
      <c r="G386" s="38"/>
      <c r="H386" s="36"/>
      <c r="I386" s="39">
        <f>SUM(S382:S385)</f>
        <v>9.5</v>
      </c>
      <c r="J386" s="36">
        <f>Source!AU231</f>
        <v>46</v>
      </c>
      <c r="K386" s="39">
        <f>SUM(T382:T385)</f>
        <v>522.6</v>
      </c>
    </row>
    <row r="387" spans="1:29" ht="28.5" x14ac:dyDescent="0.2">
      <c r="A387" s="42"/>
      <c r="B387" s="42"/>
      <c r="C387" s="42" t="s">
        <v>662</v>
      </c>
      <c r="D387" s="43" t="s">
        <v>663</v>
      </c>
      <c r="E387" s="44">
        <f>Source!AQ230</f>
        <v>0.3</v>
      </c>
      <c r="F387" s="45"/>
      <c r="G387" s="46" t="str">
        <f>Source!DI230</f>
        <v>*1,15)*1,1</v>
      </c>
      <c r="H387" s="44">
        <f>Source!AV231</f>
        <v>1.0469999999999999</v>
      </c>
      <c r="I387" s="45">
        <f>Source!U230</f>
        <v>1.5893459999999999</v>
      </c>
      <c r="J387" s="44"/>
      <c r="K387" s="45"/>
    </row>
    <row r="388" spans="1:29" ht="15" x14ac:dyDescent="0.2">
      <c r="C388" s="47" t="s">
        <v>664</v>
      </c>
      <c r="H388" s="48">
        <f>I383+I384+I385+I386+0-0-0</f>
        <v>51.989999999999995</v>
      </c>
      <c r="I388" s="48"/>
      <c r="J388" s="48">
        <f>K383+K384+K385+K386+0-0-0</f>
        <v>2709.68</v>
      </c>
      <c r="K388" s="48"/>
    </row>
    <row r="389" spans="1:29" ht="15" hidden="1" x14ac:dyDescent="0.2">
      <c r="C389" s="47" t="s">
        <v>665</v>
      </c>
      <c r="H389" s="50">
        <f>0+0</f>
        <v>0</v>
      </c>
      <c r="I389" s="50"/>
      <c r="J389" s="50">
        <f>0+0</f>
        <v>0</v>
      </c>
      <c r="K389" s="50"/>
    </row>
    <row r="390" spans="1:29" ht="15" x14ac:dyDescent="0.2">
      <c r="C390" s="47" t="s">
        <v>666</v>
      </c>
      <c r="H390" s="50">
        <f>I383+I384+I385+I386+0</f>
        <v>51.989999999999995</v>
      </c>
      <c r="I390" s="50"/>
      <c r="J390" s="50">
        <f>K383+K384+K385+K386+0</f>
        <v>2709.68</v>
      </c>
      <c r="K390" s="50"/>
      <c r="O390" s="51">
        <f>I383+I384+I385+I386+0</f>
        <v>51.989999999999995</v>
      </c>
      <c r="P390" s="51">
        <f>K383+K384+K385+K386+0</f>
        <v>2709.68</v>
      </c>
    </row>
    <row r="392" spans="1:29" ht="54" x14ac:dyDescent="0.2">
      <c r="A392" s="42">
        <v>62</v>
      </c>
      <c r="B392" s="42" t="str">
        <f>Source!F232</f>
        <v>КА-28</v>
      </c>
      <c r="C392" s="42" t="s">
        <v>698</v>
      </c>
      <c r="D392" s="43" t="str">
        <f>Source!H232</f>
        <v>ШТ</v>
      </c>
      <c r="E392" s="44">
        <f>Source!I232</f>
        <v>4</v>
      </c>
      <c r="F392" s="45">
        <f>Source!AL232</f>
        <v>1446.3799999999999</v>
      </c>
      <c r="G392" s="46" t="str">
        <f>Source!DD232</f>
        <v/>
      </c>
      <c r="H392" s="44">
        <f>Source!AW233</f>
        <v>1</v>
      </c>
      <c r="I392" s="45">
        <f>Source!P232</f>
        <v>5785.52</v>
      </c>
      <c r="J392" s="44">
        <f>IF(Source!BC233&lt;&gt; 0, Source!BC233, 1)</f>
        <v>9.8800000000000008</v>
      </c>
      <c r="K392" s="45">
        <f>Source!P233</f>
        <v>57160.94</v>
      </c>
      <c r="Q392">
        <f>Source!X232</f>
        <v>0</v>
      </c>
      <c r="R392">
        <f>Source!X233</f>
        <v>0</v>
      </c>
      <c r="S392">
        <f>Source!Y232</f>
        <v>0</v>
      </c>
      <c r="T392">
        <f>Source!Y233</f>
        <v>0</v>
      </c>
      <c r="U392">
        <f>ROUND((175/100)*ROUND(Source!R232, 2), 2)</f>
        <v>0</v>
      </c>
      <c r="V392">
        <f>ROUND((0/100)*ROUND(Source!R233, 2), 2)</f>
        <v>0</v>
      </c>
      <c r="AC392">
        <v>3</v>
      </c>
    </row>
    <row r="393" spans="1:29" ht="15" x14ac:dyDescent="0.2">
      <c r="C393" s="47" t="s">
        <v>666</v>
      </c>
      <c r="H393" s="48">
        <f>I392+0</f>
        <v>5785.52</v>
      </c>
      <c r="I393" s="48"/>
      <c r="J393" s="48">
        <f>K392+0</f>
        <v>57160.94</v>
      </c>
      <c r="K393" s="48"/>
      <c r="O393" s="51">
        <f>I392+0</f>
        <v>5785.52</v>
      </c>
      <c r="P393" s="51">
        <f>K392+0</f>
        <v>57160.94</v>
      </c>
    </row>
    <row r="395" spans="1:29" ht="114" x14ac:dyDescent="0.2">
      <c r="A395" s="42">
        <v>63</v>
      </c>
      <c r="B395" s="42" t="str">
        <f>Source!F234</f>
        <v>1.13-3-186</v>
      </c>
      <c r="C395" s="42" t="s">
        <v>338</v>
      </c>
      <c r="D395" s="43" t="str">
        <f>Source!H234</f>
        <v>шт.</v>
      </c>
      <c r="E395" s="44">
        <f>Source!I234</f>
        <v>4</v>
      </c>
      <c r="F395" s="45">
        <f>Source!AL234</f>
        <v>510.16</v>
      </c>
      <c r="G395" s="46" t="str">
        <f>Source!DD234</f>
        <v/>
      </c>
      <c r="H395" s="44">
        <f>Source!AW235</f>
        <v>1</v>
      </c>
      <c r="I395" s="45">
        <f>Source!P234</f>
        <v>2040.64</v>
      </c>
      <c r="J395" s="44">
        <f>IF(Source!BC235&lt;&gt; 0, Source!BC235, 1)</f>
        <v>9.56</v>
      </c>
      <c r="K395" s="45">
        <f>Source!P235</f>
        <v>19508.52</v>
      </c>
      <c r="Q395">
        <f>Source!X234</f>
        <v>0</v>
      </c>
      <c r="R395">
        <f>Source!X235</f>
        <v>0</v>
      </c>
      <c r="S395">
        <f>Source!Y234</f>
        <v>0</v>
      </c>
      <c r="T395">
        <f>Source!Y235</f>
        <v>0</v>
      </c>
      <c r="U395">
        <f>ROUND((175/100)*ROUND(Source!R234, 2), 2)</f>
        <v>0</v>
      </c>
      <c r="V395">
        <f>ROUND((0/100)*ROUND(Source!R235, 2), 2)</f>
        <v>0</v>
      </c>
      <c r="AC395">
        <v>3</v>
      </c>
    </row>
    <row r="396" spans="1:29" ht="15" x14ac:dyDescent="0.2">
      <c r="C396" s="47" t="s">
        <v>666</v>
      </c>
      <c r="H396" s="48">
        <f>I395+0</f>
        <v>2040.64</v>
      </c>
      <c r="I396" s="48"/>
      <c r="J396" s="48">
        <f>K395+0</f>
        <v>19508.52</v>
      </c>
      <c r="K396" s="48"/>
      <c r="O396" s="51">
        <f>I395+0</f>
        <v>2040.64</v>
      </c>
      <c r="P396" s="51">
        <f>K395+0</f>
        <v>19508.52</v>
      </c>
    </row>
    <row r="398" spans="1:29" ht="28.5" x14ac:dyDescent="0.2">
      <c r="A398" s="35">
        <v>64</v>
      </c>
      <c r="B398" s="35" t="str">
        <f>Source!F236</f>
        <v>4.11-2-1</v>
      </c>
      <c r="C398" s="35" t="s">
        <v>285</v>
      </c>
      <c r="D398" s="37" t="str">
        <f>Source!H236</f>
        <v>1  ШТ.</v>
      </c>
      <c r="E398" s="36">
        <f>Source!I236</f>
        <v>3</v>
      </c>
      <c r="F398" s="39"/>
      <c r="G398" s="38"/>
      <c r="H398" s="36"/>
      <c r="I398" s="39"/>
      <c r="J398" s="36"/>
      <c r="K398" s="39"/>
      <c r="Q398">
        <f>Source!X236</f>
        <v>13.95</v>
      </c>
      <c r="R398">
        <f>Source!X237</f>
        <v>767.12</v>
      </c>
      <c r="S398">
        <f>Source!Y236</f>
        <v>7.13</v>
      </c>
      <c r="T398">
        <f>Source!Y237</f>
        <v>392.08</v>
      </c>
      <c r="U398">
        <f>ROUND((175/100)*ROUND(Source!R236, 2), 2)</f>
        <v>0</v>
      </c>
      <c r="V398">
        <f>ROUND((0/100)*ROUND(Source!R237, 2), 2)</f>
        <v>0</v>
      </c>
      <c r="AC398">
        <v>0</v>
      </c>
    </row>
    <row r="399" spans="1:29" ht="28.5" x14ac:dyDescent="0.2">
      <c r="A399" s="35"/>
      <c r="B399" s="35"/>
      <c r="C399" s="35" t="s">
        <v>655</v>
      </c>
      <c r="D399" s="37"/>
      <c r="E399" s="36"/>
      <c r="F399" s="39">
        <f>Source!AO236</f>
        <v>3.9</v>
      </c>
      <c r="G399" s="38" t="str">
        <f>Source!DG236</f>
        <v>*1,15)*1,1</v>
      </c>
      <c r="H399" s="36">
        <f>Source!AV237</f>
        <v>1.0469999999999999</v>
      </c>
      <c r="I399" s="39">
        <f>Source!S236</f>
        <v>15.5</v>
      </c>
      <c r="J399" s="36">
        <f>IF(Source!BA237&lt;&gt; 0, Source!BA237, 1)</f>
        <v>54.99</v>
      </c>
      <c r="K399" s="39">
        <f>Source!S237</f>
        <v>852.35</v>
      </c>
    </row>
    <row r="400" spans="1:29" ht="14.25" x14ac:dyDescent="0.2">
      <c r="A400" s="35"/>
      <c r="B400" s="35"/>
      <c r="C400" s="35" t="s">
        <v>658</v>
      </c>
      <c r="D400" s="37"/>
      <c r="E400" s="36"/>
      <c r="F400" s="39">
        <f>Source!AL236</f>
        <v>0.81</v>
      </c>
      <c r="G400" s="38" t="str">
        <f>Source!DD236</f>
        <v/>
      </c>
      <c r="H400" s="36">
        <f>Source!AW237</f>
        <v>1</v>
      </c>
      <c r="I400" s="39">
        <f>Source!P236</f>
        <v>2.4300000000000002</v>
      </c>
      <c r="J400" s="36">
        <f>IF(Source!BC237&lt;&gt; 0, Source!BC237, 1)</f>
        <v>8.8000000000000007</v>
      </c>
      <c r="K400" s="39">
        <f>Source!P237</f>
        <v>21.38</v>
      </c>
    </row>
    <row r="401" spans="1:29" ht="14.25" x14ac:dyDescent="0.2">
      <c r="A401" s="35"/>
      <c r="B401" s="35"/>
      <c r="C401" s="35" t="s">
        <v>659</v>
      </c>
      <c r="D401" s="37" t="s">
        <v>660</v>
      </c>
      <c r="E401" s="36">
        <f>Source!BZ237</f>
        <v>90</v>
      </c>
      <c r="F401" s="39"/>
      <c r="G401" s="38"/>
      <c r="H401" s="36"/>
      <c r="I401" s="39">
        <f>SUM(Q398:Q400)</f>
        <v>13.95</v>
      </c>
      <c r="J401" s="36">
        <f>Source!AT237</f>
        <v>90</v>
      </c>
      <c r="K401" s="39">
        <f>SUM(R398:R400)</f>
        <v>767.12</v>
      </c>
    </row>
    <row r="402" spans="1:29" ht="14.25" x14ac:dyDescent="0.2">
      <c r="A402" s="35"/>
      <c r="B402" s="35"/>
      <c r="C402" s="35" t="s">
        <v>661</v>
      </c>
      <c r="D402" s="37" t="s">
        <v>660</v>
      </c>
      <c r="E402" s="36">
        <f>Source!CA237</f>
        <v>46</v>
      </c>
      <c r="F402" s="39"/>
      <c r="G402" s="38"/>
      <c r="H402" s="36"/>
      <c r="I402" s="39">
        <f>SUM(S398:S401)</f>
        <v>7.13</v>
      </c>
      <c r="J402" s="36">
        <f>Source!AU237</f>
        <v>46</v>
      </c>
      <c r="K402" s="39">
        <f>SUM(T398:T401)</f>
        <v>392.08</v>
      </c>
    </row>
    <row r="403" spans="1:29" ht="28.5" x14ac:dyDescent="0.2">
      <c r="A403" s="42"/>
      <c r="B403" s="42"/>
      <c r="C403" s="42" t="s">
        <v>662</v>
      </c>
      <c r="D403" s="43" t="s">
        <v>663</v>
      </c>
      <c r="E403" s="44">
        <f>Source!AQ236</f>
        <v>0.3</v>
      </c>
      <c r="F403" s="45"/>
      <c r="G403" s="46" t="str">
        <f>Source!DI236</f>
        <v>*1,15)*1,1</v>
      </c>
      <c r="H403" s="44">
        <f>Source!AV237</f>
        <v>1.0469999999999999</v>
      </c>
      <c r="I403" s="45">
        <f>Source!U236</f>
        <v>1.1920094999999999</v>
      </c>
      <c r="J403" s="44"/>
      <c r="K403" s="45"/>
    </row>
    <row r="404" spans="1:29" ht="15" x14ac:dyDescent="0.2">
      <c r="C404" s="47" t="s">
        <v>664</v>
      </c>
      <c r="H404" s="48">
        <f>I399+I400+I401+I402+0-0-0</f>
        <v>39.01</v>
      </c>
      <c r="I404" s="48"/>
      <c r="J404" s="48">
        <f>K399+K400+K401+K402+0-0-0</f>
        <v>2032.9299999999998</v>
      </c>
      <c r="K404" s="48"/>
    </row>
    <row r="405" spans="1:29" ht="15" hidden="1" x14ac:dyDescent="0.2">
      <c r="C405" s="47" t="s">
        <v>665</v>
      </c>
      <c r="H405" s="50">
        <f>0+0</f>
        <v>0</v>
      </c>
      <c r="I405" s="50"/>
      <c r="J405" s="50">
        <f>0+0</f>
        <v>0</v>
      </c>
      <c r="K405" s="50"/>
    </row>
    <row r="406" spans="1:29" ht="15" x14ac:dyDescent="0.2">
      <c r="C406" s="47" t="s">
        <v>666</v>
      </c>
      <c r="H406" s="50">
        <f>I399+I400+I401+I402+0</f>
        <v>39.01</v>
      </c>
      <c r="I406" s="50"/>
      <c r="J406" s="50">
        <f>K399+K400+K401+K402+0</f>
        <v>2032.9299999999998</v>
      </c>
      <c r="K406" s="50"/>
      <c r="O406" s="51">
        <f>I399+I400+I401+I402+0</f>
        <v>39.01</v>
      </c>
      <c r="P406" s="51">
        <f>K399+K400+K401+K402+0</f>
        <v>2032.9299999999998</v>
      </c>
    </row>
    <row r="408" spans="1:29" ht="114" x14ac:dyDescent="0.2">
      <c r="A408" s="42">
        <v>65</v>
      </c>
      <c r="B408" s="42" t="str">
        <f>Source!F240</f>
        <v>1.13-3-187</v>
      </c>
      <c r="C408" s="42" t="s">
        <v>346</v>
      </c>
      <c r="D408" s="43" t="str">
        <f>Source!H240</f>
        <v>шт.</v>
      </c>
      <c r="E408" s="44">
        <f>Source!I240</f>
        <v>3</v>
      </c>
      <c r="F408" s="45">
        <f>Source!AL240</f>
        <v>707.84</v>
      </c>
      <c r="G408" s="46" t="str">
        <f>Source!DD240</f>
        <v/>
      </c>
      <c r="H408" s="44">
        <f>Source!AW241</f>
        <v>1</v>
      </c>
      <c r="I408" s="45">
        <f>Source!P240</f>
        <v>2123.52</v>
      </c>
      <c r="J408" s="44">
        <f>IF(Source!BC241&lt;&gt; 0, Source!BC241, 1)</f>
        <v>9.7200000000000006</v>
      </c>
      <c r="K408" s="45">
        <f>Source!P241</f>
        <v>20640.61</v>
      </c>
      <c r="Q408">
        <f>Source!X240</f>
        <v>0</v>
      </c>
      <c r="R408">
        <f>Source!X241</f>
        <v>0</v>
      </c>
      <c r="S408">
        <f>Source!Y240</f>
        <v>0</v>
      </c>
      <c r="T408">
        <f>Source!Y241</f>
        <v>0</v>
      </c>
      <c r="U408">
        <f>ROUND((175/100)*ROUND(Source!R240, 2), 2)</f>
        <v>0</v>
      </c>
      <c r="V408">
        <f>ROUND((0/100)*ROUND(Source!R241, 2), 2)</f>
        <v>0</v>
      </c>
      <c r="AC408">
        <v>3</v>
      </c>
    </row>
    <row r="409" spans="1:29" ht="15" x14ac:dyDescent="0.2">
      <c r="C409" s="47" t="s">
        <v>666</v>
      </c>
      <c r="H409" s="48">
        <f>I408+0</f>
        <v>2123.52</v>
      </c>
      <c r="I409" s="48"/>
      <c r="J409" s="48">
        <f>K408+0</f>
        <v>20640.61</v>
      </c>
      <c r="K409" s="48"/>
      <c r="O409" s="51">
        <f>I408+0</f>
        <v>2123.52</v>
      </c>
      <c r="P409" s="51">
        <f>K408+0</f>
        <v>20640.61</v>
      </c>
    </row>
    <row r="412" spans="1:29" ht="15" x14ac:dyDescent="0.25">
      <c r="B412" s="61" t="str">
        <f>Source!G242</f>
        <v>Гребенка (2024-00272-00-0-ИОС4.1 Лист 5 Схема гребенки отопления)</v>
      </c>
      <c r="C412" s="61"/>
      <c r="D412" s="61"/>
      <c r="E412" s="61"/>
      <c r="F412" s="61"/>
      <c r="G412" s="61"/>
      <c r="H412" s="61"/>
      <c r="I412" s="61"/>
      <c r="J412" s="61"/>
    </row>
    <row r="413" spans="1:29" ht="57" x14ac:dyDescent="0.2">
      <c r="A413" s="35">
        <v>66</v>
      </c>
      <c r="B413" s="35" t="str">
        <f>Source!F243</f>
        <v>3.16-39-1</v>
      </c>
      <c r="C413" s="35" t="s">
        <v>351</v>
      </c>
      <c r="D413" s="37" t="str">
        <f>Source!H243</f>
        <v>10 шт.</v>
      </c>
      <c r="E413" s="36">
        <f>Source!I243</f>
        <v>0.1</v>
      </c>
      <c r="F413" s="39"/>
      <c r="G413" s="38"/>
      <c r="H413" s="36"/>
      <c r="I413" s="39"/>
      <c r="J413" s="36"/>
      <c r="K413" s="39"/>
      <c r="Q413">
        <f>Source!X243</f>
        <v>10.5</v>
      </c>
      <c r="R413">
        <f>Source!X244</f>
        <v>577.21</v>
      </c>
      <c r="S413">
        <f>Source!Y243</f>
        <v>5.87</v>
      </c>
      <c r="T413">
        <f>Source!Y244</f>
        <v>323.02999999999997</v>
      </c>
      <c r="U413">
        <f>ROUND((175/100)*ROUND(Source!R243, 2), 2)</f>
        <v>7.0000000000000007E-2</v>
      </c>
      <c r="V413">
        <f>ROUND((0/100)*ROUND(Source!R244, 2), 2)</f>
        <v>0</v>
      </c>
      <c r="AC413">
        <v>0</v>
      </c>
    </row>
    <row r="414" spans="1:29" x14ac:dyDescent="0.2">
      <c r="C414" s="40" t="str">
        <f>"Объем: "&amp;Source!I243&amp;"=1/"&amp;"10"</f>
        <v>Объем: 0,1=1/10</v>
      </c>
    </row>
    <row r="415" spans="1:29" ht="28.5" x14ac:dyDescent="0.2">
      <c r="A415" s="35"/>
      <c r="B415" s="35"/>
      <c r="C415" s="35" t="s">
        <v>655</v>
      </c>
      <c r="D415" s="37"/>
      <c r="E415" s="36"/>
      <c r="F415" s="39">
        <f>Source!AO243</f>
        <v>71.05</v>
      </c>
      <c r="G415" s="38" t="str">
        <f>Source!DG243</f>
        <v>*1,15))*1,1</v>
      </c>
      <c r="H415" s="36">
        <f>Source!AV244</f>
        <v>1.0669999999999999</v>
      </c>
      <c r="I415" s="39">
        <f>Source!S243</f>
        <v>9.59</v>
      </c>
      <c r="J415" s="36">
        <f>IF(Source!BA244&lt;&gt; 0, Source!BA244, 1)</f>
        <v>54.99</v>
      </c>
      <c r="K415" s="39">
        <f>Source!S244</f>
        <v>527.35</v>
      </c>
    </row>
    <row r="416" spans="1:29" ht="28.5" x14ac:dyDescent="0.2">
      <c r="A416" s="35"/>
      <c r="B416" s="35"/>
      <c r="C416" s="35" t="s">
        <v>656</v>
      </c>
      <c r="D416" s="37"/>
      <c r="E416" s="36"/>
      <c r="F416" s="39">
        <f>Source!AM243</f>
        <v>3.02</v>
      </c>
      <c r="G416" s="38" t="str">
        <f>Source!DE243</f>
        <v>*1,25))*1,1</v>
      </c>
      <c r="H416" s="36">
        <f>Source!AV244</f>
        <v>1.0669999999999999</v>
      </c>
      <c r="I416" s="39">
        <f>Source!Q243</f>
        <v>0.44</v>
      </c>
      <c r="J416" s="36">
        <f>IF(Source!BB244&lt;&gt; 0, Source!BB244, 1)</f>
        <v>12.84</v>
      </c>
      <c r="K416" s="39">
        <f>Source!Q244</f>
        <v>5.65</v>
      </c>
    </row>
    <row r="417" spans="1:29" ht="28.5" x14ac:dyDescent="0.2">
      <c r="A417" s="35"/>
      <c r="B417" s="35"/>
      <c r="C417" s="35" t="s">
        <v>657</v>
      </c>
      <c r="D417" s="37"/>
      <c r="E417" s="36"/>
      <c r="F417" s="39">
        <f>Source!AN243</f>
        <v>0.25</v>
      </c>
      <c r="G417" s="38" t="str">
        <f>Source!DF243</f>
        <v>*1,25))*1,1</v>
      </c>
      <c r="H417" s="36">
        <f>Source!AV244</f>
        <v>1.0669999999999999</v>
      </c>
      <c r="I417" s="41">
        <f>Source!R243</f>
        <v>0.04</v>
      </c>
      <c r="J417" s="36">
        <f>IF(Source!BS244&lt;&gt; 0, Source!BS244, 1)</f>
        <v>54.99</v>
      </c>
      <c r="K417" s="41">
        <f>Source!R244</f>
        <v>2.2000000000000002</v>
      </c>
    </row>
    <row r="418" spans="1:29" ht="14.25" x14ac:dyDescent="0.2">
      <c r="A418" s="35"/>
      <c r="B418" s="35"/>
      <c r="C418" s="35" t="s">
        <v>658</v>
      </c>
      <c r="D418" s="37"/>
      <c r="E418" s="36"/>
      <c r="F418" s="39">
        <f>Source!AL243</f>
        <v>162.68</v>
      </c>
      <c r="G418" s="38" t="str">
        <f>Source!DD243</f>
        <v/>
      </c>
      <c r="H418" s="36">
        <f>Source!AW244</f>
        <v>1</v>
      </c>
      <c r="I418" s="39">
        <f>Source!P243</f>
        <v>16.27</v>
      </c>
      <c r="J418" s="36">
        <f>IF(Source!BC244&lt;&gt; 0, Source!BC244, 1)</f>
        <v>7.06</v>
      </c>
      <c r="K418" s="39">
        <f>Source!P244</f>
        <v>114.87</v>
      </c>
    </row>
    <row r="419" spans="1:29" ht="14.25" x14ac:dyDescent="0.2">
      <c r="A419" s="35"/>
      <c r="B419" s="35"/>
      <c r="C419" s="35" t="s">
        <v>659</v>
      </c>
      <c r="D419" s="37" t="s">
        <v>660</v>
      </c>
      <c r="E419" s="36">
        <f>Source!BZ244</f>
        <v>109</v>
      </c>
      <c r="F419" s="39"/>
      <c r="G419" s="38"/>
      <c r="H419" s="36"/>
      <c r="I419" s="39">
        <f>SUM(Q413:Q418)</f>
        <v>10.5</v>
      </c>
      <c r="J419" s="36">
        <f>Source!AT244</f>
        <v>109</v>
      </c>
      <c r="K419" s="39">
        <f>SUM(R413:R418)</f>
        <v>577.21</v>
      </c>
    </row>
    <row r="420" spans="1:29" ht="14.25" x14ac:dyDescent="0.2">
      <c r="A420" s="35"/>
      <c r="B420" s="35"/>
      <c r="C420" s="35" t="s">
        <v>661</v>
      </c>
      <c r="D420" s="37" t="s">
        <v>660</v>
      </c>
      <c r="E420" s="36">
        <f>Source!CA244</f>
        <v>61</v>
      </c>
      <c r="F420" s="39"/>
      <c r="G420" s="38"/>
      <c r="H420" s="36"/>
      <c r="I420" s="39">
        <f>SUM(S413:S419)</f>
        <v>5.87</v>
      </c>
      <c r="J420" s="36">
        <f>Source!AU244</f>
        <v>61</v>
      </c>
      <c r="K420" s="39">
        <f>SUM(T413:T419)</f>
        <v>323.02999999999997</v>
      </c>
    </row>
    <row r="421" spans="1:29" ht="28.5" x14ac:dyDescent="0.2">
      <c r="A421" s="42"/>
      <c r="B421" s="42"/>
      <c r="C421" s="42" t="s">
        <v>662</v>
      </c>
      <c r="D421" s="43" t="s">
        <v>663</v>
      </c>
      <c r="E421" s="44">
        <f>Source!AQ243</f>
        <v>6</v>
      </c>
      <c r="F421" s="45"/>
      <c r="G421" s="46" t="str">
        <f>Source!DI243</f>
        <v>*1,15))*1,1</v>
      </c>
      <c r="H421" s="44">
        <f>Source!AV244</f>
        <v>1.0669999999999999</v>
      </c>
      <c r="I421" s="45">
        <f>Source!U243</f>
        <v>0.80985300000000005</v>
      </c>
      <c r="J421" s="44"/>
      <c r="K421" s="45"/>
    </row>
    <row r="422" spans="1:29" ht="15" x14ac:dyDescent="0.2">
      <c r="C422" s="47" t="s">
        <v>664</v>
      </c>
      <c r="H422" s="48">
        <f>I415+I416+I418+I419+I420+0-0-0</f>
        <v>42.669999999999995</v>
      </c>
      <c r="I422" s="48"/>
      <c r="J422" s="48">
        <f>K415+K416+K418+K419+K420+0-0-0</f>
        <v>1548.11</v>
      </c>
      <c r="K422" s="48"/>
    </row>
    <row r="423" spans="1:29" ht="15" hidden="1" x14ac:dyDescent="0.2">
      <c r="C423" s="47" t="s">
        <v>665</v>
      </c>
      <c r="H423" s="50">
        <f>0+0</f>
        <v>0</v>
      </c>
      <c r="I423" s="50"/>
      <c r="J423" s="50">
        <f>0+0</f>
        <v>0</v>
      </c>
      <c r="K423" s="50"/>
    </row>
    <row r="424" spans="1:29" ht="15" x14ac:dyDescent="0.2">
      <c r="C424" s="47" t="s">
        <v>666</v>
      </c>
      <c r="H424" s="50">
        <f>I415+I416+I418+I419+I420+0</f>
        <v>42.669999999999995</v>
      </c>
      <c r="I424" s="50"/>
      <c r="J424" s="50">
        <f>K415+K416+K418+K419+K420+0</f>
        <v>1548.11</v>
      </c>
      <c r="K424" s="50"/>
      <c r="O424" s="51">
        <f>I415+I416+I418+I419+I420+0</f>
        <v>42.669999999999995</v>
      </c>
      <c r="P424" s="51">
        <f>K415+K416+K418+K419+K420+0</f>
        <v>1548.11</v>
      </c>
    </row>
    <row r="426" spans="1:29" ht="71.25" x14ac:dyDescent="0.2">
      <c r="A426" s="35">
        <v>67</v>
      </c>
      <c r="B426" s="35" t="str">
        <f>Source!F245</f>
        <v>3.16-39-2</v>
      </c>
      <c r="C426" s="35" t="s">
        <v>361</v>
      </c>
      <c r="D426" s="37" t="str">
        <f>Source!H245</f>
        <v>10 шт.</v>
      </c>
      <c r="E426" s="36">
        <f>Source!I245</f>
        <v>0.01</v>
      </c>
      <c r="F426" s="39"/>
      <c r="G426" s="38"/>
      <c r="H426" s="36"/>
      <c r="I426" s="39"/>
      <c r="J426" s="36"/>
      <c r="K426" s="39"/>
      <c r="Q426">
        <f>Source!X245</f>
        <v>0.15</v>
      </c>
      <c r="R426">
        <f>Source!X246</f>
        <v>8.39</v>
      </c>
      <c r="S426">
        <f>Source!Y245</f>
        <v>0.09</v>
      </c>
      <c r="T426">
        <f>Source!Y246</f>
        <v>4.7</v>
      </c>
      <c r="U426">
        <f>ROUND((175/100)*ROUND(Source!R245, 2), 2)</f>
        <v>0</v>
      </c>
      <c r="V426">
        <f>ROUND((0/100)*ROUND(Source!R246, 2), 2)</f>
        <v>0</v>
      </c>
      <c r="AC426">
        <v>0</v>
      </c>
    </row>
    <row r="427" spans="1:29" x14ac:dyDescent="0.2">
      <c r="C427" s="40" t="str">
        <f>"Объем: "&amp;Source!I245&amp;"=1/"&amp;"100"</f>
        <v>Объем: 0,01=1/100</v>
      </c>
    </row>
    <row r="428" spans="1:29" ht="28.5" x14ac:dyDescent="0.2">
      <c r="A428" s="35"/>
      <c r="B428" s="35"/>
      <c r="C428" s="35" t="s">
        <v>655</v>
      </c>
      <c r="D428" s="37"/>
      <c r="E428" s="36"/>
      <c r="F428" s="39">
        <f>Source!AO245</f>
        <v>10.54</v>
      </c>
      <c r="G428" s="38" t="str">
        <f>Source!DG245</f>
        <v>*1,15)*1,1</v>
      </c>
      <c r="H428" s="36">
        <f>Source!AV246</f>
        <v>1.0669999999999999</v>
      </c>
      <c r="I428" s="39">
        <f>Source!S245</f>
        <v>0.14000000000000001</v>
      </c>
      <c r="J428" s="36">
        <f>IF(Source!BA246&lt;&gt; 0, Source!BA246, 1)</f>
        <v>54.99</v>
      </c>
      <c r="K428" s="39">
        <f>Source!S246</f>
        <v>7.7</v>
      </c>
    </row>
    <row r="429" spans="1:29" ht="14.25" x14ac:dyDescent="0.2">
      <c r="A429" s="35"/>
      <c r="B429" s="35"/>
      <c r="C429" s="35" t="s">
        <v>659</v>
      </c>
      <c r="D429" s="37" t="s">
        <v>660</v>
      </c>
      <c r="E429" s="36">
        <f>Source!BZ246</f>
        <v>109</v>
      </c>
      <c r="F429" s="39"/>
      <c r="G429" s="38"/>
      <c r="H429" s="36"/>
      <c r="I429" s="39">
        <f>SUM(Q426:Q428)</f>
        <v>0.15</v>
      </c>
      <c r="J429" s="36">
        <f>Source!AT246</f>
        <v>109</v>
      </c>
      <c r="K429" s="39">
        <f>SUM(R426:R428)</f>
        <v>8.39</v>
      </c>
    </row>
    <row r="430" spans="1:29" ht="14.25" x14ac:dyDescent="0.2">
      <c r="A430" s="35"/>
      <c r="B430" s="35"/>
      <c r="C430" s="35" t="s">
        <v>661</v>
      </c>
      <c r="D430" s="37" t="s">
        <v>660</v>
      </c>
      <c r="E430" s="36">
        <f>Source!CA246</f>
        <v>61</v>
      </c>
      <c r="F430" s="39"/>
      <c r="G430" s="38"/>
      <c r="H430" s="36"/>
      <c r="I430" s="39">
        <f>SUM(S426:S429)</f>
        <v>0.09</v>
      </c>
      <c r="J430" s="36">
        <f>Source!AU246</f>
        <v>61</v>
      </c>
      <c r="K430" s="39">
        <f>SUM(T426:T429)</f>
        <v>4.7</v>
      </c>
    </row>
    <row r="431" spans="1:29" ht="28.5" x14ac:dyDescent="0.2">
      <c r="A431" s="42"/>
      <c r="B431" s="42"/>
      <c r="C431" s="42" t="s">
        <v>662</v>
      </c>
      <c r="D431" s="43" t="s">
        <v>663</v>
      </c>
      <c r="E431" s="44">
        <f>Source!AQ245</f>
        <v>0.9</v>
      </c>
      <c r="F431" s="45"/>
      <c r="G431" s="46" t="str">
        <f>Source!DI245</f>
        <v>*1,15)*1,1</v>
      </c>
      <c r="H431" s="44">
        <f>Source!AV246</f>
        <v>1.0669999999999999</v>
      </c>
      <c r="I431" s="45">
        <f>Source!U245</f>
        <v>1.2147795000000001E-2</v>
      </c>
      <c r="J431" s="44"/>
      <c r="K431" s="45"/>
    </row>
    <row r="432" spans="1:29" ht="15" x14ac:dyDescent="0.2">
      <c r="C432" s="47" t="s">
        <v>664</v>
      </c>
      <c r="H432" s="48">
        <f>I428+I429+I430+0-0-0</f>
        <v>0.38</v>
      </c>
      <c r="I432" s="48"/>
      <c r="J432" s="48">
        <f>K428+K429+K430+0-0-0</f>
        <v>20.79</v>
      </c>
      <c r="K432" s="48"/>
    </row>
    <row r="433" spans="1:29" ht="15" hidden="1" x14ac:dyDescent="0.2">
      <c r="C433" s="47" t="s">
        <v>665</v>
      </c>
      <c r="H433" s="50">
        <f>0+0</f>
        <v>0</v>
      </c>
      <c r="I433" s="50"/>
      <c r="J433" s="50">
        <f>0+0</f>
        <v>0</v>
      </c>
      <c r="K433" s="50"/>
    </row>
    <row r="434" spans="1:29" ht="15" x14ac:dyDescent="0.2">
      <c r="C434" s="47" t="s">
        <v>666</v>
      </c>
      <c r="H434" s="50">
        <f>I428+I429+I430+0</f>
        <v>0.38</v>
      </c>
      <c r="I434" s="50"/>
      <c r="J434" s="50">
        <f>K428+K429+K430+0</f>
        <v>20.79</v>
      </c>
      <c r="K434" s="50"/>
      <c r="O434" s="51">
        <f>I428+I429+I430+0</f>
        <v>0.38</v>
      </c>
      <c r="P434" s="51">
        <f>K428+K429+K430+0</f>
        <v>20.79</v>
      </c>
    </row>
    <row r="436" spans="1:29" ht="96.75" x14ac:dyDescent="0.2">
      <c r="A436" s="42">
        <v>68</v>
      </c>
      <c r="B436" s="42" t="str">
        <f>Source!F247</f>
        <v>КА-30</v>
      </c>
      <c r="C436" s="42" t="s">
        <v>699</v>
      </c>
      <c r="D436" s="43" t="str">
        <f>Source!H247</f>
        <v>ШТ</v>
      </c>
      <c r="E436" s="44">
        <f>Source!I247</f>
        <v>1</v>
      </c>
      <c r="F436" s="45">
        <f>Source!AL247</f>
        <v>1245.9100000000001</v>
      </c>
      <c r="G436" s="46" t="str">
        <f>Source!DD247</f>
        <v/>
      </c>
      <c r="H436" s="44">
        <f>Source!AW248</f>
        <v>1</v>
      </c>
      <c r="I436" s="45">
        <f>Source!P247</f>
        <v>1245.9100000000001</v>
      </c>
      <c r="J436" s="44">
        <f>IF(Source!BC248&lt;&gt; 0, Source!BC248, 1)</f>
        <v>9.8800000000000008</v>
      </c>
      <c r="K436" s="45">
        <f>Source!P248</f>
        <v>12309.59</v>
      </c>
      <c r="Q436">
        <f>Source!X247</f>
        <v>0</v>
      </c>
      <c r="R436">
        <f>Source!X248</f>
        <v>0</v>
      </c>
      <c r="S436">
        <f>Source!Y247</f>
        <v>0</v>
      </c>
      <c r="T436">
        <f>Source!Y248</f>
        <v>0</v>
      </c>
      <c r="U436">
        <f>ROUND((175/100)*ROUND(Source!R247, 2), 2)</f>
        <v>0</v>
      </c>
      <c r="V436">
        <f>ROUND((0/100)*ROUND(Source!R248, 2), 2)</f>
        <v>0</v>
      </c>
      <c r="AC436">
        <v>3</v>
      </c>
    </row>
    <row r="437" spans="1:29" ht="15" x14ac:dyDescent="0.2">
      <c r="C437" s="47" t="s">
        <v>666</v>
      </c>
      <c r="H437" s="48">
        <f>I436+0</f>
        <v>1245.9100000000001</v>
      </c>
      <c r="I437" s="48"/>
      <c r="J437" s="48">
        <f>K436+0</f>
        <v>12309.59</v>
      </c>
      <c r="K437" s="48"/>
      <c r="O437" s="51">
        <f>I436+0</f>
        <v>1245.9100000000001</v>
      </c>
      <c r="P437" s="51">
        <f>K436+0</f>
        <v>12309.59</v>
      </c>
    </row>
    <row r="440" spans="1:29" ht="15" x14ac:dyDescent="0.25">
      <c r="A440" s="60" t="str">
        <f>CONCATENATE("Итого по разделу: ",IF(Source!G250&lt;&gt;"Новый раздел", Source!G250, ""))</f>
        <v>Итого по разделу: Арматура трубопроводная</v>
      </c>
      <c r="B440" s="60"/>
      <c r="C440" s="60"/>
      <c r="D440" s="60"/>
      <c r="E440" s="60"/>
      <c r="F440" s="60"/>
      <c r="G440" s="60"/>
      <c r="H440" s="50">
        <f>SUM(O341:O439)</f>
        <v>103254.31000000001</v>
      </c>
      <c r="I440" s="49"/>
      <c r="J440" s="50">
        <f>SUM(P341:P439)</f>
        <v>1153992.6500000004</v>
      </c>
      <c r="K440" s="49"/>
    </row>
    <row r="441" spans="1:29" hidden="1" x14ac:dyDescent="0.2">
      <c r="A441" t="s">
        <v>669</v>
      </c>
      <c r="I441">
        <f>SUM(W341:W440)</f>
        <v>0</v>
      </c>
      <c r="J441">
        <f>SUM(X341:X440)</f>
        <v>0</v>
      </c>
    </row>
    <row r="442" spans="1:29" hidden="1" x14ac:dyDescent="0.2">
      <c r="A442" t="s">
        <v>670</v>
      </c>
      <c r="I442">
        <f>SUM(Y341:Y441)</f>
        <v>0</v>
      </c>
      <c r="J442">
        <f>SUM(Z341:Z441)</f>
        <v>0</v>
      </c>
    </row>
    <row r="444" spans="1:29" ht="16.5" x14ac:dyDescent="0.2">
      <c r="A444" s="34" t="str">
        <f>CONCATENATE("Раздел: ",IF(Source!G280&lt;&gt;"Новый раздел", Source!G280, ""))</f>
        <v>Раздел: Трубы стальные</v>
      </c>
      <c r="B444" s="34"/>
      <c r="C444" s="34"/>
      <c r="D444" s="34"/>
      <c r="E444" s="34"/>
      <c r="F444" s="34"/>
      <c r="G444" s="34"/>
      <c r="H444" s="34"/>
      <c r="I444" s="34"/>
      <c r="J444" s="34"/>
      <c r="K444" s="34"/>
    </row>
    <row r="445" spans="1:29" ht="57" x14ac:dyDescent="0.2">
      <c r="A445" s="35">
        <v>69</v>
      </c>
      <c r="B445" s="35" t="str">
        <f>Source!F284</f>
        <v>3.16-6-1</v>
      </c>
      <c r="C445" s="35" t="s">
        <v>370</v>
      </c>
      <c r="D445" s="37" t="str">
        <f>Source!H284</f>
        <v>100 м трубопровода</v>
      </c>
      <c r="E445" s="36">
        <f>Source!I284</f>
        <v>34</v>
      </c>
      <c r="F445" s="39"/>
      <c r="G445" s="38"/>
      <c r="H445" s="36"/>
      <c r="I445" s="39"/>
      <c r="J445" s="36"/>
      <c r="K445" s="39"/>
      <c r="Q445">
        <f>Source!X284</f>
        <v>18860.11</v>
      </c>
      <c r="R445">
        <f>Source!X285</f>
        <v>1037117.25</v>
      </c>
      <c r="S445">
        <f>Source!Y284</f>
        <v>10554.74</v>
      </c>
      <c r="T445">
        <f>Source!Y285</f>
        <v>580405.06999999995</v>
      </c>
      <c r="U445">
        <f>ROUND((175/100)*ROUND(Source!R284, 2), 2)</f>
        <v>488.85</v>
      </c>
      <c r="V445">
        <f>ROUND((0/100)*ROUND(Source!R285, 2), 2)</f>
        <v>0</v>
      </c>
      <c r="AC445">
        <v>0</v>
      </c>
    </row>
    <row r="446" spans="1:29" x14ac:dyDescent="0.2">
      <c r="C446" s="40" t="str">
        <f>"Объем: "&amp;Source!I284&amp;"=3400/"&amp;"100"</f>
        <v>Объем: 34=3400/100</v>
      </c>
    </row>
    <row r="447" spans="1:29" ht="28.5" x14ac:dyDescent="0.2">
      <c r="A447" s="35"/>
      <c r="B447" s="35"/>
      <c r="C447" s="35" t="s">
        <v>655</v>
      </c>
      <c r="D447" s="37"/>
      <c r="E447" s="36"/>
      <c r="F447" s="39">
        <f>Source!AO284</f>
        <v>370.95</v>
      </c>
      <c r="G447" s="38" t="str">
        <f>Source!DG284</f>
        <v>*1,15)*1,1</v>
      </c>
      <c r="H447" s="36">
        <f>Source!AV285</f>
        <v>1.0669999999999999</v>
      </c>
      <c r="I447" s="39">
        <f>Source!S284</f>
        <v>17023.509999999998</v>
      </c>
      <c r="J447" s="36">
        <f>IF(Source!BA285&lt;&gt; 0, Source!BA285, 1)</f>
        <v>54.99</v>
      </c>
      <c r="K447" s="39">
        <f>Source!S285</f>
        <v>936122.81</v>
      </c>
    </row>
    <row r="448" spans="1:29" ht="28.5" x14ac:dyDescent="0.2">
      <c r="A448" s="35"/>
      <c r="B448" s="35"/>
      <c r="C448" s="35" t="s">
        <v>656</v>
      </c>
      <c r="D448" s="37"/>
      <c r="E448" s="36"/>
      <c r="F448" s="39">
        <f>Source!AM284</f>
        <v>41.95</v>
      </c>
      <c r="G448" s="38" t="str">
        <f>Source!DE284</f>
        <v>*1,25)*1,1</v>
      </c>
      <c r="H448" s="36">
        <f>Source!AV285</f>
        <v>1.0669999999999999</v>
      </c>
      <c r="I448" s="39">
        <f>Source!Q284</f>
        <v>2092.56</v>
      </c>
      <c r="J448" s="36">
        <f>IF(Source!BB285&lt;&gt; 0, Source!BB285, 1)</f>
        <v>15.48</v>
      </c>
      <c r="K448" s="39">
        <f>Source!Q285</f>
        <v>32392.83</v>
      </c>
    </row>
    <row r="449" spans="1:29" ht="28.5" x14ac:dyDescent="0.2">
      <c r="A449" s="35"/>
      <c r="B449" s="35"/>
      <c r="C449" s="35" t="s">
        <v>657</v>
      </c>
      <c r="D449" s="37"/>
      <c r="E449" s="36"/>
      <c r="F449" s="39">
        <f>Source!AN284</f>
        <v>5.6</v>
      </c>
      <c r="G449" s="38" t="str">
        <f>Source!DF284</f>
        <v>*1,25)*1,1</v>
      </c>
      <c r="H449" s="36">
        <f>Source!AV285</f>
        <v>1.0669999999999999</v>
      </c>
      <c r="I449" s="41">
        <f>Source!R284</f>
        <v>279.33999999999997</v>
      </c>
      <c r="J449" s="36">
        <f>IF(Source!BS285&lt;&gt; 0, Source!BS285, 1)</f>
        <v>54.99</v>
      </c>
      <c r="K449" s="41">
        <f>Source!R285</f>
        <v>15360.91</v>
      </c>
    </row>
    <row r="450" spans="1:29" ht="14.25" x14ac:dyDescent="0.2">
      <c r="A450" s="35"/>
      <c r="B450" s="35"/>
      <c r="C450" s="35" t="s">
        <v>658</v>
      </c>
      <c r="D450" s="37"/>
      <c r="E450" s="36"/>
      <c r="F450" s="39">
        <f>Source!AL284</f>
        <v>32.17</v>
      </c>
      <c r="G450" s="38" t="str">
        <f>Source!DD284</f>
        <v/>
      </c>
      <c r="H450" s="36">
        <f>Source!AW285</f>
        <v>1</v>
      </c>
      <c r="I450" s="39">
        <f>Source!P284</f>
        <v>1093.78</v>
      </c>
      <c r="J450" s="36">
        <f>IF(Source!BC285&lt;&gt; 0, Source!BC285, 1)</f>
        <v>7.12</v>
      </c>
      <c r="K450" s="39">
        <f>Source!P285</f>
        <v>7787.71</v>
      </c>
    </row>
    <row r="451" spans="1:29" ht="71.25" x14ac:dyDescent="0.2">
      <c r="A451" s="35" t="s">
        <v>373</v>
      </c>
      <c r="B451" s="35" t="str">
        <f>Source!F286</f>
        <v>1.12-1-40</v>
      </c>
      <c r="C451" s="35" t="s">
        <v>375</v>
      </c>
      <c r="D451" s="37" t="str">
        <f>Source!H286</f>
        <v>м</v>
      </c>
      <c r="E451" s="36">
        <f>Source!I286</f>
        <v>3400</v>
      </c>
      <c r="F451" s="39">
        <f>Source!AK286</f>
        <v>30.14</v>
      </c>
      <c r="G451" s="62" t="s">
        <v>3</v>
      </c>
      <c r="H451" s="36">
        <f>Source!AW287</f>
        <v>1</v>
      </c>
      <c r="I451" s="39">
        <f>Source!O286</f>
        <v>102476</v>
      </c>
      <c r="J451" s="36">
        <f>IF(Source!BC287&lt;&gt; 0, Source!BC287, 1)</f>
        <v>11.26</v>
      </c>
      <c r="K451" s="39">
        <f>Source!O287</f>
        <v>1153879.76</v>
      </c>
      <c r="Q451">
        <f>Source!X286</f>
        <v>0</v>
      </c>
      <c r="R451">
        <f>Source!X287</f>
        <v>0</v>
      </c>
      <c r="S451">
        <f>Source!Y286</f>
        <v>0</v>
      </c>
      <c r="T451">
        <f>Source!Y287</f>
        <v>0</v>
      </c>
      <c r="U451">
        <f>ROUND((175/100)*ROUND(Source!R286, 2), 2)</f>
        <v>0</v>
      </c>
      <c r="V451">
        <f>ROUND((0/100)*ROUND(Source!R287, 2), 2)</f>
        <v>0</v>
      </c>
      <c r="AC451">
        <v>3</v>
      </c>
    </row>
    <row r="452" spans="1:29" ht="14.25" x14ac:dyDescent="0.2">
      <c r="A452" s="35"/>
      <c r="B452" s="35"/>
      <c r="C452" s="35" t="s">
        <v>659</v>
      </c>
      <c r="D452" s="37" t="s">
        <v>660</v>
      </c>
      <c r="E452" s="36">
        <f>Source!BZ285</f>
        <v>109</v>
      </c>
      <c r="F452" s="39"/>
      <c r="G452" s="38"/>
      <c r="H452" s="36"/>
      <c r="I452" s="39">
        <f>SUM(Q445:Q451)</f>
        <v>18860.11</v>
      </c>
      <c r="J452" s="36">
        <f>Source!AT285</f>
        <v>109</v>
      </c>
      <c r="K452" s="39">
        <f>SUM(R445:R451)</f>
        <v>1037117.25</v>
      </c>
    </row>
    <row r="453" spans="1:29" ht="14.25" x14ac:dyDescent="0.2">
      <c r="A453" s="35"/>
      <c r="B453" s="35"/>
      <c r="C453" s="35" t="s">
        <v>661</v>
      </c>
      <c r="D453" s="37" t="s">
        <v>660</v>
      </c>
      <c r="E453" s="36">
        <f>Source!CA285</f>
        <v>61</v>
      </c>
      <c r="F453" s="39"/>
      <c r="G453" s="38"/>
      <c r="H453" s="36"/>
      <c r="I453" s="39">
        <f>SUM(S445:S452)</f>
        <v>10554.74</v>
      </c>
      <c r="J453" s="36">
        <f>Source!AU285</f>
        <v>61</v>
      </c>
      <c r="K453" s="39">
        <f>SUM(T445:T452)</f>
        <v>580405.06999999995</v>
      </c>
    </row>
    <row r="454" spans="1:29" ht="28.5" x14ac:dyDescent="0.2">
      <c r="A454" s="42"/>
      <c r="B454" s="42"/>
      <c r="C454" s="42" t="s">
        <v>662</v>
      </c>
      <c r="D454" s="43" t="s">
        <v>663</v>
      </c>
      <c r="E454" s="44">
        <f>Source!AQ284</f>
        <v>29.7</v>
      </c>
      <c r="F454" s="45"/>
      <c r="G454" s="46" t="str">
        <f>Source!DI284</f>
        <v>*1,15)*1,1</v>
      </c>
      <c r="H454" s="44">
        <f>Source!AV285</f>
        <v>1.0669999999999999</v>
      </c>
      <c r="I454" s="45">
        <f>Source!U284</f>
        <v>1362.9825989999999</v>
      </c>
      <c r="J454" s="44"/>
      <c r="K454" s="45"/>
    </row>
    <row r="455" spans="1:29" ht="15" x14ac:dyDescent="0.2">
      <c r="C455" s="47" t="s">
        <v>664</v>
      </c>
      <c r="H455" s="48">
        <f>I447+I448+I450+I452+I453+SUM(I451:I451)-SUMIF(AC451:AC451, 5, I451:I451)-SUMIF(AC451:AC451, 6, I451:I451)</f>
        <v>152100.70000000001</v>
      </c>
      <c r="I455" s="48"/>
      <c r="J455" s="48">
        <f>K447+K448+K450+K452+K453+SUM(K451:K451)-SUMIF(AC451:AC451, 5, K451:K451)-SUMIF(AC451:AC451, 6, K451:K451)</f>
        <v>3747705.4299999997</v>
      </c>
      <c r="K455" s="48"/>
    </row>
    <row r="456" spans="1:29" ht="15" hidden="1" x14ac:dyDescent="0.2">
      <c r="C456" s="47" t="s">
        <v>665</v>
      </c>
      <c r="H456" s="50">
        <f>SUMIF(AC451:AC451, 5, I451:I451)+SUMIF(AC451:AC451, 6, I451:I451)</f>
        <v>0</v>
      </c>
      <c r="I456" s="50"/>
      <c r="J456" s="50">
        <f>SUMIF(AC451:AC451, 5, K451:K451)+SUMIF(AC451:AC451, 6, K451:K451)</f>
        <v>0</v>
      </c>
      <c r="K456" s="50"/>
    </row>
    <row r="457" spans="1:29" ht="15" x14ac:dyDescent="0.2">
      <c r="C457" s="47" t="s">
        <v>666</v>
      </c>
      <c r="H457" s="50">
        <f>I447+I448+I450+I452+I453+SUM(I451:I451)</f>
        <v>152100.70000000001</v>
      </c>
      <c r="I457" s="50"/>
      <c r="J457" s="50">
        <f>K447+K448+K450+K452+K453+SUM(K451:K451)</f>
        <v>3747705.4299999997</v>
      </c>
      <c r="K457" s="50"/>
      <c r="O457" s="51">
        <f>I447+I448+I450+I452+I453+SUM(I451:I451)</f>
        <v>152100.70000000001</v>
      </c>
      <c r="P457" s="51">
        <f>K447+K448+K450+K452+K453+SUM(K451:K451)</f>
        <v>3747705.4299999997</v>
      </c>
    </row>
    <row r="459" spans="1:29" ht="57" x14ac:dyDescent="0.2">
      <c r="A459" s="35">
        <v>70</v>
      </c>
      <c r="B459" s="35" t="str">
        <f>Source!F288</f>
        <v>3.16-6-2</v>
      </c>
      <c r="C459" s="35" t="s">
        <v>380</v>
      </c>
      <c r="D459" s="37" t="str">
        <f>Source!H288</f>
        <v>100 м трубопровода</v>
      </c>
      <c r="E459" s="36">
        <f>Source!I288</f>
        <v>6</v>
      </c>
      <c r="F459" s="39"/>
      <c r="G459" s="38"/>
      <c r="H459" s="36"/>
      <c r="I459" s="39"/>
      <c r="J459" s="36"/>
      <c r="K459" s="39"/>
      <c r="Q459">
        <f>Source!X288</f>
        <v>3328.26</v>
      </c>
      <c r="R459">
        <f>Source!X289</f>
        <v>183021.05</v>
      </c>
      <c r="S459">
        <f>Source!Y288</f>
        <v>1862.6</v>
      </c>
      <c r="T459">
        <f>Source!Y289</f>
        <v>102424.62</v>
      </c>
      <c r="U459">
        <f>ROUND((175/100)*ROUND(Source!R288, 2), 2)</f>
        <v>86.28</v>
      </c>
      <c r="V459">
        <f>ROUND((0/100)*ROUND(Source!R289, 2), 2)</f>
        <v>0</v>
      </c>
      <c r="AC459">
        <v>0</v>
      </c>
    </row>
    <row r="460" spans="1:29" x14ac:dyDescent="0.2">
      <c r="C460" s="40" t="str">
        <f>"Объем: "&amp;Source!I288&amp;"=600/"&amp;"100"</f>
        <v>Объем: 6=600/100</v>
      </c>
    </row>
    <row r="461" spans="1:29" ht="28.5" x14ac:dyDescent="0.2">
      <c r="A461" s="35"/>
      <c r="B461" s="35"/>
      <c r="C461" s="35" t="s">
        <v>655</v>
      </c>
      <c r="D461" s="37"/>
      <c r="E461" s="36"/>
      <c r="F461" s="39">
        <f>Source!AO288</f>
        <v>370.95</v>
      </c>
      <c r="G461" s="38" t="str">
        <f>Source!DG288</f>
        <v>*1,15)*1,1</v>
      </c>
      <c r="H461" s="36">
        <f>Source!AV289</f>
        <v>1.0669999999999999</v>
      </c>
      <c r="I461" s="39">
        <f>Source!S288</f>
        <v>3004.15</v>
      </c>
      <c r="J461" s="36">
        <f>IF(Source!BA289&lt;&gt; 0, Source!BA289, 1)</f>
        <v>54.99</v>
      </c>
      <c r="K461" s="39">
        <f>Source!S289</f>
        <v>165198.21</v>
      </c>
    </row>
    <row r="462" spans="1:29" ht="28.5" x14ac:dyDescent="0.2">
      <c r="A462" s="35"/>
      <c r="B462" s="35"/>
      <c r="C462" s="35" t="s">
        <v>656</v>
      </c>
      <c r="D462" s="37"/>
      <c r="E462" s="36"/>
      <c r="F462" s="39">
        <f>Source!AM288</f>
        <v>41.95</v>
      </c>
      <c r="G462" s="38" t="str">
        <f>Source!DE288</f>
        <v>*1,25)*1,1</v>
      </c>
      <c r="H462" s="36">
        <f>Source!AV289</f>
        <v>1.0669999999999999</v>
      </c>
      <c r="I462" s="39">
        <f>Source!Q288</f>
        <v>369.28</v>
      </c>
      <c r="J462" s="36">
        <f>IF(Source!BB289&lt;&gt; 0, Source!BB289, 1)</f>
        <v>15.48</v>
      </c>
      <c r="K462" s="39">
        <f>Source!Q289</f>
        <v>5716.45</v>
      </c>
    </row>
    <row r="463" spans="1:29" ht="28.5" x14ac:dyDescent="0.2">
      <c r="A463" s="35"/>
      <c r="B463" s="35"/>
      <c r="C463" s="35" t="s">
        <v>657</v>
      </c>
      <c r="D463" s="37"/>
      <c r="E463" s="36"/>
      <c r="F463" s="39">
        <f>Source!AN288</f>
        <v>5.6</v>
      </c>
      <c r="G463" s="38" t="str">
        <f>Source!DF288</f>
        <v>*1,25)*1,1</v>
      </c>
      <c r="H463" s="36">
        <f>Source!AV289</f>
        <v>1.0669999999999999</v>
      </c>
      <c r="I463" s="41">
        <f>Source!R288</f>
        <v>49.3</v>
      </c>
      <c r="J463" s="36">
        <f>IF(Source!BS289&lt;&gt; 0, Source!BS289, 1)</f>
        <v>54.99</v>
      </c>
      <c r="K463" s="41">
        <f>Source!R289</f>
        <v>2711.01</v>
      </c>
    </row>
    <row r="464" spans="1:29" ht="14.25" x14ac:dyDescent="0.2">
      <c r="A464" s="35"/>
      <c r="B464" s="35"/>
      <c r="C464" s="35" t="s">
        <v>658</v>
      </c>
      <c r="D464" s="37"/>
      <c r="E464" s="36"/>
      <c r="F464" s="39">
        <f>Source!AL288</f>
        <v>32.51</v>
      </c>
      <c r="G464" s="38" t="str">
        <f>Source!DD288</f>
        <v/>
      </c>
      <c r="H464" s="36">
        <f>Source!AW289</f>
        <v>1</v>
      </c>
      <c r="I464" s="39">
        <f>Source!P288</f>
        <v>195.06</v>
      </c>
      <c r="J464" s="36">
        <f>IF(Source!BC289&lt;&gt; 0, Source!BC289, 1)</f>
        <v>7.12</v>
      </c>
      <c r="K464" s="39">
        <f>Source!P289</f>
        <v>1388.83</v>
      </c>
    </row>
    <row r="465" spans="1:29" ht="71.25" x14ac:dyDescent="0.2">
      <c r="A465" s="35" t="s">
        <v>382</v>
      </c>
      <c r="B465" s="35" t="str">
        <f>Source!F290</f>
        <v>1.12-1-41</v>
      </c>
      <c r="C465" s="35" t="s">
        <v>384</v>
      </c>
      <c r="D465" s="37" t="str">
        <f>Source!H290</f>
        <v>м</v>
      </c>
      <c r="E465" s="36">
        <f>Source!I290</f>
        <v>600</v>
      </c>
      <c r="F465" s="39">
        <f>Source!AK290</f>
        <v>31.31</v>
      </c>
      <c r="G465" s="62" t="s">
        <v>3</v>
      </c>
      <c r="H465" s="36">
        <f>Source!AW291</f>
        <v>1</v>
      </c>
      <c r="I465" s="39">
        <f>Source!O290</f>
        <v>18786</v>
      </c>
      <c r="J465" s="36">
        <f>IF(Source!BC291&lt;&gt; 0, Source!BC291, 1)</f>
        <v>11.71</v>
      </c>
      <c r="K465" s="39">
        <f>Source!O291</f>
        <v>219984.06</v>
      </c>
      <c r="Q465">
        <f>Source!X290</f>
        <v>0</v>
      </c>
      <c r="R465">
        <f>Source!X291</f>
        <v>0</v>
      </c>
      <c r="S465">
        <f>Source!Y290</f>
        <v>0</v>
      </c>
      <c r="T465">
        <f>Source!Y291</f>
        <v>0</v>
      </c>
      <c r="U465">
        <f>ROUND((175/100)*ROUND(Source!R290, 2), 2)</f>
        <v>0</v>
      </c>
      <c r="V465">
        <f>ROUND((0/100)*ROUND(Source!R291, 2), 2)</f>
        <v>0</v>
      </c>
      <c r="AC465">
        <v>3</v>
      </c>
    </row>
    <row r="466" spans="1:29" ht="14.25" x14ac:dyDescent="0.2">
      <c r="A466" s="35"/>
      <c r="B466" s="35"/>
      <c r="C466" s="35" t="s">
        <v>659</v>
      </c>
      <c r="D466" s="37" t="s">
        <v>660</v>
      </c>
      <c r="E466" s="36">
        <f>Source!BZ289</f>
        <v>109</v>
      </c>
      <c r="F466" s="39"/>
      <c r="G466" s="38"/>
      <c r="H466" s="36"/>
      <c r="I466" s="39">
        <f>SUM(Q459:Q465)</f>
        <v>3328.26</v>
      </c>
      <c r="J466" s="36">
        <f>Source!AT289</f>
        <v>109</v>
      </c>
      <c r="K466" s="39">
        <f>SUM(R459:R465)</f>
        <v>183021.05</v>
      </c>
    </row>
    <row r="467" spans="1:29" ht="14.25" x14ac:dyDescent="0.2">
      <c r="A467" s="35"/>
      <c r="B467" s="35"/>
      <c r="C467" s="35" t="s">
        <v>661</v>
      </c>
      <c r="D467" s="37" t="s">
        <v>660</v>
      </c>
      <c r="E467" s="36">
        <f>Source!CA289</f>
        <v>61</v>
      </c>
      <c r="F467" s="39"/>
      <c r="G467" s="38"/>
      <c r="H467" s="36"/>
      <c r="I467" s="39">
        <f>SUM(S459:S466)</f>
        <v>1862.6</v>
      </c>
      <c r="J467" s="36">
        <f>Source!AU289</f>
        <v>61</v>
      </c>
      <c r="K467" s="39">
        <f>SUM(T459:T466)</f>
        <v>102424.62</v>
      </c>
    </row>
    <row r="468" spans="1:29" ht="28.5" x14ac:dyDescent="0.2">
      <c r="A468" s="42"/>
      <c r="B468" s="42"/>
      <c r="C468" s="42" t="s">
        <v>662</v>
      </c>
      <c r="D468" s="43" t="s">
        <v>663</v>
      </c>
      <c r="E468" s="44">
        <f>Source!AQ288</f>
        <v>29.7</v>
      </c>
      <c r="F468" s="45"/>
      <c r="G468" s="46" t="str">
        <f>Source!DI288</f>
        <v>*1,15)*1,1</v>
      </c>
      <c r="H468" s="44">
        <f>Source!AV289</f>
        <v>1.0669999999999999</v>
      </c>
      <c r="I468" s="45">
        <f>Source!U288</f>
        <v>240.52634099999997</v>
      </c>
      <c r="J468" s="44"/>
      <c r="K468" s="45"/>
    </row>
    <row r="469" spans="1:29" ht="15" x14ac:dyDescent="0.2">
      <c r="C469" s="47" t="s">
        <v>664</v>
      </c>
      <c r="H469" s="48">
        <f>I461+I462+I464+I466+I467+SUM(I465:I465)-SUMIF(AC465:AC465, 5, I465:I465)-SUMIF(AC465:AC465, 6, I465:I465)</f>
        <v>27545.35</v>
      </c>
      <c r="I469" s="48"/>
      <c r="J469" s="48">
        <f>K461+K462+K464+K466+K467+SUM(K465:K465)-SUMIF(AC465:AC465, 5, K465:K465)-SUMIF(AC465:AC465, 6, K465:K465)</f>
        <v>677733.22</v>
      </c>
      <c r="K469" s="48"/>
    </row>
    <row r="470" spans="1:29" ht="15" hidden="1" x14ac:dyDescent="0.2">
      <c r="C470" s="47" t="s">
        <v>665</v>
      </c>
      <c r="H470" s="50">
        <f>SUMIF(AC465:AC465, 5, I465:I465)+SUMIF(AC465:AC465, 6, I465:I465)</f>
        <v>0</v>
      </c>
      <c r="I470" s="50"/>
      <c r="J470" s="50">
        <f>SUMIF(AC465:AC465, 5, K465:K465)+SUMIF(AC465:AC465, 6, K465:K465)</f>
        <v>0</v>
      </c>
      <c r="K470" s="50"/>
    </row>
    <row r="471" spans="1:29" ht="15" x14ac:dyDescent="0.2">
      <c r="C471" s="47" t="s">
        <v>666</v>
      </c>
      <c r="H471" s="50">
        <f>I461+I462+I464+I466+I467+SUM(I465:I465)</f>
        <v>27545.35</v>
      </c>
      <c r="I471" s="50"/>
      <c r="J471" s="50">
        <f>K461+K462+K464+K466+K467+SUM(K465:K465)</f>
        <v>677733.22</v>
      </c>
      <c r="K471" s="50"/>
      <c r="O471" s="51">
        <f>I461+I462+I464+I466+I467+SUM(I465:I465)</f>
        <v>27545.35</v>
      </c>
      <c r="P471" s="51">
        <f>K461+K462+K464+K466+K467+SUM(K465:K465)</f>
        <v>677733.22</v>
      </c>
    </row>
    <row r="473" spans="1:29" ht="57" x14ac:dyDescent="0.2">
      <c r="A473" s="35">
        <v>71</v>
      </c>
      <c r="B473" s="35" t="str">
        <f>Source!F292</f>
        <v>3.16-6-3</v>
      </c>
      <c r="C473" s="35" t="s">
        <v>388</v>
      </c>
      <c r="D473" s="37" t="str">
        <f>Source!H292</f>
        <v>100 м трубопровода</v>
      </c>
      <c r="E473" s="36">
        <f>Source!I292</f>
        <v>1.1000000000000001</v>
      </c>
      <c r="F473" s="39"/>
      <c r="G473" s="38"/>
      <c r="H473" s="36"/>
      <c r="I473" s="39"/>
      <c r="J473" s="36"/>
      <c r="K473" s="39"/>
      <c r="Q473">
        <f>Source!X292</f>
        <v>610.17999999999995</v>
      </c>
      <c r="R473">
        <f>Source!X293</f>
        <v>33553.910000000003</v>
      </c>
      <c r="S473">
        <f>Source!Y292</f>
        <v>341.48</v>
      </c>
      <c r="T473">
        <f>Source!Y293</f>
        <v>18777.87</v>
      </c>
      <c r="U473">
        <f>ROUND((175/100)*ROUND(Source!R292, 2), 2)</f>
        <v>15.82</v>
      </c>
      <c r="V473">
        <f>ROUND((0/100)*ROUND(Source!R293, 2), 2)</f>
        <v>0</v>
      </c>
      <c r="AC473">
        <v>0</v>
      </c>
    </row>
    <row r="474" spans="1:29" x14ac:dyDescent="0.2">
      <c r="C474" s="40" t="str">
        <f>"Объем: "&amp;Source!I292&amp;"=110/"&amp;"100"</f>
        <v>Объем: 1,1=110/100</v>
      </c>
    </row>
    <row r="475" spans="1:29" ht="28.5" x14ac:dyDescent="0.2">
      <c r="A475" s="35"/>
      <c r="B475" s="35"/>
      <c r="C475" s="35" t="s">
        <v>655</v>
      </c>
      <c r="D475" s="37"/>
      <c r="E475" s="36"/>
      <c r="F475" s="39">
        <f>Source!AO292</f>
        <v>370.95</v>
      </c>
      <c r="G475" s="38" t="str">
        <f>Source!DG292</f>
        <v>*1,15)*1,1</v>
      </c>
      <c r="H475" s="36">
        <f>Source!AV293</f>
        <v>1.0669999999999999</v>
      </c>
      <c r="I475" s="39">
        <f>Source!S292</f>
        <v>550.76</v>
      </c>
      <c r="J475" s="36">
        <f>IF(Source!BA293&lt;&gt; 0, Source!BA293, 1)</f>
        <v>54.99</v>
      </c>
      <c r="K475" s="39">
        <f>Source!S293</f>
        <v>30286.29</v>
      </c>
    </row>
    <row r="476" spans="1:29" ht="28.5" x14ac:dyDescent="0.2">
      <c r="A476" s="35"/>
      <c r="B476" s="35"/>
      <c r="C476" s="35" t="s">
        <v>656</v>
      </c>
      <c r="D476" s="37"/>
      <c r="E476" s="36"/>
      <c r="F476" s="39">
        <f>Source!AM292</f>
        <v>41.95</v>
      </c>
      <c r="G476" s="38" t="str">
        <f>Source!DE292</f>
        <v>*1,25)*1,1</v>
      </c>
      <c r="H476" s="36">
        <f>Source!AV293</f>
        <v>1.0669999999999999</v>
      </c>
      <c r="I476" s="39">
        <f>Source!Q292</f>
        <v>67.7</v>
      </c>
      <c r="J476" s="36">
        <f>IF(Source!BB293&lt;&gt; 0, Source!BB293, 1)</f>
        <v>15.48</v>
      </c>
      <c r="K476" s="39">
        <f>Source!Q293</f>
        <v>1048</v>
      </c>
    </row>
    <row r="477" spans="1:29" ht="28.5" x14ac:dyDescent="0.2">
      <c r="A477" s="35"/>
      <c r="B477" s="35"/>
      <c r="C477" s="35" t="s">
        <v>657</v>
      </c>
      <c r="D477" s="37"/>
      <c r="E477" s="36"/>
      <c r="F477" s="39">
        <f>Source!AN292</f>
        <v>5.6</v>
      </c>
      <c r="G477" s="38" t="str">
        <f>Source!DF292</f>
        <v>*1,25)*1,1</v>
      </c>
      <c r="H477" s="36">
        <f>Source!AV293</f>
        <v>1.0669999999999999</v>
      </c>
      <c r="I477" s="41">
        <f>Source!R292</f>
        <v>9.0399999999999991</v>
      </c>
      <c r="J477" s="36">
        <f>IF(Source!BS293&lt;&gt; 0, Source!BS293, 1)</f>
        <v>54.99</v>
      </c>
      <c r="K477" s="41">
        <f>Source!R293</f>
        <v>497.11</v>
      </c>
    </row>
    <row r="478" spans="1:29" ht="14.25" x14ac:dyDescent="0.2">
      <c r="A478" s="35"/>
      <c r="B478" s="35"/>
      <c r="C478" s="35" t="s">
        <v>658</v>
      </c>
      <c r="D478" s="37"/>
      <c r="E478" s="36"/>
      <c r="F478" s="39">
        <f>Source!AL292</f>
        <v>32.96</v>
      </c>
      <c r="G478" s="38" t="str">
        <f>Source!DD292</f>
        <v/>
      </c>
      <c r="H478" s="36">
        <f>Source!AW293</f>
        <v>1</v>
      </c>
      <c r="I478" s="39">
        <f>Source!P292</f>
        <v>36.26</v>
      </c>
      <c r="J478" s="36">
        <f>IF(Source!BC293&lt;&gt; 0, Source!BC293, 1)</f>
        <v>7.13</v>
      </c>
      <c r="K478" s="39">
        <f>Source!P293</f>
        <v>258.52999999999997</v>
      </c>
    </row>
    <row r="479" spans="1:29" ht="71.25" x14ac:dyDescent="0.2">
      <c r="A479" s="35" t="s">
        <v>390</v>
      </c>
      <c r="B479" s="35" t="str">
        <f>Source!F294</f>
        <v>1.12-1-42</v>
      </c>
      <c r="C479" s="35" t="s">
        <v>392</v>
      </c>
      <c r="D479" s="37" t="str">
        <f>Source!H294</f>
        <v>м</v>
      </c>
      <c r="E479" s="36">
        <f>Source!I294</f>
        <v>110</v>
      </c>
      <c r="F479" s="39">
        <f>Source!AK294</f>
        <v>31.73</v>
      </c>
      <c r="G479" s="62" t="s">
        <v>3</v>
      </c>
      <c r="H479" s="36">
        <f>Source!AW295</f>
        <v>1</v>
      </c>
      <c r="I479" s="39">
        <f>Source!O294</f>
        <v>3490.3</v>
      </c>
      <c r="J479" s="36">
        <f>IF(Source!BC295&lt;&gt; 0, Source!BC295, 1)</f>
        <v>14.47</v>
      </c>
      <c r="K479" s="39">
        <f>Source!O295</f>
        <v>50504.639999999999</v>
      </c>
      <c r="Q479">
        <f>Source!X294</f>
        <v>0</v>
      </c>
      <c r="R479">
        <f>Source!X295</f>
        <v>0</v>
      </c>
      <c r="S479">
        <f>Source!Y294</f>
        <v>0</v>
      </c>
      <c r="T479">
        <f>Source!Y295</f>
        <v>0</v>
      </c>
      <c r="U479">
        <f>ROUND((175/100)*ROUND(Source!R294, 2), 2)</f>
        <v>0</v>
      </c>
      <c r="V479">
        <f>ROUND((0/100)*ROUND(Source!R295, 2), 2)</f>
        <v>0</v>
      </c>
      <c r="AC479">
        <v>3</v>
      </c>
    </row>
    <row r="480" spans="1:29" ht="14.25" x14ac:dyDescent="0.2">
      <c r="A480" s="35"/>
      <c r="B480" s="35"/>
      <c r="C480" s="35" t="s">
        <v>659</v>
      </c>
      <c r="D480" s="37" t="s">
        <v>660</v>
      </c>
      <c r="E480" s="36">
        <f>Source!BZ293</f>
        <v>109</v>
      </c>
      <c r="F480" s="39"/>
      <c r="G480" s="38"/>
      <c r="H480" s="36"/>
      <c r="I480" s="39">
        <f>SUM(Q473:Q479)</f>
        <v>610.17999999999995</v>
      </c>
      <c r="J480" s="36">
        <f>Source!AT293</f>
        <v>109</v>
      </c>
      <c r="K480" s="39">
        <f>SUM(R473:R479)</f>
        <v>33553.910000000003</v>
      </c>
    </row>
    <row r="481" spans="1:29" ht="14.25" x14ac:dyDescent="0.2">
      <c r="A481" s="35"/>
      <c r="B481" s="35"/>
      <c r="C481" s="35" t="s">
        <v>661</v>
      </c>
      <c r="D481" s="37" t="s">
        <v>660</v>
      </c>
      <c r="E481" s="36">
        <f>Source!CA293</f>
        <v>61</v>
      </c>
      <c r="F481" s="39"/>
      <c r="G481" s="38"/>
      <c r="H481" s="36"/>
      <c r="I481" s="39">
        <f>SUM(S473:S480)</f>
        <v>341.48</v>
      </c>
      <c r="J481" s="36">
        <f>Source!AU293</f>
        <v>61</v>
      </c>
      <c r="K481" s="39">
        <f>SUM(T473:T480)</f>
        <v>18777.87</v>
      </c>
    </row>
    <row r="482" spans="1:29" ht="28.5" x14ac:dyDescent="0.2">
      <c r="A482" s="42"/>
      <c r="B482" s="42"/>
      <c r="C482" s="42" t="s">
        <v>662</v>
      </c>
      <c r="D482" s="43" t="s">
        <v>663</v>
      </c>
      <c r="E482" s="44">
        <f>Source!AQ292</f>
        <v>29.7</v>
      </c>
      <c r="F482" s="45"/>
      <c r="G482" s="46" t="str">
        <f>Source!DI292</f>
        <v>*1,15)*1,1</v>
      </c>
      <c r="H482" s="44">
        <f>Source!AV293</f>
        <v>1.0669999999999999</v>
      </c>
      <c r="I482" s="45">
        <f>Source!U292</f>
        <v>44.096495849999997</v>
      </c>
      <c r="J482" s="44"/>
      <c r="K482" s="45"/>
    </row>
    <row r="483" spans="1:29" ht="15" x14ac:dyDescent="0.2">
      <c r="C483" s="47" t="s">
        <v>664</v>
      </c>
      <c r="H483" s="48">
        <f>I475+I476+I478+I480+I481+SUM(I479:I479)-SUMIF(AC479:AC479, 5, I479:I479)-SUMIF(AC479:AC479, 6, I479:I479)</f>
        <v>5096.68</v>
      </c>
      <c r="I483" s="48"/>
      <c r="J483" s="48">
        <f>K475+K476+K478+K480+K481+SUM(K479:K479)-SUMIF(AC479:AC479, 5, K479:K479)-SUMIF(AC479:AC479, 6, K479:K479)</f>
        <v>134429.24</v>
      </c>
      <c r="K483" s="48"/>
    </row>
    <row r="484" spans="1:29" ht="15" hidden="1" x14ac:dyDescent="0.2">
      <c r="C484" s="47" t="s">
        <v>665</v>
      </c>
      <c r="H484" s="50">
        <f>SUMIF(AC479:AC479, 5, I479:I479)+SUMIF(AC479:AC479, 6, I479:I479)</f>
        <v>0</v>
      </c>
      <c r="I484" s="50"/>
      <c r="J484" s="50">
        <f>SUMIF(AC479:AC479, 5, K479:K479)+SUMIF(AC479:AC479, 6, K479:K479)</f>
        <v>0</v>
      </c>
      <c r="K484" s="50"/>
    </row>
    <row r="485" spans="1:29" ht="15" x14ac:dyDescent="0.2">
      <c r="C485" s="47" t="s">
        <v>666</v>
      </c>
      <c r="H485" s="50">
        <f>I475+I476+I478+I480+I481+SUM(I479:I479)</f>
        <v>5096.68</v>
      </c>
      <c r="I485" s="50"/>
      <c r="J485" s="50">
        <f>K475+K476+K478+K480+K481+SUM(K479:K479)</f>
        <v>134429.24</v>
      </c>
      <c r="K485" s="50"/>
      <c r="O485" s="51">
        <f>I475+I476+I478+I480+I481+SUM(I479:I479)</f>
        <v>5096.68</v>
      </c>
      <c r="P485" s="51">
        <f>K475+K476+K478+K480+K481+SUM(K479:K479)</f>
        <v>134429.24</v>
      </c>
    </row>
    <row r="487" spans="1:29" ht="57" x14ac:dyDescent="0.2">
      <c r="A487" s="35">
        <v>72</v>
      </c>
      <c r="B487" s="35" t="str">
        <f>Source!F296</f>
        <v>3.16-6-4</v>
      </c>
      <c r="C487" s="35" t="s">
        <v>396</v>
      </c>
      <c r="D487" s="37" t="str">
        <f>Source!H296</f>
        <v>100 м трубопровода</v>
      </c>
      <c r="E487" s="36">
        <f>Source!I296</f>
        <v>2</v>
      </c>
      <c r="F487" s="39"/>
      <c r="G487" s="38"/>
      <c r="H487" s="36"/>
      <c r="I487" s="39"/>
      <c r="J487" s="36"/>
      <c r="K487" s="39"/>
      <c r="Q487">
        <f>Source!X296</f>
        <v>1109.4100000000001</v>
      </c>
      <c r="R487">
        <f>Source!X297</f>
        <v>61006.62</v>
      </c>
      <c r="S487">
        <f>Source!Y296</f>
        <v>620.86</v>
      </c>
      <c r="T487">
        <f>Source!Y297</f>
        <v>34141.32</v>
      </c>
      <c r="U487">
        <f>ROUND((175/100)*ROUND(Source!R296, 2), 2)</f>
        <v>28.75</v>
      </c>
      <c r="V487">
        <f>ROUND((0/100)*ROUND(Source!R297, 2), 2)</f>
        <v>0</v>
      </c>
      <c r="AC487">
        <v>0</v>
      </c>
    </row>
    <row r="488" spans="1:29" x14ac:dyDescent="0.2">
      <c r="C488" s="40" t="str">
        <f>"Объем: "&amp;Source!I296&amp;"=200/"&amp;"100"</f>
        <v>Объем: 2=200/100</v>
      </c>
    </row>
    <row r="489" spans="1:29" ht="28.5" x14ac:dyDescent="0.2">
      <c r="A489" s="35"/>
      <c r="B489" s="35"/>
      <c r="C489" s="35" t="s">
        <v>655</v>
      </c>
      <c r="D489" s="37"/>
      <c r="E489" s="36"/>
      <c r="F489" s="39">
        <f>Source!AO296</f>
        <v>370.95</v>
      </c>
      <c r="G489" s="38" t="str">
        <f>Source!DG296</f>
        <v>*1,15)*1,1</v>
      </c>
      <c r="H489" s="36">
        <f>Source!AV297</f>
        <v>1.0669999999999999</v>
      </c>
      <c r="I489" s="39">
        <f>Source!S296</f>
        <v>1001.38</v>
      </c>
      <c r="J489" s="36">
        <f>IF(Source!BA297&lt;&gt; 0, Source!BA297, 1)</f>
        <v>54.99</v>
      </c>
      <c r="K489" s="39">
        <f>Source!S297</f>
        <v>55065.89</v>
      </c>
    </row>
    <row r="490" spans="1:29" ht="28.5" x14ac:dyDescent="0.2">
      <c r="A490" s="35"/>
      <c r="B490" s="35"/>
      <c r="C490" s="35" t="s">
        <v>656</v>
      </c>
      <c r="D490" s="37"/>
      <c r="E490" s="36"/>
      <c r="F490" s="39">
        <f>Source!AM296</f>
        <v>41.95</v>
      </c>
      <c r="G490" s="38" t="str">
        <f>Source!DE296</f>
        <v>*1,25)*1,1</v>
      </c>
      <c r="H490" s="36">
        <f>Source!AV297</f>
        <v>1.0669999999999999</v>
      </c>
      <c r="I490" s="39">
        <f>Source!Q296</f>
        <v>123.09</v>
      </c>
      <c r="J490" s="36">
        <f>IF(Source!BB297&lt;&gt; 0, Source!BB297, 1)</f>
        <v>15.48</v>
      </c>
      <c r="K490" s="39">
        <f>Source!Q297</f>
        <v>1905.43</v>
      </c>
    </row>
    <row r="491" spans="1:29" ht="28.5" x14ac:dyDescent="0.2">
      <c r="A491" s="35"/>
      <c r="B491" s="35"/>
      <c r="C491" s="35" t="s">
        <v>657</v>
      </c>
      <c r="D491" s="37"/>
      <c r="E491" s="36"/>
      <c r="F491" s="39">
        <f>Source!AN296</f>
        <v>5.6</v>
      </c>
      <c r="G491" s="38" t="str">
        <f>Source!DF296</f>
        <v>*1,25)*1,1</v>
      </c>
      <c r="H491" s="36">
        <f>Source!AV297</f>
        <v>1.0669999999999999</v>
      </c>
      <c r="I491" s="41">
        <f>Source!R296</f>
        <v>16.43</v>
      </c>
      <c r="J491" s="36">
        <f>IF(Source!BS297&lt;&gt; 0, Source!BS297, 1)</f>
        <v>54.99</v>
      </c>
      <c r="K491" s="41">
        <f>Source!R297</f>
        <v>903.49</v>
      </c>
    </row>
    <row r="492" spans="1:29" ht="14.25" x14ac:dyDescent="0.2">
      <c r="A492" s="35"/>
      <c r="B492" s="35"/>
      <c r="C492" s="35" t="s">
        <v>658</v>
      </c>
      <c r="D492" s="37"/>
      <c r="E492" s="36"/>
      <c r="F492" s="39">
        <f>Source!AL296</f>
        <v>33.74</v>
      </c>
      <c r="G492" s="38" t="str">
        <f>Source!DD296</f>
        <v/>
      </c>
      <c r="H492" s="36">
        <f>Source!AW297</f>
        <v>1</v>
      </c>
      <c r="I492" s="39">
        <f>Source!P296</f>
        <v>67.48</v>
      </c>
      <c r="J492" s="36">
        <f>IF(Source!BC297&lt;&gt; 0, Source!BC297, 1)</f>
        <v>7.15</v>
      </c>
      <c r="K492" s="39">
        <f>Source!P297</f>
        <v>482.48</v>
      </c>
    </row>
    <row r="493" spans="1:29" ht="71.25" x14ac:dyDescent="0.2">
      <c r="A493" s="35" t="s">
        <v>398</v>
      </c>
      <c r="B493" s="35" t="str">
        <f>Source!F298</f>
        <v>1.12-1-43</v>
      </c>
      <c r="C493" s="35" t="s">
        <v>400</v>
      </c>
      <c r="D493" s="37" t="str">
        <f>Source!H298</f>
        <v>м</v>
      </c>
      <c r="E493" s="36">
        <f>Source!I298</f>
        <v>200</v>
      </c>
      <c r="F493" s="39">
        <f>Source!AK298</f>
        <v>33.29</v>
      </c>
      <c r="G493" s="62" t="s">
        <v>3</v>
      </c>
      <c r="H493" s="36">
        <f>Source!AW299</f>
        <v>1</v>
      </c>
      <c r="I493" s="39">
        <f>Source!O298</f>
        <v>6658</v>
      </c>
      <c r="J493" s="36">
        <f>IF(Source!BC299&lt;&gt; 0, Source!BC299, 1)</f>
        <v>16.48</v>
      </c>
      <c r="K493" s="39">
        <f>Source!O299</f>
        <v>109723.84</v>
      </c>
      <c r="Q493">
        <f>Source!X298</f>
        <v>0</v>
      </c>
      <c r="R493">
        <f>Source!X299</f>
        <v>0</v>
      </c>
      <c r="S493">
        <f>Source!Y298</f>
        <v>0</v>
      </c>
      <c r="T493">
        <f>Source!Y299</f>
        <v>0</v>
      </c>
      <c r="U493">
        <f>ROUND((175/100)*ROUND(Source!R298, 2), 2)</f>
        <v>0</v>
      </c>
      <c r="V493">
        <f>ROUND((0/100)*ROUND(Source!R299, 2), 2)</f>
        <v>0</v>
      </c>
      <c r="AC493">
        <v>3</v>
      </c>
    </row>
    <row r="494" spans="1:29" ht="14.25" x14ac:dyDescent="0.2">
      <c r="A494" s="35"/>
      <c r="B494" s="35"/>
      <c r="C494" s="35" t="s">
        <v>659</v>
      </c>
      <c r="D494" s="37" t="s">
        <v>660</v>
      </c>
      <c r="E494" s="36">
        <f>Source!BZ297</f>
        <v>109</v>
      </c>
      <c r="F494" s="39"/>
      <c r="G494" s="38"/>
      <c r="H494" s="36"/>
      <c r="I494" s="39">
        <f>SUM(Q487:Q493)</f>
        <v>1109.4100000000001</v>
      </c>
      <c r="J494" s="36">
        <f>Source!AT297</f>
        <v>109</v>
      </c>
      <c r="K494" s="39">
        <f>SUM(R487:R493)</f>
        <v>61006.62</v>
      </c>
    </row>
    <row r="495" spans="1:29" ht="14.25" x14ac:dyDescent="0.2">
      <c r="A495" s="35"/>
      <c r="B495" s="35"/>
      <c r="C495" s="35" t="s">
        <v>661</v>
      </c>
      <c r="D495" s="37" t="s">
        <v>660</v>
      </c>
      <c r="E495" s="36">
        <f>Source!CA297</f>
        <v>61</v>
      </c>
      <c r="F495" s="39"/>
      <c r="G495" s="38"/>
      <c r="H495" s="36"/>
      <c r="I495" s="39">
        <f>SUM(S487:S494)</f>
        <v>620.86</v>
      </c>
      <c r="J495" s="36">
        <f>Source!AU297</f>
        <v>61</v>
      </c>
      <c r="K495" s="39">
        <f>SUM(T487:T494)</f>
        <v>34141.32</v>
      </c>
    </row>
    <row r="496" spans="1:29" ht="28.5" x14ac:dyDescent="0.2">
      <c r="A496" s="42"/>
      <c r="B496" s="42"/>
      <c r="C496" s="42" t="s">
        <v>662</v>
      </c>
      <c r="D496" s="43" t="s">
        <v>663</v>
      </c>
      <c r="E496" s="44">
        <f>Source!AQ296</f>
        <v>29.7</v>
      </c>
      <c r="F496" s="45"/>
      <c r="G496" s="46" t="str">
        <f>Source!DI296</f>
        <v>*1,15)*1,1</v>
      </c>
      <c r="H496" s="44">
        <f>Source!AV297</f>
        <v>1.0669999999999999</v>
      </c>
      <c r="I496" s="45">
        <f>Source!U296</f>
        <v>80.175446999999991</v>
      </c>
      <c r="J496" s="44"/>
      <c r="K496" s="45"/>
    </row>
    <row r="497" spans="1:29" ht="15" x14ac:dyDescent="0.2">
      <c r="C497" s="47" t="s">
        <v>664</v>
      </c>
      <c r="H497" s="48">
        <f>I489+I490+I492+I494+I495+SUM(I493:I493)-SUMIF(AC493:AC493, 5, I493:I493)-SUMIF(AC493:AC493, 6, I493:I493)</f>
        <v>9580.2200000000012</v>
      </c>
      <c r="I497" s="48"/>
      <c r="J497" s="48">
        <f>K489+K490+K492+K494+K495+SUM(K493:K493)-SUMIF(AC493:AC493, 5, K493:K493)-SUMIF(AC493:AC493, 6, K493:K493)</f>
        <v>262325.58</v>
      </c>
      <c r="K497" s="48"/>
    </row>
    <row r="498" spans="1:29" ht="15" hidden="1" x14ac:dyDescent="0.2">
      <c r="C498" s="47" t="s">
        <v>665</v>
      </c>
      <c r="H498" s="50">
        <f>SUMIF(AC493:AC493, 5, I493:I493)+SUMIF(AC493:AC493, 6, I493:I493)</f>
        <v>0</v>
      </c>
      <c r="I498" s="50"/>
      <c r="J498" s="50">
        <f>SUMIF(AC493:AC493, 5, K493:K493)+SUMIF(AC493:AC493, 6, K493:K493)</f>
        <v>0</v>
      </c>
      <c r="K498" s="50"/>
    </row>
    <row r="499" spans="1:29" ht="15" x14ac:dyDescent="0.2">
      <c r="C499" s="47" t="s">
        <v>666</v>
      </c>
      <c r="H499" s="50">
        <f>I489+I490+I492+I494+I495+SUM(I493:I493)</f>
        <v>9580.2200000000012</v>
      </c>
      <c r="I499" s="50"/>
      <c r="J499" s="50">
        <f>K489+K490+K492+K494+K495+SUM(K493:K493)</f>
        <v>262325.58</v>
      </c>
      <c r="K499" s="50"/>
      <c r="O499" s="51">
        <f>I489+I490+I492+I494+I495+SUM(I493:I493)</f>
        <v>9580.2200000000012</v>
      </c>
      <c r="P499" s="51">
        <f>K489+K490+K492+K494+K495+SUM(K493:K493)</f>
        <v>262325.58</v>
      </c>
    </row>
    <row r="501" spans="1:29" ht="57" x14ac:dyDescent="0.2">
      <c r="A501" s="35">
        <v>73</v>
      </c>
      <c r="B501" s="35" t="str">
        <f>Source!F300</f>
        <v>3.16-6-5</v>
      </c>
      <c r="C501" s="35" t="s">
        <v>404</v>
      </c>
      <c r="D501" s="37" t="str">
        <f>Source!H300</f>
        <v>100 м трубопровода</v>
      </c>
      <c r="E501" s="36">
        <f>Source!I300</f>
        <v>1</v>
      </c>
      <c r="F501" s="39"/>
      <c r="G501" s="38"/>
      <c r="H501" s="36"/>
      <c r="I501" s="39"/>
      <c r="J501" s="36"/>
      <c r="K501" s="39"/>
      <c r="Q501">
        <f>Source!X300</f>
        <v>554.71</v>
      </c>
      <c r="R501">
        <f>Source!X301</f>
        <v>30503.61</v>
      </c>
      <c r="S501">
        <f>Source!Y300</f>
        <v>310.44</v>
      </c>
      <c r="T501">
        <f>Source!Y301</f>
        <v>17070.830000000002</v>
      </c>
      <c r="U501">
        <f>ROUND((175/100)*ROUND(Source!R300, 2), 2)</f>
        <v>14.39</v>
      </c>
      <c r="V501">
        <f>ROUND((0/100)*ROUND(Source!R301, 2), 2)</f>
        <v>0</v>
      </c>
      <c r="AC501">
        <v>0</v>
      </c>
    </row>
    <row r="502" spans="1:29" x14ac:dyDescent="0.2">
      <c r="C502" s="40" t="str">
        <f>"Объем: "&amp;Source!I300&amp;"=100/"&amp;"100"</f>
        <v>Объем: 1=100/100</v>
      </c>
    </row>
    <row r="503" spans="1:29" ht="28.5" x14ac:dyDescent="0.2">
      <c r="A503" s="35"/>
      <c r="B503" s="35"/>
      <c r="C503" s="35" t="s">
        <v>655</v>
      </c>
      <c r="D503" s="37"/>
      <c r="E503" s="36"/>
      <c r="F503" s="39">
        <f>Source!AO300</f>
        <v>370.95</v>
      </c>
      <c r="G503" s="38" t="str">
        <f>Source!DG300</f>
        <v>*1,15)*1,1</v>
      </c>
      <c r="H503" s="36">
        <f>Source!AV301</f>
        <v>1.0669999999999999</v>
      </c>
      <c r="I503" s="39">
        <f>Source!S300</f>
        <v>500.69</v>
      </c>
      <c r="J503" s="36">
        <f>IF(Source!BA301&lt;&gt; 0, Source!BA301, 1)</f>
        <v>54.99</v>
      </c>
      <c r="K503" s="39">
        <f>Source!S301</f>
        <v>27532.94</v>
      </c>
    </row>
    <row r="504" spans="1:29" ht="28.5" x14ac:dyDescent="0.2">
      <c r="A504" s="35"/>
      <c r="B504" s="35"/>
      <c r="C504" s="35" t="s">
        <v>656</v>
      </c>
      <c r="D504" s="37"/>
      <c r="E504" s="36"/>
      <c r="F504" s="39">
        <f>Source!AM300</f>
        <v>41.95</v>
      </c>
      <c r="G504" s="38" t="str">
        <f>Source!DE300</f>
        <v>*1,25)*1,1</v>
      </c>
      <c r="H504" s="36">
        <f>Source!AV301</f>
        <v>1.0669999999999999</v>
      </c>
      <c r="I504" s="39">
        <f>Source!Q300</f>
        <v>61.55</v>
      </c>
      <c r="J504" s="36">
        <f>IF(Source!BB301&lt;&gt; 0, Source!BB301, 1)</f>
        <v>15.48</v>
      </c>
      <c r="K504" s="39">
        <f>Source!Q301</f>
        <v>952.79</v>
      </c>
    </row>
    <row r="505" spans="1:29" ht="28.5" x14ac:dyDescent="0.2">
      <c r="A505" s="35"/>
      <c r="B505" s="35"/>
      <c r="C505" s="35" t="s">
        <v>657</v>
      </c>
      <c r="D505" s="37"/>
      <c r="E505" s="36"/>
      <c r="F505" s="39">
        <f>Source!AN300</f>
        <v>5.6</v>
      </c>
      <c r="G505" s="38" t="str">
        <f>Source!DF300</f>
        <v>*1,25)*1,1</v>
      </c>
      <c r="H505" s="36">
        <f>Source!AV301</f>
        <v>1.0669999999999999</v>
      </c>
      <c r="I505" s="41">
        <f>Source!R300</f>
        <v>8.2200000000000006</v>
      </c>
      <c r="J505" s="36">
        <f>IF(Source!BS301&lt;&gt; 0, Source!BS301, 1)</f>
        <v>54.99</v>
      </c>
      <c r="K505" s="41">
        <f>Source!R301</f>
        <v>452.02</v>
      </c>
    </row>
    <row r="506" spans="1:29" ht="14.25" x14ac:dyDescent="0.2">
      <c r="A506" s="35"/>
      <c r="B506" s="35"/>
      <c r="C506" s="35" t="s">
        <v>658</v>
      </c>
      <c r="D506" s="37"/>
      <c r="E506" s="36"/>
      <c r="F506" s="39">
        <f>Source!AL300</f>
        <v>34.92</v>
      </c>
      <c r="G506" s="38" t="str">
        <f>Source!DD300</f>
        <v/>
      </c>
      <c r="H506" s="36">
        <f>Source!AW301</f>
        <v>1</v>
      </c>
      <c r="I506" s="39">
        <f>Source!P300</f>
        <v>34.92</v>
      </c>
      <c r="J506" s="36">
        <f>IF(Source!BC301&lt;&gt; 0, Source!BC301, 1)</f>
        <v>7.17</v>
      </c>
      <c r="K506" s="39">
        <f>Source!P301</f>
        <v>250.38</v>
      </c>
    </row>
    <row r="507" spans="1:29" ht="71.25" x14ac:dyDescent="0.2">
      <c r="A507" s="35" t="s">
        <v>406</v>
      </c>
      <c r="B507" s="35" t="str">
        <f>Source!F302</f>
        <v>1.12-1-44</v>
      </c>
      <c r="C507" s="35" t="s">
        <v>408</v>
      </c>
      <c r="D507" s="37" t="str">
        <f>Source!H302</f>
        <v>м</v>
      </c>
      <c r="E507" s="36">
        <f>Source!I302</f>
        <v>100</v>
      </c>
      <c r="F507" s="39">
        <f>Source!AK302</f>
        <v>35.979999999999997</v>
      </c>
      <c r="G507" s="62" t="s">
        <v>3</v>
      </c>
      <c r="H507" s="36">
        <f>Source!AW303</f>
        <v>1</v>
      </c>
      <c r="I507" s="39">
        <f>Source!O302</f>
        <v>3598</v>
      </c>
      <c r="J507" s="36">
        <f>IF(Source!BC303&lt;&gt; 0, Source!BC303, 1)</f>
        <v>24.45</v>
      </c>
      <c r="K507" s="39">
        <f>Source!O303</f>
        <v>87971.1</v>
      </c>
      <c r="Q507">
        <f>Source!X302</f>
        <v>0</v>
      </c>
      <c r="R507">
        <f>Source!X303</f>
        <v>0</v>
      </c>
      <c r="S507">
        <f>Source!Y302</f>
        <v>0</v>
      </c>
      <c r="T507">
        <f>Source!Y303</f>
        <v>0</v>
      </c>
      <c r="U507">
        <f>ROUND((175/100)*ROUND(Source!R302, 2), 2)</f>
        <v>0</v>
      </c>
      <c r="V507">
        <f>ROUND((0/100)*ROUND(Source!R303, 2), 2)</f>
        <v>0</v>
      </c>
      <c r="AC507">
        <v>3</v>
      </c>
    </row>
    <row r="508" spans="1:29" ht="14.25" x14ac:dyDescent="0.2">
      <c r="A508" s="35"/>
      <c r="B508" s="35"/>
      <c r="C508" s="35" t="s">
        <v>659</v>
      </c>
      <c r="D508" s="37" t="s">
        <v>660</v>
      </c>
      <c r="E508" s="36">
        <f>Source!BZ301</f>
        <v>109</v>
      </c>
      <c r="F508" s="39"/>
      <c r="G508" s="38"/>
      <c r="H508" s="36"/>
      <c r="I508" s="39">
        <f>SUM(Q501:Q507)</f>
        <v>554.71</v>
      </c>
      <c r="J508" s="36">
        <f>Source!AT301</f>
        <v>109</v>
      </c>
      <c r="K508" s="39">
        <f>SUM(R501:R507)</f>
        <v>30503.61</v>
      </c>
    </row>
    <row r="509" spans="1:29" ht="14.25" x14ac:dyDescent="0.2">
      <c r="A509" s="35"/>
      <c r="B509" s="35"/>
      <c r="C509" s="35" t="s">
        <v>661</v>
      </c>
      <c r="D509" s="37" t="s">
        <v>660</v>
      </c>
      <c r="E509" s="36">
        <f>Source!CA301</f>
        <v>61</v>
      </c>
      <c r="F509" s="39"/>
      <c r="G509" s="38"/>
      <c r="H509" s="36"/>
      <c r="I509" s="39">
        <f>SUM(S501:S508)</f>
        <v>310.44</v>
      </c>
      <c r="J509" s="36">
        <f>Source!AU301</f>
        <v>61</v>
      </c>
      <c r="K509" s="39">
        <f>SUM(T501:T508)</f>
        <v>17070.830000000002</v>
      </c>
    </row>
    <row r="510" spans="1:29" ht="28.5" x14ac:dyDescent="0.2">
      <c r="A510" s="42"/>
      <c r="B510" s="42"/>
      <c r="C510" s="42" t="s">
        <v>662</v>
      </c>
      <c r="D510" s="43" t="s">
        <v>663</v>
      </c>
      <c r="E510" s="44">
        <f>Source!AQ300</f>
        <v>29.7</v>
      </c>
      <c r="F510" s="45"/>
      <c r="G510" s="46" t="str">
        <f>Source!DI300</f>
        <v>*1,15)*1,1</v>
      </c>
      <c r="H510" s="44">
        <f>Source!AV301</f>
        <v>1.0669999999999999</v>
      </c>
      <c r="I510" s="45">
        <f>Source!U300</f>
        <v>40.087723499999996</v>
      </c>
      <c r="J510" s="44"/>
      <c r="K510" s="45"/>
    </row>
    <row r="511" spans="1:29" ht="15" x14ac:dyDescent="0.2">
      <c r="C511" s="47" t="s">
        <v>664</v>
      </c>
      <c r="H511" s="48">
        <f>I503+I504+I506+I508+I509+SUM(I507:I507)-SUMIF(AC507:AC507, 5, I507:I507)-SUMIF(AC507:AC507, 6, I507:I507)</f>
        <v>5060.3099999999995</v>
      </c>
      <c r="I511" s="48"/>
      <c r="J511" s="48">
        <f>K503+K504+K506+K508+K509+SUM(K507:K507)-SUMIF(AC507:AC507, 5, K507:K507)-SUMIF(AC507:AC507, 6, K507:K507)</f>
        <v>164281.65000000002</v>
      </c>
      <c r="K511" s="48"/>
    </row>
    <row r="512" spans="1:29" ht="15" hidden="1" x14ac:dyDescent="0.2">
      <c r="C512" s="47" t="s">
        <v>665</v>
      </c>
      <c r="H512" s="50">
        <f>SUMIF(AC507:AC507, 5, I507:I507)+SUMIF(AC507:AC507, 6, I507:I507)</f>
        <v>0</v>
      </c>
      <c r="I512" s="50"/>
      <c r="J512" s="50">
        <f>SUMIF(AC507:AC507, 5, K507:K507)+SUMIF(AC507:AC507, 6, K507:K507)</f>
        <v>0</v>
      </c>
      <c r="K512" s="50"/>
    </row>
    <row r="513" spans="1:29" ht="15" x14ac:dyDescent="0.2">
      <c r="C513" s="47" t="s">
        <v>666</v>
      </c>
      <c r="H513" s="50">
        <f>I503+I504+I506+I508+I509+SUM(I507:I507)</f>
        <v>5060.3099999999995</v>
      </c>
      <c r="I513" s="50"/>
      <c r="J513" s="50">
        <f>K503+K504+K506+K508+K509+SUM(K507:K507)</f>
        <v>164281.65000000002</v>
      </c>
      <c r="K513" s="50"/>
      <c r="O513" s="51">
        <f>I503+I504+I506+I508+I509+SUM(I507:I507)</f>
        <v>5060.3099999999995</v>
      </c>
      <c r="P513" s="51">
        <f>K503+K504+K506+K508+K509+SUM(K507:K507)</f>
        <v>164281.65000000002</v>
      </c>
    </row>
    <row r="515" spans="1:29" ht="42.75" x14ac:dyDescent="0.2">
      <c r="A515" s="35">
        <v>74</v>
      </c>
      <c r="B515" s="35" t="str">
        <f>Source!F304</f>
        <v>3.16-10-2</v>
      </c>
      <c r="C515" s="35" t="s">
        <v>412</v>
      </c>
      <c r="D515" s="37" t="str">
        <f>Source!H304</f>
        <v>100 м трубопровода</v>
      </c>
      <c r="E515" s="36">
        <f>Source!I304</f>
        <v>1.3</v>
      </c>
      <c r="F515" s="39"/>
      <c r="G515" s="38"/>
      <c r="H515" s="36"/>
      <c r="I515" s="39"/>
      <c r="J515" s="36"/>
      <c r="K515" s="39"/>
      <c r="Q515">
        <f>Source!X304</f>
        <v>1379.09</v>
      </c>
      <c r="R515">
        <f>Source!X305</f>
        <v>75836.149999999994</v>
      </c>
      <c r="S515">
        <f>Source!Y304</f>
        <v>771.78</v>
      </c>
      <c r="T515">
        <f>Source!Y305</f>
        <v>42440.41</v>
      </c>
      <c r="U515">
        <f>ROUND((175/100)*ROUND(Source!R304, 2), 2)</f>
        <v>40.58</v>
      </c>
      <c r="V515">
        <f>ROUND((0/100)*ROUND(Source!R305, 2), 2)</f>
        <v>0</v>
      </c>
      <c r="AC515">
        <v>0</v>
      </c>
    </row>
    <row r="516" spans="1:29" x14ac:dyDescent="0.2">
      <c r="C516" s="40" t="str">
        <f>"Объем: "&amp;Source!I304&amp;"=130/"&amp;"100"</f>
        <v>Объем: 1,3=130/100</v>
      </c>
    </row>
    <row r="517" spans="1:29" ht="28.5" x14ac:dyDescent="0.2">
      <c r="A517" s="35"/>
      <c r="B517" s="35"/>
      <c r="C517" s="35" t="s">
        <v>655</v>
      </c>
      <c r="D517" s="37"/>
      <c r="E517" s="36"/>
      <c r="F517" s="39">
        <f>Source!AO304</f>
        <v>707.84</v>
      </c>
      <c r="G517" s="38" t="str">
        <f>Source!DG304</f>
        <v>*1,15)*1,1</v>
      </c>
      <c r="H517" s="36">
        <f>Source!AV305</f>
        <v>1.0669999999999999</v>
      </c>
      <c r="I517" s="39">
        <f>Source!S304</f>
        <v>1242.03</v>
      </c>
      <c r="J517" s="36">
        <f>IF(Source!BA305&lt;&gt; 0, Source!BA305, 1)</f>
        <v>54.99</v>
      </c>
      <c r="K517" s="39">
        <f>Source!S305</f>
        <v>68299.23</v>
      </c>
    </row>
    <row r="518" spans="1:29" ht="28.5" x14ac:dyDescent="0.2">
      <c r="A518" s="35"/>
      <c r="B518" s="35"/>
      <c r="C518" s="35" t="s">
        <v>656</v>
      </c>
      <c r="D518" s="37"/>
      <c r="E518" s="36"/>
      <c r="F518" s="39">
        <f>Source!AM304</f>
        <v>90</v>
      </c>
      <c r="G518" s="38" t="str">
        <f>Source!DE304</f>
        <v>*1,25)*1,1</v>
      </c>
      <c r="H518" s="36">
        <f>Source!AV305</f>
        <v>1.0669999999999999</v>
      </c>
      <c r="I518" s="39">
        <f>Source!Q304</f>
        <v>171.65</v>
      </c>
      <c r="J518" s="36">
        <f>IF(Source!BB305&lt;&gt; 0, Source!BB305, 1)</f>
        <v>15.5</v>
      </c>
      <c r="K518" s="39">
        <f>Source!Q305</f>
        <v>2660.58</v>
      </c>
    </row>
    <row r="519" spans="1:29" ht="28.5" x14ac:dyDescent="0.2">
      <c r="A519" s="35"/>
      <c r="B519" s="35"/>
      <c r="C519" s="35" t="s">
        <v>657</v>
      </c>
      <c r="D519" s="37"/>
      <c r="E519" s="36"/>
      <c r="F519" s="39">
        <f>Source!AN304</f>
        <v>12.16</v>
      </c>
      <c r="G519" s="38" t="str">
        <f>Source!DF304</f>
        <v>*1,25)*1,1</v>
      </c>
      <c r="H519" s="36">
        <f>Source!AV305</f>
        <v>1.0669999999999999</v>
      </c>
      <c r="I519" s="41">
        <f>Source!R304</f>
        <v>23.19</v>
      </c>
      <c r="J519" s="36">
        <f>IF(Source!BS305&lt;&gt; 0, Source!BS305, 1)</f>
        <v>54.99</v>
      </c>
      <c r="K519" s="41">
        <f>Source!R305</f>
        <v>1275.22</v>
      </c>
    </row>
    <row r="520" spans="1:29" ht="14.25" x14ac:dyDescent="0.2">
      <c r="A520" s="35"/>
      <c r="B520" s="35"/>
      <c r="C520" s="35" t="s">
        <v>658</v>
      </c>
      <c r="D520" s="37"/>
      <c r="E520" s="36"/>
      <c r="F520" s="39">
        <f>Source!AL304</f>
        <v>33.26</v>
      </c>
      <c r="G520" s="38" t="str">
        <f>Source!DD304</f>
        <v/>
      </c>
      <c r="H520" s="36">
        <f>Source!AW305</f>
        <v>1</v>
      </c>
      <c r="I520" s="39">
        <f>Source!P304</f>
        <v>43.24</v>
      </c>
      <c r="J520" s="36">
        <f>IF(Source!BC305&lt;&gt; 0, Source!BC305, 1)</f>
        <v>11.56</v>
      </c>
      <c r="K520" s="39">
        <f>Source!P305</f>
        <v>499.85</v>
      </c>
    </row>
    <row r="521" spans="1:29" ht="71.25" x14ac:dyDescent="0.2">
      <c r="A521" s="35" t="s">
        <v>414</v>
      </c>
      <c r="B521" s="35" t="str">
        <f>Source!F306</f>
        <v>1.12-1-46</v>
      </c>
      <c r="C521" s="35" t="s">
        <v>416</v>
      </c>
      <c r="D521" s="37" t="str">
        <f>Source!H306</f>
        <v>м</v>
      </c>
      <c r="E521" s="36">
        <f>Source!I306</f>
        <v>130</v>
      </c>
      <c r="F521" s="39">
        <f>Source!AK306</f>
        <v>44.49</v>
      </c>
      <c r="G521" s="62" t="s">
        <v>3</v>
      </c>
      <c r="H521" s="36">
        <f>Source!AW307</f>
        <v>1</v>
      </c>
      <c r="I521" s="39">
        <f>Source!O306</f>
        <v>5783.7</v>
      </c>
      <c r="J521" s="36">
        <f>IF(Source!BC307&lt;&gt; 0, Source!BC307, 1)</f>
        <v>20.47</v>
      </c>
      <c r="K521" s="39">
        <f>Source!O307</f>
        <v>118392.34</v>
      </c>
      <c r="Q521">
        <f>Source!X306</f>
        <v>0</v>
      </c>
      <c r="R521">
        <f>Source!X307</f>
        <v>0</v>
      </c>
      <c r="S521">
        <f>Source!Y306</f>
        <v>0</v>
      </c>
      <c r="T521">
        <f>Source!Y307</f>
        <v>0</v>
      </c>
      <c r="U521">
        <f>ROUND((175/100)*ROUND(Source!R306, 2), 2)</f>
        <v>0</v>
      </c>
      <c r="V521">
        <f>ROUND((0/100)*ROUND(Source!R307, 2), 2)</f>
        <v>0</v>
      </c>
      <c r="AC521">
        <v>3</v>
      </c>
    </row>
    <row r="522" spans="1:29" ht="14.25" x14ac:dyDescent="0.2">
      <c r="A522" s="35"/>
      <c r="B522" s="35"/>
      <c r="C522" s="35" t="s">
        <v>659</v>
      </c>
      <c r="D522" s="37" t="s">
        <v>660</v>
      </c>
      <c r="E522" s="36">
        <f>Source!BZ305</f>
        <v>109</v>
      </c>
      <c r="F522" s="39"/>
      <c r="G522" s="38"/>
      <c r="H522" s="36"/>
      <c r="I522" s="39">
        <f>SUM(Q515:Q521)</f>
        <v>1379.09</v>
      </c>
      <c r="J522" s="36">
        <f>Source!AT305</f>
        <v>109</v>
      </c>
      <c r="K522" s="39">
        <f>SUM(R515:R521)</f>
        <v>75836.149999999994</v>
      </c>
    </row>
    <row r="523" spans="1:29" ht="14.25" x14ac:dyDescent="0.2">
      <c r="A523" s="35"/>
      <c r="B523" s="35"/>
      <c r="C523" s="35" t="s">
        <v>661</v>
      </c>
      <c r="D523" s="37" t="s">
        <v>660</v>
      </c>
      <c r="E523" s="36">
        <f>Source!CA305</f>
        <v>61</v>
      </c>
      <c r="F523" s="39"/>
      <c r="G523" s="38"/>
      <c r="H523" s="36"/>
      <c r="I523" s="39">
        <f>SUM(S515:S522)</f>
        <v>771.78</v>
      </c>
      <c r="J523" s="36">
        <f>Source!AU305</f>
        <v>61</v>
      </c>
      <c r="K523" s="39">
        <f>SUM(T515:T522)</f>
        <v>42440.41</v>
      </c>
    </row>
    <row r="524" spans="1:29" ht="28.5" x14ac:dyDescent="0.2">
      <c r="A524" s="42"/>
      <c r="B524" s="42"/>
      <c r="C524" s="42" t="s">
        <v>662</v>
      </c>
      <c r="D524" s="43" t="s">
        <v>663</v>
      </c>
      <c r="E524" s="44">
        <f>Source!AQ304</f>
        <v>55.3</v>
      </c>
      <c r="F524" s="45"/>
      <c r="G524" s="46" t="str">
        <f>Source!DI304</f>
        <v>*1,15)*1,1</v>
      </c>
      <c r="H524" s="44">
        <f>Source!AV305</f>
        <v>1.0669999999999999</v>
      </c>
      <c r="I524" s="45">
        <f>Source!U304</f>
        <v>97.033886949999982</v>
      </c>
      <c r="J524" s="44"/>
      <c r="K524" s="45"/>
    </row>
    <row r="525" spans="1:29" ht="15" x14ac:dyDescent="0.2">
      <c r="C525" s="47" t="s">
        <v>664</v>
      </c>
      <c r="H525" s="48">
        <f>I517+I518+I520+I522+I523+SUM(I521:I521)-SUMIF(AC521:AC521, 5, I521:I521)-SUMIF(AC521:AC521, 6, I521:I521)</f>
        <v>9391.49</v>
      </c>
      <c r="I525" s="48"/>
      <c r="J525" s="48">
        <f>K517+K518+K520+K522+K523+SUM(K521:K521)-SUMIF(AC521:AC521, 5, K521:K521)-SUMIF(AC521:AC521, 6, K521:K521)</f>
        <v>308128.56</v>
      </c>
      <c r="K525" s="48"/>
    </row>
    <row r="526" spans="1:29" ht="15" hidden="1" x14ac:dyDescent="0.2">
      <c r="C526" s="47" t="s">
        <v>665</v>
      </c>
      <c r="H526" s="50">
        <f>SUMIF(AC521:AC521, 5, I521:I521)+SUMIF(AC521:AC521, 6, I521:I521)</f>
        <v>0</v>
      </c>
      <c r="I526" s="50"/>
      <c r="J526" s="50">
        <f>SUMIF(AC521:AC521, 5, K521:K521)+SUMIF(AC521:AC521, 6, K521:K521)</f>
        <v>0</v>
      </c>
      <c r="K526" s="50"/>
    </row>
    <row r="527" spans="1:29" ht="15" x14ac:dyDescent="0.2">
      <c r="C527" s="47" t="s">
        <v>666</v>
      </c>
      <c r="H527" s="50">
        <f>I517+I518+I520+I522+I523+SUM(I521:I521)</f>
        <v>9391.49</v>
      </c>
      <c r="I527" s="50"/>
      <c r="J527" s="50">
        <f>K517+K518+K520+K522+K523+SUM(K521:K521)</f>
        <v>308128.56</v>
      </c>
      <c r="K527" s="50"/>
      <c r="O527" s="51">
        <f>I517+I518+I520+I522+I523+SUM(I521:I521)</f>
        <v>9391.49</v>
      </c>
      <c r="P527" s="51">
        <f>K517+K518+K520+K522+K523+SUM(K521:K521)</f>
        <v>308128.56</v>
      </c>
    </row>
    <row r="529" spans="1:29" ht="42.75" x14ac:dyDescent="0.2">
      <c r="A529" s="35">
        <v>75</v>
      </c>
      <c r="B529" s="35" t="str">
        <f>Source!F308</f>
        <v>3.16-10-3</v>
      </c>
      <c r="C529" s="35" t="s">
        <v>420</v>
      </c>
      <c r="D529" s="37" t="str">
        <f>Source!H308</f>
        <v>100 м трубопровода</v>
      </c>
      <c r="E529" s="36">
        <f>Source!I308</f>
        <v>0.2</v>
      </c>
      <c r="F529" s="39"/>
      <c r="G529" s="38"/>
      <c r="H529" s="36"/>
      <c r="I529" s="39"/>
      <c r="J529" s="36"/>
      <c r="K529" s="39"/>
      <c r="Q529">
        <f>Source!X308</f>
        <v>248.11</v>
      </c>
      <c r="R529">
        <f>Source!X309</f>
        <v>13643.34</v>
      </c>
      <c r="S529">
        <f>Source!Y308</f>
        <v>138.85</v>
      </c>
      <c r="T529">
        <f>Source!Y309</f>
        <v>7635.27</v>
      </c>
      <c r="U529">
        <f>ROUND((175/100)*ROUND(Source!R308, 2), 2)</f>
        <v>7.25</v>
      </c>
      <c r="V529">
        <f>ROUND((0/100)*ROUND(Source!R309, 2), 2)</f>
        <v>0</v>
      </c>
      <c r="AC529">
        <v>0</v>
      </c>
    </row>
    <row r="530" spans="1:29" x14ac:dyDescent="0.2">
      <c r="C530" s="40" t="str">
        <f>"Объем: "&amp;Source!I308&amp;"=20/"&amp;"100"</f>
        <v>Объем: 0,2=20/100</v>
      </c>
    </row>
    <row r="531" spans="1:29" ht="28.5" x14ac:dyDescent="0.2">
      <c r="A531" s="35"/>
      <c r="B531" s="35"/>
      <c r="C531" s="35" t="s">
        <v>655</v>
      </c>
      <c r="D531" s="37"/>
      <c r="E531" s="36"/>
      <c r="F531" s="39">
        <f>Source!AO308</f>
        <v>827.87</v>
      </c>
      <c r="G531" s="38" t="str">
        <f>Source!DG308</f>
        <v>*1,15)*1,1</v>
      </c>
      <c r="H531" s="36">
        <f>Source!AV309</f>
        <v>1.0669999999999999</v>
      </c>
      <c r="I531" s="39">
        <f>Source!S308</f>
        <v>223.48</v>
      </c>
      <c r="J531" s="36">
        <f>IF(Source!BA309&lt;&gt; 0, Source!BA309, 1)</f>
        <v>54.99</v>
      </c>
      <c r="K531" s="39">
        <f>Source!S309</f>
        <v>12289.17</v>
      </c>
    </row>
    <row r="532" spans="1:29" ht="28.5" x14ac:dyDescent="0.2">
      <c r="A532" s="35"/>
      <c r="B532" s="35"/>
      <c r="C532" s="35" t="s">
        <v>656</v>
      </c>
      <c r="D532" s="37"/>
      <c r="E532" s="36"/>
      <c r="F532" s="39">
        <f>Source!AM308</f>
        <v>105.25</v>
      </c>
      <c r="G532" s="38" t="str">
        <f>Source!DE308</f>
        <v>*1,25)*1,1</v>
      </c>
      <c r="H532" s="36">
        <f>Source!AV309</f>
        <v>1.0669999999999999</v>
      </c>
      <c r="I532" s="39">
        <f>Source!Q308</f>
        <v>30.88</v>
      </c>
      <c r="J532" s="36">
        <f>IF(Source!BB309&lt;&gt; 0, Source!BB309, 1)</f>
        <v>15.43</v>
      </c>
      <c r="K532" s="39">
        <f>Source!Q309</f>
        <v>476.48</v>
      </c>
    </row>
    <row r="533" spans="1:29" ht="28.5" x14ac:dyDescent="0.2">
      <c r="A533" s="35"/>
      <c r="B533" s="35"/>
      <c r="C533" s="35" t="s">
        <v>657</v>
      </c>
      <c r="D533" s="37"/>
      <c r="E533" s="36"/>
      <c r="F533" s="39">
        <f>Source!AN308</f>
        <v>14.1</v>
      </c>
      <c r="G533" s="38" t="str">
        <f>Source!DF308</f>
        <v>*1,25)*1,1</v>
      </c>
      <c r="H533" s="36">
        <f>Source!AV309</f>
        <v>1.0669999999999999</v>
      </c>
      <c r="I533" s="41">
        <f>Source!R308</f>
        <v>4.1399999999999997</v>
      </c>
      <c r="J533" s="36">
        <f>IF(Source!BS309&lt;&gt; 0, Source!BS309, 1)</f>
        <v>54.99</v>
      </c>
      <c r="K533" s="41">
        <f>Source!R309</f>
        <v>227.66</v>
      </c>
    </row>
    <row r="534" spans="1:29" ht="14.25" x14ac:dyDescent="0.2">
      <c r="A534" s="35"/>
      <c r="B534" s="35"/>
      <c r="C534" s="35" t="s">
        <v>658</v>
      </c>
      <c r="D534" s="37"/>
      <c r="E534" s="36"/>
      <c r="F534" s="39">
        <f>Source!AL308</f>
        <v>46.7</v>
      </c>
      <c r="G534" s="38" t="str">
        <f>Source!DD308</f>
        <v/>
      </c>
      <c r="H534" s="36">
        <f>Source!AW309</f>
        <v>1</v>
      </c>
      <c r="I534" s="39">
        <f>Source!P308</f>
        <v>9.34</v>
      </c>
      <c r="J534" s="36">
        <f>IF(Source!BC309&lt;&gt; 0, Source!BC309, 1)</f>
        <v>11.23</v>
      </c>
      <c r="K534" s="39">
        <f>Source!P309</f>
        <v>104.89</v>
      </c>
    </row>
    <row r="535" spans="1:29" ht="71.25" x14ac:dyDescent="0.2">
      <c r="A535" s="35" t="s">
        <v>422</v>
      </c>
      <c r="B535" s="35" t="str">
        <f>Source!F310</f>
        <v>1.12-1-47</v>
      </c>
      <c r="C535" s="35" t="s">
        <v>424</v>
      </c>
      <c r="D535" s="37" t="str">
        <f>Source!H310</f>
        <v>м</v>
      </c>
      <c r="E535" s="36">
        <f>Source!I310</f>
        <v>20</v>
      </c>
      <c r="F535" s="39">
        <f>Source!AK310</f>
        <v>79.040000000000006</v>
      </c>
      <c r="G535" s="62" t="s">
        <v>3</v>
      </c>
      <c r="H535" s="36">
        <f>Source!AW311</f>
        <v>1</v>
      </c>
      <c r="I535" s="39">
        <f>Source!O310</f>
        <v>1580.8</v>
      </c>
      <c r="J535" s="36">
        <f>IF(Source!BC311&lt;&gt; 0, Source!BC311, 1)</f>
        <v>22.43</v>
      </c>
      <c r="K535" s="39">
        <f>Source!O311</f>
        <v>35457.339999999997</v>
      </c>
      <c r="Q535">
        <f>Source!X310</f>
        <v>0</v>
      </c>
      <c r="R535">
        <f>Source!X311</f>
        <v>0</v>
      </c>
      <c r="S535">
        <f>Source!Y310</f>
        <v>0</v>
      </c>
      <c r="T535">
        <f>Source!Y311</f>
        <v>0</v>
      </c>
      <c r="U535">
        <f>ROUND((175/100)*ROUND(Source!R310, 2), 2)</f>
        <v>0</v>
      </c>
      <c r="V535">
        <f>ROUND((0/100)*ROUND(Source!R311, 2), 2)</f>
        <v>0</v>
      </c>
      <c r="AC535">
        <v>3</v>
      </c>
    </row>
    <row r="536" spans="1:29" ht="14.25" x14ac:dyDescent="0.2">
      <c r="A536" s="35"/>
      <c r="B536" s="35"/>
      <c r="C536" s="35" t="s">
        <v>659</v>
      </c>
      <c r="D536" s="37" t="s">
        <v>660</v>
      </c>
      <c r="E536" s="36">
        <f>Source!BZ309</f>
        <v>109</v>
      </c>
      <c r="F536" s="39"/>
      <c r="G536" s="38"/>
      <c r="H536" s="36"/>
      <c r="I536" s="39">
        <f>SUM(Q529:Q535)</f>
        <v>248.11</v>
      </c>
      <c r="J536" s="36">
        <f>Source!AT309</f>
        <v>109</v>
      </c>
      <c r="K536" s="39">
        <f>SUM(R529:R535)</f>
        <v>13643.34</v>
      </c>
    </row>
    <row r="537" spans="1:29" ht="14.25" x14ac:dyDescent="0.2">
      <c r="A537" s="35"/>
      <c r="B537" s="35"/>
      <c r="C537" s="35" t="s">
        <v>661</v>
      </c>
      <c r="D537" s="37" t="s">
        <v>660</v>
      </c>
      <c r="E537" s="36">
        <f>Source!CA309</f>
        <v>61</v>
      </c>
      <c r="F537" s="39"/>
      <c r="G537" s="38"/>
      <c r="H537" s="36"/>
      <c r="I537" s="39">
        <f>SUM(S529:S536)</f>
        <v>138.85</v>
      </c>
      <c r="J537" s="36">
        <f>Source!AU309</f>
        <v>61</v>
      </c>
      <c r="K537" s="39">
        <f>SUM(T529:T536)</f>
        <v>7635.27</v>
      </c>
    </row>
    <row r="538" spans="1:29" ht="28.5" x14ac:dyDescent="0.2">
      <c r="A538" s="42"/>
      <c r="B538" s="42"/>
      <c r="C538" s="42" t="s">
        <v>662</v>
      </c>
      <c r="D538" s="43" t="s">
        <v>663</v>
      </c>
      <c r="E538" s="44">
        <f>Source!AQ308</f>
        <v>65.599999999999994</v>
      </c>
      <c r="F538" s="45"/>
      <c r="G538" s="46" t="str">
        <f>Source!DI308</f>
        <v>*1,15)*1,1</v>
      </c>
      <c r="H538" s="44">
        <f>Source!AV309</f>
        <v>1.0669999999999999</v>
      </c>
      <c r="I538" s="45">
        <f>Source!U308</f>
        <v>17.708785599999999</v>
      </c>
      <c r="J538" s="44"/>
      <c r="K538" s="45"/>
    </row>
    <row r="539" spans="1:29" ht="15" x14ac:dyDescent="0.2">
      <c r="C539" s="47" t="s">
        <v>664</v>
      </c>
      <c r="H539" s="48">
        <f>I531+I532+I534+I536+I537+SUM(I535:I535)-SUMIF(AC535:AC535, 5, I535:I535)-SUMIF(AC535:AC535, 6, I535:I535)</f>
        <v>2231.46</v>
      </c>
      <c r="I539" s="48"/>
      <c r="J539" s="48">
        <f>K531+K532+K534+K536+K537+SUM(K535:K535)-SUMIF(AC535:AC535, 5, K535:K535)-SUMIF(AC535:AC535, 6, K535:K535)</f>
        <v>69606.489999999991</v>
      </c>
      <c r="K539" s="48"/>
    </row>
    <row r="540" spans="1:29" ht="15" hidden="1" x14ac:dyDescent="0.2">
      <c r="C540" s="47" t="s">
        <v>665</v>
      </c>
      <c r="H540" s="50">
        <f>SUMIF(AC535:AC535, 5, I535:I535)+SUMIF(AC535:AC535, 6, I535:I535)</f>
        <v>0</v>
      </c>
      <c r="I540" s="50"/>
      <c r="J540" s="50">
        <f>SUMIF(AC535:AC535, 5, K535:K535)+SUMIF(AC535:AC535, 6, K535:K535)</f>
        <v>0</v>
      </c>
      <c r="K540" s="50"/>
    </row>
    <row r="541" spans="1:29" ht="15" x14ac:dyDescent="0.2">
      <c r="C541" s="47" t="s">
        <v>666</v>
      </c>
      <c r="H541" s="50">
        <f>I531+I532+I534+I536+I537+SUM(I535:I535)</f>
        <v>2231.46</v>
      </c>
      <c r="I541" s="50"/>
      <c r="J541" s="50">
        <f>K531+K532+K534+K536+K537+SUM(K535:K535)</f>
        <v>69606.489999999991</v>
      </c>
      <c r="K541" s="50"/>
      <c r="O541" s="51">
        <f>I531+I532+I534+I536+I537+SUM(I535:I535)</f>
        <v>2231.46</v>
      </c>
      <c r="P541" s="51">
        <f>K531+K532+K534+K536+K537+SUM(K535:K535)</f>
        <v>69606.489999999991</v>
      </c>
    </row>
    <row r="544" spans="1:29" ht="15" x14ac:dyDescent="0.25">
      <c r="A544" s="60" t="str">
        <f>CONCATENATE("Итого по разделу: ",IF(Source!G313&lt;&gt;"Новый раздел", Source!G313, ""))</f>
        <v>Итого по разделу: Трубы стальные</v>
      </c>
      <c r="B544" s="60"/>
      <c r="C544" s="60"/>
      <c r="D544" s="60"/>
      <c r="E544" s="60"/>
      <c r="F544" s="60"/>
      <c r="G544" s="60"/>
      <c r="H544" s="50">
        <f>SUM(O444:O543)</f>
        <v>211006.21</v>
      </c>
      <c r="I544" s="49"/>
      <c r="J544" s="50">
        <f>SUM(P444:P543)</f>
        <v>5364210.17</v>
      </c>
      <c r="K544" s="49"/>
    </row>
    <row r="545" spans="1:29" hidden="1" x14ac:dyDescent="0.2">
      <c r="A545" t="s">
        <v>669</v>
      </c>
      <c r="I545">
        <f>SUM(W444:W544)</f>
        <v>0</v>
      </c>
      <c r="J545">
        <f>SUM(X444:X544)</f>
        <v>0</v>
      </c>
    </row>
    <row r="546" spans="1:29" hidden="1" x14ac:dyDescent="0.2">
      <c r="A546" t="s">
        <v>670</v>
      </c>
      <c r="I546">
        <f>SUM(Y444:Y545)</f>
        <v>0</v>
      </c>
      <c r="J546">
        <f>SUM(Z444:Z545)</f>
        <v>0</v>
      </c>
    </row>
    <row r="548" spans="1:29" ht="16.5" x14ac:dyDescent="0.2">
      <c r="A548" s="34" t="str">
        <f>CONCATENATE("Раздел: ",IF(Source!G343&lt;&gt;"Новый раздел", Source!G343, ""))</f>
        <v>Раздел: Изоляция трубная</v>
      </c>
      <c r="B548" s="34"/>
      <c r="C548" s="34"/>
      <c r="D548" s="34"/>
      <c r="E548" s="34"/>
      <c r="F548" s="34"/>
      <c r="G548" s="34"/>
      <c r="H548" s="34"/>
      <c r="I548" s="34"/>
      <c r="J548" s="34"/>
      <c r="K548" s="34"/>
    </row>
    <row r="549" spans="1:29" ht="42.75" x14ac:dyDescent="0.2">
      <c r="A549" s="35">
        <v>76</v>
      </c>
      <c r="B549" s="35" t="str">
        <f>Source!F347</f>
        <v>3.26-1-1</v>
      </c>
      <c r="C549" s="35" t="s">
        <v>429</v>
      </c>
      <c r="D549" s="37" t="str">
        <f>Source!H347</f>
        <v>1 м3</v>
      </c>
      <c r="E549" s="36">
        <f>Source!I347</f>
        <v>17.188359999999999</v>
      </c>
      <c r="F549" s="39"/>
      <c r="G549" s="38"/>
      <c r="H549" s="36"/>
      <c r="I549" s="39"/>
      <c r="J549" s="36"/>
      <c r="K549" s="39"/>
      <c r="Q549">
        <f>Source!X347</f>
        <v>4996.05</v>
      </c>
      <c r="R549">
        <f>Source!X348</f>
        <v>274732.96999999997</v>
      </c>
      <c r="S549">
        <f>Source!Y347</f>
        <v>2699.02</v>
      </c>
      <c r="T549">
        <f>Source!Y348</f>
        <v>148418.96</v>
      </c>
      <c r="U549">
        <f>ROUND((175/100)*ROUND(Source!R347, 2), 2)</f>
        <v>773.4</v>
      </c>
      <c r="V549">
        <f>ROUND((0/100)*ROUND(Source!R348, 2), 2)</f>
        <v>0</v>
      </c>
      <c r="AC549">
        <v>0</v>
      </c>
    </row>
    <row r="550" spans="1:29" ht="76.5" x14ac:dyDescent="0.2">
      <c r="C550" s="40" t="str">
        <f>"Объем: "&amp;Source!I347&amp;"=(((3,14*"&amp;"(0,021+"&amp;"0,04)*"&amp;"0,04)*"&amp;"800)+"&amp;"((3,14*"&amp;"(0,028+"&amp;"0,04)*"&amp;"0,04)*"&amp;"600)+"&amp;"((3,14*"&amp;"(0,032+"&amp;"0,04)*"&amp;"0,04)*"&amp;"110)+"&amp;"((3,14*"&amp;"(0,038+"&amp;"0,04)*"&amp;"0,04)*"&amp;"200)+"&amp;"((3,14*"&amp;"(0,048+"&amp;"0,04)*"&amp;"0,04)*"&amp;"100)+"&amp;"((3,14*"&amp;"(0,057+"&amp;"0,04)*"&amp;"0,04)*"&amp;"130)+"&amp;"((3,14*"&amp;"(0,076+"&amp;"0,04)*"&amp;"0,04)*"&amp;"20))"</f>
        <v>Объем: 17,18836=(((3,14*(0,021+0,04)*0,04)*800)+((3,14*(0,028+0,04)*0,04)*600)+((3,14*(0,032+0,04)*0,04)*110)+((3,14*(0,038+0,04)*0,04)*200)+((3,14*(0,048+0,04)*0,04)*100)+((3,14*(0,057+0,04)*0,04)*130)+((3,14*(0,076+0,04)*0,04)*20))</v>
      </c>
    </row>
    <row r="551" spans="1:29" ht="28.5" x14ac:dyDescent="0.2">
      <c r="A551" s="35"/>
      <c r="B551" s="35"/>
      <c r="C551" s="35" t="s">
        <v>655</v>
      </c>
      <c r="D551" s="37"/>
      <c r="E551" s="36"/>
      <c r="F551" s="39">
        <f>Source!AO347</f>
        <v>232.84</v>
      </c>
      <c r="G551" s="38" t="str">
        <f>Source!DG347</f>
        <v>*1,15)*1,1</v>
      </c>
      <c r="H551" s="36">
        <f>Source!AV348</f>
        <v>1.0469999999999999</v>
      </c>
      <c r="I551" s="39">
        <f>Source!S347</f>
        <v>5300.65</v>
      </c>
      <c r="J551" s="36">
        <f>IF(Source!BA348&lt;&gt; 0, Source!BA348, 1)</f>
        <v>54.99</v>
      </c>
      <c r="K551" s="39">
        <f>Source!S348</f>
        <v>291482.74</v>
      </c>
    </row>
    <row r="552" spans="1:29" ht="28.5" x14ac:dyDescent="0.2">
      <c r="A552" s="35"/>
      <c r="B552" s="35"/>
      <c r="C552" s="35" t="s">
        <v>656</v>
      </c>
      <c r="D552" s="37"/>
      <c r="E552" s="36"/>
      <c r="F552" s="39">
        <f>Source!AM347</f>
        <v>44.4</v>
      </c>
      <c r="G552" s="38" t="str">
        <f>Source!DE347</f>
        <v>*1,25)*1,1</v>
      </c>
      <c r="H552" s="36">
        <f>Source!AV348</f>
        <v>1.0469999999999999</v>
      </c>
      <c r="I552" s="39">
        <f>Source!Q347</f>
        <v>1098.67</v>
      </c>
      <c r="J552" s="36">
        <f>IF(Source!BB348&lt;&gt; 0, Source!BB348, 1)</f>
        <v>27.72</v>
      </c>
      <c r="K552" s="39">
        <f>Source!Q348</f>
        <v>30455.13</v>
      </c>
    </row>
    <row r="553" spans="1:29" ht="28.5" x14ac:dyDescent="0.2">
      <c r="A553" s="35"/>
      <c r="B553" s="35"/>
      <c r="C553" s="35" t="s">
        <v>657</v>
      </c>
      <c r="D553" s="37"/>
      <c r="E553" s="36"/>
      <c r="F553" s="39">
        <f>Source!AN347</f>
        <v>17.86</v>
      </c>
      <c r="G553" s="38" t="str">
        <f>Source!DF347</f>
        <v>*1,25)*1,1</v>
      </c>
      <c r="H553" s="36">
        <f>Source!AV348</f>
        <v>1.0469999999999999</v>
      </c>
      <c r="I553" s="41">
        <f>Source!R347</f>
        <v>441.94</v>
      </c>
      <c r="J553" s="36">
        <f>IF(Source!BS348&lt;&gt; 0, Source!BS348, 1)</f>
        <v>54.99</v>
      </c>
      <c r="K553" s="41">
        <f>Source!R348</f>
        <v>24302.28</v>
      </c>
    </row>
    <row r="554" spans="1:29" ht="14.25" x14ac:dyDescent="0.2">
      <c r="A554" s="35"/>
      <c r="B554" s="35"/>
      <c r="C554" s="35" t="s">
        <v>658</v>
      </c>
      <c r="D554" s="37"/>
      <c r="E554" s="36"/>
      <c r="F554" s="39">
        <f>Source!AL347</f>
        <v>557.45000000000005</v>
      </c>
      <c r="G554" s="38" t="str">
        <f>Source!DD347</f>
        <v/>
      </c>
      <c r="H554" s="36">
        <f>Source!AW348</f>
        <v>1.0189999999999999</v>
      </c>
      <c r="I554" s="39">
        <f>Source!P347</f>
        <v>9763.7000000000007</v>
      </c>
      <c r="J554" s="36">
        <f>IF(Source!BC348&lt;&gt; 0, Source!BC348, 1)</f>
        <v>7.48</v>
      </c>
      <c r="K554" s="39">
        <f>Source!P348</f>
        <v>73032.479999999996</v>
      </c>
    </row>
    <row r="555" spans="1:29" ht="14.25" x14ac:dyDescent="0.2">
      <c r="A555" s="35"/>
      <c r="B555" s="35"/>
      <c r="C555" s="35" t="s">
        <v>659</v>
      </c>
      <c r="D555" s="37" t="s">
        <v>660</v>
      </c>
      <c r="E555" s="36">
        <f>Source!BZ348</f>
        <v>87</v>
      </c>
      <c r="F555" s="39"/>
      <c r="G555" s="38"/>
      <c r="H555" s="36"/>
      <c r="I555" s="39">
        <f>SUM(Q549:Q554)</f>
        <v>4996.05</v>
      </c>
      <c r="J555" s="36">
        <f>Source!AT348</f>
        <v>87</v>
      </c>
      <c r="K555" s="39">
        <f>SUM(R549:R554)</f>
        <v>274732.96999999997</v>
      </c>
    </row>
    <row r="556" spans="1:29" ht="14.25" x14ac:dyDescent="0.2">
      <c r="A556" s="35"/>
      <c r="B556" s="35"/>
      <c r="C556" s="35" t="s">
        <v>661</v>
      </c>
      <c r="D556" s="37" t="s">
        <v>660</v>
      </c>
      <c r="E556" s="36">
        <f>Source!CA348</f>
        <v>47</v>
      </c>
      <c r="F556" s="39"/>
      <c r="G556" s="38"/>
      <c r="H556" s="36"/>
      <c r="I556" s="39">
        <f>SUM(S549:S555)</f>
        <v>2699.02</v>
      </c>
      <c r="J556" s="36">
        <f>Source!AU348</f>
        <v>47</v>
      </c>
      <c r="K556" s="39">
        <f>SUM(T549:T555)</f>
        <v>148418.96</v>
      </c>
    </row>
    <row r="557" spans="1:29" ht="28.5" x14ac:dyDescent="0.2">
      <c r="A557" s="42"/>
      <c r="B557" s="42"/>
      <c r="C557" s="42" t="s">
        <v>662</v>
      </c>
      <c r="D557" s="43" t="s">
        <v>663</v>
      </c>
      <c r="E557" s="44">
        <f>Source!AQ347</f>
        <v>18.45</v>
      </c>
      <c r="F557" s="45"/>
      <c r="G557" s="46" t="str">
        <f>Source!DI347</f>
        <v>*1,15)*1,1</v>
      </c>
      <c r="H557" s="44">
        <f>Source!AV348</f>
        <v>1.0469999999999999</v>
      </c>
      <c r="I557" s="45">
        <f>Source!U347</f>
        <v>420.01811239310996</v>
      </c>
      <c r="J557" s="44"/>
      <c r="K557" s="45"/>
    </row>
    <row r="558" spans="1:29" ht="15" x14ac:dyDescent="0.2">
      <c r="C558" s="47" t="s">
        <v>664</v>
      </c>
      <c r="H558" s="48">
        <f>I551+I552+I554+I555+I556+0-0-0</f>
        <v>23858.09</v>
      </c>
      <c r="I558" s="48"/>
      <c r="J558" s="48">
        <f>K551+K552+K554+K555+K556+0-0-0</f>
        <v>818122.27999999991</v>
      </c>
      <c r="K558" s="48"/>
    </row>
    <row r="559" spans="1:29" ht="15" hidden="1" x14ac:dyDescent="0.2">
      <c r="C559" s="47" t="s">
        <v>665</v>
      </c>
      <c r="H559" s="50">
        <f>0+0</f>
        <v>0</v>
      </c>
      <c r="I559" s="50"/>
      <c r="J559" s="50">
        <f>0+0</f>
        <v>0</v>
      </c>
      <c r="K559" s="50"/>
    </row>
    <row r="560" spans="1:29" ht="15" x14ac:dyDescent="0.2">
      <c r="C560" s="47" t="s">
        <v>666</v>
      </c>
      <c r="H560" s="50">
        <f>I551+I552+I554+I555+I556+0</f>
        <v>23858.09</v>
      </c>
      <c r="I560" s="50"/>
      <c r="J560" s="50">
        <f>K551+K552+K554+K555+K556+0</f>
        <v>818122.27999999991</v>
      </c>
      <c r="K560" s="50"/>
      <c r="O560" s="51">
        <f>I551+I552+I554+I555+I556+0</f>
        <v>23858.09</v>
      </c>
      <c r="P560" s="51">
        <f>K551+K552+K554+K555+K556+0</f>
        <v>818122.27999999991</v>
      </c>
    </row>
    <row r="562" spans="1:29" ht="71.25" x14ac:dyDescent="0.2">
      <c r="A562" s="35">
        <v>77</v>
      </c>
      <c r="B562" s="35" t="str">
        <f>Source!F349</f>
        <v>1.1-1-1346</v>
      </c>
      <c r="C562" s="35" t="s">
        <v>436</v>
      </c>
      <c r="D562" s="37" t="str">
        <f>Source!H349</f>
        <v>м</v>
      </c>
      <c r="E562" s="36">
        <f>Source!I349</f>
        <v>824</v>
      </c>
      <c r="F562" s="39">
        <f>Source!AL349</f>
        <v>59.97</v>
      </c>
      <c r="G562" s="38" t="str">
        <f>Source!DD349</f>
        <v/>
      </c>
      <c r="H562" s="36">
        <f>Source!AW350</f>
        <v>1</v>
      </c>
      <c r="I562" s="39">
        <f>Source!P349</f>
        <v>49415.28</v>
      </c>
      <c r="J562" s="36">
        <f>IF(Source!BC350&lt;&gt; 0, Source!BC350, 1)</f>
        <v>4.33</v>
      </c>
      <c r="K562" s="39">
        <f>Source!P350</f>
        <v>213968.16</v>
      </c>
      <c r="Q562">
        <f>Source!X349</f>
        <v>0</v>
      </c>
      <c r="R562">
        <f>Source!X350</f>
        <v>0</v>
      </c>
      <c r="S562">
        <f>Source!Y349</f>
        <v>0</v>
      </c>
      <c r="T562">
        <f>Source!Y350</f>
        <v>0</v>
      </c>
      <c r="U562">
        <f>ROUND((175/100)*ROUND(Source!R349, 2), 2)</f>
        <v>0</v>
      </c>
      <c r="V562">
        <f>ROUND((0/100)*ROUND(Source!R350, 2), 2)</f>
        <v>0</v>
      </c>
      <c r="AC562">
        <v>3</v>
      </c>
    </row>
    <row r="563" spans="1:29" x14ac:dyDescent="0.2">
      <c r="A563" s="63"/>
      <c r="B563" s="63"/>
      <c r="C563" s="64" t="str">
        <f>"Объем: "&amp;Source!I349&amp;"=800*"&amp;"1,03"</f>
        <v>Объем: 824=800*1,03</v>
      </c>
      <c r="D563" s="63"/>
      <c r="E563" s="63"/>
      <c r="F563" s="63"/>
      <c r="G563" s="63"/>
      <c r="H563" s="63"/>
      <c r="I563" s="63"/>
      <c r="J563" s="63"/>
      <c r="K563" s="63"/>
    </row>
    <row r="564" spans="1:29" ht="15" x14ac:dyDescent="0.2">
      <c r="C564" s="47" t="s">
        <v>666</v>
      </c>
      <c r="H564" s="48">
        <f>I562+0</f>
        <v>49415.28</v>
      </c>
      <c r="I564" s="48"/>
      <c r="J564" s="48">
        <f>K562+0</f>
        <v>213968.16</v>
      </c>
      <c r="K564" s="48"/>
      <c r="O564" s="51">
        <f>I562+0</f>
        <v>49415.28</v>
      </c>
      <c r="P564" s="51">
        <f>K562+0</f>
        <v>213968.16</v>
      </c>
    </row>
    <row r="566" spans="1:29" ht="71.25" x14ac:dyDescent="0.2">
      <c r="A566" s="42">
        <v>78</v>
      </c>
      <c r="B566" s="42" t="str">
        <f>Source!F351</f>
        <v>1.1-1-1346</v>
      </c>
      <c r="C566" s="42" t="s">
        <v>439</v>
      </c>
      <c r="D566" s="43" t="str">
        <f>Source!H351</f>
        <v>м</v>
      </c>
      <c r="E566" s="44">
        <f>Source!I351</f>
        <v>618</v>
      </c>
      <c r="F566" s="45">
        <f>Source!AL351</f>
        <v>59.97</v>
      </c>
      <c r="G566" s="46" t="str">
        <f>Source!DD351</f>
        <v/>
      </c>
      <c r="H566" s="44">
        <f>Source!AW352</f>
        <v>1</v>
      </c>
      <c r="I566" s="45">
        <f>Source!P351</f>
        <v>37061.46</v>
      </c>
      <c r="J566" s="44">
        <f>IF(Source!BC352&lt;&gt; 0, Source!BC352, 1)</f>
        <v>4.33</v>
      </c>
      <c r="K566" s="45">
        <f>Source!P352</f>
        <v>160476.12</v>
      </c>
      <c r="Q566">
        <f>Source!X351</f>
        <v>0</v>
      </c>
      <c r="R566">
        <f>Source!X352</f>
        <v>0</v>
      </c>
      <c r="S566">
        <f>Source!Y351</f>
        <v>0</v>
      </c>
      <c r="T566">
        <f>Source!Y352</f>
        <v>0</v>
      </c>
      <c r="U566">
        <f>ROUND((175/100)*ROUND(Source!R351, 2), 2)</f>
        <v>0</v>
      </c>
      <c r="V566">
        <f>ROUND((0/100)*ROUND(Source!R352, 2), 2)</f>
        <v>0</v>
      </c>
      <c r="AC566">
        <v>3</v>
      </c>
    </row>
    <row r="567" spans="1:29" ht="15" x14ac:dyDescent="0.2">
      <c r="C567" s="47" t="s">
        <v>666</v>
      </c>
      <c r="H567" s="48">
        <f>I566+0</f>
        <v>37061.46</v>
      </c>
      <c r="I567" s="48"/>
      <c r="J567" s="48">
        <f>K566+0</f>
        <v>160476.12</v>
      </c>
      <c r="K567" s="48"/>
      <c r="O567" s="51">
        <f>I566+0</f>
        <v>37061.46</v>
      </c>
      <c r="P567" s="51">
        <f>K566+0</f>
        <v>160476.12</v>
      </c>
    </row>
    <row r="569" spans="1:29" ht="71.25" x14ac:dyDescent="0.2">
      <c r="A569" s="35">
        <v>79</v>
      </c>
      <c r="B569" s="35" t="str">
        <f>Source!F353</f>
        <v>1.1-1-1350</v>
      </c>
      <c r="C569" s="35" t="s">
        <v>442</v>
      </c>
      <c r="D569" s="37" t="str">
        <f>Source!H353</f>
        <v>м</v>
      </c>
      <c r="E569" s="36">
        <f>Source!I353</f>
        <v>113.63</v>
      </c>
      <c r="F569" s="39">
        <f>Source!AL353</f>
        <v>65.14</v>
      </c>
      <c r="G569" s="38" t="str">
        <f>Source!DD353</f>
        <v/>
      </c>
      <c r="H569" s="36">
        <f>Source!AW354</f>
        <v>1</v>
      </c>
      <c r="I569" s="39">
        <f>Source!P353</f>
        <v>7401.86</v>
      </c>
      <c r="J569" s="36">
        <f>IF(Source!BC354&lt;&gt; 0, Source!BC354, 1)</f>
        <v>5.12</v>
      </c>
      <c r="K569" s="39">
        <f>Source!P354</f>
        <v>37897.519999999997</v>
      </c>
      <c r="Q569">
        <f>Source!X353</f>
        <v>0</v>
      </c>
      <c r="R569">
        <f>Source!X354</f>
        <v>0</v>
      </c>
      <c r="S569">
        <f>Source!Y353</f>
        <v>0</v>
      </c>
      <c r="T569">
        <f>Source!Y354</f>
        <v>0</v>
      </c>
      <c r="U569">
        <f>ROUND((175/100)*ROUND(Source!R353, 2), 2)</f>
        <v>0</v>
      </c>
      <c r="V569">
        <f>ROUND((0/100)*ROUND(Source!R354, 2), 2)</f>
        <v>0</v>
      </c>
      <c r="AC569">
        <v>3</v>
      </c>
    </row>
    <row r="570" spans="1:29" x14ac:dyDescent="0.2">
      <c r="A570" s="63"/>
      <c r="B570" s="63"/>
      <c r="C570" s="64" t="str">
        <f>"Объем: "&amp;Source!I353&amp;"=110*"&amp;"1,033"</f>
        <v>Объем: 113,63=110*1,033</v>
      </c>
      <c r="D570" s="63"/>
      <c r="E570" s="63"/>
      <c r="F570" s="63"/>
      <c r="G570" s="63"/>
      <c r="H570" s="63"/>
      <c r="I570" s="63"/>
      <c r="J570" s="63"/>
      <c r="K570" s="63"/>
    </row>
    <row r="571" spans="1:29" ht="15" x14ac:dyDescent="0.2">
      <c r="C571" s="47" t="s">
        <v>666</v>
      </c>
      <c r="H571" s="48">
        <f>I569+0</f>
        <v>7401.86</v>
      </c>
      <c r="I571" s="48"/>
      <c r="J571" s="48">
        <f>K569+0</f>
        <v>37897.519999999997</v>
      </c>
      <c r="K571" s="48"/>
      <c r="O571" s="51">
        <f>I569+0</f>
        <v>7401.86</v>
      </c>
      <c r="P571" s="51">
        <f>K569+0</f>
        <v>37897.519999999997</v>
      </c>
    </row>
    <row r="573" spans="1:29" ht="71.25" x14ac:dyDescent="0.2">
      <c r="A573" s="35">
        <v>80</v>
      </c>
      <c r="B573" s="35" t="str">
        <f>Source!F355</f>
        <v>1.1-1-1354</v>
      </c>
      <c r="C573" s="35" t="s">
        <v>446</v>
      </c>
      <c r="D573" s="37" t="str">
        <f>Source!H355</f>
        <v>м</v>
      </c>
      <c r="E573" s="36">
        <f>Source!I355</f>
        <v>206</v>
      </c>
      <c r="F573" s="39">
        <f>Source!AL355</f>
        <v>66.27</v>
      </c>
      <c r="G573" s="38" t="str">
        <f>Source!DD355</f>
        <v/>
      </c>
      <c r="H573" s="36">
        <f>Source!AW356</f>
        <v>1</v>
      </c>
      <c r="I573" s="39">
        <f>Source!P355</f>
        <v>13651.62</v>
      </c>
      <c r="J573" s="36">
        <f>IF(Source!BC356&lt;&gt; 0, Source!BC356, 1)</f>
        <v>5.65</v>
      </c>
      <c r="K573" s="39">
        <f>Source!P356</f>
        <v>77131.649999999994</v>
      </c>
      <c r="Q573">
        <f>Source!X355</f>
        <v>0</v>
      </c>
      <c r="R573">
        <f>Source!X356</f>
        <v>0</v>
      </c>
      <c r="S573">
        <f>Source!Y355</f>
        <v>0</v>
      </c>
      <c r="T573">
        <f>Source!Y356</f>
        <v>0</v>
      </c>
      <c r="U573">
        <f>ROUND((175/100)*ROUND(Source!R355, 2), 2)</f>
        <v>0</v>
      </c>
      <c r="V573">
        <f>ROUND((0/100)*ROUND(Source!R356, 2), 2)</f>
        <v>0</v>
      </c>
      <c r="AC573">
        <v>3</v>
      </c>
    </row>
    <row r="574" spans="1:29" x14ac:dyDescent="0.2">
      <c r="A574" s="63"/>
      <c r="B574" s="63"/>
      <c r="C574" s="64" t="str">
        <f>"Объем: "&amp;Source!I355&amp;"=200*"&amp;"1,03"</f>
        <v>Объем: 206=200*1,03</v>
      </c>
      <c r="D574" s="63"/>
      <c r="E574" s="63"/>
      <c r="F574" s="63"/>
      <c r="G574" s="63"/>
      <c r="H574" s="63"/>
      <c r="I574" s="63"/>
      <c r="J574" s="63"/>
      <c r="K574" s="63"/>
    </row>
    <row r="575" spans="1:29" ht="15" x14ac:dyDescent="0.2">
      <c r="C575" s="47" t="s">
        <v>666</v>
      </c>
      <c r="H575" s="48">
        <f>I573+0</f>
        <v>13651.62</v>
      </c>
      <c r="I575" s="48"/>
      <c r="J575" s="48">
        <f>K573+0</f>
        <v>77131.649999999994</v>
      </c>
      <c r="K575" s="48"/>
      <c r="O575" s="51">
        <f>I573+0</f>
        <v>13651.62</v>
      </c>
      <c r="P575" s="51">
        <f>K573+0</f>
        <v>77131.649999999994</v>
      </c>
    </row>
    <row r="577" spans="1:29" ht="71.25" x14ac:dyDescent="0.2">
      <c r="A577" s="42">
        <v>81</v>
      </c>
      <c r="B577" s="42" t="str">
        <f>Source!F357</f>
        <v>1.1-1-1358</v>
      </c>
      <c r="C577" s="42" t="s">
        <v>450</v>
      </c>
      <c r="D577" s="43" t="str">
        <f>Source!H357</f>
        <v>м</v>
      </c>
      <c r="E577" s="44">
        <f>Source!I357</f>
        <v>103</v>
      </c>
      <c r="F577" s="45">
        <f>Source!AL357</f>
        <v>68.5</v>
      </c>
      <c r="G577" s="46" t="str">
        <f>Source!DD357</f>
        <v/>
      </c>
      <c r="H577" s="44">
        <f>Source!AW358</f>
        <v>1</v>
      </c>
      <c r="I577" s="45">
        <f>Source!P357</f>
        <v>7055.5</v>
      </c>
      <c r="J577" s="44">
        <f>IF(Source!BC358&lt;&gt; 0, Source!BC358, 1)</f>
        <v>4.95</v>
      </c>
      <c r="K577" s="45">
        <f>Source!P358</f>
        <v>34924.730000000003</v>
      </c>
      <c r="Q577">
        <f>Source!X357</f>
        <v>0</v>
      </c>
      <c r="R577">
        <f>Source!X358</f>
        <v>0</v>
      </c>
      <c r="S577">
        <f>Source!Y357</f>
        <v>0</v>
      </c>
      <c r="T577">
        <f>Source!Y358</f>
        <v>0</v>
      </c>
      <c r="U577">
        <f>ROUND((175/100)*ROUND(Source!R357, 2), 2)</f>
        <v>0</v>
      </c>
      <c r="V577">
        <f>ROUND((0/100)*ROUND(Source!R358, 2), 2)</f>
        <v>0</v>
      </c>
      <c r="AC577">
        <v>3</v>
      </c>
    </row>
    <row r="578" spans="1:29" ht="15" x14ac:dyDescent="0.2">
      <c r="C578" s="47" t="s">
        <v>666</v>
      </c>
      <c r="H578" s="48">
        <f>I577+0</f>
        <v>7055.5</v>
      </c>
      <c r="I578" s="48"/>
      <c r="J578" s="48">
        <f>K577+0</f>
        <v>34924.730000000003</v>
      </c>
      <c r="K578" s="48"/>
      <c r="O578" s="51">
        <f>I577+0</f>
        <v>7055.5</v>
      </c>
      <c r="P578" s="51">
        <f>K577+0</f>
        <v>34924.730000000003</v>
      </c>
    </row>
    <row r="580" spans="1:29" ht="71.25" x14ac:dyDescent="0.2">
      <c r="A580" s="35">
        <v>82</v>
      </c>
      <c r="B580" s="35" t="str">
        <f>Source!F359</f>
        <v>1.1-1-1363</v>
      </c>
      <c r="C580" s="35" t="s">
        <v>454</v>
      </c>
      <c r="D580" s="37" t="str">
        <f>Source!H359</f>
        <v>м</v>
      </c>
      <c r="E580" s="36">
        <f>Source!I359</f>
        <v>133.9</v>
      </c>
      <c r="F580" s="39">
        <f>Source!AL359</f>
        <v>75.23</v>
      </c>
      <c r="G580" s="38" t="str">
        <f>Source!DD359</f>
        <v/>
      </c>
      <c r="H580" s="36">
        <f>Source!AW360</f>
        <v>1</v>
      </c>
      <c r="I580" s="39">
        <f>Source!P359</f>
        <v>10073.299999999999</v>
      </c>
      <c r="J580" s="36">
        <f>IF(Source!BC360&lt;&gt; 0, Source!BC360, 1)</f>
        <v>5.16</v>
      </c>
      <c r="K580" s="39">
        <f>Source!P360</f>
        <v>51978.23</v>
      </c>
      <c r="Q580">
        <f>Source!X359</f>
        <v>0</v>
      </c>
      <c r="R580">
        <f>Source!X360</f>
        <v>0</v>
      </c>
      <c r="S580">
        <f>Source!Y359</f>
        <v>0</v>
      </c>
      <c r="T580">
        <f>Source!Y360</f>
        <v>0</v>
      </c>
      <c r="U580">
        <f>ROUND((175/100)*ROUND(Source!R359, 2), 2)</f>
        <v>0</v>
      </c>
      <c r="V580">
        <f>ROUND((0/100)*ROUND(Source!R360, 2), 2)</f>
        <v>0</v>
      </c>
      <c r="AC580">
        <v>3</v>
      </c>
    </row>
    <row r="581" spans="1:29" x14ac:dyDescent="0.2">
      <c r="A581" s="63"/>
      <c r="B581" s="63"/>
      <c r="C581" s="64" t="str">
        <f>"Объем: "&amp;Source!I359&amp;"=130*"&amp;"1,03"</f>
        <v>Объем: 133,9=130*1,03</v>
      </c>
      <c r="D581" s="63"/>
      <c r="E581" s="63"/>
      <c r="F581" s="63"/>
      <c r="G581" s="63"/>
      <c r="H581" s="63"/>
      <c r="I581" s="63"/>
      <c r="J581" s="63"/>
      <c r="K581" s="63"/>
    </row>
    <row r="582" spans="1:29" ht="15" x14ac:dyDescent="0.2">
      <c r="C582" s="47" t="s">
        <v>666</v>
      </c>
      <c r="H582" s="48">
        <f>I580+0</f>
        <v>10073.299999999999</v>
      </c>
      <c r="I582" s="48"/>
      <c r="J582" s="48">
        <f>K580+0</f>
        <v>51978.23</v>
      </c>
      <c r="K582" s="48"/>
      <c r="O582" s="51">
        <f>I580+0</f>
        <v>10073.299999999999</v>
      </c>
      <c r="P582" s="51">
        <f>K580+0</f>
        <v>51978.23</v>
      </c>
    </row>
    <row r="584" spans="1:29" ht="71.25" x14ac:dyDescent="0.2">
      <c r="A584" s="35">
        <v>83</v>
      </c>
      <c r="B584" s="35" t="str">
        <f>Source!F361</f>
        <v>1.1-1-1367</v>
      </c>
      <c r="C584" s="35" t="s">
        <v>458</v>
      </c>
      <c r="D584" s="37" t="str">
        <f>Source!H361</f>
        <v>м</v>
      </c>
      <c r="E584" s="36">
        <f>Source!I361</f>
        <v>20.6</v>
      </c>
      <c r="F584" s="39">
        <f>Source!AL361</f>
        <v>88.08</v>
      </c>
      <c r="G584" s="38" t="str">
        <f>Source!DD361</f>
        <v/>
      </c>
      <c r="H584" s="36">
        <f>Source!AW362</f>
        <v>1</v>
      </c>
      <c r="I584" s="39">
        <f>Source!P361</f>
        <v>1814.45</v>
      </c>
      <c r="J584" s="36">
        <f>IF(Source!BC362&lt;&gt; 0, Source!BC362, 1)</f>
        <v>5.26</v>
      </c>
      <c r="K584" s="39">
        <f>Source!P362</f>
        <v>9544.01</v>
      </c>
      <c r="Q584">
        <f>Source!X361</f>
        <v>0</v>
      </c>
      <c r="R584">
        <f>Source!X362</f>
        <v>0</v>
      </c>
      <c r="S584">
        <f>Source!Y361</f>
        <v>0</v>
      </c>
      <c r="T584">
        <f>Source!Y362</f>
        <v>0</v>
      </c>
      <c r="U584">
        <f>ROUND((175/100)*ROUND(Source!R361, 2), 2)</f>
        <v>0</v>
      </c>
      <c r="V584">
        <f>ROUND((0/100)*ROUND(Source!R362, 2), 2)</f>
        <v>0</v>
      </c>
      <c r="AC584">
        <v>3</v>
      </c>
    </row>
    <row r="585" spans="1:29" x14ac:dyDescent="0.2">
      <c r="A585" s="63"/>
      <c r="B585" s="63"/>
      <c r="C585" s="64" t="str">
        <f>"Объем: "&amp;Source!I361&amp;"=20*"&amp;"1,03"</f>
        <v>Объем: 20,6=20*1,03</v>
      </c>
      <c r="D585" s="63"/>
      <c r="E585" s="63"/>
      <c r="F585" s="63"/>
      <c r="G585" s="63"/>
      <c r="H585" s="63"/>
      <c r="I585" s="63"/>
      <c r="J585" s="63"/>
      <c r="K585" s="63"/>
    </row>
    <row r="586" spans="1:29" ht="15" x14ac:dyDescent="0.2">
      <c r="C586" s="47" t="s">
        <v>666</v>
      </c>
      <c r="H586" s="48">
        <f>I584+0</f>
        <v>1814.45</v>
      </c>
      <c r="I586" s="48"/>
      <c r="J586" s="48">
        <f>K584+0</f>
        <v>9544.01</v>
      </c>
      <c r="K586" s="48"/>
      <c r="O586" s="51">
        <f>I584+0</f>
        <v>1814.45</v>
      </c>
      <c r="P586" s="51">
        <f>K584+0</f>
        <v>9544.01</v>
      </c>
    </row>
    <row r="589" spans="1:29" ht="15" x14ac:dyDescent="0.25">
      <c r="A589" s="60" t="str">
        <f>CONCATENATE("Итого по разделу: ",IF(Source!G364&lt;&gt;"Новый раздел", Source!G364, ""))</f>
        <v>Итого по разделу: Изоляция трубная</v>
      </c>
      <c r="B589" s="60"/>
      <c r="C589" s="60"/>
      <c r="D589" s="60"/>
      <c r="E589" s="60"/>
      <c r="F589" s="60"/>
      <c r="G589" s="60"/>
      <c r="H589" s="50">
        <f>SUM(O548:O588)</f>
        <v>150331.56</v>
      </c>
      <c r="I589" s="49"/>
      <c r="J589" s="50">
        <f>SUM(P548:P588)</f>
        <v>1404042.7</v>
      </c>
      <c r="K589" s="49"/>
    </row>
    <row r="590" spans="1:29" hidden="1" x14ac:dyDescent="0.2">
      <c r="A590" t="s">
        <v>669</v>
      </c>
      <c r="I590">
        <f>SUM(W548:W589)</f>
        <v>0</v>
      </c>
      <c r="J590">
        <f>SUM(X548:X589)</f>
        <v>0</v>
      </c>
    </row>
    <row r="591" spans="1:29" hidden="1" x14ac:dyDescent="0.2">
      <c r="A591" t="s">
        <v>670</v>
      </c>
      <c r="I591">
        <f>SUM(Y548:Y590)</f>
        <v>0</v>
      </c>
      <c r="J591">
        <f>SUM(Z548:Z590)</f>
        <v>0</v>
      </c>
    </row>
    <row r="593" spans="1:11" ht="15" x14ac:dyDescent="0.25">
      <c r="A593" s="60" t="str">
        <f>CONCATENATE("Итого по локальной смете: ",IF(Source!G394&lt;&gt;"Новая локальная смета", Source!G394, ""))</f>
        <v>Итого по локальной смете: Отопление</v>
      </c>
      <c r="B593" s="60"/>
      <c r="C593" s="60"/>
      <c r="D593" s="60"/>
      <c r="E593" s="60"/>
      <c r="F593" s="60"/>
      <c r="G593" s="60"/>
      <c r="H593" s="50">
        <f>SUM(O28:O592)</f>
        <v>1090710.6800000004</v>
      </c>
      <c r="I593" s="49"/>
      <c r="J593" s="50">
        <f>SUM(P28:P592)</f>
        <v>14180730.950000003</v>
      </c>
      <c r="K593" s="49"/>
    </row>
    <row r="594" spans="1:11" hidden="1" x14ac:dyDescent="0.2">
      <c r="A594" t="s">
        <v>669</v>
      </c>
      <c r="I594">
        <f>SUM(W28:W593)</f>
        <v>0</v>
      </c>
      <c r="J594">
        <f>SUM(X28:X593)</f>
        <v>0</v>
      </c>
    </row>
    <row r="595" spans="1:11" hidden="1" x14ac:dyDescent="0.2">
      <c r="A595" t="s">
        <v>670</v>
      </c>
      <c r="I595">
        <f>SUM(Y28:Y594)</f>
        <v>0</v>
      </c>
      <c r="J595">
        <f>SUM(Z28:Z594)</f>
        <v>0</v>
      </c>
    </row>
    <row r="597" spans="1:11" ht="15" x14ac:dyDescent="0.25">
      <c r="A597" s="60" t="str">
        <f>CONCATENATE("Итого по смете: ",IF(Source!G424&lt;&gt;"Новый объект", Source!G424, ""))</f>
        <v>Итого по смете: 02-01-06 Отопление</v>
      </c>
      <c r="B597" s="60"/>
      <c r="C597" s="60"/>
      <c r="D597" s="60"/>
      <c r="E597" s="60"/>
      <c r="F597" s="60"/>
      <c r="G597" s="60"/>
      <c r="H597" s="50">
        <f>SUM(O1:O596)</f>
        <v>1090710.6800000004</v>
      </c>
      <c r="I597" s="49"/>
      <c r="J597" s="50">
        <f>SUM(P1:P596)</f>
        <v>14180730.950000003</v>
      </c>
      <c r="K597" s="49"/>
    </row>
    <row r="598" spans="1:11" hidden="1" x14ac:dyDescent="0.2">
      <c r="A598" t="s">
        <v>669</v>
      </c>
      <c r="I598">
        <f>SUM(W1:W597)</f>
        <v>0</v>
      </c>
      <c r="J598">
        <f>SUM(X1:X597)</f>
        <v>0</v>
      </c>
    </row>
    <row r="599" spans="1:11" hidden="1" x14ac:dyDescent="0.2">
      <c r="A599" t="s">
        <v>670</v>
      </c>
      <c r="I599">
        <f>SUM(Y1:Y598)</f>
        <v>0</v>
      </c>
      <c r="J599">
        <f>SUM(Z1:Z598)</f>
        <v>0</v>
      </c>
    </row>
    <row r="602" spans="1:11" ht="14.25" x14ac:dyDescent="0.2">
      <c r="A602" s="65" t="s">
        <v>701</v>
      </c>
      <c r="B602" s="65"/>
      <c r="C602" s="66" t="str">
        <f>IF(Source!AC12&lt;&gt;"", Source!AC12," ")</f>
        <v xml:space="preserve"> </v>
      </c>
      <c r="D602" s="66"/>
      <c r="E602" s="66"/>
      <c r="F602" s="66"/>
      <c r="G602" s="66"/>
      <c r="H602" s="24" t="str">
        <f>IF(Source!AB12&lt;&gt;"", Source!AB12," ")</f>
        <v>Соколова И.Н.</v>
      </c>
      <c r="I602" s="24"/>
      <c r="J602" s="24"/>
      <c r="K602" s="24"/>
    </row>
    <row r="603" spans="1:11" ht="14.25" x14ac:dyDescent="0.2">
      <c r="A603" s="11"/>
      <c r="B603" s="11"/>
      <c r="C603" s="13" t="s">
        <v>702</v>
      </c>
      <c r="D603" s="13"/>
      <c r="E603" s="13"/>
      <c r="F603" s="13"/>
      <c r="G603" s="13"/>
      <c r="H603" s="11"/>
      <c r="I603" s="11"/>
      <c r="J603" s="11"/>
      <c r="K603" s="11"/>
    </row>
    <row r="604" spans="1:11" ht="14.25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 ht="14.25" x14ac:dyDescent="0.2">
      <c r="A605" s="65" t="s">
        <v>703</v>
      </c>
      <c r="B605" s="65"/>
      <c r="C605" s="66" t="str">
        <f>IF(Source!AE12&lt;&gt;"", Source!AE12," ")</f>
        <v xml:space="preserve"> </v>
      </c>
      <c r="D605" s="66"/>
      <c r="E605" s="66"/>
      <c r="F605" s="66"/>
      <c r="G605" s="66"/>
      <c r="H605" s="24" t="str">
        <f>IF(Source!AD12&lt;&gt;"", Source!AD12," ")</f>
        <v xml:space="preserve"> </v>
      </c>
      <c r="I605" s="24"/>
      <c r="J605" s="24"/>
      <c r="K605" s="24"/>
    </row>
    <row r="606" spans="1:11" ht="14.25" x14ac:dyDescent="0.2">
      <c r="A606" s="11"/>
      <c r="B606" s="11"/>
      <c r="C606" s="13" t="s">
        <v>702</v>
      </c>
      <c r="D606" s="13"/>
      <c r="E606" s="13"/>
      <c r="F606" s="13"/>
      <c r="G606" s="13"/>
      <c r="H606" s="11"/>
      <c r="I606" s="11"/>
      <c r="J606" s="11"/>
      <c r="K606" s="11"/>
    </row>
  </sheetData>
  <mergeCells count="330">
    <mergeCell ref="A605:B605"/>
    <mergeCell ref="H605:K605"/>
    <mergeCell ref="C606:G606"/>
    <mergeCell ref="J597:K597"/>
    <mergeCell ref="H597:I597"/>
    <mergeCell ref="A597:G597"/>
    <mergeCell ref="A602:B602"/>
    <mergeCell ref="H602:K602"/>
    <mergeCell ref="C603:G603"/>
    <mergeCell ref="H586:I586"/>
    <mergeCell ref="J586:K586"/>
    <mergeCell ref="J589:K589"/>
    <mergeCell ref="H589:I589"/>
    <mergeCell ref="A589:G589"/>
    <mergeCell ref="J593:K593"/>
    <mergeCell ref="H593:I593"/>
    <mergeCell ref="A593:G593"/>
    <mergeCell ref="H575:I575"/>
    <mergeCell ref="J575:K575"/>
    <mergeCell ref="H578:I578"/>
    <mergeCell ref="J578:K578"/>
    <mergeCell ref="H582:I582"/>
    <mergeCell ref="J582:K582"/>
    <mergeCell ref="H564:I564"/>
    <mergeCell ref="J564:K564"/>
    <mergeCell ref="H567:I567"/>
    <mergeCell ref="J567:K567"/>
    <mergeCell ref="H571:I571"/>
    <mergeCell ref="J571:K571"/>
    <mergeCell ref="H558:I558"/>
    <mergeCell ref="J558:K558"/>
    <mergeCell ref="H559:I559"/>
    <mergeCell ref="J559:K559"/>
    <mergeCell ref="H560:I560"/>
    <mergeCell ref="J560:K560"/>
    <mergeCell ref="H541:I541"/>
    <mergeCell ref="J541:K541"/>
    <mergeCell ref="J544:K544"/>
    <mergeCell ref="H544:I544"/>
    <mergeCell ref="A544:G544"/>
    <mergeCell ref="A548:K548"/>
    <mergeCell ref="H527:I527"/>
    <mergeCell ref="J527:K527"/>
    <mergeCell ref="H539:I539"/>
    <mergeCell ref="J539:K539"/>
    <mergeCell ref="H540:I540"/>
    <mergeCell ref="J540:K540"/>
    <mergeCell ref="H513:I513"/>
    <mergeCell ref="J513:K513"/>
    <mergeCell ref="H525:I525"/>
    <mergeCell ref="J525:K525"/>
    <mergeCell ref="H526:I526"/>
    <mergeCell ref="J526:K526"/>
    <mergeCell ref="H499:I499"/>
    <mergeCell ref="J499:K499"/>
    <mergeCell ref="H511:I511"/>
    <mergeCell ref="J511:K511"/>
    <mergeCell ref="H512:I512"/>
    <mergeCell ref="J512:K512"/>
    <mergeCell ref="H485:I485"/>
    <mergeCell ref="J485:K485"/>
    <mergeCell ref="H497:I497"/>
    <mergeCell ref="J497:K497"/>
    <mergeCell ref="H498:I498"/>
    <mergeCell ref="J498:K498"/>
    <mergeCell ref="H471:I471"/>
    <mergeCell ref="J471:K471"/>
    <mergeCell ref="H483:I483"/>
    <mergeCell ref="J483:K483"/>
    <mergeCell ref="H484:I484"/>
    <mergeCell ref="J484:K484"/>
    <mergeCell ref="H457:I457"/>
    <mergeCell ref="J457:K457"/>
    <mergeCell ref="H469:I469"/>
    <mergeCell ref="J469:K469"/>
    <mergeCell ref="H470:I470"/>
    <mergeCell ref="J470:K470"/>
    <mergeCell ref="A440:G440"/>
    <mergeCell ref="A444:K444"/>
    <mergeCell ref="H455:I455"/>
    <mergeCell ref="J455:K455"/>
    <mergeCell ref="H456:I456"/>
    <mergeCell ref="J456:K456"/>
    <mergeCell ref="H434:I434"/>
    <mergeCell ref="J434:K434"/>
    <mergeCell ref="H437:I437"/>
    <mergeCell ref="J437:K437"/>
    <mergeCell ref="J440:K440"/>
    <mergeCell ref="H440:I440"/>
    <mergeCell ref="H424:I424"/>
    <mergeCell ref="J424:K424"/>
    <mergeCell ref="H432:I432"/>
    <mergeCell ref="J432:K432"/>
    <mergeCell ref="H433:I433"/>
    <mergeCell ref="J433:K433"/>
    <mergeCell ref="H409:I409"/>
    <mergeCell ref="J409:K409"/>
    <mergeCell ref="B412:J412"/>
    <mergeCell ref="H422:I422"/>
    <mergeCell ref="J422:K422"/>
    <mergeCell ref="H423:I423"/>
    <mergeCell ref="J423:K423"/>
    <mergeCell ref="H404:I404"/>
    <mergeCell ref="J404:K404"/>
    <mergeCell ref="H405:I405"/>
    <mergeCell ref="J405:K405"/>
    <mergeCell ref="H406:I406"/>
    <mergeCell ref="J406:K406"/>
    <mergeCell ref="H390:I390"/>
    <mergeCell ref="J390:K390"/>
    <mergeCell ref="H393:I393"/>
    <mergeCell ref="J393:K393"/>
    <mergeCell ref="H396:I396"/>
    <mergeCell ref="J396:K396"/>
    <mergeCell ref="H380:I380"/>
    <mergeCell ref="J380:K380"/>
    <mergeCell ref="H388:I388"/>
    <mergeCell ref="J388:K388"/>
    <mergeCell ref="H389:I389"/>
    <mergeCell ref="J389:K389"/>
    <mergeCell ref="H373:I373"/>
    <mergeCell ref="J373:K373"/>
    <mergeCell ref="H374:I374"/>
    <mergeCell ref="J374:K374"/>
    <mergeCell ref="H377:I377"/>
    <mergeCell ref="J377:K377"/>
    <mergeCell ref="H361:I361"/>
    <mergeCell ref="J361:K361"/>
    <mergeCell ref="H364:I364"/>
    <mergeCell ref="J364:K364"/>
    <mergeCell ref="H372:I372"/>
    <mergeCell ref="J372:K372"/>
    <mergeCell ref="H354:I354"/>
    <mergeCell ref="J354:K354"/>
    <mergeCell ref="H355:I355"/>
    <mergeCell ref="J355:K355"/>
    <mergeCell ref="H358:I358"/>
    <mergeCell ref="J358:K358"/>
    <mergeCell ref="A337:G337"/>
    <mergeCell ref="A341:K341"/>
    <mergeCell ref="H343:I343"/>
    <mergeCell ref="J343:K343"/>
    <mergeCell ref="H353:I353"/>
    <mergeCell ref="J353:K353"/>
    <mergeCell ref="H333:I333"/>
    <mergeCell ref="J333:K333"/>
    <mergeCell ref="H334:I334"/>
    <mergeCell ref="J334:K334"/>
    <mergeCell ref="J337:K337"/>
    <mergeCell ref="H337:I337"/>
    <mergeCell ref="H322:I322"/>
    <mergeCell ref="J322:K322"/>
    <mergeCell ref="H323:I323"/>
    <mergeCell ref="J323:K323"/>
    <mergeCell ref="H332:I332"/>
    <mergeCell ref="J332:K332"/>
    <mergeCell ref="B304:J304"/>
    <mergeCell ref="H306:I306"/>
    <mergeCell ref="J306:K306"/>
    <mergeCell ref="B309:J309"/>
    <mergeCell ref="H321:I321"/>
    <mergeCell ref="J321:K321"/>
    <mergeCell ref="H295:I295"/>
    <mergeCell ref="J295:K295"/>
    <mergeCell ref="H298:I298"/>
    <mergeCell ref="J298:K298"/>
    <mergeCell ref="H301:I301"/>
    <mergeCell ref="J301:K301"/>
    <mergeCell ref="H288:I288"/>
    <mergeCell ref="J288:K288"/>
    <mergeCell ref="H289:I289"/>
    <mergeCell ref="J289:K289"/>
    <mergeCell ref="H292:I292"/>
    <mergeCell ref="J292:K292"/>
    <mergeCell ref="H273:I273"/>
    <mergeCell ref="J273:K273"/>
    <mergeCell ref="H276:I276"/>
    <mergeCell ref="J276:K276"/>
    <mergeCell ref="H287:I287"/>
    <mergeCell ref="J287:K287"/>
    <mergeCell ref="H260:I260"/>
    <mergeCell ref="J260:K260"/>
    <mergeCell ref="H271:I271"/>
    <mergeCell ref="J271:K271"/>
    <mergeCell ref="H272:I272"/>
    <mergeCell ref="J272:K272"/>
    <mergeCell ref="H253:I253"/>
    <mergeCell ref="J253:K253"/>
    <mergeCell ref="H254:I254"/>
    <mergeCell ref="J254:K254"/>
    <mergeCell ref="H257:I257"/>
    <mergeCell ref="J257:K257"/>
    <mergeCell ref="H238:I238"/>
    <mergeCell ref="J238:K238"/>
    <mergeCell ref="H241:I241"/>
    <mergeCell ref="J241:K241"/>
    <mergeCell ref="H252:I252"/>
    <mergeCell ref="J252:K252"/>
    <mergeCell ref="H233:I233"/>
    <mergeCell ref="J233:K233"/>
    <mergeCell ref="H234:I234"/>
    <mergeCell ref="J234:K234"/>
    <mergeCell ref="H235:I235"/>
    <mergeCell ref="J235:K235"/>
    <mergeCell ref="H216:I216"/>
    <mergeCell ref="J216:K216"/>
    <mergeCell ref="H219:I219"/>
    <mergeCell ref="J219:K219"/>
    <mergeCell ref="H222:I222"/>
    <mergeCell ref="J222:K222"/>
    <mergeCell ref="H209:I209"/>
    <mergeCell ref="J209:K209"/>
    <mergeCell ref="H210:I210"/>
    <mergeCell ref="J210:K210"/>
    <mergeCell ref="H213:I213"/>
    <mergeCell ref="J213:K213"/>
    <mergeCell ref="H194:I194"/>
    <mergeCell ref="J194:K194"/>
    <mergeCell ref="H197:I197"/>
    <mergeCell ref="J197:K197"/>
    <mergeCell ref="H208:I208"/>
    <mergeCell ref="J208:K208"/>
    <mergeCell ref="H181:I181"/>
    <mergeCell ref="J181:K181"/>
    <mergeCell ref="H192:I192"/>
    <mergeCell ref="J192:K192"/>
    <mergeCell ref="H193:I193"/>
    <mergeCell ref="J193:K193"/>
    <mergeCell ref="H172:I172"/>
    <mergeCell ref="J172:K172"/>
    <mergeCell ref="H175:I175"/>
    <mergeCell ref="J175:K175"/>
    <mergeCell ref="H178:I178"/>
    <mergeCell ref="J178:K178"/>
    <mergeCell ref="H167:I167"/>
    <mergeCell ref="J167:K167"/>
    <mergeCell ref="H168:I168"/>
    <mergeCell ref="J168:K168"/>
    <mergeCell ref="H169:I169"/>
    <mergeCell ref="J169:K169"/>
    <mergeCell ref="H152:I152"/>
    <mergeCell ref="J152:K152"/>
    <mergeCell ref="H153:I153"/>
    <mergeCell ref="J153:K153"/>
    <mergeCell ref="H156:I156"/>
    <mergeCell ref="J156:K156"/>
    <mergeCell ref="H137:I137"/>
    <mergeCell ref="J137:K137"/>
    <mergeCell ref="H140:I140"/>
    <mergeCell ref="J140:K140"/>
    <mergeCell ref="H151:I151"/>
    <mergeCell ref="J151:K151"/>
    <mergeCell ref="H128:I128"/>
    <mergeCell ref="J128:K128"/>
    <mergeCell ref="H131:I131"/>
    <mergeCell ref="J131:K131"/>
    <mergeCell ref="H134:I134"/>
    <mergeCell ref="J134:K134"/>
    <mergeCell ref="H115:I115"/>
    <mergeCell ref="J115:K115"/>
    <mergeCell ref="H126:I126"/>
    <mergeCell ref="J126:K126"/>
    <mergeCell ref="H127:I127"/>
    <mergeCell ref="J127:K127"/>
    <mergeCell ref="H106:I106"/>
    <mergeCell ref="J106:K106"/>
    <mergeCell ref="H109:I109"/>
    <mergeCell ref="J109:K109"/>
    <mergeCell ref="H112:I112"/>
    <mergeCell ref="J112:K112"/>
    <mergeCell ref="H97:I97"/>
    <mergeCell ref="J97:K97"/>
    <mergeCell ref="H100:I100"/>
    <mergeCell ref="J100:K100"/>
    <mergeCell ref="H103:I103"/>
    <mergeCell ref="J103:K103"/>
    <mergeCell ref="H84:I84"/>
    <mergeCell ref="J84:K84"/>
    <mergeCell ref="H95:I95"/>
    <mergeCell ref="J95:K95"/>
    <mergeCell ref="H96:I96"/>
    <mergeCell ref="J96:K96"/>
    <mergeCell ref="H75:I75"/>
    <mergeCell ref="J75:K75"/>
    <mergeCell ref="H78:I78"/>
    <mergeCell ref="J78:K78"/>
    <mergeCell ref="H81:I81"/>
    <mergeCell ref="J81:K81"/>
    <mergeCell ref="H66:I66"/>
    <mergeCell ref="J66:K66"/>
    <mergeCell ref="H69:I69"/>
    <mergeCell ref="J69:K69"/>
    <mergeCell ref="H72:I72"/>
    <mergeCell ref="J72:K72"/>
    <mergeCell ref="A50:G50"/>
    <mergeCell ref="A54:K54"/>
    <mergeCell ref="H64:I64"/>
    <mergeCell ref="J64:K64"/>
    <mergeCell ref="H65:I65"/>
    <mergeCell ref="J65:K65"/>
    <mergeCell ref="H44:I44"/>
    <mergeCell ref="J44:K44"/>
    <mergeCell ref="H47:I47"/>
    <mergeCell ref="J47:K47"/>
    <mergeCell ref="J50:K50"/>
    <mergeCell ref="H50:I50"/>
    <mergeCell ref="H39:I39"/>
    <mergeCell ref="J39:K39"/>
    <mergeCell ref="H40:I40"/>
    <mergeCell ref="J40:K40"/>
    <mergeCell ref="H41:I41"/>
    <mergeCell ref="J41:K4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3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4" spans="1:8" ht="15.75" x14ac:dyDescent="0.2">
      <c r="B4" s="67" t="str">
        <f>CONCATENATE("Ведомость объемов работ ", IF(Source!AN15&lt;&gt;"", Source!AN15," "))</f>
        <v xml:space="preserve">Ведомость объемов работ  </v>
      </c>
      <c r="C4" s="67"/>
      <c r="D4" s="67"/>
      <c r="E4" s="67"/>
    </row>
    <row r="5" spans="1:8" ht="15" x14ac:dyDescent="0.2">
      <c r="B5" s="68" t="str">
        <f>CONCATENATE(Source!F12, " ", Source!G12)</f>
        <v xml:space="preserve"> 02-01-06 Отопление</v>
      </c>
      <c r="C5" s="68"/>
      <c r="D5" s="68"/>
      <c r="E5" s="68"/>
    </row>
    <row r="6" spans="1:8" hidden="1" x14ac:dyDescent="0.2"/>
    <row r="8" spans="1:8" ht="99.75" x14ac:dyDescent="0.2">
      <c r="A8" s="30" t="s">
        <v>640</v>
      </c>
      <c r="B8" s="30" t="s">
        <v>704</v>
      </c>
      <c r="C8" s="30" t="s">
        <v>642</v>
      </c>
      <c r="D8" s="30" t="s">
        <v>705</v>
      </c>
      <c r="E8" s="30" t="s">
        <v>706</v>
      </c>
      <c r="F8" s="30" t="s">
        <v>707</v>
      </c>
      <c r="G8" s="30" t="s">
        <v>708</v>
      </c>
      <c r="H8" s="30" t="s">
        <v>709</v>
      </c>
    </row>
    <row r="9" spans="1:8" ht="14.25" x14ac:dyDescent="0.2">
      <c r="A9" s="30">
        <v>1</v>
      </c>
      <c r="B9" s="30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</row>
    <row r="10" spans="1:8" ht="16.5" x14ac:dyDescent="0.25">
      <c r="A10" s="69" t="str">
        <f>CONCATENATE("Локальная смета: ", Source!G20)</f>
        <v>Локальная смета: Отопление</v>
      </c>
      <c r="B10" s="69"/>
      <c r="C10" s="69"/>
      <c r="D10" s="69"/>
      <c r="E10" s="69"/>
      <c r="F10" s="69"/>
      <c r="G10" s="69"/>
      <c r="H10" s="69"/>
    </row>
    <row r="11" spans="1:8" ht="16.5" x14ac:dyDescent="0.25">
      <c r="A11" s="69" t="str">
        <f>CONCATENATE("Раздел: ", Source!G24)</f>
        <v>Раздел: Конвекторы</v>
      </c>
      <c r="B11" s="69"/>
      <c r="C11" s="69"/>
      <c r="D11" s="69"/>
      <c r="E11" s="69"/>
      <c r="F11" s="69"/>
      <c r="G11" s="69"/>
      <c r="H11" s="69"/>
    </row>
    <row r="12" spans="1:8" ht="28.5" x14ac:dyDescent="0.2">
      <c r="A12" s="30">
        <v>1</v>
      </c>
      <c r="B12" s="30" t="str">
        <f>Source!E28</f>
        <v>1</v>
      </c>
      <c r="C12" s="72" t="str">
        <f>Source!G28</f>
        <v>Монтаж приборов нагревательных, электрополотенце/прим. конвектор электрический настенный 1000 Вт</v>
      </c>
      <c r="D12" s="30" t="s">
        <v>21</v>
      </c>
      <c r="E12" s="73">
        <f>Source!I28</f>
        <v>3</v>
      </c>
      <c r="F12" s="30" t="str">
        <f>Source!U24</f>
        <v/>
      </c>
      <c r="G12" s="30" t="str">
        <f>"=1+"&amp;"2"</f>
        <v>=1+2</v>
      </c>
      <c r="H12" s="72"/>
    </row>
    <row r="13" spans="1:8" ht="28.5" x14ac:dyDescent="0.2">
      <c r="A13" s="30">
        <v>2</v>
      </c>
      <c r="B13" s="30" t="str">
        <f>Source!E30</f>
        <v>2</v>
      </c>
      <c r="C13" s="72" t="str">
        <f>Source!G30</f>
        <v>Конвектор электрический, номинальная мощность 0,5 кВт, для отопления жилых и промышленных помещений</v>
      </c>
      <c r="D13" s="30" t="s">
        <v>31</v>
      </c>
      <c r="E13" s="73">
        <f>Source!I30</f>
        <v>1</v>
      </c>
      <c r="F13" s="30" t="str">
        <f>Source!U24</f>
        <v/>
      </c>
      <c r="G13" s="30">
        <f>Source!I30</f>
        <v>1</v>
      </c>
      <c r="H13" s="72"/>
    </row>
    <row r="14" spans="1:8" ht="28.5" x14ac:dyDescent="0.2">
      <c r="A14" s="30">
        <v>3</v>
      </c>
      <c r="B14" s="30" t="str">
        <f>Source!E32</f>
        <v>3</v>
      </c>
      <c r="C14" s="72" t="str">
        <f>Source!G32</f>
        <v>Конвектор электрический, номинальная мощность 1 кВт, для отопления жилых и промышленных помещений</v>
      </c>
      <c r="D14" s="30" t="s">
        <v>31</v>
      </c>
      <c r="E14" s="73">
        <f>Source!I32</f>
        <v>2</v>
      </c>
      <c r="F14" s="30" t="str">
        <f>Source!U24</f>
        <v/>
      </c>
      <c r="G14" s="30">
        <f>Source!I32</f>
        <v>2</v>
      </c>
      <c r="H14" s="72"/>
    </row>
    <row r="15" spans="1:8" ht="16.5" x14ac:dyDescent="0.25">
      <c r="A15" s="69" t="str">
        <f>CONCATENATE("Раздел: ", Source!G65)</f>
        <v>Раздел: Радиаторы отопления</v>
      </c>
      <c r="B15" s="69"/>
      <c r="C15" s="69"/>
      <c r="D15" s="69"/>
      <c r="E15" s="69"/>
      <c r="F15" s="69"/>
      <c r="G15" s="69"/>
      <c r="H15" s="69"/>
    </row>
    <row r="16" spans="1:8" ht="28.5" x14ac:dyDescent="0.2">
      <c r="A16" s="30">
        <v>4</v>
      </c>
      <c r="B16" s="30" t="str">
        <f>Source!E69</f>
        <v>4</v>
      </c>
      <c r="C16" s="72" t="str">
        <f>Source!G69</f>
        <v>Установка радиаторов стальных панельных однорядных с креплением к стене длиной до 1600 мм</v>
      </c>
      <c r="D16" s="30" t="s">
        <v>96</v>
      </c>
      <c r="E16" s="73">
        <f>Source!I69</f>
        <v>0.36</v>
      </c>
      <c r="F16" s="30" t="str">
        <f>Source!U65</f>
        <v/>
      </c>
      <c r="G16" s="30" t="str">
        <f>"=(1+"&amp;"3+"&amp;"2+"&amp;"20+"&amp;"1+"&amp;"9)/"&amp;"100"</f>
        <v>=(1+3+2+20+1+9)/100</v>
      </c>
      <c r="H16" s="72"/>
    </row>
    <row r="17" spans="1:8" ht="28.5" x14ac:dyDescent="0.2">
      <c r="A17" s="30">
        <v>5</v>
      </c>
      <c r="B17" s="30" t="str">
        <f>Source!E71</f>
        <v>5</v>
      </c>
      <c r="C17" s="72" t="str">
        <f>Source!G71</f>
        <v>Радиатор стальной трубчатый GUARDO TORRE 3D, 400 мм (BK-VER-BLACK), черный  3D-400-350 (мощность 0,336 кВт)</v>
      </c>
      <c r="D17" s="30" t="s">
        <v>107</v>
      </c>
      <c r="E17" s="73">
        <f>Source!I71</f>
        <v>1</v>
      </c>
      <c r="F17" s="30" t="str">
        <f>Source!U65</f>
        <v/>
      </c>
      <c r="G17" s="30">
        <f>Source!I71</f>
        <v>1</v>
      </c>
      <c r="H17" s="72"/>
    </row>
    <row r="18" spans="1:8" ht="28.5" x14ac:dyDescent="0.2">
      <c r="A18" s="30">
        <v>6</v>
      </c>
      <c r="B18" s="30" t="str">
        <f>Source!E73</f>
        <v>6</v>
      </c>
      <c r="C18" s="72" t="str">
        <f>Source!G73</f>
        <v>Радиатор стальной трубчатый GUARDO TORRE 3D, 400 мм (BK-VER-BLACK), черный  3D-400-750  (мощность 0,663 кВт)</v>
      </c>
      <c r="D18" s="30" t="s">
        <v>107</v>
      </c>
      <c r="E18" s="73">
        <f>Source!I73</f>
        <v>3</v>
      </c>
      <c r="F18" s="30" t="str">
        <f>Source!U65</f>
        <v/>
      </c>
      <c r="G18" s="30">
        <f>Source!I73</f>
        <v>3</v>
      </c>
      <c r="H18" s="72"/>
    </row>
    <row r="19" spans="1:8" ht="28.5" x14ac:dyDescent="0.2">
      <c r="A19" s="30">
        <v>7</v>
      </c>
      <c r="B19" s="30" t="str">
        <f>Source!E75</f>
        <v>7</v>
      </c>
      <c r="C19" s="72" t="str">
        <f>Source!G75</f>
        <v>Радиатор стальной трубчатый GUARDO TORRE 3D, 400 мм (BK-VER-WHITE), белый   3D-400-1650  (мощность 1,330 кВт)</v>
      </c>
      <c r="D19" s="30" t="s">
        <v>107</v>
      </c>
      <c r="E19" s="73">
        <f>Source!I75</f>
        <v>2</v>
      </c>
      <c r="F19" s="30" t="str">
        <f>Source!U65</f>
        <v/>
      </c>
      <c r="G19" s="30">
        <f>Source!I75</f>
        <v>2</v>
      </c>
      <c r="H19" s="72"/>
    </row>
    <row r="20" spans="1:8" ht="28.5" x14ac:dyDescent="0.2">
      <c r="A20" s="30">
        <v>8</v>
      </c>
      <c r="B20" s="30" t="str">
        <f>Source!E77</f>
        <v>8</v>
      </c>
      <c r="C20" s="72" t="str">
        <f>Source!G77</f>
        <v>Радиатор стальной трубчатый GUARDO TORRE 3D, 400 мм (BK-VER-WHITE), белый  3D-400-1950  (мощность 1,552 кВт)</v>
      </c>
      <c r="D20" s="30" t="s">
        <v>107</v>
      </c>
      <c r="E20" s="73">
        <f>Source!I77</f>
        <v>20</v>
      </c>
      <c r="F20" s="30" t="str">
        <f>Source!U65</f>
        <v/>
      </c>
      <c r="G20" s="30">
        <f>Source!I77</f>
        <v>20</v>
      </c>
      <c r="H20" s="72"/>
    </row>
    <row r="21" spans="1:8" ht="28.5" x14ac:dyDescent="0.2">
      <c r="A21" s="30">
        <v>9</v>
      </c>
      <c r="B21" s="30" t="str">
        <f>Source!E79</f>
        <v>9</v>
      </c>
      <c r="C21" s="72" t="str">
        <f>Source!G79</f>
        <v>Радиатор стальной трубчатый GUARDO TORRE 3D, 400 мм (BK-VER-WHITE), белый  3D-400-350 (мощность 0,336 к Вт)</v>
      </c>
      <c r="D21" s="30" t="s">
        <v>107</v>
      </c>
      <c r="E21" s="73">
        <f>Source!I79</f>
        <v>1</v>
      </c>
      <c r="F21" s="30" t="str">
        <f>Source!U65</f>
        <v/>
      </c>
      <c r="G21" s="30">
        <f>Source!I79</f>
        <v>1</v>
      </c>
      <c r="H21" s="72"/>
    </row>
    <row r="22" spans="1:8" ht="28.5" x14ac:dyDescent="0.2">
      <c r="A22" s="30">
        <v>10</v>
      </c>
      <c r="B22" s="30" t="str">
        <f>Source!E81</f>
        <v>10</v>
      </c>
      <c r="C22" s="72" t="str">
        <f>Source!G81</f>
        <v>Радиатор стальной трубчатый GUARDO TORRE 3D, 400 мм (BK-VER-WHITE), белый  3D-400-750 (мощность 0,663 кВт)</v>
      </c>
      <c r="D22" s="30" t="s">
        <v>107</v>
      </c>
      <c r="E22" s="73">
        <f>Source!I81</f>
        <v>9</v>
      </c>
      <c r="F22" s="30" t="str">
        <f>Source!U65</f>
        <v/>
      </c>
      <c r="G22" s="30">
        <f>Source!I81</f>
        <v>9</v>
      </c>
      <c r="H22" s="72"/>
    </row>
    <row r="23" spans="1:8" ht="28.5" x14ac:dyDescent="0.2">
      <c r="A23" s="30">
        <v>11</v>
      </c>
      <c r="B23" s="30" t="str">
        <f>Source!E83</f>
        <v>11</v>
      </c>
      <c r="C23" s="72" t="str">
        <f>Source!G83</f>
        <v>Установка радиаторов стальных панельных однорядных с креплением к стене длиной до 1600 мм</v>
      </c>
      <c r="D23" s="30" t="s">
        <v>96</v>
      </c>
      <c r="E23" s="73">
        <f>Source!I83</f>
        <v>0.1</v>
      </c>
      <c r="F23" s="30" t="str">
        <f>Source!U65</f>
        <v/>
      </c>
      <c r="G23" s="30" t="str">
        <f>"=(1+"&amp;"2+"&amp;"1+"&amp;"1+"&amp;"3+"&amp;"2)/"&amp;"100"</f>
        <v>=(1+2+1+1+3+2)/100</v>
      </c>
      <c r="H23" s="72"/>
    </row>
    <row r="24" spans="1:8" ht="28.5" x14ac:dyDescent="0.2">
      <c r="A24" s="30">
        <v>12</v>
      </c>
      <c r="B24" s="30" t="str">
        <f>Source!E85</f>
        <v>12</v>
      </c>
      <c r="C24" s="72" t="str">
        <f>Source!G85</f>
        <v>Стальной панельный радиатор, гигиеническое исполнение Royal Thermo H 20-0400-0400 (тепловая мощность 0,488 кВт)</v>
      </c>
      <c r="D24" s="30" t="s">
        <v>107</v>
      </c>
      <c r="E24" s="73">
        <f>Source!I85</f>
        <v>1</v>
      </c>
      <c r="F24" s="30" t="str">
        <f>Source!U65</f>
        <v/>
      </c>
      <c r="G24" s="30">
        <f>Source!I85</f>
        <v>1</v>
      </c>
      <c r="H24" s="72"/>
    </row>
    <row r="25" spans="1:8" ht="28.5" x14ac:dyDescent="0.2">
      <c r="A25" s="30">
        <v>13</v>
      </c>
      <c r="B25" s="30" t="str">
        <f>Source!E87</f>
        <v>13</v>
      </c>
      <c r="C25" s="72" t="str">
        <f>Source!G87</f>
        <v>Стальной панельный радиатор, гигиеническое исполнение Royal Thermо  H 20-0400-0600 (тепловая мощность  0,732 кВт)</v>
      </c>
      <c r="D25" s="30" t="s">
        <v>107</v>
      </c>
      <c r="E25" s="73">
        <f>Source!I87</f>
        <v>2</v>
      </c>
      <c r="F25" s="30" t="str">
        <f>Source!U65</f>
        <v/>
      </c>
      <c r="G25" s="30">
        <f>Source!I87</f>
        <v>2</v>
      </c>
      <c r="H25" s="72"/>
    </row>
    <row r="26" spans="1:8" ht="28.5" x14ac:dyDescent="0.2">
      <c r="A26" s="30">
        <v>14</v>
      </c>
      <c r="B26" s="30" t="str">
        <f>Source!E89</f>
        <v>14</v>
      </c>
      <c r="C26" s="72" t="str">
        <f>Source!G89</f>
        <v>Стальной панельный радиатор, гигиеническое исполнение Royal Thermо H 20-0400-0800 (тепловая мощность 0,9759 кВт)</v>
      </c>
      <c r="D26" s="30" t="s">
        <v>107</v>
      </c>
      <c r="E26" s="73">
        <f>Source!I89</f>
        <v>1</v>
      </c>
      <c r="F26" s="30" t="str">
        <f>Source!U65</f>
        <v/>
      </c>
      <c r="G26" s="30">
        <f>Source!I89</f>
        <v>1</v>
      </c>
      <c r="H26" s="72"/>
    </row>
    <row r="27" spans="1:8" ht="28.5" x14ac:dyDescent="0.2">
      <c r="A27" s="30">
        <v>15</v>
      </c>
      <c r="B27" s="30" t="str">
        <f>Source!E91</f>
        <v>15</v>
      </c>
      <c r="C27" s="72" t="str">
        <f>Source!G91</f>
        <v>Стальной панельный радиатор, гигиеническое исполнение Royal Thermо  H 20-0400-1000  (тепловая мощность1,2199 кВт)</v>
      </c>
      <c r="D27" s="30" t="s">
        <v>107</v>
      </c>
      <c r="E27" s="73">
        <f>Source!I91</f>
        <v>1</v>
      </c>
      <c r="F27" s="30" t="str">
        <f>Source!U65</f>
        <v/>
      </c>
      <c r="G27" s="30">
        <f>Source!I91</f>
        <v>1</v>
      </c>
      <c r="H27" s="72"/>
    </row>
    <row r="28" spans="1:8" ht="28.5" x14ac:dyDescent="0.2">
      <c r="A28" s="30">
        <v>16</v>
      </c>
      <c r="B28" s="30" t="str">
        <f>Source!E93</f>
        <v>16</v>
      </c>
      <c r="C28" s="72" t="str">
        <f>Source!G93</f>
        <v>Стальной панельный радиатор, гигиеническое исполнение Royal Thermо H 20-0400-1200 (тепловая мощность  1,4639 кВт)</v>
      </c>
      <c r="D28" s="30" t="s">
        <v>107</v>
      </c>
      <c r="E28" s="73">
        <f>Source!I93</f>
        <v>3</v>
      </c>
      <c r="F28" s="30" t="str">
        <f>Source!U65</f>
        <v/>
      </c>
      <c r="G28" s="30">
        <f>Source!I93</f>
        <v>3</v>
      </c>
      <c r="H28" s="72"/>
    </row>
    <row r="29" spans="1:8" ht="28.5" x14ac:dyDescent="0.2">
      <c r="A29" s="30">
        <v>17</v>
      </c>
      <c r="B29" s="30" t="str">
        <f>Source!E95</f>
        <v>17</v>
      </c>
      <c r="C29" s="72" t="str">
        <f>Source!G95</f>
        <v>Стальной панельный радиатор, гигиеническое исполнение Royal Thermо H 20-0400-1400 (тепловая мощность  1,7079 кВт)</v>
      </c>
      <c r="D29" s="30" t="s">
        <v>107</v>
      </c>
      <c r="E29" s="73">
        <f>Source!I95</f>
        <v>2</v>
      </c>
      <c r="F29" s="30" t="str">
        <f>Source!U65</f>
        <v/>
      </c>
      <c r="G29" s="30">
        <f>Source!I95</f>
        <v>2</v>
      </c>
      <c r="H29" s="72"/>
    </row>
    <row r="30" spans="1:8" ht="28.5" x14ac:dyDescent="0.2">
      <c r="A30" s="30">
        <v>18</v>
      </c>
      <c r="B30" s="30" t="str">
        <f>Source!E97</f>
        <v>18</v>
      </c>
      <c r="C30" s="72" t="str">
        <f>Source!G97</f>
        <v>Установка радиаторов стальных панельных однорядных с креплением к стене длиной до 1600 мм</v>
      </c>
      <c r="D30" s="30" t="s">
        <v>96</v>
      </c>
      <c r="E30" s="73">
        <f>Source!I97</f>
        <v>0.16</v>
      </c>
      <c r="F30" s="30" t="str">
        <f>Source!U65</f>
        <v/>
      </c>
      <c r="G30" s="30" t="str">
        <f>"=(1+"&amp;"5+"&amp;"8+"&amp;"2)/"&amp;"100"</f>
        <v>=(1+5+8+2)/100</v>
      </c>
      <c r="H30" s="72"/>
    </row>
    <row r="31" spans="1:8" ht="28.5" x14ac:dyDescent="0.2">
      <c r="A31" s="30">
        <v>19</v>
      </c>
      <c r="B31" s="30" t="str">
        <f>Source!E99</f>
        <v>19</v>
      </c>
      <c r="C31" s="72" t="str">
        <f>Source!G99</f>
        <v>Стальной панельный радиатор, гигиеническое исполнение Royal Thermо H 10-0400-0600 (тепловая мощность  0,4221 кВт)</v>
      </c>
      <c r="D31" s="30" t="s">
        <v>107</v>
      </c>
      <c r="E31" s="73">
        <f>Source!I99</f>
        <v>1</v>
      </c>
      <c r="F31" s="30" t="str">
        <f>Source!U65</f>
        <v/>
      </c>
      <c r="G31" s="30">
        <f>Source!I99</f>
        <v>1</v>
      </c>
      <c r="H31" s="72"/>
    </row>
    <row r="32" spans="1:8" ht="28.5" x14ac:dyDescent="0.2">
      <c r="A32" s="30">
        <v>20</v>
      </c>
      <c r="B32" s="30" t="str">
        <f>Source!E101</f>
        <v>20</v>
      </c>
      <c r="C32" s="72" t="str">
        <f>Source!G101</f>
        <v>Стальной панельный радиатор, гигиеническое исполнение Royal Thermо H 10-0400-1000 (тепловая мощность  0,7035 кВт)</v>
      </c>
      <c r="D32" s="30" t="s">
        <v>107</v>
      </c>
      <c r="E32" s="73">
        <f>Source!I101</f>
        <v>5</v>
      </c>
      <c r="F32" s="30" t="str">
        <f>Source!U65</f>
        <v/>
      </c>
      <c r="G32" s="30">
        <f>Source!I101</f>
        <v>5</v>
      </c>
      <c r="H32" s="72"/>
    </row>
    <row r="33" spans="1:8" ht="28.5" x14ac:dyDescent="0.2">
      <c r="A33" s="30">
        <v>21</v>
      </c>
      <c r="B33" s="30" t="str">
        <f>Source!E103</f>
        <v>21</v>
      </c>
      <c r="C33" s="72" t="str">
        <f>Source!G103</f>
        <v>Стальной панельный радиатор, гигиеническое исполнение Royal Thermо H 10-0400-1400 (тепловая мощность  0,9849 кВт)</v>
      </c>
      <c r="D33" s="30" t="s">
        <v>107</v>
      </c>
      <c r="E33" s="73">
        <f>Source!I103</f>
        <v>8</v>
      </c>
      <c r="F33" s="30" t="str">
        <f>Source!U65</f>
        <v/>
      </c>
      <c r="G33" s="30">
        <f>Source!I103</f>
        <v>8</v>
      </c>
      <c r="H33" s="72"/>
    </row>
    <row r="34" spans="1:8" ht="28.5" x14ac:dyDescent="0.2">
      <c r="A34" s="30">
        <v>22</v>
      </c>
      <c r="B34" s="30" t="str">
        <f>Source!E105</f>
        <v>22</v>
      </c>
      <c r="C34" s="72" t="str">
        <f>Source!G105</f>
        <v>Стальной панельный радиатор, гигиеническое исполнение Royal Thermо H 10-0400-1600 (тепловая мощность  1,1256 кВт)</v>
      </c>
      <c r="D34" s="30" t="s">
        <v>107</v>
      </c>
      <c r="E34" s="73">
        <f>Source!I105</f>
        <v>2</v>
      </c>
      <c r="F34" s="30" t="str">
        <f>Source!U65</f>
        <v/>
      </c>
      <c r="G34" s="30">
        <f>Source!I105</f>
        <v>2</v>
      </c>
      <c r="H34" s="72"/>
    </row>
    <row r="35" spans="1:8" ht="28.5" x14ac:dyDescent="0.2">
      <c r="A35" s="30">
        <v>23</v>
      </c>
      <c r="B35" s="30" t="str">
        <f>Source!E107</f>
        <v>23</v>
      </c>
      <c r="C35" s="72" t="str">
        <f>Source!G107</f>
        <v>Установка радиаторов стальных панельных однорядных с креплением к стене длиной до 1600 мм</v>
      </c>
      <c r="D35" s="30" t="s">
        <v>96</v>
      </c>
      <c r="E35" s="73">
        <f>Source!I107</f>
        <v>0.01</v>
      </c>
      <c r="F35" s="30" t="str">
        <f>Source!U65</f>
        <v/>
      </c>
      <c r="G35" s="30" t="str">
        <f>"=1/"&amp;"100"</f>
        <v>=1/100</v>
      </c>
      <c r="H35" s="72"/>
    </row>
    <row r="36" spans="1:8" ht="28.5" x14ac:dyDescent="0.2">
      <c r="A36" s="30">
        <v>24</v>
      </c>
      <c r="B36" s="30" t="str">
        <f>Source!E109</f>
        <v>24</v>
      </c>
      <c r="C36" s="72" t="str">
        <f>Source!G109</f>
        <v>Стальной панельный радиатор, гигиеническое исполнение Royal Thermо H 30-0400-0600 (тепловая мощность  1,019 кВт)</v>
      </c>
      <c r="D36" s="30" t="s">
        <v>107</v>
      </c>
      <c r="E36" s="73">
        <f>Source!I109</f>
        <v>1</v>
      </c>
      <c r="F36" s="30" t="str">
        <f>Source!U65</f>
        <v/>
      </c>
      <c r="G36" s="30">
        <f>Source!I109</f>
        <v>1</v>
      </c>
      <c r="H36" s="72"/>
    </row>
    <row r="37" spans="1:8" ht="28.5" x14ac:dyDescent="0.2">
      <c r="A37" s="30">
        <v>25</v>
      </c>
      <c r="B37" s="30" t="str">
        <f>Source!E111</f>
        <v>25</v>
      </c>
      <c r="C37" s="72" t="str">
        <f>Source!G111</f>
        <v>Установка радиаторов стальных панельных однорядных с креплением к стене длиной до 1600 мм</v>
      </c>
      <c r="D37" s="30" t="s">
        <v>96</v>
      </c>
      <c r="E37" s="73">
        <f>Source!I111</f>
        <v>1.44</v>
      </c>
      <c r="F37" s="30" t="str">
        <f>Source!U65</f>
        <v/>
      </c>
      <c r="G37" s="30" t="str">
        <f>"=(1+"&amp;"43+"&amp;"87+"&amp;"13)/"&amp;"100"</f>
        <v>=(1+43+87+13)/100</v>
      </c>
      <c r="H37" s="72"/>
    </row>
    <row r="38" spans="1:8" ht="28.5" x14ac:dyDescent="0.2">
      <c r="A38" s="30">
        <v>26</v>
      </c>
      <c r="B38" s="30" t="str">
        <f>Source!E113</f>
        <v>26</v>
      </c>
      <c r="C38" s="72" t="str">
        <f>Source!G113</f>
        <v>Стальной панельный радиатор боковое подключение Royal Thermо С 11-0400-1000 (тепловая мощность  0,9956 кВт)</v>
      </c>
      <c r="D38" s="30" t="s">
        <v>107</v>
      </c>
      <c r="E38" s="73">
        <f>Source!I113</f>
        <v>1</v>
      </c>
      <c r="F38" s="30" t="str">
        <f>Source!U65</f>
        <v/>
      </c>
      <c r="G38" s="30">
        <f>Source!I113</f>
        <v>1</v>
      </c>
      <c r="H38" s="72"/>
    </row>
    <row r="39" spans="1:8" ht="28.5" x14ac:dyDescent="0.2">
      <c r="A39" s="30">
        <v>27</v>
      </c>
      <c r="B39" s="30" t="str">
        <f>Source!E115</f>
        <v>27</v>
      </c>
      <c r="C39" s="72" t="str">
        <f>Source!G115</f>
        <v>Стальной панельный радиатор боковое подключение Royal Thermо С 11-0400-1200 (тепловая мощность 1.1948 кВт)</v>
      </c>
      <c r="D39" s="30" t="s">
        <v>107</v>
      </c>
      <c r="E39" s="73">
        <f>Source!I115</f>
        <v>43</v>
      </c>
      <c r="F39" s="30" t="str">
        <f>Source!U65</f>
        <v/>
      </c>
      <c r="G39" s="30">
        <f>Source!I115</f>
        <v>43</v>
      </c>
      <c r="H39" s="72"/>
    </row>
    <row r="40" spans="1:8" ht="28.5" x14ac:dyDescent="0.2">
      <c r="A40" s="30">
        <v>28</v>
      </c>
      <c r="B40" s="30" t="str">
        <f>Source!E117</f>
        <v>28</v>
      </c>
      <c r="C40" s="72" t="str">
        <f>Source!G117</f>
        <v>Стальной панельный радиатор боковое подключение Royal Thermо С 11-0400-1400 (тепловая мощность 1.3939 кВт)</v>
      </c>
      <c r="D40" s="30" t="s">
        <v>107</v>
      </c>
      <c r="E40" s="73">
        <f>Source!I117</f>
        <v>87</v>
      </c>
      <c r="F40" s="30" t="str">
        <f>Source!U65</f>
        <v/>
      </c>
      <c r="G40" s="30">
        <f>Source!I117</f>
        <v>87</v>
      </c>
      <c r="H40" s="72"/>
    </row>
    <row r="41" spans="1:8" ht="28.5" x14ac:dyDescent="0.2">
      <c r="A41" s="30">
        <v>29</v>
      </c>
      <c r="B41" s="30" t="str">
        <f>Source!E119</f>
        <v>29</v>
      </c>
      <c r="C41" s="72" t="str">
        <f>Source!G119</f>
        <v>Стальной панельный радиатор боковое подключение Royal Thermо С 11-0400-1600 (тепловая мощность 1.593 кВт)</v>
      </c>
      <c r="D41" s="30" t="s">
        <v>107</v>
      </c>
      <c r="E41" s="73">
        <f>Source!I119</f>
        <v>13</v>
      </c>
      <c r="F41" s="30" t="str">
        <f>Source!U65</f>
        <v/>
      </c>
      <c r="G41" s="30">
        <f>Source!I119</f>
        <v>13</v>
      </c>
      <c r="H41" s="72"/>
    </row>
    <row r="42" spans="1:8" ht="28.5" x14ac:dyDescent="0.2">
      <c r="A42" s="30">
        <v>30</v>
      </c>
      <c r="B42" s="30" t="str">
        <f>Source!E121</f>
        <v>30</v>
      </c>
      <c r="C42" s="72" t="str">
        <f>Source!G121</f>
        <v>Установка радиаторов стальных панельных однорядных с креплением к стене длиной свыше 1600 до 2000 мм</v>
      </c>
      <c r="D42" s="30" t="s">
        <v>96</v>
      </c>
      <c r="E42" s="73">
        <f>Source!I121</f>
        <v>0.7</v>
      </c>
      <c r="F42" s="30" t="str">
        <f>Source!U65</f>
        <v/>
      </c>
      <c r="G42" s="30" t="str">
        <f>"=70/"&amp;"100"</f>
        <v>=70/100</v>
      </c>
      <c r="H42" s="72"/>
    </row>
    <row r="43" spans="1:8" ht="28.5" x14ac:dyDescent="0.2">
      <c r="A43" s="30">
        <v>31</v>
      </c>
      <c r="B43" s="30" t="str">
        <f>Source!E123</f>
        <v>31</v>
      </c>
      <c r="C43" s="72" t="str">
        <f>Source!G123</f>
        <v>Стальной панельный радиатор боковое подключение Royal Thermо С 11-0400-1800 (тепловая мощность 1.7922 кВт)</v>
      </c>
      <c r="D43" s="30" t="s">
        <v>107</v>
      </c>
      <c r="E43" s="73">
        <f>Source!I123</f>
        <v>70</v>
      </c>
      <c r="F43" s="30" t="str">
        <f>Source!U65</f>
        <v/>
      </c>
      <c r="G43" s="30">
        <f>Source!I123</f>
        <v>70</v>
      </c>
      <c r="H43" s="72"/>
    </row>
    <row r="44" spans="1:8" ht="28.5" x14ac:dyDescent="0.2">
      <c r="A44" s="30">
        <v>32</v>
      </c>
      <c r="B44" s="30" t="str">
        <f>Source!E125</f>
        <v>32</v>
      </c>
      <c r="C44" s="72" t="str">
        <f>Source!G125</f>
        <v>Установка радиаторов стальных панельных однорядных с креплением к стене длиной до 1600 мм</v>
      </c>
      <c r="D44" s="30" t="s">
        <v>96</v>
      </c>
      <c r="E44" s="73">
        <f>Source!I125</f>
        <v>0.08</v>
      </c>
      <c r="F44" s="30" t="str">
        <f>Source!U65</f>
        <v/>
      </c>
      <c r="G44" s="30" t="str">
        <f>"=(1+"&amp;"1+"&amp;"4+"&amp;"2)/"&amp;"100"</f>
        <v>=(1+1+4+2)/100</v>
      </c>
      <c r="H44" s="72"/>
    </row>
    <row r="45" spans="1:8" ht="42.75" x14ac:dyDescent="0.2">
      <c r="A45" s="30">
        <v>33</v>
      </c>
      <c r="B45" s="30" t="str">
        <f>Source!E127</f>
        <v>33</v>
      </c>
      <c r="C45" s="72" t="str">
        <f>Source!G127</f>
        <v>Радиатор отопительный, стальной, панельный, ГОСТ 31311, с боковым подключением, типа 21 K, высота 400 мм, длина 800 мм, теплоотдача 1291 Вт</v>
      </c>
      <c r="D45" s="30" t="s">
        <v>31</v>
      </c>
      <c r="E45" s="73">
        <f>Source!I127</f>
        <v>1</v>
      </c>
      <c r="F45" s="30" t="str">
        <f>Source!U65</f>
        <v/>
      </c>
      <c r="G45" s="30">
        <f>Source!I127</f>
        <v>1</v>
      </c>
      <c r="H45" s="72"/>
    </row>
    <row r="46" spans="1:8" ht="42.75" x14ac:dyDescent="0.2">
      <c r="A46" s="30">
        <v>34</v>
      </c>
      <c r="B46" s="30" t="str">
        <f>Source!E129</f>
        <v>34</v>
      </c>
      <c r="C46" s="72" t="str">
        <f>Source!G129</f>
        <v>Радиатор отопительный, стальной, панельный, ГОСТ 31311, с боковым подключением, типа 21 K, высота 400 мм, длина 1200 мм, теплоотдача 1936 Вт</v>
      </c>
      <c r="D46" s="30" t="s">
        <v>31</v>
      </c>
      <c r="E46" s="73">
        <f>Source!I129</f>
        <v>1</v>
      </c>
      <c r="F46" s="30" t="str">
        <f>Source!U65</f>
        <v/>
      </c>
      <c r="G46" s="30">
        <f>Source!I129</f>
        <v>1</v>
      </c>
      <c r="H46" s="72"/>
    </row>
    <row r="47" spans="1:8" ht="42.75" x14ac:dyDescent="0.2">
      <c r="A47" s="30">
        <v>35</v>
      </c>
      <c r="B47" s="30" t="str">
        <f>Source!E131</f>
        <v>35</v>
      </c>
      <c r="C47" s="72" t="str">
        <f>Source!G131</f>
        <v>Радиатор отопительный, стальной, панельный, ГОСТ 31311, с боковым подключением, типа 21 K, высота 400 мм, длина 1400 мм, теплоотдача 2259 Вт</v>
      </c>
      <c r="D47" s="30" t="s">
        <v>31</v>
      </c>
      <c r="E47" s="73">
        <f>Source!I131</f>
        <v>4</v>
      </c>
      <c r="F47" s="30" t="str">
        <f>Source!U65</f>
        <v/>
      </c>
      <c r="G47" s="30">
        <f>Source!I131</f>
        <v>4</v>
      </c>
      <c r="H47" s="72"/>
    </row>
    <row r="48" spans="1:8" ht="42.75" x14ac:dyDescent="0.2">
      <c r="A48" s="30">
        <v>36</v>
      </c>
      <c r="B48" s="30" t="str">
        <f>Source!E133</f>
        <v>36</v>
      </c>
      <c r="C48" s="72" t="str">
        <f>Source!G133</f>
        <v>Радиатор отопительный, стальной, панельный, ГОСТ 31311, с боковым подключением, типа 21 K, высота 400 мм, длина 1600 мм, теплоотдача 2582 Вт</v>
      </c>
      <c r="D48" s="30" t="s">
        <v>31</v>
      </c>
      <c r="E48" s="73">
        <f>Source!I133</f>
        <v>2</v>
      </c>
      <c r="F48" s="30" t="str">
        <f>Source!U65</f>
        <v/>
      </c>
      <c r="G48" s="30">
        <f>Source!I133</f>
        <v>2</v>
      </c>
      <c r="H48" s="72"/>
    </row>
    <row r="49" spans="1:8" ht="28.5" x14ac:dyDescent="0.2">
      <c r="A49" s="30">
        <v>37</v>
      </c>
      <c r="B49" s="30" t="str">
        <f>Source!E135</f>
        <v>37</v>
      </c>
      <c r="C49" s="72" t="str">
        <f>Source!G135</f>
        <v>Установка радиаторов стальных панельных однорядных с креплением к стене длиной свыше 1600 до 2000 мм</v>
      </c>
      <c r="D49" s="30" t="s">
        <v>96</v>
      </c>
      <c r="E49" s="73">
        <f>Source!I135</f>
        <v>0.1</v>
      </c>
      <c r="F49" s="30" t="str">
        <f>Source!U65</f>
        <v/>
      </c>
      <c r="G49" s="30" t="str">
        <f>"=(6+"&amp;"4)/"&amp;"100"</f>
        <v>=(6+4)/100</v>
      </c>
      <c r="H49" s="72"/>
    </row>
    <row r="50" spans="1:8" ht="42.75" x14ac:dyDescent="0.2">
      <c r="A50" s="30">
        <v>38</v>
      </c>
      <c r="B50" s="30" t="str">
        <f>Source!E137</f>
        <v>38</v>
      </c>
      <c r="C50" s="72" t="str">
        <f>Source!G137</f>
        <v>Радиатор отопительный, стальной, панельный, ГОСТ 31311, с боковым подключением, типа 21 K, высота 400 мм, длина 1800 мм, теплоотдача 2905 Вт</v>
      </c>
      <c r="D50" s="30" t="s">
        <v>31</v>
      </c>
      <c r="E50" s="73">
        <f>Source!I137</f>
        <v>6</v>
      </c>
      <c r="F50" s="30" t="str">
        <f>Source!U65</f>
        <v/>
      </c>
      <c r="G50" s="30">
        <f>Source!I137</f>
        <v>6</v>
      </c>
      <c r="H50" s="72"/>
    </row>
    <row r="51" spans="1:8" ht="28.5" x14ac:dyDescent="0.2">
      <c r="A51" s="30">
        <v>39</v>
      </c>
      <c r="B51" s="30" t="str">
        <f>Source!E139</f>
        <v>39</v>
      </c>
      <c r="C51" s="72" t="str">
        <f>Source!G139</f>
        <v>Стальной панельный радиатор боковое подключение Royal Thermо С 21-0400-2000 (тепловая мощность 2,8201 кВт)</v>
      </c>
      <c r="D51" s="30" t="s">
        <v>107</v>
      </c>
      <c r="E51" s="73">
        <f>Source!I139</f>
        <v>4</v>
      </c>
      <c r="F51" s="30" t="str">
        <f>Source!U65</f>
        <v/>
      </c>
      <c r="G51" s="30">
        <f>Source!I139</f>
        <v>4</v>
      </c>
      <c r="H51" s="72"/>
    </row>
    <row r="52" spans="1:8" ht="28.5" x14ac:dyDescent="0.2">
      <c r="A52" s="30">
        <v>40</v>
      </c>
      <c r="B52" s="30" t="str">
        <f>Source!E141</f>
        <v>40</v>
      </c>
      <c r="C52" s="72" t="str">
        <f>Source!G141</f>
        <v>Установка радиаторов стальных панельных однорядных с креплением к стене длиной до 1600 мм</v>
      </c>
      <c r="D52" s="30" t="s">
        <v>96</v>
      </c>
      <c r="E52" s="73">
        <f>Source!I141</f>
        <v>0.19</v>
      </c>
      <c r="F52" s="30" t="str">
        <f>Source!U65</f>
        <v/>
      </c>
      <c r="G52" s="30" t="str">
        <f>"=(2+"&amp;"17)/"&amp;"100"</f>
        <v>=(2+17)/100</v>
      </c>
      <c r="H52" s="72"/>
    </row>
    <row r="53" spans="1:8" ht="42.75" x14ac:dyDescent="0.2">
      <c r="A53" s="30">
        <v>41</v>
      </c>
      <c r="B53" s="30" t="str">
        <f>Source!E143</f>
        <v>41</v>
      </c>
      <c r="C53" s="72" t="str">
        <f>Source!G143</f>
        <v>Радиатор отопительный, стальной, панельный, ГОСТ 31311, с боковым подключением, типа 22 K, высота 400 мм, длина 800 мм, теплоотдача 1683 Вт</v>
      </c>
      <c r="D53" s="30" t="s">
        <v>31</v>
      </c>
      <c r="E53" s="73">
        <f>Source!I143</f>
        <v>2</v>
      </c>
      <c r="F53" s="30" t="str">
        <f>Source!U65</f>
        <v/>
      </c>
      <c r="G53" s="30">
        <f>Source!I143</f>
        <v>2</v>
      </c>
      <c r="H53" s="72"/>
    </row>
    <row r="54" spans="1:8" ht="42.75" x14ac:dyDescent="0.2">
      <c r="A54" s="30">
        <v>42</v>
      </c>
      <c r="B54" s="30" t="str">
        <f>Source!E145</f>
        <v>42</v>
      </c>
      <c r="C54" s="72" t="str">
        <f>Source!G145</f>
        <v>Радиатор отопительный, стальной, панельный, ГОСТ 31311, с боковым подключением, типа 22 K, высота 400 мм, длина 1600 мм, теплоотдача 3366 Вт</v>
      </c>
      <c r="D54" s="30" t="s">
        <v>31</v>
      </c>
      <c r="E54" s="73">
        <f>Source!I145</f>
        <v>17</v>
      </c>
      <c r="F54" s="30" t="str">
        <f>Source!U65</f>
        <v/>
      </c>
      <c r="G54" s="30">
        <f>Source!I145</f>
        <v>17</v>
      </c>
      <c r="H54" s="72"/>
    </row>
    <row r="55" spans="1:8" ht="28.5" x14ac:dyDescent="0.2">
      <c r="A55" s="30">
        <v>43</v>
      </c>
      <c r="B55" s="30" t="str">
        <f>Source!E147</f>
        <v>43</v>
      </c>
      <c r="C55" s="72" t="str">
        <f>Source!G147</f>
        <v>Установка радиаторов стальных панельных однорядных с креплением к стене длиной свыше 1600 до 2000 мм</v>
      </c>
      <c r="D55" s="30" t="s">
        <v>96</v>
      </c>
      <c r="E55" s="73">
        <f>Source!I147</f>
        <v>0.02</v>
      </c>
      <c r="F55" s="30" t="str">
        <f>Source!U65</f>
        <v/>
      </c>
      <c r="G55" s="30" t="str">
        <f>"=(2)/"&amp;"100"</f>
        <v>=(2)/100</v>
      </c>
      <c r="H55" s="72"/>
    </row>
    <row r="56" spans="1:8" ht="42.75" x14ac:dyDescent="0.2">
      <c r="A56" s="30">
        <v>44</v>
      </c>
      <c r="B56" s="30" t="str">
        <f>Source!E149</f>
        <v>44</v>
      </c>
      <c r="C56" s="72" t="str">
        <f>Source!G149</f>
        <v>Радиатор отопительный, стальной, панельный, ГОСТ 31311, с боковым подключением, типа 22 K, высота 400 мм, длина 1800 мм, теплоотдача 3787 Вт</v>
      </c>
      <c r="D56" s="30" t="s">
        <v>31</v>
      </c>
      <c r="E56" s="73">
        <f>Source!I149</f>
        <v>2</v>
      </c>
      <c r="F56" s="30" t="str">
        <f>Source!U65</f>
        <v/>
      </c>
      <c r="G56" s="30">
        <f>Source!I149</f>
        <v>2</v>
      </c>
      <c r="H56" s="72"/>
    </row>
    <row r="57" spans="1:8" ht="28.5" x14ac:dyDescent="0.2">
      <c r="A57" s="30">
        <v>45</v>
      </c>
      <c r="B57" s="30" t="str">
        <f>Source!E151</f>
        <v>45</v>
      </c>
      <c r="C57" s="72" t="str">
        <f>Source!G151</f>
        <v>Установка радиаторов стальных панельных однорядных с креплением к стене длиной до 1600 мм</v>
      </c>
      <c r="D57" s="30" t="s">
        <v>96</v>
      </c>
      <c r="E57" s="73">
        <f>Source!I151</f>
        <v>0.31</v>
      </c>
      <c r="F57" s="30" t="str">
        <f>Source!U65</f>
        <v/>
      </c>
      <c r="G57" s="30" t="str">
        <f>"=(1+"&amp;"5+"&amp;"13+"&amp;"12)/"&amp;"100"</f>
        <v>=(1+5+13+12)/100</v>
      </c>
      <c r="H57" s="72"/>
    </row>
    <row r="58" spans="1:8" ht="28.5" x14ac:dyDescent="0.2">
      <c r="A58" s="30">
        <v>46</v>
      </c>
      <c r="B58" s="30" t="str">
        <f>Source!E153</f>
        <v>46</v>
      </c>
      <c r="C58" s="72" t="str">
        <f>Source!G153</f>
        <v>Стальной панельный радиатор боковое подключение Royal Thermо С 33-0400-0400 (тепловая мощность 1,0383 кВт)</v>
      </c>
      <c r="D58" s="30" t="s">
        <v>107</v>
      </c>
      <c r="E58" s="73">
        <f>Source!I153</f>
        <v>1</v>
      </c>
      <c r="F58" s="30" t="str">
        <f>Source!U65</f>
        <v/>
      </c>
      <c r="G58" s="30">
        <f>Source!I153</f>
        <v>1</v>
      </c>
      <c r="H58" s="72"/>
    </row>
    <row r="59" spans="1:8" ht="28.5" x14ac:dyDescent="0.2">
      <c r="A59" s="30">
        <v>47</v>
      </c>
      <c r="B59" s="30" t="str">
        <f>Source!E155</f>
        <v>47</v>
      </c>
      <c r="C59" s="72" t="str">
        <f>Source!G155</f>
        <v>Стальной панельный радиатор боковое подключение Royal Thermо С 33-0400-0600 (тепловая мощность 1,5575 кВт)</v>
      </c>
      <c r="D59" s="30" t="s">
        <v>107</v>
      </c>
      <c r="E59" s="73">
        <f>Source!I155</f>
        <v>5</v>
      </c>
      <c r="F59" s="30" t="str">
        <f>Source!U65</f>
        <v/>
      </c>
      <c r="G59" s="30">
        <f>Source!I155</f>
        <v>5</v>
      </c>
      <c r="H59" s="72"/>
    </row>
    <row r="60" spans="1:8" ht="42.75" x14ac:dyDescent="0.2">
      <c r="A60" s="30">
        <v>48</v>
      </c>
      <c r="B60" s="30" t="str">
        <f>Source!E157</f>
        <v>48</v>
      </c>
      <c r="C60" s="72" t="str">
        <f>Source!G157</f>
        <v>Радиатор отопительный, стальной, панельный, ГОСТ 31311, с боковым подключением, типа 33 K, высота 400 мм, длина 800 мм, теплоотдача 2405 Вт</v>
      </c>
      <c r="D60" s="30" t="s">
        <v>31</v>
      </c>
      <c r="E60" s="73">
        <f>Source!I157</f>
        <v>13</v>
      </c>
      <c r="F60" s="30" t="str">
        <f>Source!U65</f>
        <v/>
      </c>
      <c r="G60" s="30">
        <f>Source!I157</f>
        <v>13</v>
      </c>
      <c r="H60" s="72"/>
    </row>
    <row r="61" spans="1:8" ht="42.75" x14ac:dyDescent="0.2">
      <c r="A61" s="30">
        <v>49</v>
      </c>
      <c r="B61" s="30" t="str">
        <f>Source!E159</f>
        <v>49</v>
      </c>
      <c r="C61" s="72" t="str">
        <f>Source!G159</f>
        <v>Радиатор отопительный, стальной, панельный, ГОСТ 31311, с боковым подключением, типа 33 K, высота 400 мм, длина 1000 мм, теплоотдача 3006 Вт</v>
      </c>
      <c r="D61" s="30" t="s">
        <v>31</v>
      </c>
      <c r="E61" s="73">
        <f>Source!I159</f>
        <v>12</v>
      </c>
      <c r="F61" s="30" t="str">
        <f>Source!U65</f>
        <v/>
      </c>
      <c r="G61" s="30">
        <f>Source!I159</f>
        <v>12</v>
      </c>
      <c r="H61" s="72"/>
    </row>
    <row r="62" spans="1:8" ht="28.5" x14ac:dyDescent="0.2">
      <c r="A62" s="30">
        <v>50</v>
      </c>
      <c r="B62" s="30" t="str">
        <f>Source!E162</f>
        <v>50</v>
      </c>
      <c r="C62" s="72" t="str">
        <f>Source!G162</f>
        <v>Комплект KIT 1/2" (футорки 1/2" - 4 шт., возд. 1/2", загл. 1/2", ключ для воздух)</v>
      </c>
      <c r="D62" s="30" t="s">
        <v>107</v>
      </c>
      <c r="E62" s="73">
        <f>Source!I162</f>
        <v>347</v>
      </c>
      <c r="F62" s="30" t="str">
        <f>Source!U65</f>
        <v/>
      </c>
      <c r="G62" s="30">
        <f>Source!I162</f>
        <v>347</v>
      </c>
      <c r="H62" s="72"/>
    </row>
    <row r="63" spans="1:8" ht="14.25" x14ac:dyDescent="0.2">
      <c r="A63" s="30">
        <v>51</v>
      </c>
      <c r="B63" s="30" t="str">
        <f>Source!E165</f>
        <v>51</v>
      </c>
      <c r="C63" s="72" t="str">
        <f>Source!G165</f>
        <v>Установка терморегулирующих клапанов на отопительных приборах</v>
      </c>
      <c r="D63" s="30" t="s">
        <v>96</v>
      </c>
      <c r="E63" s="73">
        <f>Source!I165</f>
        <v>3.47</v>
      </c>
      <c r="F63" s="30" t="str">
        <f>Source!U65</f>
        <v/>
      </c>
      <c r="G63" s="30" t="str">
        <f>"=347/"&amp;"100"</f>
        <v>=347/100</v>
      </c>
      <c r="H63" s="72"/>
    </row>
    <row r="64" spans="1:8" ht="14.25" x14ac:dyDescent="0.2">
      <c r="A64" s="30">
        <v>52</v>
      </c>
      <c r="B64" s="30" t="str">
        <f>Source!E171</f>
        <v>52</v>
      </c>
      <c r="C64" s="72" t="str">
        <f>Source!G171</f>
        <v>Установка прибора на резьбовых соединениях</v>
      </c>
      <c r="D64" s="30" t="s">
        <v>21</v>
      </c>
      <c r="E64" s="73">
        <f>Source!I171</f>
        <v>347</v>
      </c>
      <c r="F64" s="30" t="str">
        <f>Source!U65</f>
        <v/>
      </c>
      <c r="G64" s="30">
        <f>Source!I171</f>
        <v>347</v>
      </c>
      <c r="H64" s="72"/>
    </row>
    <row r="65" spans="1:8" ht="16.5" x14ac:dyDescent="0.25">
      <c r="A65" s="69" t="str">
        <f>CONCATENATE("Раздел: ", Source!G206)</f>
        <v>Раздел: Арматура трубопроводная</v>
      </c>
      <c r="B65" s="69"/>
      <c r="C65" s="69"/>
      <c r="D65" s="69"/>
      <c r="E65" s="69"/>
      <c r="F65" s="69"/>
      <c r="G65" s="69"/>
      <c r="H65" s="69"/>
    </row>
    <row r="66" spans="1:8" ht="57" x14ac:dyDescent="0.2">
      <c r="A66" s="30">
        <v>53</v>
      </c>
      <c r="B66" s="30" t="str">
        <f>Source!E210</f>
        <v>53</v>
      </c>
      <c r="C66" s="72" t="str">
        <f>Source!G210</f>
        <v>Кран шаровой, латунный, никелированный, запорный, полнопроходной, со спускным элементом, с алюминиевой ручкой, муфтовый, температура рабочей среды от -15 до +110°С, пропускная способность 28 м3/ч, номинальное давление PN 4,0 МПа, номинальный диаметр DN 20 мм</v>
      </c>
      <c r="D66" s="30" t="s">
        <v>31</v>
      </c>
      <c r="E66" s="73">
        <f>Source!I210</f>
        <v>120</v>
      </c>
      <c r="F66" s="30" t="str">
        <f>Source!U206</f>
        <v/>
      </c>
      <c r="G66" s="30">
        <f>Source!I210</f>
        <v>120</v>
      </c>
      <c r="H66" s="72"/>
    </row>
    <row r="67" spans="1:8" ht="14.25" x14ac:dyDescent="0.2">
      <c r="A67" s="30">
        <v>54</v>
      </c>
      <c r="B67" s="30" t="str">
        <f>Source!E212</f>
        <v>54</v>
      </c>
      <c r="C67" s="72" t="str">
        <f>Source!G212</f>
        <v>Установка кранов воздушных</v>
      </c>
      <c r="D67" s="30" t="s">
        <v>300</v>
      </c>
      <c r="E67" s="73">
        <f>Source!I212</f>
        <v>20</v>
      </c>
      <c r="F67" s="30" t="str">
        <f>Source!U206</f>
        <v/>
      </c>
      <c r="G67" s="30">
        <f>Source!I212</f>
        <v>20</v>
      </c>
      <c r="H67" s="72"/>
    </row>
    <row r="68" spans="1:8" ht="28.5" x14ac:dyDescent="0.2">
      <c r="A68" s="30">
        <v>55</v>
      </c>
      <c r="B68" s="30" t="str">
        <f>Source!E218</f>
        <v>55</v>
      </c>
      <c r="C68" s="72" t="str">
        <f>Source!G218</f>
        <v>Кран шаровой, латунный, полнопроходной, муфтовый, 11б27п1, номинальное давление PN 1,6 МПа, номинальный диаметр DN 15 мм</v>
      </c>
      <c r="D68" s="30" t="s">
        <v>31</v>
      </c>
      <c r="E68" s="73">
        <f>Source!I218</f>
        <v>86</v>
      </c>
      <c r="F68" s="30" t="str">
        <f>Source!U206</f>
        <v/>
      </c>
      <c r="G68" s="30">
        <f>Source!I218</f>
        <v>86</v>
      </c>
      <c r="H68" s="72"/>
    </row>
    <row r="69" spans="1:8" ht="28.5" x14ac:dyDescent="0.2">
      <c r="A69" s="30">
        <v>56</v>
      </c>
      <c r="B69" s="30" t="str">
        <f>Source!E220</f>
        <v>56</v>
      </c>
      <c r="C69" s="72" t="str">
        <f>Source!G220</f>
        <v>Кран шаровой, латунный, полнопроходной, муфтовый, 11б27п1, номинальное давление PN 1,6 МПа, номинальный диаметр DN 20 мм</v>
      </c>
      <c r="D69" s="30" t="s">
        <v>31</v>
      </c>
      <c r="E69" s="73">
        <f>Source!I220</f>
        <v>10</v>
      </c>
      <c r="F69" s="30" t="str">
        <f>Source!U206</f>
        <v/>
      </c>
      <c r="G69" s="30">
        <f>Source!I220</f>
        <v>10</v>
      </c>
      <c r="H69" s="72"/>
    </row>
    <row r="70" spans="1:8" ht="28.5" x14ac:dyDescent="0.2">
      <c r="A70" s="30">
        <v>57</v>
      </c>
      <c r="B70" s="30" t="str">
        <f>Source!E222</f>
        <v>57</v>
      </c>
      <c r="C70" s="72" t="str">
        <f>Source!G222</f>
        <v>Кран шаровой, латунный, полнопроходной, муфтовый, 11б27п1, номинальное давление PN 1,6 МПа, номинальный диаметр DN 25 мм</v>
      </c>
      <c r="D70" s="30" t="s">
        <v>31</v>
      </c>
      <c r="E70" s="73">
        <f>Source!I222</f>
        <v>6</v>
      </c>
      <c r="F70" s="30" t="str">
        <f>Source!U206</f>
        <v/>
      </c>
      <c r="G70" s="30">
        <f>Source!I222</f>
        <v>6</v>
      </c>
      <c r="H70" s="72"/>
    </row>
    <row r="71" spans="1:8" ht="14.25" x14ac:dyDescent="0.2">
      <c r="A71" s="30">
        <v>58</v>
      </c>
      <c r="B71" s="30" t="str">
        <f>Source!E224</f>
        <v>58</v>
      </c>
      <c r="C71" s="72" t="str">
        <f>Source!G224</f>
        <v>Установка прибора на резьбовых соединениях</v>
      </c>
      <c r="D71" s="30" t="s">
        <v>21</v>
      </c>
      <c r="E71" s="73">
        <f>Source!I224</f>
        <v>45</v>
      </c>
      <c r="F71" s="30" t="str">
        <f>Source!U206</f>
        <v/>
      </c>
      <c r="G71" s="30">
        <f>Source!I224</f>
        <v>45</v>
      </c>
      <c r="H71" s="72"/>
    </row>
    <row r="72" spans="1:8" ht="14.25" x14ac:dyDescent="0.2">
      <c r="A72" s="30">
        <v>59</v>
      </c>
      <c r="B72" s="30" t="str">
        <f>Source!E226</f>
        <v>59</v>
      </c>
      <c r="C72" s="72" t="str">
        <f>Source!G226</f>
        <v>Регулятор перепада давления Dy15 APT-R 15</v>
      </c>
      <c r="D72" s="30" t="s">
        <v>107</v>
      </c>
      <c r="E72" s="73">
        <f>Source!I226</f>
        <v>45</v>
      </c>
      <c r="F72" s="30" t="str">
        <f>Source!U206</f>
        <v/>
      </c>
      <c r="G72" s="30">
        <f>Source!I226</f>
        <v>45</v>
      </c>
      <c r="H72" s="72"/>
    </row>
    <row r="73" spans="1:8" ht="57" x14ac:dyDescent="0.2">
      <c r="A73" s="30">
        <v>60</v>
      </c>
      <c r="B73" s="30" t="str">
        <f>Source!E228</f>
        <v>60</v>
      </c>
      <c r="C73" s="72" t="str">
        <f>Source!G228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1,6 м3/ч, номинальное давление PN 1,6 МПа, номинальный диаметр DN 15 мм</v>
      </c>
      <c r="D73" s="30" t="s">
        <v>31</v>
      </c>
      <c r="E73" s="73">
        <f>Source!I228</f>
        <v>45</v>
      </c>
      <c r="F73" s="30" t="str">
        <f>Source!U206</f>
        <v/>
      </c>
      <c r="G73" s="30">
        <f>Source!I228</f>
        <v>45</v>
      </c>
      <c r="H73" s="72"/>
    </row>
    <row r="74" spans="1:8" ht="14.25" x14ac:dyDescent="0.2">
      <c r="A74" s="30">
        <v>61</v>
      </c>
      <c r="B74" s="30" t="str">
        <f>Source!E230</f>
        <v>61</v>
      </c>
      <c r="C74" s="72" t="str">
        <f>Source!G230</f>
        <v>Установка прибора на резьбовых соединениях</v>
      </c>
      <c r="D74" s="30" t="s">
        <v>21</v>
      </c>
      <c r="E74" s="73">
        <f>Source!I230</f>
        <v>4</v>
      </c>
      <c r="F74" s="30" t="str">
        <f>Source!U206</f>
        <v/>
      </c>
      <c r="G74" s="30">
        <f>Source!I230</f>
        <v>4</v>
      </c>
      <c r="H74" s="72"/>
    </row>
    <row r="75" spans="1:8" ht="14.25" x14ac:dyDescent="0.2">
      <c r="A75" s="30">
        <v>62</v>
      </c>
      <c r="B75" s="30" t="str">
        <f>Source!E232</f>
        <v>62</v>
      </c>
      <c r="C75" s="72" t="str">
        <f>Source!G232</f>
        <v>Регулятор перепада давления Dy20 APT-R 20</v>
      </c>
      <c r="D75" s="30" t="s">
        <v>107</v>
      </c>
      <c r="E75" s="73">
        <f>Source!I232</f>
        <v>4</v>
      </c>
      <c r="F75" s="30" t="str">
        <f>Source!U206</f>
        <v/>
      </c>
      <c r="G75" s="30">
        <f>Source!I232</f>
        <v>4</v>
      </c>
      <c r="H75" s="72"/>
    </row>
    <row r="76" spans="1:8" ht="57" x14ac:dyDescent="0.2">
      <c r="A76" s="30">
        <v>63</v>
      </c>
      <c r="B76" s="30" t="str">
        <f>Source!E234</f>
        <v>63</v>
      </c>
      <c r="C76" s="72" t="str">
        <f>Source!G234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2,5 м3/ч, номинальное давление PN 1,6 МПа, номинальный диаметр DN 20 мм</v>
      </c>
      <c r="D76" s="30" t="s">
        <v>31</v>
      </c>
      <c r="E76" s="73">
        <f>Source!I234</f>
        <v>4</v>
      </c>
      <c r="F76" s="30" t="str">
        <f>Source!U206</f>
        <v/>
      </c>
      <c r="G76" s="30">
        <f>Source!I234</f>
        <v>4</v>
      </c>
      <c r="H76" s="72"/>
    </row>
    <row r="77" spans="1:8" ht="14.25" x14ac:dyDescent="0.2">
      <c r="A77" s="30">
        <v>64</v>
      </c>
      <c r="B77" s="30" t="str">
        <f>Source!E236</f>
        <v>64</v>
      </c>
      <c r="C77" s="72" t="str">
        <f>Source!G236</f>
        <v>Установка прибора на резьбовых соединениях</v>
      </c>
      <c r="D77" s="30" t="s">
        <v>21</v>
      </c>
      <c r="E77" s="73">
        <f>Source!I236</f>
        <v>3</v>
      </c>
      <c r="F77" s="30" t="str">
        <f>Source!U206</f>
        <v/>
      </c>
      <c r="G77" s="30">
        <f>Source!I236</f>
        <v>3</v>
      </c>
      <c r="H77" s="72"/>
    </row>
    <row r="78" spans="1:8" ht="57" x14ac:dyDescent="0.2">
      <c r="A78" s="30">
        <v>65</v>
      </c>
      <c r="B78" s="30" t="str">
        <f>Source!E240</f>
        <v>65</v>
      </c>
      <c r="C78" s="72" t="str">
        <f>Source!G240</f>
        <v>Клапан запорно-балансировочный, латунный, муфтовый, ручной, с измерительным ниппелем и дренажным краном, максимальная температура +120°С, пропускная способность 4,0 м3/ч, номинальное давление PN 1,6 МПа, номинальный диаметр DN 25 мм</v>
      </c>
      <c r="D78" s="30" t="s">
        <v>31</v>
      </c>
      <c r="E78" s="73">
        <f>Source!I240</f>
        <v>3</v>
      </c>
      <c r="F78" s="30" t="str">
        <f>Source!U206</f>
        <v/>
      </c>
      <c r="G78" s="30">
        <f>Source!I240</f>
        <v>3</v>
      </c>
      <c r="H78" s="72"/>
    </row>
    <row r="79" spans="1:8" ht="28.5" x14ac:dyDescent="0.2">
      <c r="A79" s="30">
        <v>66</v>
      </c>
      <c r="B79" s="30" t="str">
        <f>Source!E243</f>
        <v>66</v>
      </c>
      <c r="C79" s="72" t="str">
        <f>Source!G243</f>
        <v>Установка распределительного коллектора для систем отопления и водоснабжения диаметром до 32 мм до 4-х контуров</v>
      </c>
      <c r="D79" s="30" t="s">
        <v>352</v>
      </c>
      <c r="E79" s="73">
        <f>Source!I243</f>
        <v>0.1</v>
      </c>
      <c r="F79" s="30" t="str">
        <f>Source!U206</f>
        <v/>
      </c>
      <c r="G79" s="30" t="str">
        <f>"=1/"&amp;"10"</f>
        <v>=1/10</v>
      </c>
      <c r="H79" s="72"/>
    </row>
    <row r="80" spans="1:8" ht="42.75" x14ac:dyDescent="0.2">
      <c r="A80" s="30">
        <v>67</v>
      </c>
      <c r="B80" s="30" t="str">
        <f>Source!E245</f>
        <v>67</v>
      </c>
      <c r="C80" s="72" t="str">
        <f>Source!G245</f>
        <v>Установка распределительного коллектора для систем отопления и водоснабжения, добавляется к позиции 3.16-39-1 на каждый последующий контур</v>
      </c>
      <c r="D80" s="30" t="s">
        <v>352</v>
      </c>
      <c r="E80" s="73">
        <f>Source!I245</f>
        <v>0.01</v>
      </c>
      <c r="F80" s="30" t="str">
        <f>Source!U206</f>
        <v/>
      </c>
      <c r="G80" s="30" t="str">
        <f>"=1/"&amp;"100"</f>
        <v>=1/100</v>
      </c>
      <c r="H80" s="72"/>
    </row>
    <row r="81" spans="1:8" ht="42.75" x14ac:dyDescent="0.2">
      <c r="A81" s="30">
        <v>68</v>
      </c>
      <c r="B81" s="30" t="str">
        <f>Source!E247</f>
        <v>68</v>
      </c>
      <c r="C81" s="72" t="str">
        <f>Source!G247</f>
        <v>Комплект коллекторов РИДАН FHF-5RF set с расходомерами, кронштейнами и воздухоотводчиками, 5 контуров  (2024-00272-00-0-ИОС4.1 Лист 5 Схема гребенки отопления)</v>
      </c>
      <c r="D81" s="30" t="s">
        <v>107</v>
      </c>
      <c r="E81" s="73">
        <f>Source!I247</f>
        <v>1</v>
      </c>
      <c r="F81" s="30" t="str">
        <f>Source!U206</f>
        <v/>
      </c>
      <c r="G81" s="30">
        <f>Source!I247</f>
        <v>1</v>
      </c>
      <c r="H81" s="72"/>
    </row>
    <row r="82" spans="1:8" ht="16.5" x14ac:dyDescent="0.25">
      <c r="A82" s="69" t="str">
        <f>CONCATENATE("Раздел: ", Source!G280)</f>
        <v>Раздел: Трубы стальные</v>
      </c>
      <c r="B82" s="69"/>
      <c r="C82" s="69"/>
      <c r="D82" s="69"/>
      <c r="E82" s="69"/>
      <c r="F82" s="69"/>
      <c r="G82" s="69"/>
      <c r="H82" s="69"/>
    </row>
    <row r="83" spans="1:8" ht="28.5" x14ac:dyDescent="0.2">
      <c r="A83" s="30">
        <v>69</v>
      </c>
      <c r="B83" s="30" t="str">
        <f>Source!E284</f>
        <v>69</v>
      </c>
      <c r="C83" s="72" t="str">
        <f>Source!G284</f>
        <v>Прокладка трубопроводов отопления из стальных водогазопроводных неоцинкованных труб диаметром 15 мм</v>
      </c>
      <c r="D83" s="30" t="s">
        <v>371</v>
      </c>
      <c r="E83" s="73">
        <f>Source!I284</f>
        <v>34</v>
      </c>
      <c r="F83" s="30" t="str">
        <f>Source!U280</f>
        <v/>
      </c>
      <c r="G83" s="30" t="str">
        <f>"=3400/"&amp;"100"</f>
        <v>=3400/100</v>
      </c>
      <c r="H83" s="72"/>
    </row>
    <row r="84" spans="1:8" ht="28.5" x14ac:dyDescent="0.2">
      <c r="A84" s="30">
        <v>70</v>
      </c>
      <c r="B84" s="30" t="str">
        <f>Source!E288</f>
        <v>70</v>
      </c>
      <c r="C84" s="72" t="str">
        <f>Source!G288</f>
        <v>Прокладка трубопроводов отопления из стальных водогазопроводных неоцинкованных труб диаметром 20 мм</v>
      </c>
      <c r="D84" s="30" t="s">
        <v>371</v>
      </c>
      <c r="E84" s="73">
        <f>Source!I288</f>
        <v>6</v>
      </c>
      <c r="F84" s="30" t="str">
        <f>Source!U280</f>
        <v/>
      </c>
      <c r="G84" s="30" t="str">
        <f>"=600/"&amp;"100"</f>
        <v>=600/100</v>
      </c>
      <c r="H84" s="72"/>
    </row>
    <row r="85" spans="1:8" ht="28.5" x14ac:dyDescent="0.2">
      <c r="A85" s="30">
        <v>71</v>
      </c>
      <c r="B85" s="30" t="str">
        <f>Source!E292</f>
        <v>71</v>
      </c>
      <c r="C85" s="72" t="str">
        <f>Source!G292</f>
        <v>Прокладка трубопроводов отопления из стальных водогазопроводных неоцинкованных труб диаметром 25 мм</v>
      </c>
      <c r="D85" s="30" t="s">
        <v>371</v>
      </c>
      <c r="E85" s="73">
        <f>Source!I292</f>
        <v>1.1000000000000001</v>
      </c>
      <c r="F85" s="30" t="str">
        <f>Source!U280</f>
        <v/>
      </c>
      <c r="G85" s="30" t="str">
        <f>"=110/"&amp;"100"</f>
        <v>=110/100</v>
      </c>
      <c r="H85" s="72"/>
    </row>
    <row r="86" spans="1:8" ht="28.5" x14ac:dyDescent="0.2">
      <c r="A86" s="30">
        <v>72</v>
      </c>
      <c r="B86" s="30" t="str">
        <f>Source!E296</f>
        <v>72</v>
      </c>
      <c r="C86" s="72" t="str">
        <f>Source!G296</f>
        <v>Прокладка трубопроводов отопления из стальных водогазопроводных неоцинкованных труб диаметром 32 мм</v>
      </c>
      <c r="D86" s="30" t="s">
        <v>371</v>
      </c>
      <c r="E86" s="73">
        <f>Source!I296</f>
        <v>2</v>
      </c>
      <c r="F86" s="30" t="str">
        <f>Source!U280</f>
        <v/>
      </c>
      <c r="G86" s="30" t="str">
        <f>"=200/"&amp;"100"</f>
        <v>=200/100</v>
      </c>
      <c r="H86" s="72"/>
    </row>
    <row r="87" spans="1:8" ht="28.5" x14ac:dyDescent="0.2">
      <c r="A87" s="30">
        <v>73</v>
      </c>
      <c r="B87" s="30" t="str">
        <f>Source!E300</f>
        <v>73</v>
      </c>
      <c r="C87" s="72" t="str">
        <f>Source!G300</f>
        <v>Прокладка трубопроводов отопления из стальных водогазопроводных неоцинкованных труб диаметром 40 мм</v>
      </c>
      <c r="D87" s="30" t="s">
        <v>371</v>
      </c>
      <c r="E87" s="73">
        <f>Source!I300</f>
        <v>1</v>
      </c>
      <c r="F87" s="30" t="str">
        <f>Source!U280</f>
        <v/>
      </c>
      <c r="G87" s="30" t="str">
        <f>"=100/"&amp;"100"</f>
        <v>=100/100</v>
      </c>
      <c r="H87" s="72"/>
    </row>
    <row r="88" spans="1:8" ht="28.5" x14ac:dyDescent="0.2">
      <c r="A88" s="30">
        <v>74</v>
      </c>
      <c r="B88" s="30" t="str">
        <f>Source!E304</f>
        <v>74</v>
      </c>
      <c r="C88" s="72" t="str">
        <f>Source!G304</f>
        <v>Прокладка трубопроводов отопления и водоснабжения из стальных электросварных труб диаметром 50 мм</v>
      </c>
      <c r="D88" s="30" t="s">
        <v>371</v>
      </c>
      <c r="E88" s="73">
        <f>Source!I304</f>
        <v>1.3</v>
      </c>
      <c r="F88" s="30" t="str">
        <f>Source!U280</f>
        <v/>
      </c>
      <c r="G88" s="30" t="str">
        <f>"=130/"&amp;"100"</f>
        <v>=130/100</v>
      </c>
      <c r="H88" s="72"/>
    </row>
    <row r="89" spans="1:8" ht="28.5" x14ac:dyDescent="0.2">
      <c r="A89" s="30">
        <v>75</v>
      </c>
      <c r="B89" s="30" t="str">
        <f>Source!E308</f>
        <v>75</v>
      </c>
      <c r="C89" s="72" t="str">
        <f>Source!G308</f>
        <v>Прокладка трубопроводов отопления и водоснабжения из стальных электросварных труб диаметром 65 мм</v>
      </c>
      <c r="D89" s="30" t="s">
        <v>371</v>
      </c>
      <c r="E89" s="73">
        <f>Source!I308</f>
        <v>0.2</v>
      </c>
      <c r="F89" s="30" t="str">
        <f>Source!U280</f>
        <v/>
      </c>
      <c r="G89" s="30" t="str">
        <f>"=20/"&amp;"100"</f>
        <v>=20/100</v>
      </c>
      <c r="H89" s="72"/>
    </row>
    <row r="90" spans="1:8" ht="16.5" x14ac:dyDescent="0.25">
      <c r="A90" s="69" t="str">
        <f>CONCATENATE("Раздел: ", Source!G343)</f>
        <v>Раздел: Изоляция трубная</v>
      </c>
      <c r="B90" s="69"/>
      <c r="C90" s="69"/>
      <c r="D90" s="69"/>
      <c r="E90" s="69"/>
      <c r="F90" s="69"/>
      <c r="G90" s="69"/>
      <c r="H90" s="69"/>
    </row>
    <row r="91" spans="1:8" ht="213.75" x14ac:dyDescent="0.2">
      <c r="A91" s="30">
        <v>76</v>
      </c>
      <c r="B91" s="30" t="str">
        <f>Source!E347</f>
        <v>76</v>
      </c>
      <c r="C91" s="72" t="str">
        <f>Source!G347</f>
        <v>Изоляция трубопроводов цилиндрами, полуцилиндрами из минеральной ваты на синтетическом связующем</v>
      </c>
      <c r="D91" s="30" t="s">
        <v>430</v>
      </c>
      <c r="E91" s="73">
        <f>Source!I347</f>
        <v>17.188359999999999</v>
      </c>
      <c r="F91" s="30" t="str">
        <f>Source!U343</f>
        <v/>
      </c>
      <c r="G91" s="30" t="str">
        <f>"=(((3,14*"&amp;"(0,021+"&amp;"0,04)*"&amp;"0,04)*"&amp;"800)+"&amp;"((3,14*"&amp;"(0,028+"&amp;"0,04)*"&amp;"0,04)*"&amp;"600)+"&amp;"((3,14*"&amp;"(0,032+"&amp;"0,04)*"&amp;"0,04)*"&amp;"110)+"&amp;"((3,14*"&amp;"(0,038+"&amp;"0,04)*"&amp;"0,04)*"&amp;"200)+"&amp;"((3,14*"&amp;"(0,048+"&amp;"0,04)*"&amp;"0,04)*"&amp;"100)+"&amp;"((3,14*"&amp;"(0,057+"&amp;"0,04)*"&amp;"0,04)*"&amp;"130)+"&amp;"((3,14*"&amp;"(0,076+"&amp;"0,04)*"&amp;"0,04)*"&amp;"20))"</f>
        <v>=(((3,14*(0,021+0,04)*0,04)*800)+((3,14*(0,028+0,04)*0,04)*600)+((3,14*(0,032+0,04)*0,04)*110)+((3,14*(0,038+0,04)*0,04)*200)+((3,14*(0,048+0,04)*0,04)*100)+((3,14*(0,057+0,04)*0,04)*130)+((3,14*(0,076+0,04)*0,04)*20))</v>
      </c>
      <c r="H91" s="72"/>
    </row>
    <row r="92" spans="1:8" ht="28.5" x14ac:dyDescent="0.2">
      <c r="A92" s="30">
        <v>77</v>
      </c>
      <c r="B92" s="30" t="str">
        <f>Source!E349</f>
        <v>77</v>
      </c>
      <c r="C92" s="72" t="str">
        <f>Source!G349</f>
        <v>Цилиндры и полуцилиндры теплоизоляционные минераловатные на синтетическом связующем, простые, диаметр 25 мм, толщина 40 мм</v>
      </c>
      <c r="D92" s="30" t="s">
        <v>376</v>
      </c>
      <c r="E92" s="73">
        <f>Source!I349</f>
        <v>824</v>
      </c>
      <c r="F92" s="30" t="str">
        <f>Source!U343</f>
        <v/>
      </c>
      <c r="G92" s="30" t="str">
        <f>"=800*"&amp;"1,03"</f>
        <v>=800*1,03</v>
      </c>
      <c r="H92" s="72"/>
    </row>
    <row r="93" spans="1:8" ht="42.75" x14ac:dyDescent="0.2">
      <c r="A93" s="30">
        <v>78</v>
      </c>
      <c r="B93" s="30" t="str">
        <f>Source!E351</f>
        <v>78</v>
      </c>
      <c r="C93" s="72" t="str">
        <f>Source!G351</f>
        <v>Цилиндры и полуцилиндры теплоизоляционные минераловатные на синтетическом связующем, простые, диаметр 25 мм, толщина 40 мм  (прим. диам.28 мм)</v>
      </c>
      <c r="D93" s="30" t="s">
        <v>376</v>
      </c>
      <c r="E93" s="73">
        <f>Source!I351</f>
        <v>618</v>
      </c>
      <c r="F93" s="30" t="str">
        <f>Source!U343</f>
        <v/>
      </c>
      <c r="G93" s="30">
        <f>Source!I351</f>
        <v>618</v>
      </c>
      <c r="H93" s="72"/>
    </row>
    <row r="94" spans="1:8" ht="28.5" x14ac:dyDescent="0.2">
      <c r="A94" s="30">
        <v>79</v>
      </c>
      <c r="B94" s="30" t="str">
        <f>Source!E353</f>
        <v>79</v>
      </c>
      <c r="C94" s="72" t="str">
        <f>Source!G353</f>
        <v>Цилиндры и полуцилиндры теплоизоляционные минераловатные на синтетическом связующем, простые, диаметр 32 мм, толщина 40 мм</v>
      </c>
      <c r="D94" s="30" t="s">
        <v>376</v>
      </c>
      <c r="E94" s="73">
        <f>Source!I353</f>
        <v>113.63</v>
      </c>
      <c r="F94" s="30" t="str">
        <f>Source!U343</f>
        <v/>
      </c>
      <c r="G94" s="30" t="str">
        <f>"=110*"&amp;"1,033"</f>
        <v>=110*1,033</v>
      </c>
      <c r="H94" s="72"/>
    </row>
    <row r="95" spans="1:8" ht="28.5" x14ac:dyDescent="0.2">
      <c r="A95" s="30">
        <v>80</v>
      </c>
      <c r="B95" s="30" t="str">
        <f>Source!E355</f>
        <v>80</v>
      </c>
      <c r="C95" s="72" t="str">
        <f>Source!G355</f>
        <v>Цилиндры и полуцилиндры теплоизоляционные минераловатные на синтетическом связующем, простые, диаметр 38 мм, толщина 40 мм</v>
      </c>
      <c r="D95" s="30" t="s">
        <v>376</v>
      </c>
      <c r="E95" s="73">
        <f>Source!I355</f>
        <v>206</v>
      </c>
      <c r="F95" s="30" t="str">
        <f>Source!U343</f>
        <v/>
      </c>
      <c r="G95" s="30" t="str">
        <f>"=200*"&amp;"1,03"</f>
        <v>=200*1,03</v>
      </c>
      <c r="H95" s="72"/>
    </row>
    <row r="96" spans="1:8" ht="42.75" x14ac:dyDescent="0.2">
      <c r="A96" s="30">
        <v>81</v>
      </c>
      <c r="B96" s="30" t="str">
        <f>Source!E357</f>
        <v>81</v>
      </c>
      <c r="C96" s="72" t="str">
        <f>Source!G357</f>
        <v>Цилиндры и полуцилиндры теплоизоляционные минераловатные на синтетическом связующем, простые, диаметр 45 мм, толщина 40 мм (прим. диам.48 мм)</v>
      </c>
      <c r="D96" s="30" t="s">
        <v>376</v>
      </c>
      <c r="E96" s="73">
        <f>Source!I357</f>
        <v>103</v>
      </c>
      <c r="F96" s="30" t="str">
        <f>Source!U343</f>
        <v/>
      </c>
      <c r="G96" s="30">
        <f>Source!I357</f>
        <v>103</v>
      </c>
      <c r="H96" s="72"/>
    </row>
    <row r="97" spans="1:8" ht="28.5" x14ac:dyDescent="0.2">
      <c r="A97" s="30">
        <v>82</v>
      </c>
      <c r="B97" s="30" t="str">
        <f>Source!E359</f>
        <v>82</v>
      </c>
      <c r="C97" s="72" t="str">
        <f>Source!G359</f>
        <v>Цилиндры и полуцилиндры теплоизоляционные минераловатные на синтетическом связующем, простые, диаметр 57 мм, толщина 40 мм</v>
      </c>
      <c r="D97" s="30" t="s">
        <v>376</v>
      </c>
      <c r="E97" s="73">
        <f>Source!I359</f>
        <v>133.9</v>
      </c>
      <c r="F97" s="30" t="str">
        <f>Source!U343</f>
        <v/>
      </c>
      <c r="G97" s="30" t="str">
        <f>"=130*"&amp;"1,03"</f>
        <v>=130*1,03</v>
      </c>
      <c r="H97" s="72"/>
    </row>
    <row r="98" spans="1:8" ht="28.5" x14ac:dyDescent="0.2">
      <c r="A98" s="29">
        <v>83</v>
      </c>
      <c r="B98" s="29" t="str">
        <f>Source!E361</f>
        <v>83</v>
      </c>
      <c r="C98" s="70" t="str">
        <f>Source!G361</f>
        <v>Цилиндры и полуцилиндры теплоизоляционные минераловатные на синтетическом связующем, простые, диаметр 76 мм, толщина 40 мм</v>
      </c>
      <c r="D98" s="29" t="s">
        <v>376</v>
      </c>
      <c r="E98" s="71">
        <f>Source!I361</f>
        <v>20.6</v>
      </c>
      <c r="F98" s="29" t="str">
        <f>Source!U343</f>
        <v/>
      </c>
      <c r="G98" s="29" t="str">
        <f>"=20*"&amp;"1,03"</f>
        <v>=20*1,03</v>
      </c>
      <c r="H98" s="70"/>
    </row>
    <row r="101" spans="1:8" ht="15" x14ac:dyDescent="0.25">
      <c r="C101" s="74" t="s">
        <v>710</v>
      </c>
      <c r="D101" s="74" t="str">
        <f>IF(Source!X12&lt;&gt;"", Source!X12," ")</f>
        <v xml:space="preserve"> </v>
      </c>
      <c r="E101" s="75"/>
    </row>
    <row r="102" spans="1:8" ht="15" x14ac:dyDescent="0.25">
      <c r="C102" s="11"/>
      <c r="D102" s="75"/>
      <c r="E102" s="75"/>
    </row>
    <row r="103" spans="1:8" ht="15" x14ac:dyDescent="0.25">
      <c r="C103" s="76" t="s">
        <v>711</v>
      </c>
      <c r="D103" s="76" t="str">
        <f>IF(Source!AB12&lt;&gt;"", Source!AB12," ")</f>
        <v>Соколова И.Н.</v>
      </c>
      <c r="E103" s="75"/>
    </row>
  </sheetData>
  <mergeCells count="8">
    <mergeCell ref="A82:H82"/>
    <mergeCell ref="A90:H90"/>
    <mergeCell ref="B4:E4"/>
    <mergeCell ref="B5:E5"/>
    <mergeCell ref="A10:H10"/>
    <mergeCell ref="A11:H11"/>
    <mergeCell ref="A15:H15"/>
    <mergeCell ref="A65:H65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73"/>
  <sheetViews>
    <sheetView workbookViewId="0">
      <selection activeCell="A469" sqref="A469:AX469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465</v>
      </c>
      <c r="C12" s="1">
        <v>0</v>
      </c>
      <c r="D12" s="1">
        <f>ROW(A424)</f>
        <v>424</v>
      </c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B424</f>
        <v>465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/>
      </c>
      <c r="G18" s="3" t="str">
        <f t="shared" si="0"/>
        <v>02-01-06 Отопление</v>
      </c>
      <c r="H18" s="3"/>
      <c r="I18" s="3"/>
      <c r="J18" s="3"/>
      <c r="K18" s="3"/>
      <c r="L18" s="3"/>
      <c r="M18" s="3"/>
      <c r="N18" s="3"/>
      <c r="O18" s="3">
        <f t="shared" ref="O18:AT18" si="1">O424</f>
        <v>1023233.38</v>
      </c>
      <c r="P18" s="3">
        <f t="shared" si="1"/>
        <v>978175.47</v>
      </c>
      <c r="Q18" s="3">
        <f t="shared" si="1"/>
        <v>4626.47</v>
      </c>
      <c r="R18" s="3">
        <f t="shared" si="1"/>
        <v>895.4</v>
      </c>
      <c r="S18" s="3">
        <f t="shared" si="1"/>
        <v>40431.440000000002</v>
      </c>
      <c r="T18" s="3">
        <f t="shared" si="1"/>
        <v>0</v>
      </c>
      <c r="U18" s="3">
        <f t="shared" si="1"/>
        <v>3249.2220453386099</v>
      </c>
      <c r="V18" s="3">
        <f t="shared" si="1"/>
        <v>0</v>
      </c>
      <c r="W18" s="3">
        <f t="shared" si="1"/>
        <v>0</v>
      </c>
      <c r="X18" s="3">
        <f t="shared" si="1"/>
        <v>43385.69</v>
      </c>
      <c r="Y18" s="3">
        <f t="shared" si="1"/>
        <v>24091.61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1318.17</v>
      </c>
      <c r="AQ18" s="3">
        <f t="shared" si="1"/>
        <v>0</v>
      </c>
      <c r="AR18" s="3">
        <f t="shared" si="1"/>
        <v>1090710.68</v>
      </c>
      <c r="AS18" s="3">
        <f t="shared" si="1"/>
        <v>1065264.45</v>
      </c>
      <c r="AT18" s="3">
        <f t="shared" si="1"/>
        <v>24128.06</v>
      </c>
      <c r="AU18" s="3">
        <f t="shared" ref="AU18:BZ18" si="2">AU424</f>
        <v>0</v>
      </c>
      <c r="AV18" s="3">
        <f t="shared" si="2"/>
        <v>978175.47</v>
      </c>
      <c r="AW18" s="3">
        <f t="shared" si="2"/>
        <v>976857.3</v>
      </c>
      <c r="AX18" s="3">
        <f t="shared" si="2"/>
        <v>0</v>
      </c>
      <c r="AY18" s="3">
        <f t="shared" si="2"/>
        <v>976857.3</v>
      </c>
      <c r="AZ18" s="3">
        <f t="shared" si="2"/>
        <v>1318.17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CA424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DG424</f>
        <v>10470154.609999999</v>
      </c>
      <c r="DH18" s="4">
        <f t="shared" si="4"/>
        <v>8162569.0800000001</v>
      </c>
      <c r="DI18" s="4">
        <f t="shared" si="4"/>
        <v>84260.64</v>
      </c>
      <c r="DJ18" s="4">
        <f t="shared" si="4"/>
        <v>49238.05</v>
      </c>
      <c r="DK18" s="4">
        <f t="shared" si="4"/>
        <v>2223324.89</v>
      </c>
      <c r="DL18" s="4">
        <f t="shared" si="4"/>
        <v>0</v>
      </c>
      <c r="DM18" s="4">
        <f t="shared" si="4"/>
        <v>3249.2220453386099</v>
      </c>
      <c r="DN18" s="4">
        <f t="shared" si="4"/>
        <v>0</v>
      </c>
      <c r="DO18" s="4">
        <f t="shared" si="4"/>
        <v>0</v>
      </c>
      <c r="DP18" s="4">
        <f t="shared" si="4"/>
        <v>2385779.54</v>
      </c>
      <c r="DQ18" s="4">
        <f t="shared" si="4"/>
        <v>1324796.8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8251.4</v>
      </c>
      <c r="EI18" s="4">
        <f t="shared" si="4"/>
        <v>0</v>
      </c>
      <c r="EJ18" s="4">
        <f t="shared" si="4"/>
        <v>14180730.949999999</v>
      </c>
      <c r="EK18" s="4">
        <f t="shared" si="4"/>
        <v>13845897.439999999</v>
      </c>
      <c r="EL18" s="4">
        <f t="shared" si="4"/>
        <v>326582.11</v>
      </c>
      <c r="EM18" s="4">
        <f t="shared" ref="EM18:FR18" si="5">EM424</f>
        <v>0</v>
      </c>
      <c r="EN18" s="4">
        <f t="shared" si="5"/>
        <v>8162569.0800000001</v>
      </c>
      <c r="EO18" s="4">
        <f t="shared" si="5"/>
        <v>8154317.6799999997</v>
      </c>
      <c r="EP18" s="4">
        <f t="shared" si="5"/>
        <v>0</v>
      </c>
      <c r="EQ18" s="4">
        <f t="shared" si="5"/>
        <v>8154317.6799999997</v>
      </c>
      <c r="ER18" s="4">
        <f t="shared" si="5"/>
        <v>8251.4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FS424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ROW(A394)</f>
        <v>394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6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B394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02-01-06</v>
      </c>
      <c r="G22" s="3" t="str">
        <f t="shared" si="7"/>
        <v>Отопление</v>
      </c>
      <c r="H22" s="3"/>
      <c r="I22" s="3"/>
      <c r="J22" s="3"/>
      <c r="K22" s="3"/>
      <c r="L22" s="3"/>
      <c r="M22" s="3"/>
      <c r="N22" s="3"/>
      <c r="O22" s="3">
        <f t="shared" ref="O22:AT22" si="8">O394</f>
        <v>1023233.38</v>
      </c>
      <c r="P22" s="3">
        <f t="shared" si="8"/>
        <v>978175.47</v>
      </c>
      <c r="Q22" s="3">
        <f t="shared" si="8"/>
        <v>4626.47</v>
      </c>
      <c r="R22" s="3">
        <f t="shared" si="8"/>
        <v>895.4</v>
      </c>
      <c r="S22" s="3">
        <f t="shared" si="8"/>
        <v>40431.440000000002</v>
      </c>
      <c r="T22" s="3">
        <f t="shared" si="8"/>
        <v>0</v>
      </c>
      <c r="U22" s="3">
        <f t="shared" si="8"/>
        <v>3249.2220453386099</v>
      </c>
      <c r="V22" s="3">
        <f t="shared" si="8"/>
        <v>0</v>
      </c>
      <c r="W22" s="3">
        <f t="shared" si="8"/>
        <v>0</v>
      </c>
      <c r="X22" s="3">
        <f t="shared" si="8"/>
        <v>43385.69</v>
      </c>
      <c r="Y22" s="3">
        <f t="shared" si="8"/>
        <v>24091.61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1318.17</v>
      </c>
      <c r="AQ22" s="3">
        <f t="shared" si="8"/>
        <v>0</v>
      </c>
      <c r="AR22" s="3">
        <f t="shared" si="8"/>
        <v>1090710.68</v>
      </c>
      <c r="AS22" s="3">
        <f t="shared" si="8"/>
        <v>1065264.45</v>
      </c>
      <c r="AT22" s="3">
        <f t="shared" si="8"/>
        <v>24128.06</v>
      </c>
      <c r="AU22" s="3">
        <f t="shared" ref="AU22:BZ22" si="9">AU394</f>
        <v>0</v>
      </c>
      <c r="AV22" s="3">
        <f t="shared" si="9"/>
        <v>978175.47</v>
      </c>
      <c r="AW22" s="3">
        <f t="shared" si="9"/>
        <v>976857.3</v>
      </c>
      <c r="AX22" s="3">
        <f t="shared" si="9"/>
        <v>0</v>
      </c>
      <c r="AY22" s="3">
        <f t="shared" si="9"/>
        <v>976857.3</v>
      </c>
      <c r="AZ22" s="3">
        <f t="shared" si="9"/>
        <v>1318.17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CA394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DG394</f>
        <v>10470154.609999999</v>
      </c>
      <c r="DH22" s="4">
        <f t="shared" si="11"/>
        <v>8162569.0800000001</v>
      </c>
      <c r="DI22" s="4">
        <f t="shared" si="11"/>
        <v>84260.64</v>
      </c>
      <c r="DJ22" s="4">
        <f t="shared" si="11"/>
        <v>49238.05</v>
      </c>
      <c r="DK22" s="4">
        <f t="shared" si="11"/>
        <v>2223324.89</v>
      </c>
      <c r="DL22" s="4">
        <f t="shared" si="11"/>
        <v>0</v>
      </c>
      <c r="DM22" s="4">
        <f t="shared" si="11"/>
        <v>3249.2220453386099</v>
      </c>
      <c r="DN22" s="4">
        <f t="shared" si="11"/>
        <v>0</v>
      </c>
      <c r="DO22" s="4">
        <f t="shared" si="11"/>
        <v>0</v>
      </c>
      <c r="DP22" s="4">
        <f t="shared" si="11"/>
        <v>2385779.54</v>
      </c>
      <c r="DQ22" s="4">
        <f t="shared" si="11"/>
        <v>1324796.8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8251.4</v>
      </c>
      <c r="EI22" s="4">
        <f t="shared" si="11"/>
        <v>0</v>
      </c>
      <c r="EJ22" s="4">
        <f t="shared" si="11"/>
        <v>14180730.949999999</v>
      </c>
      <c r="EK22" s="4">
        <f t="shared" si="11"/>
        <v>13845897.439999999</v>
      </c>
      <c r="EL22" s="4">
        <f t="shared" si="11"/>
        <v>326582.11</v>
      </c>
      <c r="EM22" s="4">
        <f t="shared" ref="EM22:FR22" si="12">EM394</f>
        <v>0</v>
      </c>
      <c r="EN22" s="4">
        <f t="shared" si="12"/>
        <v>8162569.0800000001</v>
      </c>
      <c r="EO22" s="4">
        <f t="shared" si="12"/>
        <v>8154317.6799999997</v>
      </c>
      <c r="EP22" s="4">
        <f t="shared" si="12"/>
        <v>0</v>
      </c>
      <c r="EQ22" s="4">
        <f t="shared" si="12"/>
        <v>8154317.6799999997</v>
      </c>
      <c r="ER22" s="4">
        <f t="shared" si="12"/>
        <v>8251.4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FS394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ROW(A35)</f>
        <v>35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B35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Конвекторы</v>
      </c>
      <c r="H26" s="3"/>
      <c r="I26" s="3"/>
      <c r="J26" s="3"/>
      <c r="K26" s="3"/>
      <c r="L26" s="3"/>
      <c r="M26" s="3"/>
      <c r="N26" s="3"/>
      <c r="O26" s="3">
        <f t="shared" ref="O26:AT26" si="15">O35</f>
        <v>1368.77</v>
      </c>
      <c r="P26" s="3">
        <f t="shared" si="15"/>
        <v>1319.4</v>
      </c>
      <c r="Q26" s="3">
        <f t="shared" si="15"/>
        <v>3.14</v>
      </c>
      <c r="R26" s="3">
        <f t="shared" si="15"/>
        <v>0.45</v>
      </c>
      <c r="S26" s="3">
        <f t="shared" si="15"/>
        <v>46.23</v>
      </c>
      <c r="T26" s="3">
        <f t="shared" si="15"/>
        <v>0</v>
      </c>
      <c r="U26" s="3">
        <f t="shared" si="15"/>
        <v>3.5587530000000003</v>
      </c>
      <c r="V26" s="3">
        <f t="shared" si="15"/>
        <v>0</v>
      </c>
      <c r="W26" s="3">
        <f t="shared" si="15"/>
        <v>0</v>
      </c>
      <c r="X26" s="3">
        <f t="shared" si="15"/>
        <v>45.28</v>
      </c>
      <c r="Y26" s="3">
        <f t="shared" si="15"/>
        <v>23.81</v>
      </c>
      <c r="Z26" s="3">
        <f t="shared" si="15"/>
        <v>0</v>
      </c>
      <c r="AA26" s="3">
        <f t="shared" si="15"/>
        <v>0</v>
      </c>
      <c r="AB26" s="3">
        <f t="shared" si="15"/>
        <v>1368.77</v>
      </c>
      <c r="AC26" s="3">
        <f t="shared" si="15"/>
        <v>1319.4</v>
      </c>
      <c r="AD26" s="3">
        <f t="shared" si="15"/>
        <v>3.14</v>
      </c>
      <c r="AE26" s="3">
        <f t="shared" si="15"/>
        <v>0.45</v>
      </c>
      <c r="AF26" s="3">
        <f t="shared" si="15"/>
        <v>46.23</v>
      </c>
      <c r="AG26" s="3">
        <f t="shared" si="15"/>
        <v>0</v>
      </c>
      <c r="AH26" s="3">
        <f t="shared" si="15"/>
        <v>3.5587530000000003</v>
      </c>
      <c r="AI26" s="3">
        <f t="shared" si="15"/>
        <v>0</v>
      </c>
      <c r="AJ26" s="3">
        <f t="shared" si="15"/>
        <v>0</v>
      </c>
      <c r="AK26" s="3">
        <f t="shared" si="15"/>
        <v>45.28</v>
      </c>
      <c r="AL26" s="3">
        <f t="shared" si="15"/>
        <v>23.81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1318.17</v>
      </c>
      <c r="AQ26" s="3">
        <f t="shared" si="15"/>
        <v>0</v>
      </c>
      <c r="AR26" s="3">
        <f t="shared" si="15"/>
        <v>1437.86</v>
      </c>
      <c r="AS26" s="3">
        <f t="shared" si="15"/>
        <v>0</v>
      </c>
      <c r="AT26" s="3">
        <f t="shared" si="15"/>
        <v>119.69</v>
      </c>
      <c r="AU26" s="3">
        <f t="shared" ref="AU26:BZ26" si="16">AU35</f>
        <v>0</v>
      </c>
      <c r="AV26" s="3">
        <f t="shared" si="16"/>
        <v>1319.4</v>
      </c>
      <c r="AW26" s="3">
        <f t="shared" si="16"/>
        <v>1.23</v>
      </c>
      <c r="AX26" s="3">
        <f t="shared" si="16"/>
        <v>0</v>
      </c>
      <c r="AY26" s="3">
        <f t="shared" si="16"/>
        <v>1.23</v>
      </c>
      <c r="AZ26" s="3">
        <f t="shared" si="16"/>
        <v>1318.17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1318.17</v>
      </c>
      <c r="BZ26" s="3">
        <f t="shared" si="16"/>
        <v>0</v>
      </c>
      <c r="CA26" s="3">
        <f t="shared" ref="CA26:DF26" si="17">CA35</f>
        <v>1437.86</v>
      </c>
      <c r="CB26" s="3">
        <f t="shared" si="17"/>
        <v>0</v>
      </c>
      <c r="CC26" s="3">
        <f t="shared" si="17"/>
        <v>119.69</v>
      </c>
      <c r="CD26" s="3">
        <f t="shared" si="17"/>
        <v>0</v>
      </c>
      <c r="CE26" s="3">
        <f t="shared" si="17"/>
        <v>1319.4</v>
      </c>
      <c r="CF26" s="3">
        <f t="shared" si="17"/>
        <v>1.2300000000000182</v>
      </c>
      <c r="CG26" s="3">
        <f t="shared" si="17"/>
        <v>0</v>
      </c>
      <c r="CH26" s="3">
        <f t="shared" si="17"/>
        <v>1.2300000000000182</v>
      </c>
      <c r="CI26" s="3">
        <f t="shared" si="17"/>
        <v>1318.17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DG35</f>
        <v>10847.4</v>
      </c>
      <c r="DH26" s="4">
        <f t="shared" si="18"/>
        <v>8256.26</v>
      </c>
      <c r="DI26" s="4">
        <f t="shared" si="18"/>
        <v>48.95</v>
      </c>
      <c r="DJ26" s="4">
        <f t="shared" si="18"/>
        <v>24.75</v>
      </c>
      <c r="DK26" s="4">
        <f t="shared" si="18"/>
        <v>2542.19</v>
      </c>
      <c r="DL26" s="4">
        <f t="shared" si="18"/>
        <v>0</v>
      </c>
      <c r="DM26" s="4">
        <f t="shared" si="18"/>
        <v>3.5587530000000003</v>
      </c>
      <c r="DN26" s="4">
        <f t="shared" si="18"/>
        <v>0</v>
      </c>
      <c r="DO26" s="4">
        <f t="shared" si="18"/>
        <v>0</v>
      </c>
      <c r="DP26" s="4">
        <f t="shared" si="18"/>
        <v>2489.9299999999998</v>
      </c>
      <c r="DQ26" s="4">
        <f t="shared" si="18"/>
        <v>1309.1400000000001</v>
      </c>
      <c r="DR26" s="4">
        <f t="shared" si="18"/>
        <v>0</v>
      </c>
      <c r="DS26" s="4">
        <f t="shared" si="18"/>
        <v>0</v>
      </c>
      <c r="DT26" s="4">
        <f t="shared" si="18"/>
        <v>10847.4</v>
      </c>
      <c r="DU26" s="4">
        <f t="shared" si="18"/>
        <v>8256.26</v>
      </c>
      <c r="DV26" s="4">
        <f t="shared" si="18"/>
        <v>48.95</v>
      </c>
      <c r="DW26" s="4">
        <f t="shared" si="18"/>
        <v>24.75</v>
      </c>
      <c r="DX26" s="4">
        <f t="shared" si="18"/>
        <v>2542.19</v>
      </c>
      <c r="DY26" s="4">
        <f t="shared" si="18"/>
        <v>0</v>
      </c>
      <c r="DZ26" s="4">
        <f t="shared" si="18"/>
        <v>3.5587530000000003</v>
      </c>
      <c r="EA26" s="4">
        <f t="shared" si="18"/>
        <v>0</v>
      </c>
      <c r="EB26" s="4">
        <f t="shared" si="18"/>
        <v>0</v>
      </c>
      <c r="EC26" s="4">
        <f t="shared" si="18"/>
        <v>2489.9299999999998</v>
      </c>
      <c r="ED26" s="4">
        <f t="shared" si="18"/>
        <v>1309.1400000000001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8251.4</v>
      </c>
      <c r="EI26" s="4">
        <f t="shared" si="18"/>
        <v>0</v>
      </c>
      <c r="EJ26" s="4">
        <f t="shared" si="18"/>
        <v>14646.47</v>
      </c>
      <c r="EK26" s="4">
        <f t="shared" si="18"/>
        <v>0</v>
      </c>
      <c r="EL26" s="4">
        <f t="shared" si="18"/>
        <v>6395.07</v>
      </c>
      <c r="EM26" s="4">
        <f t="shared" ref="EM26:FR26" si="19">EM35</f>
        <v>0</v>
      </c>
      <c r="EN26" s="4">
        <f t="shared" si="19"/>
        <v>8256.26</v>
      </c>
      <c r="EO26" s="4">
        <f t="shared" si="19"/>
        <v>4.8600000000000003</v>
      </c>
      <c r="EP26" s="4">
        <f t="shared" si="19"/>
        <v>0</v>
      </c>
      <c r="EQ26" s="4">
        <f t="shared" si="19"/>
        <v>4.8600000000000003</v>
      </c>
      <c r="ER26" s="4">
        <f t="shared" si="19"/>
        <v>8251.4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8251.4</v>
      </c>
      <c r="FR26" s="4">
        <f t="shared" si="19"/>
        <v>0</v>
      </c>
      <c r="FS26" s="4">
        <f t="shared" ref="FS26:GX26" si="20">FS35</f>
        <v>14646.47</v>
      </c>
      <c r="FT26" s="4">
        <f t="shared" si="20"/>
        <v>0</v>
      </c>
      <c r="FU26" s="4">
        <f t="shared" si="20"/>
        <v>6395.07</v>
      </c>
      <c r="FV26" s="4">
        <f t="shared" si="20"/>
        <v>0</v>
      </c>
      <c r="FW26" s="4">
        <f t="shared" si="20"/>
        <v>8256.26</v>
      </c>
      <c r="FX26" s="4">
        <f t="shared" si="20"/>
        <v>4.8600000000005821</v>
      </c>
      <c r="FY26" s="4">
        <f t="shared" si="20"/>
        <v>0</v>
      </c>
      <c r="FZ26" s="4">
        <f t="shared" si="20"/>
        <v>4.8600000000005821</v>
      </c>
      <c r="GA26" s="4">
        <f t="shared" si="20"/>
        <v>8251.4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ROW(SmtRes!A4)</f>
        <v>4</v>
      </c>
      <c r="D28" s="2">
        <f>ROW(EtalonRes!A5)</f>
        <v>5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f>ROUND(1+2,9)</f>
        <v>3</v>
      </c>
      <c r="J28" s="2">
        <v>0</v>
      </c>
      <c r="K28" s="2">
        <f>ROUND(1+2,9)</f>
        <v>3</v>
      </c>
      <c r="L28" s="2"/>
      <c r="M28" s="2"/>
      <c r="N28" s="2"/>
      <c r="O28" s="2">
        <f t="shared" ref="O28:O33" si="21">ROUND(CP28,2)</f>
        <v>50.6</v>
      </c>
      <c r="P28" s="2">
        <f>ROUND((ROUND((AC28*AW28*I28),2)*BC28),2)</f>
        <v>1.23</v>
      </c>
      <c r="Q28" s="2">
        <f>(ROUND((ROUND((((ET28*1.1))*AV28*I28),2)*BB28),2)+ROUND((ROUND(((AE28-((EU28*1.1)))*AV28*I28),2)*BS28),2))</f>
        <v>3.14</v>
      </c>
      <c r="R28" s="2">
        <f>(ROUND((ROUND((((EU28*1.1))*AV28*I28),2)*BS28),2)+ROUND((ROUND(((AE28-((EU28*1.1)))*AV28*I28),2)*BS28),2))</f>
        <v>0.45</v>
      </c>
      <c r="S28" s="2">
        <f t="shared" ref="S28:S33" si="22">ROUND((ROUND((AF28*AV28*I28),2)*BA28),2)</f>
        <v>46.23</v>
      </c>
      <c r="T28" s="2">
        <f t="shared" ref="T28:T33" si="23">ROUND(CU28*I28,2)</f>
        <v>0</v>
      </c>
      <c r="U28" s="2">
        <f t="shared" ref="U28:U33" si="24">CV28*I28</f>
        <v>3.5587530000000003</v>
      </c>
      <c r="V28" s="2">
        <f t="shared" ref="V28:V33" si="25">CW28*I28</f>
        <v>0</v>
      </c>
      <c r="W28" s="2">
        <f t="shared" ref="W28:W33" si="26">ROUND(CX28*I28,2)</f>
        <v>0</v>
      </c>
      <c r="X28" s="2">
        <f>(ROUND((((S28+ROUND((ROUND((((EU28*1.1))*AV28*I28),2)*BS28),2))*AT28)/100),2)+ROUND(((ROUND((ROUND(((AE28-((EU28*1.1)))*AV28*I28),2)*BS28),2)*AT28)/100),2))</f>
        <v>45.28</v>
      </c>
      <c r="Y28" s="2">
        <f>(ROUND((((S28+ROUND((ROUND((((EU28*1.1))*AV28*I28),2)*BS28),2))*AU28)/100),2)+ROUND(((ROUND((ROUND(((AE28-((EU28*1.1)))*AV28*I28),2)*BS28),2)*AU28)/100),2))</f>
        <v>23.81</v>
      </c>
      <c r="Z28" s="2"/>
      <c r="AA28" s="2">
        <v>60255014</v>
      </c>
      <c r="AB28" s="2">
        <f t="shared" ref="AB28:AB33" si="27">ROUND((AC28+AD28+AF28),6)</f>
        <v>16.129000000000001</v>
      </c>
      <c r="AC28" s="2">
        <f t="shared" ref="AC28:AC33" si="28">ROUND((ES28),6)</f>
        <v>0.41</v>
      </c>
      <c r="AD28" s="2">
        <f>ROUND(((((ET28*1.1))-((EU28*1.1)))+AE28),6)</f>
        <v>1.0009999999999999</v>
      </c>
      <c r="AE28" s="2">
        <f>ROUND(((EU28*1.1)),6)</f>
        <v>0.14299999999999999</v>
      </c>
      <c r="AF28" s="2">
        <f>ROUND(((EV28*1.1)),6)</f>
        <v>14.718</v>
      </c>
      <c r="AG28" s="2">
        <f t="shared" ref="AG28:AG33" si="29">ROUND((AP28),6)</f>
        <v>0</v>
      </c>
      <c r="AH28" s="2">
        <f>((EW28*1.1))</f>
        <v>1.1330000000000002</v>
      </c>
      <c r="AI28" s="2">
        <f>((EX28*1.1))</f>
        <v>0</v>
      </c>
      <c r="AJ28" s="2">
        <f t="shared" ref="AJ28:AJ33" si="30">(AS28)</f>
        <v>0</v>
      </c>
      <c r="AK28" s="2">
        <v>14.7</v>
      </c>
      <c r="AL28" s="2">
        <v>0.41</v>
      </c>
      <c r="AM28" s="2">
        <v>0.91</v>
      </c>
      <c r="AN28" s="2">
        <v>0.13</v>
      </c>
      <c r="AO28" s="2">
        <v>13.38</v>
      </c>
      <c r="AP28" s="2">
        <v>0</v>
      </c>
      <c r="AQ28" s="2">
        <v>1.03</v>
      </c>
      <c r="AR28" s="2">
        <v>0</v>
      </c>
      <c r="AS28" s="2">
        <v>0</v>
      </c>
      <c r="AT28" s="2">
        <v>97</v>
      </c>
      <c r="AU28" s="2">
        <v>51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67</v>
      </c>
      <c r="BN28" s="2">
        <v>58973374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97</v>
      </c>
      <c r="CA28" s="2">
        <v>51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623</v>
      </c>
      <c r="CO28" s="2">
        <v>0</v>
      </c>
      <c r="CP28" s="2">
        <f t="shared" ref="CP28:CP33" si="31">(P28+Q28+S28)</f>
        <v>50.599999999999994</v>
      </c>
      <c r="CQ28" s="2">
        <f>ROUND((ROUND((AC28*AW28*1),2)*BC28),2)</f>
        <v>0.41</v>
      </c>
      <c r="CR28" s="2">
        <f>(ROUND((ROUND((((ET28*1.1))*AV28*1),2)*BB28),2)+ROUND((ROUND(((AE28-((EU28*1.1)))*AV28*1),2)*BS28),2))</f>
        <v>1.05</v>
      </c>
      <c r="CS28" s="2">
        <f>(ROUND((ROUND((((EU28*1.1))*AV28*1),2)*BS28),2)+ROUND((ROUND(((AE28-((EU28*1.1)))*AV28*1),2)*BS28),2))</f>
        <v>0.15</v>
      </c>
      <c r="CT28" s="2">
        <f t="shared" ref="CT28:CT33" si="32">ROUND((ROUND((AF28*AV28*1),2)*BA28),2)</f>
        <v>15.41</v>
      </c>
      <c r="CU28" s="2">
        <f t="shared" ref="CU28:CU33" si="33">AG28</f>
        <v>0</v>
      </c>
      <c r="CV28" s="2">
        <f t="shared" ref="CV28:CV33" si="34">(AH28*AV28)</f>
        <v>1.1862510000000002</v>
      </c>
      <c r="CW28" s="2">
        <f t="shared" ref="CW28:CX33" si="35">AI28</f>
        <v>0</v>
      </c>
      <c r="CX28" s="2">
        <f t="shared" si="35"/>
        <v>0</v>
      </c>
      <c r="CY28" s="2">
        <f>(ROUND((((S28+ROUND((ROUND((((EU28*1.1))*AV28*1),2)*BS28),2))*AT28)/100),2)+ROUND(((ROUND((ROUND(((AE28-((EU28*1.1)))*AV28*1),2)*BS28),2)*AT28)/100),2))</f>
        <v>44.99</v>
      </c>
      <c r="CZ28" s="2">
        <f>(ROUND((((S28+ROUND((ROUND((((EU28*1.1))*AV28*1),2)*BS28),2))*AU28)/100),2)+ROUND(((ROUND((ROUND(((AE28-((EU28*1.1)))*AV28*1),2)*BS28),2)*AU28)/100),2))</f>
        <v>23.65</v>
      </c>
      <c r="DA28" s="2"/>
      <c r="DB28" s="2"/>
      <c r="DC28" s="2" t="s">
        <v>3</v>
      </c>
      <c r="DD28" s="2" t="s">
        <v>3</v>
      </c>
      <c r="DE28" s="2" t="s">
        <v>23</v>
      </c>
      <c r="DF28" s="2" t="s">
        <v>23</v>
      </c>
      <c r="DG28" s="2" t="s">
        <v>23</v>
      </c>
      <c r="DH28" s="2" t="s">
        <v>3</v>
      </c>
      <c r="DI28" s="2" t="s">
        <v>23</v>
      </c>
      <c r="DJ28" s="2" t="s">
        <v>23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60088299</v>
      </c>
      <c r="EF28" s="2">
        <v>40</v>
      </c>
      <c r="EG28" s="2" t="s">
        <v>24</v>
      </c>
      <c r="EH28" s="2">
        <v>0</v>
      </c>
      <c r="EI28" s="2" t="s">
        <v>3</v>
      </c>
      <c r="EJ28" s="2">
        <v>2</v>
      </c>
      <c r="EK28" s="2">
        <v>67</v>
      </c>
      <c r="EL28" s="2" t="s">
        <v>25</v>
      </c>
      <c r="EM28" s="2" t="s">
        <v>26</v>
      </c>
      <c r="EN28" s="2"/>
      <c r="EO28" s="2" t="s">
        <v>27</v>
      </c>
      <c r="EP28" s="2"/>
      <c r="EQ28" s="2">
        <v>0</v>
      </c>
      <c r="ER28" s="2">
        <v>14.7</v>
      </c>
      <c r="ES28" s="2">
        <v>0.41</v>
      </c>
      <c r="ET28" s="2">
        <v>0.91</v>
      </c>
      <c r="EU28" s="2">
        <v>0.13</v>
      </c>
      <c r="EV28" s="2">
        <v>13.38</v>
      </c>
      <c r="EW28" s="2">
        <v>1.03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97</v>
      </c>
      <c r="FY28" s="2">
        <v>51</v>
      </c>
      <c r="FZ28" s="2"/>
      <c r="GA28" s="2" t="s">
        <v>3</v>
      </c>
      <c r="GB28" s="2"/>
      <c r="GC28" s="2"/>
      <c r="GD28" s="2">
        <v>1</v>
      </c>
      <c r="GE28" s="2"/>
      <c r="GF28" s="2">
        <v>-1561628963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3" si="36">ROUND(IF(AND(BH28=3,BI28=3,FS28&lt;&gt;0),P28,0),2)</f>
        <v>0</v>
      </c>
      <c r="GM28" s="2">
        <f t="shared" ref="GM28:GM33" si="37">ROUND(O28+X28+Y28,2)+GX28</f>
        <v>119.69</v>
      </c>
      <c r="GN28" s="2">
        <f t="shared" ref="GN28:GN33" si="38">IF(OR(BI28=0,BI28=1),GM28-GX28,0)</f>
        <v>0</v>
      </c>
      <c r="GO28" s="2">
        <f t="shared" ref="GO28:GO33" si="39">IF(BI28=2,GM28-GX28,0)</f>
        <v>119.69</v>
      </c>
      <c r="GP28" s="2">
        <f t="shared" ref="GP28:GP33" si="40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3" si="41">ROUND((GT28),6)</f>
        <v>0</v>
      </c>
      <c r="GW28" s="2">
        <v>1</v>
      </c>
      <c r="GX28" s="2">
        <f t="shared" ref="GX28:GX33" si="42">ROUND(HC28*I28,2)</f>
        <v>0</v>
      </c>
      <c r="GY28" s="2"/>
      <c r="GZ28" s="2"/>
      <c r="HA28" s="2">
        <v>0</v>
      </c>
      <c r="HB28" s="2">
        <v>0</v>
      </c>
      <c r="HC28" s="2">
        <f t="shared" ref="HC28:HC33" si="43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ROW(SmtRes!A8)</f>
        <v>8</v>
      </c>
      <c r="D29">
        <f>ROW(EtalonRes!A10)</f>
        <v>10</v>
      </c>
      <c r="E29" t="s">
        <v>18</v>
      </c>
      <c r="F29" t="s">
        <v>19</v>
      </c>
      <c r="G29" t="s">
        <v>20</v>
      </c>
      <c r="H29" t="s">
        <v>21</v>
      </c>
      <c r="I29">
        <f>ROUND(1+2,9)</f>
        <v>3</v>
      </c>
      <c r="J29">
        <v>0</v>
      </c>
      <c r="K29">
        <f>ROUND(1+2,9)</f>
        <v>3</v>
      </c>
      <c r="O29">
        <f t="shared" si="21"/>
        <v>2596</v>
      </c>
      <c r="P29">
        <f>ROUND((ROUND((AC29*AW29*I29),2)*BC29),2)</f>
        <v>4.8600000000000003</v>
      </c>
      <c r="Q29">
        <f>(ROUND((ROUND((((ET29*1.1))*AV29*I29),2)*BB29),2)+ROUND((ROUND(((AE29-((EU29*1.1)))*AV29*I29),2)*BS29),2))</f>
        <v>48.95</v>
      </c>
      <c r="R29">
        <f>(ROUND((ROUND((((EU29*1.1))*AV29*I29),2)*BS29),2)+ROUND((ROUND(((AE29-((EU29*1.1)))*AV29*I29),2)*BS29),2))</f>
        <v>24.75</v>
      </c>
      <c r="S29">
        <f t="shared" si="22"/>
        <v>2542.19</v>
      </c>
      <c r="T29">
        <f t="shared" si="23"/>
        <v>0</v>
      </c>
      <c r="U29">
        <f t="shared" si="24"/>
        <v>3.5587530000000003</v>
      </c>
      <c r="V29">
        <f t="shared" si="25"/>
        <v>0</v>
      </c>
      <c r="W29">
        <f t="shared" si="26"/>
        <v>0</v>
      </c>
      <c r="X29">
        <f>(ROUND((((S29+ROUND((ROUND((((EU29*1.1))*AV29*I29),2)*BS29),2))*AT29)/100),2)+ROUND(((ROUND((ROUND(((AE29-((EU29*1.1)))*AV29*I29),2)*BS29),2)*AT29)/100),2))</f>
        <v>2489.9299999999998</v>
      </c>
      <c r="Y29">
        <f>(ROUND((((S29+ROUND((ROUND((((EU29*1.1))*AV29*I29),2)*BS29),2))*AU29)/100),2)+ROUND(((ROUND((ROUND(((AE29-((EU29*1.1)))*AV29*I29),2)*BS29),2)*AU29)/100),2))</f>
        <v>1309.1400000000001</v>
      </c>
      <c r="AA29">
        <v>60255011</v>
      </c>
      <c r="AB29">
        <f t="shared" si="27"/>
        <v>16.129000000000001</v>
      </c>
      <c r="AC29">
        <f t="shared" si="28"/>
        <v>0.41</v>
      </c>
      <c r="AD29">
        <f>ROUND(((((ET29*1.1))-((EU29*1.1)))+AE29),6)</f>
        <v>1.0009999999999999</v>
      </c>
      <c r="AE29">
        <f>ROUND(((EU29*1.1)),6)</f>
        <v>0.14299999999999999</v>
      </c>
      <c r="AF29">
        <f>ROUND(((EV29*1.1)),6)</f>
        <v>14.718</v>
      </c>
      <c r="AG29">
        <f t="shared" si="29"/>
        <v>0</v>
      </c>
      <c r="AH29">
        <f>((EW29*1.1))</f>
        <v>1.1330000000000002</v>
      </c>
      <c r="AI29">
        <f>((EX29*1.1))</f>
        <v>0</v>
      </c>
      <c r="AJ29">
        <f t="shared" si="30"/>
        <v>0</v>
      </c>
      <c r="AK29">
        <v>14.7</v>
      </c>
      <c r="AL29">
        <v>0.41</v>
      </c>
      <c r="AM29">
        <v>0.91</v>
      </c>
      <c r="AN29">
        <v>0.13</v>
      </c>
      <c r="AO29">
        <v>13.38</v>
      </c>
      <c r="AP29">
        <v>0</v>
      </c>
      <c r="AQ29">
        <v>1.03</v>
      </c>
      <c r="AR29">
        <v>0</v>
      </c>
      <c r="AS29">
        <v>0</v>
      </c>
      <c r="AT29">
        <v>97</v>
      </c>
      <c r="AU29">
        <v>51</v>
      </c>
      <c r="AV29">
        <v>1.0469999999999999</v>
      </c>
      <c r="AW29">
        <v>1</v>
      </c>
      <c r="AZ29">
        <v>1</v>
      </c>
      <c r="BA29">
        <v>54.99</v>
      </c>
      <c r="BB29">
        <v>15.59</v>
      </c>
      <c r="BC29">
        <v>3.95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22</v>
      </c>
      <c r="BM29">
        <v>67</v>
      </c>
      <c r="BN29">
        <v>58973374</v>
      </c>
      <c r="BO29" t="s">
        <v>19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97</v>
      </c>
      <c r="CA29">
        <v>51</v>
      </c>
      <c r="CB29" t="s">
        <v>3</v>
      </c>
      <c r="CE29">
        <v>1566</v>
      </c>
      <c r="CF29">
        <v>0</v>
      </c>
      <c r="CG29">
        <v>0</v>
      </c>
      <c r="CM29">
        <v>0</v>
      </c>
      <c r="CN29" t="s">
        <v>623</v>
      </c>
      <c r="CO29">
        <v>0</v>
      </c>
      <c r="CP29">
        <f t="shared" si="31"/>
        <v>2596</v>
      </c>
      <c r="CQ29">
        <f>ROUND((ROUND((AC29*AW29*1),2)*BC29),2)</f>
        <v>1.62</v>
      </c>
      <c r="CR29">
        <f>(ROUND((ROUND((((ET29*1.1))*AV29*1),2)*BB29),2)+ROUND((ROUND(((AE29-((EU29*1.1)))*AV29*1),2)*BS29),2))</f>
        <v>16.37</v>
      </c>
      <c r="CS29">
        <f>(ROUND((ROUND((((EU29*1.1))*AV29*1),2)*BS29),2)+ROUND((ROUND(((AE29-((EU29*1.1)))*AV29*1),2)*BS29),2))</f>
        <v>8.25</v>
      </c>
      <c r="CT29">
        <f t="shared" si="32"/>
        <v>847.4</v>
      </c>
      <c r="CU29">
        <f t="shared" si="33"/>
        <v>0</v>
      </c>
      <c r="CV29">
        <f t="shared" si="34"/>
        <v>1.1862510000000002</v>
      </c>
      <c r="CW29">
        <f t="shared" si="35"/>
        <v>0</v>
      </c>
      <c r="CX29">
        <f t="shared" si="35"/>
        <v>0</v>
      </c>
      <c r="CY29">
        <f>(ROUND((((S29+ROUND((ROUND((((EU29*1.1))*AV29*1),2)*BS29),2))*AT29)/100),2)+ROUND(((ROUND((ROUND(((AE29-((EU29*1.1)))*AV29*1),2)*BS29),2)*AT29)/100),2))</f>
        <v>2473.9299999999998</v>
      </c>
      <c r="CZ29">
        <f>(ROUND((((S29+ROUND((ROUND((((EU29*1.1))*AV29*1),2)*BS29),2))*AU29)/100),2)+ROUND(((ROUND((ROUND(((AE29-((EU29*1.1)))*AV29*1),2)*BS29),2)*AU29)/100),2))</f>
        <v>1300.72</v>
      </c>
      <c r="DC29" t="s">
        <v>3</v>
      </c>
      <c r="DD29" t="s">
        <v>3</v>
      </c>
      <c r="DE29" t="s">
        <v>23</v>
      </c>
      <c r="DF29" t="s">
        <v>23</v>
      </c>
      <c r="DG29" t="s">
        <v>23</v>
      </c>
      <c r="DH29" t="s">
        <v>3</v>
      </c>
      <c r="DI29" t="s">
        <v>23</v>
      </c>
      <c r="DJ29" t="s">
        <v>23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21</v>
      </c>
      <c r="DW29" t="s">
        <v>21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60088299</v>
      </c>
      <c r="EF29">
        <v>40</v>
      </c>
      <c r="EG29" t="s">
        <v>24</v>
      </c>
      <c r="EH29">
        <v>0</v>
      </c>
      <c r="EI29" t="s">
        <v>3</v>
      </c>
      <c r="EJ29">
        <v>2</v>
      </c>
      <c r="EK29">
        <v>67</v>
      </c>
      <c r="EL29" t="s">
        <v>25</v>
      </c>
      <c r="EM29" t="s">
        <v>26</v>
      </c>
      <c r="EO29" t="s">
        <v>27</v>
      </c>
      <c r="EQ29">
        <v>0</v>
      </c>
      <c r="ER29">
        <v>14.7</v>
      </c>
      <c r="ES29">
        <v>0.41</v>
      </c>
      <c r="ET29">
        <v>0.91</v>
      </c>
      <c r="EU29">
        <v>0.13</v>
      </c>
      <c r="EV29">
        <v>13.38</v>
      </c>
      <c r="EW29">
        <v>1.03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97</v>
      </c>
      <c r="FY29">
        <v>51</v>
      </c>
      <c r="GA29" t="s">
        <v>3</v>
      </c>
      <c r="GD29">
        <v>1</v>
      </c>
      <c r="GF29">
        <v>-1561628963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36"/>
        <v>0</v>
      </c>
      <c r="GM29">
        <f t="shared" si="37"/>
        <v>6395.07</v>
      </c>
      <c r="GN29">
        <f t="shared" si="38"/>
        <v>0</v>
      </c>
      <c r="GO29">
        <f t="shared" si="39"/>
        <v>6395.07</v>
      </c>
      <c r="GP29">
        <f t="shared" si="40"/>
        <v>0</v>
      </c>
      <c r="GR29">
        <v>0</v>
      </c>
      <c r="GS29">
        <v>3</v>
      </c>
      <c r="GT29">
        <v>0</v>
      </c>
      <c r="GU29" t="s">
        <v>3</v>
      </c>
      <c r="GV29">
        <f t="shared" si="41"/>
        <v>0</v>
      </c>
      <c r="GW29">
        <v>1</v>
      </c>
      <c r="GX29">
        <f t="shared" si="42"/>
        <v>0</v>
      </c>
      <c r="HA29">
        <v>0</v>
      </c>
      <c r="HB29">
        <v>0</v>
      </c>
      <c r="HC29">
        <f t="shared" si="43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28</v>
      </c>
      <c r="F30" s="2" t="s">
        <v>29</v>
      </c>
      <c r="G30" s="2" t="s">
        <v>30</v>
      </c>
      <c r="H30" s="2" t="s">
        <v>31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388.69</v>
      </c>
      <c r="P30" s="2">
        <f>ROUND((ROUND((AC30*I30),2)*BC30),2)</f>
        <v>388.69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60255014</v>
      </c>
      <c r="AB30" s="2">
        <f t="shared" si="27"/>
        <v>388.69</v>
      </c>
      <c r="AC30" s="2">
        <f t="shared" si="28"/>
        <v>388.69</v>
      </c>
      <c r="AD30" s="2">
        <f>ROUND((((ET30)-(EU30))+AE30),6)</f>
        <v>0</v>
      </c>
      <c r="AE30" s="2">
        <f t="shared" ref="AE30:AF33" si="44">ROUND((EU30),6)</f>
        <v>0</v>
      </c>
      <c r="AF30" s="2">
        <f t="shared" si="44"/>
        <v>0</v>
      </c>
      <c r="AG30" s="2">
        <f t="shared" si="29"/>
        <v>0</v>
      </c>
      <c r="AH30" s="2">
        <f t="shared" ref="AH30:AI33" si="45">(EW30)</f>
        <v>0</v>
      </c>
      <c r="AI30" s="2">
        <f t="shared" si="45"/>
        <v>0</v>
      </c>
      <c r="AJ30" s="2">
        <f t="shared" si="30"/>
        <v>0</v>
      </c>
      <c r="AK30" s="2">
        <v>388.69</v>
      </c>
      <c r="AL30" s="2">
        <v>388.69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58973374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388.69</v>
      </c>
      <c r="CQ30" s="2">
        <f>ROUND((ROUND((AC30*1),2)*BC30),2)</f>
        <v>388.69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2"/>
        <v>0</v>
      </c>
      <c r="CU30" s="2">
        <f t="shared" si="33"/>
        <v>0</v>
      </c>
      <c r="CV30" s="2">
        <f t="shared" si="34"/>
        <v>0</v>
      </c>
      <c r="CW30" s="2">
        <f t="shared" si="35"/>
        <v>0</v>
      </c>
      <c r="CX30" s="2">
        <f t="shared" si="35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31</v>
      </c>
      <c r="DW30" s="2" t="s">
        <v>31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60088205</v>
      </c>
      <c r="EF30" s="2">
        <v>130</v>
      </c>
      <c r="EG30" s="2" t="s">
        <v>32</v>
      </c>
      <c r="EH30" s="2">
        <v>0</v>
      </c>
      <c r="EI30" s="2" t="s">
        <v>3</v>
      </c>
      <c r="EJ30" s="2">
        <v>3</v>
      </c>
      <c r="EK30" s="2">
        <v>746</v>
      </c>
      <c r="EL30" s="2" t="s">
        <v>33</v>
      </c>
      <c r="EM30" s="2" t="s">
        <v>34</v>
      </c>
      <c r="EN30" s="2"/>
      <c r="EO30" s="2" t="s">
        <v>3</v>
      </c>
      <c r="EP30" s="2"/>
      <c r="EQ30" s="2">
        <v>0</v>
      </c>
      <c r="ER30" s="2">
        <v>388.69</v>
      </c>
      <c r="ES30" s="2">
        <v>388.69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388.69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</v>
      </c>
      <c r="GB30" s="2"/>
      <c r="GC30" s="2"/>
      <c r="GD30" s="2">
        <v>1</v>
      </c>
      <c r="GE30" s="2"/>
      <c r="GF30" s="2">
        <v>-1177766710</v>
      </c>
      <c r="GG30" s="2">
        <v>2</v>
      </c>
      <c r="GH30" s="2">
        <v>1</v>
      </c>
      <c r="GI30" s="2">
        <v>-2</v>
      </c>
      <c r="GJ30" s="2">
        <v>0</v>
      </c>
      <c r="GK30" s="2">
        <v>0</v>
      </c>
      <c r="GL30" s="2">
        <f t="shared" si="36"/>
        <v>0</v>
      </c>
      <c r="GM30" s="2">
        <f t="shared" si="37"/>
        <v>388.69</v>
      </c>
      <c r="GN30" s="2">
        <f t="shared" si="38"/>
        <v>0</v>
      </c>
      <c r="GO30" s="2">
        <f t="shared" si="39"/>
        <v>0</v>
      </c>
      <c r="GP30" s="2">
        <f t="shared" si="40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1"/>
        <v>0</v>
      </c>
      <c r="GW30" s="2">
        <v>1</v>
      </c>
      <c r="GX30" s="2">
        <f t="shared" si="42"/>
        <v>0</v>
      </c>
      <c r="GY30" s="2"/>
      <c r="GZ30" s="2"/>
      <c r="HA30" s="2">
        <v>0</v>
      </c>
      <c r="HB30" s="2">
        <v>0</v>
      </c>
      <c r="HC30" s="2">
        <f t="shared" si="43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28</v>
      </c>
      <c r="F31" t="s">
        <v>29</v>
      </c>
      <c r="G31" t="s">
        <v>30</v>
      </c>
      <c r="H31" t="s">
        <v>31</v>
      </c>
      <c r="I31">
        <v>1</v>
      </c>
      <c r="J31">
        <v>0</v>
      </c>
      <c r="K31">
        <v>1</v>
      </c>
      <c r="O31">
        <f t="shared" si="21"/>
        <v>2553.69</v>
      </c>
      <c r="P31">
        <f>ROUND((ROUND((AC31*I31),2)*BC31),2)</f>
        <v>2553.69</v>
      </c>
      <c r="Q31">
        <f>(ROUND((ROUND(((ET31)*AV31*I31),2)*BB31),2)+ROUND((ROUND(((AE31-(EU31))*AV31*I31),2)*BS31),2))</f>
        <v>0</v>
      </c>
      <c r="R31">
        <f>(ROUND((ROUND(((EU31)*AV31*I31),2)*BS31),2)+ROUND((ROUND(((AE31-(EU31))*AV31*I31),2)*BS31),2))</f>
        <v>0</v>
      </c>
      <c r="S31">
        <f t="shared" si="22"/>
        <v>0</v>
      </c>
      <c r="T31">
        <f t="shared" si="23"/>
        <v>0</v>
      </c>
      <c r="U31">
        <f t="shared" si="24"/>
        <v>0</v>
      </c>
      <c r="V31">
        <f t="shared" si="25"/>
        <v>0</v>
      </c>
      <c r="W31">
        <f t="shared" si="26"/>
        <v>0</v>
      </c>
      <c r="X31">
        <f>(ROUND((((S31+ROUND((ROUND(((EU31)*AV31*I31),2)*BS31),2))*AT31)/100),2)+ROUND(((ROUND((ROUND(((AE31-(EU31))*AV31*I31),2)*BS31),2)*AT31)/100),2))</f>
        <v>0</v>
      </c>
      <c r="Y31">
        <f>(ROUND((((S31+ROUND((ROUND(((EU31)*AV31*I31),2)*BS31),2))*AU31)/100),2)+ROUND(((ROUND((ROUND(((AE31-(EU31))*AV31*I31),2)*BS31),2)*AU31)/100),2))</f>
        <v>0</v>
      </c>
      <c r="AA31">
        <v>60255011</v>
      </c>
      <c r="AB31">
        <f t="shared" si="27"/>
        <v>388.69</v>
      </c>
      <c r="AC31">
        <f t="shared" si="28"/>
        <v>388.69</v>
      </c>
      <c r="AD31">
        <f>ROUND((((ET31)-(EU31))+AE31),6)</f>
        <v>0</v>
      </c>
      <c r="AE31">
        <f t="shared" si="44"/>
        <v>0</v>
      </c>
      <c r="AF31">
        <f t="shared" si="44"/>
        <v>0</v>
      </c>
      <c r="AG31">
        <f t="shared" si="29"/>
        <v>0</v>
      </c>
      <c r="AH31">
        <f t="shared" si="45"/>
        <v>0</v>
      </c>
      <c r="AI31">
        <f t="shared" si="45"/>
        <v>0</v>
      </c>
      <c r="AJ31">
        <f t="shared" si="30"/>
        <v>0</v>
      </c>
      <c r="AK31">
        <v>388.69</v>
      </c>
      <c r="AL31">
        <v>388.69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6.57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58973374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1566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1"/>
        <v>2553.69</v>
      </c>
      <c r="CQ31">
        <f>ROUND((ROUND((AC31*1),2)*BC31),2)</f>
        <v>2553.69</v>
      </c>
      <c r="CR31">
        <f>(ROUND((ROUND(((ET31)*AV31*1),2)*BB31),2)+ROUND((ROUND(((AE31-(EU31))*AV31*1),2)*BS31),2))</f>
        <v>0</v>
      </c>
      <c r="CS31">
        <f>(ROUND((ROUND(((EU31)*AV31*1),2)*BS31),2)+ROUND((ROUND(((AE31-(EU31))*AV31*1),2)*BS31),2))</f>
        <v>0</v>
      </c>
      <c r="CT31">
        <f t="shared" si="32"/>
        <v>0</v>
      </c>
      <c r="CU31">
        <f t="shared" si="33"/>
        <v>0</v>
      </c>
      <c r="CV31">
        <f t="shared" si="34"/>
        <v>0</v>
      </c>
      <c r="CW31">
        <f t="shared" si="35"/>
        <v>0</v>
      </c>
      <c r="CX31">
        <f t="shared" si="35"/>
        <v>0</v>
      </c>
      <c r="CY31">
        <f>(ROUND((((S31+ROUND((ROUND(((EU31)*AV31*1),2)*BS31),2))*AT31)/100),2)+ROUND(((ROUND((ROUND(((AE31-(EU31))*AV31*1),2)*BS31),2)*AT31)/100),2))</f>
        <v>0</v>
      </c>
      <c r="CZ31">
        <f>(ROUND((((S31+ROUND((ROUND(((EU31)*AV31*1),2)*BS31),2))*AU31)/100),2)+ROUND(((ROUND((ROUND(((AE31-(EU31))*AV31*1),2)*BS31),2)*AU31)/100),2))</f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31</v>
      </c>
      <c r="DW31" t="s">
        <v>31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60088205</v>
      </c>
      <c r="EF31">
        <v>130</v>
      </c>
      <c r="EG31" t="s">
        <v>32</v>
      </c>
      <c r="EH31">
        <v>0</v>
      </c>
      <c r="EI31" t="s">
        <v>3</v>
      </c>
      <c r="EJ31">
        <v>3</v>
      </c>
      <c r="EK31">
        <v>746</v>
      </c>
      <c r="EL31" t="s">
        <v>33</v>
      </c>
      <c r="EM31" t="s">
        <v>34</v>
      </c>
      <c r="EO31" t="s">
        <v>3</v>
      </c>
      <c r="EQ31">
        <v>0</v>
      </c>
      <c r="ER31">
        <v>388.69</v>
      </c>
      <c r="ES31">
        <v>388.69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FQ31">
        <v>0</v>
      </c>
      <c r="FR31">
        <f>P31</f>
        <v>2553.69</v>
      </c>
      <c r="FS31">
        <v>0</v>
      </c>
      <c r="FX31">
        <v>0</v>
      </c>
      <c r="FY31">
        <v>0</v>
      </c>
      <c r="GA31" t="s">
        <v>3</v>
      </c>
      <c r="GD31">
        <v>1</v>
      </c>
      <c r="GF31">
        <v>-1177766710</v>
      </c>
      <c r="GG31">
        <v>2</v>
      </c>
      <c r="GH31">
        <v>1</v>
      </c>
      <c r="GI31">
        <v>2</v>
      </c>
      <c r="GJ31">
        <v>0</v>
      </c>
      <c r="GK31">
        <v>0</v>
      </c>
      <c r="GL31">
        <f t="shared" si="36"/>
        <v>0</v>
      </c>
      <c r="GM31">
        <f t="shared" si="37"/>
        <v>2553.69</v>
      </c>
      <c r="GN31">
        <f t="shared" si="38"/>
        <v>0</v>
      </c>
      <c r="GO31">
        <f t="shared" si="39"/>
        <v>0</v>
      </c>
      <c r="GP31">
        <f t="shared" si="40"/>
        <v>0</v>
      </c>
      <c r="GR31">
        <v>0</v>
      </c>
      <c r="GS31">
        <v>3</v>
      </c>
      <c r="GT31">
        <v>0</v>
      </c>
      <c r="GU31" t="s">
        <v>3</v>
      </c>
      <c r="GV31">
        <f t="shared" si="41"/>
        <v>0</v>
      </c>
      <c r="GW31">
        <v>1</v>
      </c>
      <c r="GX31">
        <f t="shared" si="42"/>
        <v>0</v>
      </c>
      <c r="HA31">
        <v>0</v>
      </c>
      <c r="HB31">
        <v>0</v>
      </c>
      <c r="HC31">
        <f t="shared" si="43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/>
      <c r="D32" s="2"/>
      <c r="E32" s="2" t="s">
        <v>35</v>
      </c>
      <c r="F32" s="2" t="s">
        <v>36</v>
      </c>
      <c r="G32" s="2" t="s">
        <v>37</v>
      </c>
      <c r="H32" s="2" t="s">
        <v>31</v>
      </c>
      <c r="I32" s="2">
        <v>2</v>
      </c>
      <c r="J32" s="2">
        <v>0</v>
      </c>
      <c r="K32" s="2">
        <v>2</v>
      </c>
      <c r="L32" s="2"/>
      <c r="M32" s="2"/>
      <c r="N32" s="2"/>
      <c r="O32" s="2">
        <f t="shared" si="21"/>
        <v>929.48</v>
      </c>
      <c r="P32" s="2">
        <f>ROUND((ROUND((AC32*I32),2)*BC32),2)</f>
        <v>929.48</v>
      </c>
      <c r="Q32" s="2">
        <f>(ROUND((ROUND(((ET32)*AV32*I32),2)*BB32),2)+ROUND((ROUND(((AE32-(EU32))*AV32*I32),2)*BS32),2))</f>
        <v>0</v>
      </c>
      <c r="R32" s="2">
        <f>(ROUND((ROUND(((EU32)*AV32*I32),2)*BS32),2)+ROUND((ROUND(((AE32-(EU32))*AV32*I32),2)*BS32),2))</f>
        <v>0</v>
      </c>
      <c r="S32" s="2">
        <f t="shared" si="22"/>
        <v>0</v>
      </c>
      <c r="T32" s="2">
        <f t="shared" si="23"/>
        <v>0</v>
      </c>
      <c r="U32" s="2">
        <f t="shared" si="24"/>
        <v>0</v>
      </c>
      <c r="V32" s="2">
        <f t="shared" si="25"/>
        <v>0</v>
      </c>
      <c r="W32" s="2">
        <f t="shared" si="26"/>
        <v>0</v>
      </c>
      <c r="X32" s="2">
        <f>(ROUND((((S32+ROUND((ROUND(((EU32)*AV32*I32),2)*BS32),2))*AT32)/100),2)+ROUND(((ROUND((ROUND(((AE32-(EU32))*AV32*I32),2)*BS32),2)*AT32)/100),2))</f>
        <v>0</v>
      </c>
      <c r="Y32" s="2">
        <f>(ROUND((((S32+ROUND((ROUND(((EU32)*AV32*I32),2)*BS32),2))*AU32)/100),2)+ROUND(((ROUND((ROUND(((AE32-(EU32))*AV32*I32),2)*BS32),2)*AU32)/100),2))</f>
        <v>0</v>
      </c>
      <c r="Z32" s="2"/>
      <c r="AA32" s="2">
        <v>60255014</v>
      </c>
      <c r="AB32" s="2">
        <f t="shared" si="27"/>
        <v>464.74</v>
      </c>
      <c r="AC32" s="2">
        <f t="shared" si="28"/>
        <v>464.74</v>
      </c>
      <c r="AD32" s="2">
        <f>ROUND((((ET32)-(EU32))+AE32),6)</f>
        <v>0</v>
      </c>
      <c r="AE32" s="2">
        <f t="shared" si="44"/>
        <v>0</v>
      </c>
      <c r="AF32" s="2">
        <f t="shared" si="44"/>
        <v>0</v>
      </c>
      <c r="AG32" s="2">
        <f t="shared" si="29"/>
        <v>0</v>
      </c>
      <c r="AH32" s="2">
        <f t="shared" si="45"/>
        <v>0</v>
      </c>
      <c r="AI32" s="2">
        <f t="shared" si="45"/>
        <v>0</v>
      </c>
      <c r="AJ32" s="2">
        <f t="shared" si="30"/>
        <v>0</v>
      </c>
      <c r="AK32" s="2">
        <v>464.74</v>
      </c>
      <c r="AL32" s="2">
        <v>464.74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3</v>
      </c>
      <c r="BJ32" s="2" t="s">
        <v>3</v>
      </c>
      <c r="BK32" s="2"/>
      <c r="BL32" s="2"/>
      <c r="BM32" s="2">
        <v>746</v>
      </c>
      <c r="BN32" s="2">
        <v>58973374</v>
      </c>
      <c r="BO32" s="2" t="s">
        <v>3</v>
      </c>
      <c r="BP32" s="2">
        <v>0</v>
      </c>
      <c r="BQ32" s="2">
        <v>130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1"/>
        <v>929.48</v>
      </c>
      <c r="CQ32" s="2">
        <f>ROUND((ROUND((AC32*1),2)*BC32),2)</f>
        <v>464.74</v>
      </c>
      <c r="CR32" s="2">
        <f>(ROUND((ROUND(((ET32)*AV32*1),2)*BB32),2)+ROUND((ROUND(((AE32-(EU32))*AV32*1),2)*BS32),2))</f>
        <v>0</v>
      </c>
      <c r="CS32" s="2">
        <f>(ROUND((ROUND(((EU32)*AV32*1),2)*BS32),2)+ROUND((ROUND(((AE32-(EU32))*AV32*1),2)*BS32),2))</f>
        <v>0</v>
      </c>
      <c r="CT32" s="2">
        <f t="shared" si="32"/>
        <v>0</v>
      </c>
      <c r="CU32" s="2">
        <f t="shared" si="33"/>
        <v>0</v>
      </c>
      <c r="CV32" s="2">
        <f t="shared" si="34"/>
        <v>0</v>
      </c>
      <c r="CW32" s="2">
        <f t="shared" si="35"/>
        <v>0</v>
      </c>
      <c r="CX32" s="2">
        <f t="shared" si="35"/>
        <v>0</v>
      </c>
      <c r="CY32" s="2">
        <f>(ROUND((((S32+ROUND((ROUND(((EU32)*AV32*1),2)*BS32),2))*AT32)/100),2)+ROUND(((ROUND((ROUND(((AE32-(EU32))*AV32*1),2)*BS32),2)*AT32)/100),2))</f>
        <v>0</v>
      </c>
      <c r="CZ32" s="2">
        <f>(ROUND((((S32+ROUND((ROUND(((EU32)*AV32*1),2)*BS32),2))*AU32)/100),2)+ROUND(((ROUND((ROUND(((AE32-(EU32))*AV32*1),2)*BS32),2)*AU32)/100),2))</f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1010</v>
      </c>
      <c r="DV32" s="2" t="s">
        <v>31</v>
      </c>
      <c r="DW32" s="2" t="s">
        <v>31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60088205</v>
      </c>
      <c r="EF32" s="2">
        <v>130</v>
      </c>
      <c r="EG32" s="2" t="s">
        <v>32</v>
      </c>
      <c r="EH32" s="2">
        <v>0</v>
      </c>
      <c r="EI32" s="2" t="s">
        <v>3</v>
      </c>
      <c r="EJ32" s="2">
        <v>3</v>
      </c>
      <c r="EK32" s="2">
        <v>746</v>
      </c>
      <c r="EL32" s="2" t="s">
        <v>33</v>
      </c>
      <c r="EM32" s="2" t="s">
        <v>34</v>
      </c>
      <c r="EN32" s="2"/>
      <c r="EO32" s="2" t="s">
        <v>3</v>
      </c>
      <c r="EP32" s="2"/>
      <c r="EQ32" s="2">
        <v>0</v>
      </c>
      <c r="ER32" s="2">
        <v>464.74</v>
      </c>
      <c r="ES32" s="2">
        <v>464.74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f>P32</f>
        <v>929.48</v>
      </c>
      <c r="FS32" s="2">
        <v>0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3</v>
      </c>
      <c r="GB32" s="2"/>
      <c r="GC32" s="2"/>
      <c r="GD32" s="2">
        <v>1</v>
      </c>
      <c r="GE32" s="2"/>
      <c r="GF32" s="2">
        <v>1803617062</v>
      </c>
      <c r="GG32" s="2">
        <v>2</v>
      </c>
      <c r="GH32" s="2">
        <v>1</v>
      </c>
      <c r="GI32" s="2">
        <v>-2</v>
      </c>
      <c r="GJ32" s="2">
        <v>0</v>
      </c>
      <c r="GK32" s="2">
        <v>0</v>
      </c>
      <c r="GL32" s="2">
        <f t="shared" si="36"/>
        <v>0</v>
      </c>
      <c r="GM32" s="2">
        <f t="shared" si="37"/>
        <v>929.48</v>
      </c>
      <c r="GN32" s="2">
        <f t="shared" si="38"/>
        <v>0</v>
      </c>
      <c r="GO32" s="2">
        <f t="shared" si="39"/>
        <v>0</v>
      </c>
      <c r="GP32" s="2">
        <f t="shared" si="40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1"/>
        <v>0</v>
      </c>
      <c r="GW32" s="2">
        <v>1</v>
      </c>
      <c r="GX32" s="2">
        <f t="shared" si="42"/>
        <v>0</v>
      </c>
      <c r="GY32" s="2"/>
      <c r="GZ32" s="2"/>
      <c r="HA32" s="2">
        <v>0</v>
      </c>
      <c r="HB32" s="2">
        <v>0</v>
      </c>
      <c r="HC32" s="2">
        <f t="shared" si="43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45" x14ac:dyDescent="0.2">
      <c r="A33">
        <v>17</v>
      </c>
      <c r="B33">
        <v>1</v>
      </c>
      <c r="E33" t="s">
        <v>35</v>
      </c>
      <c r="F33" t="s">
        <v>36</v>
      </c>
      <c r="G33" t="s">
        <v>37</v>
      </c>
      <c r="H33" t="s">
        <v>31</v>
      </c>
      <c r="I33">
        <v>2</v>
      </c>
      <c r="J33">
        <v>0</v>
      </c>
      <c r="K33">
        <v>2</v>
      </c>
      <c r="O33">
        <f t="shared" si="21"/>
        <v>5697.71</v>
      </c>
      <c r="P33">
        <f>ROUND((ROUND((AC33*I33),2)*BC33),2)</f>
        <v>5697.71</v>
      </c>
      <c r="Q33">
        <f>(ROUND((ROUND(((ET33)*AV33*I33),2)*BB33),2)+ROUND((ROUND(((AE33-(EU33))*AV33*I33),2)*BS33),2))</f>
        <v>0</v>
      </c>
      <c r="R33">
        <f>(ROUND((ROUND(((EU33)*AV33*I33),2)*BS33),2)+ROUND((ROUND(((AE33-(EU33))*AV33*I33),2)*BS33),2))</f>
        <v>0</v>
      </c>
      <c r="S33">
        <f t="shared" si="22"/>
        <v>0</v>
      </c>
      <c r="T33">
        <f t="shared" si="23"/>
        <v>0</v>
      </c>
      <c r="U33">
        <f t="shared" si="24"/>
        <v>0</v>
      </c>
      <c r="V33">
        <f t="shared" si="25"/>
        <v>0</v>
      </c>
      <c r="W33">
        <f t="shared" si="26"/>
        <v>0</v>
      </c>
      <c r="X33">
        <f>(ROUND((((S33+ROUND((ROUND(((EU33)*AV33*I33),2)*BS33),2))*AT33)/100),2)+ROUND(((ROUND((ROUND(((AE33-(EU33))*AV33*I33),2)*BS33),2)*AT33)/100),2))</f>
        <v>0</v>
      </c>
      <c r="Y33">
        <f>(ROUND((((S33+ROUND((ROUND(((EU33)*AV33*I33),2)*BS33),2))*AU33)/100),2)+ROUND(((ROUND((ROUND(((AE33-(EU33))*AV33*I33),2)*BS33),2)*AU33)/100),2))</f>
        <v>0</v>
      </c>
      <c r="AA33">
        <v>60255011</v>
      </c>
      <c r="AB33">
        <f t="shared" si="27"/>
        <v>464.74</v>
      </c>
      <c r="AC33">
        <f t="shared" si="28"/>
        <v>464.74</v>
      </c>
      <c r="AD33">
        <f>ROUND((((ET33)-(EU33))+AE33),6)</f>
        <v>0</v>
      </c>
      <c r="AE33">
        <f t="shared" si="44"/>
        <v>0</v>
      </c>
      <c r="AF33">
        <f t="shared" si="44"/>
        <v>0</v>
      </c>
      <c r="AG33">
        <f t="shared" si="29"/>
        <v>0</v>
      </c>
      <c r="AH33">
        <f t="shared" si="45"/>
        <v>0</v>
      </c>
      <c r="AI33">
        <f t="shared" si="45"/>
        <v>0</v>
      </c>
      <c r="AJ33">
        <f t="shared" si="30"/>
        <v>0</v>
      </c>
      <c r="AK33">
        <v>464.74</v>
      </c>
      <c r="AL33">
        <v>464.74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6.13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3</v>
      </c>
      <c r="BJ33" t="s">
        <v>3</v>
      </c>
      <c r="BM33">
        <v>746</v>
      </c>
      <c r="BN33">
        <v>58973374</v>
      </c>
      <c r="BO33" t="s">
        <v>3</v>
      </c>
      <c r="BP33">
        <v>0</v>
      </c>
      <c r="BQ33">
        <v>130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0</v>
      </c>
      <c r="CA33">
        <v>0</v>
      </c>
      <c r="CB33" t="s">
        <v>3</v>
      </c>
      <c r="CE33">
        <v>1566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1"/>
        <v>5697.71</v>
      </c>
      <c r="CQ33">
        <f>ROUND((ROUND((AC33*1),2)*BC33),2)</f>
        <v>2848.86</v>
      </c>
      <c r="CR33">
        <f>(ROUND((ROUND(((ET33)*AV33*1),2)*BB33),2)+ROUND((ROUND(((AE33-(EU33))*AV33*1),2)*BS33),2))</f>
        <v>0</v>
      </c>
      <c r="CS33">
        <f>(ROUND((ROUND(((EU33)*AV33*1),2)*BS33),2)+ROUND((ROUND(((AE33-(EU33))*AV33*1),2)*BS33),2))</f>
        <v>0</v>
      </c>
      <c r="CT33">
        <f t="shared" si="32"/>
        <v>0</v>
      </c>
      <c r="CU33">
        <f t="shared" si="33"/>
        <v>0</v>
      </c>
      <c r="CV33">
        <f t="shared" si="34"/>
        <v>0</v>
      </c>
      <c r="CW33">
        <f t="shared" si="35"/>
        <v>0</v>
      </c>
      <c r="CX33">
        <f t="shared" si="35"/>
        <v>0</v>
      </c>
      <c r="CY33">
        <f>(ROUND((((S33+ROUND((ROUND(((EU33)*AV33*1),2)*BS33),2))*AT33)/100),2)+ROUND(((ROUND((ROUND(((AE33-(EU33))*AV33*1),2)*BS33),2)*AT33)/100),2))</f>
        <v>0</v>
      </c>
      <c r="CZ33">
        <f>(ROUND((((S33+ROUND((ROUND(((EU33)*AV33*1),2)*BS33),2))*AU33)/100),2)+ROUND(((ROUND((ROUND(((AE33-(EU33))*AV33*1),2)*BS33),2)*AU33)/100),2))</f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1010</v>
      </c>
      <c r="DV33" t="s">
        <v>31</v>
      </c>
      <c r="DW33" t="s">
        <v>31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60088205</v>
      </c>
      <c r="EF33">
        <v>130</v>
      </c>
      <c r="EG33" t="s">
        <v>32</v>
      </c>
      <c r="EH33">
        <v>0</v>
      </c>
      <c r="EI33" t="s">
        <v>3</v>
      </c>
      <c r="EJ33">
        <v>3</v>
      </c>
      <c r="EK33">
        <v>746</v>
      </c>
      <c r="EL33" t="s">
        <v>33</v>
      </c>
      <c r="EM33" t="s">
        <v>34</v>
      </c>
      <c r="EO33" t="s">
        <v>3</v>
      </c>
      <c r="EQ33">
        <v>0</v>
      </c>
      <c r="ER33">
        <v>464.74</v>
      </c>
      <c r="ES33">
        <v>464.74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Q33">
        <v>0</v>
      </c>
      <c r="FR33">
        <f>P33</f>
        <v>5697.71</v>
      </c>
      <c r="FS33">
        <v>0</v>
      </c>
      <c r="FX33">
        <v>0</v>
      </c>
      <c r="FY33">
        <v>0</v>
      </c>
      <c r="GA33" t="s">
        <v>3</v>
      </c>
      <c r="GD33">
        <v>1</v>
      </c>
      <c r="GF33">
        <v>1803617062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36"/>
        <v>0</v>
      </c>
      <c r="GM33">
        <f t="shared" si="37"/>
        <v>5697.71</v>
      </c>
      <c r="GN33">
        <f t="shared" si="38"/>
        <v>0</v>
      </c>
      <c r="GO33">
        <f t="shared" si="39"/>
        <v>0</v>
      </c>
      <c r="GP33">
        <f t="shared" si="40"/>
        <v>0</v>
      </c>
      <c r="GR33">
        <v>0</v>
      </c>
      <c r="GS33">
        <v>3</v>
      </c>
      <c r="GT33">
        <v>0</v>
      </c>
      <c r="GU33" t="s">
        <v>3</v>
      </c>
      <c r="GV33">
        <f t="shared" si="41"/>
        <v>0</v>
      </c>
      <c r="GW33">
        <v>1</v>
      </c>
      <c r="GX33">
        <f t="shared" si="42"/>
        <v>0</v>
      </c>
      <c r="HA33">
        <v>0</v>
      </c>
      <c r="HB33">
        <v>0</v>
      </c>
      <c r="HC33">
        <f t="shared" si="43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5" spans="1:245" x14ac:dyDescent="0.2">
      <c r="A35" s="3">
        <v>51</v>
      </c>
      <c r="B35" s="3">
        <f>B24</f>
        <v>1</v>
      </c>
      <c r="C35" s="3">
        <f>A24</f>
        <v>4</v>
      </c>
      <c r="D35" s="3">
        <f>ROW(A24)</f>
        <v>24</v>
      </c>
      <c r="E35" s="3"/>
      <c r="F35" s="3" t="str">
        <f>IF(F24&lt;&gt;"",F24,"")</f>
        <v/>
      </c>
      <c r="G35" s="3" t="str">
        <f>IF(G24&lt;&gt;"",G24,"")</f>
        <v>Конвекторы</v>
      </c>
      <c r="H35" s="3">
        <v>0</v>
      </c>
      <c r="I35" s="3"/>
      <c r="J35" s="3"/>
      <c r="K35" s="3"/>
      <c r="L35" s="3"/>
      <c r="M35" s="3"/>
      <c r="N35" s="3"/>
      <c r="O35" s="3">
        <f t="shared" ref="O35:T35" si="46">ROUND(AB35,2)</f>
        <v>1368.77</v>
      </c>
      <c r="P35" s="3">
        <f t="shared" si="46"/>
        <v>1319.4</v>
      </c>
      <c r="Q35" s="3">
        <f t="shared" si="46"/>
        <v>3.14</v>
      </c>
      <c r="R35" s="3">
        <f t="shared" si="46"/>
        <v>0.45</v>
      </c>
      <c r="S35" s="3">
        <f t="shared" si="46"/>
        <v>46.23</v>
      </c>
      <c r="T35" s="3">
        <f t="shared" si="46"/>
        <v>0</v>
      </c>
      <c r="U35" s="3">
        <f>AH35</f>
        <v>3.5587530000000003</v>
      </c>
      <c r="V35" s="3">
        <f>AI35</f>
        <v>0</v>
      </c>
      <c r="W35" s="3">
        <f>ROUND(AJ35,2)</f>
        <v>0</v>
      </c>
      <c r="X35" s="3">
        <f>ROUND(AK35,2)</f>
        <v>45.28</v>
      </c>
      <c r="Y35" s="3">
        <f>ROUND(AL35,2)</f>
        <v>23.81</v>
      </c>
      <c r="Z35" s="3"/>
      <c r="AA35" s="3"/>
      <c r="AB35" s="3">
        <f>ROUND(SUMIF(AA28:AA33,"=60255014",O28:O33),2)</f>
        <v>1368.77</v>
      </c>
      <c r="AC35" s="3">
        <f>ROUND(SUMIF(AA28:AA33,"=60255014",P28:P33),2)</f>
        <v>1319.4</v>
      </c>
      <c r="AD35" s="3">
        <f>ROUND(SUMIF(AA28:AA33,"=60255014",Q28:Q33),2)</f>
        <v>3.14</v>
      </c>
      <c r="AE35" s="3">
        <f>ROUND(SUMIF(AA28:AA33,"=60255014",R28:R33),2)</f>
        <v>0.45</v>
      </c>
      <c r="AF35" s="3">
        <f>ROUND(SUMIF(AA28:AA33,"=60255014",S28:S33),2)</f>
        <v>46.23</v>
      </c>
      <c r="AG35" s="3">
        <f>ROUND(SUMIF(AA28:AA33,"=60255014",T28:T33),2)</f>
        <v>0</v>
      </c>
      <c r="AH35" s="3">
        <f>SUMIF(AA28:AA33,"=60255014",U28:U33)</f>
        <v>3.5587530000000003</v>
      </c>
      <c r="AI35" s="3">
        <f>SUMIF(AA28:AA33,"=60255014",V28:V33)</f>
        <v>0</v>
      </c>
      <c r="AJ35" s="3">
        <f>ROUND(SUMIF(AA28:AA33,"=60255014",W28:W33),2)</f>
        <v>0</v>
      </c>
      <c r="AK35" s="3">
        <f>ROUND(SUMIF(AA28:AA33,"=60255014",X28:X33),2)</f>
        <v>45.28</v>
      </c>
      <c r="AL35" s="3">
        <f>ROUND(SUMIF(AA28:AA33,"=60255014",Y28:Y33),2)</f>
        <v>23.81</v>
      </c>
      <c r="AM35" s="3"/>
      <c r="AN35" s="3"/>
      <c r="AO35" s="3">
        <f t="shared" ref="AO35:BD35" si="47">ROUND(BX35,2)</f>
        <v>0</v>
      </c>
      <c r="AP35" s="3">
        <f t="shared" si="47"/>
        <v>1318.17</v>
      </c>
      <c r="AQ35" s="3">
        <f t="shared" si="47"/>
        <v>0</v>
      </c>
      <c r="AR35" s="3">
        <f t="shared" si="47"/>
        <v>1437.86</v>
      </c>
      <c r="AS35" s="3">
        <f t="shared" si="47"/>
        <v>0</v>
      </c>
      <c r="AT35" s="3">
        <f t="shared" si="47"/>
        <v>119.69</v>
      </c>
      <c r="AU35" s="3">
        <f t="shared" si="47"/>
        <v>0</v>
      </c>
      <c r="AV35" s="3">
        <f t="shared" si="47"/>
        <v>1319.4</v>
      </c>
      <c r="AW35" s="3">
        <f t="shared" si="47"/>
        <v>1.23</v>
      </c>
      <c r="AX35" s="3">
        <f t="shared" si="47"/>
        <v>0</v>
      </c>
      <c r="AY35" s="3">
        <f t="shared" si="47"/>
        <v>1.23</v>
      </c>
      <c r="AZ35" s="3">
        <f t="shared" si="47"/>
        <v>1318.17</v>
      </c>
      <c r="BA35" s="3">
        <f t="shared" si="47"/>
        <v>0</v>
      </c>
      <c r="BB35" s="3">
        <f t="shared" si="47"/>
        <v>0</v>
      </c>
      <c r="BC35" s="3">
        <f t="shared" si="47"/>
        <v>0</v>
      </c>
      <c r="BD35" s="3">
        <f t="shared" si="47"/>
        <v>0</v>
      </c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>
        <f>ROUND(SUMIF(AA28:AA33,"=60255014",FQ28:FQ33),2)</f>
        <v>0</v>
      </c>
      <c r="BY35" s="3">
        <f>ROUND(SUMIF(AA28:AA33,"=60255014",FR28:FR33),2)</f>
        <v>1318.17</v>
      </c>
      <c r="BZ35" s="3">
        <f>ROUND(SUMIF(AA28:AA33,"=60255014",GL28:GL33),2)</f>
        <v>0</v>
      </c>
      <c r="CA35" s="3">
        <f>ROUND(SUMIF(AA28:AA33,"=60255014",GM28:GM33),2)</f>
        <v>1437.86</v>
      </c>
      <c r="CB35" s="3">
        <f>ROUND(SUMIF(AA28:AA33,"=60255014",GN28:GN33),2)</f>
        <v>0</v>
      </c>
      <c r="CC35" s="3">
        <f>ROUND(SUMIF(AA28:AA33,"=60255014",GO28:GO33),2)</f>
        <v>119.69</v>
      </c>
      <c r="CD35" s="3">
        <f>ROUND(SUMIF(AA28:AA33,"=60255014",GP28:GP33),2)</f>
        <v>0</v>
      </c>
      <c r="CE35" s="3">
        <f>AC35-BX35</f>
        <v>1319.4</v>
      </c>
      <c r="CF35" s="3">
        <f>AC35-BY35</f>
        <v>1.2300000000000182</v>
      </c>
      <c r="CG35" s="3">
        <f>BX35-BZ35</f>
        <v>0</v>
      </c>
      <c r="CH35" s="3">
        <f>AC35-BX35-BY35+BZ35</f>
        <v>1.2300000000000182</v>
      </c>
      <c r="CI35" s="3">
        <f>BY35-BZ35</f>
        <v>1318.17</v>
      </c>
      <c r="CJ35" s="3">
        <f>ROUND(SUMIF(AA28:AA33,"=60255014",GX28:GX33),2)</f>
        <v>0</v>
      </c>
      <c r="CK35" s="3">
        <f>ROUND(SUMIF(AA28:AA33,"=60255014",GY28:GY33),2)</f>
        <v>0</v>
      </c>
      <c r="CL35" s="3">
        <f>ROUND(SUMIF(AA28:AA33,"=60255014",GZ28:GZ33),2)</f>
        <v>0</v>
      </c>
      <c r="CM35" s="3">
        <f>ROUND(SUMIF(AA28:AA33,"=60255014",HD28:HD33),2)</f>
        <v>0</v>
      </c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4">
        <f t="shared" ref="DG35:DL35" si="48">ROUND(DT35,2)</f>
        <v>10847.4</v>
      </c>
      <c r="DH35" s="4">
        <f t="shared" si="48"/>
        <v>8256.26</v>
      </c>
      <c r="DI35" s="4">
        <f t="shared" si="48"/>
        <v>48.95</v>
      </c>
      <c r="DJ35" s="4">
        <f t="shared" si="48"/>
        <v>24.75</v>
      </c>
      <c r="DK35" s="4">
        <f t="shared" si="48"/>
        <v>2542.19</v>
      </c>
      <c r="DL35" s="4">
        <f t="shared" si="48"/>
        <v>0</v>
      </c>
      <c r="DM35" s="4">
        <f>DZ35</f>
        <v>3.5587530000000003</v>
      </c>
      <c r="DN35" s="4">
        <f>EA35</f>
        <v>0</v>
      </c>
      <c r="DO35" s="4">
        <f>ROUND(EB35,2)</f>
        <v>0</v>
      </c>
      <c r="DP35" s="4">
        <f>ROUND(EC35,2)</f>
        <v>2489.9299999999998</v>
      </c>
      <c r="DQ35" s="4">
        <f>ROUND(ED35,2)</f>
        <v>1309.1400000000001</v>
      </c>
      <c r="DR35" s="4"/>
      <c r="DS35" s="4"/>
      <c r="DT35" s="4">
        <f>ROUND(SUMIF(AA28:AA33,"=60255011",O28:O33),2)</f>
        <v>10847.4</v>
      </c>
      <c r="DU35" s="4">
        <f>ROUND(SUMIF(AA28:AA33,"=60255011",P28:P33),2)</f>
        <v>8256.26</v>
      </c>
      <c r="DV35" s="4">
        <f>ROUND(SUMIF(AA28:AA33,"=60255011",Q28:Q33),2)</f>
        <v>48.95</v>
      </c>
      <c r="DW35" s="4">
        <f>ROUND(SUMIF(AA28:AA33,"=60255011",R28:R33),2)</f>
        <v>24.75</v>
      </c>
      <c r="DX35" s="4">
        <f>ROUND(SUMIF(AA28:AA33,"=60255011",S28:S33),2)</f>
        <v>2542.19</v>
      </c>
      <c r="DY35" s="4">
        <f>ROUND(SUMIF(AA28:AA33,"=60255011",T28:T33),2)</f>
        <v>0</v>
      </c>
      <c r="DZ35" s="4">
        <f>SUMIF(AA28:AA33,"=60255011",U28:U33)</f>
        <v>3.5587530000000003</v>
      </c>
      <c r="EA35" s="4">
        <f>SUMIF(AA28:AA33,"=60255011",V28:V33)</f>
        <v>0</v>
      </c>
      <c r="EB35" s="4">
        <f>ROUND(SUMIF(AA28:AA33,"=60255011",W28:W33),2)</f>
        <v>0</v>
      </c>
      <c r="EC35" s="4">
        <f>ROUND(SUMIF(AA28:AA33,"=60255011",X28:X33),2)</f>
        <v>2489.9299999999998</v>
      </c>
      <c r="ED35" s="4">
        <f>ROUND(SUMIF(AA28:AA33,"=60255011",Y28:Y33),2)</f>
        <v>1309.1400000000001</v>
      </c>
      <c r="EE35" s="4"/>
      <c r="EF35" s="4"/>
      <c r="EG35" s="4">
        <f t="shared" ref="EG35:EV35" si="49">ROUND(FP35,2)</f>
        <v>0</v>
      </c>
      <c r="EH35" s="4">
        <f t="shared" si="49"/>
        <v>8251.4</v>
      </c>
      <c r="EI35" s="4">
        <f t="shared" si="49"/>
        <v>0</v>
      </c>
      <c r="EJ35" s="4">
        <f t="shared" si="49"/>
        <v>14646.47</v>
      </c>
      <c r="EK35" s="4">
        <f t="shared" si="49"/>
        <v>0</v>
      </c>
      <c r="EL35" s="4">
        <f t="shared" si="49"/>
        <v>6395.07</v>
      </c>
      <c r="EM35" s="4">
        <f t="shared" si="49"/>
        <v>0</v>
      </c>
      <c r="EN35" s="4">
        <f t="shared" si="49"/>
        <v>8256.26</v>
      </c>
      <c r="EO35" s="4">
        <f t="shared" si="49"/>
        <v>4.8600000000000003</v>
      </c>
      <c r="EP35" s="4">
        <f t="shared" si="49"/>
        <v>0</v>
      </c>
      <c r="EQ35" s="4">
        <f t="shared" si="49"/>
        <v>4.8600000000000003</v>
      </c>
      <c r="ER35" s="4">
        <f t="shared" si="49"/>
        <v>8251.4</v>
      </c>
      <c r="ES35" s="4">
        <f t="shared" si="49"/>
        <v>0</v>
      </c>
      <c r="ET35" s="4">
        <f t="shared" si="49"/>
        <v>0</v>
      </c>
      <c r="EU35" s="4">
        <f t="shared" si="49"/>
        <v>0</v>
      </c>
      <c r="EV35" s="4">
        <f t="shared" si="49"/>
        <v>0</v>
      </c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>
        <f>ROUND(SUMIF(AA28:AA33,"=60255011",FQ28:FQ33),2)</f>
        <v>0</v>
      </c>
      <c r="FQ35" s="4">
        <f>ROUND(SUMIF(AA28:AA33,"=60255011",FR28:FR33),2)</f>
        <v>8251.4</v>
      </c>
      <c r="FR35" s="4">
        <f>ROUND(SUMIF(AA28:AA33,"=60255011",GL28:GL33),2)</f>
        <v>0</v>
      </c>
      <c r="FS35" s="4">
        <f>ROUND(SUMIF(AA28:AA33,"=60255011",GM28:GM33),2)</f>
        <v>14646.47</v>
      </c>
      <c r="FT35" s="4">
        <f>ROUND(SUMIF(AA28:AA33,"=60255011",GN28:GN33),2)</f>
        <v>0</v>
      </c>
      <c r="FU35" s="4">
        <f>ROUND(SUMIF(AA28:AA33,"=60255011",GO28:GO33),2)</f>
        <v>6395.07</v>
      </c>
      <c r="FV35" s="4">
        <f>ROUND(SUMIF(AA28:AA33,"=60255011",GP28:GP33),2)</f>
        <v>0</v>
      </c>
      <c r="FW35" s="4">
        <f>DU35-FP35</f>
        <v>8256.26</v>
      </c>
      <c r="FX35" s="4">
        <f>DU35-FQ35</f>
        <v>4.8600000000005821</v>
      </c>
      <c r="FY35" s="4">
        <f>FP35-FR35</f>
        <v>0</v>
      </c>
      <c r="FZ35" s="4">
        <f>DU35-FP35-FQ35+FR35</f>
        <v>4.8600000000005821</v>
      </c>
      <c r="GA35" s="4">
        <f>FQ35-FR35</f>
        <v>8251.4</v>
      </c>
      <c r="GB35" s="4">
        <f>ROUND(SUMIF(AA28:AA33,"=60255011",GX28:GX33),2)</f>
        <v>0</v>
      </c>
      <c r="GC35" s="4">
        <f>ROUND(SUMIF(AA28:AA33,"=60255011",GY28:GY33),2)</f>
        <v>0</v>
      </c>
      <c r="GD35" s="4">
        <f>ROUND(SUMIF(AA28:AA33,"=60255011",GZ28:GZ33),2)</f>
        <v>0</v>
      </c>
      <c r="GE35" s="4">
        <f>ROUND(SUMIF(AA28:AA33,"=60255011",HD28:HD33),2)</f>
        <v>0</v>
      </c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>
        <v>0</v>
      </c>
    </row>
    <row r="37" spans="1:245" x14ac:dyDescent="0.2">
      <c r="A37" s="5">
        <v>50</v>
      </c>
      <c r="B37" s="5">
        <v>0</v>
      </c>
      <c r="C37" s="5">
        <v>0</v>
      </c>
      <c r="D37" s="5">
        <v>1</v>
      </c>
      <c r="E37" s="5">
        <v>201</v>
      </c>
      <c r="F37" s="5">
        <f>ROUND(Source!O35,O37)</f>
        <v>1368.77</v>
      </c>
      <c r="G37" s="5" t="s">
        <v>38</v>
      </c>
      <c r="H37" s="5" t="s">
        <v>39</v>
      </c>
      <c r="I37" s="5"/>
      <c r="J37" s="5"/>
      <c r="K37" s="5">
        <v>201</v>
      </c>
      <c r="L37" s="5">
        <v>1</v>
      </c>
      <c r="M37" s="5">
        <v>3</v>
      </c>
      <c r="N37" s="5" t="s">
        <v>3</v>
      </c>
      <c r="O37" s="5">
        <v>2</v>
      </c>
      <c r="P37" s="5">
        <f>ROUND(Source!DG35,O37)</f>
        <v>10847.4</v>
      </c>
      <c r="Q37" s="5"/>
      <c r="R37" s="5"/>
      <c r="S37" s="5"/>
      <c r="T37" s="5"/>
      <c r="U37" s="5"/>
      <c r="V37" s="5"/>
      <c r="W37" s="5">
        <v>1368.77</v>
      </c>
      <c r="X37" s="5">
        <v>1</v>
      </c>
      <c r="Y37" s="5">
        <v>1368.77</v>
      </c>
      <c r="Z37" s="5">
        <v>10847.4</v>
      </c>
      <c r="AA37" s="5">
        <v>1</v>
      </c>
      <c r="AB37" s="5">
        <v>10847.4</v>
      </c>
    </row>
    <row r="38" spans="1:245" x14ac:dyDescent="0.2">
      <c r="A38" s="5">
        <v>50</v>
      </c>
      <c r="B38" s="5">
        <v>0</v>
      </c>
      <c r="C38" s="5">
        <v>0</v>
      </c>
      <c r="D38" s="5">
        <v>1</v>
      </c>
      <c r="E38" s="5">
        <v>202</v>
      </c>
      <c r="F38" s="5">
        <f>ROUND(Source!P35,O38)</f>
        <v>1319.4</v>
      </c>
      <c r="G38" s="5" t="s">
        <v>40</v>
      </c>
      <c r="H38" s="5" t="s">
        <v>41</v>
      </c>
      <c r="I38" s="5"/>
      <c r="J38" s="5"/>
      <c r="K38" s="5">
        <v>202</v>
      </c>
      <c r="L38" s="5">
        <v>2</v>
      </c>
      <c r="M38" s="5">
        <v>3</v>
      </c>
      <c r="N38" s="5" t="s">
        <v>3</v>
      </c>
      <c r="O38" s="5">
        <v>2</v>
      </c>
      <c r="P38" s="5">
        <f>ROUND(Source!DH35,O38)</f>
        <v>8256.26</v>
      </c>
      <c r="Q38" s="5"/>
      <c r="R38" s="5"/>
      <c r="S38" s="5"/>
      <c r="T38" s="5"/>
      <c r="U38" s="5"/>
      <c r="V38" s="5"/>
      <c r="W38" s="5">
        <v>1319.4</v>
      </c>
      <c r="X38" s="5">
        <v>1</v>
      </c>
      <c r="Y38" s="5">
        <v>1319.4</v>
      </c>
      <c r="Z38" s="5">
        <v>8256.26</v>
      </c>
      <c r="AA38" s="5">
        <v>1</v>
      </c>
      <c r="AB38" s="5">
        <v>8256.26</v>
      </c>
    </row>
    <row r="39" spans="1:245" x14ac:dyDescent="0.2">
      <c r="A39" s="5">
        <v>50</v>
      </c>
      <c r="B39" s="5">
        <v>0</v>
      </c>
      <c r="C39" s="5">
        <v>0</v>
      </c>
      <c r="D39" s="5">
        <v>1</v>
      </c>
      <c r="E39" s="5">
        <v>222</v>
      </c>
      <c r="F39" s="5">
        <f>ROUND(Source!AO35,O39)</f>
        <v>0</v>
      </c>
      <c r="G39" s="5" t="s">
        <v>42</v>
      </c>
      <c r="H39" s="5" t="s">
        <v>43</v>
      </c>
      <c r="I39" s="5"/>
      <c r="J39" s="5"/>
      <c r="K39" s="5">
        <v>222</v>
      </c>
      <c r="L39" s="5">
        <v>3</v>
      </c>
      <c r="M39" s="5">
        <v>3</v>
      </c>
      <c r="N39" s="5" t="s">
        <v>3</v>
      </c>
      <c r="O39" s="5">
        <v>2</v>
      </c>
      <c r="P39" s="5">
        <f>ROUND(Source!EG35,O39)</f>
        <v>0</v>
      </c>
      <c r="Q39" s="5"/>
      <c r="R39" s="5"/>
      <c r="S39" s="5"/>
      <c r="T39" s="5"/>
      <c r="U39" s="5"/>
      <c r="V39" s="5"/>
      <c r="W39" s="5">
        <v>0</v>
      </c>
      <c r="X39" s="5">
        <v>1</v>
      </c>
      <c r="Y39" s="5">
        <v>0</v>
      </c>
      <c r="Z39" s="5">
        <v>0</v>
      </c>
      <c r="AA39" s="5">
        <v>1</v>
      </c>
      <c r="AB39" s="5">
        <v>0</v>
      </c>
    </row>
    <row r="40" spans="1:245" x14ac:dyDescent="0.2">
      <c r="A40" s="5">
        <v>50</v>
      </c>
      <c r="B40" s="5">
        <v>0</v>
      </c>
      <c r="C40" s="5">
        <v>0</v>
      </c>
      <c r="D40" s="5">
        <v>1</v>
      </c>
      <c r="E40" s="5">
        <v>225</v>
      </c>
      <c r="F40" s="5">
        <f>ROUND(Source!AV35,O40)</f>
        <v>1319.4</v>
      </c>
      <c r="G40" s="5" t="s">
        <v>44</v>
      </c>
      <c r="H40" s="5" t="s">
        <v>45</v>
      </c>
      <c r="I40" s="5"/>
      <c r="J40" s="5"/>
      <c r="K40" s="5">
        <v>225</v>
      </c>
      <c r="L40" s="5">
        <v>4</v>
      </c>
      <c r="M40" s="5">
        <v>3</v>
      </c>
      <c r="N40" s="5" t="s">
        <v>3</v>
      </c>
      <c r="O40" s="5">
        <v>2</v>
      </c>
      <c r="P40" s="5">
        <f>ROUND(Source!EN35,O40)</f>
        <v>8256.26</v>
      </c>
      <c r="Q40" s="5"/>
      <c r="R40" s="5"/>
      <c r="S40" s="5"/>
      <c r="T40" s="5"/>
      <c r="U40" s="5"/>
      <c r="V40" s="5"/>
      <c r="W40" s="5">
        <v>1319.4</v>
      </c>
      <c r="X40" s="5">
        <v>1</v>
      </c>
      <c r="Y40" s="5">
        <v>1319.4</v>
      </c>
      <c r="Z40" s="5">
        <v>8256.26</v>
      </c>
      <c r="AA40" s="5">
        <v>1</v>
      </c>
      <c r="AB40" s="5">
        <v>8256.26</v>
      </c>
    </row>
    <row r="41" spans="1:245" x14ac:dyDescent="0.2">
      <c r="A41" s="5">
        <v>50</v>
      </c>
      <c r="B41" s="5">
        <v>0</v>
      </c>
      <c r="C41" s="5">
        <v>0</v>
      </c>
      <c r="D41" s="5">
        <v>1</v>
      </c>
      <c r="E41" s="5">
        <v>226</v>
      </c>
      <c r="F41" s="5">
        <f>ROUND(Source!AW35,O41)</f>
        <v>1.23</v>
      </c>
      <c r="G41" s="5" t="s">
        <v>46</v>
      </c>
      <c r="H41" s="5" t="s">
        <v>47</v>
      </c>
      <c r="I41" s="5"/>
      <c r="J41" s="5"/>
      <c r="K41" s="5">
        <v>226</v>
      </c>
      <c r="L41" s="5">
        <v>5</v>
      </c>
      <c r="M41" s="5">
        <v>3</v>
      </c>
      <c r="N41" s="5" t="s">
        <v>3</v>
      </c>
      <c r="O41" s="5">
        <v>2</v>
      </c>
      <c r="P41" s="5">
        <f>ROUND(Source!EO35,O41)</f>
        <v>4.8600000000000003</v>
      </c>
      <c r="Q41" s="5"/>
      <c r="R41" s="5"/>
      <c r="S41" s="5"/>
      <c r="T41" s="5"/>
      <c r="U41" s="5"/>
      <c r="V41" s="5"/>
      <c r="W41" s="5">
        <v>1.23</v>
      </c>
      <c r="X41" s="5">
        <v>1</v>
      </c>
      <c r="Y41" s="5">
        <v>1.23</v>
      </c>
      <c r="Z41" s="5">
        <v>4.8600000000000003</v>
      </c>
      <c r="AA41" s="5">
        <v>1</v>
      </c>
      <c r="AB41" s="5">
        <v>4.8600000000000003</v>
      </c>
    </row>
    <row r="42" spans="1:245" x14ac:dyDescent="0.2">
      <c r="A42" s="5">
        <v>50</v>
      </c>
      <c r="B42" s="5">
        <v>0</v>
      </c>
      <c r="C42" s="5">
        <v>0</v>
      </c>
      <c r="D42" s="5">
        <v>1</v>
      </c>
      <c r="E42" s="5">
        <v>227</v>
      </c>
      <c r="F42" s="5">
        <f>ROUND(Source!AX35,O42)</f>
        <v>0</v>
      </c>
      <c r="G42" s="5" t="s">
        <v>48</v>
      </c>
      <c r="H42" s="5" t="s">
        <v>49</v>
      </c>
      <c r="I42" s="5"/>
      <c r="J42" s="5"/>
      <c r="K42" s="5">
        <v>227</v>
      </c>
      <c r="L42" s="5">
        <v>6</v>
      </c>
      <c r="M42" s="5">
        <v>3</v>
      </c>
      <c r="N42" s="5" t="s">
        <v>3</v>
      </c>
      <c r="O42" s="5">
        <v>2</v>
      </c>
      <c r="P42" s="5">
        <f>ROUND(Source!EP35,O42)</f>
        <v>0</v>
      </c>
      <c r="Q42" s="5"/>
      <c r="R42" s="5"/>
      <c r="S42" s="5"/>
      <c r="T42" s="5"/>
      <c r="U42" s="5"/>
      <c r="V42" s="5"/>
      <c r="W42" s="5">
        <v>0</v>
      </c>
      <c r="X42" s="5">
        <v>1</v>
      </c>
      <c r="Y42" s="5">
        <v>0</v>
      </c>
      <c r="Z42" s="5">
        <v>0</v>
      </c>
      <c r="AA42" s="5">
        <v>1</v>
      </c>
      <c r="AB42" s="5">
        <v>0</v>
      </c>
    </row>
    <row r="43" spans="1:245" x14ac:dyDescent="0.2">
      <c r="A43" s="5">
        <v>50</v>
      </c>
      <c r="B43" s="5">
        <v>0</v>
      </c>
      <c r="C43" s="5">
        <v>0</v>
      </c>
      <c r="D43" s="5">
        <v>1</v>
      </c>
      <c r="E43" s="5">
        <v>228</v>
      </c>
      <c r="F43" s="5">
        <f>ROUND(Source!AY35,O43)</f>
        <v>1.23</v>
      </c>
      <c r="G43" s="5" t="s">
        <v>50</v>
      </c>
      <c r="H43" s="5" t="s">
        <v>51</v>
      </c>
      <c r="I43" s="5"/>
      <c r="J43" s="5"/>
      <c r="K43" s="5">
        <v>228</v>
      </c>
      <c r="L43" s="5">
        <v>7</v>
      </c>
      <c r="M43" s="5">
        <v>3</v>
      </c>
      <c r="N43" s="5" t="s">
        <v>3</v>
      </c>
      <c r="O43" s="5">
        <v>2</v>
      </c>
      <c r="P43" s="5">
        <f>ROUND(Source!EQ35,O43)</f>
        <v>4.8600000000000003</v>
      </c>
      <c r="Q43" s="5"/>
      <c r="R43" s="5"/>
      <c r="S43" s="5"/>
      <c r="T43" s="5"/>
      <c r="U43" s="5"/>
      <c r="V43" s="5"/>
      <c r="W43" s="5">
        <v>1.23</v>
      </c>
      <c r="X43" s="5">
        <v>1</v>
      </c>
      <c r="Y43" s="5">
        <v>1.23</v>
      </c>
      <c r="Z43" s="5">
        <v>4.8600000000000003</v>
      </c>
      <c r="AA43" s="5">
        <v>1</v>
      </c>
      <c r="AB43" s="5">
        <v>4.8600000000000003</v>
      </c>
    </row>
    <row r="44" spans="1:245" x14ac:dyDescent="0.2">
      <c r="A44" s="5">
        <v>50</v>
      </c>
      <c r="B44" s="5">
        <v>0</v>
      </c>
      <c r="C44" s="5">
        <v>0</v>
      </c>
      <c r="D44" s="5">
        <v>1</v>
      </c>
      <c r="E44" s="5">
        <v>216</v>
      </c>
      <c r="F44" s="5">
        <f>ROUND(Source!AP35,O44)</f>
        <v>1318.17</v>
      </c>
      <c r="G44" s="5" t="s">
        <v>52</v>
      </c>
      <c r="H44" s="5" t="s">
        <v>53</v>
      </c>
      <c r="I44" s="5"/>
      <c r="J44" s="5"/>
      <c r="K44" s="5">
        <v>216</v>
      </c>
      <c r="L44" s="5">
        <v>8</v>
      </c>
      <c r="M44" s="5">
        <v>3</v>
      </c>
      <c r="N44" s="5" t="s">
        <v>3</v>
      </c>
      <c r="O44" s="5">
        <v>2</v>
      </c>
      <c r="P44" s="5">
        <f>ROUND(Source!EH35,O44)</f>
        <v>8251.4</v>
      </c>
      <c r="Q44" s="5"/>
      <c r="R44" s="5"/>
      <c r="S44" s="5"/>
      <c r="T44" s="5"/>
      <c r="U44" s="5"/>
      <c r="V44" s="5"/>
      <c r="W44" s="5">
        <v>1318.17</v>
      </c>
      <c r="X44" s="5">
        <v>1</v>
      </c>
      <c r="Y44" s="5">
        <v>1318.17</v>
      </c>
      <c r="Z44" s="5">
        <v>8251.4</v>
      </c>
      <c r="AA44" s="5">
        <v>1</v>
      </c>
      <c r="AB44" s="5">
        <v>8251.4</v>
      </c>
    </row>
    <row r="45" spans="1:245" x14ac:dyDescent="0.2">
      <c r="A45" s="5">
        <v>50</v>
      </c>
      <c r="B45" s="5">
        <v>0</v>
      </c>
      <c r="C45" s="5">
        <v>0</v>
      </c>
      <c r="D45" s="5">
        <v>1</v>
      </c>
      <c r="E45" s="5">
        <v>223</v>
      </c>
      <c r="F45" s="5">
        <f>ROUND(Source!AQ35,O45)</f>
        <v>0</v>
      </c>
      <c r="G45" s="5" t="s">
        <v>54</v>
      </c>
      <c r="H45" s="5" t="s">
        <v>55</v>
      </c>
      <c r="I45" s="5"/>
      <c r="J45" s="5"/>
      <c r="K45" s="5">
        <v>223</v>
      </c>
      <c r="L45" s="5">
        <v>9</v>
      </c>
      <c r="M45" s="5">
        <v>3</v>
      </c>
      <c r="N45" s="5" t="s">
        <v>3</v>
      </c>
      <c r="O45" s="5">
        <v>2</v>
      </c>
      <c r="P45" s="5">
        <f>ROUND(Source!EI35,O45)</f>
        <v>0</v>
      </c>
      <c r="Q45" s="5"/>
      <c r="R45" s="5"/>
      <c r="S45" s="5"/>
      <c r="T45" s="5"/>
      <c r="U45" s="5"/>
      <c r="V45" s="5"/>
      <c r="W45" s="5">
        <v>0</v>
      </c>
      <c r="X45" s="5">
        <v>1</v>
      </c>
      <c r="Y45" s="5">
        <v>0</v>
      </c>
      <c r="Z45" s="5">
        <v>0</v>
      </c>
      <c r="AA45" s="5">
        <v>1</v>
      </c>
      <c r="AB45" s="5">
        <v>0</v>
      </c>
    </row>
    <row r="46" spans="1:245" x14ac:dyDescent="0.2">
      <c r="A46" s="5">
        <v>50</v>
      </c>
      <c r="B46" s="5">
        <v>0</v>
      </c>
      <c r="C46" s="5">
        <v>0</v>
      </c>
      <c r="D46" s="5">
        <v>1</v>
      </c>
      <c r="E46" s="5">
        <v>229</v>
      </c>
      <c r="F46" s="5">
        <f>ROUND(Source!AZ35,O46)</f>
        <v>1318.17</v>
      </c>
      <c r="G46" s="5" t="s">
        <v>56</v>
      </c>
      <c r="H46" s="5" t="s">
        <v>57</v>
      </c>
      <c r="I46" s="5"/>
      <c r="J46" s="5"/>
      <c r="K46" s="5">
        <v>229</v>
      </c>
      <c r="L46" s="5">
        <v>10</v>
      </c>
      <c r="M46" s="5">
        <v>3</v>
      </c>
      <c r="N46" s="5" t="s">
        <v>3</v>
      </c>
      <c r="O46" s="5">
        <v>2</v>
      </c>
      <c r="P46" s="5">
        <f>ROUND(Source!ER35,O46)</f>
        <v>8251.4</v>
      </c>
      <c r="Q46" s="5"/>
      <c r="R46" s="5"/>
      <c r="S46" s="5"/>
      <c r="T46" s="5"/>
      <c r="U46" s="5"/>
      <c r="V46" s="5"/>
      <c r="W46" s="5">
        <v>1318.17</v>
      </c>
      <c r="X46" s="5">
        <v>1</v>
      </c>
      <c r="Y46" s="5">
        <v>1318.17</v>
      </c>
      <c r="Z46" s="5">
        <v>8251.4</v>
      </c>
      <c r="AA46" s="5">
        <v>1</v>
      </c>
      <c r="AB46" s="5">
        <v>8251.4</v>
      </c>
    </row>
    <row r="47" spans="1:245" x14ac:dyDescent="0.2">
      <c r="A47" s="5">
        <v>50</v>
      </c>
      <c r="B47" s="5">
        <v>0</v>
      </c>
      <c r="C47" s="5">
        <v>0</v>
      </c>
      <c r="D47" s="5">
        <v>1</v>
      </c>
      <c r="E47" s="5">
        <v>203</v>
      </c>
      <c r="F47" s="5">
        <f>ROUND(Source!Q35,O47)</f>
        <v>3.14</v>
      </c>
      <c r="G47" s="5" t="s">
        <v>58</v>
      </c>
      <c r="H47" s="5" t="s">
        <v>59</v>
      </c>
      <c r="I47" s="5"/>
      <c r="J47" s="5"/>
      <c r="K47" s="5">
        <v>203</v>
      </c>
      <c r="L47" s="5">
        <v>11</v>
      </c>
      <c r="M47" s="5">
        <v>3</v>
      </c>
      <c r="N47" s="5" t="s">
        <v>3</v>
      </c>
      <c r="O47" s="5">
        <v>2</v>
      </c>
      <c r="P47" s="5">
        <f>ROUND(Source!DI35,O47)</f>
        <v>48.95</v>
      </c>
      <c r="Q47" s="5"/>
      <c r="R47" s="5"/>
      <c r="S47" s="5"/>
      <c r="T47" s="5"/>
      <c r="U47" s="5"/>
      <c r="V47" s="5"/>
      <c r="W47" s="5">
        <v>3.14</v>
      </c>
      <c r="X47" s="5">
        <v>1</v>
      </c>
      <c r="Y47" s="5">
        <v>3.14</v>
      </c>
      <c r="Z47" s="5">
        <v>48.95</v>
      </c>
      <c r="AA47" s="5">
        <v>1</v>
      </c>
      <c r="AB47" s="5">
        <v>48.95</v>
      </c>
    </row>
    <row r="48" spans="1:245" x14ac:dyDescent="0.2">
      <c r="A48" s="5">
        <v>50</v>
      </c>
      <c r="B48" s="5">
        <v>0</v>
      </c>
      <c r="C48" s="5">
        <v>0</v>
      </c>
      <c r="D48" s="5">
        <v>1</v>
      </c>
      <c r="E48" s="5">
        <v>231</v>
      </c>
      <c r="F48" s="5">
        <f>ROUND(Source!BB35,O48)</f>
        <v>0</v>
      </c>
      <c r="G48" s="5" t="s">
        <v>60</v>
      </c>
      <c r="H48" s="5" t="s">
        <v>61</v>
      </c>
      <c r="I48" s="5"/>
      <c r="J48" s="5"/>
      <c r="K48" s="5">
        <v>231</v>
      </c>
      <c r="L48" s="5">
        <v>12</v>
      </c>
      <c r="M48" s="5">
        <v>3</v>
      </c>
      <c r="N48" s="5" t="s">
        <v>3</v>
      </c>
      <c r="O48" s="5">
        <v>2</v>
      </c>
      <c r="P48" s="5">
        <f>ROUND(Source!ET35,O48)</f>
        <v>0</v>
      </c>
      <c r="Q48" s="5"/>
      <c r="R48" s="5"/>
      <c r="S48" s="5"/>
      <c r="T48" s="5"/>
      <c r="U48" s="5"/>
      <c r="V48" s="5"/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</row>
    <row r="49" spans="1:28" x14ac:dyDescent="0.2">
      <c r="A49" s="5">
        <v>50</v>
      </c>
      <c r="B49" s="5">
        <v>0</v>
      </c>
      <c r="C49" s="5">
        <v>0</v>
      </c>
      <c r="D49" s="5">
        <v>1</v>
      </c>
      <c r="E49" s="5">
        <v>204</v>
      </c>
      <c r="F49" s="5">
        <f>ROUND(Source!R35,O49)</f>
        <v>0.45</v>
      </c>
      <c r="G49" s="5" t="s">
        <v>62</v>
      </c>
      <c r="H49" s="5" t="s">
        <v>63</v>
      </c>
      <c r="I49" s="5"/>
      <c r="J49" s="5"/>
      <c r="K49" s="5">
        <v>204</v>
      </c>
      <c r="L49" s="5">
        <v>13</v>
      </c>
      <c r="M49" s="5">
        <v>3</v>
      </c>
      <c r="N49" s="5" t="s">
        <v>3</v>
      </c>
      <c r="O49" s="5">
        <v>2</v>
      </c>
      <c r="P49" s="5">
        <f>ROUND(Source!DJ35,O49)</f>
        <v>24.75</v>
      </c>
      <c r="Q49" s="5"/>
      <c r="R49" s="5"/>
      <c r="S49" s="5"/>
      <c r="T49" s="5"/>
      <c r="U49" s="5"/>
      <c r="V49" s="5"/>
      <c r="W49" s="5">
        <v>0.45</v>
      </c>
      <c r="X49" s="5">
        <v>1</v>
      </c>
      <c r="Y49" s="5">
        <v>0.45</v>
      </c>
      <c r="Z49" s="5">
        <v>24.75</v>
      </c>
      <c r="AA49" s="5">
        <v>1</v>
      </c>
      <c r="AB49" s="5">
        <v>24.75</v>
      </c>
    </row>
    <row r="50" spans="1:28" x14ac:dyDescent="0.2">
      <c r="A50" s="5">
        <v>50</v>
      </c>
      <c r="B50" s="5">
        <v>0</v>
      </c>
      <c r="C50" s="5">
        <v>0</v>
      </c>
      <c r="D50" s="5">
        <v>1</v>
      </c>
      <c r="E50" s="5">
        <v>205</v>
      </c>
      <c r="F50" s="5">
        <f>ROUND(Source!S35,O50)</f>
        <v>46.23</v>
      </c>
      <c r="G50" s="5" t="s">
        <v>64</v>
      </c>
      <c r="H50" s="5" t="s">
        <v>65</v>
      </c>
      <c r="I50" s="5"/>
      <c r="J50" s="5"/>
      <c r="K50" s="5">
        <v>205</v>
      </c>
      <c r="L50" s="5">
        <v>14</v>
      </c>
      <c r="M50" s="5">
        <v>3</v>
      </c>
      <c r="N50" s="5" t="s">
        <v>3</v>
      </c>
      <c r="O50" s="5">
        <v>2</v>
      </c>
      <c r="P50" s="5">
        <f>ROUND(Source!DK35,O50)</f>
        <v>2542.19</v>
      </c>
      <c r="Q50" s="5"/>
      <c r="R50" s="5"/>
      <c r="S50" s="5"/>
      <c r="T50" s="5"/>
      <c r="U50" s="5"/>
      <c r="V50" s="5"/>
      <c r="W50" s="5">
        <v>46.23</v>
      </c>
      <c r="X50" s="5">
        <v>1</v>
      </c>
      <c r="Y50" s="5">
        <v>46.23</v>
      </c>
      <c r="Z50" s="5">
        <v>2542.19</v>
      </c>
      <c r="AA50" s="5">
        <v>1</v>
      </c>
      <c r="AB50" s="5">
        <v>2542.19</v>
      </c>
    </row>
    <row r="51" spans="1:28" x14ac:dyDescent="0.2">
      <c r="A51" s="5">
        <v>50</v>
      </c>
      <c r="B51" s="5">
        <v>0</v>
      </c>
      <c r="C51" s="5">
        <v>0</v>
      </c>
      <c r="D51" s="5">
        <v>1</v>
      </c>
      <c r="E51" s="5">
        <v>232</v>
      </c>
      <c r="F51" s="5">
        <f>ROUND(Source!BC35,O51)</f>
        <v>0</v>
      </c>
      <c r="G51" s="5" t="s">
        <v>66</v>
      </c>
      <c r="H51" s="5" t="s">
        <v>67</v>
      </c>
      <c r="I51" s="5"/>
      <c r="J51" s="5"/>
      <c r="K51" s="5">
        <v>232</v>
      </c>
      <c r="L51" s="5">
        <v>15</v>
      </c>
      <c r="M51" s="5">
        <v>3</v>
      </c>
      <c r="N51" s="5" t="s">
        <v>3</v>
      </c>
      <c r="O51" s="5">
        <v>2</v>
      </c>
      <c r="P51" s="5">
        <f>ROUND(Source!EU35,O51)</f>
        <v>0</v>
      </c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</row>
    <row r="52" spans="1:28" x14ac:dyDescent="0.2">
      <c r="A52" s="5">
        <v>50</v>
      </c>
      <c r="B52" s="5">
        <v>0</v>
      </c>
      <c r="C52" s="5">
        <v>0</v>
      </c>
      <c r="D52" s="5">
        <v>1</v>
      </c>
      <c r="E52" s="5">
        <v>214</v>
      </c>
      <c r="F52" s="5">
        <f>ROUND(Source!AS35,O52)</f>
        <v>0</v>
      </c>
      <c r="G52" s="5" t="s">
        <v>68</v>
      </c>
      <c r="H52" s="5" t="s">
        <v>69</v>
      </c>
      <c r="I52" s="5"/>
      <c r="J52" s="5"/>
      <c r="K52" s="5">
        <v>214</v>
      </c>
      <c r="L52" s="5">
        <v>16</v>
      </c>
      <c r="M52" s="5">
        <v>3</v>
      </c>
      <c r="N52" s="5" t="s">
        <v>3</v>
      </c>
      <c r="O52" s="5">
        <v>2</v>
      </c>
      <c r="P52" s="5">
        <f>ROUND(Source!EK35,O52)</f>
        <v>0</v>
      </c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0</v>
      </c>
    </row>
    <row r="53" spans="1:28" x14ac:dyDescent="0.2">
      <c r="A53" s="5">
        <v>50</v>
      </c>
      <c r="B53" s="5">
        <v>0</v>
      </c>
      <c r="C53" s="5">
        <v>0</v>
      </c>
      <c r="D53" s="5">
        <v>1</v>
      </c>
      <c r="E53" s="5">
        <v>215</v>
      </c>
      <c r="F53" s="5">
        <f>ROUND(Source!AT35,O53)</f>
        <v>119.69</v>
      </c>
      <c r="G53" s="5" t="s">
        <v>70</v>
      </c>
      <c r="H53" s="5" t="s">
        <v>71</v>
      </c>
      <c r="I53" s="5"/>
      <c r="J53" s="5"/>
      <c r="K53" s="5">
        <v>215</v>
      </c>
      <c r="L53" s="5">
        <v>17</v>
      </c>
      <c r="M53" s="5">
        <v>3</v>
      </c>
      <c r="N53" s="5" t="s">
        <v>3</v>
      </c>
      <c r="O53" s="5">
        <v>2</v>
      </c>
      <c r="P53" s="5">
        <f>ROUND(Source!EL35,O53)</f>
        <v>6395.07</v>
      </c>
      <c r="Q53" s="5"/>
      <c r="R53" s="5"/>
      <c r="S53" s="5"/>
      <c r="T53" s="5"/>
      <c r="U53" s="5"/>
      <c r="V53" s="5"/>
      <c r="W53" s="5">
        <v>119.69</v>
      </c>
      <c r="X53" s="5">
        <v>1</v>
      </c>
      <c r="Y53" s="5">
        <v>119.69</v>
      </c>
      <c r="Z53" s="5">
        <v>6395.07</v>
      </c>
      <c r="AA53" s="5">
        <v>1</v>
      </c>
      <c r="AB53" s="5">
        <v>6395.07</v>
      </c>
    </row>
    <row r="54" spans="1:28" x14ac:dyDescent="0.2">
      <c r="A54" s="5">
        <v>50</v>
      </c>
      <c r="B54" s="5">
        <v>0</v>
      </c>
      <c r="C54" s="5">
        <v>0</v>
      </c>
      <c r="D54" s="5">
        <v>1</v>
      </c>
      <c r="E54" s="5">
        <v>217</v>
      </c>
      <c r="F54" s="5">
        <f>ROUND(Source!AU35,O54)</f>
        <v>0</v>
      </c>
      <c r="G54" s="5" t="s">
        <v>72</v>
      </c>
      <c r="H54" s="5" t="s">
        <v>73</v>
      </c>
      <c r="I54" s="5"/>
      <c r="J54" s="5"/>
      <c r="K54" s="5">
        <v>217</v>
      </c>
      <c r="L54" s="5">
        <v>18</v>
      </c>
      <c r="M54" s="5">
        <v>3</v>
      </c>
      <c r="N54" s="5" t="s">
        <v>3</v>
      </c>
      <c r="O54" s="5">
        <v>2</v>
      </c>
      <c r="P54" s="5">
        <f>ROUND(Source!EM35,O54)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8" x14ac:dyDescent="0.2">
      <c r="A55" s="5">
        <v>50</v>
      </c>
      <c r="B55" s="5">
        <v>0</v>
      </c>
      <c r="C55" s="5">
        <v>0</v>
      </c>
      <c r="D55" s="5">
        <v>1</v>
      </c>
      <c r="E55" s="5">
        <v>230</v>
      </c>
      <c r="F55" s="5">
        <f>ROUND(Source!BA35,O55)</f>
        <v>0</v>
      </c>
      <c r="G55" s="5" t="s">
        <v>74</v>
      </c>
      <c r="H55" s="5" t="s">
        <v>75</v>
      </c>
      <c r="I55" s="5"/>
      <c r="J55" s="5"/>
      <c r="K55" s="5">
        <v>230</v>
      </c>
      <c r="L55" s="5">
        <v>19</v>
      </c>
      <c r="M55" s="5">
        <v>3</v>
      </c>
      <c r="N55" s="5" t="s">
        <v>3</v>
      </c>
      <c r="O55" s="5">
        <v>2</v>
      </c>
      <c r="P55" s="5">
        <f>ROUND(Source!ES35,O55)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8" x14ac:dyDescent="0.2">
      <c r="A56" s="5">
        <v>50</v>
      </c>
      <c r="B56" s="5">
        <v>0</v>
      </c>
      <c r="C56" s="5">
        <v>0</v>
      </c>
      <c r="D56" s="5">
        <v>1</v>
      </c>
      <c r="E56" s="5">
        <v>206</v>
      </c>
      <c r="F56" s="5">
        <f>ROUND(Source!T35,O56)</f>
        <v>0</v>
      </c>
      <c r="G56" s="5" t="s">
        <v>76</v>
      </c>
      <c r="H56" s="5" t="s">
        <v>77</v>
      </c>
      <c r="I56" s="5"/>
      <c r="J56" s="5"/>
      <c r="K56" s="5">
        <v>206</v>
      </c>
      <c r="L56" s="5">
        <v>20</v>
      </c>
      <c r="M56" s="5">
        <v>3</v>
      </c>
      <c r="N56" s="5" t="s">
        <v>3</v>
      </c>
      <c r="O56" s="5">
        <v>2</v>
      </c>
      <c r="P56" s="5">
        <f>ROUND(Source!DL35,O56)</f>
        <v>0</v>
      </c>
      <c r="Q56" s="5"/>
      <c r="R56" s="5"/>
      <c r="S56" s="5"/>
      <c r="T56" s="5"/>
      <c r="U56" s="5"/>
      <c r="V56" s="5"/>
      <c r="W56" s="5">
        <v>0</v>
      </c>
      <c r="X56" s="5">
        <v>1</v>
      </c>
      <c r="Y56" s="5">
        <v>0</v>
      </c>
      <c r="Z56" s="5">
        <v>0</v>
      </c>
      <c r="AA56" s="5">
        <v>1</v>
      </c>
      <c r="AB56" s="5">
        <v>0</v>
      </c>
    </row>
    <row r="57" spans="1:28" x14ac:dyDescent="0.2">
      <c r="A57" s="5">
        <v>50</v>
      </c>
      <c r="B57" s="5">
        <v>0</v>
      </c>
      <c r="C57" s="5">
        <v>0</v>
      </c>
      <c r="D57" s="5">
        <v>1</v>
      </c>
      <c r="E57" s="5">
        <v>207</v>
      </c>
      <c r="F57" s="5">
        <f>Source!U35</f>
        <v>3.5587530000000003</v>
      </c>
      <c r="G57" s="5" t="s">
        <v>78</v>
      </c>
      <c r="H57" s="5" t="s">
        <v>79</v>
      </c>
      <c r="I57" s="5"/>
      <c r="J57" s="5"/>
      <c r="K57" s="5">
        <v>207</v>
      </c>
      <c r="L57" s="5">
        <v>21</v>
      </c>
      <c r="M57" s="5">
        <v>3</v>
      </c>
      <c r="N57" s="5" t="s">
        <v>3</v>
      </c>
      <c r="O57" s="5">
        <v>-1</v>
      </c>
      <c r="P57" s="5">
        <f>Source!DM35</f>
        <v>3.5587530000000003</v>
      </c>
      <c r="Q57" s="5"/>
      <c r="R57" s="5"/>
      <c r="S57" s="5"/>
      <c r="T57" s="5"/>
      <c r="U57" s="5"/>
      <c r="V57" s="5"/>
      <c r="W57" s="5">
        <v>3.5587529999999998</v>
      </c>
      <c r="X57" s="5">
        <v>1</v>
      </c>
      <c r="Y57" s="5">
        <v>3.5587529999999998</v>
      </c>
      <c r="Z57" s="5">
        <v>3.5587529999999998</v>
      </c>
      <c r="AA57" s="5">
        <v>1</v>
      </c>
      <c r="AB57" s="5">
        <v>3.5587529999999998</v>
      </c>
    </row>
    <row r="58" spans="1:28" x14ac:dyDescent="0.2">
      <c r="A58" s="5">
        <v>50</v>
      </c>
      <c r="B58" s="5">
        <v>0</v>
      </c>
      <c r="C58" s="5">
        <v>0</v>
      </c>
      <c r="D58" s="5">
        <v>1</v>
      </c>
      <c r="E58" s="5">
        <v>208</v>
      </c>
      <c r="F58" s="5">
        <f>Source!V35</f>
        <v>0</v>
      </c>
      <c r="G58" s="5" t="s">
        <v>80</v>
      </c>
      <c r="H58" s="5" t="s">
        <v>81</v>
      </c>
      <c r="I58" s="5"/>
      <c r="J58" s="5"/>
      <c r="K58" s="5">
        <v>208</v>
      </c>
      <c r="L58" s="5">
        <v>22</v>
      </c>
      <c r="M58" s="5">
        <v>3</v>
      </c>
      <c r="N58" s="5" t="s">
        <v>3</v>
      </c>
      <c r="O58" s="5">
        <v>-1</v>
      </c>
      <c r="P58" s="5">
        <f>Source!DN35</f>
        <v>0</v>
      </c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</row>
    <row r="59" spans="1:28" x14ac:dyDescent="0.2">
      <c r="A59" s="5">
        <v>50</v>
      </c>
      <c r="B59" s="5">
        <v>0</v>
      </c>
      <c r="C59" s="5">
        <v>0</v>
      </c>
      <c r="D59" s="5">
        <v>1</v>
      </c>
      <c r="E59" s="5">
        <v>209</v>
      </c>
      <c r="F59" s="5">
        <f>ROUND(Source!W35,O59)</f>
        <v>0</v>
      </c>
      <c r="G59" s="5" t="s">
        <v>82</v>
      </c>
      <c r="H59" s="5" t="s">
        <v>83</v>
      </c>
      <c r="I59" s="5"/>
      <c r="J59" s="5"/>
      <c r="K59" s="5">
        <v>209</v>
      </c>
      <c r="L59" s="5">
        <v>23</v>
      </c>
      <c r="M59" s="5">
        <v>3</v>
      </c>
      <c r="N59" s="5" t="s">
        <v>3</v>
      </c>
      <c r="O59" s="5">
        <v>2</v>
      </c>
      <c r="P59" s="5">
        <f>ROUND(Source!DO35,O59)</f>
        <v>0</v>
      </c>
      <c r="Q59" s="5"/>
      <c r="R59" s="5"/>
      <c r="S59" s="5"/>
      <c r="T59" s="5"/>
      <c r="U59" s="5"/>
      <c r="V59" s="5"/>
      <c r="W59" s="5">
        <v>0</v>
      </c>
      <c r="X59" s="5">
        <v>1</v>
      </c>
      <c r="Y59" s="5">
        <v>0</v>
      </c>
      <c r="Z59" s="5">
        <v>0</v>
      </c>
      <c r="AA59" s="5">
        <v>1</v>
      </c>
      <c r="AB59" s="5">
        <v>0</v>
      </c>
    </row>
    <row r="60" spans="1:28" x14ac:dyDescent="0.2">
      <c r="A60" s="5">
        <v>50</v>
      </c>
      <c r="B60" s="5">
        <v>0</v>
      </c>
      <c r="C60" s="5">
        <v>0</v>
      </c>
      <c r="D60" s="5">
        <v>1</v>
      </c>
      <c r="E60" s="5">
        <v>233</v>
      </c>
      <c r="F60" s="5">
        <f>ROUND(Source!BD35,O60)</f>
        <v>0</v>
      </c>
      <c r="G60" s="5" t="s">
        <v>84</v>
      </c>
      <c r="H60" s="5" t="s">
        <v>85</v>
      </c>
      <c r="I60" s="5"/>
      <c r="J60" s="5"/>
      <c r="K60" s="5">
        <v>233</v>
      </c>
      <c r="L60" s="5">
        <v>24</v>
      </c>
      <c r="M60" s="5">
        <v>3</v>
      </c>
      <c r="N60" s="5" t="s">
        <v>3</v>
      </c>
      <c r="O60" s="5">
        <v>2</v>
      </c>
      <c r="P60" s="5">
        <f>ROUND(Source!EV35,O60)</f>
        <v>0</v>
      </c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>
        <v>0</v>
      </c>
      <c r="AA60" s="5">
        <v>1</v>
      </c>
      <c r="AB60" s="5">
        <v>0</v>
      </c>
    </row>
    <row r="61" spans="1:28" x14ac:dyDescent="0.2">
      <c r="A61" s="5">
        <v>50</v>
      </c>
      <c r="B61" s="5">
        <v>0</v>
      </c>
      <c r="C61" s="5">
        <v>0</v>
      </c>
      <c r="D61" s="5">
        <v>1</v>
      </c>
      <c r="E61" s="5">
        <v>210</v>
      </c>
      <c r="F61" s="5">
        <f>ROUND(Source!X35,O61)</f>
        <v>45.28</v>
      </c>
      <c r="G61" s="5" t="s">
        <v>86</v>
      </c>
      <c r="H61" s="5" t="s">
        <v>87</v>
      </c>
      <c r="I61" s="5"/>
      <c r="J61" s="5"/>
      <c r="K61" s="5">
        <v>210</v>
      </c>
      <c r="L61" s="5">
        <v>25</v>
      </c>
      <c r="M61" s="5">
        <v>3</v>
      </c>
      <c r="N61" s="5" t="s">
        <v>3</v>
      </c>
      <c r="O61" s="5">
        <v>2</v>
      </c>
      <c r="P61" s="5">
        <f>ROUND(Source!DP35,O61)</f>
        <v>2489.9299999999998</v>
      </c>
      <c r="Q61" s="5"/>
      <c r="R61" s="5"/>
      <c r="S61" s="5"/>
      <c r="T61" s="5"/>
      <c r="U61" s="5"/>
      <c r="V61" s="5"/>
      <c r="W61" s="5">
        <v>45.28</v>
      </c>
      <c r="X61" s="5">
        <v>1</v>
      </c>
      <c r="Y61" s="5">
        <v>45.28</v>
      </c>
      <c r="Z61" s="5">
        <v>2489.9299999999998</v>
      </c>
      <c r="AA61" s="5">
        <v>1</v>
      </c>
      <c r="AB61" s="5">
        <v>2489.9299999999998</v>
      </c>
    </row>
    <row r="62" spans="1:28" x14ac:dyDescent="0.2">
      <c r="A62" s="5">
        <v>50</v>
      </c>
      <c r="B62" s="5">
        <v>0</v>
      </c>
      <c r="C62" s="5">
        <v>0</v>
      </c>
      <c r="D62" s="5">
        <v>1</v>
      </c>
      <c r="E62" s="5">
        <v>211</v>
      </c>
      <c r="F62" s="5">
        <f>ROUND(Source!Y35,O62)</f>
        <v>23.81</v>
      </c>
      <c r="G62" s="5" t="s">
        <v>88</v>
      </c>
      <c r="H62" s="5" t="s">
        <v>89</v>
      </c>
      <c r="I62" s="5"/>
      <c r="J62" s="5"/>
      <c r="K62" s="5">
        <v>211</v>
      </c>
      <c r="L62" s="5">
        <v>26</v>
      </c>
      <c r="M62" s="5">
        <v>3</v>
      </c>
      <c r="N62" s="5" t="s">
        <v>3</v>
      </c>
      <c r="O62" s="5">
        <v>2</v>
      </c>
      <c r="P62" s="5">
        <f>ROUND(Source!DQ35,O62)</f>
        <v>1309.1400000000001</v>
      </c>
      <c r="Q62" s="5"/>
      <c r="R62" s="5"/>
      <c r="S62" s="5"/>
      <c r="T62" s="5"/>
      <c r="U62" s="5"/>
      <c r="V62" s="5"/>
      <c r="W62" s="5">
        <v>23.81</v>
      </c>
      <c r="X62" s="5">
        <v>1</v>
      </c>
      <c r="Y62" s="5">
        <v>23.81</v>
      </c>
      <c r="Z62" s="5">
        <v>1309.1400000000001</v>
      </c>
      <c r="AA62" s="5">
        <v>1</v>
      </c>
      <c r="AB62" s="5">
        <v>1309.1400000000001</v>
      </c>
    </row>
    <row r="63" spans="1:28" x14ac:dyDescent="0.2">
      <c r="A63" s="5">
        <v>50</v>
      </c>
      <c r="B63" s="5">
        <v>0</v>
      </c>
      <c r="C63" s="5">
        <v>0</v>
      </c>
      <c r="D63" s="5">
        <v>1</v>
      </c>
      <c r="E63" s="5">
        <v>224</v>
      </c>
      <c r="F63" s="5">
        <f>ROUND(Source!AR35,O63)</f>
        <v>1437.86</v>
      </c>
      <c r="G63" s="5" t="s">
        <v>90</v>
      </c>
      <c r="H63" s="5" t="s">
        <v>91</v>
      </c>
      <c r="I63" s="5"/>
      <c r="J63" s="5"/>
      <c r="K63" s="5">
        <v>224</v>
      </c>
      <c r="L63" s="5">
        <v>27</v>
      </c>
      <c r="M63" s="5">
        <v>3</v>
      </c>
      <c r="N63" s="5" t="s">
        <v>3</v>
      </c>
      <c r="O63" s="5">
        <v>2</v>
      </c>
      <c r="P63" s="5">
        <f>ROUND(Source!EJ35,O63)</f>
        <v>14646.47</v>
      </c>
      <c r="Q63" s="5"/>
      <c r="R63" s="5"/>
      <c r="S63" s="5"/>
      <c r="T63" s="5"/>
      <c r="U63" s="5"/>
      <c r="V63" s="5"/>
      <c r="W63" s="5">
        <v>1437.86</v>
      </c>
      <c r="X63" s="5">
        <v>1</v>
      </c>
      <c r="Y63" s="5">
        <v>1437.86</v>
      </c>
      <c r="Z63" s="5">
        <v>14646.47</v>
      </c>
      <c r="AA63" s="5">
        <v>1</v>
      </c>
      <c r="AB63" s="5">
        <v>14646.47</v>
      </c>
    </row>
    <row r="65" spans="1:255" x14ac:dyDescent="0.2">
      <c r="A65" s="1">
        <v>4</v>
      </c>
      <c r="B65" s="1">
        <v>1</v>
      </c>
      <c r="C65" s="1"/>
      <c r="D65" s="1">
        <f>ROW(A176)</f>
        <v>176</v>
      </c>
      <c r="E65" s="1"/>
      <c r="F65" s="1" t="s">
        <v>3</v>
      </c>
      <c r="G65" s="1" t="s">
        <v>92</v>
      </c>
      <c r="H65" s="1" t="s">
        <v>3</v>
      </c>
      <c r="I65" s="1">
        <v>0</v>
      </c>
      <c r="J65" s="1"/>
      <c r="K65" s="1">
        <v>-1</v>
      </c>
      <c r="L65" s="1"/>
      <c r="M65" s="1" t="s">
        <v>3</v>
      </c>
      <c r="N65" s="1"/>
      <c r="O65" s="1"/>
      <c r="P65" s="1"/>
      <c r="Q65" s="1"/>
      <c r="R65" s="1"/>
      <c r="S65" s="1">
        <v>0</v>
      </c>
      <c r="T65" s="1">
        <v>0</v>
      </c>
      <c r="U65" s="1" t="s">
        <v>3</v>
      </c>
      <c r="V65" s="1">
        <v>0</v>
      </c>
      <c r="W65" s="1"/>
      <c r="X65" s="1"/>
      <c r="Y65" s="1"/>
      <c r="Z65" s="1"/>
      <c r="AA65" s="1"/>
      <c r="AB65" s="1" t="s">
        <v>3</v>
      </c>
      <c r="AC65" s="1" t="s">
        <v>3</v>
      </c>
      <c r="AD65" s="1" t="s">
        <v>3</v>
      </c>
      <c r="AE65" s="1" t="s">
        <v>3</v>
      </c>
      <c r="AF65" s="1" t="s">
        <v>3</v>
      </c>
      <c r="AG65" s="1" t="s">
        <v>3</v>
      </c>
      <c r="AH65" s="1"/>
      <c r="AI65" s="1"/>
      <c r="AJ65" s="1"/>
      <c r="AK65" s="1"/>
      <c r="AL65" s="1"/>
      <c r="AM65" s="1"/>
      <c r="AN65" s="1"/>
      <c r="AO65" s="1"/>
      <c r="AP65" s="1" t="s">
        <v>3</v>
      </c>
      <c r="AQ65" s="1" t="s">
        <v>3</v>
      </c>
      <c r="AR65" s="1" t="s">
        <v>3</v>
      </c>
      <c r="AS65" s="1"/>
      <c r="AT65" s="1"/>
      <c r="AU65" s="1"/>
      <c r="AV65" s="1"/>
      <c r="AW65" s="1"/>
      <c r="AX65" s="1"/>
      <c r="AY65" s="1"/>
      <c r="AZ65" s="1" t="s">
        <v>3</v>
      </c>
      <c r="BA65" s="1"/>
      <c r="BB65" s="1" t="s">
        <v>3</v>
      </c>
      <c r="BC65" s="1" t="s">
        <v>3</v>
      </c>
      <c r="BD65" s="1" t="s">
        <v>3</v>
      </c>
      <c r="BE65" s="1" t="s">
        <v>3</v>
      </c>
      <c r="BF65" s="1" t="s">
        <v>3</v>
      </c>
      <c r="BG65" s="1" t="s">
        <v>3</v>
      </c>
      <c r="BH65" s="1" t="s">
        <v>3</v>
      </c>
      <c r="BI65" s="1" t="s">
        <v>3</v>
      </c>
      <c r="BJ65" s="1" t="s">
        <v>3</v>
      </c>
      <c r="BK65" s="1" t="s">
        <v>3</v>
      </c>
      <c r="BL65" s="1" t="s">
        <v>3</v>
      </c>
      <c r="BM65" s="1" t="s">
        <v>3</v>
      </c>
      <c r="BN65" s="1" t="s">
        <v>3</v>
      </c>
      <c r="BO65" s="1" t="s">
        <v>3</v>
      </c>
      <c r="BP65" s="1" t="s">
        <v>3</v>
      </c>
      <c r="BQ65" s="1"/>
      <c r="BR65" s="1"/>
      <c r="BS65" s="1"/>
      <c r="BT65" s="1"/>
      <c r="BU65" s="1"/>
      <c r="BV65" s="1"/>
      <c r="BW65" s="1"/>
      <c r="BX65" s="1">
        <v>0</v>
      </c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>
        <v>0</v>
      </c>
    </row>
    <row r="67" spans="1:255" x14ac:dyDescent="0.2">
      <c r="A67" s="3">
        <v>52</v>
      </c>
      <c r="B67" s="3">
        <f t="shared" ref="B67:G67" si="50">B176</f>
        <v>1</v>
      </c>
      <c r="C67" s="3">
        <f t="shared" si="50"/>
        <v>4</v>
      </c>
      <c r="D67" s="3">
        <f t="shared" si="50"/>
        <v>65</v>
      </c>
      <c r="E67" s="3">
        <f t="shared" si="50"/>
        <v>0</v>
      </c>
      <c r="F67" s="3" t="str">
        <f t="shared" si="50"/>
        <v/>
      </c>
      <c r="G67" s="3" t="str">
        <f t="shared" si="50"/>
        <v>Радиаторы отопления</v>
      </c>
      <c r="H67" s="3"/>
      <c r="I67" s="3"/>
      <c r="J67" s="3"/>
      <c r="K67" s="3"/>
      <c r="L67" s="3"/>
      <c r="M67" s="3"/>
      <c r="N67" s="3"/>
      <c r="O67" s="3">
        <f t="shared" ref="O67:AT67" si="51">O176</f>
        <v>606112.63</v>
      </c>
      <c r="P67" s="3">
        <f t="shared" si="51"/>
        <v>594287.54</v>
      </c>
      <c r="Q67" s="3">
        <f t="shared" si="51"/>
        <v>607.51</v>
      </c>
      <c r="R67" s="3">
        <f t="shared" si="51"/>
        <v>63.31</v>
      </c>
      <c r="S67" s="3">
        <f t="shared" si="51"/>
        <v>11217.58</v>
      </c>
      <c r="T67" s="3">
        <f t="shared" si="51"/>
        <v>0</v>
      </c>
      <c r="U67" s="3">
        <f t="shared" si="51"/>
        <v>918.31099025050003</v>
      </c>
      <c r="V67" s="3">
        <f t="shared" si="51"/>
        <v>0</v>
      </c>
      <c r="W67" s="3">
        <f t="shared" si="51"/>
        <v>0</v>
      </c>
      <c r="X67" s="3">
        <f t="shared" si="51"/>
        <v>11955.61</v>
      </c>
      <c r="Y67" s="3">
        <f t="shared" si="51"/>
        <v>6612.5</v>
      </c>
      <c r="Z67" s="3">
        <f t="shared" si="51"/>
        <v>0</v>
      </c>
      <c r="AA67" s="3">
        <f t="shared" si="51"/>
        <v>0</v>
      </c>
      <c r="AB67" s="3">
        <f t="shared" si="51"/>
        <v>606112.63</v>
      </c>
      <c r="AC67" s="3">
        <f t="shared" si="51"/>
        <v>594287.54</v>
      </c>
      <c r="AD67" s="3">
        <f t="shared" si="51"/>
        <v>607.51</v>
      </c>
      <c r="AE67" s="3">
        <f t="shared" si="51"/>
        <v>63.31</v>
      </c>
      <c r="AF67" s="3">
        <f t="shared" si="51"/>
        <v>11217.58</v>
      </c>
      <c r="AG67" s="3">
        <f t="shared" si="51"/>
        <v>0</v>
      </c>
      <c r="AH67" s="3">
        <f t="shared" si="51"/>
        <v>918.31099025050003</v>
      </c>
      <c r="AI67" s="3">
        <f t="shared" si="51"/>
        <v>0</v>
      </c>
      <c r="AJ67" s="3">
        <f t="shared" si="51"/>
        <v>0</v>
      </c>
      <c r="AK67" s="3">
        <f t="shared" si="51"/>
        <v>11955.61</v>
      </c>
      <c r="AL67" s="3">
        <f t="shared" si="51"/>
        <v>6612.5</v>
      </c>
      <c r="AM67" s="3">
        <f t="shared" si="51"/>
        <v>0</v>
      </c>
      <c r="AN67" s="3">
        <f t="shared" si="51"/>
        <v>0</v>
      </c>
      <c r="AO67" s="3">
        <f t="shared" si="51"/>
        <v>0</v>
      </c>
      <c r="AP67" s="3">
        <f t="shared" si="51"/>
        <v>0</v>
      </c>
      <c r="AQ67" s="3">
        <f t="shared" si="51"/>
        <v>0</v>
      </c>
      <c r="AR67" s="3">
        <f t="shared" si="51"/>
        <v>624680.74</v>
      </c>
      <c r="AS67" s="3">
        <f t="shared" si="51"/>
        <v>601348.38</v>
      </c>
      <c r="AT67" s="3">
        <f t="shared" si="51"/>
        <v>23332.36</v>
      </c>
      <c r="AU67" s="3">
        <f t="shared" ref="AU67:BZ67" si="52">AU176</f>
        <v>0</v>
      </c>
      <c r="AV67" s="3">
        <f t="shared" si="52"/>
        <v>594287.54</v>
      </c>
      <c r="AW67" s="3">
        <f t="shared" si="52"/>
        <v>594287.54</v>
      </c>
      <c r="AX67" s="3">
        <f t="shared" si="52"/>
        <v>0</v>
      </c>
      <c r="AY67" s="3">
        <f t="shared" si="52"/>
        <v>594287.54</v>
      </c>
      <c r="AZ67" s="3">
        <f t="shared" si="52"/>
        <v>0</v>
      </c>
      <c r="BA67" s="3">
        <f t="shared" si="52"/>
        <v>0</v>
      </c>
      <c r="BB67" s="3">
        <f t="shared" si="52"/>
        <v>0</v>
      </c>
      <c r="BC67" s="3">
        <f t="shared" si="52"/>
        <v>0</v>
      </c>
      <c r="BD67" s="3">
        <f t="shared" si="52"/>
        <v>0</v>
      </c>
      <c r="BE67" s="3">
        <f t="shared" si="52"/>
        <v>0</v>
      </c>
      <c r="BF67" s="3">
        <f t="shared" si="52"/>
        <v>0</v>
      </c>
      <c r="BG67" s="3">
        <f t="shared" si="52"/>
        <v>0</v>
      </c>
      <c r="BH67" s="3">
        <f t="shared" si="52"/>
        <v>0</v>
      </c>
      <c r="BI67" s="3">
        <f t="shared" si="52"/>
        <v>0</v>
      </c>
      <c r="BJ67" s="3">
        <f t="shared" si="52"/>
        <v>0</v>
      </c>
      <c r="BK67" s="3">
        <f t="shared" si="52"/>
        <v>0</v>
      </c>
      <c r="BL67" s="3">
        <f t="shared" si="52"/>
        <v>0</v>
      </c>
      <c r="BM67" s="3">
        <f t="shared" si="52"/>
        <v>0</v>
      </c>
      <c r="BN67" s="3">
        <f t="shared" si="52"/>
        <v>0</v>
      </c>
      <c r="BO67" s="3">
        <f t="shared" si="52"/>
        <v>0</v>
      </c>
      <c r="BP67" s="3">
        <f t="shared" si="52"/>
        <v>0</v>
      </c>
      <c r="BQ67" s="3">
        <f t="shared" si="52"/>
        <v>0</v>
      </c>
      <c r="BR67" s="3">
        <f t="shared" si="52"/>
        <v>0</v>
      </c>
      <c r="BS67" s="3">
        <f t="shared" si="52"/>
        <v>0</v>
      </c>
      <c r="BT67" s="3">
        <f t="shared" si="52"/>
        <v>0</v>
      </c>
      <c r="BU67" s="3">
        <f t="shared" si="52"/>
        <v>0</v>
      </c>
      <c r="BV67" s="3">
        <f t="shared" si="52"/>
        <v>0</v>
      </c>
      <c r="BW67" s="3">
        <f t="shared" si="52"/>
        <v>0</v>
      </c>
      <c r="BX67" s="3">
        <f t="shared" si="52"/>
        <v>0</v>
      </c>
      <c r="BY67" s="3">
        <f t="shared" si="52"/>
        <v>0</v>
      </c>
      <c r="BZ67" s="3">
        <f t="shared" si="52"/>
        <v>0</v>
      </c>
      <c r="CA67" s="3">
        <f t="shared" ref="CA67:DF67" si="53">CA176</f>
        <v>624680.74</v>
      </c>
      <c r="CB67" s="3">
        <f t="shared" si="53"/>
        <v>601348.38</v>
      </c>
      <c r="CC67" s="3">
        <f t="shared" si="53"/>
        <v>23332.36</v>
      </c>
      <c r="CD67" s="3">
        <f t="shared" si="53"/>
        <v>0</v>
      </c>
      <c r="CE67" s="3">
        <f t="shared" si="53"/>
        <v>594287.54</v>
      </c>
      <c r="CF67" s="3">
        <f t="shared" si="53"/>
        <v>594287.54</v>
      </c>
      <c r="CG67" s="3">
        <f t="shared" si="53"/>
        <v>0</v>
      </c>
      <c r="CH67" s="3">
        <f t="shared" si="53"/>
        <v>594287.54</v>
      </c>
      <c r="CI67" s="3">
        <f t="shared" si="53"/>
        <v>0</v>
      </c>
      <c r="CJ67" s="3">
        <f t="shared" si="53"/>
        <v>0</v>
      </c>
      <c r="CK67" s="3">
        <f t="shared" si="53"/>
        <v>0</v>
      </c>
      <c r="CL67" s="3">
        <f t="shared" si="53"/>
        <v>0</v>
      </c>
      <c r="CM67" s="3">
        <f t="shared" si="53"/>
        <v>0</v>
      </c>
      <c r="CN67" s="3">
        <f t="shared" si="53"/>
        <v>0</v>
      </c>
      <c r="CO67" s="3">
        <f t="shared" si="53"/>
        <v>0</v>
      </c>
      <c r="CP67" s="3">
        <f t="shared" si="53"/>
        <v>0</v>
      </c>
      <c r="CQ67" s="3">
        <f t="shared" si="53"/>
        <v>0</v>
      </c>
      <c r="CR67" s="3">
        <f t="shared" si="53"/>
        <v>0</v>
      </c>
      <c r="CS67" s="3">
        <f t="shared" si="53"/>
        <v>0</v>
      </c>
      <c r="CT67" s="3">
        <f t="shared" si="53"/>
        <v>0</v>
      </c>
      <c r="CU67" s="3">
        <f t="shared" si="53"/>
        <v>0</v>
      </c>
      <c r="CV67" s="3">
        <f t="shared" si="53"/>
        <v>0</v>
      </c>
      <c r="CW67" s="3">
        <f t="shared" si="53"/>
        <v>0</v>
      </c>
      <c r="CX67" s="3">
        <f t="shared" si="53"/>
        <v>0</v>
      </c>
      <c r="CY67" s="3">
        <f t="shared" si="53"/>
        <v>0</v>
      </c>
      <c r="CZ67" s="3">
        <f t="shared" si="53"/>
        <v>0</v>
      </c>
      <c r="DA67" s="3">
        <f t="shared" si="53"/>
        <v>0</v>
      </c>
      <c r="DB67" s="3">
        <f t="shared" si="53"/>
        <v>0</v>
      </c>
      <c r="DC67" s="3">
        <f t="shared" si="53"/>
        <v>0</v>
      </c>
      <c r="DD67" s="3">
        <f t="shared" si="53"/>
        <v>0</v>
      </c>
      <c r="DE67" s="3">
        <f t="shared" si="53"/>
        <v>0</v>
      </c>
      <c r="DF67" s="3">
        <f t="shared" si="53"/>
        <v>0</v>
      </c>
      <c r="DG67" s="4">
        <f t="shared" ref="DG67:EL67" si="54">DG176</f>
        <v>5222778.95</v>
      </c>
      <c r="DH67" s="4">
        <f t="shared" si="54"/>
        <v>4597325.87</v>
      </c>
      <c r="DI67" s="4">
        <f t="shared" si="54"/>
        <v>8598.35</v>
      </c>
      <c r="DJ67" s="4">
        <f t="shared" si="54"/>
        <v>3481.4</v>
      </c>
      <c r="DK67" s="4">
        <f t="shared" si="54"/>
        <v>616854.73</v>
      </c>
      <c r="DL67" s="4">
        <f t="shared" si="54"/>
        <v>0</v>
      </c>
      <c r="DM67" s="4">
        <f t="shared" si="54"/>
        <v>918.31099025050003</v>
      </c>
      <c r="DN67" s="4">
        <f t="shared" si="54"/>
        <v>0</v>
      </c>
      <c r="DO67" s="4">
        <f t="shared" si="54"/>
        <v>0</v>
      </c>
      <c r="DP67" s="4">
        <f t="shared" si="54"/>
        <v>657439.42000000004</v>
      </c>
      <c r="DQ67" s="4">
        <f t="shared" si="54"/>
        <v>363620.59</v>
      </c>
      <c r="DR67" s="4">
        <f t="shared" si="54"/>
        <v>0</v>
      </c>
      <c r="DS67" s="4">
        <f t="shared" si="54"/>
        <v>0</v>
      </c>
      <c r="DT67" s="4">
        <f t="shared" si="54"/>
        <v>5222778.95</v>
      </c>
      <c r="DU67" s="4">
        <f t="shared" si="54"/>
        <v>4597325.87</v>
      </c>
      <c r="DV67" s="4">
        <f t="shared" si="54"/>
        <v>8598.35</v>
      </c>
      <c r="DW67" s="4">
        <f t="shared" si="54"/>
        <v>3481.4</v>
      </c>
      <c r="DX67" s="4">
        <f t="shared" si="54"/>
        <v>616854.73</v>
      </c>
      <c r="DY67" s="4">
        <f t="shared" si="54"/>
        <v>0</v>
      </c>
      <c r="DZ67" s="4">
        <f t="shared" si="54"/>
        <v>918.31099025050003</v>
      </c>
      <c r="EA67" s="4">
        <f t="shared" si="54"/>
        <v>0</v>
      </c>
      <c r="EB67" s="4">
        <f t="shared" si="54"/>
        <v>0</v>
      </c>
      <c r="EC67" s="4">
        <f t="shared" si="54"/>
        <v>657439.42000000004</v>
      </c>
      <c r="ED67" s="4">
        <f t="shared" si="54"/>
        <v>363620.59</v>
      </c>
      <c r="EE67" s="4">
        <f t="shared" si="54"/>
        <v>0</v>
      </c>
      <c r="EF67" s="4">
        <f t="shared" si="54"/>
        <v>0</v>
      </c>
      <c r="EG67" s="4">
        <f t="shared" si="54"/>
        <v>0</v>
      </c>
      <c r="EH67" s="4">
        <f t="shared" si="54"/>
        <v>0</v>
      </c>
      <c r="EI67" s="4">
        <f t="shared" si="54"/>
        <v>0</v>
      </c>
      <c r="EJ67" s="4">
        <f t="shared" si="54"/>
        <v>6243838.96</v>
      </c>
      <c r="EK67" s="4">
        <f t="shared" si="54"/>
        <v>5958880.5199999996</v>
      </c>
      <c r="EL67" s="4">
        <f t="shared" si="54"/>
        <v>284958.44</v>
      </c>
      <c r="EM67" s="4">
        <f t="shared" ref="EM67:FR67" si="55">EM176</f>
        <v>0</v>
      </c>
      <c r="EN67" s="4">
        <f t="shared" si="55"/>
        <v>4597325.87</v>
      </c>
      <c r="EO67" s="4">
        <f t="shared" si="55"/>
        <v>4597325.87</v>
      </c>
      <c r="EP67" s="4">
        <f t="shared" si="55"/>
        <v>0</v>
      </c>
      <c r="EQ67" s="4">
        <f t="shared" si="55"/>
        <v>4597325.87</v>
      </c>
      <c r="ER67" s="4">
        <f t="shared" si="55"/>
        <v>0</v>
      </c>
      <c r="ES67" s="4">
        <f t="shared" si="55"/>
        <v>0</v>
      </c>
      <c r="ET67" s="4">
        <f t="shared" si="55"/>
        <v>0</v>
      </c>
      <c r="EU67" s="4">
        <f t="shared" si="55"/>
        <v>0</v>
      </c>
      <c r="EV67" s="4">
        <f t="shared" si="55"/>
        <v>0</v>
      </c>
      <c r="EW67" s="4">
        <f t="shared" si="55"/>
        <v>0</v>
      </c>
      <c r="EX67" s="4">
        <f t="shared" si="55"/>
        <v>0</v>
      </c>
      <c r="EY67" s="4">
        <f t="shared" si="55"/>
        <v>0</v>
      </c>
      <c r="EZ67" s="4">
        <f t="shared" si="55"/>
        <v>0</v>
      </c>
      <c r="FA67" s="4">
        <f t="shared" si="55"/>
        <v>0</v>
      </c>
      <c r="FB67" s="4">
        <f t="shared" si="55"/>
        <v>0</v>
      </c>
      <c r="FC67" s="4">
        <f t="shared" si="55"/>
        <v>0</v>
      </c>
      <c r="FD67" s="4">
        <f t="shared" si="55"/>
        <v>0</v>
      </c>
      <c r="FE67" s="4">
        <f t="shared" si="55"/>
        <v>0</v>
      </c>
      <c r="FF67" s="4">
        <f t="shared" si="55"/>
        <v>0</v>
      </c>
      <c r="FG67" s="4">
        <f t="shared" si="55"/>
        <v>0</v>
      </c>
      <c r="FH67" s="4">
        <f t="shared" si="55"/>
        <v>0</v>
      </c>
      <c r="FI67" s="4">
        <f t="shared" si="55"/>
        <v>0</v>
      </c>
      <c r="FJ67" s="4">
        <f t="shared" si="55"/>
        <v>0</v>
      </c>
      <c r="FK67" s="4">
        <f t="shared" si="55"/>
        <v>0</v>
      </c>
      <c r="FL67" s="4">
        <f t="shared" si="55"/>
        <v>0</v>
      </c>
      <c r="FM67" s="4">
        <f t="shared" si="55"/>
        <v>0</v>
      </c>
      <c r="FN67" s="4">
        <f t="shared" si="55"/>
        <v>0</v>
      </c>
      <c r="FO67" s="4">
        <f t="shared" si="55"/>
        <v>0</v>
      </c>
      <c r="FP67" s="4">
        <f t="shared" si="55"/>
        <v>0</v>
      </c>
      <c r="FQ67" s="4">
        <f t="shared" si="55"/>
        <v>0</v>
      </c>
      <c r="FR67" s="4">
        <f t="shared" si="55"/>
        <v>0</v>
      </c>
      <c r="FS67" s="4">
        <f t="shared" ref="FS67:GX67" si="56">FS176</f>
        <v>6243838.96</v>
      </c>
      <c r="FT67" s="4">
        <f t="shared" si="56"/>
        <v>5958880.5199999996</v>
      </c>
      <c r="FU67" s="4">
        <f t="shared" si="56"/>
        <v>284958.44</v>
      </c>
      <c r="FV67" s="4">
        <f t="shared" si="56"/>
        <v>0</v>
      </c>
      <c r="FW67" s="4">
        <f t="shared" si="56"/>
        <v>4597325.87</v>
      </c>
      <c r="FX67" s="4">
        <f t="shared" si="56"/>
        <v>4597325.87</v>
      </c>
      <c r="FY67" s="4">
        <f t="shared" si="56"/>
        <v>0</v>
      </c>
      <c r="FZ67" s="4">
        <f t="shared" si="56"/>
        <v>4597325.87</v>
      </c>
      <c r="GA67" s="4">
        <f t="shared" si="56"/>
        <v>0</v>
      </c>
      <c r="GB67" s="4">
        <f t="shared" si="56"/>
        <v>0</v>
      </c>
      <c r="GC67" s="4">
        <f t="shared" si="56"/>
        <v>0</v>
      </c>
      <c r="GD67" s="4">
        <f t="shared" si="56"/>
        <v>0</v>
      </c>
      <c r="GE67" s="4">
        <f t="shared" si="56"/>
        <v>0</v>
      </c>
      <c r="GF67" s="4">
        <f t="shared" si="56"/>
        <v>0</v>
      </c>
      <c r="GG67" s="4">
        <f t="shared" si="56"/>
        <v>0</v>
      </c>
      <c r="GH67" s="4">
        <f t="shared" si="56"/>
        <v>0</v>
      </c>
      <c r="GI67" s="4">
        <f t="shared" si="56"/>
        <v>0</v>
      </c>
      <c r="GJ67" s="4">
        <f t="shared" si="56"/>
        <v>0</v>
      </c>
      <c r="GK67" s="4">
        <f t="shared" si="56"/>
        <v>0</v>
      </c>
      <c r="GL67" s="4">
        <f t="shared" si="56"/>
        <v>0</v>
      </c>
      <c r="GM67" s="4">
        <f t="shared" si="56"/>
        <v>0</v>
      </c>
      <c r="GN67" s="4">
        <f t="shared" si="56"/>
        <v>0</v>
      </c>
      <c r="GO67" s="4">
        <f t="shared" si="56"/>
        <v>0</v>
      </c>
      <c r="GP67" s="4">
        <f t="shared" si="56"/>
        <v>0</v>
      </c>
      <c r="GQ67" s="4">
        <f t="shared" si="56"/>
        <v>0</v>
      </c>
      <c r="GR67" s="4">
        <f t="shared" si="56"/>
        <v>0</v>
      </c>
      <c r="GS67" s="4">
        <f t="shared" si="56"/>
        <v>0</v>
      </c>
      <c r="GT67" s="4">
        <f t="shared" si="56"/>
        <v>0</v>
      </c>
      <c r="GU67" s="4">
        <f t="shared" si="56"/>
        <v>0</v>
      </c>
      <c r="GV67" s="4">
        <f t="shared" si="56"/>
        <v>0</v>
      </c>
      <c r="GW67" s="4">
        <f t="shared" si="56"/>
        <v>0</v>
      </c>
      <c r="GX67" s="4">
        <f t="shared" si="56"/>
        <v>0</v>
      </c>
    </row>
    <row r="69" spans="1:255" x14ac:dyDescent="0.2">
      <c r="A69" s="2">
        <v>17</v>
      </c>
      <c r="B69" s="2">
        <v>1</v>
      </c>
      <c r="C69" s="2">
        <f>ROW(SmtRes!A18)</f>
        <v>18</v>
      </c>
      <c r="D69" s="2">
        <f>ROW(EtalonRes!A21)</f>
        <v>21</v>
      </c>
      <c r="E69" s="2" t="s">
        <v>93</v>
      </c>
      <c r="F69" s="2" t="s">
        <v>94</v>
      </c>
      <c r="G69" s="2" t="s">
        <v>95</v>
      </c>
      <c r="H69" s="2" t="s">
        <v>96</v>
      </c>
      <c r="I69" s="2">
        <f>ROUND((1+3+2+20+1+9)/100,9)</f>
        <v>0.36</v>
      </c>
      <c r="J69" s="2">
        <v>0</v>
      </c>
      <c r="K69" s="2">
        <f>ROUND((1+3+2+20+1+9)/100,9)</f>
        <v>0.36</v>
      </c>
      <c r="L69" s="2"/>
      <c r="M69" s="2"/>
      <c r="N69" s="2"/>
      <c r="O69" s="2">
        <f t="shared" ref="O69:O100" si="57">ROUND(CP69,2)</f>
        <v>1244.1500000000001</v>
      </c>
      <c r="P69" s="2">
        <f t="shared" ref="P69:P100" si="58">ROUND((ROUND((AC69*AW69*I69),2)*BC69),2)</f>
        <v>748.4</v>
      </c>
      <c r="Q69" s="2">
        <f>(ROUND((ROUND(((((ET69*1.25)*1.1))*AV69*I69),2)*BB69),2)+ROUND((ROUND(((AE69-(((EU69*1.25)*1.1)))*AV69*I69),2)*BS69),2))</f>
        <v>50.36</v>
      </c>
      <c r="R69" s="2">
        <f>(ROUND((ROUND(((((EU69*1.25)*1.1))*AV69*I69),2)*BS69),2)+ROUND((ROUND(((AE69-(((EU69*1.25)*1.1)))*AV69*I69),2)*BS69),2))</f>
        <v>5.44</v>
      </c>
      <c r="S69" s="2">
        <f t="shared" ref="S69:S100" si="59">ROUND((ROUND((AF69*AV69*I69),2)*BA69),2)</f>
        <v>445.39</v>
      </c>
      <c r="T69" s="2">
        <f t="shared" ref="T69:T100" si="60">ROUND(CU69*I69,2)</f>
        <v>0</v>
      </c>
      <c r="U69" s="2">
        <f t="shared" ref="U69:U100" si="61">CV69*I69</f>
        <v>36.297611459999999</v>
      </c>
      <c r="V69" s="2">
        <f t="shared" ref="V69:V100" si="62">CW69*I69</f>
        <v>0</v>
      </c>
      <c r="W69" s="2">
        <f t="shared" ref="W69:W100" si="63">ROUND(CX69*I69,2)</f>
        <v>0</v>
      </c>
      <c r="X69" s="2">
        <f>(ROUND((((S69+ROUND((ROUND(((((EU69*1.25)*1.1))*AV69*I69),2)*BS69),2))*AT69)/100),2)+ROUND(((ROUND((ROUND(((AE69-(((EU69*1.25)*1.1)))*AV69*I69),2)*BS69),2)*AT69)/100),2))</f>
        <v>491.4</v>
      </c>
      <c r="Y69" s="2">
        <f>(ROUND((((S69+ROUND((ROUND(((((EU69*1.25)*1.1))*AV69*I69),2)*BS69),2))*AU69)/100),2)+ROUND(((ROUND((ROUND(((AE69-(((EU69*1.25)*1.1)))*AV69*I69),2)*BS69),2)*AU69)/100),2))</f>
        <v>275.01</v>
      </c>
      <c r="Z69" s="2"/>
      <c r="AA69" s="2">
        <v>60255014</v>
      </c>
      <c r="AB69" s="2">
        <f t="shared" ref="AB69:AB100" si="64">ROUND((AC69+AD69+AF69),6)</f>
        <v>3369.5052500000002</v>
      </c>
      <c r="AC69" s="2">
        <f t="shared" ref="AC69:AC100" si="65">ROUND((ES69),6)</f>
        <v>2078.9</v>
      </c>
      <c r="AD69" s="2">
        <f>ROUND((((((ET69*1.25)*1.1))-(((EU69*1.25)*1.1)))+AE69),6)</f>
        <v>131.10624999999999</v>
      </c>
      <c r="AE69" s="2">
        <f>ROUND((((EU69*1.25)*1.1)),6)</f>
        <v>14.1625</v>
      </c>
      <c r="AF69" s="2">
        <f>ROUND((((EV69*1.15)*1.1)),6)</f>
        <v>1159.499</v>
      </c>
      <c r="AG69" s="2">
        <f t="shared" ref="AG69:AG100" si="66">ROUND((AP69),6)</f>
        <v>0</v>
      </c>
      <c r="AH69" s="2">
        <f>(((EW69*1.15)*1.1))</f>
        <v>94.495500000000007</v>
      </c>
      <c r="AI69" s="2">
        <f>(((EX69*1.25)*1.1))</f>
        <v>0</v>
      </c>
      <c r="AJ69" s="2">
        <f t="shared" ref="AJ69:AJ100" si="67">(AS69)</f>
        <v>0</v>
      </c>
      <c r="AK69" s="2">
        <v>3090.85</v>
      </c>
      <c r="AL69" s="2">
        <v>2078.9</v>
      </c>
      <c r="AM69" s="2">
        <v>95.35</v>
      </c>
      <c r="AN69" s="2">
        <v>10.3</v>
      </c>
      <c r="AO69" s="2">
        <v>916.6</v>
      </c>
      <c r="AP69" s="2">
        <v>0</v>
      </c>
      <c r="AQ69" s="2">
        <v>74.7</v>
      </c>
      <c r="AR69" s="2">
        <v>0</v>
      </c>
      <c r="AS69" s="2">
        <v>0</v>
      </c>
      <c r="AT69" s="2">
        <v>109</v>
      </c>
      <c r="AU69" s="2">
        <v>61</v>
      </c>
      <c r="AV69" s="2">
        <v>1.0669999999999999</v>
      </c>
      <c r="AW69" s="2">
        <v>1</v>
      </c>
      <c r="AX69" s="2"/>
      <c r="AY69" s="2"/>
      <c r="AZ69" s="2">
        <v>1</v>
      </c>
      <c r="BA69" s="2">
        <v>1</v>
      </c>
      <c r="BB69" s="2">
        <v>1</v>
      </c>
      <c r="BC69" s="2">
        <v>1</v>
      </c>
      <c r="BD69" s="2" t="s">
        <v>3</v>
      </c>
      <c r="BE69" s="2" t="s">
        <v>3</v>
      </c>
      <c r="BF69" s="2" t="s">
        <v>3</v>
      </c>
      <c r="BG69" s="2" t="s">
        <v>3</v>
      </c>
      <c r="BH69" s="2">
        <v>0</v>
      </c>
      <c r="BI69" s="2">
        <v>1</v>
      </c>
      <c r="BJ69" s="2" t="s">
        <v>97</v>
      </c>
      <c r="BK69" s="2"/>
      <c r="BL69" s="2"/>
      <c r="BM69" s="2">
        <v>23</v>
      </c>
      <c r="BN69" s="2">
        <v>0</v>
      </c>
      <c r="BO69" s="2" t="s">
        <v>94</v>
      </c>
      <c r="BP69" s="2">
        <v>1</v>
      </c>
      <c r="BQ69" s="2">
        <v>30</v>
      </c>
      <c r="BR69" s="2">
        <v>0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 t="s">
        <v>3</v>
      </c>
      <c r="BZ69" s="2">
        <v>109</v>
      </c>
      <c r="CA69" s="2">
        <v>61</v>
      </c>
      <c r="CB69" s="2" t="s">
        <v>3</v>
      </c>
      <c r="CC69" s="2"/>
      <c r="CD69" s="2"/>
      <c r="CE69" s="2">
        <v>1566</v>
      </c>
      <c r="CF69" s="2">
        <v>0</v>
      </c>
      <c r="CG69" s="2">
        <v>0</v>
      </c>
      <c r="CH69" s="2"/>
      <c r="CI69" s="2"/>
      <c r="CJ69" s="2"/>
      <c r="CK69" s="2"/>
      <c r="CL69" s="2"/>
      <c r="CM69" s="2">
        <v>0</v>
      </c>
      <c r="CN69" s="2" t="s">
        <v>625</v>
      </c>
      <c r="CO69" s="2">
        <v>0</v>
      </c>
      <c r="CP69" s="2">
        <f t="shared" ref="CP69:CP100" si="68">(P69+Q69+S69)</f>
        <v>1244.1500000000001</v>
      </c>
      <c r="CQ69" s="2">
        <f t="shared" ref="CQ69:CQ100" si="69">ROUND((ROUND((AC69*AW69*1),2)*BC69),2)</f>
        <v>2078.9</v>
      </c>
      <c r="CR69" s="2">
        <f>(ROUND((ROUND(((((ET69*1.25)*1.1))*AV69*1),2)*BB69),2)+ROUND((ROUND(((AE69-(((EU69*1.25)*1.1)))*AV69*1),2)*BS69),2))</f>
        <v>139.88999999999999</v>
      </c>
      <c r="CS69" s="2">
        <f>(ROUND((ROUND(((((EU69*1.25)*1.1))*AV69*1),2)*BS69),2)+ROUND((ROUND(((AE69-(((EU69*1.25)*1.1)))*AV69*1),2)*BS69),2))</f>
        <v>15.11</v>
      </c>
      <c r="CT69" s="2">
        <f t="shared" ref="CT69:CT100" si="70">ROUND((ROUND((AF69*AV69*1),2)*BA69),2)</f>
        <v>1237.19</v>
      </c>
      <c r="CU69" s="2">
        <f t="shared" ref="CU69:CU100" si="71">AG69</f>
        <v>0</v>
      </c>
      <c r="CV69" s="2">
        <f t="shared" ref="CV69:CV100" si="72">(AH69*AV69)</f>
        <v>100.82669850000001</v>
      </c>
      <c r="CW69" s="2">
        <f t="shared" ref="CW69:CW100" si="73">AI69</f>
        <v>0</v>
      </c>
      <c r="CX69" s="2">
        <f t="shared" ref="CX69:CX100" si="74">AJ69</f>
        <v>0</v>
      </c>
      <c r="CY69" s="2">
        <f>(ROUND((((S69+ROUND((ROUND(((((EU69*1.25)*1.1))*AV69*1),2)*BS69),2))*AT69)/100),2)+ROUND(((ROUND((ROUND(((AE69-(((EU69*1.25)*1.1)))*AV69*1),2)*BS69),2)*AT69)/100),2))</f>
        <v>501.95</v>
      </c>
      <c r="CZ69" s="2">
        <f>(ROUND((((S69+ROUND((ROUND(((((EU69*1.25)*1.1))*AV69*1),2)*BS69),2))*AU69)/100),2)+ROUND(((ROUND((ROUND(((AE69-(((EU69*1.25)*1.1)))*AV69*1),2)*BS69),2)*AU69)/100),2))</f>
        <v>280.91000000000003</v>
      </c>
      <c r="DA69" s="2"/>
      <c r="DB69" s="2">
        <v>1</v>
      </c>
      <c r="DC69" s="2" t="s">
        <v>3</v>
      </c>
      <c r="DD69" s="2" t="s">
        <v>3</v>
      </c>
      <c r="DE69" s="2" t="s">
        <v>98</v>
      </c>
      <c r="DF69" s="2" t="s">
        <v>98</v>
      </c>
      <c r="DG69" s="2" t="s">
        <v>99</v>
      </c>
      <c r="DH69" s="2" t="s">
        <v>3</v>
      </c>
      <c r="DI69" s="2" t="s">
        <v>99</v>
      </c>
      <c r="DJ69" s="2" t="s">
        <v>98</v>
      </c>
      <c r="DK69" s="2" t="s">
        <v>3</v>
      </c>
      <c r="DL69" s="2" t="s">
        <v>3</v>
      </c>
      <c r="DM69" s="2" t="s">
        <v>3</v>
      </c>
      <c r="DN69" s="2">
        <v>0</v>
      </c>
      <c r="DO69" s="2">
        <v>0</v>
      </c>
      <c r="DP69" s="2">
        <v>1</v>
      </c>
      <c r="DQ69" s="2">
        <v>1</v>
      </c>
      <c r="DR69" s="2"/>
      <c r="DS69" s="2"/>
      <c r="DT69" s="2"/>
      <c r="DU69" s="2">
        <v>1010</v>
      </c>
      <c r="DV69" s="2" t="s">
        <v>96</v>
      </c>
      <c r="DW69" s="2" t="s">
        <v>96</v>
      </c>
      <c r="DX69" s="2">
        <v>100</v>
      </c>
      <c r="DY69" s="2"/>
      <c r="DZ69" s="2" t="s">
        <v>3</v>
      </c>
      <c r="EA69" s="2" t="s">
        <v>3</v>
      </c>
      <c r="EB69" s="2" t="s">
        <v>3</v>
      </c>
      <c r="EC69" s="2" t="s">
        <v>3</v>
      </c>
      <c r="ED69" s="2"/>
      <c r="EE69" s="2">
        <v>60088254</v>
      </c>
      <c r="EF69" s="2">
        <v>30</v>
      </c>
      <c r="EG69" s="2" t="s">
        <v>100</v>
      </c>
      <c r="EH69" s="2">
        <v>0</v>
      </c>
      <c r="EI69" s="2" t="s">
        <v>3</v>
      </c>
      <c r="EJ69" s="2">
        <v>1</v>
      </c>
      <c r="EK69" s="2">
        <v>23</v>
      </c>
      <c r="EL69" s="2" t="s">
        <v>101</v>
      </c>
      <c r="EM69" s="2" t="s">
        <v>102</v>
      </c>
      <c r="EN69" s="2"/>
      <c r="EO69" s="2" t="s">
        <v>103</v>
      </c>
      <c r="EP69" s="2"/>
      <c r="EQ69" s="2">
        <v>0</v>
      </c>
      <c r="ER69" s="2">
        <v>3090.85</v>
      </c>
      <c r="ES69" s="2">
        <v>2078.9</v>
      </c>
      <c r="ET69" s="2">
        <v>95.35</v>
      </c>
      <c r="EU69" s="2">
        <v>10.3</v>
      </c>
      <c r="EV69" s="2">
        <v>916.6</v>
      </c>
      <c r="EW69" s="2">
        <v>74.7</v>
      </c>
      <c r="EX69" s="2">
        <v>0</v>
      </c>
      <c r="EY69" s="2">
        <v>0</v>
      </c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>
        <v>0</v>
      </c>
      <c r="FR69" s="2">
        <v>0</v>
      </c>
      <c r="FS69" s="2">
        <v>0</v>
      </c>
      <c r="FT69" s="2"/>
      <c r="FU69" s="2"/>
      <c r="FV69" s="2"/>
      <c r="FW69" s="2"/>
      <c r="FX69" s="2">
        <v>109</v>
      </c>
      <c r="FY69" s="2">
        <v>61</v>
      </c>
      <c r="FZ69" s="2"/>
      <c r="GA69" s="2" t="s">
        <v>3</v>
      </c>
      <c r="GB69" s="2"/>
      <c r="GC69" s="2"/>
      <c r="GD69" s="2">
        <v>1</v>
      </c>
      <c r="GE69" s="2"/>
      <c r="GF69" s="2">
        <v>-961949121</v>
      </c>
      <c r="GG69" s="2">
        <v>2</v>
      </c>
      <c r="GH69" s="2">
        <v>1</v>
      </c>
      <c r="GI69" s="2">
        <v>2</v>
      </c>
      <c r="GJ69" s="2">
        <v>0</v>
      </c>
      <c r="GK69" s="2">
        <v>0</v>
      </c>
      <c r="GL69" s="2">
        <f t="shared" ref="GL69:GL100" si="75">ROUND(IF(AND(BH69=3,BI69=3,FS69&lt;&gt;0),P69,0),2)</f>
        <v>0</v>
      </c>
      <c r="GM69" s="2">
        <f t="shared" ref="GM69:GM100" si="76">ROUND(O69+X69+Y69,2)+GX69</f>
        <v>2010.56</v>
      </c>
      <c r="GN69" s="2">
        <f t="shared" ref="GN69:GN100" si="77">IF(OR(BI69=0,BI69=1),GM69-GX69,0)</f>
        <v>2010.56</v>
      </c>
      <c r="GO69" s="2">
        <f t="shared" ref="GO69:GO100" si="78">IF(BI69=2,GM69-GX69,0)</f>
        <v>0</v>
      </c>
      <c r="GP69" s="2">
        <f t="shared" ref="GP69:GP100" si="79">IF(BI69=4,GM69-GX69,0)</f>
        <v>0</v>
      </c>
      <c r="GQ69" s="2"/>
      <c r="GR69" s="2">
        <v>0</v>
      </c>
      <c r="GS69" s="2">
        <v>3</v>
      </c>
      <c r="GT69" s="2">
        <v>0</v>
      </c>
      <c r="GU69" s="2" t="s">
        <v>3</v>
      </c>
      <c r="GV69" s="2">
        <f t="shared" ref="GV69:GV100" si="80">ROUND((GT69),6)</f>
        <v>0</v>
      </c>
      <c r="GW69" s="2">
        <v>1</v>
      </c>
      <c r="GX69" s="2">
        <f t="shared" ref="GX69:GX100" si="81">ROUND(HC69*I69,2)</f>
        <v>0</v>
      </c>
      <c r="GY69" s="2"/>
      <c r="GZ69" s="2"/>
      <c r="HA69" s="2">
        <v>0</v>
      </c>
      <c r="HB69" s="2">
        <v>0</v>
      </c>
      <c r="HC69" s="2">
        <f t="shared" ref="HC69:HC100" si="82">GV69*GW69</f>
        <v>0</v>
      </c>
      <c r="HD69" s="2"/>
      <c r="HE69" s="2" t="s">
        <v>3</v>
      </c>
      <c r="HF69" s="2" t="s">
        <v>3</v>
      </c>
      <c r="HG69" s="2"/>
      <c r="HH69" s="2"/>
      <c r="HI69" s="2"/>
      <c r="HJ69" s="2"/>
      <c r="HK69" s="2"/>
      <c r="HL69" s="2"/>
      <c r="HM69" s="2" t="s">
        <v>3</v>
      </c>
      <c r="HN69" s="2" t="s">
        <v>3</v>
      </c>
      <c r="HO69" s="2" t="s">
        <v>3</v>
      </c>
      <c r="HP69" s="2" t="s">
        <v>3</v>
      </c>
      <c r="HQ69" s="2" t="s">
        <v>3</v>
      </c>
      <c r="HR69" s="2"/>
      <c r="HS69" s="2">
        <v>0</v>
      </c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>
        <v>0</v>
      </c>
      <c r="IL69" s="2"/>
      <c r="IM69" s="2"/>
      <c r="IN69" s="2"/>
      <c r="IO69" s="2"/>
      <c r="IP69" s="2"/>
      <c r="IQ69" s="2"/>
      <c r="IR69" s="2"/>
      <c r="IS69" s="2"/>
      <c r="IT69" s="2"/>
      <c r="IU69" s="2"/>
    </row>
    <row r="70" spans="1:255" x14ac:dyDescent="0.2">
      <c r="A70">
        <v>17</v>
      </c>
      <c r="B70">
        <v>1</v>
      </c>
      <c r="C70">
        <f>ROW(SmtRes!A28)</f>
        <v>28</v>
      </c>
      <c r="D70">
        <f>ROW(EtalonRes!A32)</f>
        <v>32</v>
      </c>
      <c r="E70" t="s">
        <v>93</v>
      </c>
      <c r="F70" t="s">
        <v>94</v>
      </c>
      <c r="G70" t="s">
        <v>95</v>
      </c>
      <c r="H70" t="s">
        <v>96</v>
      </c>
      <c r="I70">
        <f>ROUND((1+3+2+20+1+9)/100,9)</f>
        <v>0.36</v>
      </c>
      <c r="J70">
        <v>0</v>
      </c>
      <c r="K70">
        <f>ROUND((1+3+2+20+1+9)/100,9)</f>
        <v>0.36</v>
      </c>
      <c r="O70">
        <f t="shared" si="57"/>
        <v>40623.22</v>
      </c>
      <c r="P70">
        <f t="shared" si="58"/>
        <v>15409.56</v>
      </c>
      <c r="Q70">
        <f>(ROUND((ROUND(((((ET70*1.25)*1.1))*AV70*I70),2)*BB70),2)+ROUND((ROUND(((AE70-(((EU70*1.25)*1.1)))*AV70*I70),2)*BS70),2))</f>
        <v>721.66</v>
      </c>
      <c r="R70">
        <f>(ROUND((ROUND(((((EU70*1.25)*1.1))*AV70*I70),2)*BS70),2)+ROUND((ROUND(((AE70-(((EU70*1.25)*1.1)))*AV70*I70),2)*BS70),2))</f>
        <v>299.14999999999998</v>
      </c>
      <c r="S70">
        <f t="shared" si="59"/>
        <v>24492</v>
      </c>
      <c r="T70">
        <f t="shared" si="60"/>
        <v>0</v>
      </c>
      <c r="U70">
        <f t="shared" si="61"/>
        <v>36.297611459999999</v>
      </c>
      <c r="V70">
        <f t="shared" si="62"/>
        <v>0</v>
      </c>
      <c r="W70">
        <f t="shared" si="63"/>
        <v>0</v>
      </c>
      <c r="X70">
        <f>(ROUND((((S70+ROUND((ROUND(((((EU70*1.25)*1.1))*AV70*I70),2)*BS70),2))*AT70)/100),2)+ROUND(((ROUND((ROUND(((AE70-(((EU70*1.25)*1.1)))*AV70*I70),2)*BS70),2)*AT70)/100),2))</f>
        <v>27022.35</v>
      </c>
      <c r="Y70">
        <f>(ROUND((((S70+ROUND((ROUND(((((EU70*1.25)*1.1))*AV70*I70),2)*BS70),2))*AU70)/100),2)+ROUND(((ROUND((ROUND(((AE70-(((EU70*1.25)*1.1)))*AV70*I70),2)*BS70),2)*AU70)/100),2))</f>
        <v>15122.6</v>
      </c>
      <c r="AA70">
        <v>60255011</v>
      </c>
      <c r="AB70">
        <f t="shared" si="64"/>
        <v>3369.5052500000002</v>
      </c>
      <c r="AC70">
        <f t="shared" si="65"/>
        <v>2078.9</v>
      </c>
      <c r="AD70">
        <f>ROUND((((((ET70*1.25)*1.1))-(((EU70*1.25)*1.1)))+AE70),6)</f>
        <v>131.10624999999999</v>
      </c>
      <c r="AE70">
        <f>ROUND((((EU70*1.25)*1.1)),6)</f>
        <v>14.1625</v>
      </c>
      <c r="AF70">
        <f>ROUND((((EV70*1.15)*1.1)),6)</f>
        <v>1159.499</v>
      </c>
      <c r="AG70">
        <f t="shared" si="66"/>
        <v>0</v>
      </c>
      <c r="AH70">
        <f>(((EW70*1.15)*1.1))</f>
        <v>94.495500000000007</v>
      </c>
      <c r="AI70">
        <f>(((EX70*1.25)*1.1))</f>
        <v>0</v>
      </c>
      <c r="AJ70">
        <f t="shared" si="67"/>
        <v>0</v>
      </c>
      <c r="AK70">
        <v>3090.85</v>
      </c>
      <c r="AL70">
        <v>2078.9</v>
      </c>
      <c r="AM70">
        <v>95.35</v>
      </c>
      <c r="AN70">
        <v>10.3</v>
      </c>
      <c r="AO70">
        <v>916.6</v>
      </c>
      <c r="AP70">
        <v>0</v>
      </c>
      <c r="AQ70">
        <v>74.7</v>
      </c>
      <c r="AR70">
        <v>0</v>
      </c>
      <c r="AS70">
        <v>0</v>
      </c>
      <c r="AT70">
        <v>109</v>
      </c>
      <c r="AU70">
        <v>61</v>
      </c>
      <c r="AV70">
        <v>1.0669999999999999</v>
      </c>
      <c r="AW70">
        <v>1</v>
      </c>
      <c r="AZ70">
        <v>1</v>
      </c>
      <c r="BA70">
        <v>54.99</v>
      </c>
      <c r="BB70">
        <v>14.33</v>
      </c>
      <c r="BC70">
        <v>20.59</v>
      </c>
      <c r="BD70" t="s">
        <v>3</v>
      </c>
      <c r="BE70" t="s">
        <v>3</v>
      </c>
      <c r="BF70" t="s">
        <v>3</v>
      </c>
      <c r="BG70" t="s">
        <v>3</v>
      </c>
      <c r="BH70">
        <v>0</v>
      </c>
      <c r="BI70">
        <v>1</v>
      </c>
      <c r="BJ70" t="s">
        <v>97</v>
      </c>
      <c r="BM70">
        <v>23</v>
      </c>
      <c r="BN70">
        <v>0</v>
      </c>
      <c r="BO70" t="s">
        <v>94</v>
      </c>
      <c r="BP70">
        <v>1</v>
      </c>
      <c r="BQ70">
        <v>30</v>
      </c>
      <c r="BR70">
        <v>0</v>
      </c>
      <c r="BS70">
        <v>54.99</v>
      </c>
      <c r="BT70">
        <v>1</v>
      </c>
      <c r="BU70">
        <v>1</v>
      </c>
      <c r="BV70">
        <v>1</v>
      </c>
      <c r="BW70">
        <v>1</v>
      </c>
      <c r="BX70">
        <v>1</v>
      </c>
      <c r="BY70" t="s">
        <v>3</v>
      </c>
      <c r="BZ70">
        <v>109</v>
      </c>
      <c r="CA70">
        <v>61</v>
      </c>
      <c r="CB70" t="s">
        <v>3</v>
      </c>
      <c r="CE70">
        <v>1566</v>
      </c>
      <c r="CF70">
        <v>0</v>
      </c>
      <c r="CG70">
        <v>0</v>
      </c>
      <c r="CM70">
        <v>0</v>
      </c>
      <c r="CN70" t="s">
        <v>625</v>
      </c>
      <c r="CO70">
        <v>0</v>
      </c>
      <c r="CP70">
        <f t="shared" si="68"/>
        <v>40623.22</v>
      </c>
      <c r="CQ70">
        <f t="shared" si="69"/>
        <v>42804.55</v>
      </c>
      <c r="CR70">
        <f>(ROUND((ROUND(((((ET70*1.25)*1.1))*AV70*1),2)*BB70),2)+ROUND((ROUND(((AE70-(((EU70*1.25)*1.1)))*AV70*1),2)*BS70),2))</f>
        <v>2004.62</v>
      </c>
      <c r="CS70">
        <f>(ROUND((ROUND(((((EU70*1.25)*1.1))*AV70*1),2)*BS70),2)+ROUND((ROUND(((AE70-(((EU70*1.25)*1.1)))*AV70*1),2)*BS70),2))</f>
        <v>830.9</v>
      </c>
      <c r="CT70">
        <f t="shared" si="70"/>
        <v>68033.08</v>
      </c>
      <c r="CU70">
        <f t="shared" si="71"/>
        <v>0</v>
      </c>
      <c r="CV70">
        <f t="shared" si="72"/>
        <v>100.82669850000001</v>
      </c>
      <c r="CW70">
        <f t="shared" si="73"/>
        <v>0</v>
      </c>
      <c r="CX70">
        <f t="shared" si="74"/>
        <v>0</v>
      </c>
      <c r="CY70">
        <f>(ROUND((((S70+ROUND((ROUND(((((EU70*1.25)*1.1))*AV70*1),2)*BS70),2))*AT70)/100),2)+ROUND(((ROUND((ROUND(((AE70-(((EU70*1.25)*1.1)))*AV70*1),2)*BS70),2)*AT70)/100),2))</f>
        <v>27601.96</v>
      </c>
      <c r="CZ70">
        <f>(ROUND((((S70+ROUND((ROUND(((((EU70*1.25)*1.1))*AV70*1),2)*BS70),2))*AU70)/100),2)+ROUND(((ROUND((ROUND(((AE70-(((EU70*1.25)*1.1)))*AV70*1),2)*BS70),2)*AU70)/100),2))</f>
        <v>15446.97</v>
      </c>
      <c r="DB70">
        <v>3</v>
      </c>
      <c r="DC70" t="s">
        <v>3</v>
      </c>
      <c r="DD70" t="s">
        <v>3</v>
      </c>
      <c r="DE70" t="s">
        <v>98</v>
      </c>
      <c r="DF70" t="s">
        <v>98</v>
      </c>
      <c r="DG70" t="s">
        <v>99</v>
      </c>
      <c r="DH70" t="s">
        <v>3</v>
      </c>
      <c r="DI70" t="s">
        <v>99</v>
      </c>
      <c r="DJ70" t="s">
        <v>98</v>
      </c>
      <c r="DK70" t="s">
        <v>3</v>
      </c>
      <c r="DL70" t="s">
        <v>3</v>
      </c>
      <c r="DM70" t="s">
        <v>3</v>
      </c>
      <c r="DN70">
        <v>0</v>
      </c>
      <c r="DO70">
        <v>0</v>
      </c>
      <c r="DP70">
        <v>1</v>
      </c>
      <c r="DQ70">
        <v>1</v>
      </c>
      <c r="DU70">
        <v>1010</v>
      </c>
      <c r="DV70" t="s">
        <v>96</v>
      </c>
      <c r="DW70" t="s">
        <v>96</v>
      </c>
      <c r="DX70">
        <v>100</v>
      </c>
      <c r="DZ70" t="s">
        <v>3</v>
      </c>
      <c r="EA70" t="s">
        <v>3</v>
      </c>
      <c r="EB70" t="s">
        <v>3</v>
      </c>
      <c r="EC70" t="s">
        <v>3</v>
      </c>
      <c r="EE70">
        <v>60088254</v>
      </c>
      <c r="EF70">
        <v>30</v>
      </c>
      <c r="EG70" t="s">
        <v>100</v>
      </c>
      <c r="EH70">
        <v>0</v>
      </c>
      <c r="EI70" t="s">
        <v>3</v>
      </c>
      <c r="EJ70">
        <v>1</v>
      </c>
      <c r="EK70">
        <v>23</v>
      </c>
      <c r="EL70" t="s">
        <v>101</v>
      </c>
      <c r="EM70" t="s">
        <v>102</v>
      </c>
      <c r="EO70" t="s">
        <v>103</v>
      </c>
      <c r="EQ70">
        <v>0</v>
      </c>
      <c r="ER70">
        <v>3090.85</v>
      </c>
      <c r="ES70">
        <v>2078.9</v>
      </c>
      <c r="ET70">
        <v>95.35</v>
      </c>
      <c r="EU70">
        <v>10.3</v>
      </c>
      <c r="EV70">
        <v>916.6</v>
      </c>
      <c r="EW70">
        <v>74.7</v>
      </c>
      <c r="EX70">
        <v>0</v>
      </c>
      <c r="EY70">
        <v>0</v>
      </c>
      <c r="FQ70">
        <v>0</v>
      </c>
      <c r="FR70">
        <v>0</v>
      </c>
      <c r="FS70">
        <v>0</v>
      </c>
      <c r="FX70">
        <v>109</v>
      </c>
      <c r="FY70">
        <v>61</v>
      </c>
      <c r="GA70" t="s">
        <v>3</v>
      </c>
      <c r="GD70">
        <v>1</v>
      </c>
      <c r="GF70">
        <v>-961949121</v>
      </c>
      <c r="GG70">
        <v>2</v>
      </c>
      <c r="GH70">
        <v>1</v>
      </c>
      <c r="GI70">
        <v>2</v>
      </c>
      <c r="GJ70">
        <v>0</v>
      </c>
      <c r="GK70">
        <v>0</v>
      </c>
      <c r="GL70">
        <f t="shared" si="75"/>
        <v>0</v>
      </c>
      <c r="GM70">
        <f t="shared" si="76"/>
        <v>82768.17</v>
      </c>
      <c r="GN70">
        <f t="shared" si="77"/>
        <v>82768.17</v>
      </c>
      <c r="GO70">
        <f t="shared" si="78"/>
        <v>0</v>
      </c>
      <c r="GP70">
        <f t="shared" si="79"/>
        <v>0</v>
      </c>
      <c r="GR70">
        <v>0</v>
      </c>
      <c r="GS70">
        <v>3</v>
      </c>
      <c r="GT70">
        <v>0</v>
      </c>
      <c r="GU70" t="s">
        <v>3</v>
      </c>
      <c r="GV70">
        <f t="shared" si="80"/>
        <v>0</v>
      </c>
      <c r="GW70">
        <v>1</v>
      </c>
      <c r="GX70">
        <f t="shared" si="81"/>
        <v>0</v>
      </c>
      <c r="HA70">
        <v>0</v>
      </c>
      <c r="HB70">
        <v>0</v>
      </c>
      <c r="HC70">
        <f t="shared" si="82"/>
        <v>0</v>
      </c>
      <c r="HE70" t="s">
        <v>3</v>
      </c>
      <c r="HF70" t="s">
        <v>3</v>
      </c>
      <c r="HM70" t="s">
        <v>3</v>
      </c>
      <c r="HN70" t="s">
        <v>3</v>
      </c>
      <c r="HO70" t="s">
        <v>3</v>
      </c>
      <c r="HP70" t="s">
        <v>3</v>
      </c>
      <c r="HQ70" t="s">
        <v>3</v>
      </c>
      <c r="HS70">
        <v>0</v>
      </c>
      <c r="IK70">
        <v>0</v>
      </c>
    </row>
    <row r="71" spans="1:255" x14ac:dyDescent="0.2">
      <c r="A71" s="2">
        <v>17</v>
      </c>
      <c r="B71" s="2">
        <v>1</v>
      </c>
      <c r="C71" s="2"/>
      <c r="D71" s="2"/>
      <c r="E71" s="2" t="s">
        <v>104</v>
      </c>
      <c r="F71" s="2" t="s">
        <v>105</v>
      </c>
      <c r="G71" s="2" t="s">
        <v>106</v>
      </c>
      <c r="H71" s="2" t="s">
        <v>107</v>
      </c>
      <c r="I71" s="2">
        <v>1</v>
      </c>
      <c r="J71" s="2">
        <v>0</v>
      </c>
      <c r="K71" s="2">
        <v>1</v>
      </c>
      <c r="L71" s="2"/>
      <c r="M71" s="2"/>
      <c r="N71" s="2"/>
      <c r="O71" s="2">
        <f t="shared" si="57"/>
        <v>988.51</v>
      </c>
      <c r="P71" s="2">
        <f t="shared" si="58"/>
        <v>988.51</v>
      </c>
      <c r="Q71" s="2">
        <f t="shared" ref="Q71:Q82" si="83">(ROUND((ROUND(((ET71)*AV71*I71),2)*BB71),2)+ROUND((ROUND(((AE71-(EU71))*AV71*I71),2)*BS71),2))</f>
        <v>0</v>
      </c>
      <c r="R71" s="2">
        <f t="shared" ref="R71:R82" si="84">(ROUND((ROUND(((EU71)*AV71*I71),2)*BS71),2)+ROUND((ROUND(((AE71-(EU71))*AV71*I71),2)*BS71),2))</f>
        <v>0</v>
      </c>
      <c r="S71" s="2">
        <f t="shared" si="59"/>
        <v>0</v>
      </c>
      <c r="T71" s="2">
        <f t="shared" si="60"/>
        <v>0</v>
      </c>
      <c r="U71" s="2">
        <f t="shared" si="61"/>
        <v>0</v>
      </c>
      <c r="V71" s="2">
        <f t="shared" si="62"/>
        <v>0</v>
      </c>
      <c r="W71" s="2">
        <f t="shared" si="63"/>
        <v>0</v>
      </c>
      <c r="X71" s="2">
        <f t="shared" ref="X71:X82" si="85">(ROUND((((S71+ROUND((ROUND(((EU71)*AV71*I71),2)*BS71),2))*AT71)/100),2)+ROUND(((ROUND((ROUND(((AE71-(EU71))*AV71*I71),2)*BS71),2)*AT71)/100),2))</f>
        <v>0</v>
      </c>
      <c r="Y71" s="2">
        <f t="shared" ref="Y71:Y82" si="86">(ROUND((((S71+ROUND((ROUND(((EU71)*AV71*I71),2)*BS71),2))*AU71)/100),2)+ROUND(((ROUND((ROUND(((AE71-(EU71))*AV71*I71),2)*BS71),2)*AU71)/100),2))</f>
        <v>0</v>
      </c>
      <c r="Z71" s="2"/>
      <c r="AA71" s="2">
        <v>60255014</v>
      </c>
      <c r="AB71" s="2">
        <f t="shared" si="64"/>
        <v>988.51</v>
      </c>
      <c r="AC71" s="2">
        <f t="shared" si="65"/>
        <v>988.51</v>
      </c>
      <c r="AD71" s="2">
        <f t="shared" ref="AD71:AD82" si="87">ROUND((((ET71)-(EU71))+AE71),6)</f>
        <v>0</v>
      </c>
      <c r="AE71" s="2">
        <f t="shared" ref="AE71:AE82" si="88">ROUND((EU71),6)</f>
        <v>0</v>
      </c>
      <c r="AF71" s="2">
        <f t="shared" ref="AF71:AF82" si="89">ROUND((EV71),6)</f>
        <v>0</v>
      </c>
      <c r="AG71" s="2">
        <f t="shared" si="66"/>
        <v>0</v>
      </c>
      <c r="AH71" s="2">
        <f t="shared" ref="AH71:AH82" si="90">(EW71)</f>
        <v>0</v>
      </c>
      <c r="AI71" s="2">
        <f t="shared" ref="AI71:AI82" si="91">(EX71)</f>
        <v>0</v>
      </c>
      <c r="AJ71" s="2">
        <f t="shared" si="67"/>
        <v>0</v>
      </c>
      <c r="AK71" s="2">
        <v>988.51</v>
      </c>
      <c r="AL71" s="2">
        <v>988.51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1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3</v>
      </c>
      <c r="BI71" s="2">
        <v>1</v>
      </c>
      <c r="BJ71" s="2" t="s">
        <v>3</v>
      </c>
      <c r="BK71" s="2"/>
      <c r="BL71" s="2"/>
      <c r="BM71" s="2">
        <v>400002</v>
      </c>
      <c r="BN71" s="2">
        <v>0</v>
      </c>
      <c r="BO71" s="2" t="s">
        <v>3</v>
      </c>
      <c r="BP71" s="2">
        <v>0</v>
      </c>
      <c r="BQ71" s="2">
        <v>202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0</v>
      </c>
      <c r="CA71" s="2">
        <v>0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3</v>
      </c>
      <c r="CO71" s="2">
        <v>0</v>
      </c>
      <c r="CP71" s="2">
        <f t="shared" si="68"/>
        <v>988.51</v>
      </c>
      <c r="CQ71" s="2">
        <f t="shared" si="69"/>
        <v>988.51</v>
      </c>
      <c r="CR71" s="2">
        <f t="shared" ref="CR71:CR82" si="92">(ROUND((ROUND(((ET71)*AV71*1),2)*BB71),2)+ROUND((ROUND(((AE71-(EU71))*AV71*1),2)*BS71),2))</f>
        <v>0</v>
      </c>
      <c r="CS71" s="2">
        <f t="shared" ref="CS71:CS82" si="93">(ROUND((ROUND(((EU71)*AV71*1),2)*BS71),2)+ROUND((ROUND(((AE71-(EU71))*AV71*1),2)*BS71),2))</f>
        <v>0</v>
      </c>
      <c r="CT71" s="2">
        <f t="shared" si="70"/>
        <v>0</v>
      </c>
      <c r="CU71" s="2">
        <f t="shared" si="71"/>
        <v>0</v>
      </c>
      <c r="CV71" s="2">
        <f t="shared" si="72"/>
        <v>0</v>
      </c>
      <c r="CW71" s="2">
        <f t="shared" si="73"/>
        <v>0</v>
      </c>
      <c r="CX71" s="2">
        <f t="shared" si="74"/>
        <v>0</v>
      </c>
      <c r="CY71" s="2">
        <f t="shared" ref="CY71:CY82" si="94">(ROUND((((S71+ROUND((ROUND(((EU71)*AV71*1),2)*BS71),2))*AT71)/100),2)+ROUND(((ROUND((ROUND(((AE71-(EU71))*AV71*1),2)*BS71),2)*AT71)/100),2))</f>
        <v>0</v>
      </c>
      <c r="CZ71" s="2">
        <f t="shared" ref="CZ71:CZ82" si="95">(ROUND((((S71+ROUND((ROUND(((EU71)*AV71*1),2)*BS71),2))*AU71)/100),2)+ROUND(((ROUND((ROUND(((AE71-(EU71))*AV71*1),2)*BS71),2)*AU71)/100),2))</f>
        <v>0</v>
      </c>
      <c r="DA71" s="2"/>
      <c r="DB71" s="2"/>
      <c r="DC71" s="2" t="s">
        <v>3</v>
      </c>
      <c r="DD71" s="2" t="s">
        <v>3</v>
      </c>
      <c r="DE71" s="2" t="s">
        <v>3</v>
      </c>
      <c r="DF71" s="2" t="s">
        <v>3</v>
      </c>
      <c r="DG71" s="2" t="s">
        <v>3</v>
      </c>
      <c r="DH71" s="2" t="s">
        <v>3</v>
      </c>
      <c r="DI71" s="2" t="s">
        <v>3</v>
      </c>
      <c r="DJ71" s="2" t="s">
        <v>3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1013</v>
      </c>
      <c r="DV71" s="2" t="s">
        <v>107</v>
      </c>
      <c r="DW71" s="2" t="s">
        <v>107</v>
      </c>
      <c r="DX71" s="2">
        <v>1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60088211</v>
      </c>
      <c r="EF71" s="2">
        <v>202</v>
      </c>
      <c r="EG71" s="2" t="s">
        <v>108</v>
      </c>
      <c r="EH71" s="2">
        <v>0</v>
      </c>
      <c r="EI71" s="2" t="s">
        <v>3</v>
      </c>
      <c r="EJ71" s="2">
        <v>1</v>
      </c>
      <c r="EK71" s="2">
        <v>400002</v>
      </c>
      <c r="EL71" s="2" t="s">
        <v>109</v>
      </c>
      <c r="EM71" s="2" t="s">
        <v>108</v>
      </c>
      <c r="EN71" s="2"/>
      <c r="EO71" s="2" t="s">
        <v>3</v>
      </c>
      <c r="EP71" s="2"/>
      <c r="EQ71" s="2">
        <v>0</v>
      </c>
      <c r="ER71" s="2">
        <v>0</v>
      </c>
      <c r="ES71" s="2">
        <v>988.51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0</v>
      </c>
      <c r="FY71" s="2">
        <v>0</v>
      </c>
      <c r="FZ71" s="2"/>
      <c r="GA71" s="2" t="s">
        <v>110</v>
      </c>
      <c r="GB71" s="2"/>
      <c r="GC71" s="2"/>
      <c r="GD71" s="2">
        <v>1</v>
      </c>
      <c r="GE71" s="2"/>
      <c r="GF71" s="2">
        <v>-1745178148</v>
      </c>
      <c r="GG71" s="2">
        <v>2</v>
      </c>
      <c r="GH71" s="2">
        <v>4</v>
      </c>
      <c r="GI71" s="2">
        <v>-2</v>
      </c>
      <c r="GJ71" s="2">
        <v>0</v>
      </c>
      <c r="GK71" s="2">
        <v>0</v>
      </c>
      <c r="GL71" s="2">
        <f t="shared" si="75"/>
        <v>0</v>
      </c>
      <c r="GM71" s="2">
        <f t="shared" si="76"/>
        <v>988.51</v>
      </c>
      <c r="GN71" s="2">
        <f t="shared" si="77"/>
        <v>988.51</v>
      </c>
      <c r="GO71" s="2">
        <f t="shared" si="78"/>
        <v>0</v>
      </c>
      <c r="GP71" s="2">
        <f t="shared" si="79"/>
        <v>0</v>
      </c>
      <c r="GQ71" s="2"/>
      <c r="GR71" s="2">
        <v>0</v>
      </c>
      <c r="GS71" s="2">
        <v>2</v>
      </c>
      <c r="GT71" s="2">
        <v>0</v>
      </c>
      <c r="GU71" s="2" t="s">
        <v>3</v>
      </c>
      <c r="GV71" s="2">
        <f t="shared" si="80"/>
        <v>0</v>
      </c>
      <c r="GW71" s="2">
        <v>1</v>
      </c>
      <c r="GX71" s="2">
        <f t="shared" si="81"/>
        <v>0</v>
      </c>
      <c r="GY71" s="2"/>
      <c r="GZ71" s="2"/>
      <c r="HA71" s="2">
        <v>0</v>
      </c>
      <c r="HB71" s="2">
        <v>0</v>
      </c>
      <c r="HC71" s="2">
        <f t="shared" si="82"/>
        <v>0</v>
      </c>
      <c r="HD71" s="2"/>
      <c r="HE71" s="2" t="s">
        <v>111</v>
      </c>
      <c r="HF71" s="2" t="s">
        <v>28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">
      <c r="A72">
        <v>17</v>
      </c>
      <c r="B72">
        <v>1</v>
      </c>
      <c r="E72" t="s">
        <v>104</v>
      </c>
      <c r="F72" t="s">
        <v>105</v>
      </c>
      <c r="G72" t="s">
        <v>106</v>
      </c>
      <c r="H72" t="s">
        <v>107</v>
      </c>
      <c r="I72">
        <v>1</v>
      </c>
      <c r="J72">
        <v>0</v>
      </c>
      <c r="K72">
        <v>1</v>
      </c>
      <c r="O72">
        <f t="shared" si="57"/>
        <v>9766.48</v>
      </c>
      <c r="P72">
        <f t="shared" si="58"/>
        <v>9766.48</v>
      </c>
      <c r="Q72">
        <f t="shared" si="83"/>
        <v>0</v>
      </c>
      <c r="R72">
        <f t="shared" si="84"/>
        <v>0</v>
      </c>
      <c r="S72">
        <f t="shared" si="59"/>
        <v>0</v>
      </c>
      <c r="T72">
        <f t="shared" si="60"/>
        <v>0</v>
      </c>
      <c r="U72">
        <f t="shared" si="61"/>
        <v>0</v>
      </c>
      <c r="V72">
        <f t="shared" si="62"/>
        <v>0</v>
      </c>
      <c r="W72">
        <f t="shared" si="63"/>
        <v>0</v>
      </c>
      <c r="X72">
        <f t="shared" si="85"/>
        <v>0</v>
      </c>
      <c r="Y72">
        <f t="shared" si="86"/>
        <v>0</v>
      </c>
      <c r="AA72">
        <v>60255011</v>
      </c>
      <c r="AB72">
        <f t="shared" si="64"/>
        <v>988.51</v>
      </c>
      <c r="AC72">
        <f t="shared" si="65"/>
        <v>988.51</v>
      </c>
      <c r="AD72">
        <f t="shared" si="87"/>
        <v>0</v>
      </c>
      <c r="AE72">
        <f t="shared" si="88"/>
        <v>0</v>
      </c>
      <c r="AF72">
        <f t="shared" si="89"/>
        <v>0</v>
      </c>
      <c r="AG72">
        <f t="shared" si="66"/>
        <v>0</v>
      </c>
      <c r="AH72">
        <f t="shared" si="90"/>
        <v>0</v>
      </c>
      <c r="AI72">
        <f t="shared" si="91"/>
        <v>0</v>
      </c>
      <c r="AJ72">
        <f t="shared" si="67"/>
        <v>0</v>
      </c>
      <c r="AK72">
        <v>988.51</v>
      </c>
      <c r="AL72">
        <v>988.51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Z72">
        <v>1</v>
      </c>
      <c r="BA72">
        <v>1</v>
      </c>
      <c r="BB72">
        <v>1</v>
      </c>
      <c r="BC72">
        <v>9.8800000000000008</v>
      </c>
      <c r="BD72" t="s">
        <v>3</v>
      </c>
      <c r="BE72" t="s">
        <v>3</v>
      </c>
      <c r="BF72" t="s">
        <v>3</v>
      </c>
      <c r="BG72" t="s">
        <v>3</v>
      </c>
      <c r="BH72">
        <v>3</v>
      </c>
      <c r="BI72">
        <v>1</v>
      </c>
      <c r="BJ72" t="s">
        <v>3</v>
      </c>
      <c r="BM72">
        <v>400002</v>
      </c>
      <c r="BN72">
        <v>0</v>
      </c>
      <c r="BO72" t="s">
        <v>3</v>
      </c>
      <c r="BP72">
        <v>0</v>
      </c>
      <c r="BQ72">
        <v>202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 t="s">
        <v>3</v>
      </c>
      <c r="BZ72">
        <v>0</v>
      </c>
      <c r="CA72">
        <v>0</v>
      </c>
      <c r="CB72" t="s">
        <v>3</v>
      </c>
      <c r="CE72">
        <v>1566</v>
      </c>
      <c r="CF72">
        <v>0</v>
      </c>
      <c r="CG72">
        <v>0</v>
      </c>
      <c r="CM72">
        <v>0</v>
      </c>
      <c r="CN72" t="s">
        <v>3</v>
      </c>
      <c r="CO72">
        <v>0</v>
      </c>
      <c r="CP72">
        <f t="shared" si="68"/>
        <v>9766.48</v>
      </c>
      <c r="CQ72">
        <f t="shared" si="69"/>
        <v>9766.48</v>
      </c>
      <c r="CR72">
        <f t="shared" si="92"/>
        <v>0</v>
      </c>
      <c r="CS72">
        <f t="shared" si="93"/>
        <v>0</v>
      </c>
      <c r="CT72">
        <f t="shared" si="70"/>
        <v>0</v>
      </c>
      <c r="CU72">
        <f t="shared" si="71"/>
        <v>0</v>
      </c>
      <c r="CV72">
        <f t="shared" si="72"/>
        <v>0</v>
      </c>
      <c r="CW72">
        <f t="shared" si="73"/>
        <v>0</v>
      </c>
      <c r="CX72">
        <f t="shared" si="74"/>
        <v>0</v>
      </c>
      <c r="CY72">
        <f t="shared" si="94"/>
        <v>0</v>
      </c>
      <c r="CZ72">
        <f t="shared" si="95"/>
        <v>0</v>
      </c>
      <c r="DC72" t="s">
        <v>3</v>
      </c>
      <c r="DD72" t="s">
        <v>3</v>
      </c>
      <c r="DE72" t="s">
        <v>3</v>
      </c>
      <c r="DF72" t="s">
        <v>3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3</v>
      </c>
      <c r="DN72">
        <v>0</v>
      </c>
      <c r="DO72">
        <v>0</v>
      </c>
      <c r="DP72">
        <v>1</v>
      </c>
      <c r="DQ72">
        <v>1</v>
      </c>
      <c r="DU72">
        <v>1013</v>
      </c>
      <c r="DV72" t="s">
        <v>107</v>
      </c>
      <c r="DW72" t="s">
        <v>107</v>
      </c>
      <c r="DX72">
        <v>1</v>
      </c>
      <c r="DZ72" t="s">
        <v>3</v>
      </c>
      <c r="EA72" t="s">
        <v>3</v>
      </c>
      <c r="EB72" t="s">
        <v>3</v>
      </c>
      <c r="EC72" t="s">
        <v>3</v>
      </c>
      <c r="EE72">
        <v>60088211</v>
      </c>
      <c r="EF72">
        <v>202</v>
      </c>
      <c r="EG72" t="s">
        <v>108</v>
      </c>
      <c r="EH72">
        <v>0</v>
      </c>
      <c r="EI72" t="s">
        <v>3</v>
      </c>
      <c r="EJ72">
        <v>1</v>
      </c>
      <c r="EK72">
        <v>400002</v>
      </c>
      <c r="EL72" t="s">
        <v>109</v>
      </c>
      <c r="EM72" t="s">
        <v>108</v>
      </c>
      <c r="EO72" t="s">
        <v>3</v>
      </c>
      <c r="EQ72">
        <v>0</v>
      </c>
      <c r="ER72">
        <v>988.51</v>
      </c>
      <c r="ES72">
        <v>988.51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5</v>
      </c>
      <c r="FC72">
        <v>1</v>
      </c>
      <c r="FD72">
        <v>18</v>
      </c>
      <c r="FF72">
        <v>11490</v>
      </c>
      <c r="FQ72">
        <v>0</v>
      </c>
      <c r="FR72">
        <v>0</v>
      </c>
      <c r="FS72">
        <v>0</v>
      </c>
      <c r="FX72">
        <v>0</v>
      </c>
      <c r="FY72">
        <v>0</v>
      </c>
      <c r="GA72" t="s">
        <v>110</v>
      </c>
      <c r="GD72">
        <v>1</v>
      </c>
      <c r="GF72">
        <v>-1745178148</v>
      </c>
      <c r="GG72">
        <v>2</v>
      </c>
      <c r="GH72">
        <v>3</v>
      </c>
      <c r="GI72">
        <v>5</v>
      </c>
      <c r="GJ72">
        <v>0</v>
      </c>
      <c r="GK72">
        <v>0</v>
      </c>
      <c r="GL72">
        <f t="shared" si="75"/>
        <v>0</v>
      </c>
      <c r="GM72">
        <f t="shared" si="76"/>
        <v>9766.48</v>
      </c>
      <c r="GN72">
        <f t="shared" si="77"/>
        <v>9766.48</v>
      </c>
      <c r="GO72">
        <f t="shared" si="78"/>
        <v>0</v>
      </c>
      <c r="GP72">
        <f t="shared" si="79"/>
        <v>0</v>
      </c>
      <c r="GR72">
        <v>1</v>
      </c>
      <c r="GS72">
        <v>1</v>
      </c>
      <c r="GT72">
        <v>0</v>
      </c>
      <c r="GU72" t="s">
        <v>3</v>
      </c>
      <c r="GV72">
        <f t="shared" si="80"/>
        <v>0</v>
      </c>
      <c r="GW72">
        <v>1</v>
      </c>
      <c r="GX72">
        <f t="shared" si="81"/>
        <v>0</v>
      </c>
      <c r="HA72">
        <v>0</v>
      </c>
      <c r="HB72">
        <v>0</v>
      </c>
      <c r="HC72">
        <f t="shared" si="82"/>
        <v>0</v>
      </c>
      <c r="HE72" t="s">
        <v>111</v>
      </c>
      <c r="HF72" t="s">
        <v>28</v>
      </c>
      <c r="HM72" t="s">
        <v>3</v>
      </c>
      <c r="HN72" t="s">
        <v>3</v>
      </c>
      <c r="HO72" t="s">
        <v>3</v>
      </c>
      <c r="HP72" t="s">
        <v>3</v>
      </c>
      <c r="HQ72" t="s">
        <v>3</v>
      </c>
      <c r="HS72">
        <v>0</v>
      </c>
      <c r="IK72">
        <v>0</v>
      </c>
    </row>
    <row r="73" spans="1:255" x14ac:dyDescent="0.2">
      <c r="A73" s="2">
        <v>17</v>
      </c>
      <c r="B73" s="2">
        <v>1</v>
      </c>
      <c r="C73" s="2"/>
      <c r="D73" s="2"/>
      <c r="E73" s="2" t="s">
        <v>112</v>
      </c>
      <c r="F73" s="2" t="s">
        <v>113</v>
      </c>
      <c r="G73" s="2" t="s">
        <v>114</v>
      </c>
      <c r="H73" s="2" t="s">
        <v>107</v>
      </c>
      <c r="I73" s="2">
        <v>3</v>
      </c>
      <c r="J73" s="2">
        <v>0</v>
      </c>
      <c r="K73" s="2">
        <v>3</v>
      </c>
      <c r="L73" s="2"/>
      <c r="M73" s="2"/>
      <c r="N73" s="2"/>
      <c r="O73" s="2">
        <f t="shared" si="57"/>
        <v>4939.9799999999996</v>
      </c>
      <c r="P73" s="2">
        <f t="shared" si="58"/>
        <v>4939.9799999999996</v>
      </c>
      <c r="Q73" s="2">
        <f t="shared" si="83"/>
        <v>0</v>
      </c>
      <c r="R73" s="2">
        <f t="shared" si="84"/>
        <v>0</v>
      </c>
      <c r="S73" s="2">
        <f t="shared" si="59"/>
        <v>0</v>
      </c>
      <c r="T73" s="2">
        <f t="shared" si="60"/>
        <v>0</v>
      </c>
      <c r="U73" s="2">
        <f t="shared" si="61"/>
        <v>0</v>
      </c>
      <c r="V73" s="2">
        <f t="shared" si="62"/>
        <v>0</v>
      </c>
      <c r="W73" s="2">
        <f t="shared" si="63"/>
        <v>0</v>
      </c>
      <c r="X73" s="2">
        <f t="shared" si="85"/>
        <v>0</v>
      </c>
      <c r="Y73" s="2">
        <f t="shared" si="86"/>
        <v>0</v>
      </c>
      <c r="Z73" s="2"/>
      <c r="AA73" s="2">
        <v>60255014</v>
      </c>
      <c r="AB73" s="2">
        <f t="shared" si="64"/>
        <v>1646.66</v>
      </c>
      <c r="AC73" s="2">
        <f t="shared" si="65"/>
        <v>1646.66</v>
      </c>
      <c r="AD73" s="2">
        <f t="shared" si="87"/>
        <v>0</v>
      </c>
      <c r="AE73" s="2">
        <f t="shared" si="88"/>
        <v>0</v>
      </c>
      <c r="AF73" s="2">
        <f t="shared" si="89"/>
        <v>0</v>
      </c>
      <c r="AG73" s="2">
        <f t="shared" si="66"/>
        <v>0</v>
      </c>
      <c r="AH73" s="2">
        <f t="shared" si="90"/>
        <v>0</v>
      </c>
      <c r="AI73" s="2">
        <f t="shared" si="91"/>
        <v>0</v>
      </c>
      <c r="AJ73" s="2">
        <f t="shared" si="67"/>
        <v>0</v>
      </c>
      <c r="AK73" s="2">
        <v>1646.6599999999999</v>
      </c>
      <c r="AL73" s="2">
        <v>1646.6599999999999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3</v>
      </c>
      <c r="BI73" s="2">
        <v>1</v>
      </c>
      <c r="BJ73" s="2" t="s">
        <v>3</v>
      </c>
      <c r="BK73" s="2"/>
      <c r="BL73" s="2"/>
      <c r="BM73" s="2">
        <v>400002</v>
      </c>
      <c r="BN73" s="2">
        <v>0</v>
      </c>
      <c r="BO73" s="2" t="s">
        <v>3</v>
      </c>
      <c r="BP73" s="2">
        <v>0</v>
      </c>
      <c r="BQ73" s="2">
        <v>202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0</v>
      </c>
      <c r="CA73" s="2">
        <v>0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3</v>
      </c>
      <c r="CO73" s="2">
        <v>0</v>
      </c>
      <c r="CP73" s="2">
        <f t="shared" si="68"/>
        <v>4939.9799999999996</v>
      </c>
      <c r="CQ73" s="2">
        <f t="shared" si="69"/>
        <v>1646.66</v>
      </c>
      <c r="CR73" s="2">
        <f t="shared" si="92"/>
        <v>0</v>
      </c>
      <c r="CS73" s="2">
        <f t="shared" si="93"/>
        <v>0</v>
      </c>
      <c r="CT73" s="2">
        <f t="shared" si="70"/>
        <v>0</v>
      </c>
      <c r="CU73" s="2">
        <f t="shared" si="71"/>
        <v>0</v>
      </c>
      <c r="CV73" s="2">
        <f t="shared" si="72"/>
        <v>0</v>
      </c>
      <c r="CW73" s="2">
        <f t="shared" si="73"/>
        <v>0</v>
      </c>
      <c r="CX73" s="2">
        <f t="shared" si="74"/>
        <v>0</v>
      </c>
      <c r="CY73" s="2">
        <f t="shared" si="94"/>
        <v>0</v>
      </c>
      <c r="CZ73" s="2">
        <f t="shared" si="95"/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1013</v>
      </c>
      <c r="DV73" s="2" t="s">
        <v>107</v>
      </c>
      <c r="DW73" s="2" t="s">
        <v>107</v>
      </c>
      <c r="DX73" s="2">
        <v>1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60088211</v>
      </c>
      <c r="EF73" s="2">
        <v>202</v>
      </c>
      <c r="EG73" s="2" t="s">
        <v>108</v>
      </c>
      <c r="EH73" s="2">
        <v>0</v>
      </c>
      <c r="EI73" s="2" t="s">
        <v>3</v>
      </c>
      <c r="EJ73" s="2">
        <v>1</v>
      </c>
      <c r="EK73" s="2">
        <v>400002</v>
      </c>
      <c r="EL73" s="2" t="s">
        <v>109</v>
      </c>
      <c r="EM73" s="2" t="s">
        <v>108</v>
      </c>
      <c r="EN73" s="2"/>
      <c r="EO73" s="2" t="s">
        <v>3</v>
      </c>
      <c r="EP73" s="2"/>
      <c r="EQ73" s="2">
        <v>0</v>
      </c>
      <c r="ER73" s="2">
        <v>0</v>
      </c>
      <c r="ES73" s="2">
        <v>1646.6599999999999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v>0</v>
      </c>
      <c r="FS73" s="2">
        <v>0</v>
      </c>
      <c r="FT73" s="2"/>
      <c r="FU73" s="2"/>
      <c r="FV73" s="2"/>
      <c r="FW73" s="2"/>
      <c r="FX73" s="2">
        <v>0</v>
      </c>
      <c r="FY73" s="2">
        <v>0</v>
      </c>
      <c r="FZ73" s="2"/>
      <c r="GA73" s="2" t="s">
        <v>115</v>
      </c>
      <c r="GB73" s="2"/>
      <c r="GC73" s="2"/>
      <c r="GD73" s="2">
        <v>1</v>
      </c>
      <c r="GE73" s="2"/>
      <c r="GF73" s="2">
        <v>1989700705</v>
      </c>
      <c r="GG73" s="2">
        <v>2</v>
      </c>
      <c r="GH73" s="2">
        <v>4</v>
      </c>
      <c r="GI73" s="2">
        <v>-2</v>
      </c>
      <c r="GJ73" s="2">
        <v>0</v>
      </c>
      <c r="GK73" s="2">
        <v>0</v>
      </c>
      <c r="GL73" s="2">
        <f t="shared" si="75"/>
        <v>0</v>
      </c>
      <c r="GM73" s="2">
        <f t="shared" si="76"/>
        <v>4939.9799999999996</v>
      </c>
      <c r="GN73" s="2">
        <f t="shared" si="77"/>
        <v>4939.9799999999996</v>
      </c>
      <c r="GO73" s="2">
        <f t="shared" si="78"/>
        <v>0</v>
      </c>
      <c r="GP73" s="2">
        <f t="shared" si="79"/>
        <v>0</v>
      </c>
      <c r="GQ73" s="2"/>
      <c r="GR73" s="2">
        <v>0</v>
      </c>
      <c r="GS73" s="2">
        <v>2</v>
      </c>
      <c r="GT73" s="2">
        <v>0</v>
      </c>
      <c r="GU73" s="2" t="s">
        <v>3</v>
      </c>
      <c r="GV73" s="2">
        <f t="shared" si="80"/>
        <v>0</v>
      </c>
      <c r="GW73" s="2">
        <v>1</v>
      </c>
      <c r="GX73" s="2">
        <f t="shared" si="81"/>
        <v>0</v>
      </c>
      <c r="GY73" s="2"/>
      <c r="GZ73" s="2"/>
      <c r="HA73" s="2">
        <v>0</v>
      </c>
      <c r="HB73" s="2">
        <v>0</v>
      </c>
      <c r="HC73" s="2">
        <f t="shared" si="82"/>
        <v>0</v>
      </c>
      <c r="HD73" s="2"/>
      <c r="HE73" s="2" t="s">
        <v>111</v>
      </c>
      <c r="HF73" s="2" t="s">
        <v>28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>
        <v>17</v>
      </c>
      <c r="B74">
        <v>1</v>
      </c>
      <c r="E74" t="s">
        <v>112</v>
      </c>
      <c r="F74" t="s">
        <v>113</v>
      </c>
      <c r="G74" t="s">
        <v>114</v>
      </c>
      <c r="H74" t="s">
        <v>107</v>
      </c>
      <c r="I74">
        <v>3</v>
      </c>
      <c r="J74">
        <v>0</v>
      </c>
      <c r="K74">
        <v>3</v>
      </c>
      <c r="O74">
        <f t="shared" si="57"/>
        <v>48807</v>
      </c>
      <c r="P74">
        <f t="shared" si="58"/>
        <v>48807</v>
      </c>
      <c r="Q74">
        <f t="shared" si="83"/>
        <v>0</v>
      </c>
      <c r="R74">
        <f t="shared" si="84"/>
        <v>0</v>
      </c>
      <c r="S74">
        <f t="shared" si="59"/>
        <v>0</v>
      </c>
      <c r="T74">
        <f t="shared" si="60"/>
        <v>0</v>
      </c>
      <c r="U74">
        <f t="shared" si="61"/>
        <v>0</v>
      </c>
      <c r="V74">
        <f t="shared" si="62"/>
        <v>0</v>
      </c>
      <c r="W74">
        <f t="shared" si="63"/>
        <v>0</v>
      </c>
      <c r="X74">
        <f t="shared" si="85"/>
        <v>0</v>
      </c>
      <c r="Y74">
        <f t="shared" si="86"/>
        <v>0</v>
      </c>
      <c r="AA74">
        <v>60255011</v>
      </c>
      <c r="AB74">
        <f t="shared" si="64"/>
        <v>1646.66</v>
      </c>
      <c r="AC74">
        <f t="shared" si="65"/>
        <v>1646.66</v>
      </c>
      <c r="AD74">
        <f t="shared" si="87"/>
        <v>0</v>
      </c>
      <c r="AE74">
        <f t="shared" si="88"/>
        <v>0</v>
      </c>
      <c r="AF74">
        <f t="shared" si="89"/>
        <v>0</v>
      </c>
      <c r="AG74">
        <f t="shared" si="66"/>
        <v>0</v>
      </c>
      <c r="AH74">
        <f t="shared" si="90"/>
        <v>0</v>
      </c>
      <c r="AI74">
        <f t="shared" si="91"/>
        <v>0</v>
      </c>
      <c r="AJ74">
        <f t="shared" si="67"/>
        <v>0</v>
      </c>
      <c r="AK74">
        <v>1646.6599999999999</v>
      </c>
      <c r="AL74">
        <v>1646.6599999999999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1</v>
      </c>
      <c r="AZ74">
        <v>1</v>
      </c>
      <c r="BA74">
        <v>1</v>
      </c>
      <c r="BB74">
        <v>1</v>
      </c>
      <c r="BC74">
        <v>9.8800000000000008</v>
      </c>
      <c r="BD74" t="s">
        <v>3</v>
      </c>
      <c r="BE74" t="s">
        <v>3</v>
      </c>
      <c r="BF74" t="s">
        <v>3</v>
      </c>
      <c r="BG74" t="s">
        <v>3</v>
      </c>
      <c r="BH74">
        <v>3</v>
      </c>
      <c r="BI74">
        <v>1</v>
      </c>
      <c r="BJ74" t="s">
        <v>3</v>
      </c>
      <c r="BM74">
        <v>400002</v>
      </c>
      <c r="BN74">
        <v>0</v>
      </c>
      <c r="BO74" t="s">
        <v>3</v>
      </c>
      <c r="BP74">
        <v>0</v>
      </c>
      <c r="BQ74">
        <v>202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 t="s">
        <v>3</v>
      </c>
      <c r="BZ74">
        <v>0</v>
      </c>
      <c r="CA74">
        <v>0</v>
      </c>
      <c r="CB74" t="s">
        <v>3</v>
      </c>
      <c r="CE74">
        <v>1566</v>
      </c>
      <c r="CF74">
        <v>0</v>
      </c>
      <c r="CG74">
        <v>0</v>
      </c>
      <c r="CM74">
        <v>0</v>
      </c>
      <c r="CN74" t="s">
        <v>3</v>
      </c>
      <c r="CO74">
        <v>0</v>
      </c>
      <c r="CP74">
        <f t="shared" si="68"/>
        <v>48807</v>
      </c>
      <c r="CQ74">
        <f t="shared" si="69"/>
        <v>16269</v>
      </c>
      <c r="CR74">
        <f t="shared" si="92"/>
        <v>0</v>
      </c>
      <c r="CS74">
        <f t="shared" si="93"/>
        <v>0</v>
      </c>
      <c r="CT74">
        <f t="shared" si="70"/>
        <v>0</v>
      </c>
      <c r="CU74">
        <f t="shared" si="71"/>
        <v>0</v>
      </c>
      <c r="CV74">
        <f t="shared" si="72"/>
        <v>0</v>
      </c>
      <c r="CW74">
        <f t="shared" si="73"/>
        <v>0</v>
      </c>
      <c r="CX74">
        <f t="shared" si="74"/>
        <v>0</v>
      </c>
      <c r="CY74">
        <f t="shared" si="94"/>
        <v>0</v>
      </c>
      <c r="CZ74">
        <f t="shared" si="95"/>
        <v>0</v>
      </c>
      <c r="DC74" t="s">
        <v>3</v>
      </c>
      <c r="DD74" t="s">
        <v>3</v>
      </c>
      <c r="DE74" t="s">
        <v>3</v>
      </c>
      <c r="DF74" t="s">
        <v>3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>
        <v>0</v>
      </c>
      <c r="DO74">
        <v>0</v>
      </c>
      <c r="DP74">
        <v>1</v>
      </c>
      <c r="DQ74">
        <v>1</v>
      </c>
      <c r="DU74">
        <v>1013</v>
      </c>
      <c r="DV74" t="s">
        <v>107</v>
      </c>
      <c r="DW74" t="s">
        <v>107</v>
      </c>
      <c r="DX74">
        <v>1</v>
      </c>
      <c r="DZ74" t="s">
        <v>3</v>
      </c>
      <c r="EA74" t="s">
        <v>3</v>
      </c>
      <c r="EB74" t="s">
        <v>3</v>
      </c>
      <c r="EC74" t="s">
        <v>3</v>
      </c>
      <c r="EE74">
        <v>60088211</v>
      </c>
      <c r="EF74">
        <v>202</v>
      </c>
      <c r="EG74" t="s">
        <v>108</v>
      </c>
      <c r="EH74">
        <v>0</v>
      </c>
      <c r="EI74" t="s">
        <v>3</v>
      </c>
      <c r="EJ74">
        <v>1</v>
      </c>
      <c r="EK74">
        <v>400002</v>
      </c>
      <c r="EL74" t="s">
        <v>109</v>
      </c>
      <c r="EM74" t="s">
        <v>108</v>
      </c>
      <c r="EO74" t="s">
        <v>3</v>
      </c>
      <c r="EQ74">
        <v>0</v>
      </c>
      <c r="ER74">
        <v>1646.6599999999999</v>
      </c>
      <c r="ES74">
        <v>1646.6599999999999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5</v>
      </c>
      <c r="FC74">
        <v>1</v>
      </c>
      <c r="FD74">
        <v>18</v>
      </c>
      <c r="FF74">
        <v>19140</v>
      </c>
      <c r="FQ74">
        <v>0</v>
      </c>
      <c r="FR74">
        <v>0</v>
      </c>
      <c r="FS74">
        <v>0</v>
      </c>
      <c r="FX74">
        <v>0</v>
      </c>
      <c r="FY74">
        <v>0</v>
      </c>
      <c r="GA74" t="s">
        <v>115</v>
      </c>
      <c r="GD74">
        <v>1</v>
      </c>
      <c r="GF74">
        <v>1989700705</v>
      </c>
      <c r="GG74">
        <v>2</v>
      </c>
      <c r="GH74">
        <v>3</v>
      </c>
      <c r="GI74">
        <v>5</v>
      </c>
      <c r="GJ74">
        <v>0</v>
      </c>
      <c r="GK74">
        <v>0</v>
      </c>
      <c r="GL74">
        <f t="shared" si="75"/>
        <v>0</v>
      </c>
      <c r="GM74">
        <f t="shared" si="76"/>
        <v>48807</v>
      </c>
      <c r="GN74">
        <f t="shared" si="77"/>
        <v>48807</v>
      </c>
      <c r="GO74">
        <f t="shared" si="78"/>
        <v>0</v>
      </c>
      <c r="GP74">
        <f t="shared" si="79"/>
        <v>0</v>
      </c>
      <c r="GR74">
        <v>1</v>
      </c>
      <c r="GS74">
        <v>1</v>
      </c>
      <c r="GT74">
        <v>0</v>
      </c>
      <c r="GU74" t="s">
        <v>3</v>
      </c>
      <c r="GV74">
        <f t="shared" si="80"/>
        <v>0</v>
      </c>
      <c r="GW74">
        <v>1</v>
      </c>
      <c r="GX74">
        <f t="shared" si="81"/>
        <v>0</v>
      </c>
      <c r="HA74">
        <v>0</v>
      </c>
      <c r="HB74">
        <v>0</v>
      </c>
      <c r="HC74">
        <f t="shared" si="82"/>
        <v>0</v>
      </c>
      <c r="HE74" t="s">
        <v>111</v>
      </c>
      <c r="HF74" t="s">
        <v>28</v>
      </c>
      <c r="HM74" t="s">
        <v>3</v>
      </c>
      <c r="HN74" t="s">
        <v>3</v>
      </c>
      <c r="HO74" t="s">
        <v>3</v>
      </c>
      <c r="HP74" t="s">
        <v>3</v>
      </c>
      <c r="HQ74" t="s">
        <v>3</v>
      </c>
      <c r="HS74">
        <v>0</v>
      </c>
      <c r="IK74">
        <v>0</v>
      </c>
    </row>
    <row r="75" spans="1:255" x14ac:dyDescent="0.2">
      <c r="A75" s="2">
        <v>17</v>
      </c>
      <c r="B75" s="2">
        <v>1</v>
      </c>
      <c r="C75" s="2"/>
      <c r="D75" s="2"/>
      <c r="E75" s="2" t="s">
        <v>116</v>
      </c>
      <c r="F75" s="2" t="s">
        <v>117</v>
      </c>
      <c r="G75" s="2" t="s">
        <v>118</v>
      </c>
      <c r="H75" s="2" t="s">
        <v>107</v>
      </c>
      <c r="I75" s="2">
        <v>2</v>
      </c>
      <c r="J75" s="2">
        <v>0</v>
      </c>
      <c r="K75" s="2">
        <v>2</v>
      </c>
      <c r="L75" s="2"/>
      <c r="M75" s="2"/>
      <c r="N75" s="2"/>
      <c r="O75" s="2">
        <f t="shared" si="57"/>
        <v>6364.68</v>
      </c>
      <c r="P75" s="2">
        <f t="shared" si="58"/>
        <v>6364.68</v>
      </c>
      <c r="Q75" s="2">
        <f t="shared" si="83"/>
        <v>0</v>
      </c>
      <c r="R75" s="2">
        <f t="shared" si="84"/>
        <v>0</v>
      </c>
      <c r="S75" s="2">
        <f t="shared" si="59"/>
        <v>0</v>
      </c>
      <c r="T75" s="2">
        <f t="shared" si="60"/>
        <v>0</v>
      </c>
      <c r="U75" s="2">
        <f t="shared" si="61"/>
        <v>0</v>
      </c>
      <c r="V75" s="2">
        <f t="shared" si="62"/>
        <v>0</v>
      </c>
      <c r="W75" s="2">
        <f t="shared" si="63"/>
        <v>0</v>
      </c>
      <c r="X75" s="2">
        <f t="shared" si="85"/>
        <v>0</v>
      </c>
      <c r="Y75" s="2">
        <f t="shared" si="86"/>
        <v>0</v>
      </c>
      <c r="Z75" s="2"/>
      <c r="AA75" s="2">
        <v>60255014</v>
      </c>
      <c r="AB75" s="2">
        <f t="shared" si="64"/>
        <v>3182.34</v>
      </c>
      <c r="AC75" s="2">
        <f t="shared" si="65"/>
        <v>3182.34</v>
      </c>
      <c r="AD75" s="2">
        <f t="shared" si="87"/>
        <v>0</v>
      </c>
      <c r="AE75" s="2">
        <f t="shared" si="88"/>
        <v>0</v>
      </c>
      <c r="AF75" s="2">
        <f t="shared" si="89"/>
        <v>0</v>
      </c>
      <c r="AG75" s="2">
        <f t="shared" si="66"/>
        <v>0</v>
      </c>
      <c r="AH75" s="2">
        <f t="shared" si="90"/>
        <v>0</v>
      </c>
      <c r="AI75" s="2">
        <f t="shared" si="91"/>
        <v>0</v>
      </c>
      <c r="AJ75" s="2">
        <f t="shared" si="67"/>
        <v>0</v>
      </c>
      <c r="AK75" s="2">
        <v>3182.34</v>
      </c>
      <c r="AL75" s="2">
        <v>3182.34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3</v>
      </c>
      <c r="BI75" s="2">
        <v>1</v>
      </c>
      <c r="BJ75" s="2" t="s">
        <v>3</v>
      </c>
      <c r="BK75" s="2"/>
      <c r="BL75" s="2"/>
      <c r="BM75" s="2">
        <v>400002</v>
      </c>
      <c r="BN75" s="2">
        <v>0</v>
      </c>
      <c r="BO75" s="2" t="s">
        <v>3</v>
      </c>
      <c r="BP75" s="2">
        <v>0</v>
      </c>
      <c r="BQ75" s="2">
        <v>202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0</v>
      </c>
      <c r="CA75" s="2">
        <v>0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3</v>
      </c>
      <c r="CO75" s="2">
        <v>0</v>
      </c>
      <c r="CP75" s="2">
        <f t="shared" si="68"/>
        <v>6364.68</v>
      </c>
      <c r="CQ75" s="2">
        <f t="shared" si="69"/>
        <v>3182.34</v>
      </c>
      <c r="CR75" s="2">
        <f t="shared" si="92"/>
        <v>0</v>
      </c>
      <c r="CS75" s="2">
        <f t="shared" si="93"/>
        <v>0</v>
      </c>
      <c r="CT75" s="2">
        <f t="shared" si="70"/>
        <v>0</v>
      </c>
      <c r="CU75" s="2">
        <f t="shared" si="71"/>
        <v>0</v>
      </c>
      <c r="CV75" s="2">
        <f t="shared" si="72"/>
        <v>0</v>
      </c>
      <c r="CW75" s="2">
        <f t="shared" si="73"/>
        <v>0</v>
      </c>
      <c r="CX75" s="2">
        <f t="shared" si="74"/>
        <v>0</v>
      </c>
      <c r="CY75" s="2">
        <f t="shared" si="94"/>
        <v>0</v>
      </c>
      <c r="CZ75" s="2">
        <f t="shared" si="95"/>
        <v>0</v>
      </c>
      <c r="DA75" s="2"/>
      <c r="DB75" s="2"/>
      <c r="DC75" s="2" t="s">
        <v>3</v>
      </c>
      <c r="DD75" s="2" t="s">
        <v>3</v>
      </c>
      <c r="DE75" s="2" t="s">
        <v>3</v>
      </c>
      <c r="DF75" s="2" t="s">
        <v>3</v>
      </c>
      <c r="DG75" s="2" t="s">
        <v>3</v>
      </c>
      <c r="DH75" s="2" t="s">
        <v>3</v>
      </c>
      <c r="DI75" s="2" t="s">
        <v>3</v>
      </c>
      <c r="DJ75" s="2" t="s">
        <v>3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107</v>
      </c>
      <c r="DW75" s="2" t="s">
        <v>107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60088211</v>
      </c>
      <c r="EF75" s="2">
        <v>202</v>
      </c>
      <c r="EG75" s="2" t="s">
        <v>108</v>
      </c>
      <c r="EH75" s="2">
        <v>0</v>
      </c>
      <c r="EI75" s="2" t="s">
        <v>3</v>
      </c>
      <c r="EJ75" s="2">
        <v>1</v>
      </c>
      <c r="EK75" s="2">
        <v>400002</v>
      </c>
      <c r="EL75" s="2" t="s">
        <v>109</v>
      </c>
      <c r="EM75" s="2" t="s">
        <v>108</v>
      </c>
      <c r="EN75" s="2"/>
      <c r="EO75" s="2" t="s">
        <v>3</v>
      </c>
      <c r="EP75" s="2"/>
      <c r="EQ75" s="2">
        <v>0</v>
      </c>
      <c r="ER75" s="2">
        <v>0</v>
      </c>
      <c r="ES75" s="2">
        <v>3182.34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0</v>
      </c>
      <c r="FY75" s="2">
        <v>0</v>
      </c>
      <c r="FZ75" s="2"/>
      <c r="GA75" s="2" t="s">
        <v>119</v>
      </c>
      <c r="GB75" s="2"/>
      <c r="GC75" s="2"/>
      <c r="GD75" s="2">
        <v>1</v>
      </c>
      <c r="GE75" s="2"/>
      <c r="GF75" s="2">
        <v>-345521507</v>
      </c>
      <c r="GG75" s="2">
        <v>2</v>
      </c>
      <c r="GH75" s="2">
        <v>4</v>
      </c>
      <c r="GI75" s="2">
        <v>-2</v>
      </c>
      <c r="GJ75" s="2">
        <v>0</v>
      </c>
      <c r="GK75" s="2">
        <v>0</v>
      </c>
      <c r="GL75" s="2">
        <f t="shared" si="75"/>
        <v>0</v>
      </c>
      <c r="GM75" s="2">
        <f t="shared" si="76"/>
        <v>6364.68</v>
      </c>
      <c r="GN75" s="2">
        <f t="shared" si="77"/>
        <v>6364.68</v>
      </c>
      <c r="GO75" s="2">
        <f t="shared" si="78"/>
        <v>0</v>
      </c>
      <c r="GP75" s="2">
        <f t="shared" si="79"/>
        <v>0</v>
      </c>
      <c r="GQ75" s="2"/>
      <c r="GR75" s="2">
        <v>0</v>
      </c>
      <c r="GS75" s="2">
        <v>2</v>
      </c>
      <c r="GT75" s="2">
        <v>0</v>
      </c>
      <c r="GU75" s="2" t="s">
        <v>3</v>
      </c>
      <c r="GV75" s="2">
        <f t="shared" si="80"/>
        <v>0</v>
      </c>
      <c r="GW75" s="2">
        <v>1</v>
      </c>
      <c r="GX75" s="2">
        <f t="shared" si="81"/>
        <v>0</v>
      </c>
      <c r="GY75" s="2"/>
      <c r="GZ75" s="2"/>
      <c r="HA75" s="2">
        <v>0</v>
      </c>
      <c r="HB75" s="2">
        <v>0</v>
      </c>
      <c r="HC75" s="2">
        <f t="shared" si="82"/>
        <v>0</v>
      </c>
      <c r="HD75" s="2"/>
      <c r="HE75" s="2" t="s">
        <v>111</v>
      </c>
      <c r="HF75" s="2" t="s">
        <v>28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>
        <v>17</v>
      </c>
      <c r="B76">
        <v>1</v>
      </c>
      <c r="E76" t="s">
        <v>116</v>
      </c>
      <c r="F76" t="s">
        <v>117</v>
      </c>
      <c r="G76" t="s">
        <v>118</v>
      </c>
      <c r="H76" t="s">
        <v>107</v>
      </c>
      <c r="I76">
        <v>2</v>
      </c>
      <c r="J76">
        <v>0</v>
      </c>
      <c r="K76">
        <v>2</v>
      </c>
      <c r="O76">
        <f t="shared" si="57"/>
        <v>62883.040000000001</v>
      </c>
      <c r="P76">
        <f t="shared" si="58"/>
        <v>62883.040000000001</v>
      </c>
      <c r="Q76">
        <f t="shared" si="83"/>
        <v>0</v>
      </c>
      <c r="R76">
        <f t="shared" si="84"/>
        <v>0</v>
      </c>
      <c r="S76">
        <f t="shared" si="59"/>
        <v>0</v>
      </c>
      <c r="T76">
        <f t="shared" si="60"/>
        <v>0</v>
      </c>
      <c r="U76">
        <f t="shared" si="61"/>
        <v>0</v>
      </c>
      <c r="V76">
        <f t="shared" si="62"/>
        <v>0</v>
      </c>
      <c r="W76">
        <f t="shared" si="63"/>
        <v>0</v>
      </c>
      <c r="X76">
        <f t="shared" si="85"/>
        <v>0</v>
      </c>
      <c r="Y76">
        <f t="shared" si="86"/>
        <v>0</v>
      </c>
      <c r="AA76">
        <v>60255011</v>
      </c>
      <c r="AB76">
        <f t="shared" si="64"/>
        <v>3182.34</v>
      </c>
      <c r="AC76">
        <f t="shared" si="65"/>
        <v>3182.34</v>
      </c>
      <c r="AD76">
        <f t="shared" si="87"/>
        <v>0</v>
      </c>
      <c r="AE76">
        <f t="shared" si="88"/>
        <v>0</v>
      </c>
      <c r="AF76">
        <f t="shared" si="89"/>
        <v>0</v>
      </c>
      <c r="AG76">
        <f t="shared" si="66"/>
        <v>0</v>
      </c>
      <c r="AH76">
        <f t="shared" si="90"/>
        <v>0</v>
      </c>
      <c r="AI76">
        <f t="shared" si="91"/>
        <v>0</v>
      </c>
      <c r="AJ76">
        <f t="shared" si="67"/>
        <v>0</v>
      </c>
      <c r="AK76">
        <v>3182.34</v>
      </c>
      <c r="AL76">
        <v>3182.34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</v>
      </c>
      <c r="AZ76">
        <v>1</v>
      </c>
      <c r="BA76">
        <v>1</v>
      </c>
      <c r="BB76">
        <v>1</v>
      </c>
      <c r="BC76">
        <v>9.8800000000000008</v>
      </c>
      <c r="BD76" t="s">
        <v>3</v>
      </c>
      <c r="BE76" t="s">
        <v>3</v>
      </c>
      <c r="BF76" t="s">
        <v>3</v>
      </c>
      <c r="BG76" t="s">
        <v>3</v>
      </c>
      <c r="BH76">
        <v>3</v>
      </c>
      <c r="BI76">
        <v>1</v>
      </c>
      <c r="BJ76" t="s">
        <v>3</v>
      </c>
      <c r="BM76">
        <v>400002</v>
      </c>
      <c r="BN76">
        <v>0</v>
      </c>
      <c r="BO76" t="s">
        <v>3</v>
      </c>
      <c r="BP76">
        <v>0</v>
      </c>
      <c r="BQ76">
        <v>202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 t="s">
        <v>3</v>
      </c>
      <c r="BZ76">
        <v>0</v>
      </c>
      <c r="CA76">
        <v>0</v>
      </c>
      <c r="CB76" t="s">
        <v>3</v>
      </c>
      <c r="CE76">
        <v>1566</v>
      </c>
      <c r="CF76">
        <v>0</v>
      </c>
      <c r="CG76">
        <v>0</v>
      </c>
      <c r="CM76">
        <v>0</v>
      </c>
      <c r="CN76" t="s">
        <v>3</v>
      </c>
      <c r="CO76">
        <v>0</v>
      </c>
      <c r="CP76">
        <f t="shared" si="68"/>
        <v>62883.040000000001</v>
      </c>
      <c r="CQ76">
        <f t="shared" si="69"/>
        <v>31441.52</v>
      </c>
      <c r="CR76">
        <f t="shared" si="92"/>
        <v>0</v>
      </c>
      <c r="CS76">
        <f t="shared" si="93"/>
        <v>0</v>
      </c>
      <c r="CT76">
        <f t="shared" si="70"/>
        <v>0</v>
      </c>
      <c r="CU76">
        <f t="shared" si="71"/>
        <v>0</v>
      </c>
      <c r="CV76">
        <f t="shared" si="72"/>
        <v>0</v>
      </c>
      <c r="CW76">
        <f t="shared" si="73"/>
        <v>0</v>
      </c>
      <c r="CX76">
        <f t="shared" si="74"/>
        <v>0</v>
      </c>
      <c r="CY76">
        <f t="shared" si="94"/>
        <v>0</v>
      </c>
      <c r="CZ76">
        <f t="shared" si="95"/>
        <v>0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>
        <v>0</v>
      </c>
      <c r="DO76">
        <v>0</v>
      </c>
      <c r="DP76">
        <v>1</v>
      </c>
      <c r="DQ76">
        <v>1</v>
      </c>
      <c r="DU76">
        <v>1013</v>
      </c>
      <c r="DV76" t="s">
        <v>107</v>
      </c>
      <c r="DW76" t="s">
        <v>107</v>
      </c>
      <c r="DX76">
        <v>1</v>
      </c>
      <c r="DZ76" t="s">
        <v>3</v>
      </c>
      <c r="EA76" t="s">
        <v>3</v>
      </c>
      <c r="EB76" t="s">
        <v>3</v>
      </c>
      <c r="EC76" t="s">
        <v>3</v>
      </c>
      <c r="EE76">
        <v>60088211</v>
      </c>
      <c r="EF76">
        <v>202</v>
      </c>
      <c r="EG76" t="s">
        <v>108</v>
      </c>
      <c r="EH76">
        <v>0</v>
      </c>
      <c r="EI76" t="s">
        <v>3</v>
      </c>
      <c r="EJ76">
        <v>1</v>
      </c>
      <c r="EK76">
        <v>400002</v>
      </c>
      <c r="EL76" t="s">
        <v>109</v>
      </c>
      <c r="EM76" t="s">
        <v>108</v>
      </c>
      <c r="EO76" t="s">
        <v>3</v>
      </c>
      <c r="EQ76">
        <v>0</v>
      </c>
      <c r="ER76">
        <v>3182.34</v>
      </c>
      <c r="ES76">
        <v>3182.34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5</v>
      </c>
      <c r="FC76">
        <v>1</v>
      </c>
      <c r="FD76">
        <v>18</v>
      </c>
      <c r="FF76">
        <v>36990</v>
      </c>
      <c r="FQ76">
        <v>0</v>
      </c>
      <c r="FR76">
        <v>0</v>
      </c>
      <c r="FS76">
        <v>0</v>
      </c>
      <c r="FX76">
        <v>0</v>
      </c>
      <c r="FY76">
        <v>0</v>
      </c>
      <c r="GA76" t="s">
        <v>119</v>
      </c>
      <c r="GD76">
        <v>1</v>
      </c>
      <c r="GF76">
        <v>-345521507</v>
      </c>
      <c r="GG76">
        <v>2</v>
      </c>
      <c r="GH76">
        <v>3</v>
      </c>
      <c r="GI76">
        <v>5</v>
      </c>
      <c r="GJ76">
        <v>0</v>
      </c>
      <c r="GK76">
        <v>0</v>
      </c>
      <c r="GL76">
        <f t="shared" si="75"/>
        <v>0</v>
      </c>
      <c r="GM76">
        <f t="shared" si="76"/>
        <v>62883.040000000001</v>
      </c>
      <c r="GN76">
        <f t="shared" si="77"/>
        <v>62883.040000000001</v>
      </c>
      <c r="GO76">
        <f t="shared" si="78"/>
        <v>0</v>
      </c>
      <c r="GP76">
        <f t="shared" si="79"/>
        <v>0</v>
      </c>
      <c r="GR76">
        <v>1</v>
      </c>
      <c r="GS76">
        <v>1</v>
      </c>
      <c r="GT76">
        <v>0</v>
      </c>
      <c r="GU76" t="s">
        <v>3</v>
      </c>
      <c r="GV76">
        <f t="shared" si="80"/>
        <v>0</v>
      </c>
      <c r="GW76">
        <v>1</v>
      </c>
      <c r="GX76">
        <f t="shared" si="81"/>
        <v>0</v>
      </c>
      <c r="HA76">
        <v>0</v>
      </c>
      <c r="HB76">
        <v>0</v>
      </c>
      <c r="HC76">
        <f t="shared" si="82"/>
        <v>0</v>
      </c>
      <c r="HE76" t="s">
        <v>111</v>
      </c>
      <c r="HF76" t="s">
        <v>28</v>
      </c>
      <c r="HM76" t="s">
        <v>3</v>
      </c>
      <c r="HN76" t="s">
        <v>3</v>
      </c>
      <c r="HO76" t="s">
        <v>3</v>
      </c>
      <c r="HP76" t="s">
        <v>3</v>
      </c>
      <c r="HQ76" t="s">
        <v>3</v>
      </c>
      <c r="HS76">
        <v>0</v>
      </c>
      <c r="IK76">
        <v>0</v>
      </c>
    </row>
    <row r="77" spans="1:255" x14ac:dyDescent="0.2">
      <c r="A77" s="2">
        <v>17</v>
      </c>
      <c r="B77" s="2">
        <v>1</v>
      </c>
      <c r="C77" s="2"/>
      <c r="D77" s="2"/>
      <c r="E77" s="2" t="s">
        <v>120</v>
      </c>
      <c r="F77" s="2" t="s">
        <v>121</v>
      </c>
      <c r="G77" s="2" t="s">
        <v>122</v>
      </c>
      <c r="H77" s="2" t="s">
        <v>107</v>
      </c>
      <c r="I77" s="2">
        <v>20</v>
      </c>
      <c r="J77" s="2">
        <v>0</v>
      </c>
      <c r="K77" s="2">
        <v>20</v>
      </c>
      <c r="L77" s="2"/>
      <c r="M77" s="2"/>
      <c r="N77" s="2"/>
      <c r="O77" s="2">
        <f t="shared" si="57"/>
        <v>74280.2</v>
      </c>
      <c r="P77" s="2">
        <f t="shared" si="58"/>
        <v>74280.2</v>
      </c>
      <c r="Q77" s="2">
        <f t="shared" si="83"/>
        <v>0</v>
      </c>
      <c r="R77" s="2">
        <f t="shared" si="84"/>
        <v>0</v>
      </c>
      <c r="S77" s="2">
        <f t="shared" si="59"/>
        <v>0</v>
      </c>
      <c r="T77" s="2">
        <f t="shared" si="60"/>
        <v>0</v>
      </c>
      <c r="U77" s="2">
        <f t="shared" si="61"/>
        <v>0</v>
      </c>
      <c r="V77" s="2">
        <f t="shared" si="62"/>
        <v>0</v>
      </c>
      <c r="W77" s="2">
        <f t="shared" si="63"/>
        <v>0</v>
      </c>
      <c r="X77" s="2">
        <f t="shared" si="85"/>
        <v>0</v>
      </c>
      <c r="Y77" s="2">
        <f t="shared" si="86"/>
        <v>0</v>
      </c>
      <c r="Z77" s="2"/>
      <c r="AA77" s="2">
        <v>60255014</v>
      </c>
      <c r="AB77" s="2">
        <f t="shared" si="64"/>
        <v>3714.01</v>
      </c>
      <c r="AC77" s="2">
        <f t="shared" si="65"/>
        <v>3714.01</v>
      </c>
      <c r="AD77" s="2">
        <f t="shared" si="87"/>
        <v>0</v>
      </c>
      <c r="AE77" s="2">
        <f t="shared" si="88"/>
        <v>0</v>
      </c>
      <c r="AF77" s="2">
        <f t="shared" si="89"/>
        <v>0</v>
      </c>
      <c r="AG77" s="2">
        <f t="shared" si="66"/>
        <v>0</v>
      </c>
      <c r="AH77" s="2">
        <f t="shared" si="90"/>
        <v>0</v>
      </c>
      <c r="AI77" s="2">
        <f t="shared" si="91"/>
        <v>0</v>
      </c>
      <c r="AJ77" s="2">
        <f t="shared" si="67"/>
        <v>0</v>
      </c>
      <c r="AK77" s="2">
        <v>3714.01</v>
      </c>
      <c r="AL77" s="2">
        <v>3714.01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1</v>
      </c>
      <c r="BJ77" s="2" t="s">
        <v>3</v>
      </c>
      <c r="BK77" s="2"/>
      <c r="BL77" s="2"/>
      <c r="BM77" s="2">
        <v>400002</v>
      </c>
      <c r="BN77" s="2">
        <v>0</v>
      </c>
      <c r="BO77" s="2" t="s">
        <v>3</v>
      </c>
      <c r="BP77" s="2">
        <v>0</v>
      </c>
      <c r="BQ77" s="2">
        <v>202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0</v>
      </c>
      <c r="CA77" s="2">
        <v>0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68"/>
        <v>74280.2</v>
      </c>
      <c r="CQ77" s="2">
        <f t="shared" si="69"/>
        <v>3714.01</v>
      </c>
      <c r="CR77" s="2">
        <f t="shared" si="92"/>
        <v>0</v>
      </c>
      <c r="CS77" s="2">
        <f t="shared" si="93"/>
        <v>0</v>
      </c>
      <c r="CT77" s="2">
        <f t="shared" si="70"/>
        <v>0</v>
      </c>
      <c r="CU77" s="2">
        <f t="shared" si="71"/>
        <v>0</v>
      </c>
      <c r="CV77" s="2">
        <f t="shared" si="72"/>
        <v>0</v>
      </c>
      <c r="CW77" s="2">
        <f t="shared" si="73"/>
        <v>0</v>
      </c>
      <c r="CX77" s="2">
        <f t="shared" si="74"/>
        <v>0</v>
      </c>
      <c r="CY77" s="2">
        <f t="shared" si="94"/>
        <v>0</v>
      </c>
      <c r="CZ77" s="2">
        <f t="shared" si="95"/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1013</v>
      </c>
      <c r="DV77" s="2" t="s">
        <v>107</v>
      </c>
      <c r="DW77" s="2" t="s">
        <v>107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60088211</v>
      </c>
      <c r="EF77" s="2">
        <v>202</v>
      </c>
      <c r="EG77" s="2" t="s">
        <v>108</v>
      </c>
      <c r="EH77" s="2">
        <v>0</v>
      </c>
      <c r="EI77" s="2" t="s">
        <v>3</v>
      </c>
      <c r="EJ77" s="2">
        <v>1</v>
      </c>
      <c r="EK77" s="2">
        <v>400002</v>
      </c>
      <c r="EL77" s="2" t="s">
        <v>109</v>
      </c>
      <c r="EM77" s="2" t="s">
        <v>108</v>
      </c>
      <c r="EN77" s="2"/>
      <c r="EO77" s="2" t="s">
        <v>3</v>
      </c>
      <c r="EP77" s="2"/>
      <c r="EQ77" s="2">
        <v>0</v>
      </c>
      <c r="ER77" s="2">
        <v>0</v>
      </c>
      <c r="ES77" s="2">
        <v>3714.01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0</v>
      </c>
      <c r="FY77" s="2">
        <v>0</v>
      </c>
      <c r="FZ77" s="2"/>
      <c r="GA77" s="2" t="s">
        <v>123</v>
      </c>
      <c r="GB77" s="2"/>
      <c r="GC77" s="2"/>
      <c r="GD77" s="2">
        <v>1</v>
      </c>
      <c r="GE77" s="2"/>
      <c r="GF77" s="2">
        <v>1656172231</v>
      </c>
      <c r="GG77" s="2">
        <v>2</v>
      </c>
      <c r="GH77" s="2">
        <v>4</v>
      </c>
      <c r="GI77" s="2">
        <v>-2</v>
      </c>
      <c r="GJ77" s="2">
        <v>0</v>
      </c>
      <c r="GK77" s="2">
        <v>0</v>
      </c>
      <c r="GL77" s="2">
        <f t="shared" si="75"/>
        <v>0</v>
      </c>
      <c r="GM77" s="2">
        <f t="shared" si="76"/>
        <v>74280.2</v>
      </c>
      <c r="GN77" s="2">
        <f t="shared" si="77"/>
        <v>74280.2</v>
      </c>
      <c r="GO77" s="2">
        <f t="shared" si="78"/>
        <v>0</v>
      </c>
      <c r="GP77" s="2">
        <f t="shared" si="79"/>
        <v>0</v>
      </c>
      <c r="GQ77" s="2"/>
      <c r="GR77" s="2">
        <v>0</v>
      </c>
      <c r="GS77" s="2">
        <v>2</v>
      </c>
      <c r="GT77" s="2">
        <v>0</v>
      </c>
      <c r="GU77" s="2" t="s">
        <v>3</v>
      </c>
      <c r="GV77" s="2">
        <f t="shared" si="80"/>
        <v>0</v>
      </c>
      <c r="GW77" s="2">
        <v>1</v>
      </c>
      <c r="GX77" s="2">
        <f t="shared" si="81"/>
        <v>0</v>
      </c>
      <c r="GY77" s="2"/>
      <c r="GZ77" s="2"/>
      <c r="HA77" s="2">
        <v>0</v>
      </c>
      <c r="HB77" s="2">
        <v>0</v>
      </c>
      <c r="HC77" s="2">
        <f t="shared" si="82"/>
        <v>0</v>
      </c>
      <c r="HD77" s="2"/>
      <c r="HE77" s="2" t="s">
        <v>111</v>
      </c>
      <c r="HF77" s="2" t="s">
        <v>28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">
      <c r="A78">
        <v>17</v>
      </c>
      <c r="B78">
        <v>1</v>
      </c>
      <c r="E78" t="s">
        <v>120</v>
      </c>
      <c r="F78" t="s">
        <v>121</v>
      </c>
      <c r="G78" t="s">
        <v>122</v>
      </c>
      <c r="H78" t="s">
        <v>107</v>
      </c>
      <c r="I78">
        <v>20</v>
      </c>
      <c r="J78">
        <v>0</v>
      </c>
      <c r="K78">
        <v>20</v>
      </c>
      <c r="O78">
        <f t="shared" si="57"/>
        <v>733888.38</v>
      </c>
      <c r="P78">
        <f t="shared" si="58"/>
        <v>733888.38</v>
      </c>
      <c r="Q78">
        <f t="shared" si="83"/>
        <v>0</v>
      </c>
      <c r="R78">
        <f t="shared" si="84"/>
        <v>0</v>
      </c>
      <c r="S78">
        <f t="shared" si="59"/>
        <v>0</v>
      </c>
      <c r="T78">
        <f t="shared" si="60"/>
        <v>0</v>
      </c>
      <c r="U78">
        <f t="shared" si="61"/>
        <v>0</v>
      </c>
      <c r="V78">
        <f t="shared" si="62"/>
        <v>0</v>
      </c>
      <c r="W78">
        <f t="shared" si="63"/>
        <v>0</v>
      </c>
      <c r="X78">
        <f t="shared" si="85"/>
        <v>0</v>
      </c>
      <c r="Y78">
        <f t="shared" si="86"/>
        <v>0</v>
      </c>
      <c r="AA78">
        <v>60255011</v>
      </c>
      <c r="AB78">
        <f t="shared" si="64"/>
        <v>3714.01</v>
      </c>
      <c r="AC78">
        <f t="shared" si="65"/>
        <v>3714.01</v>
      </c>
      <c r="AD78">
        <f t="shared" si="87"/>
        <v>0</v>
      </c>
      <c r="AE78">
        <f t="shared" si="88"/>
        <v>0</v>
      </c>
      <c r="AF78">
        <f t="shared" si="89"/>
        <v>0</v>
      </c>
      <c r="AG78">
        <f t="shared" si="66"/>
        <v>0</v>
      </c>
      <c r="AH78">
        <f t="shared" si="90"/>
        <v>0</v>
      </c>
      <c r="AI78">
        <f t="shared" si="91"/>
        <v>0</v>
      </c>
      <c r="AJ78">
        <f t="shared" si="67"/>
        <v>0</v>
      </c>
      <c r="AK78">
        <v>3714.01</v>
      </c>
      <c r="AL78">
        <v>3714.01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Z78">
        <v>1</v>
      </c>
      <c r="BA78">
        <v>1</v>
      </c>
      <c r="BB78">
        <v>1</v>
      </c>
      <c r="BC78">
        <v>9.8800000000000008</v>
      </c>
      <c r="BD78" t="s">
        <v>3</v>
      </c>
      <c r="BE78" t="s">
        <v>3</v>
      </c>
      <c r="BF78" t="s">
        <v>3</v>
      </c>
      <c r="BG78" t="s">
        <v>3</v>
      </c>
      <c r="BH78">
        <v>3</v>
      </c>
      <c r="BI78">
        <v>1</v>
      </c>
      <c r="BJ78" t="s">
        <v>3</v>
      </c>
      <c r="BM78">
        <v>400002</v>
      </c>
      <c r="BN78">
        <v>0</v>
      </c>
      <c r="BO78" t="s">
        <v>3</v>
      </c>
      <c r="BP78">
        <v>0</v>
      </c>
      <c r="BQ78">
        <v>202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 t="s">
        <v>3</v>
      </c>
      <c r="BZ78">
        <v>0</v>
      </c>
      <c r="CA78">
        <v>0</v>
      </c>
      <c r="CB78" t="s">
        <v>3</v>
      </c>
      <c r="CE78">
        <v>1566</v>
      </c>
      <c r="CF78">
        <v>0</v>
      </c>
      <c r="CG78">
        <v>0</v>
      </c>
      <c r="CM78">
        <v>0</v>
      </c>
      <c r="CN78" t="s">
        <v>3</v>
      </c>
      <c r="CO78">
        <v>0</v>
      </c>
      <c r="CP78">
        <f t="shared" si="68"/>
        <v>733888.38</v>
      </c>
      <c r="CQ78">
        <f t="shared" si="69"/>
        <v>36694.42</v>
      </c>
      <c r="CR78">
        <f t="shared" si="92"/>
        <v>0</v>
      </c>
      <c r="CS78">
        <f t="shared" si="93"/>
        <v>0</v>
      </c>
      <c r="CT78">
        <f t="shared" si="70"/>
        <v>0</v>
      </c>
      <c r="CU78">
        <f t="shared" si="71"/>
        <v>0</v>
      </c>
      <c r="CV78">
        <f t="shared" si="72"/>
        <v>0</v>
      </c>
      <c r="CW78">
        <f t="shared" si="73"/>
        <v>0</v>
      </c>
      <c r="CX78">
        <f t="shared" si="74"/>
        <v>0</v>
      </c>
      <c r="CY78">
        <f t="shared" si="94"/>
        <v>0</v>
      </c>
      <c r="CZ78">
        <f t="shared" si="95"/>
        <v>0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>
        <v>0</v>
      </c>
      <c r="DO78">
        <v>0</v>
      </c>
      <c r="DP78">
        <v>1</v>
      </c>
      <c r="DQ78">
        <v>1</v>
      </c>
      <c r="DU78">
        <v>1013</v>
      </c>
      <c r="DV78" t="s">
        <v>107</v>
      </c>
      <c r="DW78" t="s">
        <v>107</v>
      </c>
      <c r="DX78">
        <v>1</v>
      </c>
      <c r="DZ78" t="s">
        <v>3</v>
      </c>
      <c r="EA78" t="s">
        <v>3</v>
      </c>
      <c r="EB78" t="s">
        <v>3</v>
      </c>
      <c r="EC78" t="s">
        <v>3</v>
      </c>
      <c r="EE78">
        <v>60088211</v>
      </c>
      <c r="EF78">
        <v>202</v>
      </c>
      <c r="EG78" t="s">
        <v>108</v>
      </c>
      <c r="EH78">
        <v>0</v>
      </c>
      <c r="EI78" t="s">
        <v>3</v>
      </c>
      <c r="EJ78">
        <v>1</v>
      </c>
      <c r="EK78">
        <v>400002</v>
      </c>
      <c r="EL78" t="s">
        <v>109</v>
      </c>
      <c r="EM78" t="s">
        <v>108</v>
      </c>
      <c r="EO78" t="s">
        <v>3</v>
      </c>
      <c r="EQ78">
        <v>0</v>
      </c>
      <c r="ER78">
        <v>3714.01</v>
      </c>
      <c r="ES78">
        <v>3714.01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5</v>
      </c>
      <c r="FC78">
        <v>1</v>
      </c>
      <c r="FD78">
        <v>18</v>
      </c>
      <c r="FF78">
        <v>43170</v>
      </c>
      <c r="FQ78">
        <v>0</v>
      </c>
      <c r="FR78">
        <v>0</v>
      </c>
      <c r="FS78">
        <v>0</v>
      </c>
      <c r="FX78">
        <v>0</v>
      </c>
      <c r="FY78">
        <v>0</v>
      </c>
      <c r="GA78" t="s">
        <v>123</v>
      </c>
      <c r="GD78">
        <v>1</v>
      </c>
      <c r="GF78">
        <v>1656172231</v>
      </c>
      <c r="GG78">
        <v>2</v>
      </c>
      <c r="GH78">
        <v>3</v>
      </c>
      <c r="GI78">
        <v>5</v>
      </c>
      <c r="GJ78">
        <v>0</v>
      </c>
      <c r="GK78">
        <v>0</v>
      </c>
      <c r="GL78">
        <f t="shared" si="75"/>
        <v>0</v>
      </c>
      <c r="GM78">
        <f t="shared" si="76"/>
        <v>733888.38</v>
      </c>
      <c r="GN78">
        <f t="shared" si="77"/>
        <v>733888.38</v>
      </c>
      <c r="GO78">
        <f t="shared" si="78"/>
        <v>0</v>
      </c>
      <c r="GP78">
        <f t="shared" si="79"/>
        <v>0</v>
      </c>
      <c r="GR78">
        <v>1</v>
      </c>
      <c r="GS78">
        <v>1</v>
      </c>
      <c r="GT78">
        <v>0</v>
      </c>
      <c r="GU78" t="s">
        <v>3</v>
      </c>
      <c r="GV78">
        <f t="shared" si="80"/>
        <v>0</v>
      </c>
      <c r="GW78">
        <v>1</v>
      </c>
      <c r="GX78">
        <f t="shared" si="81"/>
        <v>0</v>
      </c>
      <c r="HA78">
        <v>0</v>
      </c>
      <c r="HB78">
        <v>0</v>
      </c>
      <c r="HC78">
        <f t="shared" si="82"/>
        <v>0</v>
      </c>
      <c r="HE78" t="s">
        <v>111</v>
      </c>
      <c r="HF78" t="s">
        <v>28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HS78">
        <v>0</v>
      </c>
      <c r="IK78">
        <v>0</v>
      </c>
    </row>
    <row r="79" spans="1:255" x14ac:dyDescent="0.2">
      <c r="A79" s="2">
        <v>17</v>
      </c>
      <c r="B79" s="2">
        <v>1</v>
      </c>
      <c r="C79" s="2"/>
      <c r="D79" s="2"/>
      <c r="E79" s="2" t="s">
        <v>124</v>
      </c>
      <c r="F79" s="2" t="s">
        <v>125</v>
      </c>
      <c r="G79" s="2" t="s">
        <v>126</v>
      </c>
      <c r="H79" s="2" t="s">
        <v>107</v>
      </c>
      <c r="I79" s="2">
        <v>1</v>
      </c>
      <c r="J79" s="2">
        <v>0</v>
      </c>
      <c r="K79" s="2">
        <v>1</v>
      </c>
      <c r="L79" s="2"/>
      <c r="M79" s="2"/>
      <c r="N79" s="2"/>
      <c r="O79" s="2">
        <f t="shared" si="57"/>
        <v>988.51</v>
      </c>
      <c r="P79" s="2">
        <f t="shared" si="58"/>
        <v>988.51</v>
      </c>
      <c r="Q79" s="2">
        <f t="shared" si="83"/>
        <v>0</v>
      </c>
      <c r="R79" s="2">
        <f t="shared" si="84"/>
        <v>0</v>
      </c>
      <c r="S79" s="2">
        <f t="shared" si="59"/>
        <v>0</v>
      </c>
      <c r="T79" s="2">
        <f t="shared" si="60"/>
        <v>0</v>
      </c>
      <c r="U79" s="2">
        <f t="shared" si="61"/>
        <v>0</v>
      </c>
      <c r="V79" s="2">
        <f t="shared" si="62"/>
        <v>0</v>
      </c>
      <c r="W79" s="2">
        <f t="shared" si="63"/>
        <v>0</v>
      </c>
      <c r="X79" s="2">
        <f t="shared" si="85"/>
        <v>0</v>
      </c>
      <c r="Y79" s="2">
        <f t="shared" si="86"/>
        <v>0</v>
      </c>
      <c r="Z79" s="2"/>
      <c r="AA79" s="2">
        <v>60255014</v>
      </c>
      <c r="AB79" s="2">
        <f t="shared" si="64"/>
        <v>988.51</v>
      </c>
      <c r="AC79" s="2">
        <f t="shared" si="65"/>
        <v>988.51</v>
      </c>
      <c r="AD79" s="2">
        <f t="shared" si="87"/>
        <v>0</v>
      </c>
      <c r="AE79" s="2">
        <f t="shared" si="88"/>
        <v>0</v>
      </c>
      <c r="AF79" s="2">
        <f t="shared" si="89"/>
        <v>0</v>
      </c>
      <c r="AG79" s="2">
        <f t="shared" si="66"/>
        <v>0</v>
      </c>
      <c r="AH79" s="2">
        <f t="shared" si="90"/>
        <v>0</v>
      </c>
      <c r="AI79" s="2">
        <f t="shared" si="91"/>
        <v>0</v>
      </c>
      <c r="AJ79" s="2">
        <f t="shared" si="67"/>
        <v>0</v>
      </c>
      <c r="AK79" s="2">
        <v>988.51</v>
      </c>
      <c r="AL79" s="2">
        <v>988.51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1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3</v>
      </c>
      <c r="BI79" s="2">
        <v>1</v>
      </c>
      <c r="BJ79" s="2" t="s">
        <v>3</v>
      </c>
      <c r="BK79" s="2"/>
      <c r="BL79" s="2"/>
      <c r="BM79" s="2">
        <v>400002</v>
      </c>
      <c r="BN79" s="2">
        <v>0</v>
      </c>
      <c r="BO79" s="2" t="s">
        <v>3</v>
      </c>
      <c r="BP79" s="2">
        <v>0</v>
      </c>
      <c r="BQ79" s="2">
        <v>202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0</v>
      </c>
      <c r="CA79" s="2">
        <v>0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3</v>
      </c>
      <c r="CO79" s="2">
        <v>0</v>
      </c>
      <c r="CP79" s="2">
        <f t="shared" si="68"/>
        <v>988.51</v>
      </c>
      <c r="CQ79" s="2">
        <f t="shared" si="69"/>
        <v>988.51</v>
      </c>
      <c r="CR79" s="2">
        <f t="shared" si="92"/>
        <v>0</v>
      </c>
      <c r="CS79" s="2">
        <f t="shared" si="93"/>
        <v>0</v>
      </c>
      <c r="CT79" s="2">
        <f t="shared" si="70"/>
        <v>0</v>
      </c>
      <c r="CU79" s="2">
        <f t="shared" si="71"/>
        <v>0</v>
      </c>
      <c r="CV79" s="2">
        <f t="shared" si="72"/>
        <v>0</v>
      </c>
      <c r="CW79" s="2">
        <f t="shared" si="73"/>
        <v>0</v>
      </c>
      <c r="CX79" s="2">
        <f t="shared" si="74"/>
        <v>0</v>
      </c>
      <c r="CY79" s="2">
        <f t="shared" si="94"/>
        <v>0</v>
      </c>
      <c r="CZ79" s="2">
        <f t="shared" si="95"/>
        <v>0</v>
      </c>
      <c r="DA79" s="2"/>
      <c r="DB79" s="2"/>
      <c r="DC79" s="2" t="s">
        <v>3</v>
      </c>
      <c r="DD79" s="2" t="s">
        <v>3</v>
      </c>
      <c r="DE79" s="2" t="s">
        <v>3</v>
      </c>
      <c r="DF79" s="2" t="s">
        <v>3</v>
      </c>
      <c r="DG79" s="2" t="s">
        <v>3</v>
      </c>
      <c r="DH79" s="2" t="s">
        <v>3</v>
      </c>
      <c r="DI79" s="2" t="s">
        <v>3</v>
      </c>
      <c r="DJ79" s="2" t="s">
        <v>3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1013</v>
      </c>
      <c r="DV79" s="2" t="s">
        <v>107</v>
      </c>
      <c r="DW79" s="2" t="s">
        <v>107</v>
      </c>
      <c r="DX79" s="2">
        <v>1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60088211</v>
      </c>
      <c r="EF79" s="2">
        <v>202</v>
      </c>
      <c r="EG79" s="2" t="s">
        <v>108</v>
      </c>
      <c r="EH79" s="2">
        <v>0</v>
      </c>
      <c r="EI79" s="2" t="s">
        <v>3</v>
      </c>
      <c r="EJ79" s="2">
        <v>1</v>
      </c>
      <c r="EK79" s="2">
        <v>400002</v>
      </c>
      <c r="EL79" s="2" t="s">
        <v>109</v>
      </c>
      <c r="EM79" s="2" t="s">
        <v>108</v>
      </c>
      <c r="EN79" s="2"/>
      <c r="EO79" s="2" t="s">
        <v>3</v>
      </c>
      <c r="EP79" s="2"/>
      <c r="EQ79" s="2">
        <v>0</v>
      </c>
      <c r="ER79" s="2">
        <v>0</v>
      </c>
      <c r="ES79" s="2">
        <v>988.51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0</v>
      </c>
      <c r="FY79" s="2">
        <v>0</v>
      </c>
      <c r="FZ79" s="2"/>
      <c r="GA79" s="2" t="s">
        <v>110</v>
      </c>
      <c r="GB79" s="2"/>
      <c r="GC79" s="2"/>
      <c r="GD79" s="2">
        <v>1</v>
      </c>
      <c r="GE79" s="2"/>
      <c r="GF79" s="2">
        <v>1287037358</v>
      </c>
      <c r="GG79" s="2">
        <v>2</v>
      </c>
      <c r="GH79" s="2">
        <v>4</v>
      </c>
      <c r="GI79" s="2">
        <v>-2</v>
      </c>
      <c r="GJ79" s="2">
        <v>0</v>
      </c>
      <c r="GK79" s="2">
        <v>0</v>
      </c>
      <c r="GL79" s="2">
        <f t="shared" si="75"/>
        <v>0</v>
      </c>
      <c r="GM79" s="2">
        <f t="shared" si="76"/>
        <v>988.51</v>
      </c>
      <c r="GN79" s="2">
        <f t="shared" si="77"/>
        <v>988.51</v>
      </c>
      <c r="GO79" s="2">
        <f t="shared" si="78"/>
        <v>0</v>
      </c>
      <c r="GP79" s="2">
        <f t="shared" si="79"/>
        <v>0</v>
      </c>
      <c r="GQ79" s="2"/>
      <c r="GR79" s="2">
        <v>0</v>
      </c>
      <c r="GS79" s="2">
        <v>2</v>
      </c>
      <c r="GT79" s="2">
        <v>0</v>
      </c>
      <c r="GU79" s="2" t="s">
        <v>3</v>
      </c>
      <c r="GV79" s="2">
        <f t="shared" si="80"/>
        <v>0</v>
      </c>
      <c r="GW79" s="2">
        <v>1</v>
      </c>
      <c r="GX79" s="2">
        <f t="shared" si="81"/>
        <v>0</v>
      </c>
      <c r="GY79" s="2"/>
      <c r="GZ79" s="2"/>
      <c r="HA79" s="2">
        <v>0</v>
      </c>
      <c r="HB79" s="2">
        <v>0</v>
      </c>
      <c r="HC79" s="2">
        <f t="shared" si="82"/>
        <v>0</v>
      </c>
      <c r="HD79" s="2"/>
      <c r="HE79" s="2" t="s">
        <v>111</v>
      </c>
      <c r="HF79" s="2" t="s">
        <v>28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">
      <c r="A80">
        <v>17</v>
      </c>
      <c r="B80">
        <v>1</v>
      </c>
      <c r="E80" t="s">
        <v>124</v>
      </c>
      <c r="F80" t="s">
        <v>125</v>
      </c>
      <c r="G80" t="s">
        <v>126</v>
      </c>
      <c r="H80" t="s">
        <v>107</v>
      </c>
      <c r="I80">
        <v>1</v>
      </c>
      <c r="J80">
        <v>0</v>
      </c>
      <c r="K80">
        <v>1</v>
      </c>
      <c r="O80">
        <f t="shared" si="57"/>
        <v>9766.48</v>
      </c>
      <c r="P80">
        <f t="shared" si="58"/>
        <v>9766.48</v>
      </c>
      <c r="Q80">
        <f t="shared" si="83"/>
        <v>0</v>
      </c>
      <c r="R80">
        <f t="shared" si="84"/>
        <v>0</v>
      </c>
      <c r="S80">
        <f t="shared" si="59"/>
        <v>0</v>
      </c>
      <c r="T80">
        <f t="shared" si="60"/>
        <v>0</v>
      </c>
      <c r="U80">
        <f t="shared" si="61"/>
        <v>0</v>
      </c>
      <c r="V80">
        <f t="shared" si="62"/>
        <v>0</v>
      </c>
      <c r="W80">
        <f t="shared" si="63"/>
        <v>0</v>
      </c>
      <c r="X80">
        <f t="shared" si="85"/>
        <v>0</v>
      </c>
      <c r="Y80">
        <f t="shared" si="86"/>
        <v>0</v>
      </c>
      <c r="AA80">
        <v>60255011</v>
      </c>
      <c r="AB80">
        <f t="shared" si="64"/>
        <v>988.51</v>
      </c>
      <c r="AC80">
        <f t="shared" si="65"/>
        <v>988.51</v>
      </c>
      <c r="AD80">
        <f t="shared" si="87"/>
        <v>0</v>
      </c>
      <c r="AE80">
        <f t="shared" si="88"/>
        <v>0</v>
      </c>
      <c r="AF80">
        <f t="shared" si="89"/>
        <v>0</v>
      </c>
      <c r="AG80">
        <f t="shared" si="66"/>
        <v>0</v>
      </c>
      <c r="AH80">
        <f t="shared" si="90"/>
        <v>0</v>
      </c>
      <c r="AI80">
        <f t="shared" si="91"/>
        <v>0</v>
      </c>
      <c r="AJ80">
        <f t="shared" si="67"/>
        <v>0</v>
      </c>
      <c r="AK80">
        <v>988.51</v>
      </c>
      <c r="AL80">
        <v>988.51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Z80">
        <v>1</v>
      </c>
      <c r="BA80">
        <v>1</v>
      </c>
      <c r="BB80">
        <v>1</v>
      </c>
      <c r="BC80">
        <v>9.8800000000000008</v>
      </c>
      <c r="BD80" t="s">
        <v>3</v>
      </c>
      <c r="BE80" t="s">
        <v>3</v>
      </c>
      <c r="BF80" t="s">
        <v>3</v>
      </c>
      <c r="BG80" t="s">
        <v>3</v>
      </c>
      <c r="BH80">
        <v>3</v>
      </c>
      <c r="BI80">
        <v>1</v>
      </c>
      <c r="BJ80" t="s">
        <v>3</v>
      </c>
      <c r="BM80">
        <v>400002</v>
      </c>
      <c r="BN80">
        <v>0</v>
      </c>
      <c r="BO80" t="s">
        <v>3</v>
      </c>
      <c r="BP80">
        <v>0</v>
      </c>
      <c r="BQ80">
        <v>202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 t="s">
        <v>3</v>
      </c>
      <c r="BZ80">
        <v>0</v>
      </c>
      <c r="CA80">
        <v>0</v>
      </c>
      <c r="CB80" t="s">
        <v>3</v>
      </c>
      <c r="CE80">
        <v>1566</v>
      </c>
      <c r="CF80">
        <v>0</v>
      </c>
      <c r="CG80">
        <v>0</v>
      </c>
      <c r="CM80">
        <v>0</v>
      </c>
      <c r="CN80" t="s">
        <v>3</v>
      </c>
      <c r="CO80">
        <v>0</v>
      </c>
      <c r="CP80">
        <f t="shared" si="68"/>
        <v>9766.48</v>
      </c>
      <c r="CQ80">
        <f t="shared" si="69"/>
        <v>9766.48</v>
      </c>
      <c r="CR80">
        <f t="shared" si="92"/>
        <v>0</v>
      </c>
      <c r="CS80">
        <f t="shared" si="93"/>
        <v>0</v>
      </c>
      <c r="CT80">
        <f t="shared" si="70"/>
        <v>0</v>
      </c>
      <c r="CU80">
        <f t="shared" si="71"/>
        <v>0</v>
      </c>
      <c r="CV80">
        <f t="shared" si="72"/>
        <v>0</v>
      </c>
      <c r="CW80">
        <f t="shared" si="73"/>
        <v>0</v>
      </c>
      <c r="CX80">
        <f t="shared" si="74"/>
        <v>0</v>
      </c>
      <c r="CY80">
        <f t="shared" si="94"/>
        <v>0</v>
      </c>
      <c r="CZ80">
        <f t="shared" si="95"/>
        <v>0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>
        <v>0</v>
      </c>
      <c r="DO80">
        <v>0</v>
      </c>
      <c r="DP80">
        <v>1</v>
      </c>
      <c r="DQ80">
        <v>1</v>
      </c>
      <c r="DU80">
        <v>1013</v>
      </c>
      <c r="DV80" t="s">
        <v>107</v>
      </c>
      <c r="DW80" t="s">
        <v>107</v>
      </c>
      <c r="DX80">
        <v>1</v>
      </c>
      <c r="DZ80" t="s">
        <v>3</v>
      </c>
      <c r="EA80" t="s">
        <v>3</v>
      </c>
      <c r="EB80" t="s">
        <v>3</v>
      </c>
      <c r="EC80" t="s">
        <v>3</v>
      </c>
      <c r="EE80">
        <v>60088211</v>
      </c>
      <c r="EF80">
        <v>202</v>
      </c>
      <c r="EG80" t="s">
        <v>108</v>
      </c>
      <c r="EH80">
        <v>0</v>
      </c>
      <c r="EI80" t="s">
        <v>3</v>
      </c>
      <c r="EJ80">
        <v>1</v>
      </c>
      <c r="EK80">
        <v>400002</v>
      </c>
      <c r="EL80" t="s">
        <v>109</v>
      </c>
      <c r="EM80" t="s">
        <v>108</v>
      </c>
      <c r="EO80" t="s">
        <v>3</v>
      </c>
      <c r="EQ80">
        <v>0</v>
      </c>
      <c r="ER80">
        <v>988.51</v>
      </c>
      <c r="ES80">
        <v>988.51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5</v>
      </c>
      <c r="FC80">
        <v>1</v>
      </c>
      <c r="FD80">
        <v>18</v>
      </c>
      <c r="FF80">
        <v>11490</v>
      </c>
      <c r="FQ80">
        <v>0</v>
      </c>
      <c r="FR80">
        <v>0</v>
      </c>
      <c r="FS80">
        <v>0</v>
      </c>
      <c r="FX80">
        <v>0</v>
      </c>
      <c r="FY80">
        <v>0</v>
      </c>
      <c r="GA80" t="s">
        <v>110</v>
      </c>
      <c r="GD80">
        <v>1</v>
      </c>
      <c r="GF80">
        <v>1287037358</v>
      </c>
      <c r="GG80">
        <v>2</v>
      </c>
      <c r="GH80">
        <v>3</v>
      </c>
      <c r="GI80">
        <v>5</v>
      </c>
      <c r="GJ80">
        <v>0</v>
      </c>
      <c r="GK80">
        <v>0</v>
      </c>
      <c r="GL80">
        <f t="shared" si="75"/>
        <v>0</v>
      </c>
      <c r="GM80">
        <f t="shared" si="76"/>
        <v>9766.48</v>
      </c>
      <c r="GN80">
        <f t="shared" si="77"/>
        <v>9766.48</v>
      </c>
      <c r="GO80">
        <f t="shared" si="78"/>
        <v>0</v>
      </c>
      <c r="GP80">
        <f t="shared" si="79"/>
        <v>0</v>
      </c>
      <c r="GR80">
        <v>1</v>
      </c>
      <c r="GS80">
        <v>1</v>
      </c>
      <c r="GT80">
        <v>0</v>
      </c>
      <c r="GU80" t="s">
        <v>3</v>
      </c>
      <c r="GV80">
        <f t="shared" si="80"/>
        <v>0</v>
      </c>
      <c r="GW80">
        <v>1</v>
      </c>
      <c r="GX80">
        <f t="shared" si="81"/>
        <v>0</v>
      </c>
      <c r="HA80">
        <v>0</v>
      </c>
      <c r="HB80">
        <v>0</v>
      </c>
      <c r="HC80">
        <f t="shared" si="82"/>
        <v>0</v>
      </c>
      <c r="HE80" t="s">
        <v>111</v>
      </c>
      <c r="HF80" t="s">
        <v>28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HS80">
        <v>0</v>
      </c>
      <c r="IK80">
        <v>0</v>
      </c>
    </row>
    <row r="81" spans="1:255" x14ac:dyDescent="0.2">
      <c r="A81" s="2">
        <v>17</v>
      </c>
      <c r="B81" s="2">
        <v>1</v>
      </c>
      <c r="C81" s="2"/>
      <c r="D81" s="2"/>
      <c r="E81" s="2" t="s">
        <v>127</v>
      </c>
      <c r="F81" s="2" t="s">
        <v>128</v>
      </c>
      <c r="G81" s="2" t="s">
        <v>129</v>
      </c>
      <c r="H81" s="2" t="s">
        <v>107</v>
      </c>
      <c r="I81" s="2">
        <v>9</v>
      </c>
      <c r="J81" s="2">
        <v>0</v>
      </c>
      <c r="K81" s="2">
        <v>9</v>
      </c>
      <c r="L81" s="2"/>
      <c r="M81" s="2"/>
      <c r="N81" s="2"/>
      <c r="O81" s="2">
        <f t="shared" si="57"/>
        <v>14819.94</v>
      </c>
      <c r="P81" s="2">
        <f t="shared" si="58"/>
        <v>14819.94</v>
      </c>
      <c r="Q81" s="2">
        <f t="shared" si="83"/>
        <v>0</v>
      </c>
      <c r="R81" s="2">
        <f t="shared" si="84"/>
        <v>0</v>
      </c>
      <c r="S81" s="2">
        <f t="shared" si="59"/>
        <v>0</v>
      </c>
      <c r="T81" s="2">
        <f t="shared" si="60"/>
        <v>0</v>
      </c>
      <c r="U81" s="2">
        <f t="shared" si="61"/>
        <v>0</v>
      </c>
      <c r="V81" s="2">
        <f t="shared" si="62"/>
        <v>0</v>
      </c>
      <c r="W81" s="2">
        <f t="shared" si="63"/>
        <v>0</v>
      </c>
      <c r="X81" s="2">
        <f t="shared" si="85"/>
        <v>0</v>
      </c>
      <c r="Y81" s="2">
        <f t="shared" si="86"/>
        <v>0</v>
      </c>
      <c r="Z81" s="2"/>
      <c r="AA81" s="2">
        <v>60255014</v>
      </c>
      <c r="AB81" s="2">
        <f t="shared" si="64"/>
        <v>1646.66</v>
      </c>
      <c r="AC81" s="2">
        <f t="shared" si="65"/>
        <v>1646.66</v>
      </c>
      <c r="AD81" s="2">
        <f t="shared" si="87"/>
        <v>0</v>
      </c>
      <c r="AE81" s="2">
        <f t="shared" si="88"/>
        <v>0</v>
      </c>
      <c r="AF81" s="2">
        <f t="shared" si="89"/>
        <v>0</v>
      </c>
      <c r="AG81" s="2">
        <f t="shared" si="66"/>
        <v>0</v>
      </c>
      <c r="AH81" s="2">
        <f t="shared" si="90"/>
        <v>0</v>
      </c>
      <c r="AI81" s="2">
        <f t="shared" si="91"/>
        <v>0</v>
      </c>
      <c r="AJ81" s="2">
        <f t="shared" si="67"/>
        <v>0</v>
      </c>
      <c r="AK81" s="2">
        <v>1646.6599999999999</v>
      </c>
      <c r="AL81" s="2">
        <v>1646.6599999999999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1</v>
      </c>
      <c r="BJ81" s="2" t="s">
        <v>3</v>
      </c>
      <c r="BK81" s="2"/>
      <c r="BL81" s="2"/>
      <c r="BM81" s="2">
        <v>400002</v>
      </c>
      <c r="BN81" s="2">
        <v>0</v>
      </c>
      <c r="BO81" s="2" t="s">
        <v>3</v>
      </c>
      <c r="BP81" s="2">
        <v>0</v>
      </c>
      <c r="BQ81" s="2">
        <v>202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0</v>
      </c>
      <c r="CA81" s="2">
        <v>0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68"/>
        <v>14819.94</v>
      </c>
      <c r="CQ81" s="2">
        <f t="shared" si="69"/>
        <v>1646.66</v>
      </c>
      <c r="CR81" s="2">
        <f t="shared" si="92"/>
        <v>0</v>
      </c>
      <c r="CS81" s="2">
        <f t="shared" si="93"/>
        <v>0</v>
      </c>
      <c r="CT81" s="2">
        <f t="shared" si="70"/>
        <v>0</v>
      </c>
      <c r="CU81" s="2">
        <f t="shared" si="71"/>
        <v>0</v>
      </c>
      <c r="CV81" s="2">
        <f t="shared" si="72"/>
        <v>0</v>
      </c>
      <c r="CW81" s="2">
        <f t="shared" si="73"/>
        <v>0</v>
      </c>
      <c r="CX81" s="2">
        <f t="shared" si="74"/>
        <v>0</v>
      </c>
      <c r="CY81" s="2">
        <f t="shared" si="94"/>
        <v>0</v>
      </c>
      <c r="CZ81" s="2">
        <f t="shared" si="95"/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1013</v>
      </c>
      <c r="DV81" s="2" t="s">
        <v>107</v>
      </c>
      <c r="DW81" s="2" t="s">
        <v>107</v>
      </c>
      <c r="DX81" s="2">
        <v>1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60088211</v>
      </c>
      <c r="EF81" s="2">
        <v>202</v>
      </c>
      <c r="EG81" s="2" t="s">
        <v>108</v>
      </c>
      <c r="EH81" s="2">
        <v>0</v>
      </c>
      <c r="EI81" s="2" t="s">
        <v>3</v>
      </c>
      <c r="EJ81" s="2">
        <v>1</v>
      </c>
      <c r="EK81" s="2">
        <v>400002</v>
      </c>
      <c r="EL81" s="2" t="s">
        <v>109</v>
      </c>
      <c r="EM81" s="2" t="s">
        <v>108</v>
      </c>
      <c r="EN81" s="2"/>
      <c r="EO81" s="2" t="s">
        <v>3</v>
      </c>
      <c r="EP81" s="2"/>
      <c r="EQ81" s="2">
        <v>0</v>
      </c>
      <c r="ER81" s="2">
        <v>0</v>
      </c>
      <c r="ES81" s="2">
        <v>1646.6599999999999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v>0</v>
      </c>
      <c r="FS81" s="2">
        <v>0</v>
      </c>
      <c r="FT81" s="2"/>
      <c r="FU81" s="2"/>
      <c r="FV81" s="2"/>
      <c r="FW81" s="2"/>
      <c r="FX81" s="2">
        <v>0</v>
      </c>
      <c r="FY81" s="2">
        <v>0</v>
      </c>
      <c r="FZ81" s="2"/>
      <c r="GA81" s="2" t="s">
        <v>115</v>
      </c>
      <c r="GB81" s="2"/>
      <c r="GC81" s="2"/>
      <c r="GD81" s="2">
        <v>1</v>
      </c>
      <c r="GE81" s="2"/>
      <c r="GF81" s="2">
        <v>-1847788681</v>
      </c>
      <c r="GG81" s="2">
        <v>2</v>
      </c>
      <c r="GH81" s="2">
        <v>4</v>
      </c>
      <c r="GI81" s="2">
        <v>-2</v>
      </c>
      <c r="GJ81" s="2">
        <v>0</v>
      </c>
      <c r="GK81" s="2">
        <v>0</v>
      </c>
      <c r="GL81" s="2">
        <f t="shared" si="75"/>
        <v>0</v>
      </c>
      <c r="GM81" s="2">
        <f t="shared" si="76"/>
        <v>14819.94</v>
      </c>
      <c r="GN81" s="2">
        <f t="shared" si="77"/>
        <v>14819.94</v>
      </c>
      <c r="GO81" s="2">
        <f t="shared" si="78"/>
        <v>0</v>
      </c>
      <c r="GP81" s="2">
        <f t="shared" si="79"/>
        <v>0</v>
      </c>
      <c r="GQ81" s="2"/>
      <c r="GR81" s="2">
        <v>0</v>
      </c>
      <c r="GS81" s="2">
        <v>2</v>
      </c>
      <c r="GT81" s="2">
        <v>0</v>
      </c>
      <c r="GU81" s="2" t="s">
        <v>3</v>
      </c>
      <c r="GV81" s="2">
        <f t="shared" si="80"/>
        <v>0</v>
      </c>
      <c r="GW81" s="2">
        <v>1</v>
      </c>
      <c r="GX81" s="2">
        <f t="shared" si="81"/>
        <v>0</v>
      </c>
      <c r="GY81" s="2"/>
      <c r="GZ81" s="2"/>
      <c r="HA81" s="2">
        <v>0</v>
      </c>
      <c r="HB81" s="2">
        <v>0</v>
      </c>
      <c r="HC81" s="2">
        <f t="shared" si="82"/>
        <v>0</v>
      </c>
      <c r="HD81" s="2"/>
      <c r="HE81" s="2" t="s">
        <v>111</v>
      </c>
      <c r="HF81" s="2" t="s">
        <v>28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">
      <c r="A82">
        <v>17</v>
      </c>
      <c r="B82">
        <v>1</v>
      </c>
      <c r="E82" t="s">
        <v>127</v>
      </c>
      <c r="F82" t="s">
        <v>128</v>
      </c>
      <c r="G82" t="s">
        <v>129</v>
      </c>
      <c r="H82" t="s">
        <v>107</v>
      </c>
      <c r="I82">
        <v>9</v>
      </c>
      <c r="J82">
        <v>0</v>
      </c>
      <c r="K82">
        <v>9</v>
      </c>
      <c r="O82">
        <f t="shared" si="57"/>
        <v>146421.01</v>
      </c>
      <c r="P82">
        <f t="shared" si="58"/>
        <v>146421.01</v>
      </c>
      <c r="Q82">
        <f t="shared" si="83"/>
        <v>0</v>
      </c>
      <c r="R82">
        <f t="shared" si="84"/>
        <v>0</v>
      </c>
      <c r="S82">
        <f t="shared" si="59"/>
        <v>0</v>
      </c>
      <c r="T82">
        <f t="shared" si="60"/>
        <v>0</v>
      </c>
      <c r="U82">
        <f t="shared" si="61"/>
        <v>0</v>
      </c>
      <c r="V82">
        <f t="shared" si="62"/>
        <v>0</v>
      </c>
      <c r="W82">
        <f t="shared" si="63"/>
        <v>0</v>
      </c>
      <c r="X82">
        <f t="shared" si="85"/>
        <v>0</v>
      </c>
      <c r="Y82">
        <f t="shared" si="86"/>
        <v>0</v>
      </c>
      <c r="AA82">
        <v>60255011</v>
      </c>
      <c r="AB82">
        <f t="shared" si="64"/>
        <v>1646.66</v>
      </c>
      <c r="AC82">
        <f t="shared" si="65"/>
        <v>1646.66</v>
      </c>
      <c r="AD82">
        <f t="shared" si="87"/>
        <v>0</v>
      </c>
      <c r="AE82">
        <f t="shared" si="88"/>
        <v>0</v>
      </c>
      <c r="AF82">
        <f t="shared" si="89"/>
        <v>0</v>
      </c>
      <c r="AG82">
        <f t="shared" si="66"/>
        <v>0</v>
      </c>
      <c r="AH82">
        <f t="shared" si="90"/>
        <v>0</v>
      </c>
      <c r="AI82">
        <f t="shared" si="91"/>
        <v>0</v>
      </c>
      <c r="AJ82">
        <f t="shared" si="67"/>
        <v>0</v>
      </c>
      <c r="AK82">
        <v>1646.6599999999999</v>
      </c>
      <c r="AL82">
        <v>1646.6599999999999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Z82">
        <v>1</v>
      </c>
      <c r="BA82">
        <v>1</v>
      </c>
      <c r="BB82">
        <v>1</v>
      </c>
      <c r="BC82">
        <v>9.8800000000000008</v>
      </c>
      <c r="BD82" t="s">
        <v>3</v>
      </c>
      <c r="BE82" t="s">
        <v>3</v>
      </c>
      <c r="BF82" t="s">
        <v>3</v>
      </c>
      <c r="BG82" t="s">
        <v>3</v>
      </c>
      <c r="BH82">
        <v>3</v>
      </c>
      <c r="BI82">
        <v>1</v>
      </c>
      <c r="BJ82" t="s">
        <v>3</v>
      </c>
      <c r="BM82">
        <v>400002</v>
      </c>
      <c r="BN82">
        <v>0</v>
      </c>
      <c r="BO82" t="s">
        <v>3</v>
      </c>
      <c r="BP82">
        <v>0</v>
      </c>
      <c r="BQ82">
        <v>202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 t="s">
        <v>3</v>
      </c>
      <c r="BZ82">
        <v>0</v>
      </c>
      <c r="CA82">
        <v>0</v>
      </c>
      <c r="CB82" t="s">
        <v>3</v>
      </c>
      <c r="CE82">
        <v>1566</v>
      </c>
      <c r="CF82">
        <v>0</v>
      </c>
      <c r="CG82">
        <v>0</v>
      </c>
      <c r="CM82">
        <v>0</v>
      </c>
      <c r="CN82" t="s">
        <v>3</v>
      </c>
      <c r="CO82">
        <v>0</v>
      </c>
      <c r="CP82">
        <f t="shared" si="68"/>
        <v>146421.01</v>
      </c>
      <c r="CQ82">
        <f t="shared" si="69"/>
        <v>16269</v>
      </c>
      <c r="CR82">
        <f t="shared" si="92"/>
        <v>0</v>
      </c>
      <c r="CS82">
        <f t="shared" si="93"/>
        <v>0</v>
      </c>
      <c r="CT82">
        <f t="shared" si="70"/>
        <v>0</v>
      </c>
      <c r="CU82">
        <f t="shared" si="71"/>
        <v>0</v>
      </c>
      <c r="CV82">
        <f t="shared" si="72"/>
        <v>0</v>
      </c>
      <c r="CW82">
        <f t="shared" si="73"/>
        <v>0</v>
      </c>
      <c r="CX82">
        <f t="shared" si="74"/>
        <v>0</v>
      </c>
      <c r="CY82">
        <f t="shared" si="94"/>
        <v>0</v>
      </c>
      <c r="CZ82">
        <f t="shared" si="95"/>
        <v>0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>
        <v>0</v>
      </c>
      <c r="DO82">
        <v>0</v>
      </c>
      <c r="DP82">
        <v>1</v>
      </c>
      <c r="DQ82">
        <v>1</v>
      </c>
      <c r="DU82">
        <v>1013</v>
      </c>
      <c r="DV82" t="s">
        <v>107</v>
      </c>
      <c r="DW82" t="s">
        <v>107</v>
      </c>
      <c r="DX82">
        <v>1</v>
      </c>
      <c r="DZ82" t="s">
        <v>3</v>
      </c>
      <c r="EA82" t="s">
        <v>3</v>
      </c>
      <c r="EB82" t="s">
        <v>3</v>
      </c>
      <c r="EC82" t="s">
        <v>3</v>
      </c>
      <c r="EE82">
        <v>60088211</v>
      </c>
      <c r="EF82">
        <v>202</v>
      </c>
      <c r="EG82" t="s">
        <v>108</v>
      </c>
      <c r="EH82">
        <v>0</v>
      </c>
      <c r="EI82" t="s">
        <v>3</v>
      </c>
      <c r="EJ82">
        <v>1</v>
      </c>
      <c r="EK82">
        <v>400002</v>
      </c>
      <c r="EL82" t="s">
        <v>109</v>
      </c>
      <c r="EM82" t="s">
        <v>108</v>
      </c>
      <c r="EO82" t="s">
        <v>3</v>
      </c>
      <c r="EQ82">
        <v>0</v>
      </c>
      <c r="ER82">
        <v>1646.6599999999999</v>
      </c>
      <c r="ES82">
        <v>1646.6599999999999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5</v>
      </c>
      <c r="FC82">
        <v>1</v>
      </c>
      <c r="FD82">
        <v>18</v>
      </c>
      <c r="FF82">
        <v>19140</v>
      </c>
      <c r="FQ82">
        <v>0</v>
      </c>
      <c r="FR82">
        <v>0</v>
      </c>
      <c r="FS82">
        <v>0</v>
      </c>
      <c r="FX82">
        <v>0</v>
      </c>
      <c r="FY82">
        <v>0</v>
      </c>
      <c r="GA82" t="s">
        <v>115</v>
      </c>
      <c r="GD82">
        <v>1</v>
      </c>
      <c r="GF82">
        <v>-1847788681</v>
      </c>
      <c r="GG82">
        <v>2</v>
      </c>
      <c r="GH82">
        <v>3</v>
      </c>
      <c r="GI82">
        <v>5</v>
      </c>
      <c r="GJ82">
        <v>0</v>
      </c>
      <c r="GK82">
        <v>0</v>
      </c>
      <c r="GL82">
        <f t="shared" si="75"/>
        <v>0</v>
      </c>
      <c r="GM82">
        <f t="shared" si="76"/>
        <v>146421.01</v>
      </c>
      <c r="GN82">
        <f t="shared" si="77"/>
        <v>146421.01</v>
      </c>
      <c r="GO82">
        <f t="shared" si="78"/>
        <v>0</v>
      </c>
      <c r="GP82">
        <f t="shared" si="79"/>
        <v>0</v>
      </c>
      <c r="GR82">
        <v>1</v>
      </c>
      <c r="GS82">
        <v>1</v>
      </c>
      <c r="GT82">
        <v>0</v>
      </c>
      <c r="GU82" t="s">
        <v>3</v>
      </c>
      <c r="GV82">
        <f t="shared" si="80"/>
        <v>0</v>
      </c>
      <c r="GW82">
        <v>1</v>
      </c>
      <c r="GX82">
        <f t="shared" si="81"/>
        <v>0</v>
      </c>
      <c r="HA82">
        <v>0</v>
      </c>
      <c r="HB82">
        <v>0</v>
      </c>
      <c r="HC82">
        <f t="shared" si="82"/>
        <v>0</v>
      </c>
      <c r="HE82" t="s">
        <v>111</v>
      </c>
      <c r="HF82" t="s">
        <v>28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HS82">
        <v>0</v>
      </c>
      <c r="IK82">
        <v>0</v>
      </c>
    </row>
    <row r="83" spans="1:255" x14ac:dyDescent="0.2">
      <c r="A83" s="2">
        <v>17</v>
      </c>
      <c r="B83" s="2">
        <v>1</v>
      </c>
      <c r="C83" s="2">
        <f>ROW(SmtRes!A38)</f>
        <v>38</v>
      </c>
      <c r="D83" s="2">
        <f>ROW(EtalonRes!A43)</f>
        <v>43</v>
      </c>
      <c r="E83" s="2" t="s">
        <v>130</v>
      </c>
      <c r="F83" s="2" t="s">
        <v>94</v>
      </c>
      <c r="G83" s="2" t="s">
        <v>95</v>
      </c>
      <c r="H83" s="2" t="s">
        <v>96</v>
      </c>
      <c r="I83" s="2">
        <f>ROUND((1+2+1+1+3+2)/100,9)</f>
        <v>0.1</v>
      </c>
      <c r="J83" s="2">
        <v>0</v>
      </c>
      <c r="K83" s="2">
        <f>ROUND((1+2+1+1+3+2)/100,9)</f>
        <v>0.1</v>
      </c>
      <c r="L83" s="2"/>
      <c r="M83" s="2"/>
      <c r="N83" s="2"/>
      <c r="O83" s="2">
        <f t="shared" si="57"/>
        <v>345.6</v>
      </c>
      <c r="P83" s="2">
        <f t="shared" si="58"/>
        <v>207.89</v>
      </c>
      <c r="Q83" s="2">
        <f>(ROUND((ROUND(((((ET83*1.25)*1.1))*AV83*I83),2)*BB83),2)+ROUND((ROUND(((AE83-(((EU83*1.25)*1.1)))*AV83*I83),2)*BS83),2))</f>
        <v>13.99</v>
      </c>
      <c r="R83" s="2">
        <f>(ROUND((ROUND(((((EU83*1.25)*1.1))*AV83*I83),2)*BS83),2)+ROUND((ROUND(((AE83-(((EU83*1.25)*1.1)))*AV83*I83),2)*BS83),2))</f>
        <v>1.51</v>
      </c>
      <c r="S83" s="2">
        <f t="shared" si="59"/>
        <v>123.72</v>
      </c>
      <c r="T83" s="2">
        <f t="shared" si="60"/>
        <v>0</v>
      </c>
      <c r="U83" s="2">
        <f t="shared" si="61"/>
        <v>10.082669850000002</v>
      </c>
      <c r="V83" s="2">
        <f t="shared" si="62"/>
        <v>0</v>
      </c>
      <c r="W83" s="2">
        <f t="shared" si="63"/>
        <v>0</v>
      </c>
      <c r="X83" s="2">
        <f>(ROUND((((S83+ROUND((ROUND(((((EU83*1.25)*1.1))*AV83*I83),2)*BS83),2))*AT83)/100),2)+ROUND(((ROUND((ROUND(((AE83-(((EU83*1.25)*1.1)))*AV83*I83),2)*BS83),2)*AT83)/100),2))</f>
        <v>136.5</v>
      </c>
      <c r="Y83" s="2">
        <f>(ROUND((((S83+ROUND((ROUND(((((EU83*1.25)*1.1))*AV83*I83),2)*BS83),2))*AU83)/100),2)+ROUND(((ROUND((ROUND(((AE83-(((EU83*1.25)*1.1)))*AV83*I83),2)*BS83),2)*AU83)/100),2))</f>
        <v>76.39</v>
      </c>
      <c r="Z83" s="2"/>
      <c r="AA83" s="2">
        <v>60255014</v>
      </c>
      <c r="AB83" s="2">
        <f t="shared" si="64"/>
        <v>3369.5052500000002</v>
      </c>
      <c r="AC83" s="2">
        <f t="shared" si="65"/>
        <v>2078.9</v>
      </c>
      <c r="AD83" s="2">
        <f>ROUND((((((ET83*1.25)*1.1))-(((EU83*1.25)*1.1)))+AE83),6)</f>
        <v>131.10624999999999</v>
      </c>
      <c r="AE83" s="2">
        <f>ROUND((((EU83*1.25)*1.1)),6)</f>
        <v>14.1625</v>
      </c>
      <c r="AF83" s="2">
        <f>ROUND((((EV83*1.15)*1.1)),6)</f>
        <v>1159.499</v>
      </c>
      <c r="AG83" s="2">
        <f t="shared" si="66"/>
        <v>0</v>
      </c>
      <c r="AH83" s="2">
        <f>(((EW83*1.15)*1.1))</f>
        <v>94.495500000000007</v>
      </c>
      <c r="AI83" s="2">
        <f>(((EX83*1.25)*1.1))</f>
        <v>0</v>
      </c>
      <c r="AJ83" s="2">
        <f t="shared" si="67"/>
        <v>0</v>
      </c>
      <c r="AK83" s="2">
        <v>3090.85</v>
      </c>
      <c r="AL83" s="2">
        <v>2078.9</v>
      </c>
      <c r="AM83" s="2">
        <v>95.35</v>
      </c>
      <c r="AN83" s="2">
        <v>10.3</v>
      </c>
      <c r="AO83" s="2">
        <v>916.6</v>
      </c>
      <c r="AP83" s="2">
        <v>0</v>
      </c>
      <c r="AQ83" s="2">
        <v>74.7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97</v>
      </c>
      <c r="BK83" s="2"/>
      <c r="BL83" s="2"/>
      <c r="BM83" s="2">
        <v>23</v>
      </c>
      <c r="BN83" s="2">
        <v>0</v>
      </c>
      <c r="BO83" s="2" t="s">
        <v>94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625</v>
      </c>
      <c r="CO83" s="2">
        <v>0</v>
      </c>
      <c r="CP83" s="2">
        <f t="shared" si="68"/>
        <v>345.6</v>
      </c>
      <c r="CQ83" s="2">
        <f t="shared" si="69"/>
        <v>2078.9</v>
      </c>
      <c r="CR83" s="2">
        <f>(ROUND((ROUND(((((ET83*1.25)*1.1))*AV83*1),2)*BB83),2)+ROUND((ROUND(((AE83-(((EU83*1.25)*1.1)))*AV83*1),2)*BS83),2))</f>
        <v>139.88999999999999</v>
      </c>
      <c r="CS83" s="2">
        <f>(ROUND((ROUND(((((EU83*1.25)*1.1))*AV83*1),2)*BS83),2)+ROUND((ROUND(((AE83-(((EU83*1.25)*1.1)))*AV83*1),2)*BS83),2))</f>
        <v>15.11</v>
      </c>
      <c r="CT83" s="2">
        <f t="shared" si="70"/>
        <v>1237.19</v>
      </c>
      <c r="CU83" s="2">
        <f t="shared" si="71"/>
        <v>0</v>
      </c>
      <c r="CV83" s="2">
        <f t="shared" si="72"/>
        <v>100.82669850000001</v>
      </c>
      <c r="CW83" s="2">
        <f t="shared" si="73"/>
        <v>0</v>
      </c>
      <c r="CX83" s="2">
        <f t="shared" si="74"/>
        <v>0</v>
      </c>
      <c r="CY83" s="2">
        <f>(ROUND((((S83+ROUND((ROUND(((((EU83*1.25)*1.1))*AV83*1),2)*BS83),2))*AT83)/100),2)+ROUND(((ROUND((ROUND(((AE83-(((EU83*1.25)*1.1)))*AV83*1),2)*BS83),2)*AT83)/100),2))</f>
        <v>151.32</v>
      </c>
      <c r="CZ83" s="2">
        <f>(ROUND((((S83+ROUND((ROUND(((((EU83*1.25)*1.1))*AV83*1),2)*BS83),2))*AU83)/100),2)+ROUND(((ROUND((ROUND(((AE83-(((EU83*1.25)*1.1)))*AV83*1),2)*BS83),2)*AU83)/100),2))</f>
        <v>84.69</v>
      </c>
      <c r="DA83" s="2"/>
      <c r="DB83" s="2">
        <v>5</v>
      </c>
      <c r="DC83" s="2" t="s">
        <v>3</v>
      </c>
      <c r="DD83" s="2" t="s">
        <v>3</v>
      </c>
      <c r="DE83" s="2" t="s">
        <v>98</v>
      </c>
      <c r="DF83" s="2" t="s">
        <v>98</v>
      </c>
      <c r="DG83" s="2" t="s">
        <v>99</v>
      </c>
      <c r="DH83" s="2" t="s">
        <v>3</v>
      </c>
      <c r="DI83" s="2" t="s">
        <v>99</v>
      </c>
      <c r="DJ83" s="2" t="s">
        <v>98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1010</v>
      </c>
      <c r="DV83" s="2" t="s">
        <v>96</v>
      </c>
      <c r="DW83" s="2" t="s">
        <v>96</v>
      </c>
      <c r="DX83" s="2">
        <v>100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60088254</v>
      </c>
      <c r="EF83" s="2">
        <v>30</v>
      </c>
      <c r="EG83" s="2" t="s">
        <v>100</v>
      </c>
      <c r="EH83" s="2">
        <v>0</v>
      </c>
      <c r="EI83" s="2" t="s">
        <v>3</v>
      </c>
      <c r="EJ83" s="2">
        <v>1</v>
      </c>
      <c r="EK83" s="2">
        <v>23</v>
      </c>
      <c r="EL83" s="2" t="s">
        <v>101</v>
      </c>
      <c r="EM83" s="2" t="s">
        <v>102</v>
      </c>
      <c r="EN83" s="2"/>
      <c r="EO83" s="2" t="s">
        <v>103</v>
      </c>
      <c r="EP83" s="2"/>
      <c r="EQ83" s="2">
        <v>0</v>
      </c>
      <c r="ER83" s="2">
        <v>3090.85</v>
      </c>
      <c r="ES83" s="2">
        <v>2078.9</v>
      </c>
      <c r="ET83" s="2">
        <v>95.35</v>
      </c>
      <c r="EU83" s="2">
        <v>10.3</v>
      </c>
      <c r="EV83" s="2">
        <v>916.6</v>
      </c>
      <c r="EW83" s="2">
        <v>74.7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-961949121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si="75"/>
        <v>0</v>
      </c>
      <c r="GM83" s="2">
        <f t="shared" si="76"/>
        <v>558.49</v>
      </c>
      <c r="GN83" s="2">
        <f t="shared" si="77"/>
        <v>558.49</v>
      </c>
      <c r="GO83" s="2">
        <f t="shared" si="78"/>
        <v>0</v>
      </c>
      <c r="GP83" s="2">
        <f t="shared" si="79"/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si="80"/>
        <v>0</v>
      </c>
      <c r="GW83" s="2">
        <v>1</v>
      </c>
      <c r="GX83" s="2">
        <f t="shared" si="81"/>
        <v>0</v>
      </c>
      <c r="GY83" s="2"/>
      <c r="GZ83" s="2"/>
      <c r="HA83" s="2">
        <v>0</v>
      </c>
      <c r="HB83" s="2">
        <v>0</v>
      </c>
      <c r="HC83" s="2">
        <f t="shared" si="82"/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">
      <c r="A84">
        <v>17</v>
      </c>
      <c r="B84">
        <v>1</v>
      </c>
      <c r="C84">
        <f>ROW(SmtRes!A48)</f>
        <v>48</v>
      </c>
      <c r="D84">
        <f>ROW(EtalonRes!A54)</f>
        <v>54</v>
      </c>
      <c r="E84" t="s">
        <v>130</v>
      </c>
      <c r="F84" t="s">
        <v>94</v>
      </c>
      <c r="G84" t="s">
        <v>95</v>
      </c>
      <c r="H84" t="s">
        <v>96</v>
      </c>
      <c r="I84">
        <f>ROUND((1+2+1+1+3+2)/100,9)</f>
        <v>0.1</v>
      </c>
      <c r="J84">
        <v>0</v>
      </c>
      <c r="K84">
        <f>ROUND((1+2+1+1+3+2)/100,9)</f>
        <v>0.1</v>
      </c>
      <c r="O84">
        <f t="shared" si="57"/>
        <v>11284.3</v>
      </c>
      <c r="P84">
        <f t="shared" si="58"/>
        <v>4280.46</v>
      </c>
      <c r="Q84">
        <f>(ROUND((ROUND(((((ET84*1.25)*1.1))*AV84*I84),2)*BB84),2)+ROUND((ROUND(((AE84-(((EU84*1.25)*1.1)))*AV84*I84),2)*BS84),2))</f>
        <v>200.48</v>
      </c>
      <c r="R84">
        <f>(ROUND((ROUND(((((EU84*1.25)*1.1))*AV84*I84),2)*BS84),2)+ROUND((ROUND(((AE84-(((EU84*1.25)*1.1)))*AV84*I84),2)*BS84),2))</f>
        <v>83.03</v>
      </c>
      <c r="S84">
        <f t="shared" si="59"/>
        <v>6803.36</v>
      </c>
      <c r="T84">
        <f t="shared" si="60"/>
        <v>0</v>
      </c>
      <c r="U84">
        <f t="shared" si="61"/>
        <v>10.082669850000002</v>
      </c>
      <c r="V84">
        <f t="shared" si="62"/>
        <v>0</v>
      </c>
      <c r="W84">
        <f t="shared" si="63"/>
        <v>0</v>
      </c>
      <c r="X84">
        <f>(ROUND((((S84+ROUND((ROUND(((((EU84*1.25)*1.1))*AV84*I84),2)*BS84),2))*AT84)/100),2)+ROUND(((ROUND((ROUND(((AE84-(((EU84*1.25)*1.1)))*AV84*I84),2)*BS84),2)*AT84)/100),2))</f>
        <v>7506.17</v>
      </c>
      <c r="Y84">
        <f>(ROUND((((S84+ROUND((ROUND(((((EU84*1.25)*1.1))*AV84*I84),2)*BS84),2))*AU84)/100),2)+ROUND(((ROUND((ROUND(((AE84-(((EU84*1.25)*1.1)))*AV84*I84),2)*BS84),2)*AU84)/100),2))</f>
        <v>4200.7</v>
      </c>
      <c r="AA84">
        <v>60255011</v>
      </c>
      <c r="AB84">
        <f t="shared" si="64"/>
        <v>3369.5052500000002</v>
      </c>
      <c r="AC84">
        <f t="shared" si="65"/>
        <v>2078.9</v>
      </c>
      <c r="AD84">
        <f>ROUND((((((ET84*1.25)*1.1))-(((EU84*1.25)*1.1)))+AE84),6)</f>
        <v>131.10624999999999</v>
      </c>
      <c r="AE84">
        <f>ROUND((((EU84*1.25)*1.1)),6)</f>
        <v>14.1625</v>
      </c>
      <c r="AF84">
        <f>ROUND((((EV84*1.15)*1.1)),6)</f>
        <v>1159.499</v>
      </c>
      <c r="AG84">
        <f t="shared" si="66"/>
        <v>0</v>
      </c>
      <c r="AH84">
        <f>(((EW84*1.15)*1.1))</f>
        <v>94.495500000000007</v>
      </c>
      <c r="AI84">
        <f>(((EX84*1.25)*1.1))</f>
        <v>0</v>
      </c>
      <c r="AJ84">
        <f t="shared" si="67"/>
        <v>0</v>
      </c>
      <c r="AK84">
        <v>3090.85</v>
      </c>
      <c r="AL84">
        <v>2078.9</v>
      </c>
      <c r="AM84">
        <v>95.35</v>
      </c>
      <c r="AN84">
        <v>10.3</v>
      </c>
      <c r="AO84">
        <v>916.6</v>
      </c>
      <c r="AP84">
        <v>0</v>
      </c>
      <c r="AQ84">
        <v>74.7</v>
      </c>
      <c r="AR84">
        <v>0</v>
      </c>
      <c r="AS84">
        <v>0</v>
      </c>
      <c r="AT84">
        <v>109</v>
      </c>
      <c r="AU84">
        <v>61</v>
      </c>
      <c r="AV84">
        <v>1.0669999999999999</v>
      </c>
      <c r="AW84">
        <v>1</v>
      </c>
      <c r="AZ84">
        <v>1</v>
      </c>
      <c r="BA84">
        <v>54.99</v>
      </c>
      <c r="BB84">
        <v>14.33</v>
      </c>
      <c r="BC84">
        <v>20.59</v>
      </c>
      <c r="BD84" t="s">
        <v>3</v>
      </c>
      <c r="BE84" t="s">
        <v>3</v>
      </c>
      <c r="BF84" t="s">
        <v>3</v>
      </c>
      <c r="BG84" t="s">
        <v>3</v>
      </c>
      <c r="BH84">
        <v>0</v>
      </c>
      <c r="BI84">
        <v>1</v>
      </c>
      <c r="BJ84" t="s">
        <v>97</v>
      </c>
      <c r="BM84">
        <v>23</v>
      </c>
      <c r="BN84">
        <v>0</v>
      </c>
      <c r="BO84" t="s">
        <v>94</v>
      </c>
      <c r="BP84">
        <v>1</v>
      </c>
      <c r="BQ84">
        <v>30</v>
      </c>
      <c r="BR84">
        <v>0</v>
      </c>
      <c r="BS84">
        <v>54.99</v>
      </c>
      <c r="BT84">
        <v>1</v>
      </c>
      <c r="BU84">
        <v>1</v>
      </c>
      <c r="BV84">
        <v>1</v>
      </c>
      <c r="BW84">
        <v>1</v>
      </c>
      <c r="BX84">
        <v>1</v>
      </c>
      <c r="BY84" t="s">
        <v>3</v>
      </c>
      <c r="BZ84">
        <v>109</v>
      </c>
      <c r="CA84">
        <v>61</v>
      </c>
      <c r="CB84" t="s">
        <v>3</v>
      </c>
      <c r="CE84">
        <v>1566</v>
      </c>
      <c r="CF84">
        <v>0</v>
      </c>
      <c r="CG84">
        <v>0</v>
      </c>
      <c r="CM84">
        <v>0</v>
      </c>
      <c r="CN84" t="s">
        <v>625</v>
      </c>
      <c r="CO84">
        <v>0</v>
      </c>
      <c r="CP84">
        <f t="shared" si="68"/>
        <v>11284.3</v>
      </c>
      <c r="CQ84">
        <f t="shared" si="69"/>
        <v>42804.55</v>
      </c>
      <c r="CR84">
        <f>(ROUND((ROUND(((((ET84*1.25)*1.1))*AV84*1),2)*BB84),2)+ROUND((ROUND(((AE84-(((EU84*1.25)*1.1)))*AV84*1),2)*BS84),2))</f>
        <v>2004.62</v>
      </c>
      <c r="CS84">
        <f>(ROUND((ROUND(((((EU84*1.25)*1.1))*AV84*1),2)*BS84),2)+ROUND((ROUND(((AE84-(((EU84*1.25)*1.1)))*AV84*1),2)*BS84),2))</f>
        <v>830.9</v>
      </c>
      <c r="CT84">
        <f t="shared" si="70"/>
        <v>68033.08</v>
      </c>
      <c r="CU84">
        <f t="shared" si="71"/>
        <v>0</v>
      </c>
      <c r="CV84">
        <f t="shared" si="72"/>
        <v>100.82669850000001</v>
      </c>
      <c r="CW84">
        <f t="shared" si="73"/>
        <v>0</v>
      </c>
      <c r="CX84">
        <f t="shared" si="74"/>
        <v>0</v>
      </c>
      <c r="CY84">
        <f>(ROUND((((S84+ROUND((ROUND(((((EU84*1.25)*1.1))*AV84*1),2)*BS84),2))*AT84)/100),2)+ROUND(((ROUND((ROUND(((AE84-(((EU84*1.25)*1.1)))*AV84*1),2)*BS84),2)*AT84)/100),2))</f>
        <v>8321.34</v>
      </c>
      <c r="CZ84">
        <f>(ROUND((((S84+ROUND((ROUND(((((EU84*1.25)*1.1))*AV84*1),2)*BS84),2))*AU84)/100),2)+ROUND(((ROUND((ROUND(((AE84-(((EU84*1.25)*1.1)))*AV84*1),2)*BS84),2)*AU84)/100),2))</f>
        <v>4656.8999999999996</v>
      </c>
      <c r="DB84">
        <v>7</v>
      </c>
      <c r="DC84" t="s">
        <v>3</v>
      </c>
      <c r="DD84" t="s">
        <v>3</v>
      </c>
      <c r="DE84" t="s">
        <v>98</v>
      </c>
      <c r="DF84" t="s">
        <v>98</v>
      </c>
      <c r="DG84" t="s">
        <v>99</v>
      </c>
      <c r="DH84" t="s">
        <v>3</v>
      </c>
      <c r="DI84" t="s">
        <v>99</v>
      </c>
      <c r="DJ84" t="s">
        <v>98</v>
      </c>
      <c r="DK84" t="s">
        <v>3</v>
      </c>
      <c r="DL84" t="s">
        <v>3</v>
      </c>
      <c r="DM84" t="s">
        <v>3</v>
      </c>
      <c r="DN84">
        <v>0</v>
      </c>
      <c r="DO84">
        <v>0</v>
      </c>
      <c r="DP84">
        <v>1</v>
      </c>
      <c r="DQ84">
        <v>1</v>
      </c>
      <c r="DU84">
        <v>1010</v>
      </c>
      <c r="DV84" t="s">
        <v>96</v>
      </c>
      <c r="DW84" t="s">
        <v>96</v>
      </c>
      <c r="DX84">
        <v>100</v>
      </c>
      <c r="DZ84" t="s">
        <v>3</v>
      </c>
      <c r="EA84" t="s">
        <v>3</v>
      </c>
      <c r="EB84" t="s">
        <v>3</v>
      </c>
      <c r="EC84" t="s">
        <v>3</v>
      </c>
      <c r="EE84">
        <v>60088254</v>
      </c>
      <c r="EF84">
        <v>30</v>
      </c>
      <c r="EG84" t="s">
        <v>100</v>
      </c>
      <c r="EH84">
        <v>0</v>
      </c>
      <c r="EI84" t="s">
        <v>3</v>
      </c>
      <c r="EJ84">
        <v>1</v>
      </c>
      <c r="EK84">
        <v>23</v>
      </c>
      <c r="EL84" t="s">
        <v>101</v>
      </c>
      <c r="EM84" t="s">
        <v>102</v>
      </c>
      <c r="EO84" t="s">
        <v>103</v>
      </c>
      <c r="EQ84">
        <v>0</v>
      </c>
      <c r="ER84">
        <v>3090.85</v>
      </c>
      <c r="ES84">
        <v>2078.9</v>
      </c>
      <c r="ET84">
        <v>95.35</v>
      </c>
      <c r="EU84">
        <v>10.3</v>
      </c>
      <c r="EV84">
        <v>916.6</v>
      </c>
      <c r="EW84">
        <v>74.7</v>
      </c>
      <c r="EX84">
        <v>0</v>
      </c>
      <c r="EY84">
        <v>0</v>
      </c>
      <c r="FQ84">
        <v>0</v>
      </c>
      <c r="FR84">
        <v>0</v>
      </c>
      <c r="FS84">
        <v>0</v>
      </c>
      <c r="FX84">
        <v>109</v>
      </c>
      <c r="FY84">
        <v>61</v>
      </c>
      <c r="GA84" t="s">
        <v>3</v>
      </c>
      <c r="GD84">
        <v>1</v>
      </c>
      <c r="GF84">
        <v>-961949121</v>
      </c>
      <c r="GG84">
        <v>2</v>
      </c>
      <c r="GH84">
        <v>1</v>
      </c>
      <c r="GI84">
        <v>2</v>
      </c>
      <c r="GJ84">
        <v>0</v>
      </c>
      <c r="GK84">
        <v>0</v>
      </c>
      <c r="GL84">
        <f t="shared" si="75"/>
        <v>0</v>
      </c>
      <c r="GM84">
        <f t="shared" si="76"/>
        <v>22991.17</v>
      </c>
      <c r="GN84">
        <f t="shared" si="77"/>
        <v>22991.17</v>
      </c>
      <c r="GO84">
        <f t="shared" si="78"/>
        <v>0</v>
      </c>
      <c r="GP84">
        <f t="shared" si="79"/>
        <v>0</v>
      </c>
      <c r="GR84">
        <v>0</v>
      </c>
      <c r="GS84">
        <v>3</v>
      </c>
      <c r="GT84">
        <v>0</v>
      </c>
      <c r="GU84" t="s">
        <v>3</v>
      </c>
      <c r="GV84">
        <f t="shared" si="80"/>
        <v>0</v>
      </c>
      <c r="GW84">
        <v>1</v>
      </c>
      <c r="GX84">
        <f t="shared" si="81"/>
        <v>0</v>
      </c>
      <c r="HA84">
        <v>0</v>
      </c>
      <c r="HB84">
        <v>0</v>
      </c>
      <c r="HC84">
        <f t="shared" si="82"/>
        <v>0</v>
      </c>
      <c r="HE84" t="s">
        <v>3</v>
      </c>
      <c r="HF84" t="s">
        <v>3</v>
      </c>
      <c r="HM84" t="s">
        <v>3</v>
      </c>
      <c r="HN84" t="s">
        <v>3</v>
      </c>
      <c r="HO84" t="s">
        <v>3</v>
      </c>
      <c r="HP84" t="s">
        <v>3</v>
      </c>
      <c r="HQ84" t="s">
        <v>3</v>
      </c>
      <c r="HS84">
        <v>0</v>
      </c>
      <c r="IK84">
        <v>0</v>
      </c>
    </row>
    <row r="85" spans="1:255" x14ac:dyDescent="0.2">
      <c r="A85" s="2">
        <v>17</v>
      </c>
      <c r="B85" s="2">
        <v>1</v>
      </c>
      <c r="C85" s="2"/>
      <c r="D85" s="2"/>
      <c r="E85" s="2" t="s">
        <v>131</v>
      </c>
      <c r="F85" s="2" t="s">
        <v>132</v>
      </c>
      <c r="G85" s="2" t="s">
        <v>133</v>
      </c>
      <c r="H85" s="2" t="s">
        <v>107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57"/>
        <v>345.85</v>
      </c>
      <c r="P85" s="2">
        <f t="shared" si="58"/>
        <v>345.85</v>
      </c>
      <c r="Q85" s="2">
        <f t="shared" ref="Q85:Q96" si="96">(ROUND((ROUND(((ET85)*AV85*I85),2)*BB85),2)+ROUND((ROUND(((AE85-(EU85))*AV85*I85),2)*BS85),2))</f>
        <v>0</v>
      </c>
      <c r="R85" s="2">
        <f t="shared" ref="R85:R96" si="97">(ROUND((ROUND(((EU85)*AV85*I85),2)*BS85),2)+ROUND((ROUND(((AE85-(EU85))*AV85*I85),2)*BS85),2))</f>
        <v>0</v>
      </c>
      <c r="S85" s="2">
        <f t="shared" si="59"/>
        <v>0</v>
      </c>
      <c r="T85" s="2">
        <f t="shared" si="60"/>
        <v>0</v>
      </c>
      <c r="U85" s="2">
        <f t="shared" si="61"/>
        <v>0</v>
      </c>
      <c r="V85" s="2">
        <f t="shared" si="62"/>
        <v>0</v>
      </c>
      <c r="W85" s="2">
        <f t="shared" si="63"/>
        <v>0</v>
      </c>
      <c r="X85" s="2">
        <f t="shared" ref="X85:X96" si="98">(ROUND((((S85+ROUND((ROUND(((EU85)*AV85*I85),2)*BS85),2))*AT85)/100),2)+ROUND(((ROUND((ROUND(((AE85-(EU85))*AV85*I85),2)*BS85),2)*AT85)/100),2))</f>
        <v>0</v>
      </c>
      <c r="Y85" s="2">
        <f t="shared" ref="Y85:Y96" si="99">(ROUND((((S85+ROUND((ROUND(((EU85)*AV85*I85),2)*BS85),2))*AU85)/100),2)+ROUND(((ROUND((ROUND(((AE85-(EU85))*AV85*I85),2)*BS85),2)*AU85)/100),2))</f>
        <v>0</v>
      </c>
      <c r="Z85" s="2"/>
      <c r="AA85" s="2">
        <v>60255014</v>
      </c>
      <c r="AB85" s="2">
        <f t="shared" si="64"/>
        <v>345.85</v>
      </c>
      <c r="AC85" s="2">
        <f t="shared" si="65"/>
        <v>345.85</v>
      </c>
      <c r="AD85" s="2">
        <f t="shared" ref="AD85:AD96" si="100">ROUND((((ET85)-(EU85))+AE85),6)</f>
        <v>0</v>
      </c>
      <c r="AE85" s="2">
        <f t="shared" ref="AE85:AE96" si="101">ROUND((EU85),6)</f>
        <v>0</v>
      </c>
      <c r="AF85" s="2">
        <f t="shared" ref="AF85:AF96" si="102">ROUND((EV85),6)</f>
        <v>0</v>
      </c>
      <c r="AG85" s="2">
        <f t="shared" si="66"/>
        <v>0</v>
      </c>
      <c r="AH85" s="2">
        <f t="shared" ref="AH85:AH96" si="103">(EW85)</f>
        <v>0</v>
      </c>
      <c r="AI85" s="2">
        <f t="shared" ref="AI85:AI96" si="104">(EX85)</f>
        <v>0</v>
      </c>
      <c r="AJ85" s="2">
        <f t="shared" si="67"/>
        <v>0</v>
      </c>
      <c r="AK85" s="2">
        <v>345.84999999999997</v>
      </c>
      <c r="AL85" s="2">
        <v>345.84999999999997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3</v>
      </c>
      <c r="BK85" s="2"/>
      <c r="BL85" s="2"/>
      <c r="BM85" s="2">
        <v>400002</v>
      </c>
      <c r="BN85" s="2">
        <v>0</v>
      </c>
      <c r="BO85" s="2" t="s">
        <v>3</v>
      </c>
      <c r="BP85" s="2">
        <v>0</v>
      </c>
      <c r="BQ85" s="2">
        <v>202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0</v>
      </c>
      <c r="CA85" s="2">
        <v>0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68"/>
        <v>345.85</v>
      </c>
      <c r="CQ85" s="2">
        <f t="shared" si="69"/>
        <v>345.85</v>
      </c>
      <c r="CR85" s="2">
        <f t="shared" ref="CR85:CR96" si="105">(ROUND((ROUND(((ET85)*AV85*1),2)*BB85),2)+ROUND((ROUND(((AE85-(EU85))*AV85*1),2)*BS85),2))</f>
        <v>0</v>
      </c>
      <c r="CS85" s="2">
        <f t="shared" ref="CS85:CS96" si="106">(ROUND((ROUND(((EU85)*AV85*1),2)*BS85),2)+ROUND((ROUND(((AE85-(EU85))*AV85*1),2)*BS85),2))</f>
        <v>0</v>
      </c>
      <c r="CT85" s="2">
        <f t="shared" si="70"/>
        <v>0</v>
      </c>
      <c r="CU85" s="2">
        <f t="shared" si="71"/>
        <v>0</v>
      </c>
      <c r="CV85" s="2">
        <f t="shared" si="72"/>
        <v>0</v>
      </c>
      <c r="CW85" s="2">
        <f t="shared" si="73"/>
        <v>0</v>
      </c>
      <c r="CX85" s="2">
        <f t="shared" si="74"/>
        <v>0</v>
      </c>
      <c r="CY85" s="2">
        <f t="shared" ref="CY85:CY96" si="107">(ROUND((((S85+ROUND((ROUND(((EU85)*AV85*1),2)*BS85),2))*AT85)/100),2)+ROUND(((ROUND((ROUND(((AE85-(EU85))*AV85*1),2)*BS85),2)*AT85)/100),2))</f>
        <v>0</v>
      </c>
      <c r="CZ85" s="2">
        <f t="shared" ref="CZ85:CZ96" si="108"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107</v>
      </c>
      <c r="DW85" s="2" t="s">
        <v>107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60088211</v>
      </c>
      <c r="EF85" s="2">
        <v>202</v>
      </c>
      <c r="EG85" s="2" t="s">
        <v>108</v>
      </c>
      <c r="EH85" s="2">
        <v>0</v>
      </c>
      <c r="EI85" s="2" t="s">
        <v>3</v>
      </c>
      <c r="EJ85" s="2">
        <v>1</v>
      </c>
      <c r="EK85" s="2">
        <v>400002</v>
      </c>
      <c r="EL85" s="2" t="s">
        <v>109</v>
      </c>
      <c r="EM85" s="2" t="s">
        <v>108</v>
      </c>
      <c r="EN85" s="2"/>
      <c r="EO85" s="2" t="s">
        <v>3</v>
      </c>
      <c r="EP85" s="2"/>
      <c r="EQ85" s="2">
        <v>0</v>
      </c>
      <c r="ER85" s="2">
        <v>0</v>
      </c>
      <c r="ES85" s="2">
        <v>345.84999999999997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0</v>
      </c>
      <c r="FY85" s="2">
        <v>0</v>
      </c>
      <c r="FZ85" s="2"/>
      <c r="GA85" s="2" t="s">
        <v>134</v>
      </c>
      <c r="GB85" s="2"/>
      <c r="GC85" s="2"/>
      <c r="GD85" s="2">
        <v>1</v>
      </c>
      <c r="GE85" s="2"/>
      <c r="GF85" s="2">
        <v>722466062</v>
      </c>
      <c r="GG85" s="2">
        <v>2</v>
      </c>
      <c r="GH85" s="2">
        <v>4</v>
      </c>
      <c r="GI85" s="2">
        <v>-2</v>
      </c>
      <c r="GJ85" s="2">
        <v>0</v>
      </c>
      <c r="GK85" s="2">
        <v>0</v>
      </c>
      <c r="GL85" s="2">
        <f t="shared" si="75"/>
        <v>0</v>
      </c>
      <c r="GM85" s="2">
        <f t="shared" si="76"/>
        <v>345.85</v>
      </c>
      <c r="GN85" s="2">
        <f t="shared" si="77"/>
        <v>345.85</v>
      </c>
      <c r="GO85" s="2">
        <f t="shared" si="78"/>
        <v>0</v>
      </c>
      <c r="GP85" s="2">
        <f t="shared" si="79"/>
        <v>0</v>
      </c>
      <c r="GQ85" s="2"/>
      <c r="GR85" s="2">
        <v>0</v>
      </c>
      <c r="GS85" s="2">
        <v>2</v>
      </c>
      <c r="GT85" s="2">
        <v>0</v>
      </c>
      <c r="GU85" s="2" t="s">
        <v>3</v>
      </c>
      <c r="GV85" s="2">
        <f t="shared" si="80"/>
        <v>0</v>
      </c>
      <c r="GW85" s="2">
        <v>1</v>
      </c>
      <c r="GX85" s="2">
        <f t="shared" si="81"/>
        <v>0</v>
      </c>
      <c r="GY85" s="2"/>
      <c r="GZ85" s="2"/>
      <c r="HA85" s="2">
        <v>0</v>
      </c>
      <c r="HB85" s="2">
        <v>0</v>
      </c>
      <c r="HC85" s="2">
        <f t="shared" si="82"/>
        <v>0</v>
      </c>
      <c r="HD85" s="2"/>
      <c r="HE85" s="2" t="s">
        <v>111</v>
      </c>
      <c r="HF85" s="2" t="s">
        <v>28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>
        <v>17</v>
      </c>
      <c r="B86">
        <v>1</v>
      </c>
      <c r="E86" t="s">
        <v>131</v>
      </c>
      <c r="F86" t="s">
        <v>132</v>
      </c>
      <c r="G86" t="s">
        <v>133</v>
      </c>
      <c r="H86" t="s">
        <v>107</v>
      </c>
      <c r="I86">
        <v>1</v>
      </c>
      <c r="J86">
        <v>0</v>
      </c>
      <c r="K86">
        <v>1</v>
      </c>
      <c r="O86">
        <f t="shared" si="57"/>
        <v>3417</v>
      </c>
      <c r="P86">
        <f t="shared" si="58"/>
        <v>3417</v>
      </c>
      <c r="Q86">
        <f t="shared" si="96"/>
        <v>0</v>
      </c>
      <c r="R86">
        <f t="shared" si="97"/>
        <v>0</v>
      </c>
      <c r="S86">
        <f t="shared" si="59"/>
        <v>0</v>
      </c>
      <c r="T86">
        <f t="shared" si="60"/>
        <v>0</v>
      </c>
      <c r="U86">
        <f t="shared" si="61"/>
        <v>0</v>
      </c>
      <c r="V86">
        <f t="shared" si="62"/>
        <v>0</v>
      </c>
      <c r="W86">
        <f t="shared" si="63"/>
        <v>0</v>
      </c>
      <c r="X86">
        <f t="shared" si="98"/>
        <v>0</v>
      </c>
      <c r="Y86">
        <f t="shared" si="99"/>
        <v>0</v>
      </c>
      <c r="AA86">
        <v>60255011</v>
      </c>
      <c r="AB86">
        <f t="shared" si="64"/>
        <v>345.85</v>
      </c>
      <c r="AC86">
        <f t="shared" si="65"/>
        <v>345.85</v>
      </c>
      <c r="AD86">
        <f t="shared" si="100"/>
        <v>0</v>
      </c>
      <c r="AE86">
        <f t="shared" si="101"/>
        <v>0</v>
      </c>
      <c r="AF86">
        <f t="shared" si="102"/>
        <v>0</v>
      </c>
      <c r="AG86">
        <f t="shared" si="66"/>
        <v>0</v>
      </c>
      <c r="AH86">
        <f t="shared" si="103"/>
        <v>0</v>
      </c>
      <c r="AI86">
        <f t="shared" si="104"/>
        <v>0</v>
      </c>
      <c r="AJ86">
        <f t="shared" si="67"/>
        <v>0</v>
      </c>
      <c r="AK86">
        <v>345.84999999999997</v>
      </c>
      <c r="AL86">
        <v>345.84999999999997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1</v>
      </c>
      <c r="AZ86">
        <v>1</v>
      </c>
      <c r="BA86">
        <v>1</v>
      </c>
      <c r="BB86">
        <v>1</v>
      </c>
      <c r="BC86">
        <v>9.8800000000000008</v>
      </c>
      <c r="BD86" t="s">
        <v>3</v>
      </c>
      <c r="BE86" t="s">
        <v>3</v>
      </c>
      <c r="BF86" t="s">
        <v>3</v>
      </c>
      <c r="BG86" t="s">
        <v>3</v>
      </c>
      <c r="BH86">
        <v>3</v>
      </c>
      <c r="BI86">
        <v>1</v>
      </c>
      <c r="BJ86" t="s">
        <v>3</v>
      </c>
      <c r="BM86">
        <v>400002</v>
      </c>
      <c r="BN86">
        <v>0</v>
      </c>
      <c r="BO86" t="s">
        <v>3</v>
      </c>
      <c r="BP86">
        <v>0</v>
      </c>
      <c r="BQ86">
        <v>202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 t="s">
        <v>3</v>
      </c>
      <c r="BZ86">
        <v>0</v>
      </c>
      <c r="CA86">
        <v>0</v>
      </c>
      <c r="CB86" t="s">
        <v>3</v>
      </c>
      <c r="CE86">
        <v>1566</v>
      </c>
      <c r="CF86">
        <v>0</v>
      </c>
      <c r="CG86">
        <v>0</v>
      </c>
      <c r="CM86">
        <v>0</v>
      </c>
      <c r="CN86" t="s">
        <v>3</v>
      </c>
      <c r="CO86">
        <v>0</v>
      </c>
      <c r="CP86">
        <f t="shared" si="68"/>
        <v>3417</v>
      </c>
      <c r="CQ86">
        <f t="shared" si="69"/>
        <v>3417</v>
      </c>
      <c r="CR86">
        <f t="shared" si="105"/>
        <v>0</v>
      </c>
      <c r="CS86">
        <f t="shared" si="106"/>
        <v>0</v>
      </c>
      <c r="CT86">
        <f t="shared" si="70"/>
        <v>0</v>
      </c>
      <c r="CU86">
        <f t="shared" si="71"/>
        <v>0</v>
      </c>
      <c r="CV86">
        <f t="shared" si="72"/>
        <v>0</v>
      </c>
      <c r="CW86">
        <f t="shared" si="73"/>
        <v>0</v>
      </c>
      <c r="CX86">
        <f t="shared" si="74"/>
        <v>0</v>
      </c>
      <c r="CY86">
        <f t="shared" si="107"/>
        <v>0</v>
      </c>
      <c r="CZ86">
        <f t="shared" si="108"/>
        <v>0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>
        <v>0</v>
      </c>
      <c r="DO86">
        <v>0</v>
      </c>
      <c r="DP86">
        <v>1</v>
      </c>
      <c r="DQ86">
        <v>1</v>
      </c>
      <c r="DU86">
        <v>1013</v>
      </c>
      <c r="DV86" t="s">
        <v>107</v>
      </c>
      <c r="DW86" t="s">
        <v>107</v>
      </c>
      <c r="DX86">
        <v>1</v>
      </c>
      <c r="DZ86" t="s">
        <v>3</v>
      </c>
      <c r="EA86" t="s">
        <v>3</v>
      </c>
      <c r="EB86" t="s">
        <v>3</v>
      </c>
      <c r="EC86" t="s">
        <v>3</v>
      </c>
      <c r="EE86">
        <v>60088211</v>
      </c>
      <c r="EF86">
        <v>202</v>
      </c>
      <c r="EG86" t="s">
        <v>108</v>
      </c>
      <c r="EH86">
        <v>0</v>
      </c>
      <c r="EI86" t="s">
        <v>3</v>
      </c>
      <c r="EJ86">
        <v>1</v>
      </c>
      <c r="EK86">
        <v>400002</v>
      </c>
      <c r="EL86" t="s">
        <v>109</v>
      </c>
      <c r="EM86" t="s">
        <v>108</v>
      </c>
      <c r="EO86" t="s">
        <v>3</v>
      </c>
      <c r="EQ86">
        <v>0</v>
      </c>
      <c r="ER86">
        <v>345.84999999999997</v>
      </c>
      <c r="ES86">
        <v>345.84999999999997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5</v>
      </c>
      <c r="FC86">
        <v>1</v>
      </c>
      <c r="FD86">
        <v>18</v>
      </c>
      <c r="FF86">
        <v>4020</v>
      </c>
      <c r="FQ86">
        <v>0</v>
      </c>
      <c r="FR86">
        <v>0</v>
      </c>
      <c r="FS86">
        <v>0</v>
      </c>
      <c r="FX86">
        <v>0</v>
      </c>
      <c r="FY86">
        <v>0</v>
      </c>
      <c r="GA86" t="s">
        <v>134</v>
      </c>
      <c r="GD86">
        <v>1</v>
      </c>
      <c r="GF86">
        <v>722466062</v>
      </c>
      <c r="GG86">
        <v>2</v>
      </c>
      <c r="GH86">
        <v>3</v>
      </c>
      <c r="GI86">
        <v>5</v>
      </c>
      <c r="GJ86">
        <v>0</v>
      </c>
      <c r="GK86">
        <v>0</v>
      </c>
      <c r="GL86">
        <f t="shared" si="75"/>
        <v>0</v>
      </c>
      <c r="GM86">
        <f t="shared" si="76"/>
        <v>3417</v>
      </c>
      <c r="GN86">
        <f t="shared" si="77"/>
        <v>3417</v>
      </c>
      <c r="GO86">
        <f t="shared" si="78"/>
        <v>0</v>
      </c>
      <c r="GP86">
        <f t="shared" si="79"/>
        <v>0</v>
      </c>
      <c r="GR86">
        <v>1</v>
      </c>
      <c r="GS86">
        <v>1</v>
      </c>
      <c r="GT86">
        <v>0</v>
      </c>
      <c r="GU86" t="s">
        <v>3</v>
      </c>
      <c r="GV86">
        <f t="shared" si="80"/>
        <v>0</v>
      </c>
      <c r="GW86">
        <v>1</v>
      </c>
      <c r="GX86">
        <f t="shared" si="81"/>
        <v>0</v>
      </c>
      <c r="HA86">
        <v>0</v>
      </c>
      <c r="HB86">
        <v>0</v>
      </c>
      <c r="HC86">
        <f t="shared" si="82"/>
        <v>0</v>
      </c>
      <c r="HE86" t="s">
        <v>111</v>
      </c>
      <c r="HF86" t="s">
        <v>28</v>
      </c>
      <c r="HM86" t="s">
        <v>3</v>
      </c>
      <c r="HN86" t="s">
        <v>3</v>
      </c>
      <c r="HO86" t="s">
        <v>3</v>
      </c>
      <c r="HP86" t="s">
        <v>3</v>
      </c>
      <c r="HQ86" t="s">
        <v>3</v>
      </c>
      <c r="HS86">
        <v>0</v>
      </c>
      <c r="IK86">
        <v>0</v>
      </c>
    </row>
    <row r="87" spans="1:255" x14ac:dyDescent="0.2">
      <c r="A87" s="2">
        <v>17</v>
      </c>
      <c r="B87" s="2">
        <v>1</v>
      </c>
      <c r="C87" s="2"/>
      <c r="D87" s="2"/>
      <c r="E87" s="2" t="s">
        <v>135</v>
      </c>
      <c r="F87" s="2" t="s">
        <v>136</v>
      </c>
      <c r="G87" s="2" t="s">
        <v>137</v>
      </c>
      <c r="H87" s="2" t="s">
        <v>107</v>
      </c>
      <c r="I87" s="2">
        <v>2</v>
      </c>
      <c r="J87" s="2">
        <v>0</v>
      </c>
      <c r="K87" s="2">
        <v>2</v>
      </c>
      <c r="L87" s="2"/>
      <c r="M87" s="2"/>
      <c r="N87" s="2"/>
      <c r="O87" s="2">
        <f t="shared" si="57"/>
        <v>703.74</v>
      </c>
      <c r="P87" s="2">
        <f t="shared" si="58"/>
        <v>703.74</v>
      </c>
      <c r="Q87" s="2">
        <f t="shared" si="96"/>
        <v>0</v>
      </c>
      <c r="R87" s="2">
        <f t="shared" si="97"/>
        <v>0</v>
      </c>
      <c r="S87" s="2">
        <f t="shared" si="59"/>
        <v>0</v>
      </c>
      <c r="T87" s="2">
        <f t="shared" si="60"/>
        <v>0</v>
      </c>
      <c r="U87" s="2">
        <f t="shared" si="61"/>
        <v>0</v>
      </c>
      <c r="V87" s="2">
        <f t="shared" si="62"/>
        <v>0</v>
      </c>
      <c r="W87" s="2">
        <f t="shared" si="63"/>
        <v>0</v>
      </c>
      <c r="X87" s="2">
        <f t="shared" si="98"/>
        <v>0</v>
      </c>
      <c r="Y87" s="2">
        <f t="shared" si="99"/>
        <v>0</v>
      </c>
      <c r="Z87" s="2"/>
      <c r="AA87" s="2">
        <v>60255014</v>
      </c>
      <c r="AB87" s="2">
        <f t="shared" si="64"/>
        <v>351.87</v>
      </c>
      <c r="AC87" s="2">
        <f t="shared" si="65"/>
        <v>351.87</v>
      </c>
      <c r="AD87" s="2">
        <f t="shared" si="100"/>
        <v>0</v>
      </c>
      <c r="AE87" s="2">
        <f t="shared" si="101"/>
        <v>0</v>
      </c>
      <c r="AF87" s="2">
        <f t="shared" si="102"/>
        <v>0</v>
      </c>
      <c r="AG87" s="2">
        <f t="shared" si="66"/>
        <v>0</v>
      </c>
      <c r="AH87" s="2">
        <f t="shared" si="103"/>
        <v>0</v>
      </c>
      <c r="AI87" s="2">
        <f t="shared" si="104"/>
        <v>0</v>
      </c>
      <c r="AJ87" s="2">
        <f t="shared" si="67"/>
        <v>0</v>
      </c>
      <c r="AK87" s="2">
        <v>351.87</v>
      </c>
      <c r="AL87" s="2">
        <v>351.87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1</v>
      </c>
      <c r="BJ87" s="2" t="s">
        <v>3</v>
      </c>
      <c r="BK87" s="2"/>
      <c r="BL87" s="2"/>
      <c r="BM87" s="2">
        <v>400002</v>
      </c>
      <c r="BN87" s="2">
        <v>0</v>
      </c>
      <c r="BO87" s="2" t="s">
        <v>3</v>
      </c>
      <c r="BP87" s="2">
        <v>0</v>
      </c>
      <c r="BQ87" s="2">
        <v>202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0</v>
      </c>
      <c r="CA87" s="2">
        <v>0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</v>
      </c>
      <c r="CO87" s="2">
        <v>0</v>
      </c>
      <c r="CP87" s="2">
        <f t="shared" si="68"/>
        <v>703.74</v>
      </c>
      <c r="CQ87" s="2">
        <f t="shared" si="69"/>
        <v>351.87</v>
      </c>
      <c r="CR87" s="2">
        <f t="shared" si="105"/>
        <v>0</v>
      </c>
      <c r="CS87" s="2">
        <f t="shared" si="106"/>
        <v>0</v>
      </c>
      <c r="CT87" s="2">
        <f t="shared" si="70"/>
        <v>0</v>
      </c>
      <c r="CU87" s="2">
        <f t="shared" si="71"/>
        <v>0</v>
      </c>
      <c r="CV87" s="2">
        <f t="shared" si="72"/>
        <v>0</v>
      </c>
      <c r="CW87" s="2">
        <f t="shared" si="73"/>
        <v>0</v>
      </c>
      <c r="CX87" s="2">
        <f t="shared" si="74"/>
        <v>0</v>
      </c>
      <c r="CY87" s="2">
        <f t="shared" si="107"/>
        <v>0</v>
      </c>
      <c r="CZ87" s="2">
        <f t="shared" si="108"/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107</v>
      </c>
      <c r="DW87" s="2" t="s">
        <v>107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60088211</v>
      </c>
      <c r="EF87" s="2">
        <v>202</v>
      </c>
      <c r="EG87" s="2" t="s">
        <v>108</v>
      </c>
      <c r="EH87" s="2">
        <v>0</v>
      </c>
      <c r="EI87" s="2" t="s">
        <v>3</v>
      </c>
      <c r="EJ87" s="2">
        <v>1</v>
      </c>
      <c r="EK87" s="2">
        <v>400002</v>
      </c>
      <c r="EL87" s="2" t="s">
        <v>109</v>
      </c>
      <c r="EM87" s="2" t="s">
        <v>108</v>
      </c>
      <c r="EN87" s="2"/>
      <c r="EO87" s="2" t="s">
        <v>3</v>
      </c>
      <c r="EP87" s="2"/>
      <c r="EQ87" s="2">
        <v>0</v>
      </c>
      <c r="ER87" s="2">
        <v>0</v>
      </c>
      <c r="ES87" s="2">
        <v>351.87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0</v>
      </c>
      <c r="FY87" s="2">
        <v>0</v>
      </c>
      <c r="FZ87" s="2"/>
      <c r="GA87" s="2" t="s">
        <v>138</v>
      </c>
      <c r="GB87" s="2"/>
      <c r="GC87" s="2"/>
      <c r="GD87" s="2">
        <v>1</v>
      </c>
      <c r="GE87" s="2"/>
      <c r="GF87" s="2">
        <v>484917105</v>
      </c>
      <c r="GG87" s="2">
        <v>2</v>
      </c>
      <c r="GH87" s="2">
        <v>4</v>
      </c>
      <c r="GI87" s="2">
        <v>-2</v>
      </c>
      <c r="GJ87" s="2">
        <v>0</v>
      </c>
      <c r="GK87" s="2">
        <v>0</v>
      </c>
      <c r="GL87" s="2">
        <f t="shared" si="75"/>
        <v>0</v>
      </c>
      <c r="GM87" s="2">
        <f t="shared" si="76"/>
        <v>703.74</v>
      </c>
      <c r="GN87" s="2">
        <f t="shared" si="77"/>
        <v>703.74</v>
      </c>
      <c r="GO87" s="2">
        <f t="shared" si="78"/>
        <v>0</v>
      </c>
      <c r="GP87" s="2">
        <f t="shared" si="79"/>
        <v>0</v>
      </c>
      <c r="GQ87" s="2"/>
      <c r="GR87" s="2">
        <v>0</v>
      </c>
      <c r="GS87" s="2">
        <v>2</v>
      </c>
      <c r="GT87" s="2">
        <v>0</v>
      </c>
      <c r="GU87" s="2" t="s">
        <v>3</v>
      </c>
      <c r="GV87" s="2">
        <f t="shared" si="80"/>
        <v>0</v>
      </c>
      <c r="GW87" s="2">
        <v>1</v>
      </c>
      <c r="GX87" s="2">
        <f t="shared" si="81"/>
        <v>0</v>
      </c>
      <c r="GY87" s="2"/>
      <c r="GZ87" s="2"/>
      <c r="HA87" s="2">
        <v>0</v>
      </c>
      <c r="HB87" s="2">
        <v>0</v>
      </c>
      <c r="HC87" s="2">
        <f t="shared" si="82"/>
        <v>0</v>
      </c>
      <c r="HD87" s="2"/>
      <c r="HE87" s="2" t="s">
        <v>111</v>
      </c>
      <c r="HF87" s="2" t="s">
        <v>28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>
        <v>17</v>
      </c>
      <c r="B88">
        <v>1</v>
      </c>
      <c r="E88" t="s">
        <v>135</v>
      </c>
      <c r="F88" t="s">
        <v>136</v>
      </c>
      <c r="G88" t="s">
        <v>137</v>
      </c>
      <c r="H88" t="s">
        <v>107</v>
      </c>
      <c r="I88">
        <v>2</v>
      </c>
      <c r="J88">
        <v>0</v>
      </c>
      <c r="K88">
        <v>2</v>
      </c>
      <c r="O88">
        <f t="shared" si="57"/>
        <v>6952.95</v>
      </c>
      <c r="P88">
        <f t="shared" si="58"/>
        <v>6952.95</v>
      </c>
      <c r="Q88">
        <f t="shared" si="96"/>
        <v>0</v>
      </c>
      <c r="R88">
        <f t="shared" si="97"/>
        <v>0</v>
      </c>
      <c r="S88">
        <f t="shared" si="59"/>
        <v>0</v>
      </c>
      <c r="T88">
        <f t="shared" si="60"/>
        <v>0</v>
      </c>
      <c r="U88">
        <f t="shared" si="61"/>
        <v>0</v>
      </c>
      <c r="V88">
        <f t="shared" si="62"/>
        <v>0</v>
      </c>
      <c r="W88">
        <f t="shared" si="63"/>
        <v>0</v>
      </c>
      <c r="X88">
        <f t="shared" si="98"/>
        <v>0</v>
      </c>
      <c r="Y88">
        <f t="shared" si="99"/>
        <v>0</v>
      </c>
      <c r="AA88">
        <v>60255011</v>
      </c>
      <c r="AB88">
        <f t="shared" si="64"/>
        <v>351.87</v>
      </c>
      <c r="AC88">
        <f t="shared" si="65"/>
        <v>351.87</v>
      </c>
      <c r="AD88">
        <f t="shared" si="100"/>
        <v>0</v>
      </c>
      <c r="AE88">
        <f t="shared" si="101"/>
        <v>0</v>
      </c>
      <c r="AF88">
        <f t="shared" si="102"/>
        <v>0</v>
      </c>
      <c r="AG88">
        <f t="shared" si="66"/>
        <v>0</v>
      </c>
      <c r="AH88">
        <f t="shared" si="103"/>
        <v>0</v>
      </c>
      <c r="AI88">
        <f t="shared" si="104"/>
        <v>0</v>
      </c>
      <c r="AJ88">
        <f t="shared" si="67"/>
        <v>0</v>
      </c>
      <c r="AK88">
        <v>351.87</v>
      </c>
      <c r="AL88">
        <v>351.87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1</v>
      </c>
      <c r="AZ88">
        <v>1</v>
      </c>
      <c r="BA88">
        <v>1</v>
      </c>
      <c r="BB88">
        <v>1</v>
      </c>
      <c r="BC88">
        <v>9.8800000000000008</v>
      </c>
      <c r="BD88" t="s">
        <v>3</v>
      </c>
      <c r="BE88" t="s">
        <v>3</v>
      </c>
      <c r="BF88" t="s">
        <v>3</v>
      </c>
      <c r="BG88" t="s">
        <v>3</v>
      </c>
      <c r="BH88">
        <v>3</v>
      </c>
      <c r="BI88">
        <v>1</v>
      </c>
      <c r="BJ88" t="s">
        <v>3</v>
      </c>
      <c r="BM88">
        <v>400002</v>
      </c>
      <c r="BN88">
        <v>0</v>
      </c>
      <c r="BO88" t="s">
        <v>3</v>
      </c>
      <c r="BP88">
        <v>0</v>
      </c>
      <c r="BQ88">
        <v>202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 t="s">
        <v>3</v>
      </c>
      <c r="BZ88">
        <v>0</v>
      </c>
      <c r="CA88">
        <v>0</v>
      </c>
      <c r="CB88" t="s">
        <v>3</v>
      </c>
      <c r="CE88">
        <v>1566</v>
      </c>
      <c r="CF88">
        <v>0</v>
      </c>
      <c r="CG88">
        <v>0</v>
      </c>
      <c r="CM88">
        <v>0</v>
      </c>
      <c r="CN88" t="s">
        <v>3</v>
      </c>
      <c r="CO88">
        <v>0</v>
      </c>
      <c r="CP88">
        <f t="shared" si="68"/>
        <v>6952.95</v>
      </c>
      <c r="CQ88">
        <f t="shared" si="69"/>
        <v>3476.48</v>
      </c>
      <c r="CR88">
        <f t="shared" si="105"/>
        <v>0</v>
      </c>
      <c r="CS88">
        <f t="shared" si="106"/>
        <v>0</v>
      </c>
      <c r="CT88">
        <f t="shared" si="70"/>
        <v>0</v>
      </c>
      <c r="CU88">
        <f t="shared" si="71"/>
        <v>0</v>
      </c>
      <c r="CV88">
        <f t="shared" si="72"/>
        <v>0</v>
      </c>
      <c r="CW88">
        <f t="shared" si="73"/>
        <v>0</v>
      </c>
      <c r="CX88">
        <f t="shared" si="74"/>
        <v>0</v>
      </c>
      <c r="CY88">
        <f t="shared" si="107"/>
        <v>0</v>
      </c>
      <c r="CZ88">
        <f t="shared" si="108"/>
        <v>0</v>
      </c>
      <c r="DC88" t="s">
        <v>3</v>
      </c>
      <c r="DD88" t="s">
        <v>3</v>
      </c>
      <c r="DE88" t="s">
        <v>3</v>
      </c>
      <c r="DF88" t="s">
        <v>3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>
        <v>0</v>
      </c>
      <c r="DO88">
        <v>0</v>
      </c>
      <c r="DP88">
        <v>1</v>
      </c>
      <c r="DQ88">
        <v>1</v>
      </c>
      <c r="DU88">
        <v>1013</v>
      </c>
      <c r="DV88" t="s">
        <v>107</v>
      </c>
      <c r="DW88" t="s">
        <v>107</v>
      </c>
      <c r="DX88">
        <v>1</v>
      </c>
      <c r="DZ88" t="s">
        <v>3</v>
      </c>
      <c r="EA88" t="s">
        <v>3</v>
      </c>
      <c r="EB88" t="s">
        <v>3</v>
      </c>
      <c r="EC88" t="s">
        <v>3</v>
      </c>
      <c r="EE88">
        <v>60088211</v>
      </c>
      <c r="EF88">
        <v>202</v>
      </c>
      <c r="EG88" t="s">
        <v>108</v>
      </c>
      <c r="EH88">
        <v>0</v>
      </c>
      <c r="EI88" t="s">
        <v>3</v>
      </c>
      <c r="EJ88">
        <v>1</v>
      </c>
      <c r="EK88">
        <v>400002</v>
      </c>
      <c r="EL88" t="s">
        <v>109</v>
      </c>
      <c r="EM88" t="s">
        <v>108</v>
      </c>
      <c r="EO88" t="s">
        <v>3</v>
      </c>
      <c r="EQ88">
        <v>0</v>
      </c>
      <c r="ER88">
        <v>351.87</v>
      </c>
      <c r="ES88">
        <v>351.87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5</v>
      </c>
      <c r="FC88">
        <v>1</v>
      </c>
      <c r="FD88">
        <v>18</v>
      </c>
      <c r="FF88">
        <v>4090</v>
      </c>
      <c r="FQ88">
        <v>0</v>
      </c>
      <c r="FR88">
        <v>0</v>
      </c>
      <c r="FS88">
        <v>0</v>
      </c>
      <c r="FX88">
        <v>0</v>
      </c>
      <c r="FY88">
        <v>0</v>
      </c>
      <c r="GA88" t="s">
        <v>138</v>
      </c>
      <c r="GD88">
        <v>1</v>
      </c>
      <c r="GF88">
        <v>484917105</v>
      </c>
      <c r="GG88">
        <v>2</v>
      </c>
      <c r="GH88">
        <v>3</v>
      </c>
      <c r="GI88">
        <v>5</v>
      </c>
      <c r="GJ88">
        <v>0</v>
      </c>
      <c r="GK88">
        <v>0</v>
      </c>
      <c r="GL88">
        <f t="shared" si="75"/>
        <v>0</v>
      </c>
      <c r="GM88">
        <f t="shared" si="76"/>
        <v>6952.95</v>
      </c>
      <c r="GN88">
        <f t="shared" si="77"/>
        <v>6952.95</v>
      </c>
      <c r="GO88">
        <f t="shared" si="78"/>
        <v>0</v>
      </c>
      <c r="GP88">
        <f t="shared" si="79"/>
        <v>0</v>
      </c>
      <c r="GR88">
        <v>1</v>
      </c>
      <c r="GS88">
        <v>1</v>
      </c>
      <c r="GT88">
        <v>0</v>
      </c>
      <c r="GU88" t="s">
        <v>3</v>
      </c>
      <c r="GV88">
        <f t="shared" si="80"/>
        <v>0</v>
      </c>
      <c r="GW88">
        <v>1</v>
      </c>
      <c r="GX88">
        <f t="shared" si="81"/>
        <v>0</v>
      </c>
      <c r="HA88">
        <v>0</v>
      </c>
      <c r="HB88">
        <v>0</v>
      </c>
      <c r="HC88">
        <f t="shared" si="82"/>
        <v>0</v>
      </c>
      <c r="HE88" t="s">
        <v>111</v>
      </c>
      <c r="HF88" t="s">
        <v>28</v>
      </c>
      <c r="HM88" t="s">
        <v>3</v>
      </c>
      <c r="HN88" t="s">
        <v>3</v>
      </c>
      <c r="HO88" t="s">
        <v>3</v>
      </c>
      <c r="HP88" t="s">
        <v>3</v>
      </c>
      <c r="HQ88" t="s">
        <v>3</v>
      </c>
      <c r="HS88">
        <v>0</v>
      </c>
      <c r="IK88">
        <v>0</v>
      </c>
    </row>
    <row r="89" spans="1:255" x14ac:dyDescent="0.2">
      <c r="A89" s="2">
        <v>17</v>
      </c>
      <c r="B89" s="2">
        <v>1</v>
      </c>
      <c r="C89" s="2"/>
      <c r="D89" s="2"/>
      <c r="E89" s="2" t="s">
        <v>139</v>
      </c>
      <c r="F89" s="2" t="s">
        <v>140</v>
      </c>
      <c r="G89" s="2" t="s">
        <v>141</v>
      </c>
      <c r="H89" s="2" t="s">
        <v>107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si="57"/>
        <v>417.26</v>
      </c>
      <c r="P89" s="2">
        <f t="shared" si="58"/>
        <v>417.26</v>
      </c>
      <c r="Q89" s="2">
        <f t="shared" si="96"/>
        <v>0</v>
      </c>
      <c r="R89" s="2">
        <f t="shared" si="97"/>
        <v>0</v>
      </c>
      <c r="S89" s="2">
        <f t="shared" si="59"/>
        <v>0</v>
      </c>
      <c r="T89" s="2">
        <f t="shared" si="60"/>
        <v>0</v>
      </c>
      <c r="U89" s="2">
        <f t="shared" si="61"/>
        <v>0</v>
      </c>
      <c r="V89" s="2">
        <f t="shared" si="62"/>
        <v>0</v>
      </c>
      <c r="W89" s="2">
        <f t="shared" si="63"/>
        <v>0</v>
      </c>
      <c r="X89" s="2">
        <f t="shared" si="98"/>
        <v>0</v>
      </c>
      <c r="Y89" s="2">
        <f t="shared" si="99"/>
        <v>0</v>
      </c>
      <c r="Z89" s="2"/>
      <c r="AA89" s="2">
        <v>60255014</v>
      </c>
      <c r="AB89" s="2">
        <f t="shared" si="64"/>
        <v>417.26</v>
      </c>
      <c r="AC89" s="2">
        <f t="shared" si="65"/>
        <v>417.26</v>
      </c>
      <c r="AD89" s="2">
        <f t="shared" si="100"/>
        <v>0</v>
      </c>
      <c r="AE89" s="2">
        <f t="shared" si="101"/>
        <v>0</v>
      </c>
      <c r="AF89" s="2">
        <f t="shared" si="102"/>
        <v>0</v>
      </c>
      <c r="AG89" s="2">
        <f t="shared" si="66"/>
        <v>0</v>
      </c>
      <c r="AH89" s="2">
        <f t="shared" si="103"/>
        <v>0</v>
      </c>
      <c r="AI89" s="2">
        <f t="shared" si="104"/>
        <v>0</v>
      </c>
      <c r="AJ89" s="2">
        <f t="shared" si="67"/>
        <v>0</v>
      </c>
      <c r="AK89" s="2">
        <v>417.26</v>
      </c>
      <c r="AL89" s="2">
        <v>417.26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3</v>
      </c>
      <c r="BK89" s="2"/>
      <c r="BL89" s="2"/>
      <c r="BM89" s="2">
        <v>400002</v>
      </c>
      <c r="BN89" s="2">
        <v>0</v>
      </c>
      <c r="BO89" s="2" t="s">
        <v>3</v>
      </c>
      <c r="BP89" s="2">
        <v>0</v>
      </c>
      <c r="BQ89" s="2">
        <v>202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68"/>
        <v>417.26</v>
      </c>
      <c r="CQ89" s="2">
        <f t="shared" si="69"/>
        <v>417.26</v>
      </c>
      <c r="CR89" s="2">
        <f t="shared" si="105"/>
        <v>0</v>
      </c>
      <c r="CS89" s="2">
        <f t="shared" si="106"/>
        <v>0</v>
      </c>
      <c r="CT89" s="2">
        <f t="shared" si="70"/>
        <v>0</v>
      </c>
      <c r="CU89" s="2">
        <f t="shared" si="71"/>
        <v>0</v>
      </c>
      <c r="CV89" s="2">
        <f t="shared" si="72"/>
        <v>0</v>
      </c>
      <c r="CW89" s="2">
        <f t="shared" si="73"/>
        <v>0</v>
      </c>
      <c r="CX89" s="2">
        <f t="shared" si="74"/>
        <v>0</v>
      </c>
      <c r="CY89" s="2">
        <f t="shared" si="107"/>
        <v>0</v>
      </c>
      <c r="CZ89" s="2">
        <f t="shared" si="108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107</v>
      </c>
      <c r="DW89" s="2" t="s">
        <v>107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60088211</v>
      </c>
      <c r="EF89" s="2">
        <v>202</v>
      </c>
      <c r="EG89" s="2" t="s">
        <v>108</v>
      </c>
      <c r="EH89" s="2">
        <v>0</v>
      </c>
      <c r="EI89" s="2" t="s">
        <v>3</v>
      </c>
      <c r="EJ89" s="2">
        <v>1</v>
      </c>
      <c r="EK89" s="2">
        <v>400002</v>
      </c>
      <c r="EL89" s="2" t="s">
        <v>109</v>
      </c>
      <c r="EM89" s="2" t="s">
        <v>108</v>
      </c>
      <c r="EN89" s="2"/>
      <c r="EO89" s="2" t="s">
        <v>3</v>
      </c>
      <c r="EP89" s="2"/>
      <c r="EQ89" s="2">
        <v>0</v>
      </c>
      <c r="ER89" s="2">
        <v>0</v>
      </c>
      <c r="ES89" s="2">
        <v>417.26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142</v>
      </c>
      <c r="GB89" s="2"/>
      <c r="GC89" s="2"/>
      <c r="GD89" s="2">
        <v>1</v>
      </c>
      <c r="GE89" s="2"/>
      <c r="GF89" s="2">
        <v>-1028478906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75"/>
        <v>0</v>
      </c>
      <c r="GM89" s="2">
        <f t="shared" si="76"/>
        <v>417.26</v>
      </c>
      <c r="GN89" s="2">
        <f t="shared" si="77"/>
        <v>417.26</v>
      </c>
      <c r="GO89" s="2">
        <f t="shared" si="78"/>
        <v>0</v>
      </c>
      <c r="GP89" s="2">
        <f t="shared" si="79"/>
        <v>0</v>
      </c>
      <c r="GQ89" s="2"/>
      <c r="GR89" s="2">
        <v>0</v>
      </c>
      <c r="GS89" s="2">
        <v>2</v>
      </c>
      <c r="GT89" s="2">
        <v>0</v>
      </c>
      <c r="GU89" s="2" t="s">
        <v>3</v>
      </c>
      <c r="GV89" s="2">
        <f t="shared" si="80"/>
        <v>0</v>
      </c>
      <c r="GW89" s="2">
        <v>1</v>
      </c>
      <c r="GX89" s="2">
        <f t="shared" si="81"/>
        <v>0</v>
      </c>
      <c r="GY89" s="2"/>
      <c r="GZ89" s="2"/>
      <c r="HA89" s="2">
        <v>0</v>
      </c>
      <c r="HB89" s="2">
        <v>0</v>
      </c>
      <c r="HC89" s="2">
        <f t="shared" si="82"/>
        <v>0</v>
      </c>
      <c r="HD89" s="2"/>
      <c r="HE89" s="2" t="s">
        <v>111</v>
      </c>
      <c r="HF89" s="2" t="s">
        <v>28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>
        <v>17</v>
      </c>
      <c r="B90">
        <v>1</v>
      </c>
      <c r="E90" t="s">
        <v>139</v>
      </c>
      <c r="F90" t="s">
        <v>140</v>
      </c>
      <c r="G90" t="s">
        <v>141</v>
      </c>
      <c r="H90" t="s">
        <v>107</v>
      </c>
      <c r="I90">
        <v>1</v>
      </c>
      <c r="J90">
        <v>0</v>
      </c>
      <c r="K90">
        <v>1</v>
      </c>
      <c r="O90">
        <f t="shared" si="57"/>
        <v>4122.53</v>
      </c>
      <c r="P90">
        <f t="shared" si="58"/>
        <v>4122.53</v>
      </c>
      <c r="Q90">
        <f t="shared" si="96"/>
        <v>0</v>
      </c>
      <c r="R90">
        <f t="shared" si="97"/>
        <v>0</v>
      </c>
      <c r="S90">
        <f t="shared" si="59"/>
        <v>0</v>
      </c>
      <c r="T90">
        <f t="shared" si="60"/>
        <v>0</v>
      </c>
      <c r="U90">
        <f t="shared" si="61"/>
        <v>0</v>
      </c>
      <c r="V90">
        <f t="shared" si="62"/>
        <v>0</v>
      </c>
      <c r="W90">
        <f t="shared" si="63"/>
        <v>0</v>
      </c>
      <c r="X90">
        <f t="shared" si="98"/>
        <v>0</v>
      </c>
      <c r="Y90">
        <f t="shared" si="99"/>
        <v>0</v>
      </c>
      <c r="AA90">
        <v>60255011</v>
      </c>
      <c r="AB90">
        <f t="shared" si="64"/>
        <v>417.26</v>
      </c>
      <c r="AC90">
        <f t="shared" si="65"/>
        <v>417.26</v>
      </c>
      <c r="AD90">
        <f t="shared" si="100"/>
        <v>0</v>
      </c>
      <c r="AE90">
        <f t="shared" si="101"/>
        <v>0</v>
      </c>
      <c r="AF90">
        <f t="shared" si="102"/>
        <v>0</v>
      </c>
      <c r="AG90">
        <f t="shared" si="66"/>
        <v>0</v>
      </c>
      <c r="AH90">
        <f t="shared" si="103"/>
        <v>0</v>
      </c>
      <c r="AI90">
        <f t="shared" si="104"/>
        <v>0</v>
      </c>
      <c r="AJ90">
        <f t="shared" si="67"/>
        <v>0</v>
      </c>
      <c r="AK90">
        <v>417.26</v>
      </c>
      <c r="AL90">
        <v>417.26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1</v>
      </c>
      <c r="AZ90">
        <v>1</v>
      </c>
      <c r="BA90">
        <v>1</v>
      </c>
      <c r="BB90">
        <v>1</v>
      </c>
      <c r="BC90">
        <v>9.8800000000000008</v>
      </c>
      <c r="BD90" t="s">
        <v>3</v>
      </c>
      <c r="BE90" t="s">
        <v>3</v>
      </c>
      <c r="BF90" t="s">
        <v>3</v>
      </c>
      <c r="BG90" t="s">
        <v>3</v>
      </c>
      <c r="BH90">
        <v>3</v>
      </c>
      <c r="BI90">
        <v>1</v>
      </c>
      <c r="BJ90" t="s">
        <v>3</v>
      </c>
      <c r="BM90">
        <v>400002</v>
      </c>
      <c r="BN90">
        <v>0</v>
      </c>
      <c r="BO90" t="s">
        <v>3</v>
      </c>
      <c r="BP90">
        <v>0</v>
      </c>
      <c r="BQ90">
        <v>202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 t="s">
        <v>3</v>
      </c>
      <c r="BZ90">
        <v>0</v>
      </c>
      <c r="CA90">
        <v>0</v>
      </c>
      <c r="CB90" t="s">
        <v>3</v>
      </c>
      <c r="CE90">
        <v>1566</v>
      </c>
      <c r="CF90">
        <v>0</v>
      </c>
      <c r="CG90">
        <v>0</v>
      </c>
      <c r="CM90">
        <v>0</v>
      </c>
      <c r="CN90" t="s">
        <v>3</v>
      </c>
      <c r="CO90">
        <v>0</v>
      </c>
      <c r="CP90">
        <f t="shared" si="68"/>
        <v>4122.53</v>
      </c>
      <c r="CQ90">
        <f t="shared" si="69"/>
        <v>4122.53</v>
      </c>
      <c r="CR90">
        <f t="shared" si="105"/>
        <v>0</v>
      </c>
      <c r="CS90">
        <f t="shared" si="106"/>
        <v>0</v>
      </c>
      <c r="CT90">
        <f t="shared" si="70"/>
        <v>0</v>
      </c>
      <c r="CU90">
        <f t="shared" si="71"/>
        <v>0</v>
      </c>
      <c r="CV90">
        <f t="shared" si="72"/>
        <v>0</v>
      </c>
      <c r="CW90">
        <f t="shared" si="73"/>
        <v>0</v>
      </c>
      <c r="CX90">
        <f t="shared" si="74"/>
        <v>0</v>
      </c>
      <c r="CY90">
        <f t="shared" si="107"/>
        <v>0</v>
      </c>
      <c r="CZ90">
        <f t="shared" si="108"/>
        <v>0</v>
      </c>
      <c r="DC90" t="s">
        <v>3</v>
      </c>
      <c r="DD90" t="s">
        <v>3</v>
      </c>
      <c r="DE90" t="s">
        <v>3</v>
      </c>
      <c r="DF90" t="s">
        <v>3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>
        <v>0</v>
      </c>
      <c r="DO90">
        <v>0</v>
      </c>
      <c r="DP90">
        <v>1</v>
      </c>
      <c r="DQ90">
        <v>1</v>
      </c>
      <c r="DU90">
        <v>1013</v>
      </c>
      <c r="DV90" t="s">
        <v>107</v>
      </c>
      <c r="DW90" t="s">
        <v>107</v>
      </c>
      <c r="DX90">
        <v>1</v>
      </c>
      <c r="DZ90" t="s">
        <v>3</v>
      </c>
      <c r="EA90" t="s">
        <v>3</v>
      </c>
      <c r="EB90" t="s">
        <v>3</v>
      </c>
      <c r="EC90" t="s">
        <v>3</v>
      </c>
      <c r="EE90">
        <v>60088211</v>
      </c>
      <c r="EF90">
        <v>202</v>
      </c>
      <c r="EG90" t="s">
        <v>108</v>
      </c>
      <c r="EH90">
        <v>0</v>
      </c>
      <c r="EI90" t="s">
        <v>3</v>
      </c>
      <c r="EJ90">
        <v>1</v>
      </c>
      <c r="EK90">
        <v>400002</v>
      </c>
      <c r="EL90" t="s">
        <v>109</v>
      </c>
      <c r="EM90" t="s">
        <v>108</v>
      </c>
      <c r="EO90" t="s">
        <v>3</v>
      </c>
      <c r="EQ90">
        <v>0</v>
      </c>
      <c r="ER90">
        <v>417.26</v>
      </c>
      <c r="ES90">
        <v>417.26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5</v>
      </c>
      <c r="FC90">
        <v>1</v>
      </c>
      <c r="FD90">
        <v>18</v>
      </c>
      <c r="FF90">
        <v>4850</v>
      </c>
      <c r="FQ90">
        <v>0</v>
      </c>
      <c r="FR90">
        <v>0</v>
      </c>
      <c r="FS90">
        <v>0</v>
      </c>
      <c r="FX90">
        <v>0</v>
      </c>
      <c r="FY90">
        <v>0</v>
      </c>
      <c r="GA90" t="s">
        <v>142</v>
      </c>
      <c r="GD90">
        <v>1</v>
      </c>
      <c r="GF90">
        <v>-1028478906</v>
      </c>
      <c r="GG90">
        <v>2</v>
      </c>
      <c r="GH90">
        <v>3</v>
      </c>
      <c r="GI90">
        <v>5</v>
      </c>
      <c r="GJ90">
        <v>0</v>
      </c>
      <c r="GK90">
        <v>0</v>
      </c>
      <c r="GL90">
        <f t="shared" si="75"/>
        <v>0</v>
      </c>
      <c r="GM90">
        <f t="shared" si="76"/>
        <v>4122.53</v>
      </c>
      <c r="GN90">
        <f t="shared" si="77"/>
        <v>4122.53</v>
      </c>
      <c r="GO90">
        <f t="shared" si="78"/>
        <v>0</v>
      </c>
      <c r="GP90">
        <f t="shared" si="79"/>
        <v>0</v>
      </c>
      <c r="GR90">
        <v>1</v>
      </c>
      <c r="GS90">
        <v>1</v>
      </c>
      <c r="GT90">
        <v>0</v>
      </c>
      <c r="GU90" t="s">
        <v>3</v>
      </c>
      <c r="GV90">
        <f t="shared" si="80"/>
        <v>0</v>
      </c>
      <c r="GW90">
        <v>1</v>
      </c>
      <c r="GX90">
        <f t="shared" si="81"/>
        <v>0</v>
      </c>
      <c r="HA90">
        <v>0</v>
      </c>
      <c r="HB90">
        <v>0</v>
      </c>
      <c r="HC90">
        <f t="shared" si="82"/>
        <v>0</v>
      </c>
      <c r="HE90" t="s">
        <v>111</v>
      </c>
      <c r="HF90" t="s">
        <v>28</v>
      </c>
      <c r="HM90" t="s">
        <v>3</v>
      </c>
      <c r="HN90" t="s">
        <v>3</v>
      </c>
      <c r="HO90" t="s">
        <v>3</v>
      </c>
      <c r="HP90" t="s">
        <v>3</v>
      </c>
      <c r="HQ90" t="s">
        <v>3</v>
      </c>
      <c r="HS90">
        <v>0</v>
      </c>
      <c r="IK90">
        <v>0</v>
      </c>
    </row>
    <row r="91" spans="1:255" x14ac:dyDescent="0.2">
      <c r="A91" s="2">
        <v>17</v>
      </c>
      <c r="B91" s="2">
        <v>1</v>
      </c>
      <c r="C91" s="2"/>
      <c r="D91" s="2"/>
      <c r="E91" s="2" t="s">
        <v>143</v>
      </c>
      <c r="F91" s="2" t="s">
        <v>144</v>
      </c>
      <c r="G91" s="2" t="s">
        <v>145</v>
      </c>
      <c r="H91" s="2" t="s">
        <v>107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57"/>
        <v>503.29</v>
      </c>
      <c r="P91" s="2">
        <f t="shared" si="58"/>
        <v>503.29</v>
      </c>
      <c r="Q91" s="2">
        <f t="shared" si="96"/>
        <v>0</v>
      </c>
      <c r="R91" s="2">
        <f t="shared" si="97"/>
        <v>0</v>
      </c>
      <c r="S91" s="2">
        <f t="shared" si="59"/>
        <v>0</v>
      </c>
      <c r="T91" s="2">
        <f t="shared" si="60"/>
        <v>0</v>
      </c>
      <c r="U91" s="2">
        <f t="shared" si="61"/>
        <v>0</v>
      </c>
      <c r="V91" s="2">
        <f t="shared" si="62"/>
        <v>0</v>
      </c>
      <c r="W91" s="2">
        <f t="shared" si="63"/>
        <v>0</v>
      </c>
      <c r="X91" s="2">
        <f t="shared" si="98"/>
        <v>0</v>
      </c>
      <c r="Y91" s="2">
        <f t="shared" si="99"/>
        <v>0</v>
      </c>
      <c r="Z91" s="2"/>
      <c r="AA91" s="2">
        <v>60255014</v>
      </c>
      <c r="AB91" s="2">
        <f t="shared" si="64"/>
        <v>503.29</v>
      </c>
      <c r="AC91" s="2">
        <f t="shared" si="65"/>
        <v>503.29</v>
      </c>
      <c r="AD91" s="2">
        <f t="shared" si="100"/>
        <v>0</v>
      </c>
      <c r="AE91" s="2">
        <f t="shared" si="101"/>
        <v>0</v>
      </c>
      <c r="AF91" s="2">
        <f t="shared" si="102"/>
        <v>0</v>
      </c>
      <c r="AG91" s="2">
        <f t="shared" si="66"/>
        <v>0</v>
      </c>
      <c r="AH91" s="2">
        <f t="shared" si="103"/>
        <v>0</v>
      </c>
      <c r="AI91" s="2">
        <f t="shared" si="104"/>
        <v>0</v>
      </c>
      <c r="AJ91" s="2">
        <f t="shared" si="67"/>
        <v>0</v>
      </c>
      <c r="AK91" s="2">
        <v>503.29</v>
      </c>
      <c r="AL91" s="2">
        <v>503.29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1</v>
      </c>
      <c r="BJ91" s="2" t="s">
        <v>3</v>
      </c>
      <c r="BK91" s="2"/>
      <c r="BL91" s="2"/>
      <c r="BM91" s="2">
        <v>400002</v>
      </c>
      <c r="BN91" s="2">
        <v>0</v>
      </c>
      <c r="BO91" s="2" t="s">
        <v>3</v>
      </c>
      <c r="BP91" s="2">
        <v>0</v>
      </c>
      <c r="BQ91" s="2">
        <v>202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0</v>
      </c>
      <c r="CA91" s="2">
        <v>0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68"/>
        <v>503.29</v>
      </c>
      <c r="CQ91" s="2">
        <f t="shared" si="69"/>
        <v>503.29</v>
      </c>
      <c r="CR91" s="2">
        <f t="shared" si="105"/>
        <v>0</v>
      </c>
      <c r="CS91" s="2">
        <f t="shared" si="106"/>
        <v>0</v>
      </c>
      <c r="CT91" s="2">
        <f t="shared" si="70"/>
        <v>0</v>
      </c>
      <c r="CU91" s="2">
        <f t="shared" si="71"/>
        <v>0</v>
      </c>
      <c r="CV91" s="2">
        <f t="shared" si="72"/>
        <v>0</v>
      </c>
      <c r="CW91" s="2">
        <f t="shared" si="73"/>
        <v>0</v>
      </c>
      <c r="CX91" s="2">
        <f t="shared" si="74"/>
        <v>0</v>
      </c>
      <c r="CY91" s="2">
        <f t="shared" si="107"/>
        <v>0</v>
      </c>
      <c r="CZ91" s="2">
        <f t="shared" si="108"/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107</v>
      </c>
      <c r="DW91" s="2" t="s">
        <v>107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60088211</v>
      </c>
      <c r="EF91" s="2">
        <v>202</v>
      </c>
      <c r="EG91" s="2" t="s">
        <v>108</v>
      </c>
      <c r="EH91" s="2">
        <v>0</v>
      </c>
      <c r="EI91" s="2" t="s">
        <v>3</v>
      </c>
      <c r="EJ91" s="2">
        <v>1</v>
      </c>
      <c r="EK91" s="2">
        <v>400002</v>
      </c>
      <c r="EL91" s="2" t="s">
        <v>109</v>
      </c>
      <c r="EM91" s="2" t="s">
        <v>108</v>
      </c>
      <c r="EN91" s="2"/>
      <c r="EO91" s="2" t="s">
        <v>3</v>
      </c>
      <c r="EP91" s="2"/>
      <c r="EQ91" s="2">
        <v>0</v>
      </c>
      <c r="ER91" s="2">
        <v>0</v>
      </c>
      <c r="ES91" s="2">
        <v>503.29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0</v>
      </c>
      <c r="FY91" s="2">
        <v>0</v>
      </c>
      <c r="FZ91" s="2"/>
      <c r="GA91" s="2" t="s">
        <v>146</v>
      </c>
      <c r="GB91" s="2"/>
      <c r="GC91" s="2"/>
      <c r="GD91" s="2">
        <v>1</v>
      </c>
      <c r="GE91" s="2"/>
      <c r="GF91" s="2">
        <v>-837258373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75"/>
        <v>0</v>
      </c>
      <c r="GM91" s="2">
        <f t="shared" si="76"/>
        <v>503.29</v>
      </c>
      <c r="GN91" s="2">
        <f t="shared" si="77"/>
        <v>503.29</v>
      </c>
      <c r="GO91" s="2">
        <f t="shared" si="78"/>
        <v>0</v>
      </c>
      <c r="GP91" s="2">
        <f t="shared" si="79"/>
        <v>0</v>
      </c>
      <c r="GQ91" s="2"/>
      <c r="GR91" s="2">
        <v>0</v>
      </c>
      <c r="GS91" s="2">
        <v>2</v>
      </c>
      <c r="GT91" s="2">
        <v>0</v>
      </c>
      <c r="GU91" s="2" t="s">
        <v>3</v>
      </c>
      <c r="GV91" s="2">
        <f t="shared" si="80"/>
        <v>0</v>
      </c>
      <c r="GW91" s="2">
        <v>1</v>
      </c>
      <c r="GX91" s="2">
        <f t="shared" si="81"/>
        <v>0</v>
      </c>
      <c r="GY91" s="2"/>
      <c r="GZ91" s="2"/>
      <c r="HA91" s="2">
        <v>0</v>
      </c>
      <c r="HB91" s="2">
        <v>0</v>
      </c>
      <c r="HC91" s="2">
        <f t="shared" si="82"/>
        <v>0</v>
      </c>
      <c r="HD91" s="2"/>
      <c r="HE91" s="2" t="s">
        <v>111</v>
      </c>
      <c r="HF91" s="2" t="s">
        <v>28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>
        <v>17</v>
      </c>
      <c r="B92">
        <v>1</v>
      </c>
      <c r="E92" t="s">
        <v>143</v>
      </c>
      <c r="F92" t="s">
        <v>144</v>
      </c>
      <c r="G92" t="s">
        <v>145</v>
      </c>
      <c r="H92" t="s">
        <v>107</v>
      </c>
      <c r="I92">
        <v>1</v>
      </c>
      <c r="J92">
        <v>0</v>
      </c>
      <c r="K92">
        <v>1</v>
      </c>
      <c r="O92">
        <f t="shared" si="57"/>
        <v>4972.51</v>
      </c>
      <c r="P92">
        <f t="shared" si="58"/>
        <v>4972.51</v>
      </c>
      <c r="Q92">
        <f t="shared" si="96"/>
        <v>0</v>
      </c>
      <c r="R92">
        <f t="shared" si="97"/>
        <v>0</v>
      </c>
      <c r="S92">
        <f t="shared" si="59"/>
        <v>0</v>
      </c>
      <c r="T92">
        <f t="shared" si="60"/>
        <v>0</v>
      </c>
      <c r="U92">
        <f t="shared" si="61"/>
        <v>0</v>
      </c>
      <c r="V92">
        <f t="shared" si="62"/>
        <v>0</v>
      </c>
      <c r="W92">
        <f t="shared" si="63"/>
        <v>0</v>
      </c>
      <c r="X92">
        <f t="shared" si="98"/>
        <v>0</v>
      </c>
      <c r="Y92">
        <f t="shared" si="99"/>
        <v>0</v>
      </c>
      <c r="AA92">
        <v>60255011</v>
      </c>
      <c r="AB92">
        <f t="shared" si="64"/>
        <v>503.29</v>
      </c>
      <c r="AC92">
        <f t="shared" si="65"/>
        <v>503.29</v>
      </c>
      <c r="AD92">
        <f t="shared" si="100"/>
        <v>0</v>
      </c>
      <c r="AE92">
        <f t="shared" si="101"/>
        <v>0</v>
      </c>
      <c r="AF92">
        <f t="shared" si="102"/>
        <v>0</v>
      </c>
      <c r="AG92">
        <f t="shared" si="66"/>
        <v>0</v>
      </c>
      <c r="AH92">
        <f t="shared" si="103"/>
        <v>0</v>
      </c>
      <c r="AI92">
        <f t="shared" si="104"/>
        <v>0</v>
      </c>
      <c r="AJ92">
        <f t="shared" si="67"/>
        <v>0</v>
      </c>
      <c r="AK92">
        <v>503.29</v>
      </c>
      <c r="AL92">
        <v>503.29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Z92">
        <v>1</v>
      </c>
      <c r="BA92">
        <v>1</v>
      </c>
      <c r="BB92">
        <v>1</v>
      </c>
      <c r="BC92">
        <v>9.8800000000000008</v>
      </c>
      <c r="BD92" t="s">
        <v>3</v>
      </c>
      <c r="BE92" t="s">
        <v>3</v>
      </c>
      <c r="BF92" t="s">
        <v>3</v>
      </c>
      <c r="BG92" t="s">
        <v>3</v>
      </c>
      <c r="BH92">
        <v>3</v>
      </c>
      <c r="BI92">
        <v>1</v>
      </c>
      <c r="BJ92" t="s">
        <v>3</v>
      </c>
      <c r="BM92">
        <v>400002</v>
      </c>
      <c r="BN92">
        <v>0</v>
      </c>
      <c r="BO92" t="s">
        <v>3</v>
      </c>
      <c r="BP92">
        <v>0</v>
      </c>
      <c r="BQ92">
        <v>202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 t="s">
        <v>3</v>
      </c>
      <c r="BZ92">
        <v>0</v>
      </c>
      <c r="CA92">
        <v>0</v>
      </c>
      <c r="CB92" t="s">
        <v>3</v>
      </c>
      <c r="CE92">
        <v>1566</v>
      </c>
      <c r="CF92">
        <v>0</v>
      </c>
      <c r="CG92">
        <v>0</v>
      </c>
      <c r="CM92">
        <v>0</v>
      </c>
      <c r="CN92" t="s">
        <v>3</v>
      </c>
      <c r="CO92">
        <v>0</v>
      </c>
      <c r="CP92">
        <f t="shared" si="68"/>
        <v>4972.51</v>
      </c>
      <c r="CQ92">
        <f t="shared" si="69"/>
        <v>4972.51</v>
      </c>
      <c r="CR92">
        <f t="shared" si="105"/>
        <v>0</v>
      </c>
      <c r="CS92">
        <f t="shared" si="106"/>
        <v>0</v>
      </c>
      <c r="CT92">
        <f t="shared" si="70"/>
        <v>0</v>
      </c>
      <c r="CU92">
        <f t="shared" si="71"/>
        <v>0</v>
      </c>
      <c r="CV92">
        <f t="shared" si="72"/>
        <v>0</v>
      </c>
      <c r="CW92">
        <f t="shared" si="73"/>
        <v>0</v>
      </c>
      <c r="CX92">
        <f t="shared" si="74"/>
        <v>0</v>
      </c>
      <c r="CY92">
        <f t="shared" si="107"/>
        <v>0</v>
      </c>
      <c r="CZ92">
        <f t="shared" si="108"/>
        <v>0</v>
      </c>
      <c r="DC92" t="s">
        <v>3</v>
      </c>
      <c r="DD92" t="s">
        <v>3</v>
      </c>
      <c r="DE92" t="s">
        <v>3</v>
      </c>
      <c r="DF92" t="s">
        <v>3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>
        <v>0</v>
      </c>
      <c r="DO92">
        <v>0</v>
      </c>
      <c r="DP92">
        <v>1</v>
      </c>
      <c r="DQ92">
        <v>1</v>
      </c>
      <c r="DU92">
        <v>1013</v>
      </c>
      <c r="DV92" t="s">
        <v>107</v>
      </c>
      <c r="DW92" t="s">
        <v>107</v>
      </c>
      <c r="DX92">
        <v>1</v>
      </c>
      <c r="DZ92" t="s">
        <v>3</v>
      </c>
      <c r="EA92" t="s">
        <v>3</v>
      </c>
      <c r="EB92" t="s">
        <v>3</v>
      </c>
      <c r="EC92" t="s">
        <v>3</v>
      </c>
      <c r="EE92">
        <v>60088211</v>
      </c>
      <c r="EF92">
        <v>202</v>
      </c>
      <c r="EG92" t="s">
        <v>108</v>
      </c>
      <c r="EH92">
        <v>0</v>
      </c>
      <c r="EI92" t="s">
        <v>3</v>
      </c>
      <c r="EJ92">
        <v>1</v>
      </c>
      <c r="EK92">
        <v>400002</v>
      </c>
      <c r="EL92" t="s">
        <v>109</v>
      </c>
      <c r="EM92" t="s">
        <v>108</v>
      </c>
      <c r="EO92" t="s">
        <v>3</v>
      </c>
      <c r="EQ92">
        <v>0</v>
      </c>
      <c r="ER92">
        <v>503.29</v>
      </c>
      <c r="ES92">
        <v>503.29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5</v>
      </c>
      <c r="FC92">
        <v>1</v>
      </c>
      <c r="FD92">
        <v>18</v>
      </c>
      <c r="FF92">
        <v>5850</v>
      </c>
      <c r="FQ92">
        <v>0</v>
      </c>
      <c r="FR92">
        <v>0</v>
      </c>
      <c r="FS92">
        <v>0</v>
      </c>
      <c r="FX92">
        <v>0</v>
      </c>
      <c r="FY92">
        <v>0</v>
      </c>
      <c r="GA92" t="s">
        <v>146</v>
      </c>
      <c r="GD92">
        <v>1</v>
      </c>
      <c r="GF92">
        <v>-837258373</v>
      </c>
      <c r="GG92">
        <v>2</v>
      </c>
      <c r="GH92">
        <v>3</v>
      </c>
      <c r="GI92">
        <v>5</v>
      </c>
      <c r="GJ92">
        <v>0</v>
      </c>
      <c r="GK92">
        <v>0</v>
      </c>
      <c r="GL92">
        <f t="shared" si="75"/>
        <v>0</v>
      </c>
      <c r="GM92">
        <f t="shared" si="76"/>
        <v>4972.51</v>
      </c>
      <c r="GN92">
        <f t="shared" si="77"/>
        <v>4972.51</v>
      </c>
      <c r="GO92">
        <f t="shared" si="78"/>
        <v>0</v>
      </c>
      <c r="GP92">
        <f t="shared" si="79"/>
        <v>0</v>
      </c>
      <c r="GR92">
        <v>1</v>
      </c>
      <c r="GS92">
        <v>1</v>
      </c>
      <c r="GT92">
        <v>0</v>
      </c>
      <c r="GU92" t="s">
        <v>3</v>
      </c>
      <c r="GV92">
        <f t="shared" si="80"/>
        <v>0</v>
      </c>
      <c r="GW92">
        <v>1</v>
      </c>
      <c r="GX92">
        <f t="shared" si="81"/>
        <v>0</v>
      </c>
      <c r="HA92">
        <v>0</v>
      </c>
      <c r="HB92">
        <v>0</v>
      </c>
      <c r="HC92">
        <f t="shared" si="82"/>
        <v>0</v>
      </c>
      <c r="HE92" t="s">
        <v>111</v>
      </c>
      <c r="HF92" t="s">
        <v>28</v>
      </c>
      <c r="HM92" t="s">
        <v>3</v>
      </c>
      <c r="HN92" t="s">
        <v>3</v>
      </c>
      <c r="HO92" t="s">
        <v>3</v>
      </c>
      <c r="HP92" t="s">
        <v>3</v>
      </c>
      <c r="HQ92" t="s">
        <v>3</v>
      </c>
      <c r="HS92">
        <v>0</v>
      </c>
      <c r="IK92">
        <v>0</v>
      </c>
    </row>
    <row r="93" spans="1:255" x14ac:dyDescent="0.2">
      <c r="A93" s="2">
        <v>17</v>
      </c>
      <c r="B93" s="2">
        <v>1</v>
      </c>
      <c r="C93" s="2"/>
      <c r="D93" s="2"/>
      <c r="E93" s="2" t="s">
        <v>147</v>
      </c>
      <c r="F93" s="2" t="s">
        <v>148</v>
      </c>
      <c r="G93" s="2" t="s">
        <v>149</v>
      </c>
      <c r="H93" s="2" t="s">
        <v>107</v>
      </c>
      <c r="I93" s="2">
        <v>3</v>
      </c>
      <c r="J93" s="2">
        <v>0</v>
      </c>
      <c r="K93" s="2">
        <v>3</v>
      </c>
      <c r="L93" s="2"/>
      <c r="M93" s="2"/>
      <c r="N93" s="2"/>
      <c r="O93" s="2">
        <f t="shared" si="57"/>
        <v>1716.36</v>
      </c>
      <c r="P93" s="2">
        <f t="shared" si="58"/>
        <v>1716.36</v>
      </c>
      <c r="Q93" s="2">
        <f t="shared" si="96"/>
        <v>0</v>
      </c>
      <c r="R93" s="2">
        <f t="shared" si="97"/>
        <v>0</v>
      </c>
      <c r="S93" s="2">
        <f t="shared" si="59"/>
        <v>0</v>
      </c>
      <c r="T93" s="2">
        <f t="shared" si="60"/>
        <v>0</v>
      </c>
      <c r="U93" s="2">
        <f t="shared" si="61"/>
        <v>0</v>
      </c>
      <c r="V93" s="2">
        <f t="shared" si="62"/>
        <v>0</v>
      </c>
      <c r="W93" s="2">
        <f t="shared" si="63"/>
        <v>0</v>
      </c>
      <c r="X93" s="2">
        <f t="shared" si="98"/>
        <v>0</v>
      </c>
      <c r="Y93" s="2">
        <f t="shared" si="99"/>
        <v>0</v>
      </c>
      <c r="Z93" s="2"/>
      <c r="AA93" s="2">
        <v>60255014</v>
      </c>
      <c r="AB93" s="2">
        <f t="shared" si="64"/>
        <v>572.12</v>
      </c>
      <c r="AC93" s="2">
        <f t="shared" si="65"/>
        <v>572.12</v>
      </c>
      <c r="AD93" s="2">
        <f t="shared" si="100"/>
        <v>0</v>
      </c>
      <c r="AE93" s="2">
        <f t="shared" si="101"/>
        <v>0</v>
      </c>
      <c r="AF93" s="2">
        <f t="shared" si="102"/>
        <v>0</v>
      </c>
      <c r="AG93" s="2">
        <f t="shared" si="66"/>
        <v>0</v>
      </c>
      <c r="AH93" s="2">
        <f t="shared" si="103"/>
        <v>0</v>
      </c>
      <c r="AI93" s="2">
        <f t="shared" si="104"/>
        <v>0</v>
      </c>
      <c r="AJ93" s="2">
        <f t="shared" si="67"/>
        <v>0</v>
      </c>
      <c r="AK93" s="2">
        <v>572.12</v>
      </c>
      <c r="AL93" s="2">
        <v>572.12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3</v>
      </c>
      <c r="BK93" s="2"/>
      <c r="BL93" s="2"/>
      <c r="BM93" s="2">
        <v>400002</v>
      </c>
      <c r="BN93" s="2">
        <v>0</v>
      </c>
      <c r="BO93" s="2" t="s">
        <v>3</v>
      </c>
      <c r="BP93" s="2">
        <v>0</v>
      </c>
      <c r="BQ93" s="2">
        <v>202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0</v>
      </c>
      <c r="CA93" s="2">
        <v>0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3</v>
      </c>
      <c r="CO93" s="2">
        <v>0</v>
      </c>
      <c r="CP93" s="2">
        <f t="shared" si="68"/>
        <v>1716.36</v>
      </c>
      <c r="CQ93" s="2">
        <f t="shared" si="69"/>
        <v>572.12</v>
      </c>
      <c r="CR93" s="2">
        <f t="shared" si="105"/>
        <v>0</v>
      </c>
      <c r="CS93" s="2">
        <f t="shared" si="106"/>
        <v>0</v>
      </c>
      <c r="CT93" s="2">
        <f t="shared" si="70"/>
        <v>0</v>
      </c>
      <c r="CU93" s="2">
        <f t="shared" si="71"/>
        <v>0</v>
      </c>
      <c r="CV93" s="2">
        <f t="shared" si="72"/>
        <v>0</v>
      </c>
      <c r="CW93" s="2">
        <f t="shared" si="73"/>
        <v>0</v>
      </c>
      <c r="CX93" s="2">
        <f t="shared" si="74"/>
        <v>0</v>
      </c>
      <c r="CY93" s="2">
        <f t="shared" si="107"/>
        <v>0</v>
      </c>
      <c r="CZ93" s="2">
        <f t="shared" si="108"/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107</v>
      </c>
      <c r="DW93" s="2" t="s">
        <v>107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60088211</v>
      </c>
      <c r="EF93" s="2">
        <v>202</v>
      </c>
      <c r="EG93" s="2" t="s">
        <v>108</v>
      </c>
      <c r="EH93" s="2">
        <v>0</v>
      </c>
      <c r="EI93" s="2" t="s">
        <v>3</v>
      </c>
      <c r="EJ93" s="2">
        <v>1</v>
      </c>
      <c r="EK93" s="2">
        <v>400002</v>
      </c>
      <c r="EL93" s="2" t="s">
        <v>109</v>
      </c>
      <c r="EM93" s="2" t="s">
        <v>108</v>
      </c>
      <c r="EN93" s="2"/>
      <c r="EO93" s="2" t="s">
        <v>3</v>
      </c>
      <c r="EP93" s="2"/>
      <c r="EQ93" s="2">
        <v>0</v>
      </c>
      <c r="ER93" s="2">
        <v>0</v>
      </c>
      <c r="ES93" s="2">
        <v>572.12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0</v>
      </c>
      <c r="FY93" s="2">
        <v>0</v>
      </c>
      <c r="FZ93" s="2"/>
      <c r="GA93" s="2" t="s">
        <v>150</v>
      </c>
      <c r="GB93" s="2"/>
      <c r="GC93" s="2"/>
      <c r="GD93" s="2">
        <v>1</v>
      </c>
      <c r="GE93" s="2"/>
      <c r="GF93" s="2">
        <v>1061292250</v>
      </c>
      <c r="GG93" s="2">
        <v>2</v>
      </c>
      <c r="GH93" s="2">
        <v>4</v>
      </c>
      <c r="GI93" s="2">
        <v>-2</v>
      </c>
      <c r="GJ93" s="2">
        <v>0</v>
      </c>
      <c r="GK93" s="2">
        <v>0</v>
      </c>
      <c r="GL93" s="2">
        <f t="shared" si="75"/>
        <v>0</v>
      </c>
      <c r="GM93" s="2">
        <f t="shared" si="76"/>
        <v>1716.36</v>
      </c>
      <c r="GN93" s="2">
        <f t="shared" si="77"/>
        <v>1716.36</v>
      </c>
      <c r="GO93" s="2">
        <f t="shared" si="78"/>
        <v>0</v>
      </c>
      <c r="GP93" s="2">
        <f t="shared" si="79"/>
        <v>0</v>
      </c>
      <c r="GQ93" s="2"/>
      <c r="GR93" s="2">
        <v>0</v>
      </c>
      <c r="GS93" s="2">
        <v>2</v>
      </c>
      <c r="GT93" s="2">
        <v>0</v>
      </c>
      <c r="GU93" s="2" t="s">
        <v>3</v>
      </c>
      <c r="GV93" s="2">
        <f t="shared" si="80"/>
        <v>0</v>
      </c>
      <c r="GW93" s="2">
        <v>1</v>
      </c>
      <c r="GX93" s="2">
        <f t="shared" si="81"/>
        <v>0</v>
      </c>
      <c r="GY93" s="2"/>
      <c r="GZ93" s="2"/>
      <c r="HA93" s="2">
        <v>0</v>
      </c>
      <c r="HB93" s="2">
        <v>0</v>
      </c>
      <c r="HC93" s="2">
        <f t="shared" si="82"/>
        <v>0</v>
      </c>
      <c r="HD93" s="2"/>
      <c r="HE93" s="2" t="s">
        <v>111</v>
      </c>
      <c r="HF93" s="2" t="s">
        <v>28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>
        <v>17</v>
      </c>
      <c r="B94">
        <v>1</v>
      </c>
      <c r="E94" t="s">
        <v>147</v>
      </c>
      <c r="F94" t="s">
        <v>148</v>
      </c>
      <c r="G94" t="s">
        <v>149</v>
      </c>
      <c r="H94" t="s">
        <v>107</v>
      </c>
      <c r="I94">
        <v>3</v>
      </c>
      <c r="J94">
        <v>0</v>
      </c>
      <c r="K94">
        <v>3</v>
      </c>
      <c r="O94">
        <f t="shared" si="57"/>
        <v>16957.64</v>
      </c>
      <c r="P94">
        <f t="shared" si="58"/>
        <v>16957.64</v>
      </c>
      <c r="Q94">
        <f t="shared" si="96"/>
        <v>0</v>
      </c>
      <c r="R94">
        <f t="shared" si="97"/>
        <v>0</v>
      </c>
      <c r="S94">
        <f t="shared" si="59"/>
        <v>0</v>
      </c>
      <c r="T94">
        <f t="shared" si="60"/>
        <v>0</v>
      </c>
      <c r="U94">
        <f t="shared" si="61"/>
        <v>0</v>
      </c>
      <c r="V94">
        <f t="shared" si="62"/>
        <v>0</v>
      </c>
      <c r="W94">
        <f t="shared" si="63"/>
        <v>0</v>
      </c>
      <c r="X94">
        <f t="shared" si="98"/>
        <v>0</v>
      </c>
      <c r="Y94">
        <f t="shared" si="99"/>
        <v>0</v>
      </c>
      <c r="AA94">
        <v>60255011</v>
      </c>
      <c r="AB94">
        <f t="shared" si="64"/>
        <v>572.12</v>
      </c>
      <c r="AC94">
        <f t="shared" si="65"/>
        <v>572.12</v>
      </c>
      <c r="AD94">
        <f t="shared" si="100"/>
        <v>0</v>
      </c>
      <c r="AE94">
        <f t="shared" si="101"/>
        <v>0</v>
      </c>
      <c r="AF94">
        <f t="shared" si="102"/>
        <v>0</v>
      </c>
      <c r="AG94">
        <f t="shared" si="66"/>
        <v>0</v>
      </c>
      <c r="AH94">
        <f t="shared" si="103"/>
        <v>0</v>
      </c>
      <c r="AI94">
        <f t="shared" si="104"/>
        <v>0</v>
      </c>
      <c r="AJ94">
        <f t="shared" si="67"/>
        <v>0</v>
      </c>
      <c r="AK94">
        <v>572.12</v>
      </c>
      <c r="AL94">
        <v>572.12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1</v>
      </c>
      <c r="AZ94">
        <v>1</v>
      </c>
      <c r="BA94">
        <v>1</v>
      </c>
      <c r="BB94">
        <v>1</v>
      </c>
      <c r="BC94">
        <v>9.8800000000000008</v>
      </c>
      <c r="BD94" t="s">
        <v>3</v>
      </c>
      <c r="BE94" t="s">
        <v>3</v>
      </c>
      <c r="BF94" t="s">
        <v>3</v>
      </c>
      <c r="BG94" t="s">
        <v>3</v>
      </c>
      <c r="BH94">
        <v>3</v>
      </c>
      <c r="BI94">
        <v>1</v>
      </c>
      <c r="BJ94" t="s">
        <v>3</v>
      </c>
      <c r="BM94">
        <v>400002</v>
      </c>
      <c r="BN94">
        <v>0</v>
      </c>
      <c r="BO94" t="s">
        <v>3</v>
      </c>
      <c r="BP94">
        <v>0</v>
      </c>
      <c r="BQ94">
        <v>202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 t="s">
        <v>3</v>
      </c>
      <c r="BZ94">
        <v>0</v>
      </c>
      <c r="CA94">
        <v>0</v>
      </c>
      <c r="CB94" t="s">
        <v>3</v>
      </c>
      <c r="CE94">
        <v>1566</v>
      </c>
      <c r="CF94">
        <v>0</v>
      </c>
      <c r="CG94">
        <v>0</v>
      </c>
      <c r="CM94">
        <v>0</v>
      </c>
      <c r="CN94" t="s">
        <v>3</v>
      </c>
      <c r="CO94">
        <v>0</v>
      </c>
      <c r="CP94">
        <f t="shared" si="68"/>
        <v>16957.64</v>
      </c>
      <c r="CQ94">
        <f t="shared" si="69"/>
        <v>5652.55</v>
      </c>
      <c r="CR94">
        <f t="shared" si="105"/>
        <v>0</v>
      </c>
      <c r="CS94">
        <f t="shared" si="106"/>
        <v>0</v>
      </c>
      <c r="CT94">
        <f t="shared" si="70"/>
        <v>0</v>
      </c>
      <c r="CU94">
        <f t="shared" si="71"/>
        <v>0</v>
      </c>
      <c r="CV94">
        <f t="shared" si="72"/>
        <v>0</v>
      </c>
      <c r="CW94">
        <f t="shared" si="73"/>
        <v>0</v>
      </c>
      <c r="CX94">
        <f t="shared" si="74"/>
        <v>0</v>
      </c>
      <c r="CY94">
        <f t="shared" si="107"/>
        <v>0</v>
      </c>
      <c r="CZ94">
        <f t="shared" si="108"/>
        <v>0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>
        <v>0</v>
      </c>
      <c r="DO94">
        <v>0</v>
      </c>
      <c r="DP94">
        <v>1</v>
      </c>
      <c r="DQ94">
        <v>1</v>
      </c>
      <c r="DU94">
        <v>1013</v>
      </c>
      <c r="DV94" t="s">
        <v>107</v>
      </c>
      <c r="DW94" t="s">
        <v>107</v>
      </c>
      <c r="DX94">
        <v>1</v>
      </c>
      <c r="DZ94" t="s">
        <v>3</v>
      </c>
      <c r="EA94" t="s">
        <v>3</v>
      </c>
      <c r="EB94" t="s">
        <v>3</v>
      </c>
      <c r="EC94" t="s">
        <v>3</v>
      </c>
      <c r="EE94">
        <v>60088211</v>
      </c>
      <c r="EF94">
        <v>202</v>
      </c>
      <c r="EG94" t="s">
        <v>108</v>
      </c>
      <c r="EH94">
        <v>0</v>
      </c>
      <c r="EI94" t="s">
        <v>3</v>
      </c>
      <c r="EJ94">
        <v>1</v>
      </c>
      <c r="EK94">
        <v>400002</v>
      </c>
      <c r="EL94" t="s">
        <v>109</v>
      </c>
      <c r="EM94" t="s">
        <v>108</v>
      </c>
      <c r="EO94" t="s">
        <v>3</v>
      </c>
      <c r="EQ94">
        <v>0</v>
      </c>
      <c r="ER94">
        <v>572.12</v>
      </c>
      <c r="ES94">
        <v>572.12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5</v>
      </c>
      <c r="FC94">
        <v>1</v>
      </c>
      <c r="FD94">
        <v>18</v>
      </c>
      <c r="FF94">
        <v>6650</v>
      </c>
      <c r="FQ94">
        <v>0</v>
      </c>
      <c r="FR94">
        <v>0</v>
      </c>
      <c r="FS94">
        <v>0</v>
      </c>
      <c r="FX94">
        <v>0</v>
      </c>
      <c r="FY94">
        <v>0</v>
      </c>
      <c r="GA94" t="s">
        <v>150</v>
      </c>
      <c r="GD94">
        <v>1</v>
      </c>
      <c r="GF94">
        <v>1061292250</v>
      </c>
      <c r="GG94">
        <v>2</v>
      </c>
      <c r="GH94">
        <v>3</v>
      </c>
      <c r="GI94">
        <v>5</v>
      </c>
      <c r="GJ94">
        <v>0</v>
      </c>
      <c r="GK94">
        <v>0</v>
      </c>
      <c r="GL94">
        <f t="shared" si="75"/>
        <v>0</v>
      </c>
      <c r="GM94">
        <f t="shared" si="76"/>
        <v>16957.64</v>
      </c>
      <c r="GN94">
        <f t="shared" si="77"/>
        <v>16957.64</v>
      </c>
      <c r="GO94">
        <f t="shared" si="78"/>
        <v>0</v>
      </c>
      <c r="GP94">
        <f t="shared" si="79"/>
        <v>0</v>
      </c>
      <c r="GR94">
        <v>1</v>
      </c>
      <c r="GS94">
        <v>1</v>
      </c>
      <c r="GT94">
        <v>0</v>
      </c>
      <c r="GU94" t="s">
        <v>3</v>
      </c>
      <c r="GV94">
        <f t="shared" si="80"/>
        <v>0</v>
      </c>
      <c r="GW94">
        <v>1</v>
      </c>
      <c r="GX94">
        <f t="shared" si="81"/>
        <v>0</v>
      </c>
      <c r="HA94">
        <v>0</v>
      </c>
      <c r="HB94">
        <v>0</v>
      </c>
      <c r="HC94">
        <f t="shared" si="82"/>
        <v>0</v>
      </c>
      <c r="HE94" t="s">
        <v>111</v>
      </c>
      <c r="HF94" t="s">
        <v>28</v>
      </c>
      <c r="HM94" t="s">
        <v>3</v>
      </c>
      <c r="HN94" t="s">
        <v>3</v>
      </c>
      <c r="HO94" t="s">
        <v>3</v>
      </c>
      <c r="HP94" t="s">
        <v>3</v>
      </c>
      <c r="HQ94" t="s">
        <v>3</v>
      </c>
      <c r="HS94">
        <v>0</v>
      </c>
      <c r="IK94">
        <v>0</v>
      </c>
    </row>
    <row r="95" spans="1:255" x14ac:dyDescent="0.2">
      <c r="A95" s="2">
        <v>17</v>
      </c>
      <c r="B95" s="2">
        <v>1</v>
      </c>
      <c r="C95" s="2"/>
      <c r="D95" s="2"/>
      <c r="E95" s="2" t="s">
        <v>151</v>
      </c>
      <c r="F95" s="2" t="s">
        <v>152</v>
      </c>
      <c r="G95" s="2" t="s">
        <v>153</v>
      </c>
      <c r="H95" s="2" t="s">
        <v>107</v>
      </c>
      <c r="I95" s="2">
        <v>2</v>
      </c>
      <c r="J95" s="2">
        <v>0</v>
      </c>
      <c r="K95" s="2">
        <v>2</v>
      </c>
      <c r="L95" s="2"/>
      <c r="M95" s="2"/>
      <c r="N95" s="2"/>
      <c r="O95" s="2">
        <f t="shared" si="57"/>
        <v>1288.78</v>
      </c>
      <c r="P95" s="2">
        <f t="shared" si="58"/>
        <v>1288.78</v>
      </c>
      <c r="Q95" s="2">
        <f t="shared" si="96"/>
        <v>0</v>
      </c>
      <c r="R95" s="2">
        <f t="shared" si="97"/>
        <v>0</v>
      </c>
      <c r="S95" s="2">
        <f t="shared" si="59"/>
        <v>0</v>
      </c>
      <c r="T95" s="2">
        <f t="shared" si="60"/>
        <v>0</v>
      </c>
      <c r="U95" s="2">
        <f t="shared" si="61"/>
        <v>0</v>
      </c>
      <c r="V95" s="2">
        <f t="shared" si="62"/>
        <v>0</v>
      </c>
      <c r="W95" s="2">
        <f t="shared" si="63"/>
        <v>0</v>
      </c>
      <c r="X95" s="2">
        <f t="shared" si="98"/>
        <v>0</v>
      </c>
      <c r="Y95" s="2">
        <f t="shared" si="99"/>
        <v>0</v>
      </c>
      <c r="Z95" s="2"/>
      <c r="AA95" s="2">
        <v>60255014</v>
      </c>
      <c r="AB95" s="2">
        <f t="shared" si="64"/>
        <v>644.39</v>
      </c>
      <c r="AC95" s="2">
        <f t="shared" si="65"/>
        <v>644.39</v>
      </c>
      <c r="AD95" s="2">
        <f t="shared" si="100"/>
        <v>0</v>
      </c>
      <c r="AE95" s="2">
        <f t="shared" si="101"/>
        <v>0</v>
      </c>
      <c r="AF95" s="2">
        <f t="shared" si="102"/>
        <v>0</v>
      </c>
      <c r="AG95" s="2">
        <f t="shared" si="66"/>
        <v>0</v>
      </c>
      <c r="AH95" s="2">
        <f t="shared" si="103"/>
        <v>0</v>
      </c>
      <c r="AI95" s="2">
        <f t="shared" si="104"/>
        <v>0</v>
      </c>
      <c r="AJ95" s="2">
        <f t="shared" si="67"/>
        <v>0</v>
      </c>
      <c r="AK95" s="2">
        <v>644.39</v>
      </c>
      <c r="AL95" s="2">
        <v>644.39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3</v>
      </c>
      <c r="BK95" s="2"/>
      <c r="BL95" s="2"/>
      <c r="BM95" s="2">
        <v>400002</v>
      </c>
      <c r="BN95" s="2">
        <v>0</v>
      </c>
      <c r="BO95" s="2" t="s">
        <v>3</v>
      </c>
      <c r="BP95" s="2">
        <v>0</v>
      </c>
      <c r="BQ95" s="2">
        <v>202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0</v>
      </c>
      <c r="CA95" s="2">
        <v>0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68"/>
        <v>1288.78</v>
      </c>
      <c r="CQ95" s="2">
        <f t="shared" si="69"/>
        <v>644.39</v>
      </c>
      <c r="CR95" s="2">
        <f t="shared" si="105"/>
        <v>0</v>
      </c>
      <c r="CS95" s="2">
        <f t="shared" si="106"/>
        <v>0</v>
      </c>
      <c r="CT95" s="2">
        <f t="shared" si="70"/>
        <v>0</v>
      </c>
      <c r="CU95" s="2">
        <f t="shared" si="71"/>
        <v>0</v>
      </c>
      <c r="CV95" s="2">
        <f t="shared" si="72"/>
        <v>0</v>
      </c>
      <c r="CW95" s="2">
        <f t="shared" si="73"/>
        <v>0</v>
      </c>
      <c r="CX95" s="2">
        <f t="shared" si="74"/>
        <v>0</v>
      </c>
      <c r="CY95" s="2">
        <f t="shared" si="107"/>
        <v>0</v>
      </c>
      <c r="CZ95" s="2">
        <f t="shared" si="108"/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107</v>
      </c>
      <c r="DW95" s="2" t="s">
        <v>107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60088211</v>
      </c>
      <c r="EF95" s="2">
        <v>202</v>
      </c>
      <c r="EG95" s="2" t="s">
        <v>108</v>
      </c>
      <c r="EH95" s="2">
        <v>0</v>
      </c>
      <c r="EI95" s="2" t="s">
        <v>3</v>
      </c>
      <c r="EJ95" s="2">
        <v>1</v>
      </c>
      <c r="EK95" s="2">
        <v>400002</v>
      </c>
      <c r="EL95" s="2" t="s">
        <v>109</v>
      </c>
      <c r="EM95" s="2" t="s">
        <v>108</v>
      </c>
      <c r="EN95" s="2"/>
      <c r="EO95" s="2" t="s">
        <v>3</v>
      </c>
      <c r="EP95" s="2"/>
      <c r="EQ95" s="2">
        <v>0</v>
      </c>
      <c r="ER95" s="2">
        <v>0</v>
      </c>
      <c r="ES95" s="2">
        <v>644.39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0</v>
      </c>
      <c r="FY95" s="2">
        <v>0</v>
      </c>
      <c r="FZ95" s="2"/>
      <c r="GA95" s="2" t="s">
        <v>154</v>
      </c>
      <c r="GB95" s="2"/>
      <c r="GC95" s="2"/>
      <c r="GD95" s="2">
        <v>1</v>
      </c>
      <c r="GE95" s="2"/>
      <c r="GF95" s="2">
        <v>694050816</v>
      </c>
      <c r="GG95" s="2">
        <v>2</v>
      </c>
      <c r="GH95" s="2">
        <v>4</v>
      </c>
      <c r="GI95" s="2">
        <v>-2</v>
      </c>
      <c r="GJ95" s="2">
        <v>0</v>
      </c>
      <c r="GK95" s="2">
        <v>0</v>
      </c>
      <c r="GL95" s="2">
        <f t="shared" si="75"/>
        <v>0</v>
      </c>
      <c r="GM95" s="2">
        <f t="shared" si="76"/>
        <v>1288.78</v>
      </c>
      <c r="GN95" s="2">
        <f t="shared" si="77"/>
        <v>1288.78</v>
      </c>
      <c r="GO95" s="2">
        <f t="shared" si="78"/>
        <v>0</v>
      </c>
      <c r="GP95" s="2">
        <f t="shared" si="79"/>
        <v>0</v>
      </c>
      <c r="GQ95" s="2"/>
      <c r="GR95" s="2">
        <v>0</v>
      </c>
      <c r="GS95" s="2">
        <v>2</v>
      </c>
      <c r="GT95" s="2">
        <v>0</v>
      </c>
      <c r="GU95" s="2" t="s">
        <v>3</v>
      </c>
      <c r="GV95" s="2">
        <f t="shared" si="80"/>
        <v>0</v>
      </c>
      <c r="GW95" s="2">
        <v>1</v>
      </c>
      <c r="GX95" s="2">
        <f t="shared" si="81"/>
        <v>0</v>
      </c>
      <c r="GY95" s="2"/>
      <c r="GZ95" s="2"/>
      <c r="HA95" s="2">
        <v>0</v>
      </c>
      <c r="HB95" s="2">
        <v>0</v>
      </c>
      <c r="HC95" s="2">
        <f t="shared" si="82"/>
        <v>0</v>
      </c>
      <c r="HD95" s="2"/>
      <c r="HE95" s="2" t="s">
        <v>111</v>
      </c>
      <c r="HF95" s="2" t="s">
        <v>28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>
        <v>17</v>
      </c>
      <c r="B96">
        <v>1</v>
      </c>
      <c r="E96" t="s">
        <v>151</v>
      </c>
      <c r="F96" t="s">
        <v>152</v>
      </c>
      <c r="G96" t="s">
        <v>153</v>
      </c>
      <c r="H96" t="s">
        <v>107</v>
      </c>
      <c r="I96">
        <v>2</v>
      </c>
      <c r="J96">
        <v>0</v>
      </c>
      <c r="K96">
        <v>2</v>
      </c>
      <c r="O96">
        <f t="shared" si="57"/>
        <v>12733.15</v>
      </c>
      <c r="P96">
        <f t="shared" si="58"/>
        <v>12733.15</v>
      </c>
      <c r="Q96">
        <f t="shared" si="96"/>
        <v>0</v>
      </c>
      <c r="R96">
        <f t="shared" si="97"/>
        <v>0</v>
      </c>
      <c r="S96">
        <f t="shared" si="59"/>
        <v>0</v>
      </c>
      <c r="T96">
        <f t="shared" si="60"/>
        <v>0</v>
      </c>
      <c r="U96">
        <f t="shared" si="61"/>
        <v>0</v>
      </c>
      <c r="V96">
        <f t="shared" si="62"/>
        <v>0</v>
      </c>
      <c r="W96">
        <f t="shared" si="63"/>
        <v>0</v>
      </c>
      <c r="X96">
        <f t="shared" si="98"/>
        <v>0</v>
      </c>
      <c r="Y96">
        <f t="shared" si="99"/>
        <v>0</v>
      </c>
      <c r="AA96">
        <v>60255011</v>
      </c>
      <c r="AB96">
        <f t="shared" si="64"/>
        <v>644.39</v>
      </c>
      <c r="AC96">
        <f t="shared" si="65"/>
        <v>644.39</v>
      </c>
      <c r="AD96">
        <f t="shared" si="100"/>
        <v>0</v>
      </c>
      <c r="AE96">
        <f t="shared" si="101"/>
        <v>0</v>
      </c>
      <c r="AF96">
        <f t="shared" si="102"/>
        <v>0</v>
      </c>
      <c r="AG96">
        <f t="shared" si="66"/>
        <v>0</v>
      </c>
      <c r="AH96">
        <f t="shared" si="103"/>
        <v>0</v>
      </c>
      <c r="AI96">
        <f t="shared" si="104"/>
        <v>0</v>
      </c>
      <c r="AJ96">
        <f t="shared" si="67"/>
        <v>0</v>
      </c>
      <c r="AK96">
        <v>644.39</v>
      </c>
      <c r="AL96">
        <v>644.39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1</v>
      </c>
      <c r="AZ96">
        <v>1</v>
      </c>
      <c r="BA96">
        <v>1</v>
      </c>
      <c r="BB96">
        <v>1</v>
      </c>
      <c r="BC96">
        <v>9.8800000000000008</v>
      </c>
      <c r="BD96" t="s">
        <v>3</v>
      </c>
      <c r="BE96" t="s">
        <v>3</v>
      </c>
      <c r="BF96" t="s">
        <v>3</v>
      </c>
      <c r="BG96" t="s">
        <v>3</v>
      </c>
      <c r="BH96">
        <v>3</v>
      </c>
      <c r="BI96">
        <v>1</v>
      </c>
      <c r="BJ96" t="s">
        <v>3</v>
      </c>
      <c r="BM96">
        <v>400002</v>
      </c>
      <c r="BN96">
        <v>0</v>
      </c>
      <c r="BO96" t="s">
        <v>3</v>
      </c>
      <c r="BP96">
        <v>0</v>
      </c>
      <c r="BQ96">
        <v>202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 t="s">
        <v>3</v>
      </c>
      <c r="BZ96">
        <v>0</v>
      </c>
      <c r="CA96">
        <v>0</v>
      </c>
      <c r="CB96" t="s">
        <v>3</v>
      </c>
      <c r="CE96">
        <v>1566</v>
      </c>
      <c r="CF96">
        <v>0</v>
      </c>
      <c r="CG96">
        <v>0</v>
      </c>
      <c r="CM96">
        <v>0</v>
      </c>
      <c r="CN96" t="s">
        <v>3</v>
      </c>
      <c r="CO96">
        <v>0</v>
      </c>
      <c r="CP96">
        <f t="shared" si="68"/>
        <v>12733.15</v>
      </c>
      <c r="CQ96">
        <f t="shared" si="69"/>
        <v>6366.57</v>
      </c>
      <c r="CR96">
        <f t="shared" si="105"/>
        <v>0</v>
      </c>
      <c r="CS96">
        <f t="shared" si="106"/>
        <v>0</v>
      </c>
      <c r="CT96">
        <f t="shared" si="70"/>
        <v>0</v>
      </c>
      <c r="CU96">
        <f t="shared" si="71"/>
        <v>0</v>
      </c>
      <c r="CV96">
        <f t="shared" si="72"/>
        <v>0</v>
      </c>
      <c r="CW96">
        <f t="shared" si="73"/>
        <v>0</v>
      </c>
      <c r="CX96">
        <f t="shared" si="74"/>
        <v>0</v>
      </c>
      <c r="CY96">
        <f t="shared" si="107"/>
        <v>0</v>
      </c>
      <c r="CZ96">
        <f t="shared" si="108"/>
        <v>0</v>
      </c>
      <c r="DC96" t="s">
        <v>3</v>
      </c>
      <c r="DD96" t="s">
        <v>3</v>
      </c>
      <c r="DE96" t="s">
        <v>3</v>
      </c>
      <c r="DF96" t="s">
        <v>3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3</v>
      </c>
      <c r="DM96" t="s">
        <v>3</v>
      </c>
      <c r="DN96">
        <v>0</v>
      </c>
      <c r="DO96">
        <v>0</v>
      </c>
      <c r="DP96">
        <v>1</v>
      </c>
      <c r="DQ96">
        <v>1</v>
      </c>
      <c r="DU96">
        <v>1013</v>
      </c>
      <c r="DV96" t="s">
        <v>107</v>
      </c>
      <c r="DW96" t="s">
        <v>107</v>
      </c>
      <c r="DX96">
        <v>1</v>
      </c>
      <c r="DZ96" t="s">
        <v>3</v>
      </c>
      <c r="EA96" t="s">
        <v>3</v>
      </c>
      <c r="EB96" t="s">
        <v>3</v>
      </c>
      <c r="EC96" t="s">
        <v>3</v>
      </c>
      <c r="EE96">
        <v>60088211</v>
      </c>
      <c r="EF96">
        <v>202</v>
      </c>
      <c r="EG96" t="s">
        <v>108</v>
      </c>
      <c r="EH96">
        <v>0</v>
      </c>
      <c r="EI96" t="s">
        <v>3</v>
      </c>
      <c r="EJ96">
        <v>1</v>
      </c>
      <c r="EK96">
        <v>400002</v>
      </c>
      <c r="EL96" t="s">
        <v>109</v>
      </c>
      <c r="EM96" t="s">
        <v>108</v>
      </c>
      <c r="EO96" t="s">
        <v>3</v>
      </c>
      <c r="EQ96">
        <v>0</v>
      </c>
      <c r="ER96">
        <v>644.39</v>
      </c>
      <c r="ES96">
        <v>644.39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5</v>
      </c>
      <c r="FC96">
        <v>1</v>
      </c>
      <c r="FD96">
        <v>18</v>
      </c>
      <c r="FF96">
        <v>7490</v>
      </c>
      <c r="FQ96">
        <v>0</v>
      </c>
      <c r="FR96">
        <v>0</v>
      </c>
      <c r="FS96">
        <v>0</v>
      </c>
      <c r="FX96">
        <v>0</v>
      </c>
      <c r="FY96">
        <v>0</v>
      </c>
      <c r="GA96" t="s">
        <v>154</v>
      </c>
      <c r="GD96">
        <v>1</v>
      </c>
      <c r="GF96">
        <v>694050816</v>
      </c>
      <c r="GG96">
        <v>2</v>
      </c>
      <c r="GH96">
        <v>3</v>
      </c>
      <c r="GI96">
        <v>5</v>
      </c>
      <c r="GJ96">
        <v>0</v>
      </c>
      <c r="GK96">
        <v>0</v>
      </c>
      <c r="GL96">
        <f t="shared" si="75"/>
        <v>0</v>
      </c>
      <c r="GM96">
        <f t="shared" si="76"/>
        <v>12733.15</v>
      </c>
      <c r="GN96">
        <f t="shared" si="77"/>
        <v>12733.15</v>
      </c>
      <c r="GO96">
        <f t="shared" si="78"/>
        <v>0</v>
      </c>
      <c r="GP96">
        <f t="shared" si="79"/>
        <v>0</v>
      </c>
      <c r="GR96">
        <v>1</v>
      </c>
      <c r="GS96">
        <v>1</v>
      </c>
      <c r="GT96">
        <v>0</v>
      </c>
      <c r="GU96" t="s">
        <v>3</v>
      </c>
      <c r="GV96">
        <f t="shared" si="80"/>
        <v>0</v>
      </c>
      <c r="GW96">
        <v>1</v>
      </c>
      <c r="GX96">
        <f t="shared" si="81"/>
        <v>0</v>
      </c>
      <c r="HA96">
        <v>0</v>
      </c>
      <c r="HB96">
        <v>0</v>
      </c>
      <c r="HC96">
        <f t="shared" si="82"/>
        <v>0</v>
      </c>
      <c r="HE96" t="s">
        <v>111</v>
      </c>
      <c r="HF96" t="s">
        <v>28</v>
      </c>
      <c r="HM96" t="s">
        <v>3</v>
      </c>
      <c r="HN96" t="s">
        <v>3</v>
      </c>
      <c r="HO96" t="s">
        <v>3</v>
      </c>
      <c r="HP96" t="s">
        <v>3</v>
      </c>
      <c r="HQ96" t="s">
        <v>3</v>
      </c>
      <c r="HS96">
        <v>0</v>
      </c>
      <c r="IK96">
        <v>0</v>
      </c>
    </row>
    <row r="97" spans="1:255" x14ac:dyDescent="0.2">
      <c r="A97" s="2">
        <v>17</v>
      </c>
      <c r="B97" s="2">
        <v>1</v>
      </c>
      <c r="C97" s="2">
        <f>ROW(SmtRes!A58)</f>
        <v>58</v>
      </c>
      <c r="D97" s="2">
        <f>ROW(EtalonRes!A65)</f>
        <v>65</v>
      </c>
      <c r="E97" s="2" t="s">
        <v>155</v>
      </c>
      <c r="F97" s="2" t="s">
        <v>94</v>
      </c>
      <c r="G97" s="2" t="s">
        <v>95</v>
      </c>
      <c r="H97" s="2" t="s">
        <v>96</v>
      </c>
      <c r="I97" s="2">
        <f>ROUND((1+5+8+2)/100,9)</f>
        <v>0.16</v>
      </c>
      <c r="J97" s="2">
        <v>0</v>
      </c>
      <c r="K97" s="2">
        <f>ROUND((1+5+8+2)/100,9)</f>
        <v>0.16</v>
      </c>
      <c r="L97" s="2"/>
      <c r="M97" s="2"/>
      <c r="N97" s="2"/>
      <c r="O97" s="2">
        <f t="shared" si="57"/>
        <v>552.95000000000005</v>
      </c>
      <c r="P97" s="2">
        <f t="shared" si="58"/>
        <v>332.62</v>
      </c>
      <c r="Q97" s="2">
        <f>(ROUND((ROUND(((((ET97*1.25)*1.1))*AV97*I97),2)*BB97),2)+ROUND((ROUND(((AE97-(((EU97*1.25)*1.1)))*AV97*I97),2)*BS97),2))</f>
        <v>22.38</v>
      </c>
      <c r="R97" s="2">
        <f>(ROUND((ROUND(((((EU97*1.25)*1.1))*AV97*I97),2)*BS97),2)+ROUND((ROUND(((AE97-(((EU97*1.25)*1.1)))*AV97*I97),2)*BS97),2))</f>
        <v>2.42</v>
      </c>
      <c r="S97" s="2">
        <f t="shared" si="59"/>
        <v>197.95</v>
      </c>
      <c r="T97" s="2">
        <f t="shared" si="60"/>
        <v>0</v>
      </c>
      <c r="U97" s="2">
        <f t="shared" si="61"/>
        <v>16.132271760000002</v>
      </c>
      <c r="V97" s="2">
        <f t="shared" si="62"/>
        <v>0</v>
      </c>
      <c r="W97" s="2">
        <f t="shared" si="63"/>
        <v>0</v>
      </c>
      <c r="X97" s="2">
        <f>(ROUND((((S97+ROUND((ROUND(((((EU97*1.25)*1.1))*AV97*I97),2)*BS97),2))*AT97)/100),2)+ROUND(((ROUND((ROUND(((AE97-(((EU97*1.25)*1.1)))*AV97*I97),2)*BS97),2)*AT97)/100),2))</f>
        <v>218.4</v>
      </c>
      <c r="Y97" s="2">
        <f>(ROUND((((S97+ROUND((ROUND(((((EU97*1.25)*1.1))*AV97*I97),2)*BS97),2))*AU97)/100),2)+ROUND(((ROUND((ROUND(((AE97-(((EU97*1.25)*1.1)))*AV97*I97),2)*BS97),2)*AU97)/100),2))</f>
        <v>122.23</v>
      </c>
      <c r="Z97" s="2"/>
      <c r="AA97" s="2">
        <v>60255014</v>
      </c>
      <c r="AB97" s="2">
        <f t="shared" si="64"/>
        <v>3369.5052500000002</v>
      </c>
      <c r="AC97" s="2">
        <f t="shared" si="65"/>
        <v>2078.9</v>
      </c>
      <c r="AD97" s="2">
        <f>ROUND((((((ET97*1.25)*1.1))-(((EU97*1.25)*1.1)))+AE97),6)</f>
        <v>131.10624999999999</v>
      </c>
      <c r="AE97" s="2">
        <f>ROUND((((EU97*1.25)*1.1)),6)</f>
        <v>14.1625</v>
      </c>
      <c r="AF97" s="2">
        <f>ROUND((((EV97*1.15)*1.1)),6)</f>
        <v>1159.499</v>
      </c>
      <c r="AG97" s="2">
        <f t="shared" si="66"/>
        <v>0</v>
      </c>
      <c r="AH97" s="2">
        <f>(((EW97*1.15)*1.1))</f>
        <v>94.495500000000007</v>
      </c>
      <c r="AI97" s="2">
        <f>(((EX97*1.25)*1.1))</f>
        <v>0</v>
      </c>
      <c r="AJ97" s="2">
        <f t="shared" si="67"/>
        <v>0</v>
      </c>
      <c r="AK97" s="2">
        <v>3090.85</v>
      </c>
      <c r="AL97" s="2">
        <v>2078.9</v>
      </c>
      <c r="AM97" s="2">
        <v>95.35</v>
      </c>
      <c r="AN97" s="2">
        <v>10.3</v>
      </c>
      <c r="AO97" s="2">
        <v>916.6</v>
      </c>
      <c r="AP97" s="2">
        <v>0</v>
      </c>
      <c r="AQ97" s="2">
        <v>74.7</v>
      </c>
      <c r="AR97" s="2">
        <v>0</v>
      </c>
      <c r="AS97" s="2">
        <v>0</v>
      </c>
      <c r="AT97" s="2">
        <v>109</v>
      </c>
      <c r="AU97" s="2">
        <v>61</v>
      </c>
      <c r="AV97" s="2">
        <v>1.0669999999999999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1</v>
      </c>
      <c r="BJ97" s="2" t="s">
        <v>97</v>
      </c>
      <c r="BK97" s="2"/>
      <c r="BL97" s="2"/>
      <c r="BM97" s="2">
        <v>23</v>
      </c>
      <c r="BN97" s="2">
        <v>0</v>
      </c>
      <c r="BO97" s="2" t="s">
        <v>94</v>
      </c>
      <c r="BP97" s="2">
        <v>1</v>
      </c>
      <c r="BQ97" s="2">
        <v>30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109</v>
      </c>
      <c r="CA97" s="2">
        <v>61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625</v>
      </c>
      <c r="CO97" s="2">
        <v>0</v>
      </c>
      <c r="CP97" s="2">
        <f t="shared" si="68"/>
        <v>552.95000000000005</v>
      </c>
      <c r="CQ97" s="2">
        <f t="shared" si="69"/>
        <v>2078.9</v>
      </c>
      <c r="CR97" s="2">
        <f>(ROUND((ROUND(((((ET97*1.25)*1.1))*AV97*1),2)*BB97),2)+ROUND((ROUND(((AE97-(((EU97*1.25)*1.1)))*AV97*1),2)*BS97),2))</f>
        <v>139.88999999999999</v>
      </c>
      <c r="CS97" s="2">
        <f>(ROUND((ROUND(((((EU97*1.25)*1.1))*AV97*1),2)*BS97),2)+ROUND((ROUND(((AE97-(((EU97*1.25)*1.1)))*AV97*1),2)*BS97),2))</f>
        <v>15.11</v>
      </c>
      <c r="CT97" s="2">
        <f t="shared" si="70"/>
        <v>1237.19</v>
      </c>
      <c r="CU97" s="2">
        <f t="shared" si="71"/>
        <v>0</v>
      </c>
      <c r="CV97" s="2">
        <f t="shared" si="72"/>
        <v>100.82669850000001</v>
      </c>
      <c r="CW97" s="2">
        <f t="shared" si="73"/>
        <v>0</v>
      </c>
      <c r="CX97" s="2">
        <f t="shared" si="74"/>
        <v>0</v>
      </c>
      <c r="CY97" s="2">
        <f>(ROUND((((S97+ROUND((ROUND(((((EU97*1.25)*1.1))*AV97*1),2)*BS97),2))*AT97)/100),2)+ROUND(((ROUND((ROUND(((AE97-(((EU97*1.25)*1.1)))*AV97*1),2)*BS97),2)*AT97)/100),2))</f>
        <v>232.24</v>
      </c>
      <c r="CZ97" s="2">
        <f>(ROUND((((S97+ROUND((ROUND(((((EU97*1.25)*1.1))*AV97*1),2)*BS97),2))*AU97)/100),2)+ROUND(((ROUND((ROUND(((AE97-(((EU97*1.25)*1.1)))*AV97*1),2)*BS97),2)*AU97)/100),2))</f>
        <v>129.97</v>
      </c>
      <c r="DA97" s="2"/>
      <c r="DB97" s="2">
        <v>9</v>
      </c>
      <c r="DC97" s="2" t="s">
        <v>3</v>
      </c>
      <c r="DD97" s="2" t="s">
        <v>3</v>
      </c>
      <c r="DE97" s="2" t="s">
        <v>98</v>
      </c>
      <c r="DF97" s="2" t="s">
        <v>98</v>
      </c>
      <c r="DG97" s="2" t="s">
        <v>99</v>
      </c>
      <c r="DH97" s="2" t="s">
        <v>3</v>
      </c>
      <c r="DI97" s="2" t="s">
        <v>99</v>
      </c>
      <c r="DJ97" s="2" t="s">
        <v>98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1010</v>
      </c>
      <c r="DV97" s="2" t="s">
        <v>96</v>
      </c>
      <c r="DW97" s="2" t="s">
        <v>96</v>
      </c>
      <c r="DX97" s="2">
        <v>100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60088254</v>
      </c>
      <c r="EF97" s="2">
        <v>30</v>
      </c>
      <c r="EG97" s="2" t="s">
        <v>100</v>
      </c>
      <c r="EH97" s="2">
        <v>0</v>
      </c>
      <c r="EI97" s="2" t="s">
        <v>3</v>
      </c>
      <c r="EJ97" s="2">
        <v>1</v>
      </c>
      <c r="EK97" s="2">
        <v>23</v>
      </c>
      <c r="EL97" s="2" t="s">
        <v>101</v>
      </c>
      <c r="EM97" s="2" t="s">
        <v>102</v>
      </c>
      <c r="EN97" s="2"/>
      <c r="EO97" s="2" t="s">
        <v>103</v>
      </c>
      <c r="EP97" s="2"/>
      <c r="EQ97" s="2">
        <v>0</v>
      </c>
      <c r="ER97" s="2">
        <v>3090.85</v>
      </c>
      <c r="ES97" s="2">
        <v>2078.9</v>
      </c>
      <c r="ET97" s="2">
        <v>95.35</v>
      </c>
      <c r="EU97" s="2">
        <v>10.3</v>
      </c>
      <c r="EV97" s="2">
        <v>916.6</v>
      </c>
      <c r="EW97" s="2">
        <v>74.7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109</v>
      </c>
      <c r="FY97" s="2">
        <v>61</v>
      </c>
      <c r="FZ97" s="2"/>
      <c r="GA97" s="2" t="s">
        <v>3</v>
      </c>
      <c r="GB97" s="2"/>
      <c r="GC97" s="2"/>
      <c r="GD97" s="2">
        <v>1</v>
      </c>
      <c r="GE97" s="2"/>
      <c r="GF97" s="2">
        <v>-961949121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75"/>
        <v>0</v>
      </c>
      <c r="GM97" s="2">
        <f t="shared" si="76"/>
        <v>893.58</v>
      </c>
      <c r="GN97" s="2">
        <f t="shared" si="77"/>
        <v>893.58</v>
      </c>
      <c r="GO97" s="2">
        <f t="shared" si="78"/>
        <v>0</v>
      </c>
      <c r="GP97" s="2">
        <f t="shared" si="79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80"/>
        <v>0</v>
      </c>
      <c r="GW97" s="2">
        <v>1</v>
      </c>
      <c r="GX97" s="2">
        <f t="shared" si="81"/>
        <v>0</v>
      </c>
      <c r="GY97" s="2"/>
      <c r="GZ97" s="2"/>
      <c r="HA97" s="2">
        <v>0</v>
      </c>
      <c r="HB97" s="2">
        <v>0</v>
      </c>
      <c r="HC97" s="2">
        <f t="shared" si="82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C98">
        <f>ROW(SmtRes!A68)</f>
        <v>68</v>
      </c>
      <c r="D98">
        <f>ROW(EtalonRes!A76)</f>
        <v>76</v>
      </c>
      <c r="E98" t="s">
        <v>155</v>
      </c>
      <c r="F98" t="s">
        <v>94</v>
      </c>
      <c r="G98" t="s">
        <v>95</v>
      </c>
      <c r="H98" t="s">
        <v>96</v>
      </c>
      <c r="I98">
        <f>ROUND((1+5+8+2)/100,9)</f>
        <v>0.16</v>
      </c>
      <c r="J98">
        <v>0</v>
      </c>
      <c r="K98">
        <f>ROUND((1+5+8+2)/100,9)</f>
        <v>0.16</v>
      </c>
      <c r="O98">
        <f t="shared" si="57"/>
        <v>18054.63</v>
      </c>
      <c r="P98">
        <f t="shared" si="58"/>
        <v>6848.65</v>
      </c>
      <c r="Q98">
        <f>(ROUND((ROUND(((((ET98*1.25)*1.1))*AV98*I98),2)*BB98),2)+ROUND((ROUND(((AE98-(((EU98*1.25)*1.1)))*AV98*I98),2)*BS98),2))</f>
        <v>320.70999999999998</v>
      </c>
      <c r="R98">
        <f>(ROUND((ROUND(((((EU98*1.25)*1.1))*AV98*I98),2)*BS98),2)+ROUND((ROUND(((AE98-(((EU98*1.25)*1.1)))*AV98*I98),2)*BS98),2))</f>
        <v>133.08000000000001</v>
      </c>
      <c r="S98">
        <f t="shared" si="59"/>
        <v>10885.27</v>
      </c>
      <c r="T98">
        <f t="shared" si="60"/>
        <v>0</v>
      </c>
      <c r="U98">
        <f t="shared" si="61"/>
        <v>16.132271760000002</v>
      </c>
      <c r="V98">
        <f t="shared" si="62"/>
        <v>0</v>
      </c>
      <c r="W98">
        <f t="shared" si="63"/>
        <v>0</v>
      </c>
      <c r="X98">
        <f>(ROUND((((S98+ROUND((ROUND(((((EU98*1.25)*1.1))*AV98*I98),2)*BS98),2))*AT98)/100),2)+ROUND(((ROUND((ROUND(((AE98-(((EU98*1.25)*1.1)))*AV98*I98),2)*BS98),2)*AT98)/100),2))</f>
        <v>12010</v>
      </c>
      <c r="Y98">
        <f>(ROUND((((S98+ROUND((ROUND(((((EU98*1.25)*1.1))*AV98*I98),2)*BS98),2))*AU98)/100),2)+ROUND(((ROUND((ROUND(((AE98-(((EU98*1.25)*1.1)))*AV98*I98),2)*BS98),2)*AU98)/100),2))</f>
        <v>6721.19</v>
      </c>
      <c r="AA98">
        <v>60255011</v>
      </c>
      <c r="AB98">
        <f t="shared" si="64"/>
        <v>3369.5052500000002</v>
      </c>
      <c r="AC98">
        <f t="shared" si="65"/>
        <v>2078.9</v>
      </c>
      <c r="AD98">
        <f>ROUND((((((ET98*1.25)*1.1))-(((EU98*1.25)*1.1)))+AE98),6)</f>
        <v>131.10624999999999</v>
      </c>
      <c r="AE98">
        <f>ROUND((((EU98*1.25)*1.1)),6)</f>
        <v>14.1625</v>
      </c>
      <c r="AF98">
        <f>ROUND((((EV98*1.15)*1.1)),6)</f>
        <v>1159.499</v>
      </c>
      <c r="AG98">
        <f t="shared" si="66"/>
        <v>0</v>
      </c>
      <c r="AH98">
        <f>(((EW98*1.15)*1.1))</f>
        <v>94.495500000000007</v>
      </c>
      <c r="AI98">
        <f>(((EX98*1.25)*1.1))</f>
        <v>0</v>
      </c>
      <c r="AJ98">
        <f t="shared" si="67"/>
        <v>0</v>
      </c>
      <c r="AK98">
        <v>3090.85</v>
      </c>
      <c r="AL98">
        <v>2078.9</v>
      </c>
      <c r="AM98">
        <v>95.35</v>
      </c>
      <c r="AN98">
        <v>10.3</v>
      </c>
      <c r="AO98">
        <v>916.6</v>
      </c>
      <c r="AP98">
        <v>0</v>
      </c>
      <c r="AQ98">
        <v>74.7</v>
      </c>
      <c r="AR98">
        <v>0</v>
      </c>
      <c r="AS98">
        <v>0</v>
      </c>
      <c r="AT98">
        <v>109</v>
      </c>
      <c r="AU98">
        <v>61</v>
      </c>
      <c r="AV98">
        <v>1.0669999999999999</v>
      </c>
      <c r="AW98">
        <v>1</v>
      </c>
      <c r="AZ98">
        <v>1</v>
      </c>
      <c r="BA98">
        <v>54.99</v>
      </c>
      <c r="BB98">
        <v>14.33</v>
      </c>
      <c r="BC98">
        <v>20.59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1</v>
      </c>
      <c r="BJ98" t="s">
        <v>97</v>
      </c>
      <c r="BM98">
        <v>23</v>
      </c>
      <c r="BN98">
        <v>0</v>
      </c>
      <c r="BO98" t="s">
        <v>94</v>
      </c>
      <c r="BP98">
        <v>1</v>
      </c>
      <c r="BQ98">
        <v>30</v>
      </c>
      <c r="BR98">
        <v>0</v>
      </c>
      <c r="BS98">
        <v>54.99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109</v>
      </c>
      <c r="CA98">
        <v>61</v>
      </c>
      <c r="CB98" t="s">
        <v>3</v>
      </c>
      <c r="CE98">
        <v>1566</v>
      </c>
      <c r="CF98">
        <v>0</v>
      </c>
      <c r="CG98">
        <v>0</v>
      </c>
      <c r="CM98">
        <v>0</v>
      </c>
      <c r="CN98" t="s">
        <v>625</v>
      </c>
      <c r="CO98">
        <v>0</v>
      </c>
      <c r="CP98">
        <f t="shared" si="68"/>
        <v>18054.63</v>
      </c>
      <c r="CQ98">
        <f t="shared" si="69"/>
        <v>42804.55</v>
      </c>
      <c r="CR98">
        <f>(ROUND((ROUND(((((ET98*1.25)*1.1))*AV98*1),2)*BB98),2)+ROUND((ROUND(((AE98-(((EU98*1.25)*1.1)))*AV98*1),2)*BS98),2))</f>
        <v>2004.62</v>
      </c>
      <c r="CS98">
        <f>(ROUND((ROUND(((((EU98*1.25)*1.1))*AV98*1),2)*BS98),2)+ROUND((ROUND(((AE98-(((EU98*1.25)*1.1)))*AV98*1),2)*BS98),2))</f>
        <v>830.9</v>
      </c>
      <c r="CT98">
        <f t="shared" si="70"/>
        <v>68033.08</v>
      </c>
      <c r="CU98">
        <f t="shared" si="71"/>
        <v>0</v>
      </c>
      <c r="CV98">
        <f t="shared" si="72"/>
        <v>100.82669850000001</v>
      </c>
      <c r="CW98">
        <f t="shared" si="73"/>
        <v>0</v>
      </c>
      <c r="CX98">
        <f t="shared" si="74"/>
        <v>0</v>
      </c>
      <c r="CY98">
        <f>(ROUND((((S98+ROUND((ROUND(((((EU98*1.25)*1.1))*AV98*1),2)*BS98),2))*AT98)/100),2)+ROUND(((ROUND((ROUND(((AE98-(((EU98*1.25)*1.1)))*AV98*1),2)*BS98),2)*AT98)/100),2))</f>
        <v>12770.63</v>
      </c>
      <c r="CZ98">
        <f>(ROUND((((S98+ROUND((ROUND(((((EU98*1.25)*1.1))*AV98*1),2)*BS98),2))*AU98)/100),2)+ROUND(((ROUND((ROUND(((AE98-(((EU98*1.25)*1.1)))*AV98*1),2)*BS98),2)*AU98)/100),2))</f>
        <v>7146.86</v>
      </c>
      <c r="DB98">
        <v>11</v>
      </c>
      <c r="DC98" t="s">
        <v>3</v>
      </c>
      <c r="DD98" t="s">
        <v>3</v>
      </c>
      <c r="DE98" t="s">
        <v>98</v>
      </c>
      <c r="DF98" t="s">
        <v>98</v>
      </c>
      <c r="DG98" t="s">
        <v>99</v>
      </c>
      <c r="DH98" t="s">
        <v>3</v>
      </c>
      <c r="DI98" t="s">
        <v>99</v>
      </c>
      <c r="DJ98" t="s">
        <v>98</v>
      </c>
      <c r="DK98" t="s">
        <v>3</v>
      </c>
      <c r="DL98" t="s">
        <v>3</v>
      </c>
      <c r="DM98" t="s">
        <v>3</v>
      </c>
      <c r="DN98">
        <v>0</v>
      </c>
      <c r="DO98">
        <v>0</v>
      </c>
      <c r="DP98">
        <v>1</v>
      </c>
      <c r="DQ98">
        <v>1</v>
      </c>
      <c r="DU98">
        <v>1010</v>
      </c>
      <c r="DV98" t="s">
        <v>96</v>
      </c>
      <c r="DW98" t="s">
        <v>96</v>
      </c>
      <c r="DX98">
        <v>100</v>
      </c>
      <c r="DZ98" t="s">
        <v>3</v>
      </c>
      <c r="EA98" t="s">
        <v>3</v>
      </c>
      <c r="EB98" t="s">
        <v>3</v>
      </c>
      <c r="EC98" t="s">
        <v>3</v>
      </c>
      <c r="EE98">
        <v>60088254</v>
      </c>
      <c r="EF98">
        <v>30</v>
      </c>
      <c r="EG98" t="s">
        <v>100</v>
      </c>
      <c r="EH98">
        <v>0</v>
      </c>
      <c r="EI98" t="s">
        <v>3</v>
      </c>
      <c r="EJ98">
        <v>1</v>
      </c>
      <c r="EK98">
        <v>23</v>
      </c>
      <c r="EL98" t="s">
        <v>101</v>
      </c>
      <c r="EM98" t="s">
        <v>102</v>
      </c>
      <c r="EO98" t="s">
        <v>103</v>
      </c>
      <c r="EQ98">
        <v>0</v>
      </c>
      <c r="ER98">
        <v>3090.85</v>
      </c>
      <c r="ES98">
        <v>2078.9</v>
      </c>
      <c r="ET98">
        <v>95.35</v>
      </c>
      <c r="EU98">
        <v>10.3</v>
      </c>
      <c r="EV98">
        <v>916.6</v>
      </c>
      <c r="EW98">
        <v>74.7</v>
      </c>
      <c r="EX98">
        <v>0</v>
      </c>
      <c r="EY98">
        <v>0</v>
      </c>
      <c r="FQ98">
        <v>0</v>
      </c>
      <c r="FR98">
        <v>0</v>
      </c>
      <c r="FS98">
        <v>0</v>
      </c>
      <c r="FX98">
        <v>109</v>
      </c>
      <c r="FY98">
        <v>61</v>
      </c>
      <c r="GA98" t="s">
        <v>3</v>
      </c>
      <c r="GD98">
        <v>1</v>
      </c>
      <c r="GF98">
        <v>-961949121</v>
      </c>
      <c r="GG98">
        <v>2</v>
      </c>
      <c r="GH98">
        <v>1</v>
      </c>
      <c r="GI98">
        <v>2</v>
      </c>
      <c r="GJ98">
        <v>0</v>
      </c>
      <c r="GK98">
        <v>0</v>
      </c>
      <c r="GL98">
        <f t="shared" si="75"/>
        <v>0</v>
      </c>
      <c r="GM98">
        <f t="shared" si="76"/>
        <v>36785.82</v>
      </c>
      <c r="GN98">
        <f t="shared" si="77"/>
        <v>36785.82</v>
      </c>
      <c r="GO98">
        <f t="shared" si="78"/>
        <v>0</v>
      </c>
      <c r="GP98">
        <f t="shared" si="79"/>
        <v>0</v>
      </c>
      <c r="GR98">
        <v>0</v>
      </c>
      <c r="GS98">
        <v>3</v>
      </c>
      <c r="GT98">
        <v>0</v>
      </c>
      <c r="GU98" t="s">
        <v>3</v>
      </c>
      <c r="GV98">
        <f t="shared" si="80"/>
        <v>0</v>
      </c>
      <c r="GW98">
        <v>1</v>
      </c>
      <c r="GX98">
        <f t="shared" si="81"/>
        <v>0</v>
      </c>
      <c r="HA98">
        <v>0</v>
      </c>
      <c r="HB98">
        <v>0</v>
      </c>
      <c r="HC98">
        <f t="shared" si="82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156</v>
      </c>
      <c r="F99" s="2" t="s">
        <v>157</v>
      </c>
      <c r="G99" s="2" t="s">
        <v>158</v>
      </c>
      <c r="H99" s="2" t="s">
        <v>107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57"/>
        <v>271</v>
      </c>
      <c r="P99" s="2">
        <f t="shared" si="58"/>
        <v>271</v>
      </c>
      <c r="Q99" s="2">
        <f t="shared" ref="Q99:Q106" si="109">(ROUND((ROUND(((ET99)*AV99*I99),2)*BB99),2)+ROUND((ROUND(((AE99-(EU99))*AV99*I99),2)*BS99),2))</f>
        <v>0</v>
      </c>
      <c r="R99" s="2">
        <f t="shared" ref="R99:R106" si="110">(ROUND((ROUND(((EU99)*AV99*I99),2)*BS99),2)+ROUND((ROUND(((AE99-(EU99))*AV99*I99),2)*BS99),2))</f>
        <v>0</v>
      </c>
      <c r="S99" s="2">
        <f t="shared" si="59"/>
        <v>0</v>
      </c>
      <c r="T99" s="2">
        <f t="shared" si="60"/>
        <v>0</v>
      </c>
      <c r="U99" s="2">
        <f t="shared" si="61"/>
        <v>0</v>
      </c>
      <c r="V99" s="2">
        <f t="shared" si="62"/>
        <v>0</v>
      </c>
      <c r="W99" s="2">
        <f t="shared" si="63"/>
        <v>0</v>
      </c>
      <c r="X99" s="2">
        <f t="shared" ref="X99:X106" si="111">(ROUND((((S99+ROUND((ROUND(((EU99)*AV99*I99),2)*BS99),2))*AT99)/100),2)+ROUND(((ROUND((ROUND(((AE99-(EU99))*AV99*I99),2)*BS99),2)*AT99)/100),2))</f>
        <v>0</v>
      </c>
      <c r="Y99" s="2">
        <f t="shared" ref="Y99:Y106" si="112">(ROUND((((S99+ROUND((ROUND(((EU99)*AV99*I99),2)*BS99),2))*AU99)/100),2)+ROUND(((ROUND((ROUND(((AE99-(EU99))*AV99*I99),2)*BS99),2)*AU99)/100),2))</f>
        <v>0</v>
      </c>
      <c r="Z99" s="2"/>
      <c r="AA99" s="2">
        <v>60255014</v>
      </c>
      <c r="AB99" s="2">
        <f t="shared" si="64"/>
        <v>271</v>
      </c>
      <c r="AC99" s="2">
        <f t="shared" si="65"/>
        <v>271</v>
      </c>
      <c r="AD99" s="2">
        <f t="shared" ref="AD99:AD106" si="113">ROUND((((ET99)-(EU99))+AE99),6)</f>
        <v>0</v>
      </c>
      <c r="AE99" s="2">
        <f t="shared" ref="AE99:AF106" si="114">ROUND((EU99),6)</f>
        <v>0</v>
      </c>
      <c r="AF99" s="2">
        <f t="shared" si="114"/>
        <v>0</v>
      </c>
      <c r="AG99" s="2">
        <f t="shared" si="66"/>
        <v>0</v>
      </c>
      <c r="AH99" s="2">
        <f t="shared" ref="AH99:AI106" si="115">(EW99)</f>
        <v>0</v>
      </c>
      <c r="AI99" s="2">
        <f t="shared" si="115"/>
        <v>0</v>
      </c>
      <c r="AJ99" s="2">
        <f t="shared" si="67"/>
        <v>0</v>
      </c>
      <c r="AK99" s="2">
        <v>271</v>
      </c>
      <c r="AL99" s="2">
        <v>271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1</v>
      </c>
      <c r="BJ99" s="2" t="s">
        <v>3</v>
      </c>
      <c r="BK99" s="2"/>
      <c r="BL99" s="2"/>
      <c r="BM99" s="2">
        <v>400002</v>
      </c>
      <c r="BN99" s="2">
        <v>0</v>
      </c>
      <c r="BO99" s="2" t="s">
        <v>3</v>
      </c>
      <c r="BP99" s="2">
        <v>0</v>
      </c>
      <c r="BQ99" s="2">
        <v>202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68"/>
        <v>271</v>
      </c>
      <c r="CQ99" s="2">
        <f t="shared" si="69"/>
        <v>271</v>
      </c>
      <c r="CR99" s="2">
        <f t="shared" ref="CR99:CR106" si="116">(ROUND((ROUND(((ET99)*AV99*1),2)*BB99),2)+ROUND((ROUND(((AE99-(EU99))*AV99*1),2)*BS99),2))</f>
        <v>0</v>
      </c>
      <c r="CS99" s="2">
        <f t="shared" ref="CS99:CS106" si="117">(ROUND((ROUND(((EU99)*AV99*1),2)*BS99),2)+ROUND((ROUND(((AE99-(EU99))*AV99*1),2)*BS99),2))</f>
        <v>0</v>
      </c>
      <c r="CT99" s="2">
        <f t="shared" si="70"/>
        <v>0</v>
      </c>
      <c r="CU99" s="2">
        <f t="shared" si="71"/>
        <v>0</v>
      </c>
      <c r="CV99" s="2">
        <f t="shared" si="72"/>
        <v>0</v>
      </c>
      <c r="CW99" s="2">
        <f t="shared" si="73"/>
        <v>0</v>
      </c>
      <c r="CX99" s="2">
        <f t="shared" si="74"/>
        <v>0</v>
      </c>
      <c r="CY99" s="2">
        <f t="shared" ref="CY99:CY106" si="118">(ROUND((((S99+ROUND((ROUND(((EU99)*AV99*1),2)*BS99),2))*AT99)/100),2)+ROUND(((ROUND((ROUND(((AE99-(EU99))*AV99*1),2)*BS99),2)*AT99)/100),2))</f>
        <v>0</v>
      </c>
      <c r="CZ99" s="2">
        <f t="shared" ref="CZ99:CZ106" si="119"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107</v>
      </c>
      <c r="DW99" s="2" t="s">
        <v>107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60088211</v>
      </c>
      <c r="EF99" s="2">
        <v>202</v>
      </c>
      <c r="EG99" s="2" t="s">
        <v>108</v>
      </c>
      <c r="EH99" s="2">
        <v>0</v>
      </c>
      <c r="EI99" s="2" t="s">
        <v>3</v>
      </c>
      <c r="EJ99" s="2">
        <v>1</v>
      </c>
      <c r="EK99" s="2">
        <v>400002</v>
      </c>
      <c r="EL99" s="2" t="s">
        <v>109</v>
      </c>
      <c r="EM99" s="2" t="s">
        <v>108</v>
      </c>
      <c r="EN99" s="2"/>
      <c r="EO99" s="2" t="s">
        <v>3</v>
      </c>
      <c r="EP99" s="2"/>
      <c r="EQ99" s="2">
        <v>0</v>
      </c>
      <c r="ER99" s="2">
        <v>0</v>
      </c>
      <c r="ES99" s="2">
        <v>271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159</v>
      </c>
      <c r="GB99" s="2"/>
      <c r="GC99" s="2"/>
      <c r="GD99" s="2">
        <v>1</v>
      </c>
      <c r="GE99" s="2"/>
      <c r="GF99" s="2">
        <v>-1636431227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75"/>
        <v>0</v>
      </c>
      <c r="GM99" s="2">
        <f t="shared" si="76"/>
        <v>271</v>
      </c>
      <c r="GN99" s="2">
        <f t="shared" si="77"/>
        <v>271</v>
      </c>
      <c r="GO99" s="2">
        <f t="shared" si="78"/>
        <v>0</v>
      </c>
      <c r="GP99" s="2">
        <f t="shared" si="79"/>
        <v>0</v>
      </c>
      <c r="GQ99" s="2"/>
      <c r="GR99" s="2">
        <v>0</v>
      </c>
      <c r="GS99" s="2">
        <v>2</v>
      </c>
      <c r="GT99" s="2">
        <v>0</v>
      </c>
      <c r="GU99" s="2" t="s">
        <v>3</v>
      </c>
      <c r="GV99" s="2">
        <f t="shared" si="80"/>
        <v>0</v>
      </c>
      <c r="GW99" s="2">
        <v>1</v>
      </c>
      <c r="GX99" s="2">
        <f t="shared" si="81"/>
        <v>0</v>
      </c>
      <c r="GY99" s="2"/>
      <c r="GZ99" s="2"/>
      <c r="HA99" s="2">
        <v>0</v>
      </c>
      <c r="HB99" s="2">
        <v>0</v>
      </c>
      <c r="HC99" s="2">
        <f t="shared" si="82"/>
        <v>0</v>
      </c>
      <c r="HD99" s="2"/>
      <c r="HE99" s="2" t="s">
        <v>111</v>
      </c>
      <c r="HF99" s="2" t="s">
        <v>28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E100" t="s">
        <v>156</v>
      </c>
      <c r="F100" t="s">
        <v>157</v>
      </c>
      <c r="G100" t="s">
        <v>158</v>
      </c>
      <c r="H100" t="s">
        <v>107</v>
      </c>
      <c r="I100">
        <v>1</v>
      </c>
      <c r="J100">
        <v>0</v>
      </c>
      <c r="K100">
        <v>1</v>
      </c>
      <c r="O100">
        <f t="shared" si="57"/>
        <v>2677.48</v>
      </c>
      <c r="P100">
        <f t="shared" si="58"/>
        <v>2677.48</v>
      </c>
      <c r="Q100">
        <f t="shared" si="109"/>
        <v>0</v>
      </c>
      <c r="R100">
        <f t="shared" si="110"/>
        <v>0</v>
      </c>
      <c r="S100">
        <f t="shared" si="59"/>
        <v>0</v>
      </c>
      <c r="T100">
        <f t="shared" si="60"/>
        <v>0</v>
      </c>
      <c r="U100">
        <f t="shared" si="61"/>
        <v>0</v>
      </c>
      <c r="V100">
        <f t="shared" si="62"/>
        <v>0</v>
      </c>
      <c r="W100">
        <f t="shared" si="63"/>
        <v>0</v>
      </c>
      <c r="X100">
        <f t="shared" si="111"/>
        <v>0</v>
      </c>
      <c r="Y100">
        <f t="shared" si="112"/>
        <v>0</v>
      </c>
      <c r="AA100">
        <v>60255011</v>
      </c>
      <c r="AB100">
        <f t="shared" si="64"/>
        <v>271</v>
      </c>
      <c r="AC100">
        <f t="shared" si="65"/>
        <v>271</v>
      </c>
      <c r="AD100">
        <f t="shared" si="113"/>
        <v>0</v>
      </c>
      <c r="AE100">
        <f t="shared" si="114"/>
        <v>0</v>
      </c>
      <c r="AF100">
        <f t="shared" si="114"/>
        <v>0</v>
      </c>
      <c r="AG100">
        <f t="shared" si="66"/>
        <v>0</v>
      </c>
      <c r="AH100">
        <f t="shared" si="115"/>
        <v>0</v>
      </c>
      <c r="AI100">
        <f t="shared" si="115"/>
        <v>0</v>
      </c>
      <c r="AJ100">
        <f t="shared" si="67"/>
        <v>0</v>
      </c>
      <c r="AK100">
        <v>271</v>
      </c>
      <c r="AL100">
        <v>271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</v>
      </c>
      <c r="AZ100">
        <v>1</v>
      </c>
      <c r="BA100">
        <v>1</v>
      </c>
      <c r="BB100">
        <v>1</v>
      </c>
      <c r="BC100">
        <v>9.8800000000000008</v>
      </c>
      <c r="BD100" t="s">
        <v>3</v>
      </c>
      <c r="BE100" t="s">
        <v>3</v>
      </c>
      <c r="BF100" t="s">
        <v>3</v>
      </c>
      <c r="BG100" t="s">
        <v>3</v>
      </c>
      <c r="BH100">
        <v>3</v>
      </c>
      <c r="BI100">
        <v>1</v>
      </c>
      <c r="BJ100" t="s">
        <v>3</v>
      </c>
      <c r="BM100">
        <v>400002</v>
      </c>
      <c r="BN100">
        <v>0</v>
      </c>
      <c r="BO100" t="s">
        <v>3</v>
      </c>
      <c r="BP100">
        <v>0</v>
      </c>
      <c r="BQ100">
        <v>202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0</v>
      </c>
      <c r="CA100">
        <v>0</v>
      </c>
      <c r="CB100" t="s">
        <v>3</v>
      </c>
      <c r="CE100">
        <v>1566</v>
      </c>
      <c r="CF100">
        <v>0</v>
      </c>
      <c r="CG100">
        <v>0</v>
      </c>
      <c r="CM100">
        <v>0</v>
      </c>
      <c r="CN100" t="s">
        <v>3</v>
      </c>
      <c r="CO100">
        <v>0</v>
      </c>
      <c r="CP100">
        <f t="shared" si="68"/>
        <v>2677.48</v>
      </c>
      <c r="CQ100">
        <f t="shared" si="69"/>
        <v>2677.48</v>
      </c>
      <c r="CR100">
        <f t="shared" si="116"/>
        <v>0</v>
      </c>
      <c r="CS100">
        <f t="shared" si="117"/>
        <v>0</v>
      </c>
      <c r="CT100">
        <f t="shared" si="70"/>
        <v>0</v>
      </c>
      <c r="CU100">
        <f t="shared" si="71"/>
        <v>0</v>
      </c>
      <c r="CV100">
        <f t="shared" si="72"/>
        <v>0</v>
      </c>
      <c r="CW100">
        <f t="shared" si="73"/>
        <v>0</v>
      </c>
      <c r="CX100">
        <f t="shared" si="74"/>
        <v>0</v>
      </c>
      <c r="CY100">
        <f t="shared" si="118"/>
        <v>0</v>
      </c>
      <c r="CZ100">
        <f t="shared" si="119"/>
        <v>0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>
        <v>0</v>
      </c>
      <c r="DO100">
        <v>0</v>
      </c>
      <c r="DP100">
        <v>1</v>
      </c>
      <c r="DQ100">
        <v>1</v>
      </c>
      <c r="DU100">
        <v>1013</v>
      </c>
      <c r="DV100" t="s">
        <v>107</v>
      </c>
      <c r="DW100" t="s">
        <v>107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60088211</v>
      </c>
      <c r="EF100">
        <v>202</v>
      </c>
      <c r="EG100" t="s">
        <v>108</v>
      </c>
      <c r="EH100">
        <v>0</v>
      </c>
      <c r="EI100" t="s">
        <v>3</v>
      </c>
      <c r="EJ100">
        <v>1</v>
      </c>
      <c r="EK100">
        <v>400002</v>
      </c>
      <c r="EL100" t="s">
        <v>109</v>
      </c>
      <c r="EM100" t="s">
        <v>108</v>
      </c>
      <c r="EO100" t="s">
        <v>3</v>
      </c>
      <c r="EQ100">
        <v>0</v>
      </c>
      <c r="ER100">
        <v>271</v>
      </c>
      <c r="ES100">
        <v>271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5</v>
      </c>
      <c r="FC100">
        <v>1</v>
      </c>
      <c r="FD100">
        <v>18</v>
      </c>
      <c r="FF100">
        <v>3150</v>
      </c>
      <c r="FQ100">
        <v>0</v>
      </c>
      <c r="FR100">
        <v>0</v>
      </c>
      <c r="FS100">
        <v>0</v>
      </c>
      <c r="FX100">
        <v>0</v>
      </c>
      <c r="FY100">
        <v>0</v>
      </c>
      <c r="GA100" t="s">
        <v>159</v>
      </c>
      <c r="GD100">
        <v>1</v>
      </c>
      <c r="GF100">
        <v>-1636431227</v>
      </c>
      <c r="GG100">
        <v>2</v>
      </c>
      <c r="GH100">
        <v>3</v>
      </c>
      <c r="GI100">
        <v>5</v>
      </c>
      <c r="GJ100">
        <v>0</v>
      </c>
      <c r="GK100">
        <v>0</v>
      </c>
      <c r="GL100">
        <f t="shared" si="75"/>
        <v>0</v>
      </c>
      <c r="GM100">
        <f t="shared" si="76"/>
        <v>2677.48</v>
      </c>
      <c r="GN100">
        <f t="shared" si="77"/>
        <v>2677.48</v>
      </c>
      <c r="GO100">
        <f t="shared" si="78"/>
        <v>0</v>
      </c>
      <c r="GP100">
        <f t="shared" si="79"/>
        <v>0</v>
      </c>
      <c r="GR100">
        <v>1</v>
      </c>
      <c r="GS100">
        <v>1</v>
      </c>
      <c r="GT100">
        <v>0</v>
      </c>
      <c r="GU100" t="s">
        <v>3</v>
      </c>
      <c r="GV100">
        <f t="shared" si="80"/>
        <v>0</v>
      </c>
      <c r="GW100">
        <v>1</v>
      </c>
      <c r="GX100">
        <f t="shared" si="81"/>
        <v>0</v>
      </c>
      <c r="HA100">
        <v>0</v>
      </c>
      <c r="HB100">
        <v>0</v>
      </c>
      <c r="HC100">
        <f t="shared" si="82"/>
        <v>0</v>
      </c>
      <c r="HE100" t="s">
        <v>111</v>
      </c>
      <c r="HF100" t="s">
        <v>28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/>
      <c r="D101" s="2"/>
      <c r="E101" s="2" t="s">
        <v>160</v>
      </c>
      <c r="F101" s="2" t="s">
        <v>161</v>
      </c>
      <c r="G101" s="2" t="s">
        <v>162</v>
      </c>
      <c r="H101" s="2" t="s">
        <v>107</v>
      </c>
      <c r="I101" s="2">
        <v>5</v>
      </c>
      <c r="J101" s="2">
        <v>0</v>
      </c>
      <c r="K101" s="2">
        <v>5</v>
      </c>
      <c r="L101" s="2"/>
      <c r="M101" s="2"/>
      <c r="N101" s="2"/>
      <c r="O101" s="2">
        <f t="shared" ref="O101:O132" si="120">ROUND(CP101,2)</f>
        <v>1974.45</v>
      </c>
      <c r="P101" s="2">
        <f t="shared" ref="P101:P132" si="121">ROUND((ROUND((AC101*AW101*I101),2)*BC101),2)</f>
        <v>1974.45</v>
      </c>
      <c r="Q101" s="2">
        <f t="shared" si="109"/>
        <v>0</v>
      </c>
      <c r="R101" s="2">
        <f t="shared" si="110"/>
        <v>0</v>
      </c>
      <c r="S101" s="2">
        <f t="shared" ref="S101:S132" si="122">ROUND((ROUND((AF101*AV101*I101),2)*BA101),2)</f>
        <v>0</v>
      </c>
      <c r="T101" s="2">
        <f t="shared" ref="T101:T132" si="123">ROUND(CU101*I101,2)</f>
        <v>0</v>
      </c>
      <c r="U101" s="2">
        <f t="shared" ref="U101:U132" si="124">CV101*I101</f>
        <v>0</v>
      </c>
      <c r="V101" s="2">
        <f t="shared" ref="V101:V132" si="125">CW101*I101</f>
        <v>0</v>
      </c>
      <c r="W101" s="2">
        <f t="shared" ref="W101:W132" si="126">ROUND(CX101*I101,2)</f>
        <v>0</v>
      </c>
      <c r="X101" s="2">
        <f t="shared" si="111"/>
        <v>0</v>
      </c>
      <c r="Y101" s="2">
        <f t="shared" si="112"/>
        <v>0</v>
      </c>
      <c r="Z101" s="2"/>
      <c r="AA101" s="2">
        <v>60255014</v>
      </c>
      <c r="AB101" s="2">
        <f t="shared" ref="AB101:AB132" si="127">ROUND((AC101+AD101+AF101),6)</f>
        <v>394.89</v>
      </c>
      <c r="AC101" s="2">
        <f t="shared" ref="AC101:AC132" si="128">ROUND((ES101),6)</f>
        <v>394.89</v>
      </c>
      <c r="AD101" s="2">
        <f t="shared" si="113"/>
        <v>0</v>
      </c>
      <c r="AE101" s="2">
        <f t="shared" si="114"/>
        <v>0</v>
      </c>
      <c r="AF101" s="2">
        <f t="shared" si="114"/>
        <v>0</v>
      </c>
      <c r="AG101" s="2">
        <f t="shared" ref="AG101:AG132" si="129">ROUND((AP101),6)</f>
        <v>0</v>
      </c>
      <c r="AH101" s="2">
        <f t="shared" si="115"/>
        <v>0</v>
      </c>
      <c r="AI101" s="2">
        <f t="shared" si="115"/>
        <v>0</v>
      </c>
      <c r="AJ101" s="2">
        <f t="shared" ref="AJ101:AJ132" si="130">(AS101)</f>
        <v>0</v>
      </c>
      <c r="AK101" s="2">
        <v>394.89</v>
      </c>
      <c r="AL101" s="2">
        <v>394.89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1</v>
      </c>
      <c r="BJ101" s="2" t="s">
        <v>3</v>
      </c>
      <c r="BK101" s="2"/>
      <c r="BL101" s="2"/>
      <c r="BM101" s="2">
        <v>400002</v>
      </c>
      <c r="BN101" s="2">
        <v>0</v>
      </c>
      <c r="BO101" s="2" t="s">
        <v>3</v>
      </c>
      <c r="BP101" s="2">
        <v>0</v>
      </c>
      <c r="BQ101" s="2">
        <v>202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ref="CP101:CP132" si="131">(P101+Q101+S101)</f>
        <v>1974.45</v>
      </c>
      <c r="CQ101" s="2">
        <f t="shared" ref="CQ101:CQ132" si="132">ROUND((ROUND((AC101*AW101*1),2)*BC101),2)</f>
        <v>394.89</v>
      </c>
      <c r="CR101" s="2">
        <f t="shared" si="116"/>
        <v>0</v>
      </c>
      <c r="CS101" s="2">
        <f t="shared" si="117"/>
        <v>0</v>
      </c>
      <c r="CT101" s="2">
        <f t="shared" ref="CT101:CT132" si="133">ROUND((ROUND((AF101*AV101*1),2)*BA101),2)</f>
        <v>0</v>
      </c>
      <c r="CU101" s="2">
        <f t="shared" ref="CU101:CU132" si="134">AG101</f>
        <v>0</v>
      </c>
      <c r="CV101" s="2">
        <f t="shared" ref="CV101:CV132" si="135">(AH101*AV101)</f>
        <v>0</v>
      </c>
      <c r="CW101" s="2">
        <f t="shared" ref="CW101:CW132" si="136">AI101</f>
        <v>0</v>
      </c>
      <c r="CX101" s="2">
        <f t="shared" ref="CX101:CX132" si="137">AJ101</f>
        <v>0</v>
      </c>
      <c r="CY101" s="2">
        <f t="shared" si="118"/>
        <v>0</v>
      </c>
      <c r="CZ101" s="2">
        <f t="shared" si="119"/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107</v>
      </c>
      <c r="DW101" s="2" t="s">
        <v>107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60088211</v>
      </c>
      <c r="EF101" s="2">
        <v>202</v>
      </c>
      <c r="EG101" s="2" t="s">
        <v>108</v>
      </c>
      <c r="EH101" s="2">
        <v>0</v>
      </c>
      <c r="EI101" s="2" t="s">
        <v>3</v>
      </c>
      <c r="EJ101" s="2">
        <v>1</v>
      </c>
      <c r="EK101" s="2">
        <v>400002</v>
      </c>
      <c r="EL101" s="2" t="s">
        <v>109</v>
      </c>
      <c r="EM101" s="2" t="s">
        <v>108</v>
      </c>
      <c r="EN101" s="2"/>
      <c r="EO101" s="2" t="s">
        <v>3</v>
      </c>
      <c r="EP101" s="2"/>
      <c r="EQ101" s="2">
        <v>0</v>
      </c>
      <c r="ER101" s="2">
        <v>0</v>
      </c>
      <c r="ES101" s="2">
        <v>394.89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163</v>
      </c>
      <c r="GB101" s="2"/>
      <c r="GC101" s="2"/>
      <c r="GD101" s="2">
        <v>1</v>
      </c>
      <c r="GE101" s="2"/>
      <c r="GF101" s="2">
        <v>282036246</v>
      </c>
      <c r="GG101" s="2">
        <v>2</v>
      </c>
      <c r="GH101" s="2">
        <v>4</v>
      </c>
      <c r="GI101" s="2">
        <v>-2</v>
      </c>
      <c r="GJ101" s="2">
        <v>0</v>
      </c>
      <c r="GK101" s="2">
        <v>0</v>
      </c>
      <c r="GL101" s="2">
        <f t="shared" ref="GL101:GL132" si="138">ROUND(IF(AND(BH101=3,BI101=3,FS101&lt;&gt;0),P101,0),2)</f>
        <v>0</v>
      </c>
      <c r="GM101" s="2">
        <f t="shared" ref="GM101:GM132" si="139">ROUND(O101+X101+Y101,2)+GX101</f>
        <v>1974.45</v>
      </c>
      <c r="GN101" s="2">
        <f t="shared" ref="GN101:GN132" si="140">IF(OR(BI101=0,BI101=1),GM101-GX101,0)</f>
        <v>1974.45</v>
      </c>
      <c r="GO101" s="2">
        <f t="shared" ref="GO101:GO132" si="141">IF(BI101=2,GM101-GX101,0)</f>
        <v>0</v>
      </c>
      <c r="GP101" s="2">
        <f t="shared" ref="GP101:GP132" si="142">IF(BI101=4,GM101-GX101,0)</f>
        <v>0</v>
      </c>
      <c r="GQ101" s="2"/>
      <c r="GR101" s="2">
        <v>0</v>
      </c>
      <c r="GS101" s="2">
        <v>2</v>
      </c>
      <c r="GT101" s="2">
        <v>0</v>
      </c>
      <c r="GU101" s="2" t="s">
        <v>3</v>
      </c>
      <c r="GV101" s="2">
        <f t="shared" ref="GV101:GV132" si="143">ROUND((GT101),6)</f>
        <v>0</v>
      </c>
      <c r="GW101" s="2">
        <v>1</v>
      </c>
      <c r="GX101" s="2">
        <f t="shared" ref="GX101:GX132" si="144">ROUND(HC101*I101,2)</f>
        <v>0</v>
      </c>
      <c r="GY101" s="2"/>
      <c r="GZ101" s="2"/>
      <c r="HA101" s="2">
        <v>0</v>
      </c>
      <c r="HB101" s="2">
        <v>0</v>
      </c>
      <c r="HC101" s="2">
        <f t="shared" ref="HC101:HC132" si="145">GV101*GW101</f>
        <v>0</v>
      </c>
      <c r="HD101" s="2"/>
      <c r="HE101" s="2" t="s">
        <v>111</v>
      </c>
      <c r="HF101" s="2" t="s">
        <v>28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E102" t="s">
        <v>160</v>
      </c>
      <c r="F102" t="s">
        <v>161</v>
      </c>
      <c r="G102" t="s">
        <v>162</v>
      </c>
      <c r="H102" t="s">
        <v>107</v>
      </c>
      <c r="I102">
        <v>5</v>
      </c>
      <c r="J102">
        <v>0</v>
      </c>
      <c r="K102">
        <v>5</v>
      </c>
      <c r="O102">
        <f t="shared" si="120"/>
        <v>19507.57</v>
      </c>
      <c r="P102">
        <f t="shared" si="121"/>
        <v>19507.57</v>
      </c>
      <c r="Q102">
        <f t="shared" si="109"/>
        <v>0</v>
      </c>
      <c r="R102">
        <f t="shared" si="110"/>
        <v>0</v>
      </c>
      <c r="S102">
        <f t="shared" si="122"/>
        <v>0</v>
      </c>
      <c r="T102">
        <f t="shared" si="123"/>
        <v>0</v>
      </c>
      <c r="U102">
        <f t="shared" si="124"/>
        <v>0</v>
      </c>
      <c r="V102">
        <f t="shared" si="125"/>
        <v>0</v>
      </c>
      <c r="W102">
        <f t="shared" si="126"/>
        <v>0</v>
      </c>
      <c r="X102">
        <f t="shared" si="111"/>
        <v>0</v>
      </c>
      <c r="Y102">
        <f t="shared" si="112"/>
        <v>0</v>
      </c>
      <c r="AA102">
        <v>60255011</v>
      </c>
      <c r="AB102">
        <f t="shared" si="127"/>
        <v>394.89</v>
      </c>
      <c r="AC102">
        <f t="shared" si="128"/>
        <v>394.89</v>
      </c>
      <c r="AD102">
        <f t="shared" si="113"/>
        <v>0</v>
      </c>
      <c r="AE102">
        <f t="shared" si="114"/>
        <v>0</v>
      </c>
      <c r="AF102">
        <f t="shared" si="114"/>
        <v>0</v>
      </c>
      <c r="AG102">
        <f t="shared" si="129"/>
        <v>0</v>
      </c>
      <c r="AH102">
        <f t="shared" si="115"/>
        <v>0</v>
      </c>
      <c r="AI102">
        <f t="shared" si="115"/>
        <v>0</v>
      </c>
      <c r="AJ102">
        <f t="shared" si="130"/>
        <v>0</v>
      </c>
      <c r="AK102">
        <v>394.89</v>
      </c>
      <c r="AL102">
        <v>394.89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Z102">
        <v>1</v>
      </c>
      <c r="BA102">
        <v>1</v>
      </c>
      <c r="BB102">
        <v>1</v>
      </c>
      <c r="BC102">
        <v>9.8800000000000008</v>
      </c>
      <c r="BD102" t="s">
        <v>3</v>
      </c>
      <c r="BE102" t="s">
        <v>3</v>
      </c>
      <c r="BF102" t="s">
        <v>3</v>
      </c>
      <c r="BG102" t="s">
        <v>3</v>
      </c>
      <c r="BH102">
        <v>3</v>
      </c>
      <c r="BI102">
        <v>1</v>
      </c>
      <c r="BJ102" t="s">
        <v>3</v>
      </c>
      <c r="BM102">
        <v>400002</v>
      </c>
      <c r="BN102">
        <v>0</v>
      </c>
      <c r="BO102" t="s">
        <v>3</v>
      </c>
      <c r="BP102">
        <v>0</v>
      </c>
      <c r="BQ102">
        <v>202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0</v>
      </c>
      <c r="CA102">
        <v>0</v>
      </c>
      <c r="CB102" t="s">
        <v>3</v>
      </c>
      <c r="CE102">
        <v>1566</v>
      </c>
      <c r="CF102">
        <v>0</v>
      </c>
      <c r="CG102">
        <v>0</v>
      </c>
      <c r="CM102">
        <v>0</v>
      </c>
      <c r="CN102" t="s">
        <v>3</v>
      </c>
      <c r="CO102">
        <v>0</v>
      </c>
      <c r="CP102">
        <f t="shared" si="131"/>
        <v>19507.57</v>
      </c>
      <c r="CQ102">
        <f t="shared" si="132"/>
        <v>3901.51</v>
      </c>
      <c r="CR102">
        <f t="shared" si="116"/>
        <v>0</v>
      </c>
      <c r="CS102">
        <f t="shared" si="117"/>
        <v>0</v>
      </c>
      <c r="CT102">
        <f t="shared" si="133"/>
        <v>0</v>
      </c>
      <c r="CU102">
        <f t="shared" si="134"/>
        <v>0</v>
      </c>
      <c r="CV102">
        <f t="shared" si="135"/>
        <v>0</v>
      </c>
      <c r="CW102">
        <f t="shared" si="136"/>
        <v>0</v>
      </c>
      <c r="CX102">
        <f t="shared" si="137"/>
        <v>0</v>
      </c>
      <c r="CY102">
        <f t="shared" si="118"/>
        <v>0</v>
      </c>
      <c r="CZ102">
        <f t="shared" si="119"/>
        <v>0</v>
      </c>
      <c r="DC102" t="s">
        <v>3</v>
      </c>
      <c r="DD102" t="s">
        <v>3</v>
      </c>
      <c r="DE102" t="s">
        <v>3</v>
      </c>
      <c r="DF102" t="s">
        <v>3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>
        <v>0</v>
      </c>
      <c r="DO102">
        <v>0</v>
      </c>
      <c r="DP102">
        <v>1</v>
      </c>
      <c r="DQ102">
        <v>1</v>
      </c>
      <c r="DU102">
        <v>1013</v>
      </c>
      <c r="DV102" t="s">
        <v>107</v>
      </c>
      <c r="DW102" t="s">
        <v>107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60088211</v>
      </c>
      <c r="EF102">
        <v>202</v>
      </c>
      <c r="EG102" t="s">
        <v>108</v>
      </c>
      <c r="EH102">
        <v>0</v>
      </c>
      <c r="EI102" t="s">
        <v>3</v>
      </c>
      <c r="EJ102">
        <v>1</v>
      </c>
      <c r="EK102">
        <v>400002</v>
      </c>
      <c r="EL102" t="s">
        <v>109</v>
      </c>
      <c r="EM102" t="s">
        <v>108</v>
      </c>
      <c r="EO102" t="s">
        <v>3</v>
      </c>
      <c r="EQ102">
        <v>0</v>
      </c>
      <c r="ER102">
        <v>394.89</v>
      </c>
      <c r="ES102">
        <v>394.89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5</v>
      </c>
      <c r="FC102">
        <v>1</v>
      </c>
      <c r="FD102">
        <v>18</v>
      </c>
      <c r="FF102">
        <v>4590</v>
      </c>
      <c r="FQ102">
        <v>0</v>
      </c>
      <c r="FR102">
        <v>0</v>
      </c>
      <c r="FS102">
        <v>0</v>
      </c>
      <c r="FX102">
        <v>0</v>
      </c>
      <c r="FY102">
        <v>0</v>
      </c>
      <c r="GA102" t="s">
        <v>163</v>
      </c>
      <c r="GD102">
        <v>1</v>
      </c>
      <c r="GF102">
        <v>282036246</v>
      </c>
      <c r="GG102">
        <v>2</v>
      </c>
      <c r="GH102">
        <v>3</v>
      </c>
      <c r="GI102">
        <v>5</v>
      </c>
      <c r="GJ102">
        <v>0</v>
      </c>
      <c r="GK102">
        <v>0</v>
      </c>
      <c r="GL102">
        <f t="shared" si="138"/>
        <v>0</v>
      </c>
      <c r="GM102">
        <f t="shared" si="139"/>
        <v>19507.57</v>
      </c>
      <c r="GN102">
        <f t="shared" si="140"/>
        <v>19507.57</v>
      </c>
      <c r="GO102">
        <f t="shared" si="141"/>
        <v>0</v>
      </c>
      <c r="GP102">
        <f t="shared" si="142"/>
        <v>0</v>
      </c>
      <c r="GR102">
        <v>1</v>
      </c>
      <c r="GS102">
        <v>1</v>
      </c>
      <c r="GT102">
        <v>0</v>
      </c>
      <c r="GU102" t="s">
        <v>3</v>
      </c>
      <c r="GV102">
        <f t="shared" si="143"/>
        <v>0</v>
      </c>
      <c r="GW102">
        <v>1</v>
      </c>
      <c r="GX102">
        <f t="shared" si="144"/>
        <v>0</v>
      </c>
      <c r="HA102">
        <v>0</v>
      </c>
      <c r="HB102">
        <v>0</v>
      </c>
      <c r="HC102">
        <f t="shared" si="145"/>
        <v>0</v>
      </c>
      <c r="HE102" t="s">
        <v>111</v>
      </c>
      <c r="HF102" t="s">
        <v>28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164</v>
      </c>
      <c r="F103" s="2" t="s">
        <v>165</v>
      </c>
      <c r="G103" s="2" t="s">
        <v>166</v>
      </c>
      <c r="H103" s="2" t="s">
        <v>107</v>
      </c>
      <c r="I103" s="2">
        <v>8</v>
      </c>
      <c r="J103" s="2">
        <v>0</v>
      </c>
      <c r="K103" s="2">
        <v>8</v>
      </c>
      <c r="L103" s="2"/>
      <c r="M103" s="2"/>
      <c r="N103" s="2"/>
      <c r="O103" s="2">
        <f t="shared" si="120"/>
        <v>4143.3599999999997</v>
      </c>
      <c r="P103" s="2">
        <f t="shared" si="121"/>
        <v>4143.3599999999997</v>
      </c>
      <c r="Q103" s="2">
        <f t="shared" si="109"/>
        <v>0</v>
      </c>
      <c r="R103" s="2">
        <f t="shared" si="110"/>
        <v>0</v>
      </c>
      <c r="S103" s="2">
        <f t="shared" si="122"/>
        <v>0</v>
      </c>
      <c r="T103" s="2">
        <f t="shared" si="123"/>
        <v>0</v>
      </c>
      <c r="U103" s="2">
        <f t="shared" si="124"/>
        <v>0</v>
      </c>
      <c r="V103" s="2">
        <f t="shared" si="125"/>
        <v>0</v>
      </c>
      <c r="W103" s="2">
        <f t="shared" si="126"/>
        <v>0</v>
      </c>
      <c r="X103" s="2">
        <f t="shared" si="111"/>
        <v>0</v>
      </c>
      <c r="Y103" s="2">
        <f t="shared" si="112"/>
        <v>0</v>
      </c>
      <c r="Z103" s="2"/>
      <c r="AA103" s="2">
        <v>60255014</v>
      </c>
      <c r="AB103" s="2">
        <f t="shared" si="127"/>
        <v>517.91999999999996</v>
      </c>
      <c r="AC103" s="2">
        <f t="shared" si="128"/>
        <v>517.91999999999996</v>
      </c>
      <c r="AD103" s="2">
        <f t="shared" si="113"/>
        <v>0</v>
      </c>
      <c r="AE103" s="2">
        <f t="shared" si="114"/>
        <v>0</v>
      </c>
      <c r="AF103" s="2">
        <f t="shared" si="114"/>
        <v>0</v>
      </c>
      <c r="AG103" s="2">
        <f t="shared" si="129"/>
        <v>0</v>
      </c>
      <c r="AH103" s="2">
        <f t="shared" si="115"/>
        <v>0</v>
      </c>
      <c r="AI103" s="2">
        <f t="shared" si="115"/>
        <v>0</v>
      </c>
      <c r="AJ103" s="2">
        <f t="shared" si="130"/>
        <v>0</v>
      </c>
      <c r="AK103" s="2">
        <v>517.91999999999996</v>
      </c>
      <c r="AL103" s="2">
        <v>517.91999999999996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1</v>
      </c>
      <c r="BJ103" s="2" t="s">
        <v>3</v>
      </c>
      <c r="BK103" s="2"/>
      <c r="BL103" s="2"/>
      <c r="BM103" s="2">
        <v>400002</v>
      </c>
      <c r="BN103" s="2">
        <v>0</v>
      </c>
      <c r="BO103" s="2" t="s">
        <v>3</v>
      </c>
      <c r="BP103" s="2">
        <v>0</v>
      </c>
      <c r="BQ103" s="2">
        <v>202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131"/>
        <v>4143.3599999999997</v>
      </c>
      <c r="CQ103" s="2">
        <f t="shared" si="132"/>
        <v>517.91999999999996</v>
      </c>
      <c r="CR103" s="2">
        <f t="shared" si="116"/>
        <v>0</v>
      </c>
      <c r="CS103" s="2">
        <f t="shared" si="117"/>
        <v>0</v>
      </c>
      <c r="CT103" s="2">
        <f t="shared" si="133"/>
        <v>0</v>
      </c>
      <c r="CU103" s="2">
        <f t="shared" si="134"/>
        <v>0</v>
      </c>
      <c r="CV103" s="2">
        <f t="shared" si="135"/>
        <v>0</v>
      </c>
      <c r="CW103" s="2">
        <f t="shared" si="136"/>
        <v>0</v>
      </c>
      <c r="CX103" s="2">
        <f t="shared" si="137"/>
        <v>0</v>
      </c>
      <c r="CY103" s="2">
        <f t="shared" si="118"/>
        <v>0</v>
      </c>
      <c r="CZ103" s="2">
        <f t="shared" si="119"/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107</v>
      </c>
      <c r="DW103" s="2" t="s">
        <v>107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60088211</v>
      </c>
      <c r="EF103" s="2">
        <v>202</v>
      </c>
      <c r="EG103" s="2" t="s">
        <v>108</v>
      </c>
      <c r="EH103" s="2">
        <v>0</v>
      </c>
      <c r="EI103" s="2" t="s">
        <v>3</v>
      </c>
      <c r="EJ103" s="2">
        <v>1</v>
      </c>
      <c r="EK103" s="2">
        <v>400002</v>
      </c>
      <c r="EL103" s="2" t="s">
        <v>109</v>
      </c>
      <c r="EM103" s="2" t="s">
        <v>108</v>
      </c>
      <c r="EN103" s="2"/>
      <c r="EO103" s="2" t="s">
        <v>3</v>
      </c>
      <c r="EP103" s="2"/>
      <c r="EQ103" s="2">
        <v>0</v>
      </c>
      <c r="ER103" s="2">
        <v>0</v>
      </c>
      <c r="ES103" s="2">
        <v>517.91999999999996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167</v>
      </c>
      <c r="GB103" s="2"/>
      <c r="GC103" s="2"/>
      <c r="GD103" s="2">
        <v>1</v>
      </c>
      <c r="GE103" s="2"/>
      <c r="GF103" s="2">
        <v>-1138546067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38"/>
        <v>0</v>
      </c>
      <c r="GM103" s="2">
        <f t="shared" si="139"/>
        <v>4143.3599999999997</v>
      </c>
      <c r="GN103" s="2">
        <f t="shared" si="140"/>
        <v>4143.3599999999997</v>
      </c>
      <c r="GO103" s="2">
        <f t="shared" si="141"/>
        <v>0</v>
      </c>
      <c r="GP103" s="2">
        <f t="shared" si="142"/>
        <v>0</v>
      </c>
      <c r="GQ103" s="2"/>
      <c r="GR103" s="2">
        <v>0</v>
      </c>
      <c r="GS103" s="2">
        <v>2</v>
      </c>
      <c r="GT103" s="2">
        <v>0</v>
      </c>
      <c r="GU103" s="2" t="s">
        <v>3</v>
      </c>
      <c r="GV103" s="2">
        <f t="shared" si="143"/>
        <v>0</v>
      </c>
      <c r="GW103" s="2">
        <v>1</v>
      </c>
      <c r="GX103" s="2">
        <f t="shared" si="144"/>
        <v>0</v>
      </c>
      <c r="GY103" s="2"/>
      <c r="GZ103" s="2"/>
      <c r="HA103" s="2">
        <v>0</v>
      </c>
      <c r="HB103" s="2">
        <v>0</v>
      </c>
      <c r="HC103" s="2">
        <f t="shared" si="145"/>
        <v>0</v>
      </c>
      <c r="HD103" s="2"/>
      <c r="HE103" s="2" t="s">
        <v>111</v>
      </c>
      <c r="HF103" s="2" t="s">
        <v>28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E104" t="s">
        <v>164</v>
      </c>
      <c r="F104" t="s">
        <v>165</v>
      </c>
      <c r="G104" t="s">
        <v>166</v>
      </c>
      <c r="H104" t="s">
        <v>107</v>
      </c>
      <c r="I104">
        <v>8</v>
      </c>
      <c r="J104">
        <v>0</v>
      </c>
      <c r="K104">
        <v>8</v>
      </c>
      <c r="O104">
        <f t="shared" si="120"/>
        <v>40936.400000000001</v>
      </c>
      <c r="P104">
        <f t="shared" si="121"/>
        <v>40936.400000000001</v>
      </c>
      <c r="Q104">
        <f t="shared" si="109"/>
        <v>0</v>
      </c>
      <c r="R104">
        <f t="shared" si="110"/>
        <v>0</v>
      </c>
      <c r="S104">
        <f t="shared" si="122"/>
        <v>0</v>
      </c>
      <c r="T104">
        <f t="shared" si="123"/>
        <v>0</v>
      </c>
      <c r="U104">
        <f t="shared" si="124"/>
        <v>0</v>
      </c>
      <c r="V104">
        <f t="shared" si="125"/>
        <v>0</v>
      </c>
      <c r="W104">
        <f t="shared" si="126"/>
        <v>0</v>
      </c>
      <c r="X104">
        <f t="shared" si="111"/>
        <v>0</v>
      </c>
      <c r="Y104">
        <f t="shared" si="112"/>
        <v>0</v>
      </c>
      <c r="AA104">
        <v>60255011</v>
      </c>
      <c r="AB104">
        <f t="shared" si="127"/>
        <v>517.91999999999996</v>
      </c>
      <c r="AC104">
        <f t="shared" si="128"/>
        <v>517.91999999999996</v>
      </c>
      <c r="AD104">
        <f t="shared" si="113"/>
        <v>0</v>
      </c>
      <c r="AE104">
        <f t="shared" si="114"/>
        <v>0</v>
      </c>
      <c r="AF104">
        <f t="shared" si="114"/>
        <v>0</v>
      </c>
      <c r="AG104">
        <f t="shared" si="129"/>
        <v>0</v>
      </c>
      <c r="AH104">
        <f t="shared" si="115"/>
        <v>0</v>
      </c>
      <c r="AI104">
        <f t="shared" si="115"/>
        <v>0</v>
      </c>
      <c r="AJ104">
        <f t="shared" si="130"/>
        <v>0</v>
      </c>
      <c r="AK104">
        <v>517.91999999999996</v>
      </c>
      <c r="AL104">
        <v>517.91999999999996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Z104">
        <v>1</v>
      </c>
      <c r="BA104">
        <v>1</v>
      </c>
      <c r="BB104">
        <v>1</v>
      </c>
      <c r="BC104">
        <v>9.8800000000000008</v>
      </c>
      <c r="BD104" t="s">
        <v>3</v>
      </c>
      <c r="BE104" t="s">
        <v>3</v>
      </c>
      <c r="BF104" t="s">
        <v>3</v>
      </c>
      <c r="BG104" t="s">
        <v>3</v>
      </c>
      <c r="BH104">
        <v>3</v>
      </c>
      <c r="BI104">
        <v>1</v>
      </c>
      <c r="BJ104" t="s">
        <v>3</v>
      </c>
      <c r="BM104">
        <v>400002</v>
      </c>
      <c r="BN104">
        <v>0</v>
      </c>
      <c r="BO104" t="s">
        <v>3</v>
      </c>
      <c r="BP104">
        <v>0</v>
      </c>
      <c r="BQ104">
        <v>202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0</v>
      </c>
      <c r="CA104">
        <v>0</v>
      </c>
      <c r="CB104" t="s">
        <v>3</v>
      </c>
      <c r="CE104">
        <v>1566</v>
      </c>
      <c r="CF104">
        <v>0</v>
      </c>
      <c r="CG104">
        <v>0</v>
      </c>
      <c r="CM104">
        <v>0</v>
      </c>
      <c r="CN104" t="s">
        <v>3</v>
      </c>
      <c r="CO104">
        <v>0</v>
      </c>
      <c r="CP104">
        <f t="shared" si="131"/>
        <v>40936.400000000001</v>
      </c>
      <c r="CQ104">
        <f t="shared" si="132"/>
        <v>5117.05</v>
      </c>
      <c r="CR104">
        <f t="shared" si="116"/>
        <v>0</v>
      </c>
      <c r="CS104">
        <f t="shared" si="117"/>
        <v>0</v>
      </c>
      <c r="CT104">
        <f t="shared" si="133"/>
        <v>0</v>
      </c>
      <c r="CU104">
        <f t="shared" si="134"/>
        <v>0</v>
      </c>
      <c r="CV104">
        <f t="shared" si="135"/>
        <v>0</v>
      </c>
      <c r="CW104">
        <f t="shared" si="136"/>
        <v>0</v>
      </c>
      <c r="CX104">
        <f t="shared" si="137"/>
        <v>0</v>
      </c>
      <c r="CY104">
        <f t="shared" si="118"/>
        <v>0</v>
      </c>
      <c r="CZ104">
        <f t="shared" si="119"/>
        <v>0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>
        <v>0</v>
      </c>
      <c r="DO104">
        <v>0</v>
      </c>
      <c r="DP104">
        <v>1</v>
      </c>
      <c r="DQ104">
        <v>1</v>
      </c>
      <c r="DU104">
        <v>1013</v>
      </c>
      <c r="DV104" t="s">
        <v>107</v>
      </c>
      <c r="DW104" t="s">
        <v>107</v>
      </c>
      <c r="DX104">
        <v>1</v>
      </c>
      <c r="DZ104" t="s">
        <v>3</v>
      </c>
      <c r="EA104" t="s">
        <v>3</v>
      </c>
      <c r="EB104" t="s">
        <v>3</v>
      </c>
      <c r="EC104" t="s">
        <v>3</v>
      </c>
      <c r="EE104">
        <v>60088211</v>
      </c>
      <c r="EF104">
        <v>202</v>
      </c>
      <c r="EG104" t="s">
        <v>108</v>
      </c>
      <c r="EH104">
        <v>0</v>
      </c>
      <c r="EI104" t="s">
        <v>3</v>
      </c>
      <c r="EJ104">
        <v>1</v>
      </c>
      <c r="EK104">
        <v>400002</v>
      </c>
      <c r="EL104" t="s">
        <v>109</v>
      </c>
      <c r="EM104" t="s">
        <v>108</v>
      </c>
      <c r="EO104" t="s">
        <v>3</v>
      </c>
      <c r="EQ104">
        <v>0</v>
      </c>
      <c r="ER104">
        <v>517.91999999999996</v>
      </c>
      <c r="ES104">
        <v>517.91999999999996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5</v>
      </c>
      <c r="FC104">
        <v>1</v>
      </c>
      <c r="FD104">
        <v>18</v>
      </c>
      <c r="FF104">
        <v>6020</v>
      </c>
      <c r="FQ104">
        <v>0</v>
      </c>
      <c r="FR104">
        <v>0</v>
      </c>
      <c r="FS104">
        <v>0</v>
      </c>
      <c r="FX104">
        <v>0</v>
      </c>
      <c r="FY104">
        <v>0</v>
      </c>
      <c r="GA104" t="s">
        <v>167</v>
      </c>
      <c r="GD104">
        <v>1</v>
      </c>
      <c r="GF104">
        <v>-1138546067</v>
      </c>
      <c r="GG104">
        <v>2</v>
      </c>
      <c r="GH104">
        <v>3</v>
      </c>
      <c r="GI104">
        <v>5</v>
      </c>
      <c r="GJ104">
        <v>0</v>
      </c>
      <c r="GK104">
        <v>0</v>
      </c>
      <c r="GL104">
        <f t="shared" si="138"/>
        <v>0</v>
      </c>
      <c r="GM104">
        <f t="shared" si="139"/>
        <v>40936.400000000001</v>
      </c>
      <c r="GN104">
        <f t="shared" si="140"/>
        <v>40936.400000000001</v>
      </c>
      <c r="GO104">
        <f t="shared" si="141"/>
        <v>0</v>
      </c>
      <c r="GP104">
        <f t="shared" si="142"/>
        <v>0</v>
      </c>
      <c r="GR104">
        <v>1</v>
      </c>
      <c r="GS104">
        <v>1</v>
      </c>
      <c r="GT104">
        <v>0</v>
      </c>
      <c r="GU104" t="s">
        <v>3</v>
      </c>
      <c r="GV104">
        <f t="shared" si="143"/>
        <v>0</v>
      </c>
      <c r="GW104">
        <v>1</v>
      </c>
      <c r="GX104">
        <f t="shared" si="144"/>
        <v>0</v>
      </c>
      <c r="HA104">
        <v>0</v>
      </c>
      <c r="HB104">
        <v>0</v>
      </c>
      <c r="HC104">
        <f t="shared" si="145"/>
        <v>0</v>
      </c>
      <c r="HE104" t="s">
        <v>111</v>
      </c>
      <c r="HF104" t="s">
        <v>28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168</v>
      </c>
      <c r="F105" s="2" t="s">
        <v>169</v>
      </c>
      <c r="G105" s="2" t="s">
        <v>170</v>
      </c>
      <c r="H105" s="2" t="s">
        <v>107</v>
      </c>
      <c r="I105" s="2">
        <v>2</v>
      </c>
      <c r="J105" s="2">
        <v>0</v>
      </c>
      <c r="K105" s="2">
        <v>2</v>
      </c>
      <c r="L105" s="2"/>
      <c r="M105" s="2"/>
      <c r="N105" s="2"/>
      <c r="O105" s="2">
        <f t="shared" si="120"/>
        <v>1154.56</v>
      </c>
      <c r="P105" s="2">
        <f t="shared" si="121"/>
        <v>1154.56</v>
      </c>
      <c r="Q105" s="2">
        <f t="shared" si="109"/>
        <v>0</v>
      </c>
      <c r="R105" s="2">
        <f t="shared" si="110"/>
        <v>0</v>
      </c>
      <c r="S105" s="2">
        <f t="shared" si="122"/>
        <v>0</v>
      </c>
      <c r="T105" s="2">
        <f t="shared" si="123"/>
        <v>0</v>
      </c>
      <c r="U105" s="2">
        <f t="shared" si="124"/>
        <v>0</v>
      </c>
      <c r="V105" s="2">
        <f t="shared" si="125"/>
        <v>0</v>
      </c>
      <c r="W105" s="2">
        <f t="shared" si="126"/>
        <v>0</v>
      </c>
      <c r="X105" s="2">
        <f t="shared" si="111"/>
        <v>0</v>
      </c>
      <c r="Y105" s="2">
        <f t="shared" si="112"/>
        <v>0</v>
      </c>
      <c r="Z105" s="2"/>
      <c r="AA105" s="2">
        <v>60255014</v>
      </c>
      <c r="AB105" s="2">
        <f t="shared" si="127"/>
        <v>577.28</v>
      </c>
      <c r="AC105" s="2">
        <f t="shared" si="128"/>
        <v>577.28</v>
      </c>
      <c r="AD105" s="2">
        <f t="shared" si="113"/>
        <v>0</v>
      </c>
      <c r="AE105" s="2">
        <f t="shared" si="114"/>
        <v>0</v>
      </c>
      <c r="AF105" s="2">
        <f t="shared" si="114"/>
        <v>0</v>
      </c>
      <c r="AG105" s="2">
        <f t="shared" si="129"/>
        <v>0</v>
      </c>
      <c r="AH105" s="2">
        <f t="shared" si="115"/>
        <v>0</v>
      </c>
      <c r="AI105" s="2">
        <f t="shared" si="115"/>
        <v>0</v>
      </c>
      <c r="AJ105" s="2">
        <f t="shared" si="130"/>
        <v>0</v>
      </c>
      <c r="AK105" s="2">
        <v>577.28000000000009</v>
      </c>
      <c r="AL105" s="2">
        <v>577.28000000000009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1</v>
      </c>
      <c r="BJ105" s="2" t="s">
        <v>3</v>
      </c>
      <c r="BK105" s="2"/>
      <c r="BL105" s="2"/>
      <c r="BM105" s="2">
        <v>400002</v>
      </c>
      <c r="BN105" s="2">
        <v>0</v>
      </c>
      <c r="BO105" s="2" t="s">
        <v>3</v>
      </c>
      <c r="BP105" s="2">
        <v>0</v>
      </c>
      <c r="BQ105" s="2">
        <v>202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131"/>
        <v>1154.56</v>
      </c>
      <c r="CQ105" s="2">
        <f t="shared" si="132"/>
        <v>577.28</v>
      </c>
      <c r="CR105" s="2">
        <f t="shared" si="116"/>
        <v>0</v>
      </c>
      <c r="CS105" s="2">
        <f t="shared" si="117"/>
        <v>0</v>
      </c>
      <c r="CT105" s="2">
        <f t="shared" si="133"/>
        <v>0</v>
      </c>
      <c r="CU105" s="2">
        <f t="shared" si="134"/>
        <v>0</v>
      </c>
      <c r="CV105" s="2">
        <f t="shared" si="135"/>
        <v>0</v>
      </c>
      <c r="CW105" s="2">
        <f t="shared" si="136"/>
        <v>0</v>
      </c>
      <c r="CX105" s="2">
        <f t="shared" si="137"/>
        <v>0</v>
      </c>
      <c r="CY105" s="2">
        <f t="shared" si="118"/>
        <v>0</v>
      </c>
      <c r="CZ105" s="2">
        <f t="shared" si="119"/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107</v>
      </c>
      <c r="DW105" s="2" t="s">
        <v>107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60088211</v>
      </c>
      <c r="EF105" s="2">
        <v>202</v>
      </c>
      <c r="EG105" s="2" t="s">
        <v>108</v>
      </c>
      <c r="EH105" s="2">
        <v>0</v>
      </c>
      <c r="EI105" s="2" t="s">
        <v>3</v>
      </c>
      <c r="EJ105" s="2">
        <v>1</v>
      </c>
      <c r="EK105" s="2">
        <v>400002</v>
      </c>
      <c r="EL105" s="2" t="s">
        <v>109</v>
      </c>
      <c r="EM105" s="2" t="s">
        <v>108</v>
      </c>
      <c r="EN105" s="2"/>
      <c r="EO105" s="2" t="s">
        <v>3</v>
      </c>
      <c r="EP105" s="2"/>
      <c r="EQ105" s="2">
        <v>0</v>
      </c>
      <c r="ER105" s="2">
        <v>0</v>
      </c>
      <c r="ES105" s="2">
        <v>577.28000000000009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171</v>
      </c>
      <c r="GB105" s="2"/>
      <c r="GC105" s="2"/>
      <c r="GD105" s="2">
        <v>1</v>
      </c>
      <c r="GE105" s="2"/>
      <c r="GF105" s="2">
        <v>-328127311</v>
      </c>
      <c r="GG105" s="2">
        <v>2</v>
      </c>
      <c r="GH105" s="2">
        <v>4</v>
      </c>
      <c r="GI105" s="2">
        <v>-2</v>
      </c>
      <c r="GJ105" s="2">
        <v>0</v>
      </c>
      <c r="GK105" s="2">
        <v>0</v>
      </c>
      <c r="GL105" s="2">
        <f t="shared" si="138"/>
        <v>0</v>
      </c>
      <c r="GM105" s="2">
        <f t="shared" si="139"/>
        <v>1154.56</v>
      </c>
      <c r="GN105" s="2">
        <f t="shared" si="140"/>
        <v>1154.56</v>
      </c>
      <c r="GO105" s="2">
        <f t="shared" si="141"/>
        <v>0</v>
      </c>
      <c r="GP105" s="2">
        <f t="shared" si="142"/>
        <v>0</v>
      </c>
      <c r="GQ105" s="2"/>
      <c r="GR105" s="2">
        <v>0</v>
      </c>
      <c r="GS105" s="2">
        <v>2</v>
      </c>
      <c r="GT105" s="2">
        <v>0</v>
      </c>
      <c r="GU105" s="2" t="s">
        <v>3</v>
      </c>
      <c r="GV105" s="2">
        <f t="shared" si="143"/>
        <v>0</v>
      </c>
      <c r="GW105" s="2">
        <v>1</v>
      </c>
      <c r="GX105" s="2">
        <f t="shared" si="144"/>
        <v>0</v>
      </c>
      <c r="GY105" s="2"/>
      <c r="GZ105" s="2"/>
      <c r="HA105" s="2">
        <v>0</v>
      </c>
      <c r="HB105" s="2">
        <v>0</v>
      </c>
      <c r="HC105" s="2">
        <f t="shared" si="145"/>
        <v>0</v>
      </c>
      <c r="HD105" s="2"/>
      <c r="HE105" s="2" t="s">
        <v>111</v>
      </c>
      <c r="HF105" s="2" t="s">
        <v>28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E106" t="s">
        <v>168</v>
      </c>
      <c r="F106" t="s">
        <v>169</v>
      </c>
      <c r="G106" t="s">
        <v>170</v>
      </c>
      <c r="H106" t="s">
        <v>107</v>
      </c>
      <c r="I106">
        <v>2</v>
      </c>
      <c r="J106">
        <v>0</v>
      </c>
      <c r="K106">
        <v>2</v>
      </c>
      <c r="O106">
        <f t="shared" si="120"/>
        <v>11407.05</v>
      </c>
      <c r="P106">
        <f t="shared" si="121"/>
        <v>11407.05</v>
      </c>
      <c r="Q106">
        <f t="shared" si="109"/>
        <v>0</v>
      </c>
      <c r="R106">
        <f t="shared" si="110"/>
        <v>0</v>
      </c>
      <c r="S106">
        <f t="shared" si="122"/>
        <v>0</v>
      </c>
      <c r="T106">
        <f t="shared" si="123"/>
        <v>0</v>
      </c>
      <c r="U106">
        <f t="shared" si="124"/>
        <v>0</v>
      </c>
      <c r="V106">
        <f t="shared" si="125"/>
        <v>0</v>
      </c>
      <c r="W106">
        <f t="shared" si="126"/>
        <v>0</v>
      </c>
      <c r="X106">
        <f t="shared" si="111"/>
        <v>0</v>
      </c>
      <c r="Y106">
        <f t="shared" si="112"/>
        <v>0</v>
      </c>
      <c r="AA106">
        <v>60255011</v>
      </c>
      <c r="AB106">
        <f t="shared" si="127"/>
        <v>577.28</v>
      </c>
      <c r="AC106">
        <f t="shared" si="128"/>
        <v>577.28</v>
      </c>
      <c r="AD106">
        <f t="shared" si="113"/>
        <v>0</v>
      </c>
      <c r="AE106">
        <f t="shared" si="114"/>
        <v>0</v>
      </c>
      <c r="AF106">
        <f t="shared" si="114"/>
        <v>0</v>
      </c>
      <c r="AG106">
        <f t="shared" si="129"/>
        <v>0</v>
      </c>
      <c r="AH106">
        <f t="shared" si="115"/>
        <v>0</v>
      </c>
      <c r="AI106">
        <f t="shared" si="115"/>
        <v>0</v>
      </c>
      <c r="AJ106">
        <f t="shared" si="130"/>
        <v>0</v>
      </c>
      <c r="AK106">
        <v>577.28000000000009</v>
      </c>
      <c r="AL106">
        <v>577.28000000000009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Z106">
        <v>1</v>
      </c>
      <c r="BA106">
        <v>1</v>
      </c>
      <c r="BB106">
        <v>1</v>
      </c>
      <c r="BC106">
        <v>9.8800000000000008</v>
      </c>
      <c r="BD106" t="s">
        <v>3</v>
      </c>
      <c r="BE106" t="s">
        <v>3</v>
      </c>
      <c r="BF106" t="s">
        <v>3</v>
      </c>
      <c r="BG106" t="s">
        <v>3</v>
      </c>
      <c r="BH106">
        <v>3</v>
      </c>
      <c r="BI106">
        <v>1</v>
      </c>
      <c r="BJ106" t="s">
        <v>3</v>
      </c>
      <c r="BM106">
        <v>400002</v>
      </c>
      <c r="BN106">
        <v>0</v>
      </c>
      <c r="BO106" t="s">
        <v>3</v>
      </c>
      <c r="BP106">
        <v>0</v>
      </c>
      <c r="BQ106">
        <v>202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0</v>
      </c>
      <c r="CA106">
        <v>0</v>
      </c>
      <c r="CB106" t="s">
        <v>3</v>
      </c>
      <c r="CE106">
        <v>1566</v>
      </c>
      <c r="CF106">
        <v>0</v>
      </c>
      <c r="CG106">
        <v>0</v>
      </c>
      <c r="CM106">
        <v>0</v>
      </c>
      <c r="CN106" t="s">
        <v>3</v>
      </c>
      <c r="CO106">
        <v>0</v>
      </c>
      <c r="CP106">
        <f t="shared" si="131"/>
        <v>11407.05</v>
      </c>
      <c r="CQ106">
        <f t="shared" si="132"/>
        <v>5703.53</v>
      </c>
      <c r="CR106">
        <f t="shared" si="116"/>
        <v>0</v>
      </c>
      <c r="CS106">
        <f t="shared" si="117"/>
        <v>0</v>
      </c>
      <c r="CT106">
        <f t="shared" si="133"/>
        <v>0</v>
      </c>
      <c r="CU106">
        <f t="shared" si="134"/>
        <v>0</v>
      </c>
      <c r="CV106">
        <f t="shared" si="135"/>
        <v>0</v>
      </c>
      <c r="CW106">
        <f t="shared" si="136"/>
        <v>0</v>
      </c>
      <c r="CX106">
        <f t="shared" si="137"/>
        <v>0</v>
      </c>
      <c r="CY106">
        <f t="shared" si="118"/>
        <v>0</v>
      </c>
      <c r="CZ106">
        <f t="shared" si="119"/>
        <v>0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>
        <v>0</v>
      </c>
      <c r="DO106">
        <v>0</v>
      </c>
      <c r="DP106">
        <v>1</v>
      </c>
      <c r="DQ106">
        <v>1</v>
      </c>
      <c r="DU106">
        <v>1013</v>
      </c>
      <c r="DV106" t="s">
        <v>107</v>
      </c>
      <c r="DW106" t="s">
        <v>107</v>
      </c>
      <c r="DX106">
        <v>1</v>
      </c>
      <c r="DZ106" t="s">
        <v>3</v>
      </c>
      <c r="EA106" t="s">
        <v>3</v>
      </c>
      <c r="EB106" t="s">
        <v>3</v>
      </c>
      <c r="EC106" t="s">
        <v>3</v>
      </c>
      <c r="EE106">
        <v>60088211</v>
      </c>
      <c r="EF106">
        <v>202</v>
      </c>
      <c r="EG106" t="s">
        <v>108</v>
      </c>
      <c r="EH106">
        <v>0</v>
      </c>
      <c r="EI106" t="s">
        <v>3</v>
      </c>
      <c r="EJ106">
        <v>1</v>
      </c>
      <c r="EK106">
        <v>400002</v>
      </c>
      <c r="EL106" t="s">
        <v>109</v>
      </c>
      <c r="EM106" t="s">
        <v>108</v>
      </c>
      <c r="EO106" t="s">
        <v>3</v>
      </c>
      <c r="EQ106">
        <v>0</v>
      </c>
      <c r="ER106">
        <v>577.28000000000009</v>
      </c>
      <c r="ES106">
        <v>577.28000000000009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5</v>
      </c>
      <c r="FC106">
        <v>1</v>
      </c>
      <c r="FD106">
        <v>18</v>
      </c>
      <c r="FF106">
        <v>6710</v>
      </c>
      <c r="FQ106">
        <v>0</v>
      </c>
      <c r="FR106">
        <v>0</v>
      </c>
      <c r="FS106">
        <v>0</v>
      </c>
      <c r="FX106">
        <v>0</v>
      </c>
      <c r="FY106">
        <v>0</v>
      </c>
      <c r="GA106" t="s">
        <v>171</v>
      </c>
      <c r="GD106">
        <v>1</v>
      </c>
      <c r="GF106">
        <v>-328127311</v>
      </c>
      <c r="GG106">
        <v>2</v>
      </c>
      <c r="GH106">
        <v>3</v>
      </c>
      <c r="GI106">
        <v>5</v>
      </c>
      <c r="GJ106">
        <v>0</v>
      </c>
      <c r="GK106">
        <v>0</v>
      </c>
      <c r="GL106">
        <f t="shared" si="138"/>
        <v>0</v>
      </c>
      <c r="GM106">
        <f t="shared" si="139"/>
        <v>11407.05</v>
      </c>
      <c r="GN106">
        <f t="shared" si="140"/>
        <v>11407.05</v>
      </c>
      <c r="GO106">
        <f t="shared" si="141"/>
        <v>0</v>
      </c>
      <c r="GP106">
        <f t="shared" si="142"/>
        <v>0</v>
      </c>
      <c r="GR106">
        <v>1</v>
      </c>
      <c r="GS106">
        <v>1</v>
      </c>
      <c r="GT106">
        <v>0</v>
      </c>
      <c r="GU106" t="s">
        <v>3</v>
      </c>
      <c r="GV106">
        <f t="shared" si="143"/>
        <v>0</v>
      </c>
      <c r="GW106">
        <v>1</v>
      </c>
      <c r="GX106">
        <f t="shared" si="144"/>
        <v>0</v>
      </c>
      <c r="HA106">
        <v>0</v>
      </c>
      <c r="HB106">
        <v>0</v>
      </c>
      <c r="HC106">
        <f t="shared" si="145"/>
        <v>0</v>
      </c>
      <c r="HE106" t="s">
        <v>111</v>
      </c>
      <c r="HF106" t="s">
        <v>28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>
        <f>ROW(SmtRes!A78)</f>
        <v>78</v>
      </c>
      <c r="D107" s="2">
        <f>ROW(EtalonRes!A87)</f>
        <v>87</v>
      </c>
      <c r="E107" s="2" t="s">
        <v>172</v>
      </c>
      <c r="F107" s="2" t="s">
        <v>94</v>
      </c>
      <c r="G107" s="2" t="s">
        <v>95</v>
      </c>
      <c r="H107" s="2" t="s">
        <v>96</v>
      </c>
      <c r="I107" s="2">
        <f>ROUND(1/100,9)</f>
        <v>0.01</v>
      </c>
      <c r="J107" s="2">
        <v>0</v>
      </c>
      <c r="K107" s="2">
        <f>ROUND(1/100,9)</f>
        <v>0.01</v>
      </c>
      <c r="L107" s="2"/>
      <c r="M107" s="2"/>
      <c r="N107" s="2"/>
      <c r="O107" s="2">
        <f t="shared" si="120"/>
        <v>34.56</v>
      </c>
      <c r="P107" s="2">
        <f t="shared" si="121"/>
        <v>20.79</v>
      </c>
      <c r="Q107" s="2">
        <f>(ROUND((ROUND(((((ET107*1.25)*1.1))*AV107*I107),2)*BB107),2)+ROUND((ROUND(((AE107-(((EU107*1.25)*1.1)))*AV107*I107),2)*BS107),2))</f>
        <v>1.4</v>
      </c>
      <c r="R107" s="2">
        <f>(ROUND((ROUND(((((EU107*1.25)*1.1))*AV107*I107),2)*BS107),2)+ROUND((ROUND(((AE107-(((EU107*1.25)*1.1)))*AV107*I107),2)*BS107),2))</f>
        <v>0.15</v>
      </c>
      <c r="S107" s="2">
        <f t="shared" si="122"/>
        <v>12.37</v>
      </c>
      <c r="T107" s="2">
        <f t="shared" si="123"/>
        <v>0</v>
      </c>
      <c r="U107" s="2">
        <f t="shared" si="124"/>
        <v>1.0082669850000001</v>
      </c>
      <c r="V107" s="2">
        <f t="shared" si="125"/>
        <v>0</v>
      </c>
      <c r="W107" s="2">
        <f t="shared" si="126"/>
        <v>0</v>
      </c>
      <c r="X107" s="2">
        <f>(ROUND((((S107+ROUND((ROUND(((((EU107*1.25)*1.1))*AV107*I107),2)*BS107),2))*AT107)/100),2)+ROUND(((ROUND((ROUND(((AE107-(((EU107*1.25)*1.1)))*AV107*I107),2)*BS107),2)*AT107)/100),2))</f>
        <v>13.65</v>
      </c>
      <c r="Y107" s="2">
        <f>(ROUND((((S107+ROUND((ROUND(((((EU107*1.25)*1.1))*AV107*I107),2)*BS107),2))*AU107)/100),2)+ROUND(((ROUND((ROUND(((AE107-(((EU107*1.25)*1.1)))*AV107*I107),2)*BS107),2)*AU107)/100),2))</f>
        <v>7.64</v>
      </c>
      <c r="Z107" s="2"/>
      <c r="AA107" s="2">
        <v>60255014</v>
      </c>
      <c r="AB107" s="2">
        <f t="shared" si="127"/>
        <v>3369.5052500000002</v>
      </c>
      <c r="AC107" s="2">
        <f t="shared" si="128"/>
        <v>2078.9</v>
      </c>
      <c r="AD107" s="2">
        <f>ROUND((((((ET107*1.25)*1.1))-(((EU107*1.25)*1.1)))+AE107),6)</f>
        <v>131.10624999999999</v>
      </c>
      <c r="AE107" s="2">
        <f>ROUND((((EU107*1.25)*1.1)),6)</f>
        <v>14.1625</v>
      </c>
      <c r="AF107" s="2">
        <f>ROUND((((EV107*1.15)*1.1)),6)</f>
        <v>1159.499</v>
      </c>
      <c r="AG107" s="2">
        <f t="shared" si="129"/>
        <v>0</v>
      </c>
      <c r="AH107" s="2">
        <f>(((EW107*1.15)*1.1))</f>
        <v>94.495500000000007</v>
      </c>
      <c r="AI107" s="2">
        <f>(((EX107*1.25)*1.1))</f>
        <v>0</v>
      </c>
      <c r="AJ107" s="2">
        <f t="shared" si="130"/>
        <v>0</v>
      </c>
      <c r="AK107" s="2">
        <v>3090.85</v>
      </c>
      <c r="AL107" s="2">
        <v>2078.9</v>
      </c>
      <c r="AM107" s="2">
        <v>95.35</v>
      </c>
      <c r="AN107" s="2">
        <v>10.3</v>
      </c>
      <c r="AO107" s="2">
        <v>916.6</v>
      </c>
      <c r="AP107" s="2">
        <v>0</v>
      </c>
      <c r="AQ107" s="2">
        <v>74.7</v>
      </c>
      <c r="AR107" s="2">
        <v>0</v>
      </c>
      <c r="AS107" s="2">
        <v>0</v>
      </c>
      <c r="AT107" s="2">
        <v>109</v>
      </c>
      <c r="AU107" s="2">
        <v>61</v>
      </c>
      <c r="AV107" s="2">
        <v>1.0669999999999999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1</v>
      </c>
      <c r="BJ107" s="2" t="s">
        <v>97</v>
      </c>
      <c r="BK107" s="2"/>
      <c r="BL107" s="2"/>
      <c r="BM107" s="2">
        <v>23</v>
      </c>
      <c r="BN107" s="2">
        <v>0</v>
      </c>
      <c r="BO107" s="2" t="s">
        <v>94</v>
      </c>
      <c r="BP107" s="2">
        <v>1</v>
      </c>
      <c r="BQ107" s="2">
        <v>30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109</v>
      </c>
      <c r="CA107" s="2">
        <v>61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625</v>
      </c>
      <c r="CO107" s="2">
        <v>0</v>
      </c>
      <c r="CP107" s="2">
        <f t="shared" si="131"/>
        <v>34.559999999999995</v>
      </c>
      <c r="CQ107" s="2">
        <f t="shared" si="132"/>
        <v>2078.9</v>
      </c>
      <c r="CR107" s="2">
        <f>(ROUND((ROUND(((((ET107*1.25)*1.1))*AV107*1),2)*BB107),2)+ROUND((ROUND(((AE107-(((EU107*1.25)*1.1)))*AV107*1),2)*BS107),2))</f>
        <v>139.88999999999999</v>
      </c>
      <c r="CS107" s="2">
        <f>(ROUND((ROUND(((((EU107*1.25)*1.1))*AV107*1),2)*BS107),2)+ROUND((ROUND(((AE107-(((EU107*1.25)*1.1)))*AV107*1),2)*BS107),2))</f>
        <v>15.11</v>
      </c>
      <c r="CT107" s="2">
        <f t="shared" si="133"/>
        <v>1237.19</v>
      </c>
      <c r="CU107" s="2">
        <f t="shared" si="134"/>
        <v>0</v>
      </c>
      <c r="CV107" s="2">
        <f t="shared" si="135"/>
        <v>100.82669850000001</v>
      </c>
      <c r="CW107" s="2">
        <f t="shared" si="136"/>
        <v>0</v>
      </c>
      <c r="CX107" s="2">
        <f t="shared" si="137"/>
        <v>0</v>
      </c>
      <c r="CY107" s="2">
        <f>(ROUND((((S107+ROUND((ROUND(((((EU107*1.25)*1.1))*AV107*1),2)*BS107),2))*AT107)/100),2)+ROUND(((ROUND((ROUND(((AE107-(((EU107*1.25)*1.1)))*AV107*1),2)*BS107),2)*AT107)/100),2))</f>
        <v>29.95</v>
      </c>
      <c r="CZ107" s="2">
        <f>(ROUND((((S107+ROUND((ROUND(((((EU107*1.25)*1.1))*AV107*1),2)*BS107),2))*AU107)/100),2)+ROUND(((ROUND((ROUND(((AE107-(((EU107*1.25)*1.1)))*AV107*1),2)*BS107),2)*AU107)/100),2))</f>
        <v>16.760000000000002</v>
      </c>
      <c r="DA107" s="2"/>
      <c r="DB107" s="2">
        <v>13</v>
      </c>
      <c r="DC107" s="2" t="s">
        <v>3</v>
      </c>
      <c r="DD107" s="2" t="s">
        <v>3</v>
      </c>
      <c r="DE107" s="2" t="s">
        <v>98</v>
      </c>
      <c r="DF107" s="2" t="s">
        <v>98</v>
      </c>
      <c r="DG107" s="2" t="s">
        <v>99</v>
      </c>
      <c r="DH107" s="2" t="s">
        <v>3</v>
      </c>
      <c r="DI107" s="2" t="s">
        <v>99</v>
      </c>
      <c r="DJ107" s="2" t="s">
        <v>98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1010</v>
      </c>
      <c r="DV107" s="2" t="s">
        <v>96</v>
      </c>
      <c r="DW107" s="2" t="s">
        <v>96</v>
      </c>
      <c r="DX107" s="2">
        <v>100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60088254</v>
      </c>
      <c r="EF107" s="2">
        <v>30</v>
      </c>
      <c r="EG107" s="2" t="s">
        <v>100</v>
      </c>
      <c r="EH107" s="2">
        <v>0</v>
      </c>
      <c r="EI107" s="2" t="s">
        <v>3</v>
      </c>
      <c r="EJ107" s="2">
        <v>1</v>
      </c>
      <c r="EK107" s="2">
        <v>23</v>
      </c>
      <c r="EL107" s="2" t="s">
        <v>101</v>
      </c>
      <c r="EM107" s="2" t="s">
        <v>102</v>
      </c>
      <c r="EN107" s="2"/>
      <c r="EO107" s="2" t="s">
        <v>103</v>
      </c>
      <c r="EP107" s="2"/>
      <c r="EQ107" s="2">
        <v>0</v>
      </c>
      <c r="ER107" s="2">
        <v>3090.85</v>
      </c>
      <c r="ES107" s="2">
        <v>2078.9</v>
      </c>
      <c r="ET107" s="2">
        <v>95.35</v>
      </c>
      <c r="EU107" s="2">
        <v>10.3</v>
      </c>
      <c r="EV107" s="2">
        <v>916.6</v>
      </c>
      <c r="EW107" s="2">
        <v>74.7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109</v>
      </c>
      <c r="FY107" s="2">
        <v>61</v>
      </c>
      <c r="FZ107" s="2"/>
      <c r="GA107" s="2" t="s">
        <v>3</v>
      </c>
      <c r="GB107" s="2"/>
      <c r="GC107" s="2"/>
      <c r="GD107" s="2">
        <v>1</v>
      </c>
      <c r="GE107" s="2"/>
      <c r="GF107" s="2">
        <v>-961949121</v>
      </c>
      <c r="GG107" s="2">
        <v>2</v>
      </c>
      <c r="GH107" s="2">
        <v>1</v>
      </c>
      <c r="GI107" s="2">
        <v>2</v>
      </c>
      <c r="GJ107" s="2">
        <v>0</v>
      </c>
      <c r="GK107" s="2">
        <v>0</v>
      </c>
      <c r="GL107" s="2">
        <f t="shared" si="138"/>
        <v>0</v>
      </c>
      <c r="GM107" s="2">
        <f t="shared" si="139"/>
        <v>55.85</v>
      </c>
      <c r="GN107" s="2">
        <f t="shared" si="140"/>
        <v>55.85</v>
      </c>
      <c r="GO107" s="2">
        <f t="shared" si="141"/>
        <v>0</v>
      </c>
      <c r="GP107" s="2">
        <f t="shared" si="142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43"/>
        <v>0</v>
      </c>
      <c r="GW107" s="2">
        <v>1</v>
      </c>
      <c r="GX107" s="2">
        <f t="shared" si="144"/>
        <v>0</v>
      </c>
      <c r="GY107" s="2"/>
      <c r="GZ107" s="2"/>
      <c r="HA107" s="2">
        <v>0</v>
      </c>
      <c r="HB107" s="2">
        <v>0</v>
      </c>
      <c r="HC107" s="2">
        <f t="shared" si="145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C108">
        <f>ROW(SmtRes!A88)</f>
        <v>88</v>
      </c>
      <c r="D108">
        <f>ROW(EtalonRes!A98)</f>
        <v>98</v>
      </c>
      <c r="E108" t="s">
        <v>172</v>
      </c>
      <c r="F108" t="s">
        <v>94</v>
      </c>
      <c r="G108" t="s">
        <v>95</v>
      </c>
      <c r="H108" t="s">
        <v>96</v>
      </c>
      <c r="I108">
        <f>ROUND(1/100,9)</f>
        <v>0.01</v>
      </c>
      <c r="J108">
        <v>0</v>
      </c>
      <c r="K108">
        <f>ROUND(1/100,9)</f>
        <v>0.01</v>
      </c>
      <c r="O108">
        <f t="shared" si="120"/>
        <v>1128.3599999999999</v>
      </c>
      <c r="P108">
        <f t="shared" si="121"/>
        <v>428.07</v>
      </c>
      <c r="Q108">
        <f>(ROUND((ROUND(((((ET108*1.25)*1.1))*AV108*I108),2)*BB108),2)+ROUND((ROUND(((AE108-(((EU108*1.25)*1.1)))*AV108*I108),2)*BS108),2))</f>
        <v>20.059999999999999</v>
      </c>
      <c r="R108">
        <f>(ROUND((ROUND(((((EU108*1.25)*1.1))*AV108*I108),2)*BS108),2)+ROUND((ROUND(((AE108-(((EU108*1.25)*1.1)))*AV108*I108),2)*BS108),2))</f>
        <v>8.25</v>
      </c>
      <c r="S108">
        <f t="shared" si="122"/>
        <v>680.23</v>
      </c>
      <c r="T108">
        <f t="shared" si="123"/>
        <v>0</v>
      </c>
      <c r="U108">
        <f t="shared" si="124"/>
        <v>1.0082669850000001</v>
      </c>
      <c r="V108">
        <f t="shared" si="125"/>
        <v>0</v>
      </c>
      <c r="W108">
        <f t="shared" si="126"/>
        <v>0</v>
      </c>
      <c r="X108">
        <f>(ROUND((((S108+ROUND((ROUND(((((EU108*1.25)*1.1))*AV108*I108),2)*BS108),2))*AT108)/100),2)+ROUND(((ROUND((ROUND(((AE108-(((EU108*1.25)*1.1)))*AV108*I108),2)*BS108),2)*AT108)/100),2))</f>
        <v>750.44</v>
      </c>
      <c r="Y108">
        <f>(ROUND((((S108+ROUND((ROUND(((((EU108*1.25)*1.1))*AV108*I108),2)*BS108),2))*AU108)/100),2)+ROUND(((ROUND((ROUND(((AE108-(((EU108*1.25)*1.1)))*AV108*I108),2)*BS108),2)*AU108)/100),2))</f>
        <v>419.97</v>
      </c>
      <c r="AA108">
        <v>60255011</v>
      </c>
      <c r="AB108">
        <f t="shared" si="127"/>
        <v>3369.5052500000002</v>
      </c>
      <c r="AC108">
        <f t="shared" si="128"/>
        <v>2078.9</v>
      </c>
      <c r="AD108">
        <f>ROUND((((((ET108*1.25)*1.1))-(((EU108*1.25)*1.1)))+AE108),6)</f>
        <v>131.10624999999999</v>
      </c>
      <c r="AE108">
        <f>ROUND((((EU108*1.25)*1.1)),6)</f>
        <v>14.1625</v>
      </c>
      <c r="AF108">
        <f>ROUND((((EV108*1.15)*1.1)),6)</f>
        <v>1159.499</v>
      </c>
      <c r="AG108">
        <f t="shared" si="129"/>
        <v>0</v>
      </c>
      <c r="AH108">
        <f>(((EW108*1.15)*1.1))</f>
        <v>94.495500000000007</v>
      </c>
      <c r="AI108">
        <f>(((EX108*1.25)*1.1))</f>
        <v>0</v>
      </c>
      <c r="AJ108">
        <f t="shared" si="130"/>
        <v>0</v>
      </c>
      <c r="AK108">
        <v>3090.85</v>
      </c>
      <c r="AL108">
        <v>2078.9</v>
      </c>
      <c r="AM108">
        <v>95.35</v>
      </c>
      <c r="AN108">
        <v>10.3</v>
      </c>
      <c r="AO108">
        <v>916.6</v>
      </c>
      <c r="AP108">
        <v>0</v>
      </c>
      <c r="AQ108">
        <v>74.7</v>
      </c>
      <c r="AR108">
        <v>0</v>
      </c>
      <c r="AS108">
        <v>0</v>
      </c>
      <c r="AT108">
        <v>109</v>
      </c>
      <c r="AU108">
        <v>61</v>
      </c>
      <c r="AV108">
        <v>1.0669999999999999</v>
      </c>
      <c r="AW108">
        <v>1</v>
      </c>
      <c r="AZ108">
        <v>1</v>
      </c>
      <c r="BA108">
        <v>54.99</v>
      </c>
      <c r="BB108">
        <v>14.33</v>
      </c>
      <c r="BC108">
        <v>20.59</v>
      </c>
      <c r="BD108" t="s">
        <v>3</v>
      </c>
      <c r="BE108" t="s">
        <v>3</v>
      </c>
      <c r="BF108" t="s">
        <v>3</v>
      </c>
      <c r="BG108" t="s">
        <v>3</v>
      </c>
      <c r="BH108">
        <v>0</v>
      </c>
      <c r="BI108">
        <v>1</v>
      </c>
      <c r="BJ108" t="s">
        <v>97</v>
      </c>
      <c r="BM108">
        <v>23</v>
      </c>
      <c r="BN108">
        <v>0</v>
      </c>
      <c r="BO108" t="s">
        <v>94</v>
      </c>
      <c r="BP108">
        <v>1</v>
      </c>
      <c r="BQ108">
        <v>30</v>
      </c>
      <c r="BR108">
        <v>0</v>
      </c>
      <c r="BS108">
        <v>54.99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109</v>
      </c>
      <c r="CA108">
        <v>61</v>
      </c>
      <c r="CB108" t="s">
        <v>3</v>
      </c>
      <c r="CE108">
        <v>1566</v>
      </c>
      <c r="CF108">
        <v>0</v>
      </c>
      <c r="CG108">
        <v>0</v>
      </c>
      <c r="CM108">
        <v>0</v>
      </c>
      <c r="CN108" t="s">
        <v>625</v>
      </c>
      <c r="CO108">
        <v>0</v>
      </c>
      <c r="CP108">
        <f t="shared" si="131"/>
        <v>1128.3600000000001</v>
      </c>
      <c r="CQ108">
        <f t="shared" si="132"/>
        <v>42804.55</v>
      </c>
      <c r="CR108">
        <f>(ROUND((ROUND(((((ET108*1.25)*1.1))*AV108*1),2)*BB108),2)+ROUND((ROUND(((AE108-(((EU108*1.25)*1.1)))*AV108*1),2)*BS108),2))</f>
        <v>2004.62</v>
      </c>
      <c r="CS108">
        <f>(ROUND((ROUND(((((EU108*1.25)*1.1))*AV108*1),2)*BS108),2)+ROUND((ROUND(((AE108-(((EU108*1.25)*1.1)))*AV108*1),2)*BS108),2))</f>
        <v>830.9</v>
      </c>
      <c r="CT108">
        <f t="shared" si="133"/>
        <v>68033.08</v>
      </c>
      <c r="CU108">
        <f t="shared" si="134"/>
        <v>0</v>
      </c>
      <c r="CV108">
        <f t="shared" si="135"/>
        <v>100.82669850000001</v>
      </c>
      <c r="CW108">
        <f t="shared" si="136"/>
        <v>0</v>
      </c>
      <c r="CX108">
        <f t="shared" si="137"/>
        <v>0</v>
      </c>
      <c r="CY108">
        <f>(ROUND((((S108+ROUND((ROUND(((((EU108*1.25)*1.1))*AV108*1),2)*BS108),2))*AT108)/100),2)+ROUND(((ROUND((ROUND(((AE108-(((EU108*1.25)*1.1)))*AV108*1),2)*BS108),2)*AT108)/100),2))</f>
        <v>1647.13</v>
      </c>
      <c r="CZ108">
        <f>(ROUND((((S108+ROUND((ROUND(((((EU108*1.25)*1.1))*AV108*1),2)*BS108),2))*AU108)/100),2)+ROUND(((ROUND((ROUND(((AE108-(((EU108*1.25)*1.1)))*AV108*1),2)*BS108),2)*AU108)/100),2))</f>
        <v>921.79</v>
      </c>
      <c r="DB108">
        <v>15</v>
      </c>
      <c r="DC108" t="s">
        <v>3</v>
      </c>
      <c r="DD108" t="s">
        <v>3</v>
      </c>
      <c r="DE108" t="s">
        <v>98</v>
      </c>
      <c r="DF108" t="s">
        <v>98</v>
      </c>
      <c r="DG108" t="s">
        <v>99</v>
      </c>
      <c r="DH108" t="s">
        <v>3</v>
      </c>
      <c r="DI108" t="s">
        <v>99</v>
      </c>
      <c r="DJ108" t="s">
        <v>98</v>
      </c>
      <c r="DK108" t="s">
        <v>3</v>
      </c>
      <c r="DL108" t="s">
        <v>3</v>
      </c>
      <c r="DM108" t="s">
        <v>3</v>
      </c>
      <c r="DN108">
        <v>0</v>
      </c>
      <c r="DO108">
        <v>0</v>
      </c>
      <c r="DP108">
        <v>1</v>
      </c>
      <c r="DQ108">
        <v>1</v>
      </c>
      <c r="DU108">
        <v>1010</v>
      </c>
      <c r="DV108" t="s">
        <v>96</v>
      </c>
      <c r="DW108" t="s">
        <v>96</v>
      </c>
      <c r="DX108">
        <v>100</v>
      </c>
      <c r="DZ108" t="s">
        <v>3</v>
      </c>
      <c r="EA108" t="s">
        <v>3</v>
      </c>
      <c r="EB108" t="s">
        <v>3</v>
      </c>
      <c r="EC108" t="s">
        <v>3</v>
      </c>
      <c r="EE108">
        <v>60088254</v>
      </c>
      <c r="EF108">
        <v>30</v>
      </c>
      <c r="EG108" t="s">
        <v>100</v>
      </c>
      <c r="EH108">
        <v>0</v>
      </c>
      <c r="EI108" t="s">
        <v>3</v>
      </c>
      <c r="EJ108">
        <v>1</v>
      </c>
      <c r="EK108">
        <v>23</v>
      </c>
      <c r="EL108" t="s">
        <v>101</v>
      </c>
      <c r="EM108" t="s">
        <v>102</v>
      </c>
      <c r="EO108" t="s">
        <v>103</v>
      </c>
      <c r="EQ108">
        <v>0</v>
      </c>
      <c r="ER108">
        <v>3090.85</v>
      </c>
      <c r="ES108">
        <v>2078.9</v>
      </c>
      <c r="ET108">
        <v>95.35</v>
      </c>
      <c r="EU108">
        <v>10.3</v>
      </c>
      <c r="EV108">
        <v>916.6</v>
      </c>
      <c r="EW108">
        <v>74.7</v>
      </c>
      <c r="EX108">
        <v>0</v>
      </c>
      <c r="EY108">
        <v>0</v>
      </c>
      <c r="FQ108">
        <v>0</v>
      </c>
      <c r="FR108">
        <v>0</v>
      </c>
      <c r="FS108">
        <v>0</v>
      </c>
      <c r="FX108">
        <v>109</v>
      </c>
      <c r="FY108">
        <v>61</v>
      </c>
      <c r="GA108" t="s">
        <v>3</v>
      </c>
      <c r="GD108">
        <v>1</v>
      </c>
      <c r="GF108">
        <v>-961949121</v>
      </c>
      <c r="GG108">
        <v>2</v>
      </c>
      <c r="GH108">
        <v>1</v>
      </c>
      <c r="GI108">
        <v>2</v>
      </c>
      <c r="GJ108">
        <v>0</v>
      </c>
      <c r="GK108">
        <v>0</v>
      </c>
      <c r="GL108">
        <f t="shared" si="138"/>
        <v>0</v>
      </c>
      <c r="GM108">
        <f t="shared" si="139"/>
        <v>2298.77</v>
      </c>
      <c r="GN108">
        <f t="shared" si="140"/>
        <v>2298.77</v>
      </c>
      <c r="GO108">
        <f t="shared" si="141"/>
        <v>0</v>
      </c>
      <c r="GP108">
        <f t="shared" si="142"/>
        <v>0</v>
      </c>
      <c r="GR108">
        <v>0</v>
      </c>
      <c r="GS108">
        <v>3</v>
      </c>
      <c r="GT108">
        <v>0</v>
      </c>
      <c r="GU108" t="s">
        <v>3</v>
      </c>
      <c r="GV108">
        <f t="shared" si="143"/>
        <v>0</v>
      </c>
      <c r="GW108">
        <v>1</v>
      </c>
      <c r="GX108">
        <f t="shared" si="144"/>
        <v>0</v>
      </c>
      <c r="HA108">
        <v>0</v>
      </c>
      <c r="HB108">
        <v>0</v>
      </c>
      <c r="HC108">
        <f t="shared" si="145"/>
        <v>0</v>
      </c>
      <c r="HE108" t="s">
        <v>3</v>
      </c>
      <c r="HF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17</v>
      </c>
      <c r="B109" s="2">
        <v>1</v>
      </c>
      <c r="C109" s="2"/>
      <c r="D109" s="2"/>
      <c r="E109" s="2" t="s">
        <v>173</v>
      </c>
      <c r="F109" s="2" t="s">
        <v>174</v>
      </c>
      <c r="G109" s="2" t="s">
        <v>175</v>
      </c>
      <c r="H109" s="2" t="s">
        <v>107</v>
      </c>
      <c r="I109" s="2">
        <v>1</v>
      </c>
      <c r="J109" s="2">
        <v>0</v>
      </c>
      <c r="K109" s="2">
        <v>1</v>
      </c>
      <c r="L109" s="2"/>
      <c r="M109" s="2"/>
      <c r="N109" s="2"/>
      <c r="O109" s="2">
        <f t="shared" si="120"/>
        <v>609.11</v>
      </c>
      <c r="P109" s="2">
        <f t="shared" si="121"/>
        <v>609.11</v>
      </c>
      <c r="Q109" s="2">
        <f>(ROUND((ROUND(((ET109)*AV109*I109),2)*BB109),2)+ROUND((ROUND(((AE109-(EU109))*AV109*I109),2)*BS109),2))</f>
        <v>0</v>
      </c>
      <c r="R109" s="2">
        <f>(ROUND((ROUND(((EU109)*AV109*I109),2)*BS109),2)+ROUND((ROUND(((AE109-(EU109))*AV109*I109),2)*BS109),2))</f>
        <v>0</v>
      </c>
      <c r="S109" s="2">
        <f t="shared" si="122"/>
        <v>0</v>
      </c>
      <c r="T109" s="2">
        <f t="shared" si="123"/>
        <v>0</v>
      </c>
      <c r="U109" s="2">
        <f t="shared" si="124"/>
        <v>0</v>
      </c>
      <c r="V109" s="2">
        <f t="shared" si="125"/>
        <v>0</v>
      </c>
      <c r="W109" s="2">
        <f t="shared" si="126"/>
        <v>0</v>
      </c>
      <c r="X109" s="2">
        <f>(ROUND((((S109+ROUND((ROUND(((EU109)*AV109*I109),2)*BS109),2))*AT109)/100),2)+ROUND(((ROUND((ROUND(((AE109-(EU109))*AV109*I109),2)*BS109),2)*AT109)/100),2))</f>
        <v>0</v>
      </c>
      <c r="Y109" s="2">
        <f>(ROUND((((S109+ROUND((ROUND(((EU109)*AV109*I109),2)*BS109),2))*AU109)/100),2)+ROUND(((ROUND((ROUND(((AE109-(EU109))*AV109*I109),2)*BS109),2)*AU109)/100),2))</f>
        <v>0</v>
      </c>
      <c r="Z109" s="2"/>
      <c r="AA109" s="2">
        <v>60255014</v>
      </c>
      <c r="AB109" s="2">
        <f t="shared" si="127"/>
        <v>609.11</v>
      </c>
      <c r="AC109" s="2">
        <f t="shared" si="128"/>
        <v>609.11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 t="shared" si="129"/>
        <v>0</v>
      </c>
      <c r="AH109" s="2">
        <f>(EW109)</f>
        <v>0</v>
      </c>
      <c r="AI109" s="2">
        <f>(EX109)</f>
        <v>0</v>
      </c>
      <c r="AJ109" s="2">
        <f t="shared" si="130"/>
        <v>0</v>
      </c>
      <c r="AK109" s="2">
        <v>609.11</v>
      </c>
      <c r="AL109" s="2">
        <v>609.11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1</v>
      </c>
      <c r="BJ109" s="2" t="s">
        <v>3</v>
      </c>
      <c r="BK109" s="2"/>
      <c r="BL109" s="2"/>
      <c r="BM109" s="2">
        <v>400002</v>
      </c>
      <c r="BN109" s="2">
        <v>0</v>
      </c>
      <c r="BO109" s="2" t="s">
        <v>3</v>
      </c>
      <c r="BP109" s="2">
        <v>0</v>
      </c>
      <c r="BQ109" s="2">
        <v>202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0</v>
      </c>
      <c r="CA109" s="2">
        <v>0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131"/>
        <v>609.11</v>
      </c>
      <c r="CQ109" s="2">
        <f t="shared" si="132"/>
        <v>609.11</v>
      </c>
      <c r="CR109" s="2">
        <f>(ROUND((ROUND(((ET109)*AV109*1),2)*BB109),2)+ROUND((ROUND(((AE109-(EU109))*AV109*1),2)*BS109),2))</f>
        <v>0</v>
      </c>
      <c r="CS109" s="2">
        <f>(ROUND((ROUND(((EU109)*AV109*1),2)*BS109),2)+ROUND((ROUND(((AE109-(EU109))*AV109*1),2)*BS109),2))</f>
        <v>0</v>
      </c>
      <c r="CT109" s="2">
        <f t="shared" si="133"/>
        <v>0</v>
      </c>
      <c r="CU109" s="2">
        <f t="shared" si="134"/>
        <v>0</v>
      </c>
      <c r="CV109" s="2">
        <f t="shared" si="135"/>
        <v>0</v>
      </c>
      <c r="CW109" s="2">
        <f t="shared" si="136"/>
        <v>0</v>
      </c>
      <c r="CX109" s="2">
        <f t="shared" si="137"/>
        <v>0</v>
      </c>
      <c r="CY109" s="2">
        <f>(ROUND((((S109+ROUND((ROUND(((EU109)*AV109*1),2)*BS109),2))*AT109)/100),2)+ROUND(((ROUND((ROUND(((AE109-(EU109))*AV109*1),2)*BS109),2)*AT109)/100),2))</f>
        <v>0</v>
      </c>
      <c r="CZ109" s="2">
        <f>(ROUND((((S109+ROUND((ROUND(((EU109)*AV109*1),2)*BS109),2))*AU109)/100),2)+ROUND(((ROUND((ROUND(((AE109-(EU109))*AV109*1),2)*BS109),2)*AU109)/100),2))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107</v>
      </c>
      <c r="DW109" s="2" t="s">
        <v>107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60088211</v>
      </c>
      <c r="EF109" s="2">
        <v>202</v>
      </c>
      <c r="EG109" s="2" t="s">
        <v>108</v>
      </c>
      <c r="EH109" s="2">
        <v>0</v>
      </c>
      <c r="EI109" s="2" t="s">
        <v>3</v>
      </c>
      <c r="EJ109" s="2">
        <v>1</v>
      </c>
      <c r="EK109" s="2">
        <v>400002</v>
      </c>
      <c r="EL109" s="2" t="s">
        <v>109</v>
      </c>
      <c r="EM109" s="2" t="s">
        <v>108</v>
      </c>
      <c r="EN109" s="2"/>
      <c r="EO109" s="2" t="s">
        <v>3</v>
      </c>
      <c r="EP109" s="2"/>
      <c r="EQ109" s="2">
        <v>0</v>
      </c>
      <c r="ER109" s="2">
        <v>0</v>
      </c>
      <c r="ES109" s="2">
        <v>609.11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0</v>
      </c>
      <c r="FY109" s="2">
        <v>0</v>
      </c>
      <c r="FZ109" s="2"/>
      <c r="GA109" s="2" t="s">
        <v>176</v>
      </c>
      <c r="GB109" s="2"/>
      <c r="GC109" s="2"/>
      <c r="GD109" s="2">
        <v>1</v>
      </c>
      <c r="GE109" s="2"/>
      <c r="GF109" s="2">
        <v>-908041914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138"/>
        <v>0</v>
      </c>
      <c r="GM109" s="2">
        <f t="shared" si="139"/>
        <v>609.11</v>
      </c>
      <c r="GN109" s="2">
        <f t="shared" si="140"/>
        <v>609.11</v>
      </c>
      <c r="GO109" s="2">
        <f t="shared" si="141"/>
        <v>0</v>
      </c>
      <c r="GP109" s="2">
        <f t="shared" si="142"/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 t="shared" si="143"/>
        <v>0</v>
      </c>
      <c r="GW109" s="2">
        <v>1</v>
      </c>
      <c r="GX109" s="2">
        <f t="shared" si="144"/>
        <v>0</v>
      </c>
      <c r="GY109" s="2"/>
      <c r="GZ109" s="2"/>
      <c r="HA109" s="2">
        <v>0</v>
      </c>
      <c r="HB109" s="2">
        <v>0</v>
      </c>
      <c r="HC109" s="2">
        <f t="shared" si="145"/>
        <v>0</v>
      </c>
      <c r="HD109" s="2"/>
      <c r="HE109" s="2" t="s">
        <v>111</v>
      </c>
      <c r="HF109" s="2" t="s">
        <v>28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17</v>
      </c>
      <c r="B110">
        <v>1</v>
      </c>
      <c r="E110" t="s">
        <v>173</v>
      </c>
      <c r="F110" t="s">
        <v>174</v>
      </c>
      <c r="G110" t="s">
        <v>175</v>
      </c>
      <c r="H110" t="s">
        <v>107</v>
      </c>
      <c r="I110">
        <v>1</v>
      </c>
      <c r="J110">
        <v>0</v>
      </c>
      <c r="K110">
        <v>1</v>
      </c>
      <c r="O110">
        <f t="shared" si="120"/>
        <v>6018.01</v>
      </c>
      <c r="P110">
        <f t="shared" si="121"/>
        <v>6018.01</v>
      </c>
      <c r="Q110">
        <f>(ROUND((ROUND(((ET110)*AV110*I110),2)*BB110),2)+ROUND((ROUND(((AE110-(EU110))*AV110*I110),2)*BS110),2))</f>
        <v>0</v>
      </c>
      <c r="R110">
        <f>(ROUND((ROUND(((EU110)*AV110*I110),2)*BS110),2)+ROUND((ROUND(((AE110-(EU110))*AV110*I110),2)*BS110),2))</f>
        <v>0</v>
      </c>
      <c r="S110">
        <f t="shared" si="122"/>
        <v>0</v>
      </c>
      <c r="T110">
        <f t="shared" si="123"/>
        <v>0</v>
      </c>
      <c r="U110">
        <f t="shared" si="124"/>
        <v>0</v>
      </c>
      <c r="V110">
        <f t="shared" si="125"/>
        <v>0</v>
      </c>
      <c r="W110">
        <f t="shared" si="126"/>
        <v>0</v>
      </c>
      <c r="X110">
        <f>(ROUND((((S110+ROUND((ROUND(((EU110)*AV110*I110),2)*BS110),2))*AT110)/100),2)+ROUND(((ROUND((ROUND(((AE110-(EU110))*AV110*I110),2)*BS110),2)*AT110)/100),2))</f>
        <v>0</v>
      </c>
      <c r="Y110">
        <f>(ROUND((((S110+ROUND((ROUND(((EU110)*AV110*I110),2)*BS110),2))*AU110)/100),2)+ROUND(((ROUND((ROUND(((AE110-(EU110))*AV110*I110),2)*BS110),2)*AU110)/100),2))</f>
        <v>0</v>
      </c>
      <c r="AA110">
        <v>60255011</v>
      </c>
      <c r="AB110">
        <f t="shared" si="127"/>
        <v>609.11</v>
      </c>
      <c r="AC110">
        <f t="shared" si="128"/>
        <v>609.11</v>
      </c>
      <c r="AD110">
        <f>ROUND((((ET110)-(EU110))+AE110),6)</f>
        <v>0</v>
      </c>
      <c r="AE110">
        <f>ROUND((EU110),6)</f>
        <v>0</v>
      </c>
      <c r="AF110">
        <f>ROUND((EV110),6)</f>
        <v>0</v>
      </c>
      <c r="AG110">
        <f t="shared" si="129"/>
        <v>0</v>
      </c>
      <c r="AH110">
        <f>(EW110)</f>
        <v>0</v>
      </c>
      <c r="AI110">
        <f>(EX110)</f>
        <v>0</v>
      </c>
      <c r="AJ110">
        <f t="shared" si="130"/>
        <v>0</v>
      </c>
      <c r="AK110">
        <v>609.11</v>
      </c>
      <c r="AL110">
        <v>609.11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Z110">
        <v>1</v>
      </c>
      <c r="BA110">
        <v>1</v>
      </c>
      <c r="BB110">
        <v>1</v>
      </c>
      <c r="BC110">
        <v>9.8800000000000008</v>
      </c>
      <c r="BD110" t="s">
        <v>3</v>
      </c>
      <c r="BE110" t="s">
        <v>3</v>
      </c>
      <c r="BF110" t="s">
        <v>3</v>
      </c>
      <c r="BG110" t="s">
        <v>3</v>
      </c>
      <c r="BH110">
        <v>3</v>
      </c>
      <c r="BI110">
        <v>1</v>
      </c>
      <c r="BJ110" t="s">
        <v>3</v>
      </c>
      <c r="BM110">
        <v>400002</v>
      </c>
      <c r="BN110">
        <v>0</v>
      </c>
      <c r="BO110" t="s">
        <v>3</v>
      </c>
      <c r="BP110">
        <v>0</v>
      </c>
      <c r="BQ110">
        <v>202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0</v>
      </c>
      <c r="CA110">
        <v>0</v>
      </c>
      <c r="CB110" t="s">
        <v>3</v>
      </c>
      <c r="CE110">
        <v>1566</v>
      </c>
      <c r="CF110">
        <v>0</v>
      </c>
      <c r="CG110">
        <v>0</v>
      </c>
      <c r="CM110">
        <v>0</v>
      </c>
      <c r="CN110" t="s">
        <v>3</v>
      </c>
      <c r="CO110">
        <v>0</v>
      </c>
      <c r="CP110">
        <f t="shared" si="131"/>
        <v>6018.01</v>
      </c>
      <c r="CQ110">
        <f t="shared" si="132"/>
        <v>6018.01</v>
      </c>
      <c r="CR110">
        <f>(ROUND((ROUND(((ET110)*AV110*1),2)*BB110),2)+ROUND((ROUND(((AE110-(EU110))*AV110*1),2)*BS110),2))</f>
        <v>0</v>
      </c>
      <c r="CS110">
        <f>(ROUND((ROUND(((EU110)*AV110*1),2)*BS110),2)+ROUND((ROUND(((AE110-(EU110))*AV110*1),2)*BS110),2))</f>
        <v>0</v>
      </c>
      <c r="CT110">
        <f t="shared" si="133"/>
        <v>0</v>
      </c>
      <c r="CU110">
        <f t="shared" si="134"/>
        <v>0</v>
      </c>
      <c r="CV110">
        <f t="shared" si="135"/>
        <v>0</v>
      </c>
      <c r="CW110">
        <f t="shared" si="136"/>
        <v>0</v>
      </c>
      <c r="CX110">
        <f t="shared" si="137"/>
        <v>0</v>
      </c>
      <c r="CY110">
        <f>(ROUND((((S110+ROUND((ROUND(((EU110)*AV110*1),2)*BS110),2))*AT110)/100),2)+ROUND(((ROUND((ROUND(((AE110-(EU110))*AV110*1),2)*BS110),2)*AT110)/100),2))</f>
        <v>0</v>
      </c>
      <c r="CZ110">
        <f>(ROUND((((S110+ROUND((ROUND(((EU110)*AV110*1),2)*BS110),2))*AU110)/100),2)+ROUND(((ROUND((ROUND(((AE110-(EU110))*AV110*1),2)*BS110),2)*AU110)/100),2))</f>
        <v>0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>
        <v>0</v>
      </c>
      <c r="DO110">
        <v>0</v>
      </c>
      <c r="DP110">
        <v>1</v>
      </c>
      <c r="DQ110">
        <v>1</v>
      </c>
      <c r="DU110">
        <v>1013</v>
      </c>
      <c r="DV110" t="s">
        <v>107</v>
      </c>
      <c r="DW110" t="s">
        <v>107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60088211</v>
      </c>
      <c r="EF110">
        <v>202</v>
      </c>
      <c r="EG110" t="s">
        <v>108</v>
      </c>
      <c r="EH110">
        <v>0</v>
      </c>
      <c r="EI110" t="s">
        <v>3</v>
      </c>
      <c r="EJ110">
        <v>1</v>
      </c>
      <c r="EK110">
        <v>400002</v>
      </c>
      <c r="EL110" t="s">
        <v>109</v>
      </c>
      <c r="EM110" t="s">
        <v>108</v>
      </c>
      <c r="EO110" t="s">
        <v>3</v>
      </c>
      <c r="EQ110">
        <v>0</v>
      </c>
      <c r="ER110">
        <v>609.11</v>
      </c>
      <c r="ES110">
        <v>609.11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5</v>
      </c>
      <c r="FC110">
        <v>1</v>
      </c>
      <c r="FD110">
        <v>18</v>
      </c>
      <c r="FF110">
        <v>7080</v>
      </c>
      <c r="FQ110">
        <v>0</v>
      </c>
      <c r="FR110">
        <v>0</v>
      </c>
      <c r="FS110">
        <v>0</v>
      </c>
      <c r="FX110">
        <v>0</v>
      </c>
      <c r="FY110">
        <v>0</v>
      </c>
      <c r="GA110" t="s">
        <v>176</v>
      </c>
      <c r="GD110">
        <v>1</v>
      </c>
      <c r="GF110">
        <v>-908041914</v>
      </c>
      <c r="GG110">
        <v>2</v>
      </c>
      <c r="GH110">
        <v>3</v>
      </c>
      <c r="GI110">
        <v>5</v>
      </c>
      <c r="GJ110">
        <v>0</v>
      </c>
      <c r="GK110">
        <v>0</v>
      </c>
      <c r="GL110">
        <f t="shared" si="138"/>
        <v>0</v>
      </c>
      <c r="GM110">
        <f t="shared" si="139"/>
        <v>6018.01</v>
      </c>
      <c r="GN110">
        <f t="shared" si="140"/>
        <v>6018.01</v>
      </c>
      <c r="GO110">
        <f t="shared" si="141"/>
        <v>0</v>
      </c>
      <c r="GP110">
        <f t="shared" si="142"/>
        <v>0</v>
      </c>
      <c r="GR110">
        <v>1</v>
      </c>
      <c r="GS110">
        <v>1</v>
      </c>
      <c r="GT110">
        <v>0</v>
      </c>
      <c r="GU110" t="s">
        <v>3</v>
      </c>
      <c r="GV110">
        <f t="shared" si="143"/>
        <v>0</v>
      </c>
      <c r="GW110">
        <v>1</v>
      </c>
      <c r="GX110">
        <f t="shared" si="144"/>
        <v>0</v>
      </c>
      <c r="HA110">
        <v>0</v>
      </c>
      <c r="HB110">
        <v>0</v>
      </c>
      <c r="HC110">
        <f t="shared" si="145"/>
        <v>0</v>
      </c>
      <c r="HE110" t="s">
        <v>111</v>
      </c>
      <c r="HF110" t="s">
        <v>28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>
        <f>ROW(SmtRes!A98)</f>
        <v>98</v>
      </c>
      <c r="D111" s="2">
        <f>ROW(EtalonRes!A109)</f>
        <v>109</v>
      </c>
      <c r="E111" s="2" t="s">
        <v>177</v>
      </c>
      <c r="F111" s="2" t="s">
        <v>94</v>
      </c>
      <c r="G111" s="2" t="s">
        <v>95</v>
      </c>
      <c r="H111" s="2" t="s">
        <v>96</v>
      </c>
      <c r="I111" s="2">
        <f>ROUND((1+43+87+13)/100,9)</f>
        <v>1.44</v>
      </c>
      <c r="J111" s="2">
        <v>0</v>
      </c>
      <c r="K111" s="2">
        <f>ROUND((1+43+87+13)/100,9)</f>
        <v>1.44</v>
      </c>
      <c r="L111" s="2"/>
      <c r="M111" s="2"/>
      <c r="N111" s="2"/>
      <c r="O111" s="2">
        <f t="shared" si="120"/>
        <v>4976.6099999999997</v>
      </c>
      <c r="P111" s="2">
        <f t="shared" si="121"/>
        <v>2993.62</v>
      </c>
      <c r="Q111" s="2">
        <f>(ROUND((ROUND(((((ET111*1.25)*1.1))*AV111*I111),2)*BB111),2)+ROUND((ROUND(((AE111-(((EU111*1.25)*1.1)))*AV111*I111),2)*BS111),2))</f>
        <v>201.44</v>
      </c>
      <c r="R111" s="2">
        <f>(ROUND((ROUND(((((EU111*1.25)*1.1))*AV111*I111),2)*BS111),2)+ROUND((ROUND(((AE111-(((EU111*1.25)*1.1)))*AV111*I111),2)*BS111),2))</f>
        <v>21.76</v>
      </c>
      <c r="S111" s="2">
        <f t="shared" si="122"/>
        <v>1781.55</v>
      </c>
      <c r="T111" s="2">
        <f t="shared" si="123"/>
        <v>0</v>
      </c>
      <c r="U111" s="2">
        <f t="shared" si="124"/>
        <v>145.19044584</v>
      </c>
      <c r="V111" s="2">
        <f t="shared" si="125"/>
        <v>0</v>
      </c>
      <c r="W111" s="2">
        <f t="shared" si="126"/>
        <v>0</v>
      </c>
      <c r="X111" s="2">
        <f>(ROUND((((S111+ROUND((ROUND(((((EU111*1.25)*1.1))*AV111*I111),2)*BS111),2))*AT111)/100),2)+ROUND(((ROUND((ROUND(((AE111-(((EU111*1.25)*1.1)))*AV111*I111),2)*BS111),2)*AT111)/100),2))</f>
        <v>1965.61</v>
      </c>
      <c r="Y111" s="2">
        <f>(ROUND((((S111+ROUND((ROUND(((((EU111*1.25)*1.1))*AV111*I111),2)*BS111),2))*AU111)/100),2)+ROUND(((ROUND((ROUND(((AE111-(((EU111*1.25)*1.1)))*AV111*I111),2)*BS111),2)*AU111)/100),2))</f>
        <v>1100.02</v>
      </c>
      <c r="Z111" s="2"/>
      <c r="AA111" s="2">
        <v>60255014</v>
      </c>
      <c r="AB111" s="2">
        <f t="shared" si="127"/>
        <v>3369.5052500000002</v>
      </c>
      <c r="AC111" s="2">
        <f t="shared" si="128"/>
        <v>2078.9</v>
      </c>
      <c r="AD111" s="2">
        <f>ROUND((((((ET111*1.25)*1.1))-(((EU111*1.25)*1.1)))+AE111),6)</f>
        <v>131.10624999999999</v>
      </c>
      <c r="AE111" s="2">
        <f>ROUND((((EU111*1.25)*1.1)),6)</f>
        <v>14.1625</v>
      </c>
      <c r="AF111" s="2">
        <f>ROUND((((EV111*1.15)*1.1)),6)</f>
        <v>1159.499</v>
      </c>
      <c r="AG111" s="2">
        <f t="shared" si="129"/>
        <v>0</v>
      </c>
      <c r="AH111" s="2">
        <f>(((EW111*1.15)*1.1))</f>
        <v>94.495500000000007</v>
      </c>
      <c r="AI111" s="2">
        <f>(((EX111*1.25)*1.1))</f>
        <v>0</v>
      </c>
      <c r="AJ111" s="2">
        <f t="shared" si="130"/>
        <v>0</v>
      </c>
      <c r="AK111" s="2">
        <v>3090.85</v>
      </c>
      <c r="AL111" s="2">
        <v>2078.9</v>
      </c>
      <c r="AM111" s="2">
        <v>95.35</v>
      </c>
      <c r="AN111" s="2">
        <v>10.3</v>
      </c>
      <c r="AO111" s="2">
        <v>916.6</v>
      </c>
      <c r="AP111" s="2">
        <v>0</v>
      </c>
      <c r="AQ111" s="2">
        <v>74.7</v>
      </c>
      <c r="AR111" s="2">
        <v>0</v>
      </c>
      <c r="AS111" s="2">
        <v>0</v>
      </c>
      <c r="AT111" s="2">
        <v>109</v>
      </c>
      <c r="AU111" s="2">
        <v>61</v>
      </c>
      <c r="AV111" s="2">
        <v>1.0669999999999999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1</v>
      </c>
      <c r="BJ111" s="2" t="s">
        <v>97</v>
      </c>
      <c r="BK111" s="2"/>
      <c r="BL111" s="2"/>
      <c r="BM111" s="2">
        <v>23</v>
      </c>
      <c r="BN111" s="2">
        <v>0</v>
      </c>
      <c r="BO111" s="2" t="s">
        <v>94</v>
      </c>
      <c r="BP111" s="2">
        <v>1</v>
      </c>
      <c r="BQ111" s="2">
        <v>30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109</v>
      </c>
      <c r="CA111" s="2">
        <v>61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625</v>
      </c>
      <c r="CO111" s="2">
        <v>0</v>
      </c>
      <c r="CP111" s="2">
        <f t="shared" si="131"/>
        <v>4976.6099999999997</v>
      </c>
      <c r="CQ111" s="2">
        <f t="shared" si="132"/>
        <v>2078.9</v>
      </c>
      <c r="CR111" s="2">
        <f>(ROUND((ROUND(((((ET111*1.25)*1.1))*AV111*1),2)*BB111),2)+ROUND((ROUND(((AE111-(((EU111*1.25)*1.1)))*AV111*1),2)*BS111),2))</f>
        <v>139.88999999999999</v>
      </c>
      <c r="CS111" s="2">
        <f>(ROUND((ROUND(((((EU111*1.25)*1.1))*AV111*1),2)*BS111),2)+ROUND((ROUND(((AE111-(((EU111*1.25)*1.1)))*AV111*1),2)*BS111),2))</f>
        <v>15.11</v>
      </c>
      <c r="CT111" s="2">
        <f t="shared" si="133"/>
        <v>1237.19</v>
      </c>
      <c r="CU111" s="2">
        <f t="shared" si="134"/>
        <v>0</v>
      </c>
      <c r="CV111" s="2">
        <f t="shared" si="135"/>
        <v>100.82669850000001</v>
      </c>
      <c r="CW111" s="2">
        <f t="shared" si="136"/>
        <v>0</v>
      </c>
      <c r="CX111" s="2">
        <f t="shared" si="137"/>
        <v>0</v>
      </c>
      <c r="CY111" s="2">
        <f>(ROUND((((S111+ROUND((ROUND(((((EU111*1.25)*1.1))*AV111*1),2)*BS111),2))*AT111)/100),2)+ROUND(((ROUND((ROUND(((AE111-(((EU111*1.25)*1.1)))*AV111*1),2)*BS111),2)*AT111)/100),2))</f>
        <v>1958.36</v>
      </c>
      <c r="CZ111" s="2">
        <f>(ROUND((((S111+ROUND((ROUND(((((EU111*1.25)*1.1))*AV111*1),2)*BS111),2))*AU111)/100),2)+ROUND(((ROUND((ROUND(((AE111-(((EU111*1.25)*1.1)))*AV111*1),2)*BS111),2)*AU111)/100),2))</f>
        <v>1095.96</v>
      </c>
      <c r="DA111" s="2"/>
      <c r="DB111" s="2">
        <v>17</v>
      </c>
      <c r="DC111" s="2" t="s">
        <v>3</v>
      </c>
      <c r="DD111" s="2" t="s">
        <v>3</v>
      </c>
      <c r="DE111" s="2" t="s">
        <v>98</v>
      </c>
      <c r="DF111" s="2" t="s">
        <v>98</v>
      </c>
      <c r="DG111" s="2" t="s">
        <v>99</v>
      </c>
      <c r="DH111" s="2" t="s">
        <v>3</v>
      </c>
      <c r="DI111" s="2" t="s">
        <v>99</v>
      </c>
      <c r="DJ111" s="2" t="s">
        <v>98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96</v>
      </c>
      <c r="DW111" s="2" t="s">
        <v>96</v>
      </c>
      <c r="DX111" s="2">
        <v>100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60088254</v>
      </c>
      <c r="EF111" s="2">
        <v>30</v>
      </c>
      <c r="EG111" s="2" t="s">
        <v>100</v>
      </c>
      <c r="EH111" s="2">
        <v>0</v>
      </c>
      <c r="EI111" s="2" t="s">
        <v>3</v>
      </c>
      <c r="EJ111" s="2">
        <v>1</v>
      </c>
      <c r="EK111" s="2">
        <v>23</v>
      </c>
      <c r="EL111" s="2" t="s">
        <v>101</v>
      </c>
      <c r="EM111" s="2" t="s">
        <v>102</v>
      </c>
      <c r="EN111" s="2"/>
      <c r="EO111" s="2" t="s">
        <v>103</v>
      </c>
      <c r="EP111" s="2"/>
      <c r="EQ111" s="2">
        <v>0</v>
      </c>
      <c r="ER111" s="2">
        <v>3090.85</v>
      </c>
      <c r="ES111" s="2">
        <v>2078.9</v>
      </c>
      <c r="ET111" s="2">
        <v>95.35</v>
      </c>
      <c r="EU111" s="2">
        <v>10.3</v>
      </c>
      <c r="EV111" s="2">
        <v>916.6</v>
      </c>
      <c r="EW111" s="2">
        <v>74.7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109</v>
      </c>
      <c r="FY111" s="2">
        <v>61</v>
      </c>
      <c r="FZ111" s="2"/>
      <c r="GA111" s="2" t="s">
        <v>3</v>
      </c>
      <c r="GB111" s="2"/>
      <c r="GC111" s="2"/>
      <c r="GD111" s="2">
        <v>1</v>
      </c>
      <c r="GE111" s="2"/>
      <c r="GF111" s="2">
        <v>-961949121</v>
      </c>
      <c r="GG111" s="2">
        <v>2</v>
      </c>
      <c r="GH111" s="2">
        <v>1</v>
      </c>
      <c r="GI111" s="2">
        <v>2</v>
      </c>
      <c r="GJ111" s="2">
        <v>0</v>
      </c>
      <c r="GK111" s="2">
        <v>0</v>
      </c>
      <c r="GL111" s="2">
        <f t="shared" si="138"/>
        <v>0</v>
      </c>
      <c r="GM111" s="2">
        <f t="shared" si="139"/>
        <v>8042.24</v>
      </c>
      <c r="GN111" s="2">
        <f t="shared" si="140"/>
        <v>8042.24</v>
      </c>
      <c r="GO111" s="2">
        <f t="shared" si="141"/>
        <v>0</v>
      </c>
      <c r="GP111" s="2">
        <f t="shared" si="142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43"/>
        <v>0</v>
      </c>
      <c r="GW111" s="2">
        <v>1</v>
      </c>
      <c r="GX111" s="2">
        <f t="shared" si="144"/>
        <v>0</v>
      </c>
      <c r="GY111" s="2"/>
      <c r="GZ111" s="2"/>
      <c r="HA111" s="2">
        <v>0</v>
      </c>
      <c r="HB111" s="2">
        <v>0</v>
      </c>
      <c r="HC111" s="2">
        <f t="shared" si="145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C112">
        <f>ROW(SmtRes!A108)</f>
        <v>108</v>
      </c>
      <c r="D112">
        <f>ROW(EtalonRes!A120)</f>
        <v>120</v>
      </c>
      <c r="E112" t="s">
        <v>177</v>
      </c>
      <c r="F112" t="s">
        <v>94</v>
      </c>
      <c r="G112" t="s">
        <v>95</v>
      </c>
      <c r="H112" t="s">
        <v>96</v>
      </c>
      <c r="I112">
        <f>ROUND((1+43+87+13)/100,9)</f>
        <v>1.44</v>
      </c>
      <c r="J112">
        <v>0</v>
      </c>
      <c r="K112">
        <f>ROUND((1+43+87+13)/100,9)</f>
        <v>1.44</v>
      </c>
      <c r="O112">
        <f t="shared" si="120"/>
        <v>162492.71</v>
      </c>
      <c r="P112">
        <f t="shared" si="121"/>
        <v>61638.64</v>
      </c>
      <c r="Q112">
        <f>(ROUND((ROUND(((((ET112*1.25)*1.1))*AV112*I112),2)*BB112),2)+ROUND((ROUND(((AE112-(((EU112*1.25)*1.1)))*AV112*I112),2)*BS112),2))</f>
        <v>2886.64</v>
      </c>
      <c r="R112">
        <f>(ROUND((ROUND(((((EU112*1.25)*1.1))*AV112*I112),2)*BS112),2)+ROUND((ROUND(((AE112-(((EU112*1.25)*1.1)))*AV112*I112),2)*BS112),2))</f>
        <v>1196.58</v>
      </c>
      <c r="S112">
        <f t="shared" si="122"/>
        <v>97967.43</v>
      </c>
      <c r="T112">
        <f t="shared" si="123"/>
        <v>0</v>
      </c>
      <c r="U112">
        <f t="shared" si="124"/>
        <v>145.19044584</v>
      </c>
      <c r="V112">
        <f t="shared" si="125"/>
        <v>0</v>
      </c>
      <c r="W112">
        <f t="shared" si="126"/>
        <v>0</v>
      </c>
      <c r="X112">
        <f>(ROUND((((S112+ROUND((ROUND(((((EU112*1.25)*1.1))*AV112*I112),2)*BS112),2))*AT112)/100),2)+ROUND(((ROUND((ROUND(((AE112-(((EU112*1.25)*1.1)))*AV112*I112),2)*BS112),2)*AT112)/100),2))</f>
        <v>108088.77</v>
      </c>
      <c r="Y112">
        <f>(ROUND((((S112+ROUND((ROUND(((((EU112*1.25)*1.1))*AV112*I112),2)*BS112),2))*AU112)/100),2)+ROUND(((ROUND((ROUND(((AE112-(((EU112*1.25)*1.1)))*AV112*I112),2)*BS112),2)*AU112)/100),2))</f>
        <v>60490.05</v>
      </c>
      <c r="AA112">
        <v>60255011</v>
      </c>
      <c r="AB112">
        <f t="shared" si="127"/>
        <v>3369.5052500000002</v>
      </c>
      <c r="AC112">
        <f t="shared" si="128"/>
        <v>2078.9</v>
      </c>
      <c r="AD112">
        <f>ROUND((((((ET112*1.25)*1.1))-(((EU112*1.25)*1.1)))+AE112),6)</f>
        <v>131.10624999999999</v>
      </c>
      <c r="AE112">
        <f>ROUND((((EU112*1.25)*1.1)),6)</f>
        <v>14.1625</v>
      </c>
      <c r="AF112">
        <f>ROUND((((EV112*1.15)*1.1)),6)</f>
        <v>1159.499</v>
      </c>
      <c r="AG112">
        <f t="shared" si="129"/>
        <v>0</v>
      </c>
      <c r="AH112">
        <f>(((EW112*1.15)*1.1))</f>
        <v>94.495500000000007</v>
      </c>
      <c r="AI112">
        <f>(((EX112*1.25)*1.1))</f>
        <v>0</v>
      </c>
      <c r="AJ112">
        <f t="shared" si="130"/>
        <v>0</v>
      </c>
      <c r="AK112">
        <v>3090.85</v>
      </c>
      <c r="AL112">
        <v>2078.9</v>
      </c>
      <c r="AM112">
        <v>95.35</v>
      </c>
      <c r="AN112">
        <v>10.3</v>
      </c>
      <c r="AO112">
        <v>916.6</v>
      </c>
      <c r="AP112">
        <v>0</v>
      </c>
      <c r="AQ112">
        <v>74.7</v>
      </c>
      <c r="AR112">
        <v>0</v>
      </c>
      <c r="AS112">
        <v>0</v>
      </c>
      <c r="AT112">
        <v>109</v>
      </c>
      <c r="AU112">
        <v>61</v>
      </c>
      <c r="AV112">
        <v>1.0669999999999999</v>
      </c>
      <c r="AW112">
        <v>1</v>
      </c>
      <c r="AZ112">
        <v>1</v>
      </c>
      <c r="BA112">
        <v>54.99</v>
      </c>
      <c r="BB112">
        <v>14.33</v>
      </c>
      <c r="BC112">
        <v>20.59</v>
      </c>
      <c r="BD112" t="s">
        <v>3</v>
      </c>
      <c r="BE112" t="s">
        <v>3</v>
      </c>
      <c r="BF112" t="s">
        <v>3</v>
      </c>
      <c r="BG112" t="s">
        <v>3</v>
      </c>
      <c r="BH112">
        <v>0</v>
      </c>
      <c r="BI112">
        <v>1</v>
      </c>
      <c r="BJ112" t="s">
        <v>97</v>
      </c>
      <c r="BM112">
        <v>23</v>
      </c>
      <c r="BN112">
        <v>0</v>
      </c>
      <c r="BO112" t="s">
        <v>94</v>
      </c>
      <c r="BP112">
        <v>1</v>
      </c>
      <c r="BQ112">
        <v>30</v>
      </c>
      <c r="BR112">
        <v>0</v>
      </c>
      <c r="BS112">
        <v>54.99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109</v>
      </c>
      <c r="CA112">
        <v>61</v>
      </c>
      <c r="CB112" t="s">
        <v>3</v>
      </c>
      <c r="CE112">
        <v>1566</v>
      </c>
      <c r="CF112">
        <v>0</v>
      </c>
      <c r="CG112">
        <v>0</v>
      </c>
      <c r="CM112">
        <v>0</v>
      </c>
      <c r="CN112" t="s">
        <v>625</v>
      </c>
      <c r="CO112">
        <v>0</v>
      </c>
      <c r="CP112">
        <f t="shared" si="131"/>
        <v>162492.71</v>
      </c>
      <c r="CQ112">
        <f t="shared" si="132"/>
        <v>42804.55</v>
      </c>
      <c r="CR112">
        <f>(ROUND((ROUND(((((ET112*1.25)*1.1))*AV112*1),2)*BB112),2)+ROUND((ROUND(((AE112-(((EU112*1.25)*1.1)))*AV112*1),2)*BS112),2))</f>
        <v>2004.62</v>
      </c>
      <c r="CS112">
        <f>(ROUND((ROUND(((((EU112*1.25)*1.1))*AV112*1),2)*BS112),2)+ROUND((ROUND(((AE112-(((EU112*1.25)*1.1)))*AV112*1),2)*BS112),2))</f>
        <v>830.9</v>
      </c>
      <c r="CT112">
        <f t="shared" si="133"/>
        <v>68033.08</v>
      </c>
      <c r="CU112">
        <f t="shared" si="134"/>
        <v>0</v>
      </c>
      <c r="CV112">
        <f t="shared" si="135"/>
        <v>100.82669850000001</v>
      </c>
      <c r="CW112">
        <f t="shared" si="136"/>
        <v>0</v>
      </c>
      <c r="CX112">
        <f t="shared" si="137"/>
        <v>0</v>
      </c>
      <c r="CY112">
        <f>(ROUND((((S112+ROUND((ROUND(((((EU112*1.25)*1.1))*AV112*1),2)*BS112),2))*AT112)/100),2)+ROUND(((ROUND((ROUND(((AE112-(((EU112*1.25)*1.1)))*AV112*1),2)*BS112),2)*AT112)/100),2))</f>
        <v>107690.18</v>
      </c>
      <c r="CZ112">
        <f>(ROUND((((S112+ROUND((ROUND(((((EU112*1.25)*1.1))*AV112*1),2)*BS112),2))*AU112)/100),2)+ROUND(((ROUND((ROUND(((AE112-(((EU112*1.25)*1.1)))*AV112*1),2)*BS112),2)*AU112)/100),2))</f>
        <v>60266.98</v>
      </c>
      <c r="DB112">
        <v>19</v>
      </c>
      <c r="DC112" t="s">
        <v>3</v>
      </c>
      <c r="DD112" t="s">
        <v>3</v>
      </c>
      <c r="DE112" t="s">
        <v>98</v>
      </c>
      <c r="DF112" t="s">
        <v>98</v>
      </c>
      <c r="DG112" t="s">
        <v>99</v>
      </c>
      <c r="DH112" t="s">
        <v>3</v>
      </c>
      <c r="DI112" t="s">
        <v>99</v>
      </c>
      <c r="DJ112" t="s">
        <v>98</v>
      </c>
      <c r="DK112" t="s">
        <v>3</v>
      </c>
      <c r="DL112" t="s">
        <v>3</v>
      </c>
      <c r="DM112" t="s">
        <v>3</v>
      </c>
      <c r="DN112">
        <v>0</v>
      </c>
      <c r="DO112">
        <v>0</v>
      </c>
      <c r="DP112">
        <v>1</v>
      </c>
      <c r="DQ112">
        <v>1</v>
      </c>
      <c r="DU112">
        <v>1010</v>
      </c>
      <c r="DV112" t="s">
        <v>96</v>
      </c>
      <c r="DW112" t="s">
        <v>96</v>
      </c>
      <c r="DX112">
        <v>100</v>
      </c>
      <c r="DZ112" t="s">
        <v>3</v>
      </c>
      <c r="EA112" t="s">
        <v>3</v>
      </c>
      <c r="EB112" t="s">
        <v>3</v>
      </c>
      <c r="EC112" t="s">
        <v>3</v>
      </c>
      <c r="EE112">
        <v>60088254</v>
      </c>
      <c r="EF112">
        <v>30</v>
      </c>
      <c r="EG112" t="s">
        <v>100</v>
      </c>
      <c r="EH112">
        <v>0</v>
      </c>
      <c r="EI112" t="s">
        <v>3</v>
      </c>
      <c r="EJ112">
        <v>1</v>
      </c>
      <c r="EK112">
        <v>23</v>
      </c>
      <c r="EL112" t="s">
        <v>101</v>
      </c>
      <c r="EM112" t="s">
        <v>102</v>
      </c>
      <c r="EO112" t="s">
        <v>103</v>
      </c>
      <c r="EQ112">
        <v>0</v>
      </c>
      <c r="ER112">
        <v>3090.85</v>
      </c>
      <c r="ES112">
        <v>2078.9</v>
      </c>
      <c r="ET112">
        <v>95.35</v>
      </c>
      <c r="EU112">
        <v>10.3</v>
      </c>
      <c r="EV112">
        <v>916.6</v>
      </c>
      <c r="EW112">
        <v>74.7</v>
      </c>
      <c r="EX112">
        <v>0</v>
      </c>
      <c r="EY112">
        <v>0</v>
      </c>
      <c r="FQ112">
        <v>0</v>
      </c>
      <c r="FR112">
        <v>0</v>
      </c>
      <c r="FS112">
        <v>0</v>
      </c>
      <c r="FX112">
        <v>109</v>
      </c>
      <c r="FY112">
        <v>61</v>
      </c>
      <c r="GA112" t="s">
        <v>3</v>
      </c>
      <c r="GD112">
        <v>1</v>
      </c>
      <c r="GF112">
        <v>-961949121</v>
      </c>
      <c r="GG112">
        <v>2</v>
      </c>
      <c r="GH112">
        <v>1</v>
      </c>
      <c r="GI112">
        <v>2</v>
      </c>
      <c r="GJ112">
        <v>0</v>
      </c>
      <c r="GK112">
        <v>0</v>
      </c>
      <c r="GL112">
        <f t="shared" si="138"/>
        <v>0</v>
      </c>
      <c r="GM112">
        <f t="shared" si="139"/>
        <v>331071.53000000003</v>
      </c>
      <c r="GN112">
        <f t="shared" si="140"/>
        <v>331071.53000000003</v>
      </c>
      <c r="GO112">
        <f t="shared" si="141"/>
        <v>0</v>
      </c>
      <c r="GP112">
        <f t="shared" si="142"/>
        <v>0</v>
      </c>
      <c r="GR112">
        <v>0</v>
      </c>
      <c r="GS112">
        <v>3</v>
      </c>
      <c r="GT112">
        <v>0</v>
      </c>
      <c r="GU112" t="s">
        <v>3</v>
      </c>
      <c r="GV112">
        <f t="shared" si="143"/>
        <v>0</v>
      </c>
      <c r="GW112">
        <v>1</v>
      </c>
      <c r="GX112">
        <f t="shared" si="144"/>
        <v>0</v>
      </c>
      <c r="HA112">
        <v>0</v>
      </c>
      <c r="HB112">
        <v>0</v>
      </c>
      <c r="HC112">
        <f t="shared" si="145"/>
        <v>0</v>
      </c>
      <c r="HE112" t="s">
        <v>3</v>
      </c>
      <c r="HF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178</v>
      </c>
      <c r="F113" s="2" t="s">
        <v>179</v>
      </c>
      <c r="G113" s="2" t="s">
        <v>180</v>
      </c>
      <c r="H113" s="2" t="s">
        <v>107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120"/>
        <v>415.54</v>
      </c>
      <c r="P113" s="2">
        <f t="shared" si="121"/>
        <v>415.54</v>
      </c>
      <c r="Q113" s="2">
        <f t="shared" ref="Q113:Q120" si="146">(ROUND((ROUND(((ET113)*AV113*I113),2)*BB113),2)+ROUND((ROUND(((AE113-(EU113))*AV113*I113),2)*BS113),2))</f>
        <v>0</v>
      </c>
      <c r="R113" s="2">
        <f t="shared" ref="R113:R120" si="147">(ROUND((ROUND(((EU113)*AV113*I113),2)*BS113),2)+ROUND((ROUND(((AE113-(EU113))*AV113*I113),2)*BS113),2))</f>
        <v>0</v>
      </c>
      <c r="S113" s="2">
        <f t="shared" si="122"/>
        <v>0</v>
      </c>
      <c r="T113" s="2">
        <f t="shared" si="123"/>
        <v>0</v>
      </c>
      <c r="U113" s="2">
        <f t="shared" si="124"/>
        <v>0</v>
      </c>
      <c r="V113" s="2">
        <f t="shared" si="125"/>
        <v>0</v>
      </c>
      <c r="W113" s="2">
        <f t="shared" si="126"/>
        <v>0</v>
      </c>
      <c r="X113" s="2">
        <f t="shared" ref="X113:X120" si="148">(ROUND((((S113+ROUND((ROUND(((EU113)*AV113*I113),2)*BS113),2))*AT113)/100),2)+ROUND(((ROUND((ROUND(((AE113-(EU113))*AV113*I113),2)*BS113),2)*AT113)/100),2))</f>
        <v>0</v>
      </c>
      <c r="Y113" s="2">
        <f t="shared" ref="Y113:Y120" si="149">(ROUND((((S113+ROUND((ROUND(((EU113)*AV113*I113),2)*BS113),2))*AU113)/100),2)+ROUND(((ROUND((ROUND(((AE113-(EU113))*AV113*I113),2)*BS113),2)*AU113)/100),2))</f>
        <v>0</v>
      </c>
      <c r="Z113" s="2"/>
      <c r="AA113" s="2">
        <v>60255014</v>
      </c>
      <c r="AB113" s="2">
        <f t="shared" si="127"/>
        <v>415.54</v>
      </c>
      <c r="AC113" s="2">
        <f t="shared" si="128"/>
        <v>415.54</v>
      </c>
      <c r="AD113" s="2">
        <f t="shared" ref="AD113:AD120" si="150">ROUND((((ET113)-(EU113))+AE113),6)</f>
        <v>0</v>
      </c>
      <c r="AE113" s="2">
        <f t="shared" ref="AE113:AF120" si="151">ROUND((EU113),6)</f>
        <v>0</v>
      </c>
      <c r="AF113" s="2">
        <f t="shared" si="151"/>
        <v>0</v>
      </c>
      <c r="AG113" s="2">
        <f t="shared" si="129"/>
        <v>0</v>
      </c>
      <c r="AH113" s="2">
        <f t="shared" ref="AH113:AI120" si="152">(EW113)</f>
        <v>0</v>
      </c>
      <c r="AI113" s="2">
        <f t="shared" si="152"/>
        <v>0</v>
      </c>
      <c r="AJ113" s="2">
        <f t="shared" si="130"/>
        <v>0</v>
      </c>
      <c r="AK113" s="2">
        <v>415.53999999999996</v>
      </c>
      <c r="AL113" s="2">
        <v>415.53999999999996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1</v>
      </c>
      <c r="BJ113" s="2" t="s">
        <v>3</v>
      </c>
      <c r="BK113" s="2"/>
      <c r="BL113" s="2"/>
      <c r="BM113" s="2">
        <v>400002</v>
      </c>
      <c r="BN113" s="2">
        <v>0</v>
      </c>
      <c r="BO113" s="2" t="s">
        <v>3</v>
      </c>
      <c r="BP113" s="2">
        <v>0</v>
      </c>
      <c r="BQ113" s="2">
        <v>202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131"/>
        <v>415.54</v>
      </c>
      <c r="CQ113" s="2">
        <f t="shared" si="132"/>
        <v>415.54</v>
      </c>
      <c r="CR113" s="2">
        <f t="shared" ref="CR113:CR120" si="153">(ROUND((ROUND(((ET113)*AV113*1),2)*BB113),2)+ROUND((ROUND(((AE113-(EU113))*AV113*1),2)*BS113),2))</f>
        <v>0</v>
      </c>
      <c r="CS113" s="2">
        <f t="shared" ref="CS113:CS120" si="154">(ROUND((ROUND(((EU113)*AV113*1),2)*BS113),2)+ROUND((ROUND(((AE113-(EU113))*AV113*1),2)*BS113),2))</f>
        <v>0</v>
      </c>
      <c r="CT113" s="2">
        <f t="shared" si="133"/>
        <v>0</v>
      </c>
      <c r="CU113" s="2">
        <f t="shared" si="134"/>
        <v>0</v>
      </c>
      <c r="CV113" s="2">
        <f t="shared" si="135"/>
        <v>0</v>
      </c>
      <c r="CW113" s="2">
        <f t="shared" si="136"/>
        <v>0</v>
      </c>
      <c r="CX113" s="2">
        <f t="shared" si="137"/>
        <v>0</v>
      </c>
      <c r="CY113" s="2">
        <f t="shared" ref="CY113:CY120" si="155">(ROUND((((S113+ROUND((ROUND(((EU113)*AV113*1),2)*BS113),2))*AT113)/100),2)+ROUND(((ROUND((ROUND(((AE113-(EU113))*AV113*1),2)*BS113),2)*AT113)/100),2))</f>
        <v>0</v>
      </c>
      <c r="CZ113" s="2">
        <f t="shared" ref="CZ113:CZ120" si="156"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107</v>
      </c>
      <c r="DW113" s="2" t="s">
        <v>107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60088211</v>
      </c>
      <c r="EF113" s="2">
        <v>202</v>
      </c>
      <c r="EG113" s="2" t="s">
        <v>108</v>
      </c>
      <c r="EH113" s="2">
        <v>0</v>
      </c>
      <c r="EI113" s="2" t="s">
        <v>3</v>
      </c>
      <c r="EJ113" s="2">
        <v>1</v>
      </c>
      <c r="EK113" s="2">
        <v>400002</v>
      </c>
      <c r="EL113" s="2" t="s">
        <v>109</v>
      </c>
      <c r="EM113" s="2" t="s">
        <v>108</v>
      </c>
      <c r="EN113" s="2"/>
      <c r="EO113" s="2" t="s">
        <v>3</v>
      </c>
      <c r="EP113" s="2"/>
      <c r="EQ113" s="2">
        <v>0</v>
      </c>
      <c r="ER113" s="2">
        <v>0</v>
      </c>
      <c r="ES113" s="2">
        <v>415.53999999999996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181</v>
      </c>
      <c r="GB113" s="2"/>
      <c r="GC113" s="2"/>
      <c r="GD113" s="2">
        <v>1</v>
      </c>
      <c r="GE113" s="2"/>
      <c r="GF113" s="2">
        <v>2042063611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138"/>
        <v>0</v>
      </c>
      <c r="GM113" s="2">
        <f t="shared" si="139"/>
        <v>415.54</v>
      </c>
      <c r="GN113" s="2">
        <f t="shared" si="140"/>
        <v>415.54</v>
      </c>
      <c r="GO113" s="2">
        <f t="shared" si="141"/>
        <v>0</v>
      </c>
      <c r="GP113" s="2">
        <f t="shared" si="142"/>
        <v>0</v>
      </c>
      <c r="GQ113" s="2"/>
      <c r="GR113" s="2">
        <v>0</v>
      </c>
      <c r="GS113" s="2">
        <v>2</v>
      </c>
      <c r="GT113" s="2">
        <v>0</v>
      </c>
      <c r="GU113" s="2" t="s">
        <v>3</v>
      </c>
      <c r="GV113" s="2">
        <f t="shared" si="143"/>
        <v>0</v>
      </c>
      <c r="GW113" s="2">
        <v>1</v>
      </c>
      <c r="GX113" s="2">
        <f t="shared" si="144"/>
        <v>0</v>
      </c>
      <c r="GY113" s="2"/>
      <c r="GZ113" s="2"/>
      <c r="HA113" s="2">
        <v>0</v>
      </c>
      <c r="HB113" s="2">
        <v>0</v>
      </c>
      <c r="HC113" s="2">
        <f t="shared" si="145"/>
        <v>0</v>
      </c>
      <c r="HD113" s="2"/>
      <c r="HE113" s="2" t="s">
        <v>111</v>
      </c>
      <c r="HF113" s="2" t="s">
        <v>28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17</v>
      </c>
      <c r="B114">
        <v>1</v>
      </c>
      <c r="E114" t="s">
        <v>178</v>
      </c>
      <c r="F114" t="s">
        <v>179</v>
      </c>
      <c r="G114" t="s">
        <v>180</v>
      </c>
      <c r="H114" t="s">
        <v>107</v>
      </c>
      <c r="I114">
        <v>1</v>
      </c>
      <c r="J114">
        <v>0</v>
      </c>
      <c r="K114">
        <v>1</v>
      </c>
      <c r="O114">
        <f t="shared" si="120"/>
        <v>4105.54</v>
      </c>
      <c r="P114">
        <f t="shared" si="121"/>
        <v>4105.54</v>
      </c>
      <c r="Q114">
        <f t="shared" si="146"/>
        <v>0</v>
      </c>
      <c r="R114">
        <f t="shared" si="147"/>
        <v>0</v>
      </c>
      <c r="S114">
        <f t="shared" si="122"/>
        <v>0</v>
      </c>
      <c r="T114">
        <f t="shared" si="123"/>
        <v>0</v>
      </c>
      <c r="U114">
        <f t="shared" si="124"/>
        <v>0</v>
      </c>
      <c r="V114">
        <f t="shared" si="125"/>
        <v>0</v>
      </c>
      <c r="W114">
        <f t="shared" si="126"/>
        <v>0</v>
      </c>
      <c r="X114">
        <f t="shared" si="148"/>
        <v>0</v>
      </c>
      <c r="Y114">
        <f t="shared" si="149"/>
        <v>0</v>
      </c>
      <c r="AA114">
        <v>60255011</v>
      </c>
      <c r="AB114">
        <f t="shared" si="127"/>
        <v>415.54</v>
      </c>
      <c r="AC114">
        <f t="shared" si="128"/>
        <v>415.54</v>
      </c>
      <c r="AD114">
        <f t="shared" si="150"/>
        <v>0</v>
      </c>
      <c r="AE114">
        <f t="shared" si="151"/>
        <v>0</v>
      </c>
      <c r="AF114">
        <f t="shared" si="151"/>
        <v>0</v>
      </c>
      <c r="AG114">
        <f t="shared" si="129"/>
        <v>0</v>
      </c>
      <c r="AH114">
        <f t="shared" si="152"/>
        <v>0</v>
      </c>
      <c r="AI114">
        <f t="shared" si="152"/>
        <v>0</v>
      </c>
      <c r="AJ114">
        <f t="shared" si="130"/>
        <v>0</v>
      </c>
      <c r="AK114">
        <v>415.53999999999996</v>
      </c>
      <c r="AL114">
        <v>415.53999999999996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Z114">
        <v>1</v>
      </c>
      <c r="BA114">
        <v>1</v>
      </c>
      <c r="BB114">
        <v>1</v>
      </c>
      <c r="BC114">
        <v>9.8800000000000008</v>
      </c>
      <c r="BD114" t="s">
        <v>3</v>
      </c>
      <c r="BE114" t="s">
        <v>3</v>
      </c>
      <c r="BF114" t="s">
        <v>3</v>
      </c>
      <c r="BG114" t="s">
        <v>3</v>
      </c>
      <c r="BH114">
        <v>3</v>
      </c>
      <c r="BI114">
        <v>1</v>
      </c>
      <c r="BJ114" t="s">
        <v>3</v>
      </c>
      <c r="BM114">
        <v>400002</v>
      </c>
      <c r="BN114">
        <v>0</v>
      </c>
      <c r="BO114" t="s">
        <v>3</v>
      </c>
      <c r="BP114">
        <v>0</v>
      </c>
      <c r="BQ114">
        <v>202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0</v>
      </c>
      <c r="CA114">
        <v>0</v>
      </c>
      <c r="CB114" t="s">
        <v>3</v>
      </c>
      <c r="CE114">
        <v>1566</v>
      </c>
      <c r="CF114">
        <v>0</v>
      </c>
      <c r="CG114">
        <v>0</v>
      </c>
      <c r="CM114">
        <v>0</v>
      </c>
      <c r="CN114" t="s">
        <v>3</v>
      </c>
      <c r="CO114">
        <v>0</v>
      </c>
      <c r="CP114">
        <f t="shared" si="131"/>
        <v>4105.54</v>
      </c>
      <c r="CQ114">
        <f t="shared" si="132"/>
        <v>4105.54</v>
      </c>
      <c r="CR114">
        <f t="shared" si="153"/>
        <v>0</v>
      </c>
      <c r="CS114">
        <f t="shared" si="154"/>
        <v>0</v>
      </c>
      <c r="CT114">
        <f t="shared" si="133"/>
        <v>0</v>
      </c>
      <c r="CU114">
        <f t="shared" si="134"/>
        <v>0</v>
      </c>
      <c r="CV114">
        <f t="shared" si="135"/>
        <v>0</v>
      </c>
      <c r="CW114">
        <f t="shared" si="136"/>
        <v>0</v>
      </c>
      <c r="CX114">
        <f t="shared" si="137"/>
        <v>0</v>
      </c>
      <c r="CY114">
        <f t="shared" si="155"/>
        <v>0</v>
      </c>
      <c r="CZ114">
        <f t="shared" si="156"/>
        <v>0</v>
      </c>
      <c r="DC114" t="s">
        <v>3</v>
      </c>
      <c r="DD114" t="s">
        <v>3</v>
      </c>
      <c r="DE114" t="s">
        <v>3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>
        <v>0</v>
      </c>
      <c r="DO114">
        <v>0</v>
      </c>
      <c r="DP114">
        <v>1</v>
      </c>
      <c r="DQ114">
        <v>1</v>
      </c>
      <c r="DU114">
        <v>1013</v>
      </c>
      <c r="DV114" t="s">
        <v>107</v>
      </c>
      <c r="DW114" t="s">
        <v>107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60088211</v>
      </c>
      <c r="EF114">
        <v>202</v>
      </c>
      <c r="EG114" t="s">
        <v>108</v>
      </c>
      <c r="EH114">
        <v>0</v>
      </c>
      <c r="EI114" t="s">
        <v>3</v>
      </c>
      <c r="EJ114">
        <v>1</v>
      </c>
      <c r="EK114">
        <v>400002</v>
      </c>
      <c r="EL114" t="s">
        <v>109</v>
      </c>
      <c r="EM114" t="s">
        <v>108</v>
      </c>
      <c r="EO114" t="s">
        <v>3</v>
      </c>
      <c r="EQ114">
        <v>0</v>
      </c>
      <c r="ER114">
        <v>415.53999999999996</v>
      </c>
      <c r="ES114">
        <v>415.53999999999996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5</v>
      </c>
      <c r="FC114">
        <v>1</v>
      </c>
      <c r="FD114">
        <v>18</v>
      </c>
      <c r="FF114">
        <v>4830</v>
      </c>
      <c r="FQ114">
        <v>0</v>
      </c>
      <c r="FR114">
        <v>0</v>
      </c>
      <c r="FS114">
        <v>0</v>
      </c>
      <c r="FX114">
        <v>0</v>
      </c>
      <c r="FY114">
        <v>0</v>
      </c>
      <c r="GA114" t="s">
        <v>181</v>
      </c>
      <c r="GD114">
        <v>1</v>
      </c>
      <c r="GF114">
        <v>2042063611</v>
      </c>
      <c r="GG114">
        <v>2</v>
      </c>
      <c r="GH114">
        <v>3</v>
      </c>
      <c r="GI114">
        <v>5</v>
      </c>
      <c r="GJ114">
        <v>0</v>
      </c>
      <c r="GK114">
        <v>0</v>
      </c>
      <c r="GL114">
        <f t="shared" si="138"/>
        <v>0</v>
      </c>
      <c r="GM114">
        <f t="shared" si="139"/>
        <v>4105.54</v>
      </c>
      <c r="GN114">
        <f t="shared" si="140"/>
        <v>4105.54</v>
      </c>
      <c r="GO114">
        <f t="shared" si="141"/>
        <v>0</v>
      </c>
      <c r="GP114">
        <f t="shared" si="142"/>
        <v>0</v>
      </c>
      <c r="GR114">
        <v>1</v>
      </c>
      <c r="GS114">
        <v>1</v>
      </c>
      <c r="GT114">
        <v>0</v>
      </c>
      <c r="GU114" t="s">
        <v>3</v>
      </c>
      <c r="GV114">
        <f t="shared" si="143"/>
        <v>0</v>
      </c>
      <c r="GW114">
        <v>1</v>
      </c>
      <c r="GX114">
        <f t="shared" si="144"/>
        <v>0</v>
      </c>
      <c r="HA114">
        <v>0</v>
      </c>
      <c r="HB114">
        <v>0</v>
      </c>
      <c r="HC114">
        <f t="shared" si="145"/>
        <v>0</v>
      </c>
      <c r="HE114" t="s">
        <v>111</v>
      </c>
      <c r="HF114" t="s">
        <v>28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182</v>
      </c>
      <c r="F115" s="2" t="s">
        <v>183</v>
      </c>
      <c r="G115" s="2" t="s">
        <v>184</v>
      </c>
      <c r="H115" s="2" t="s">
        <v>107</v>
      </c>
      <c r="I115" s="2">
        <v>43</v>
      </c>
      <c r="J115" s="2">
        <v>0</v>
      </c>
      <c r="K115" s="2">
        <v>43</v>
      </c>
      <c r="L115" s="2"/>
      <c r="M115" s="2"/>
      <c r="N115" s="2"/>
      <c r="O115" s="2">
        <f t="shared" si="120"/>
        <v>20605.599999999999</v>
      </c>
      <c r="P115" s="2">
        <f t="shared" si="121"/>
        <v>20605.599999999999</v>
      </c>
      <c r="Q115" s="2">
        <f t="shared" si="146"/>
        <v>0</v>
      </c>
      <c r="R115" s="2">
        <f t="shared" si="147"/>
        <v>0</v>
      </c>
      <c r="S115" s="2">
        <f t="shared" si="122"/>
        <v>0</v>
      </c>
      <c r="T115" s="2">
        <f t="shared" si="123"/>
        <v>0</v>
      </c>
      <c r="U115" s="2">
        <f t="shared" si="124"/>
        <v>0</v>
      </c>
      <c r="V115" s="2">
        <f t="shared" si="125"/>
        <v>0</v>
      </c>
      <c r="W115" s="2">
        <f t="shared" si="126"/>
        <v>0</v>
      </c>
      <c r="X115" s="2">
        <f t="shared" si="148"/>
        <v>0</v>
      </c>
      <c r="Y115" s="2">
        <f t="shared" si="149"/>
        <v>0</v>
      </c>
      <c r="Z115" s="2"/>
      <c r="AA115" s="2">
        <v>60255014</v>
      </c>
      <c r="AB115" s="2">
        <f t="shared" si="127"/>
        <v>479.2</v>
      </c>
      <c r="AC115" s="2">
        <f t="shared" si="128"/>
        <v>479.2</v>
      </c>
      <c r="AD115" s="2">
        <f t="shared" si="150"/>
        <v>0</v>
      </c>
      <c r="AE115" s="2">
        <f t="shared" si="151"/>
        <v>0</v>
      </c>
      <c r="AF115" s="2">
        <f t="shared" si="151"/>
        <v>0</v>
      </c>
      <c r="AG115" s="2">
        <f t="shared" si="129"/>
        <v>0</v>
      </c>
      <c r="AH115" s="2">
        <f t="shared" si="152"/>
        <v>0</v>
      </c>
      <c r="AI115" s="2">
        <f t="shared" si="152"/>
        <v>0</v>
      </c>
      <c r="AJ115" s="2">
        <f t="shared" si="130"/>
        <v>0</v>
      </c>
      <c r="AK115" s="2">
        <v>479.2</v>
      </c>
      <c r="AL115" s="2">
        <v>479.2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1</v>
      </c>
      <c r="BJ115" s="2" t="s">
        <v>3</v>
      </c>
      <c r="BK115" s="2"/>
      <c r="BL115" s="2"/>
      <c r="BM115" s="2">
        <v>400002</v>
      </c>
      <c r="BN115" s="2">
        <v>0</v>
      </c>
      <c r="BO115" s="2" t="s">
        <v>3</v>
      </c>
      <c r="BP115" s="2">
        <v>0</v>
      </c>
      <c r="BQ115" s="2">
        <v>202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131"/>
        <v>20605.599999999999</v>
      </c>
      <c r="CQ115" s="2">
        <f t="shared" si="132"/>
        <v>479.2</v>
      </c>
      <c r="CR115" s="2">
        <f t="shared" si="153"/>
        <v>0</v>
      </c>
      <c r="CS115" s="2">
        <f t="shared" si="154"/>
        <v>0</v>
      </c>
      <c r="CT115" s="2">
        <f t="shared" si="133"/>
        <v>0</v>
      </c>
      <c r="CU115" s="2">
        <f t="shared" si="134"/>
        <v>0</v>
      </c>
      <c r="CV115" s="2">
        <f t="shared" si="135"/>
        <v>0</v>
      </c>
      <c r="CW115" s="2">
        <f t="shared" si="136"/>
        <v>0</v>
      </c>
      <c r="CX115" s="2">
        <f t="shared" si="137"/>
        <v>0</v>
      </c>
      <c r="CY115" s="2">
        <f t="shared" si="155"/>
        <v>0</v>
      </c>
      <c r="CZ115" s="2">
        <f t="shared" si="156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107</v>
      </c>
      <c r="DW115" s="2" t="s">
        <v>107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60088211</v>
      </c>
      <c r="EF115" s="2">
        <v>202</v>
      </c>
      <c r="EG115" s="2" t="s">
        <v>108</v>
      </c>
      <c r="EH115" s="2">
        <v>0</v>
      </c>
      <c r="EI115" s="2" t="s">
        <v>3</v>
      </c>
      <c r="EJ115" s="2">
        <v>1</v>
      </c>
      <c r="EK115" s="2">
        <v>400002</v>
      </c>
      <c r="EL115" s="2" t="s">
        <v>109</v>
      </c>
      <c r="EM115" s="2" t="s">
        <v>108</v>
      </c>
      <c r="EN115" s="2"/>
      <c r="EO115" s="2" t="s">
        <v>3</v>
      </c>
      <c r="EP115" s="2"/>
      <c r="EQ115" s="2">
        <v>0</v>
      </c>
      <c r="ER115" s="2">
        <v>0</v>
      </c>
      <c r="ES115" s="2">
        <v>479.2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185</v>
      </c>
      <c r="GB115" s="2"/>
      <c r="GC115" s="2"/>
      <c r="GD115" s="2">
        <v>1</v>
      </c>
      <c r="GE115" s="2"/>
      <c r="GF115" s="2">
        <v>1760647775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38"/>
        <v>0</v>
      </c>
      <c r="GM115" s="2">
        <f t="shared" si="139"/>
        <v>20605.599999999999</v>
      </c>
      <c r="GN115" s="2">
        <f t="shared" si="140"/>
        <v>20605.599999999999</v>
      </c>
      <c r="GO115" s="2">
        <f t="shared" si="141"/>
        <v>0</v>
      </c>
      <c r="GP115" s="2">
        <f t="shared" si="142"/>
        <v>0</v>
      </c>
      <c r="GQ115" s="2"/>
      <c r="GR115" s="2">
        <v>0</v>
      </c>
      <c r="GS115" s="2">
        <v>2</v>
      </c>
      <c r="GT115" s="2">
        <v>0</v>
      </c>
      <c r="GU115" s="2" t="s">
        <v>3</v>
      </c>
      <c r="GV115" s="2">
        <f t="shared" si="143"/>
        <v>0</v>
      </c>
      <c r="GW115" s="2">
        <v>1</v>
      </c>
      <c r="GX115" s="2">
        <f t="shared" si="144"/>
        <v>0</v>
      </c>
      <c r="GY115" s="2"/>
      <c r="GZ115" s="2"/>
      <c r="HA115" s="2">
        <v>0</v>
      </c>
      <c r="HB115" s="2">
        <v>0</v>
      </c>
      <c r="HC115" s="2">
        <f t="shared" si="145"/>
        <v>0</v>
      </c>
      <c r="HD115" s="2"/>
      <c r="HE115" s="2" t="s">
        <v>111</v>
      </c>
      <c r="HF115" s="2" t="s">
        <v>28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E116" t="s">
        <v>182</v>
      </c>
      <c r="F116" t="s">
        <v>183</v>
      </c>
      <c r="G116" t="s">
        <v>184</v>
      </c>
      <c r="H116" t="s">
        <v>107</v>
      </c>
      <c r="I116">
        <v>43</v>
      </c>
      <c r="J116">
        <v>0</v>
      </c>
      <c r="K116">
        <v>43</v>
      </c>
      <c r="O116">
        <f t="shared" si="120"/>
        <v>203583.33</v>
      </c>
      <c r="P116">
        <f t="shared" si="121"/>
        <v>203583.33</v>
      </c>
      <c r="Q116">
        <f t="shared" si="146"/>
        <v>0</v>
      </c>
      <c r="R116">
        <f t="shared" si="147"/>
        <v>0</v>
      </c>
      <c r="S116">
        <f t="shared" si="122"/>
        <v>0</v>
      </c>
      <c r="T116">
        <f t="shared" si="123"/>
        <v>0</v>
      </c>
      <c r="U116">
        <f t="shared" si="124"/>
        <v>0</v>
      </c>
      <c r="V116">
        <f t="shared" si="125"/>
        <v>0</v>
      </c>
      <c r="W116">
        <f t="shared" si="126"/>
        <v>0</v>
      </c>
      <c r="X116">
        <f t="shared" si="148"/>
        <v>0</v>
      </c>
      <c r="Y116">
        <f t="shared" si="149"/>
        <v>0</v>
      </c>
      <c r="AA116">
        <v>60255011</v>
      </c>
      <c r="AB116">
        <f t="shared" si="127"/>
        <v>479.2</v>
      </c>
      <c r="AC116">
        <f t="shared" si="128"/>
        <v>479.2</v>
      </c>
      <c r="AD116">
        <f t="shared" si="150"/>
        <v>0</v>
      </c>
      <c r="AE116">
        <f t="shared" si="151"/>
        <v>0</v>
      </c>
      <c r="AF116">
        <f t="shared" si="151"/>
        <v>0</v>
      </c>
      <c r="AG116">
        <f t="shared" si="129"/>
        <v>0</v>
      </c>
      <c r="AH116">
        <f t="shared" si="152"/>
        <v>0</v>
      </c>
      <c r="AI116">
        <f t="shared" si="152"/>
        <v>0</v>
      </c>
      <c r="AJ116">
        <f t="shared" si="130"/>
        <v>0</v>
      </c>
      <c r="AK116">
        <v>479.2</v>
      </c>
      <c r="AL116">
        <v>479.2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Z116">
        <v>1</v>
      </c>
      <c r="BA116">
        <v>1</v>
      </c>
      <c r="BB116">
        <v>1</v>
      </c>
      <c r="BC116">
        <v>9.8800000000000008</v>
      </c>
      <c r="BD116" t="s">
        <v>3</v>
      </c>
      <c r="BE116" t="s">
        <v>3</v>
      </c>
      <c r="BF116" t="s">
        <v>3</v>
      </c>
      <c r="BG116" t="s">
        <v>3</v>
      </c>
      <c r="BH116">
        <v>3</v>
      </c>
      <c r="BI116">
        <v>1</v>
      </c>
      <c r="BJ116" t="s">
        <v>3</v>
      </c>
      <c r="BM116">
        <v>400002</v>
      </c>
      <c r="BN116">
        <v>0</v>
      </c>
      <c r="BO116" t="s">
        <v>3</v>
      </c>
      <c r="BP116">
        <v>0</v>
      </c>
      <c r="BQ116">
        <v>202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0</v>
      </c>
      <c r="CA116">
        <v>0</v>
      </c>
      <c r="CB116" t="s">
        <v>3</v>
      </c>
      <c r="CE116">
        <v>1566</v>
      </c>
      <c r="CF116">
        <v>0</v>
      </c>
      <c r="CG116">
        <v>0</v>
      </c>
      <c r="CM116">
        <v>0</v>
      </c>
      <c r="CN116" t="s">
        <v>3</v>
      </c>
      <c r="CO116">
        <v>0</v>
      </c>
      <c r="CP116">
        <f t="shared" si="131"/>
        <v>203583.33</v>
      </c>
      <c r="CQ116">
        <f t="shared" si="132"/>
        <v>4734.5</v>
      </c>
      <c r="CR116">
        <f t="shared" si="153"/>
        <v>0</v>
      </c>
      <c r="CS116">
        <f t="shared" si="154"/>
        <v>0</v>
      </c>
      <c r="CT116">
        <f t="shared" si="133"/>
        <v>0</v>
      </c>
      <c r="CU116">
        <f t="shared" si="134"/>
        <v>0</v>
      </c>
      <c r="CV116">
        <f t="shared" si="135"/>
        <v>0</v>
      </c>
      <c r="CW116">
        <f t="shared" si="136"/>
        <v>0</v>
      </c>
      <c r="CX116">
        <f t="shared" si="137"/>
        <v>0</v>
      </c>
      <c r="CY116">
        <f t="shared" si="155"/>
        <v>0</v>
      </c>
      <c r="CZ116">
        <f t="shared" si="156"/>
        <v>0</v>
      </c>
      <c r="DC116" t="s">
        <v>3</v>
      </c>
      <c r="DD116" t="s">
        <v>3</v>
      </c>
      <c r="DE116" t="s">
        <v>3</v>
      </c>
      <c r="DF116" t="s">
        <v>3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>
        <v>0</v>
      </c>
      <c r="DO116">
        <v>0</v>
      </c>
      <c r="DP116">
        <v>1</v>
      </c>
      <c r="DQ116">
        <v>1</v>
      </c>
      <c r="DU116">
        <v>1013</v>
      </c>
      <c r="DV116" t="s">
        <v>107</v>
      </c>
      <c r="DW116" t="s">
        <v>107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60088211</v>
      </c>
      <c r="EF116">
        <v>202</v>
      </c>
      <c r="EG116" t="s">
        <v>108</v>
      </c>
      <c r="EH116">
        <v>0</v>
      </c>
      <c r="EI116" t="s">
        <v>3</v>
      </c>
      <c r="EJ116">
        <v>1</v>
      </c>
      <c r="EK116">
        <v>400002</v>
      </c>
      <c r="EL116" t="s">
        <v>109</v>
      </c>
      <c r="EM116" t="s">
        <v>108</v>
      </c>
      <c r="EO116" t="s">
        <v>3</v>
      </c>
      <c r="EQ116">
        <v>0</v>
      </c>
      <c r="ER116">
        <v>479.2</v>
      </c>
      <c r="ES116">
        <v>479.2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5</v>
      </c>
      <c r="FC116">
        <v>1</v>
      </c>
      <c r="FD116">
        <v>18</v>
      </c>
      <c r="FF116">
        <v>5570</v>
      </c>
      <c r="FQ116">
        <v>0</v>
      </c>
      <c r="FR116">
        <v>0</v>
      </c>
      <c r="FS116">
        <v>0</v>
      </c>
      <c r="FX116">
        <v>0</v>
      </c>
      <c r="FY116">
        <v>0</v>
      </c>
      <c r="GA116" t="s">
        <v>185</v>
      </c>
      <c r="GD116">
        <v>1</v>
      </c>
      <c r="GF116">
        <v>1760647775</v>
      </c>
      <c r="GG116">
        <v>2</v>
      </c>
      <c r="GH116">
        <v>3</v>
      </c>
      <c r="GI116">
        <v>5</v>
      </c>
      <c r="GJ116">
        <v>0</v>
      </c>
      <c r="GK116">
        <v>0</v>
      </c>
      <c r="GL116">
        <f t="shared" si="138"/>
        <v>0</v>
      </c>
      <c r="GM116">
        <f t="shared" si="139"/>
        <v>203583.33</v>
      </c>
      <c r="GN116">
        <f t="shared" si="140"/>
        <v>203583.33</v>
      </c>
      <c r="GO116">
        <f t="shared" si="141"/>
        <v>0</v>
      </c>
      <c r="GP116">
        <f t="shared" si="142"/>
        <v>0</v>
      </c>
      <c r="GR116">
        <v>1</v>
      </c>
      <c r="GS116">
        <v>1</v>
      </c>
      <c r="GT116">
        <v>0</v>
      </c>
      <c r="GU116" t="s">
        <v>3</v>
      </c>
      <c r="GV116">
        <f t="shared" si="143"/>
        <v>0</v>
      </c>
      <c r="GW116">
        <v>1</v>
      </c>
      <c r="GX116">
        <f t="shared" si="144"/>
        <v>0</v>
      </c>
      <c r="HA116">
        <v>0</v>
      </c>
      <c r="HB116">
        <v>0</v>
      </c>
      <c r="HC116">
        <f t="shared" si="145"/>
        <v>0</v>
      </c>
      <c r="HE116" t="s">
        <v>111</v>
      </c>
      <c r="HF116" t="s">
        <v>28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17</v>
      </c>
      <c r="B117" s="2">
        <v>1</v>
      </c>
      <c r="C117" s="2"/>
      <c r="D117" s="2"/>
      <c r="E117" s="2" t="s">
        <v>186</v>
      </c>
      <c r="F117" s="2" t="s">
        <v>187</v>
      </c>
      <c r="G117" s="2" t="s">
        <v>188</v>
      </c>
      <c r="H117" s="2" t="s">
        <v>107</v>
      </c>
      <c r="I117" s="2">
        <v>87</v>
      </c>
      <c r="J117" s="2">
        <v>0</v>
      </c>
      <c r="K117" s="2">
        <v>87</v>
      </c>
      <c r="L117" s="2"/>
      <c r="M117" s="2"/>
      <c r="N117" s="2"/>
      <c r="O117" s="2">
        <f t="shared" si="120"/>
        <v>47528.1</v>
      </c>
      <c r="P117" s="2">
        <f t="shared" si="121"/>
        <v>47528.1</v>
      </c>
      <c r="Q117" s="2">
        <f t="shared" si="146"/>
        <v>0</v>
      </c>
      <c r="R117" s="2">
        <f t="shared" si="147"/>
        <v>0</v>
      </c>
      <c r="S117" s="2">
        <f t="shared" si="122"/>
        <v>0</v>
      </c>
      <c r="T117" s="2">
        <f t="shared" si="123"/>
        <v>0</v>
      </c>
      <c r="U117" s="2">
        <f t="shared" si="124"/>
        <v>0</v>
      </c>
      <c r="V117" s="2">
        <f t="shared" si="125"/>
        <v>0</v>
      </c>
      <c r="W117" s="2">
        <f t="shared" si="126"/>
        <v>0</v>
      </c>
      <c r="X117" s="2">
        <f t="shared" si="148"/>
        <v>0</v>
      </c>
      <c r="Y117" s="2">
        <f t="shared" si="149"/>
        <v>0</v>
      </c>
      <c r="Z117" s="2"/>
      <c r="AA117" s="2">
        <v>60255014</v>
      </c>
      <c r="AB117" s="2">
        <f t="shared" si="127"/>
        <v>546.29999999999995</v>
      </c>
      <c r="AC117" s="2">
        <f t="shared" si="128"/>
        <v>546.29999999999995</v>
      </c>
      <c r="AD117" s="2">
        <f t="shared" si="150"/>
        <v>0</v>
      </c>
      <c r="AE117" s="2">
        <f t="shared" si="151"/>
        <v>0</v>
      </c>
      <c r="AF117" s="2">
        <f t="shared" si="151"/>
        <v>0</v>
      </c>
      <c r="AG117" s="2">
        <f t="shared" si="129"/>
        <v>0</v>
      </c>
      <c r="AH117" s="2">
        <f t="shared" si="152"/>
        <v>0</v>
      </c>
      <c r="AI117" s="2">
        <f t="shared" si="152"/>
        <v>0</v>
      </c>
      <c r="AJ117" s="2">
        <f t="shared" si="130"/>
        <v>0</v>
      </c>
      <c r="AK117" s="2">
        <v>546.30000000000007</v>
      </c>
      <c r="AL117" s="2">
        <v>546.30000000000007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1</v>
      </c>
      <c r="BJ117" s="2" t="s">
        <v>3</v>
      </c>
      <c r="BK117" s="2"/>
      <c r="BL117" s="2"/>
      <c r="BM117" s="2">
        <v>400002</v>
      </c>
      <c r="BN117" s="2">
        <v>0</v>
      </c>
      <c r="BO117" s="2" t="s">
        <v>3</v>
      </c>
      <c r="BP117" s="2">
        <v>0</v>
      </c>
      <c r="BQ117" s="2">
        <v>202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131"/>
        <v>47528.1</v>
      </c>
      <c r="CQ117" s="2">
        <f t="shared" si="132"/>
        <v>546.29999999999995</v>
      </c>
      <c r="CR117" s="2">
        <f t="shared" si="153"/>
        <v>0</v>
      </c>
      <c r="CS117" s="2">
        <f t="shared" si="154"/>
        <v>0</v>
      </c>
      <c r="CT117" s="2">
        <f t="shared" si="133"/>
        <v>0</v>
      </c>
      <c r="CU117" s="2">
        <f t="shared" si="134"/>
        <v>0</v>
      </c>
      <c r="CV117" s="2">
        <f t="shared" si="135"/>
        <v>0</v>
      </c>
      <c r="CW117" s="2">
        <f t="shared" si="136"/>
        <v>0</v>
      </c>
      <c r="CX117" s="2">
        <f t="shared" si="137"/>
        <v>0</v>
      </c>
      <c r="CY117" s="2">
        <f t="shared" si="155"/>
        <v>0</v>
      </c>
      <c r="CZ117" s="2">
        <f t="shared" si="156"/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107</v>
      </c>
      <c r="DW117" s="2" t="s">
        <v>107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60088211</v>
      </c>
      <c r="EF117" s="2">
        <v>202</v>
      </c>
      <c r="EG117" s="2" t="s">
        <v>108</v>
      </c>
      <c r="EH117" s="2">
        <v>0</v>
      </c>
      <c r="EI117" s="2" t="s">
        <v>3</v>
      </c>
      <c r="EJ117" s="2">
        <v>1</v>
      </c>
      <c r="EK117" s="2">
        <v>400002</v>
      </c>
      <c r="EL117" s="2" t="s">
        <v>109</v>
      </c>
      <c r="EM117" s="2" t="s">
        <v>108</v>
      </c>
      <c r="EN117" s="2"/>
      <c r="EO117" s="2" t="s">
        <v>3</v>
      </c>
      <c r="EP117" s="2"/>
      <c r="EQ117" s="2">
        <v>0</v>
      </c>
      <c r="ER117" s="2">
        <v>0</v>
      </c>
      <c r="ES117" s="2">
        <v>546.30000000000007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189</v>
      </c>
      <c r="GB117" s="2"/>
      <c r="GC117" s="2"/>
      <c r="GD117" s="2">
        <v>1</v>
      </c>
      <c r="GE117" s="2"/>
      <c r="GF117" s="2">
        <v>467808246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138"/>
        <v>0</v>
      </c>
      <c r="GM117" s="2">
        <f t="shared" si="139"/>
        <v>47528.1</v>
      </c>
      <c r="GN117" s="2">
        <f t="shared" si="140"/>
        <v>47528.1</v>
      </c>
      <c r="GO117" s="2">
        <f t="shared" si="141"/>
        <v>0</v>
      </c>
      <c r="GP117" s="2">
        <f t="shared" si="142"/>
        <v>0</v>
      </c>
      <c r="GQ117" s="2"/>
      <c r="GR117" s="2">
        <v>0</v>
      </c>
      <c r="GS117" s="2">
        <v>2</v>
      </c>
      <c r="GT117" s="2">
        <v>0</v>
      </c>
      <c r="GU117" s="2" t="s">
        <v>3</v>
      </c>
      <c r="GV117" s="2">
        <f t="shared" si="143"/>
        <v>0</v>
      </c>
      <c r="GW117" s="2">
        <v>1</v>
      </c>
      <c r="GX117" s="2">
        <f t="shared" si="144"/>
        <v>0</v>
      </c>
      <c r="GY117" s="2"/>
      <c r="GZ117" s="2"/>
      <c r="HA117" s="2">
        <v>0</v>
      </c>
      <c r="HB117" s="2">
        <v>0</v>
      </c>
      <c r="HC117" s="2">
        <f t="shared" si="145"/>
        <v>0</v>
      </c>
      <c r="HD117" s="2"/>
      <c r="HE117" s="2" t="s">
        <v>111</v>
      </c>
      <c r="HF117" s="2" t="s">
        <v>28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17</v>
      </c>
      <c r="B118">
        <v>1</v>
      </c>
      <c r="E118" t="s">
        <v>186</v>
      </c>
      <c r="F118" t="s">
        <v>187</v>
      </c>
      <c r="G118" t="s">
        <v>188</v>
      </c>
      <c r="H118" t="s">
        <v>107</v>
      </c>
      <c r="I118">
        <v>87</v>
      </c>
      <c r="J118">
        <v>0</v>
      </c>
      <c r="K118">
        <v>87</v>
      </c>
      <c r="O118">
        <f t="shared" si="120"/>
        <v>469577.63</v>
      </c>
      <c r="P118">
        <f t="shared" si="121"/>
        <v>469577.63</v>
      </c>
      <c r="Q118">
        <f t="shared" si="146"/>
        <v>0</v>
      </c>
      <c r="R118">
        <f t="shared" si="147"/>
        <v>0</v>
      </c>
      <c r="S118">
        <f t="shared" si="122"/>
        <v>0</v>
      </c>
      <c r="T118">
        <f t="shared" si="123"/>
        <v>0</v>
      </c>
      <c r="U118">
        <f t="shared" si="124"/>
        <v>0</v>
      </c>
      <c r="V118">
        <f t="shared" si="125"/>
        <v>0</v>
      </c>
      <c r="W118">
        <f t="shared" si="126"/>
        <v>0</v>
      </c>
      <c r="X118">
        <f t="shared" si="148"/>
        <v>0</v>
      </c>
      <c r="Y118">
        <f t="shared" si="149"/>
        <v>0</v>
      </c>
      <c r="AA118">
        <v>60255011</v>
      </c>
      <c r="AB118">
        <f t="shared" si="127"/>
        <v>546.29999999999995</v>
      </c>
      <c r="AC118">
        <f t="shared" si="128"/>
        <v>546.29999999999995</v>
      </c>
      <c r="AD118">
        <f t="shared" si="150"/>
        <v>0</v>
      </c>
      <c r="AE118">
        <f t="shared" si="151"/>
        <v>0</v>
      </c>
      <c r="AF118">
        <f t="shared" si="151"/>
        <v>0</v>
      </c>
      <c r="AG118">
        <f t="shared" si="129"/>
        <v>0</v>
      </c>
      <c r="AH118">
        <f t="shared" si="152"/>
        <v>0</v>
      </c>
      <c r="AI118">
        <f t="shared" si="152"/>
        <v>0</v>
      </c>
      <c r="AJ118">
        <f t="shared" si="130"/>
        <v>0</v>
      </c>
      <c r="AK118">
        <v>546.30000000000007</v>
      </c>
      <c r="AL118">
        <v>546.30000000000007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Z118">
        <v>1</v>
      </c>
      <c r="BA118">
        <v>1</v>
      </c>
      <c r="BB118">
        <v>1</v>
      </c>
      <c r="BC118">
        <v>9.8800000000000008</v>
      </c>
      <c r="BD118" t="s">
        <v>3</v>
      </c>
      <c r="BE118" t="s">
        <v>3</v>
      </c>
      <c r="BF118" t="s">
        <v>3</v>
      </c>
      <c r="BG118" t="s">
        <v>3</v>
      </c>
      <c r="BH118">
        <v>3</v>
      </c>
      <c r="BI118">
        <v>1</v>
      </c>
      <c r="BJ118" t="s">
        <v>3</v>
      </c>
      <c r="BM118">
        <v>400002</v>
      </c>
      <c r="BN118">
        <v>0</v>
      </c>
      <c r="BO118" t="s">
        <v>3</v>
      </c>
      <c r="BP118">
        <v>0</v>
      </c>
      <c r="BQ118">
        <v>202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0</v>
      </c>
      <c r="CA118">
        <v>0</v>
      </c>
      <c r="CB118" t="s">
        <v>3</v>
      </c>
      <c r="CE118">
        <v>1566</v>
      </c>
      <c r="CF118">
        <v>0</v>
      </c>
      <c r="CG118">
        <v>0</v>
      </c>
      <c r="CM118">
        <v>0</v>
      </c>
      <c r="CN118" t="s">
        <v>3</v>
      </c>
      <c r="CO118">
        <v>0</v>
      </c>
      <c r="CP118">
        <f t="shared" si="131"/>
        <v>469577.63</v>
      </c>
      <c r="CQ118">
        <f t="shared" si="132"/>
        <v>5397.44</v>
      </c>
      <c r="CR118">
        <f t="shared" si="153"/>
        <v>0</v>
      </c>
      <c r="CS118">
        <f t="shared" si="154"/>
        <v>0</v>
      </c>
      <c r="CT118">
        <f t="shared" si="133"/>
        <v>0</v>
      </c>
      <c r="CU118">
        <f t="shared" si="134"/>
        <v>0</v>
      </c>
      <c r="CV118">
        <f t="shared" si="135"/>
        <v>0</v>
      </c>
      <c r="CW118">
        <f t="shared" si="136"/>
        <v>0</v>
      </c>
      <c r="CX118">
        <f t="shared" si="137"/>
        <v>0</v>
      </c>
      <c r="CY118">
        <f t="shared" si="155"/>
        <v>0</v>
      </c>
      <c r="CZ118">
        <f t="shared" si="156"/>
        <v>0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>
        <v>0</v>
      </c>
      <c r="DO118">
        <v>0</v>
      </c>
      <c r="DP118">
        <v>1</v>
      </c>
      <c r="DQ118">
        <v>1</v>
      </c>
      <c r="DU118">
        <v>1013</v>
      </c>
      <c r="DV118" t="s">
        <v>107</v>
      </c>
      <c r="DW118" t="s">
        <v>107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60088211</v>
      </c>
      <c r="EF118">
        <v>202</v>
      </c>
      <c r="EG118" t="s">
        <v>108</v>
      </c>
      <c r="EH118">
        <v>0</v>
      </c>
      <c r="EI118" t="s">
        <v>3</v>
      </c>
      <c r="EJ118">
        <v>1</v>
      </c>
      <c r="EK118">
        <v>400002</v>
      </c>
      <c r="EL118" t="s">
        <v>109</v>
      </c>
      <c r="EM118" t="s">
        <v>108</v>
      </c>
      <c r="EO118" t="s">
        <v>3</v>
      </c>
      <c r="EQ118">
        <v>0</v>
      </c>
      <c r="ER118">
        <v>546.30000000000007</v>
      </c>
      <c r="ES118">
        <v>546.30000000000007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5</v>
      </c>
      <c r="FC118">
        <v>1</v>
      </c>
      <c r="FD118">
        <v>18</v>
      </c>
      <c r="FF118">
        <v>6350</v>
      </c>
      <c r="FQ118">
        <v>0</v>
      </c>
      <c r="FR118">
        <v>0</v>
      </c>
      <c r="FS118">
        <v>0</v>
      </c>
      <c r="FX118">
        <v>0</v>
      </c>
      <c r="FY118">
        <v>0</v>
      </c>
      <c r="GA118" t="s">
        <v>189</v>
      </c>
      <c r="GD118">
        <v>1</v>
      </c>
      <c r="GF118">
        <v>467808246</v>
      </c>
      <c r="GG118">
        <v>2</v>
      </c>
      <c r="GH118">
        <v>3</v>
      </c>
      <c r="GI118">
        <v>5</v>
      </c>
      <c r="GJ118">
        <v>0</v>
      </c>
      <c r="GK118">
        <v>0</v>
      </c>
      <c r="GL118">
        <f t="shared" si="138"/>
        <v>0</v>
      </c>
      <c r="GM118">
        <f t="shared" si="139"/>
        <v>469577.63</v>
      </c>
      <c r="GN118">
        <f t="shared" si="140"/>
        <v>469577.63</v>
      </c>
      <c r="GO118">
        <f t="shared" si="141"/>
        <v>0</v>
      </c>
      <c r="GP118">
        <f t="shared" si="142"/>
        <v>0</v>
      </c>
      <c r="GR118">
        <v>1</v>
      </c>
      <c r="GS118">
        <v>1</v>
      </c>
      <c r="GT118">
        <v>0</v>
      </c>
      <c r="GU118" t="s">
        <v>3</v>
      </c>
      <c r="GV118">
        <f t="shared" si="143"/>
        <v>0</v>
      </c>
      <c r="GW118">
        <v>1</v>
      </c>
      <c r="GX118">
        <f t="shared" si="144"/>
        <v>0</v>
      </c>
      <c r="HA118">
        <v>0</v>
      </c>
      <c r="HB118">
        <v>0</v>
      </c>
      <c r="HC118">
        <f t="shared" si="145"/>
        <v>0</v>
      </c>
      <c r="HE118" t="s">
        <v>111</v>
      </c>
      <c r="HF118" t="s">
        <v>28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/>
      <c r="D119" s="2"/>
      <c r="E119" s="2" t="s">
        <v>190</v>
      </c>
      <c r="F119" s="2" t="s">
        <v>191</v>
      </c>
      <c r="G119" s="2" t="s">
        <v>192</v>
      </c>
      <c r="H119" s="2" t="s">
        <v>107</v>
      </c>
      <c r="I119" s="2">
        <v>13</v>
      </c>
      <c r="J119" s="2">
        <v>0</v>
      </c>
      <c r="K119" s="2">
        <v>13</v>
      </c>
      <c r="L119" s="2"/>
      <c r="M119" s="2"/>
      <c r="N119" s="2"/>
      <c r="O119" s="2">
        <f t="shared" si="120"/>
        <v>7929.61</v>
      </c>
      <c r="P119" s="2">
        <f t="shared" si="121"/>
        <v>7929.61</v>
      </c>
      <c r="Q119" s="2">
        <f t="shared" si="146"/>
        <v>0</v>
      </c>
      <c r="R119" s="2">
        <f t="shared" si="147"/>
        <v>0</v>
      </c>
      <c r="S119" s="2">
        <f t="shared" si="122"/>
        <v>0</v>
      </c>
      <c r="T119" s="2">
        <f t="shared" si="123"/>
        <v>0</v>
      </c>
      <c r="U119" s="2">
        <f t="shared" si="124"/>
        <v>0</v>
      </c>
      <c r="V119" s="2">
        <f t="shared" si="125"/>
        <v>0</v>
      </c>
      <c r="W119" s="2">
        <f t="shared" si="126"/>
        <v>0</v>
      </c>
      <c r="X119" s="2">
        <f t="shared" si="148"/>
        <v>0</v>
      </c>
      <c r="Y119" s="2">
        <f t="shared" si="149"/>
        <v>0</v>
      </c>
      <c r="Z119" s="2"/>
      <c r="AA119" s="2">
        <v>60255014</v>
      </c>
      <c r="AB119" s="2">
        <f t="shared" si="127"/>
        <v>609.97</v>
      </c>
      <c r="AC119" s="2">
        <f t="shared" si="128"/>
        <v>609.97</v>
      </c>
      <c r="AD119" s="2">
        <f t="shared" si="150"/>
        <v>0</v>
      </c>
      <c r="AE119" s="2">
        <f t="shared" si="151"/>
        <v>0</v>
      </c>
      <c r="AF119" s="2">
        <f t="shared" si="151"/>
        <v>0</v>
      </c>
      <c r="AG119" s="2">
        <f t="shared" si="129"/>
        <v>0</v>
      </c>
      <c r="AH119" s="2">
        <f t="shared" si="152"/>
        <v>0</v>
      </c>
      <c r="AI119" s="2">
        <f t="shared" si="152"/>
        <v>0</v>
      </c>
      <c r="AJ119" s="2">
        <f t="shared" si="130"/>
        <v>0</v>
      </c>
      <c r="AK119" s="2">
        <v>609.97</v>
      </c>
      <c r="AL119" s="2">
        <v>609.97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1</v>
      </c>
      <c r="BJ119" s="2" t="s">
        <v>3</v>
      </c>
      <c r="BK119" s="2"/>
      <c r="BL119" s="2"/>
      <c r="BM119" s="2">
        <v>400002</v>
      </c>
      <c r="BN119" s="2">
        <v>0</v>
      </c>
      <c r="BO119" s="2" t="s">
        <v>3</v>
      </c>
      <c r="BP119" s="2">
        <v>0</v>
      </c>
      <c r="BQ119" s="2">
        <v>202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0</v>
      </c>
      <c r="CA119" s="2">
        <v>0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131"/>
        <v>7929.61</v>
      </c>
      <c r="CQ119" s="2">
        <f t="shared" si="132"/>
        <v>609.97</v>
      </c>
      <c r="CR119" s="2">
        <f t="shared" si="153"/>
        <v>0</v>
      </c>
      <c r="CS119" s="2">
        <f t="shared" si="154"/>
        <v>0</v>
      </c>
      <c r="CT119" s="2">
        <f t="shared" si="133"/>
        <v>0</v>
      </c>
      <c r="CU119" s="2">
        <f t="shared" si="134"/>
        <v>0</v>
      </c>
      <c r="CV119" s="2">
        <f t="shared" si="135"/>
        <v>0</v>
      </c>
      <c r="CW119" s="2">
        <f t="shared" si="136"/>
        <v>0</v>
      </c>
      <c r="CX119" s="2">
        <f t="shared" si="137"/>
        <v>0</v>
      </c>
      <c r="CY119" s="2">
        <f t="shared" si="155"/>
        <v>0</v>
      </c>
      <c r="CZ119" s="2">
        <f t="shared" si="156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107</v>
      </c>
      <c r="DW119" s="2" t="s">
        <v>107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60088211</v>
      </c>
      <c r="EF119" s="2">
        <v>202</v>
      </c>
      <c r="EG119" s="2" t="s">
        <v>108</v>
      </c>
      <c r="EH119" s="2">
        <v>0</v>
      </c>
      <c r="EI119" s="2" t="s">
        <v>3</v>
      </c>
      <c r="EJ119" s="2">
        <v>1</v>
      </c>
      <c r="EK119" s="2">
        <v>400002</v>
      </c>
      <c r="EL119" s="2" t="s">
        <v>109</v>
      </c>
      <c r="EM119" s="2" t="s">
        <v>108</v>
      </c>
      <c r="EN119" s="2"/>
      <c r="EO119" s="2" t="s">
        <v>3</v>
      </c>
      <c r="EP119" s="2"/>
      <c r="EQ119" s="2">
        <v>0</v>
      </c>
      <c r="ER119" s="2">
        <v>0</v>
      </c>
      <c r="ES119" s="2">
        <v>609.97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0</v>
      </c>
      <c r="FY119" s="2">
        <v>0</v>
      </c>
      <c r="FZ119" s="2"/>
      <c r="GA119" s="2" t="s">
        <v>193</v>
      </c>
      <c r="GB119" s="2"/>
      <c r="GC119" s="2"/>
      <c r="GD119" s="2">
        <v>1</v>
      </c>
      <c r="GE119" s="2"/>
      <c r="GF119" s="2">
        <v>920195879</v>
      </c>
      <c r="GG119" s="2">
        <v>2</v>
      </c>
      <c r="GH119" s="2">
        <v>4</v>
      </c>
      <c r="GI119" s="2">
        <v>-2</v>
      </c>
      <c r="GJ119" s="2">
        <v>0</v>
      </c>
      <c r="GK119" s="2">
        <v>0</v>
      </c>
      <c r="GL119" s="2">
        <f t="shared" si="138"/>
        <v>0</v>
      </c>
      <c r="GM119" s="2">
        <f t="shared" si="139"/>
        <v>7929.61</v>
      </c>
      <c r="GN119" s="2">
        <f t="shared" si="140"/>
        <v>7929.61</v>
      </c>
      <c r="GO119" s="2">
        <f t="shared" si="141"/>
        <v>0</v>
      </c>
      <c r="GP119" s="2">
        <f t="shared" si="142"/>
        <v>0</v>
      </c>
      <c r="GQ119" s="2"/>
      <c r="GR119" s="2">
        <v>0</v>
      </c>
      <c r="GS119" s="2">
        <v>2</v>
      </c>
      <c r="GT119" s="2">
        <v>0</v>
      </c>
      <c r="GU119" s="2" t="s">
        <v>3</v>
      </c>
      <c r="GV119" s="2">
        <f t="shared" si="143"/>
        <v>0</v>
      </c>
      <c r="GW119" s="2">
        <v>1</v>
      </c>
      <c r="GX119" s="2">
        <f t="shared" si="144"/>
        <v>0</v>
      </c>
      <c r="GY119" s="2"/>
      <c r="GZ119" s="2"/>
      <c r="HA119" s="2">
        <v>0</v>
      </c>
      <c r="HB119" s="2">
        <v>0</v>
      </c>
      <c r="HC119" s="2">
        <f t="shared" si="145"/>
        <v>0</v>
      </c>
      <c r="HD119" s="2"/>
      <c r="HE119" s="2" t="s">
        <v>111</v>
      </c>
      <c r="HF119" s="2" t="s">
        <v>28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E120" t="s">
        <v>190</v>
      </c>
      <c r="F120" t="s">
        <v>191</v>
      </c>
      <c r="G120" t="s">
        <v>192</v>
      </c>
      <c r="H120" t="s">
        <v>107</v>
      </c>
      <c r="I120">
        <v>13</v>
      </c>
      <c r="J120">
        <v>0</v>
      </c>
      <c r="K120">
        <v>13</v>
      </c>
      <c r="O120">
        <f t="shared" si="120"/>
        <v>78344.55</v>
      </c>
      <c r="P120">
        <f t="shared" si="121"/>
        <v>78344.55</v>
      </c>
      <c r="Q120">
        <f t="shared" si="146"/>
        <v>0</v>
      </c>
      <c r="R120">
        <f t="shared" si="147"/>
        <v>0</v>
      </c>
      <c r="S120">
        <f t="shared" si="122"/>
        <v>0</v>
      </c>
      <c r="T120">
        <f t="shared" si="123"/>
        <v>0</v>
      </c>
      <c r="U120">
        <f t="shared" si="124"/>
        <v>0</v>
      </c>
      <c r="V120">
        <f t="shared" si="125"/>
        <v>0</v>
      </c>
      <c r="W120">
        <f t="shared" si="126"/>
        <v>0</v>
      </c>
      <c r="X120">
        <f t="shared" si="148"/>
        <v>0</v>
      </c>
      <c r="Y120">
        <f t="shared" si="149"/>
        <v>0</v>
      </c>
      <c r="AA120">
        <v>60255011</v>
      </c>
      <c r="AB120">
        <f t="shared" si="127"/>
        <v>609.97</v>
      </c>
      <c r="AC120">
        <f t="shared" si="128"/>
        <v>609.97</v>
      </c>
      <c r="AD120">
        <f t="shared" si="150"/>
        <v>0</v>
      </c>
      <c r="AE120">
        <f t="shared" si="151"/>
        <v>0</v>
      </c>
      <c r="AF120">
        <f t="shared" si="151"/>
        <v>0</v>
      </c>
      <c r="AG120">
        <f t="shared" si="129"/>
        <v>0</v>
      </c>
      <c r="AH120">
        <f t="shared" si="152"/>
        <v>0</v>
      </c>
      <c r="AI120">
        <f t="shared" si="152"/>
        <v>0</v>
      </c>
      <c r="AJ120">
        <f t="shared" si="130"/>
        <v>0</v>
      </c>
      <c r="AK120">
        <v>609.97</v>
      </c>
      <c r="AL120">
        <v>609.97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Z120">
        <v>1</v>
      </c>
      <c r="BA120">
        <v>1</v>
      </c>
      <c r="BB120">
        <v>1</v>
      </c>
      <c r="BC120">
        <v>9.8800000000000008</v>
      </c>
      <c r="BD120" t="s">
        <v>3</v>
      </c>
      <c r="BE120" t="s">
        <v>3</v>
      </c>
      <c r="BF120" t="s">
        <v>3</v>
      </c>
      <c r="BG120" t="s">
        <v>3</v>
      </c>
      <c r="BH120">
        <v>3</v>
      </c>
      <c r="BI120">
        <v>1</v>
      </c>
      <c r="BJ120" t="s">
        <v>3</v>
      </c>
      <c r="BM120">
        <v>400002</v>
      </c>
      <c r="BN120">
        <v>0</v>
      </c>
      <c r="BO120" t="s">
        <v>3</v>
      </c>
      <c r="BP120">
        <v>0</v>
      </c>
      <c r="BQ120">
        <v>202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0</v>
      </c>
      <c r="CA120">
        <v>0</v>
      </c>
      <c r="CB120" t="s">
        <v>3</v>
      </c>
      <c r="CE120">
        <v>1566</v>
      </c>
      <c r="CF120">
        <v>0</v>
      </c>
      <c r="CG120">
        <v>0</v>
      </c>
      <c r="CM120">
        <v>0</v>
      </c>
      <c r="CN120" t="s">
        <v>3</v>
      </c>
      <c r="CO120">
        <v>0</v>
      </c>
      <c r="CP120">
        <f t="shared" si="131"/>
        <v>78344.55</v>
      </c>
      <c r="CQ120">
        <f t="shared" si="132"/>
        <v>6026.5</v>
      </c>
      <c r="CR120">
        <f t="shared" si="153"/>
        <v>0</v>
      </c>
      <c r="CS120">
        <f t="shared" si="154"/>
        <v>0</v>
      </c>
      <c r="CT120">
        <f t="shared" si="133"/>
        <v>0</v>
      </c>
      <c r="CU120">
        <f t="shared" si="134"/>
        <v>0</v>
      </c>
      <c r="CV120">
        <f t="shared" si="135"/>
        <v>0</v>
      </c>
      <c r="CW120">
        <f t="shared" si="136"/>
        <v>0</v>
      </c>
      <c r="CX120">
        <f t="shared" si="137"/>
        <v>0</v>
      </c>
      <c r="CY120">
        <f t="shared" si="155"/>
        <v>0</v>
      </c>
      <c r="CZ120">
        <f t="shared" si="156"/>
        <v>0</v>
      </c>
      <c r="DC120" t="s">
        <v>3</v>
      </c>
      <c r="DD120" t="s">
        <v>3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>
        <v>0</v>
      </c>
      <c r="DO120">
        <v>0</v>
      </c>
      <c r="DP120">
        <v>1</v>
      </c>
      <c r="DQ120">
        <v>1</v>
      </c>
      <c r="DU120">
        <v>1013</v>
      </c>
      <c r="DV120" t="s">
        <v>107</v>
      </c>
      <c r="DW120" t="s">
        <v>107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60088211</v>
      </c>
      <c r="EF120">
        <v>202</v>
      </c>
      <c r="EG120" t="s">
        <v>108</v>
      </c>
      <c r="EH120">
        <v>0</v>
      </c>
      <c r="EI120" t="s">
        <v>3</v>
      </c>
      <c r="EJ120">
        <v>1</v>
      </c>
      <c r="EK120">
        <v>400002</v>
      </c>
      <c r="EL120" t="s">
        <v>109</v>
      </c>
      <c r="EM120" t="s">
        <v>108</v>
      </c>
      <c r="EO120" t="s">
        <v>3</v>
      </c>
      <c r="EQ120">
        <v>0</v>
      </c>
      <c r="ER120">
        <v>609.97</v>
      </c>
      <c r="ES120">
        <v>609.97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5</v>
      </c>
      <c r="FC120">
        <v>1</v>
      </c>
      <c r="FD120">
        <v>18</v>
      </c>
      <c r="FF120">
        <v>7090</v>
      </c>
      <c r="FQ120">
        <v>0</v>
      </c>
      <c r="FR120">
        <v>0</v>
      </c>
      <c r="FS120">
        <v>0</v>
      </c>
      <c r="FX120">
        <v>0</v>
      </c>
      <c r="FY120">
        <v>0</v>
      </c>
      <c r="GA120" t="s">
        <v>193</v>
      </c>
      <c r="GD120">
        <v>1</v>
      </c>
      <c r="GF120">
        <v>920195879</v>
      </c>
      <c r="GG120">
        <v>2</v>
      </c>
      <c r="GH120">
        <v>3</v>
      </c>
      <c r="GI120">
        <v>5</v>
      </c>
      <c r="GJ120">
        <v>0</v>
      </c>
      <c r="GK120">
        <v>0</v>
      </c>
      <c r="GL120">
        <f t="shared" si="138"/>
        <v>0</v>
      </c>
      <c r="GM120">
        <f t="shared" si="139"/>
        <v>78344.55</v>
      </c>
      <c r="GN120">
        <f t="shared" si="140"/>
        <v>78344.55</v>
      </c>
      <c r="GO120">
        <f t="shared" si="141"/>
        <v>0</v>
      </c>
      <c r="GP120">
        <f t="shared" si="142"/>
        <v>0</v>
      </c>
      <c r="GR120">
        <v>1</v>
      </c>
      <c r="GS120">
        <v>1</v>
      </c>
      <c r="GT120">
        <v>0</v>
      </c>
      <c r="GU120" t="s">
        <v>3</v>
      </c>
      <c r="GV120">
        <f t="shared" si="143"/>
        <v>0</v>
      </c>
      <c r="GW120">
        <v>1</v>
      </c>
      <c r="GX120">
        <f t="shared" si="144"/>
        <v>0</v>
      </c>
      <c r="HA120">
        <v>0</v>
      </c>
      <c r="HB120">
        <v>0</v>
      </c>
      <c r="HC120">
        <f t="shared" si="145"/>
        <v>0</v>
      </c>
      <c r="HE120" t="s">
        <v>111</v>
      </c>
      <c r="HF120" t="s">
        <v>28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>
        <f>ROW(SmtRes!A118)</f>
        <v>118</v>
      </c>
      <c r="D121" s="2">
        <f>ROW(EtalonRes!A131)</f>
        <v>131</v>
      </c>
      <c r="E121" s="2" t="s">
        <v>194</v>
      </c>
      <c r="F121" s="2" t="s">
        <v>195</v>
      </c>
      <c r="G121" s="2" t="s">
        <v>196</v>
      </c>
      <c r="H121" s="2" t="s">
        <v>96</v>
      </c>
      <c r="I121" s="2">
        <f>ROUND(70/100,9)</f>
        <v>0.7</v>
      </c>
      <c r="J121" s="2">
        <v>0</v>
      </c>
      <c r="K121" s="2">
        <f>ROUND(70/100,9)</f>
        <v>0.7</v>
      </c>
      <c r="L121" s="2"/>
      <c r="M121" s="2"/>
      <c r="N121" s="2"/>
      <c r="O121" s="2">
        <f t="shared" si="120"/>
        <v>3484.77</v>
      </c>
      <c r="P121" s="2">
        <f t="shared" si="121"/>
        <v>2183.38</v>
      </c>
      <c r="Q121" s="2">
        <f>(ROUND((ROUND(((((ET121*1.1)*1.25))*AV121*I121),2)*BB121),2)+ROUND((ROUND(((AE121-(((EU121*1.1)*1.25)))*AV121*I121),2)*BS121),2))</f>
        <v>171.2</v>
      </c>
      <c r="R121" s="2">
        <f>(ROUND((ROUND(((((EU121*1.1)*1.25))*AV121*I121),2)*BS121),2)+ROUND((ROUND(((AE121-(((EU121*1.1)*1.25)))*AV121*I121),2)*BS121),2))</f>
        <v>18.559999999999999</v>
      </c>
      <c r="S121" s="2">
        <f t="shared" si="122"/>
        <v>1130.19</v>
      </c>
      <c r="T121" s="2">
        <f t="shared" si="123"/>
        <v>0</v>
      </c>
      <c r="U121" s="2">
        <f t="shared" si="124"/>
        <v>92.168020174999995</v>
      </c>
      <c r="V121" s="2">
        <f t="shared" si="125"/>
        <v>0</v>
      </c>
      <c r="W121" s="2">
        <f t="shared" si="126"/>
        <v>0</v>
      </c>
      <c r="X121" s="2">
        <f>(ROUND((((S121+ROUND((ROUND(((((EU121*1.1)*1.25))*AV121*I121),2)*BS121),2))*AT121)/100),2)+ROUND(((ROUND((ROUND(((AE121-(((EU121*1.1)*1.25)))*AV121*I121),2)*BS121),2)*AT121)/100),2))</f>
        <v>1252.1400000000001</v>
      </c>
      <c r="Y121" s="2">
        <f>(ROUND((((S121+ROUND((ROUND(((((EU121*1.1)*1.25))*AV121*I121),2)*BS121),2))*AU121)/100),2)+ROUND(((ROUND((ROUND(((AE121-(((EU121*1.1)*1.25)))*AV121*I121),2)*BS121),2)*AU121)/100),2))</f>
        <v>700.74</v>
      </c>
      <c r="Z121" s="2"/>
      <c r="AA121" s="2">
        <v>60255014</v>
      </c>
      <c r="AB121" s="2">
        <f t="shared" si="127"/>
        <v>4861.5028499999999</v>
      </c>
      <c r="AC121" s="2">
        <f t="shared" si="128"/>
        <v>3119.11</v>
      </c>
      <c r="AD121" s="2">
        <f>ROUND((((((ET121*1.1)*1.25))-(((EU121*1.1)*1.25)))+AE121),6)</f>
        <v>229.21250000000001</v>
      </c>
      <c r="AE121" s="2">
        <f>ROUND((((EU121*1.1)*1.25)),6)</f>
        <v>24.846250000000001</v>
      </c>
      <c r="AF121" s="2">
        <f>ROUND((((EV121*1.1)*1.15)),6)</f>
        <v>1513.1803500000001</v>
      </c>
      <c r="AG121" s="2">
        <f t="shared" si="129"/>
        <v>0</v>
      </c>
      <c r="AH121" s="2">
        <f>(((EW121*1.1)*1.15))</f>
        <v>123.40075</v>
      </c>
      <c r="AI121" s="2">
        <f>(((EX121*1.1)*1.25))</f>
        <v>0</v>
      </c>
      <c r="AJ121" s="2">
        <f t="shared" si="130"/>
        <v>0</v>
      </c>
      <c r="AK121" s="2">
        <v>4482</v>
      </c>
      <c r="AL121" s="2">
        <v>3119.11</v>
      </c>
      <c r="AM121" s="2">
        <v>166.7</v>
      </c>
      <c r="AN121" s="2">
        <v>18.07</v>
      </c>
      <c r="AO121" s="2">
        <v>1196.19</v>
      </c>
      <c r="AP121" s="2">
        <v>0</v>
      </c>
      <c r="AQ121" s="2">
        <v>97.55</v>
      </c>
      <c r="AR121" s="2">
        <v>0</v>
      </c>
      <c r="AS121" s="2">
        <v>0</v>
      </c>
      <c r="AT121" s="2">
        <v>109</v>
      </c>
      <c r="AU121" s="2">
        <v>61</v>
      </c>
      <c r="AV121" s="2">
        <v>1.0669999999999999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1</v>
      </c>
      <c r="BJ121" s="2" t="s">
        <v>197</v>
      </c>
      <c r="BK121" s="2"/>
      <c r="BL121" s="2"/>
      <c r="BM121" s="2">
        <v>23</v>
      </c>
      <c r="BN121" s="2">
        <v>0</v>
      </c>
      <c r="BO121" s="2" t="s">
        <v>195</v>
      </c>
      <c r="BP121" s="2">
        <v>1</v>
      </c>
      <c r="BQ121" s="2">
        <v>30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109</v>
      </c>
      <c r="CA121" s="2">
        <v>61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626</v>
      </c>
      <c r="CO121" s="2">
        <v>0</v>
      </c>
      <c r="CP121" s="2">
        <f t="shared" si="131"/>
        <v>3484.77</v>
      </c>
      <c r="CQ121" s="2">
        <f t="shared" si="132"/>
        <v>3119.11</v>
      </c>
      <c r="CR121" s="2">
        <f>(ROUND((ROUND(((((ET121*1.1)*1.25))*AV121*1),2)*BB121),2)+ROUND((ROUND(((AE121-(((EU121*1.1)*1.25)))*AV121*1),2)*BS121),2))</f>
        <v>244.57</v>
      </c>
      <c r="CS121" s="2">
        <f>(ROUND((ROUND(((((EU121*1.1)*1.25))*AV121*1),2)*BS121),2)+ROUND((ROUND(((AE121-(((EU121*1.1)*1.25)))*AV121*1),2)*BS121),2))</f>
        <v>26.51</v>
      </c>
      <c r="CT121" s="2">
        <f t="shared" si="133"/>
        <v>1614.56</v>
      </c>
      <c r="CU121" s="2">
        <f t="shared" si="134"/>
        <v>0</v>
      </c>
      <c r="CV121" s="2">
        <f t="shared" si="135"/>
        <v>131.66860025</v>
      </c>
      <c r="CW121" s="2">
        <f t="shared" si="136"/>
        <v>0</v>
      </c>
      <c r="CX121" s="2">
        <f t="shared" si="137"/>
        <v>0</v>
      </c>
      <c r="CY121" s="2">
        <f>(ROUND((((S121+ROUND((ROUND(((((EU121*1.1)*1.25))*AV121*1),2)*BS121),2))*AT121)/100),2)+ROUND(((ROUND((ROUND(((AE121-(((EU121*1.1)*1.25)))*AV121*1),2)*BS121),2)*AT121)/100),2))</f>
        <v>1260.8</v>
      </c>
      <c r="CZ121" s="2">
        <f>(ROUND((((S121+ROUND((ROUND(((((EU121*1.1)*1.25))*AV121*1),2)*BS121),2))*AU121)/100),2)+ROUND(((ROUND((ROUND(((AE121-(((EU121*1.1)*1.25)))*AV121*1),2)*BS121),2)*AU121)/100),2))</f>
        <v>705.59</v>
      </c>
      <c r="DA121" s="2"/>
      <c r="DB121" s="2">
        <v>21</v>
      </c>
      <c r="DC121" s="2" t="s">
        <v>3</v>
      </c>
      <c r="DD121" s="2" t="s">
        <v>3</v>
      </c>
      <c r="DE121" s="2" t="s">
        <v>198</v>
      </c>
      <c r="DF121" s="2" t="s">
        <v>198</v>
      </c>
      <c r="DG121" s="2" t="s">
        <v>199</v>
      </c>
      <c r="DH121" s="2" t="s">
        <v>3</v>
      </c>
      <c r="DI121" s="2" t="s">
        <v>199</v>
      </c>
      <c r="DJ121" s="2" t="s">
        <v>198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1010</v>
      </c>
      <c r="DV121" s="2" t="s">
        <v>96</v>
      </c>
      <c r="DW121" s="2" t="s">
        <v>96</v>
      </c>
      <c r="DX121" s="2">
        <v>100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60088254</v>
      </c>
      <c r="EF121" s="2">
        <v>30</v>
      </c>
      <c r="EG121" s="2" t="s">
        <v>100</v>
      </c>
      <c r="EH121" s="2">
        <v>0</v>
      </c>
      <c r="EI121" s="2" t="s">
        <v>3</v>
      </c>
      <c r="EJ121" s="2">
        <v>1</v>
      </c>
      <c r="EK121" s="2">
        <v>23</v>
      </c>
      <c r="EL121" s="2" t="s">
        <v>101</v>
      </c>
      <c r="EM121" s="2" t="s">
        <v>102</v>
      </c>
      <c r="EN121" s="2"/>
      <c r="EO121" s="2" t="s">
        <v>200</v>
      </c>
      <c r="EP121" s="2"/>
      <c r="EQ121" s="2">
        <v>0</v>
      </c>
      <c r="ER121" s="2">
        <v>4482</v>
      </c>
      <c r="ES121" s="2">
        <v>3119.11</v>
      </c>
      <c r="ET121" s="2">
        <v>166.7</v>
      </c>
      <c r="EU121" s="2">
        <v>18.07</v>
      </c>
      <c r="EV121" s="2">
        <v>1196.19</v>
      </c>
      <c r="EW121" s="2">
        <v>97.55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109</v>
      </c>
      <c r="FY121" s="2">
        <v>61</v>
      </c>
      <c r="FZ121" s="2"/>
      <c r="GA121" s="2" t="s">
        <v>3</v>
      </c>
      <c r="GB121" s="2"/>
      <c r="GC121" s="2"/>
      <c r="GD121" s="2">
        <v>1</v>
      </c>
      <c r="GE121" s="2"/>
      <c r="GF121" s="2">
        <v>-367566365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si="138"/>
        <v>0</v>
      </c>
      <c r="GM121" s="2">
        <f t="shared" si="139"/>
        <v>5437.65</v>
      </c>
      <c r="GN121" s="2">
        <f t="shared" si="140"/>
        <v>5437.65</v>
      </c>
      <c r="GO121" s="2">
        <f t="shared" si="141"/>
        <v>0</v>
      </c>
      <c r="GP121" s="2">
        <f t="shared" si="142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43"/>
        <v>0</v>
      </c>
      <c r="GW121" s="2">
        <v>1</v>
      </c>
      <c r="GX121" s="2">
        <f t="shared" si="144"/>
        <v>0</v>
      </c>
      <c r="GY121" s="2"/>
      <c r="GZ121" s="2"/>
      <c r="HA121" s="2">
        <v>0</v>
      </c>
      <c r="HB121" s="2">
        <v>0</v>
      </c>
      <c r="HC121" s="2">
        <f t="shared" si="145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C122">
        <f>ROW(SmtRes!A128)</f>
        <v>128</v>
      </c>
      <c r="D122">
        <f>ROW(EtalonRes!A142)</f>
        <v>142</v>
      </c>
      <c r="E122" t="s">
        <v>194</v>
      </c>
      <c r="F122" t="s">
        <v>195</v>
      </c>
      <c r="G122" t="s">
        <v>196</v>
      </c>
      <c r="H122" t="s">
        <v>96</v>
      </c>
      <c r="I122">
        <f>ROUND(70/100,9)</f>
        <v>0.7</v>
      </c>
      <c r="J122">
        <v>0</v>
      </c>
      <c r="K122">
        <f>ROUND(70/100,9)</f>
        <v>0.7</v>
      </c>
      <c r="O122">
        <f t="shared" si="120"/>
        <v>109561.66</v>
      </c>
      <c r="P122">
        <f t="shared" si="121"/>
        <v>44955.79</v>
      </c>
      <c r="Q122">
        <f>(ROUND((ROUND(((((ET122*1.1)*1.25))*AV122*I122),2)*BB122),2)+ROUND((ROUND(((AE122-(((EU122*1.1)*1.25)))*AV122*I122),2)*BS122),2))</f>
        <v>2456.7199999999998</v>
      </c>
      <c r="R122">
        <f>(ROUND((ROUND(((((EU122*1.1)*1.25))*AV122*I122),2)*BS122),2)+ROUND((ROUND(((AE122-(((EU122*1.1)*1.25)))*AV122*I122),2)*BS122),2))</f>
        <v>1020.61</v>
      </c>
      <c r="S122">
        <f t="shared" si="122"/>
        <v>62149.15</v>
      </c>
      <c r="T122">
        <f t="shared" si="123"/>
        <v>0</v>
      </c>
      <c r="U122">
        <f t="shared" si="124"/>
        <v>92.168020174999995</v>
      </c>
      <c r="V122">
        <f t="shared" si="125"/>
        <v>0</v>
      </c>
      <c r="W122">
        <f t="shared" si="126"/>
        <v>0</v>
      </c>
      <c r="X122">
        <f>(ROUND((((S122+ROUND((ROUND(((((EU122*1.1)*1.25))*AV122*I122),2)*BS122),2))*AT122)/100),2)+ROUND(((ROUND((ROUND(((AE122-(((EU122*1.1)*1.25)))*AV122*I122),2)*BS122),2)*AT122)/100),2))</f>
        <v>68855.039999999994</v>
      </c>
      <c r="Y122">
        <f>(ROUND((((S122+ROUND((ROUND(((((EU122*1.1)*1.25))*AV122*I122),2)*BS122),2))*AU122)/100),2)+ROUND(((ROUND((ROUND(((AE122-(((EU122*1.1)*1.25)))*AV122*I122),2)*BS122),2)*AU122)/100),2))</f>
        <v>38533.550000000003</v>
      </c>
      <c r="AA122">
        <v>60255011</v>
      </c>
      <c r="AB122">
        <f t="shared" si="127"/>
        <v>4861.5028499999999</v>
      </c>
      <c r="AC122">
        <f t="shared" si="128"/>
        <v>3119.11</v>
      </c>
      <c r="AD122">
        <f>ROUND((((((ET122*1.1)*1.25))-(((EU122*1.1)*1.25)))+AE122),6)</f>
        <v>229.21250000000001</v>
      </c>
      <c r="AE122">
        <f>ROUND((((EU122*1.1)*1.25)),6)</f>
        <v>24.846250000000001</v>
      </c>
      <c r="AF122">
        <f>ROUND((((EV122*1.1)*1.15)),6)</f>
        <v>1513.1803500000001</v>
      </c>
      <c r="AG122">
        <f t="shared" si="129"/>
        <v>0</v>
      </c>
      <c r="AH122">
        <f>(((EW122*1.1)*1.15))</f>
        <v>123.40075</v>
      </c>
      <c r="AI122">
        <f>(((EX122*1.1)*1.25))</f>
        <v>0</v>
      </c>
      <c r="AJ122">
        <f t="shared" si="130"/>
        <v>0</v>
      </c>
      <c r="AK122">
        <v>4482</v>
      </c>
      <c r="AL122">
        <v>3119.11</v>
      </c>
      <c r="AM122">
        <v>166.7</v>
      </c>
      <c r="AN122">
        <v>18.07</v>
      </c>
      <c r="AO122">
        <v>1196.19</v>
      </c>
      <c r="AP122">
        <v>0</v>
      </c>
      <c r="AQ122">
        <v>97.55</v>
      </c>
      <c r="AR122">
        <v>0</v>
      </c>
      <c r="AS122">
        <v>0</v>
      </c>
      <c r="AT122">
        <v>109</v>
      </c>
      <c r="AU122">
        <v>61</v>
      </c>
      <c r="AV122">
        <v>1.0669999999999999</v>
      </c>
      <c r="AW122">
        <v>1</v>
      </c>
      <c r="AZ122">
        <v>1</v>
      </c>
      <c r="BA122">
        <v>54.99</v>
      </c>
      <c r="BB122">
        <v>14.35</v>
      </c>
      <c r="BC122">
        <v>20.59</v>
      </c>
      <c r="BD122" t="s">
        <v>3</v>
      </c>
      <c r="BE122" t="s">
        <v>3</v>
      </c>
      <c r="BF122" t="s">
        <v>3</v>
      </c>
      <c r="BG122" t="s">
        <v>3</v>
      </c>
      <c r="BH122">
        <v>0</v>
      </c>
      <c r="BI122">
        <v>1</v>
      </c>
      <c r="BJ122" t="s">
        <v>197</v>
      </c>
      <c r="BM122">
        <v>23</v>
      </c>
      <c r="BN122">
        <v>0</v>
      </c>
      <c r="BO122" t="s">
        <v>195</v>
      </c>
      <c r="BP122">
        <v>1</v>
      </c>
      <c r="BQ122">
        <v>30</v>
      </c>
      <c r="BR122">
        <v>0</v>
      </c>
      <c r="BS122">
        <v>54.99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109</v>
      </c>
      <c r="CA122">
        <v>61</v>
      </c>
      <c r="CB122" t="s">
        <v>3</v>
      </c>
      <c r="CE122">
        <v>1566</v>
      </c>
      <c r="CF122">
        <v>0</v>
      </c>
      <c r="CG122">
        <v>0</v>
      </c>
      <c r="CM122">
        <v>0</v>
      </c>
      <c r="CN122" t="s">
        <v>626</v>
      </c>
      <c r="CO122">
        <v>0</v>
      </c>
      <c r="CP122">
        <f t="shared" si="131"/>
        <v>109561.66</v>
      </c>
      <c r="CQ122">
        <f t="shared" si="132"/>
        <v>64222.47</v>
      </c>
      <c r="CR122">
        <f>(ROUND((ROUND(((((ET122*1.1)*1.25))*AV122*1),2)*BB122),2)+ROUND((ROUND(((AE122-(((EU122*1.1)*1.25)))*AV122*1),2)*BS122),2))</f>
        <v>3509.58</v>
      </c>
      <c r="CS122">
        <f>(ROUND((ROUND(((((EU122*1.1)*1.25))*AV122*1),2)*BS122),2)+ROUND((ROUND(((AE122-(((EU122*1.1)*1.25)))*AV122*1),2)*BS122),2))</f>
        <v>1457.78</v>
      </c>
      <c r="CT122">
        <f t="shared" si="133"/>
        <v>88784.65</v>
      </c>
      <c r="CU122">
        <f t="shared" si="134"/>
        <v>0</v>
      </c>
      <c r="CV122">
        <f t="shared" si="135"/>
        <v>131.66860025</v>
      </c>
      <c r="CW122">
        <f t="shared" si="136"/>
        <v>0</v>
      </c>
      <c r="CX122">
        <f t="shared" si="137"/>
        <v>0</v>
      </c>
      <c r="CY122">
        <f>(ROUND((((S122+ROUND((ROUND(((((EU122*1.1)*1.25))*AV122*1),2)*BS122),2))*AT122)/100),2)+ROUND(((ROUND((ROUND(((AE122-(((EU122*1.1)*1.25)))*AV122*1),2)*BS122),2)*AT122)/100),2))</f>
        <v>69331.55</v>
      </c>
      <c r="CZ122">
        <f>(ROUND((((S122+ROUND((ROUND(((((EU122*1.1)*1.25))*AV122*1),2)*BS122),2))*AU122)/100),2)+ROUND(((ROUND((ROUND(((AE122-(((EU122*1.1)*1.25)))*AV122*1),2)*BS122),2)*AU122)/100),2))</f>
        <v>38800.230000000003</v>
      </c>
      <c r="DB122">
        <v>23</v>
      </c>
      <c r="DC122" t="s">
        <v>3</v>
      </c>
      <c r="DD122" t="s">
        <v>3</v>
      </c>
      <c r="DE122" t="s">
        <v>198</v>
      </c>
      <c r="DF122" t="s">
        <v>198</v>
      </c>
      <c r="DG122" t="s">
        <v>199</v>
      </c>
      <c r="DH122" t="s">
        <v>3</v>
      </c>
      <c r="DI122" t="s">
        <v>199</v>
      </c>
      <c r="DJ122" t="s">
        <v>198</v>
      </c>
      <c r="DK122" t="s">
        <v>3</v>
      </c>
      <c r="DL122" t="s">
        <v>3</v>
      </c>
      <c r="DM122" t="s">
        <v>3</v>
      </c>
      <c r="DN122">
        <v>0</v>
      </c>
      <c r="DO122">
        <v>0</v>
      </c>
      <c r="DP122">
        <v>1</v>
      </c>
      <c r="DQ122">
        <v>1</v>
      </c>
      <c r="DU122">
        <v>1010</v>
      </c>
      <c r="DV122" t="s">
        <v>96</v>
      </c>
      <c r="DW122" t="s">
        <v>96</v>
      </c>
      <c r="DX122">
        <v>100</v>
      </c>
      <c r="DZ122" t="s">
        <v>3</v>
      </c>
      <c r="EA122" t="s">
        <v>3</v>
      </c>
      <c r="EB122" t="s">
        <v>3</v>
      </c>
      <c r="EC122" t="s">
        <v>3</v>
      </c>
      <c r="EE122">
        <v>60088254</v>
      </c>
      <c r="EF122">
        <v>30</v>
      </c>
      <c r="EG122" t="s">
        <v>100</v>
      </c>
      <c r="EH122">
        <v>0</v>
      </c>
      <c r="EI122" t="s">
        <v>3</v>
      </c>
      <c r="EJ122">
        <v>1</v>
      </c>
      <c r="EK122">
        <v>23</v>
      </c>
      <c r="EL122" t="s">
        <v>101</v>
      </c>
      <c r="EM122" t="s">
        <v>102</v>
      </c>
      <c r="EO122" t="s">
        <v>200</v>
      </c>
      <c r="EQ122">
        <v>0</v>
      </c>
      <c r="ER122">
        <v>4482</v>
      </c>
      <c r="ES122">
        <v>3119.11</v>
      </c>
      <c r="ET122">
        <v>166.7</v>
      </c>
      <c r="EU122">
        <v>18.07</v>
      </c>
      <c r="EV122">
        <v>1196.19</v>
      </c>
      <c r="EW122">
        <v>97.55</v>
      </c>
      <c r="EX122">
        <v>0</v>
      </c>
      <c r="EY122">
        <v>0</v>
      </c>
      <c r="FQ122">
        <v>0</v>
      </c>
      <c r="FR122">
        <v>0</v>
      </c>
      <c r="FS122">
        <v>0</v>
      </c>
      <c r="FX122">
        <v>109</v>
      </c>
      <c r="FY122">
        <v>61</v>
      </c>
      <c r="GA122" t="s">
        <v>3</v>
      </c>
      <c r="GD122">
        <v>1</v>
      </c>
      <c r="GF122">
        <v>-367566365</v>
      </c>
      <c r="GG122">
        <v>2</v>
      </c>
      <c r="GH122">
        <v>1</v>
      </c>
      <c r="GI122">
        <v>2</v>
      </c>
      <c r="GJ122">
        <v>0</v>
      </c>
      <c r="GK122">
        <v>0</v>
      </c>
      <c r="GL122">
        <f t="shared" si="138"/>
        <v>0</v>
      </c>
      <c r="GM122">
        <f t="shared" si="139"/>
        <v>216950.25</v>
      </c>
      <c r="GN122">
        <f t="shared" si="140"/>
        <v>216950.25</v>
      </c>
      <c r="GO122">
        <f t="shared" si="141"/>
        <v>0</v>
      </c>
      <c r="GP122">
        <f t="shared" si="142"/>
        <v>0</v>
      </c>
      <c r="GR122">
        <v>0</v>
      </c>
      <c r="GS122">
        <v>3</v>
      </c>
      <c r="GT122">
        <v>0</v>
      </c>
      <c r="GU122" t="s">
        <v>3</v>
      </c>
      <c r="GV122">
        <f t="shared" si="143"/>
        <v>0</v>
      </c>
      <c r="GW122">
        <v>1</v>
      </c>
      <c r="GX122">
        <f t="shared" si="144"/>
        <v>0</v>
      </c>
      <c r="HA122">
        <v>0</v>
      </c>
      <c r="HB122">
        <v>0</v>
      </c>
      <c r="HC122">
        <f t="shared" si="145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2">
      <c r="A123" s="2">
        <v>17</v>
      </c>
      <c r="B123" s="2">
        <v>1</v>
      </c>
      <c r="C123" s="2"/>
      <c r="D123" s="2"/>
      <c r="E123" s="2" t="s">
        <v>201</v>
      </c>
      <c r="F123" s="2" t="s">
        <v>202</v>
      </c>
      <c r="G123" s="2" t="s">
        <v>203</v>
      </c>
      <c r="H123" s="2" t="s">
        <v>107</v>
      </c>
      <c r="I123" s="2">
        <v>70</v>
      </c>
      <c r="J123" s="2">
        <v>0</v>
      </c>
      <c r="K123" s="2">
        <v>70</v>
      </c>
      <c r="L123" s="2"/>
      <c r="M123" s="2"/>
      <c r="N123" s="2"/>
      <c r="O123" s="2">
        <f t="shared" si="120"/>
        <v>47274.5</v>
      </c>
      <c r="P123" s="2">
        <f t="shared" si="121"/>
        <v>47274.5</v>
      </c>
      <c r="Q123" s="2">
        <f>(ROUND((ROUND(((ET123)*AV123*I123),2)*BB123),2)+ROUND((ROUND(((AE123-(EU123))*AV123*I123),2)*BS123),2))</f>
        <v>0</v>
      </c>
      <c r="R123" s="2">
        <f>(ROUND((ROUND(((EU123)*AV123*I123),2)*BS123),2)+ROUND((ROUND(((AE123-(EU123))*AV123*I123),2)*BS123),2))</f>
        <v>0</v>
      </c>
      <c r="S123" s="2">
        <f t="shared" si="122"/>
        <v>0</v>
      </c>
      <c r="T123" s="2">
        <f t="shared" si="123"/>
        <v>0</v>
      </c>
      <c r="U123" s="2">
        <f t="shared" si="124"/>
        <v>0</v>
      </c>
      <c r="V123" s="2">
        <f t="shared" si="125"/>
        <v>0</v>
      </c>
      <c r="W123" s="2">
        <f t="shared" si="126"/>
        <v>0</v>
      </c>
      <c r="X123" s="2">
        <f>(ROUND((((S123+ROUND((ROUND(((EU123)*AV123*I123),2)*BS123),2))*AT123)/100),2)+ROUND(((ROUND((ROUND(((AE123-(EU123))*AV123*I123),2)*BS123),2)*AT123)/100),2))</f>
        <v>0</v>
      </c>
      <c r="Y123" s="2">
        <f>(ROUND((((S123+ROUND((ROUND(((EU123)*AV123*I123),2)*BS123),2))*AU123)/100),2)+ROUND(((ROUND((ROUND(((AE123-(EU123))*AV123*I123),2)*BS123),2)*AU123)/100),2))</f>
        <v>0</v>
      </c>
      <c r="Z123" s="2"/>
      <c r="AA123" s="2">
        <v>60255014</v>
      </c>
      <c r="AB123" s="2">
        <f t="shared" si="127"/>
        <v>675.35</v>
      </c>
      <c r="AC123" s="2">
        <f t="shared" si="128"/>
        <v>675.35</v>
      </c>
      <c r="AD123" s="2">
        <f>ROUND((((ET123)-(EU123))+AE123),6)</f>
        <v>0</v>
      </c>
      <c r="AE123" s="2">
        <f>ROUND((EU123),6)</f>
        <v>0</v>
      </c>
      <c r="AF123" s="2">
        <f>ROUND((EV123),6)</f>
        <v>0</v>
      </c>
      <c r="AG123" s="2">
        <f t="shared" si="129"/>
        <v>0</v>
      </c>
      <c r="AH123" s="2">
        <f>(EW123)</f>
        <v>0</v>
      </c>
      <c r="AI123" s="2">
        <f>(EX123)</f>
        <v>0</v>
      </c>
      <c r="AJ123" s="2">
        <f t="shared" si="130"/>
        <v>0</v>
      </c>
      <c r="AK123" s="2">
        <v>675.35</v>
      </c>
      <c r="AL123" s="2">
        <v>675.35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1</v>
      </c>
      <c r="BJ123" s="2" t="s">
        <v>3</v>
      </c>
      <c r="BK123" s="2"/>
      <c r="BL123" s="2"/>
      <c r="BM123" s="2">
        <v>400002</v>
      </c>
      <c r="BN123" s="2">
        <v>0</v>
      </c>
      <c r="BO123" s="2" t="s">
        <v>3</v>
      </c>
      <c r="BP123" s="2">
        <v>0</v>
      </c>
      <c r="BQ123" s="2">
        <v>202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0</v>
      </c>
      <c r="CA123" s="2">
        <v>0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131"/>
        <v>47274.5</v>
      </c>
      <c r="CQ123" s="2">
        <f t="shared" si="132"/>
        <v>675.35</v>
      </c>
      <c r="CR123" s="2">
        <f>(ROUND((ROUND(((ET123)*AV123*1),2)*BB123),2)+ROUND((ROUND(((AE123-(EU123))*AV123*1),2)*BS123),2))</f>
        <v>0</v>
      </c>
      <c r="CS123" s="2">
        <f>(ROUND((ROUND(((EU123)*AV123*1),2)*BS123),2)+ROUND((ROUND(((AE123-(EU123))*AV123*1),2)*BS123),2))</f>
        <v>0</v>
      </c>
      <c r="CT123" s="2">
        <f t="shared" si="133"/>
        <v>0</v>
      </c>
      <c r="CU123" s="2">
        <f t="shared" si="134"/>
        <v>0</v>
      </c>
      <c r="CV123" s="2">
        <f t="shared" si="135"/>
        <v>0</v>
      </c>
      <c r="CW123" s="2">
        <f t="shared" si="136"/>
        <v>0</v>
      </c>
      <c r="CX123" s="2">
        <f t="shared" si="137"/>
        <v>0</v>
      </c>
      <c r="CY123" s="2">
        <f>(ROUND((((S123+ROUND((ROUND(((EU123)*AV123*1),2)*BS123),2))*AT123)/100),2)+ROUND(((ROUND((ROUND(((AE123-(EU123))*AV123*1),2)*BS123),2)*AT123)/100),2))</f>
        <v>0</v>
      </c>
      <c r="CZ123" s="2">
        <f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107</v>
      </c>
      <c r="DW123" s="2" t="s">
        <v>107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60088211</v>
      </c>
      <c r="EF123" s="2">
        <v>202</v>
      </c>
      <c r="EG123" s="2" t="s">
        <v>108</v>
      </c>
      <c r="EH123" s="2">
        <v>0</v>
      </c>
      <c r="EI123" s="2" t="s">
        <v>3</v>
      </c>
      <c r="EJ123" s="2">
        <v>1</v>
      </c>
      <c r="EK123" s="2">
        <v>400002</v>
      </c>
      <c r="EL123" s="2" t="s">
        <v>109</v>
      </c>
      <c r="EM123" s="2" t="s">
        <v>108</v>
      </c>
      <c r="EN123" s="2"/>
      <c r="EO123" s="2" t="s">
        <v>3</v>
      </c>
      <c r="EP123" s="2"/>
      <c r="EQ123" s="2">
        <v>0</v>
      </c>
      <c r="ER123" s="2">
        <v>0</v>
      </c>
      <c r="ES123" s="2">
        <v>675.35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0</v>
      </c>
      <c r="FY123" s="2">
        <v>0</v>
      </c>
      <c r="FZ123" s="2"/>
      <c r="GA123" s="2" t="s">
        <v>204</v>
      </c>
      <c r="GB123" s="2"/>
      <c r="GC123" s="2"/>
      <c r="GD123" s="2">
        <v>1</v>
      </c>
      <c r="GE123" s="2"/>
      <c r="GF123" s="2">
        <v>-1866975598</v>
      </c>
      <c r="GG123" s="2">
        <v>2</v>
      </c>
      <c r="GH123" s="2">
        <v>4</v>
      </c>
      <c r="GI123" s="2">
        <v>-2</v>
      </c>
      <c r="GJ123" s="2">
        <v>0</v>
      </c>
      <c r="GK123" s="2">
        <v>0</v>
      </c>
      <c r="GL123" s="2">
        <f t="shared" si="138"/>
        <v>0</v>
      </c>
      <c r="GM123" s="2">
        <f t="shared" si="139"/>
        <v>47274.5</v>
      </c>
      <c r="GN123" s="2">
        <f t="shared" si="140"/>
        <v>47274.5</v>
      </c>
      <c r="GO123" s="2">
        <f t="shared" si="141"/>
        <v>0</v>
      </c>
      <c r="GP123" s="2">
        <f t="shared" si="142"/>
        <v>0</v>
      </c>
      <c r="GQ123" s="2"/>
      <c r="GR123" s="2">
        <v>0</v>
      </c>
      <c r="GS123" s="2">
        <v>2</v>
      </c>
      <c r="GT123" s="2">
        <v>0</v>
      </c>
      <c r="GU123" s="2" t="s">
        <v>3</v>
      </c>
      <c r="GV123" s="2">
        <f t="shared" si="143"/>
        <v>0</v>
      </c>
      <c r="GW123" s="2">
        <v>1</v>
      </c>
      <c r="GX123" s="2">
        <f t="shared" si="144"/>
        <v>0</v>
      </c>
      <c r="GY123" s="2"/>
      <c r="GZ123" s="2"/>
      <c r="HA123" s="2">
        <v>0</v>
      </c>
      <c r="HB123" s="2">
        <v>0</v>
      </c>
      <c r="HC123" s="2">
        <f t="shared" si="145"/>
        <v>0</v>
      </c>
      <c r="HD123" s="2"/>
      <c r="HE123" s="2" t="s">
        <v>111</v>
      </c>
      <c r="HF123" s="2" t="s">
        <v>28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>
        <v>17</v>
      </c>
      <c r="B124">
        <v>1</v>
      </c>
      <c r="E124" t="s">
        <v>201</v>
      </c>
      <c r="F124" t="s">
        <v>202</v>
      </c>
      <c r="G124" t="s">
        <v>203</v>
      </c>
      <c r="H124" t="s">
        <v>107</v>
      </c>
      <c r="I124">
        <v>70</v>
      </c>
      <c r="J124">
        <v>0</v>
      </c>
      <c r="K124">
        <v>70</v>
      </c>
      <c r="O124">
        <f t="shared" si="120"/>
        <v>467072.06</v>
      </c>
      <c r="P124">
        <f t="shared" si="121"/>
        <v>467072.06</v>
      </c>
      <c r="Q124">
        <f>(ROUND((ROUND(((ET124)*AV124*I124),2)*BB124),2)+ROUND((ROUND(((AE124-(EU124))*AV124*I124),2)*BS124),2))</f>
        <v>0</v>
      </c>
      <c r="R124">
        <f>(ROUND((ROUND(((EU124)*AV124*I124),2)*BS124),2)+ROUND((ROUND(((AE124-(EU124))*AV124*I124),2)*BS124),2))</f>
        <v>0</v>
      </c>
      <c r="S124">
        <f t="shared" si="122"/>
        <v>0</v>
      </c>
      <c r="T124">
        <f t="shared" si="123"/>
        <v>0</v>
      </c>
      <c r="U124">
        <f t="shared" si="124"/>
        <v>0</v>
      </c>
      <c r="V124">
        <f t="shared" si="125"/>
        <v>0</v>
      </c>
      <c r="W124">
        <f t="shared" si="126"/>
        <v>0</v>
      </c>
      <c r="X124">
        <f>(ROUND((((S124+ROUND((ROUND(((EU124)*AV124*I124),2)*BS124),2))*AT124)/100),2)+ROUND(((ROUND((ROUND(((AE124-(EU124))*AV124*I124),2)*BS124),2)*AT124)/100),2))</f>
        <v>0</v>
      </c>
      <c r="Y124">
        <f>(ROUND((((S124+ROUND((ROUND(((EU124)*AV124*I124),2)*BS124),2))*AU124)/100),2)+ROUND(((ROUND((ROUND(((AE124-(EU124))*AV124*I124),2)*BS124),2)*AU124)/100),2))</f>
        <v>0</v>
      </c>
      <c r="AA124">
        <v>60255011</v>
      </c>
      <c r="AB124">
        <f t="shared" si="127"/>
        <v>675.35</v>
      </c>
      <c r="AC124">
        <f t="shared" si="128"/>
        <v>675.35</v>
      </c>
      <c r="AD124">
        <f>ROUND((((ET124)-(EU124))+AE124),6)</f>
        <v>0</v>
      </c>
      <c r="AE124">
        <f>ROUND((EU124),6)</f>
        <v>0</v>
      </c>
      <c r="AF124">
        <f>ROUND((EV124),6)</f>
        <v>0</v>
      </c>
      <c r="AG124">
        <f t="shared" si="129"/>
        <v>0</v>
      </c>
      <c r="AH124">
        <f>(EW124)</f>
        <v>0</v>
      </c>
      <c r="AI124">
        <f>(EX124)</f>
        <v>0</v>
      </c>
      <c r="AJ124">
        <f t="shared" si="130"/>
        <v>0</v>
      </c>
      <c r="AK124">
        <v>675.35</v>
      </c>
      <c r="AL124">
        <v>675.35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1</v>
      </c>
      <c r="AZ124">
        <v>1</v>
      </c>
      <c r="BA124">
        <v>1</v>
      </c>
      <c r="BB124">
        <v>1</v>
      </c>
      <c r="BC124">
        <v>9.8800000000000008</v>
      </c>
      <c r="BD124" t="s">
        <v>3</v>
      </c>
      <c r="BE124" t="s">
        <v>3</v>
      </c>
      <c r="BF124" t="s">
        <v>3</v>
      </c>
      <c r="BG124" t="s">
        <v>3</v>
      </c>
      <c r="BH124">
        <v>3</v>
      </c>
      <c r="BI124">
        <v>1</v>
      </c>
      <c r="BJ124" t="s">
        <v>3</v>
      </c>
      <c r="BM124">
        <v>400002</v>
      </c>
      <c r="BN124">
        <v>0</v>
      </c>
      <c r="BO124" t="s">
        <v>3</v>
      </c>
      <c r="BP124">
        <v>0</v>
      </c>
      <c r="BQ124">
        <v>202</v>
      </c>
      <c r="BR124">
        <v>0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0</v>
      </c>
      <c r="CA124">
        <v>0</v>
      </c>
      <c r="CB124" t="s">
        <v>3</v>
      </c>
      <c r="CE124">
        <v>1566</v>
      </c>
      <c r="CF124">
        <v>0</v>
      </c>
      <c r="CG124">
        <v>0</v>
      </c>
      <c r="CM124">
        <v>0</v>
      </c>
      <c r="CN124" t="s">
        <v>3</v>
      </c>
      <c r="CO124">
        <v>0</v>
      </c>
      <c r="CP124">
        <f t="shared" si="131"/>
        <v>467072.06</v>
      </c>
      <c r="CQ124">
        <f t="shared" si="132"/>
        <v>6672.46</v>
      </c>
      <c r="CR124">
        <f>(ROUND((ROUND(((ET124)*AV124*1),2)*BB124),2)+ROUND((ROUND(((AE124-(EU124))*AV124*1),2)*BS124),2))</f>
        <v>0</v>
      </c>
      <c r="CS124">
        <f>(ROUND((ROUND(((EU124)*AV124*1),2)*BS124),2)+ROUND((ROUND(((AE124-(EU124))*AV124*1),2)*BS124),2))</f>
        <v>0</v>
      </c>
      <c r="CT124">
        <f t="shared" si="133"/>
        <v>0</v>
      </c>
      <c r="CU124">
        <f t="shared" si="134"/>
        <v>0</v>
      </c>
      <c r="CV124">
        <f t="shared" si="135"/>
        <v>0</v>
      </c>
      <c r="CW124">
        <f t="shared" si="136"/>
        <v>0</v>
      </c>
      <c r="CX124">
        <f t="shared" si="137"/>
        <v>0</v>
      </c>
      <c r="CY124">
        <f>(ROUND((((S124+ROUND((ROUND(((EU124)*AV124*1),2)*BS124),2))*AT124)/100),2)+ROUND(((ROUND((ROUND(((AE124-(EU124))*AV124*1),2)*BS124),2)*AT124)/100),2))</f>
        <v>0</v>
      </c>
      <c r="CZ124">
        <f>(ROUND((((S124+ROUND((ROUND(((EU124)*AV124*1),2)*BS124),2))*AU124)/100),2)+ROUND(((ROUND((ROUND(((AE124-(EU124))*AV124*1),2)*BS124),2)*AU124)/100),2))</f>
        <v>0</v>
      </c>
      <c r="DC124" t="s">
        <v>3</v>
      </c>
      <c r="DD124" t="s">
        <v>3</v>
      </c>
      <c r="DE124" t="s">
        <v>3</v>
      </c>
      <c r="DF124" t="s">
        <v>3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>
        <v>0</v>
      </c>
      <c r="DO124">
        <v>0</v>
      </c>
      <c r="DP124">
        <v>1</v>
      </c>
      <c r="DQ124">
        <v>1</v>
      </c>
      <c r="DU124">
        <v>1013</v>
      </c>
      <c r="DV124" t="s">
        <v>107</v>
      </c>
      <c r="DW124" t="s">
        <v>107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60088211</v>
      </c>
      <c r="EF124">
        <v>202</v>
      </c>
      <c r="EG124" t="s">
        <v>108</v>
      </c>
      <c r="EH124">
        <v>0</v>
      </c>
      <c r="EI124" t="s">
        <v>3</v>
      </c>
      <c r="EJ124">
        <v>1</v>
      </c>
      <c r="EK124">
        <v>400002</v>
      </c>
      <c r="EL124" t="s">
        <v>109</v>
      </c>
      <c r="EM124" t="s">
        <v>108</v>
      </c>
      <c r="EO124" t="s">
        <v>3</v>
      </c>
      <c r="EQ124">
        <v>0</v>
      </c>
      <c r="ER124">
        <v>675.35</v>
      </c>
      <c r="ES124">
        <v>675.35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5</v>
      </c>
      <c r="FC124">
        <v>1</v>
      </c>
      <c r="FD124">
        <v>18</v>
      </c>
      <c r="FF124">
        <v>7850</v>
      </c>
      <c r="FQ124">
        <v>0</v>
      </c>
      <c r="FR124">
        <v>0</v>
      </c>
      <c r="FS124">
        <v>0</v>
      </c>
      <c r="FX124">
        <v>0</v>
      </c>
      <c r="FY124">
        <v>0</v>
      </c>
      <c r="GA124" t="s">
        <v>204</v>
      </c>
      <c r="GD124">
        <v>1</v>
      </c>
      <c r="GF124">
        <v>-1866975598</v>
      </c>
      <c r="GG124">
        <v>2</v>
      </c>
      <c r="GH124">
        <v>3</v>
      </c>
      <c r="GI124">
        <v>5</v>
      </c>
      <c r="GJ124">
        <v>0</v>
      </c>
      <c r="GK124">
        <v>0</v>
      </c>
      <c r="GL124">
        <f t="shared" si="138"/>
        <v>0</v>
      </c>
      <c r="GM124">
        <f t="shared" si="139"/>
        <v>467072.06</v>
      </c>
      <c r="GN124">
        <f t="shared" si="140"/>
        <v>467072.06</v>
      </c>
      <c r="GO124">
        <f t="shared" si="141"/>
        <v>0</v>
      </c>
      <c r="GP124">
        <f t="shared" si="142"/>
        <v>0</v>
      </c>
      <c r="GR124">
        <v>1</v>
      </c>
      <c r="GS124">
        <v>1</v>
      </c>
      <c r="GT124">
        <v>0</v>
      </c>
      <c r="GU124" t="s">
        <v>3</v>
      </c>
      <c r="GV124">
        <f t="shared" si="143"/>
        <v>0</v>
      </c>
      <c r="GW124">
        <v>1</v>
      </c>
      <c r="GX124">
        <f t="shared" si="144"/>
        <v>0</v>
      </c>
      <c r="HA124">
        <v>0</v>
      </c>
      <c r="HB124">
        <v>0</v>
      </c>
      <c r="HC124">
        <f t="shared" si="145"/>
        <v>0</v>
      </c>
      <c r="HE124" t="s">
        <v>111</v>
      </c>
      <c r="HF124" t="s">
        <v>28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2">
      <c r="A125" s="2">
        <v>17</v>
      </c>
      <c r="B125" s="2">
        <v>1</v>
      </c>
      <c r="C125" s="2">
        <f>ROW(SmtRes!A138)</f>
        <v>138</v>
      </c>
      <c r="D125" s="2">
        <f>ROW(EtalonRes!A153)</f>
        <v>153</v>
      </c>
      <c r="E125" s="2" t="s">
        <v>205</v>
      </c>
      <c r="F125" s="2" t="s">
        <v>94</v>
      </c>
      <c r="G125" s="2" t="s">
        <v>95</v>
      </c>
      <c r="H125" s="2" t="s">
        <v>96</v>
      </c>
      <c r="I125" s="2">
        <f>ROUND((1+1+4+2)/100,9)</f>
        <v>0.08</v>
      </c>
      <c r="J125" s="2">
        <v>0</v>
      </c>
      <c r="K125" s="2">
        <f>ROUND((1+1+4+2)/100,9)</f>
        <v>0.08</v>
      </c>
      <c r="L125" s="2"/>
      <c r="M125" s="2"/>
      <c r="N125" s="2"/>
      <c r="O125" s="2">
        <f t="shared" si="120"/>
        <v>276.47000000000003</v>
      </c>
      <c r="P125" s="2">
        <f t="shared" si="121"/>
        <v>166.31</v>
      </c>
      <c r="Q125" s="2">
        <f>(ROUND((ROUND(((((ET125*1.25)*1.1))*AV125*I125),2)*BB125),2)+ROUND((ROUND(((AE125-(((EU125*1.25)*1.1)))*AV125*I125),2)*BS125),2))</f>
        <v>11.19</v>
      </c>
      <c r="R125" s="2">
        <f>(ROUND((ROUND(((((EU125*1.25)*1.1))*AV125*I125),2)*BS125),2)+ROUND((ROUND(((AE125-(((EU125*1.25)*1.1)))*AV125*I125),2)*BS125),2))</f>
        <v>1.21</v>
      </c>
      <c r="S125" s="2">
        <f t="shared" si="122"/>
        <v>98.97</v>
      </c>
      <c r="T125" s="2">
        <f t="shared" si="123"/>
        <v>0</v>
      </c>
      <c r="U125" s="2">
        <f t="shared" si="124"/>
        <v>8.0661358800000009</v>
      </c>
      <c r="V125" s="2">
        <f t="shared" si="125"/>
        <v>0</v>
      </c>
      <c r="W125" s="2">
        <f t="shared" si="126"/>
        <v>0</v>
      </c>
      <c r="X125" s="2">
        <f>(ROUND((((S125+ROUND((ROUND(((((EU125*1.25)*1.1))*AV125*I125),2)*BS125),2))*AT125)/100),2)+ROUND(((ROUND((ROUND(((AE125-(((EU125*1.25)*1.1)))*AV125*I125),2)*BS125),2)*AT125)/100),2))</f>
        <v>109.2</v>
      </c>
      <c r="Y125" s="2">
        <f>(ROUND((((S125+ROUND((ROUND(((((EU125*1.25)*1.1))*AV125*I125),2)*BS125),2))*AU125)/100),2)+ROUND(((ROUND((ROUND(((AE125-(((EU125*1.25)*1.1)))*AV125*I125),2)*BS125),2)*AU125)/100),2))</f>
        <v>61.11</v>
      </c>
      <c r="Z125" s="2"/>
      <c r="AA125" s="2">
        <v>60255014</v>
      </c>
      <c r="AB125" s="2">
        <f t="shared" si="127"/>
        <v>3369.5052500000002</v>
      </c>
      <c r="AC125" s="2">
        <f t="shared" si="128"/>
        <v>2078.9</v>
      </c>
      <c r="AD125" s="2">
        <f>ROUND((((((ET125*1.25)*1.1))-(((EU125*1.25)*1.1)))+AE125),6)</f>
        <v>131.10624999999999</v>
      </c>
      <c r="AE125" s="2">
        <f>ROUND((((EU125*1.25)*1.1)),6)</f>
        <v>14.1625</v>
      </c>
      <c r="AF125" s="2">
        <f>ROUND((((EV125*1.15)*1.1)),6)</f>
        <v>1159.499</v>
      </c>
      <c r="AG125" s="2">
        <f t="shared" si="129"/>
        <v>0</v>
      </c>
      <c r="AH125" s="2">
        <f>(((EW125*1.15)*1.1))</f>
        <v>94.495500000000007</v>
      </c>
      <c r="AI125" s="2">
        <f>(((EX125*1.25)*1.1))</f>
        <v>0</v>
      </c>
      <c r="AJ125" s="2">
        <f t="shared" si="130"/>
        <v>0</v>
      </c>
      <c r="AK125" s="2">
        <v>3090.85</v>
      </c>
      <c r="AL125" s="2">
        <v>2078.9</v>
      </c>
      <c r="AM125" s="2">
        <v>95.35</v>
      </c>
      <c r="AN125" s="2">
        <v>10.3</v>
      </c>
      <c r="AO125" s="2">
        <v>916.6</v>
      </c>
      <c r="AP125" s="2">
        <v>0</v>
      </c>
      <c r="AQ125" s="2">
        <v>74.7</v>
      </c>
      <c r="AR125" s="2">
        <v>0</v>
      </c>
      <c r="AS125" s="2">
        <v>0</v>
      </c>
      <c r="AT125" s="2">
        <v>109</v>
      </c>
      <c r="AU125" s="2">
        <v>61</v>
      </c>
      <c r="AV125" s="2">
        <v>1.0669999999999999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1</v>
      </c>
      <c r="BJ125" s="2" t="s">
        <v>97</v>
      </c>
      <c r="BK125" s="2"/>
      <c r="BL125" s="2"/>
      <c r="BM125" s="2">
        <v>23</v>
      </c>
      <c r="BN125" s="2">
        <v>0</v>
      </c>
      <c r="BO125" s="2" t="s">
        <v>94</v>
      </c>
      <c r="BP125" s="2">
        <v>1</v>
      </c>
      <c r="BQ125" s="2">
        <v>30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109</v>
      </c>
      <c r="CA125" s="2">
        <v>61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625</v>
      </c>
      <c r="CO125" s="2">
        <v>0</v>
      </c>
      <c r="CP125" s="2">
        <f t="shared" si="131"/>
        <v>276.47000000000003</v>
      </c>
      <c r="CQ125" s="2">
        <f t="shared" si="132"/>
        <v>2078.9</v>
      </c>
      <c r="CR125" s="2">
        <f>(ROUND((ROUND(((((ET125*1.25)*1.1))*AV125*1),2)*BB125),2)+ROUND((ROUND(((AE125-(((EU125*1.25)*1.1)))*AV125*1),2)*BS125),2))</f>
        <v>139.88999999999999</v>
      </c>
      <c r="CS125" s="2">
        <f>(ROUND((ROUND(((((EU125*1.25)*1.1))*AV125*1),2)*BS125),2)+ROUND((ROUND(((AE125-(((EU125*1.25)*1.1)))*AV125*1),2)*BS125),2))</f>
        <v>15.11</v>
      </c>
      <c r="CT125" s="2">
        <f t="shared" si="133"/>
        <v>1237.19</v>
      </c>
      <c r="CU125" s="2">
        <f t="shared" si="134"/>
        <v>0</v>
      </c>
      <c r="CV125" s="2">
        <f t="shared" si="135"/>
        <v>100.82669850000001</v>
      </c>
      <c r="CW125" s="2">
        <f t="shared" si="136"/>
        <v>0</v>
      </c>
      <c r="CX125" s="2">
        <f t="shared" si="137"/>
        <v>0</v>
      </c>
      <c r="CY125" s="2">
        <f>(ROUND((((S125+ROUND((ROUND(((((EU125*1.25)*1.1))*AV125*1),2)*BS125),2))*AT125)/100),2)+ROUND(((ROUND((ROUND(((AE125-(((EU125*1.25)*1.1)))*AV125*1),2)*BS125),2)*AT125)/100),2))</f>
        <v>124.35</v>
      </c>
      <c r="CZ125" s="2">
        <f>(ROUND((((S125+ROUND((ROUND(((((EU125*1.25)*1.1))*AV125*1),2)*BS125),2))*AU125)/100),2)+ROUND(((ROUND((ROUND(((AE125-(((EU125*1.25)*1.1)))*AV125*1),2)*BS125),2)*AU125)/100),2))</f>
        <v>69.59</v>
      </c>
      <c r="DA125" s="2"/>
      <c r="DB125" s="2">
        <v>25</v>
      </c>
      <c r="DC125" s="2" t="s">
        <v>3</v>
      </c>
      <c r="DD125" s="2" t="s">
        <v>3</v>
      </c>
      <c r="DE125" s="2" t="s">
        <v>98</v>
      </c>
      <c r="DF125" s="2" t="s">
        <v>98</v>
      </c>
      <c r="DG125" s="2" t="s">
        <v>99</v>
      </c>
      <c r="DH125" s="2" t="s">
        <v>3</v>
      </c>
      <c r="DI125" s="2" t="s">
        <v>99</v>
      </c>
      <c r="DJ125" s="2" t="s">
        <v>98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1010</v>
      </c>
      <c r="DV125" s="2" t="s">
        <v>96</v>
      </c>
      <c r="DW125" s="2" t="s">
        <v>96</v>
      </c>
      <c r="DX125" s="2">
        <v>100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60088254</v>
      </c>
      <c r="EF125" s="2">
        <v>30</v>
      </c>
      <c r="EG125" s="2" t="s">
        <v>100</v>
      </c>
      <c r="EH125" s="2">
        <v>0</v>
      </c>
      <c r="EI125" s="2" t="s">
        <v>3</v>
      </c>
      <c r="EJ125" s="2">
        <v>1</v>
      </c>
      <c r="EK125" s="2">
        <v>23</v>
      </c>
      <c r="EL125" s="2" t="s">
        <v>101</v>
      </c>
      <c r="EM125" s="2" t="s">
        <v>102</v>
      </c>
      <c r="EN125" s="2"/>
      <c r="EO125" s="2" t="s">
        <v>103</v>
      </c>
      <c r="EP125" s="2"/>
      <c r="EQ125" s="2">
        <v>0</v>
      </c>
      <c r="ER125" s="2">
        <v>3090.85</v>
      </c>
      <c r="ES125" s="2">
        <v>2078.9</v>
      </c>
      <c r="ET125" s="2">
        <v>95.35</v>
      </c>
      <c r="EU125" s="2">
        <v>10.3</v>
      </c>
      <c r="EV125" s="2">
        <v>916.6</v>
      </c>
      <c r="EW125" s="2">
        <v>74.7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109</v>
      </c>
      <c r="FY125" s="2">
        <v>61</v>
      </c>
      <c r="FZ125" s="2"/>
      <c r="GA125" s="2" t="s">
        <v>3</v>
      </c>
      <c r="GB125" s="2"/>
      <c r="GC125" s="2"/>
      <c r="GD125" s="2">
        <v>1</v>
      </c>
      <c r="GE125" s="2"/>
      <c r="GF125" s="2">
        <v>-961949121</v>
      </c>
      <c r="GG125" s="2">
        <v>2</v>
      </c>
      <c r="GH125" s="2">
        <v>1</v>
      </c>
      <c r="GI125" s="2">
        <v>2</v>
      </c>
      <c r="GJ125" s="2">
        <v>0</v>
      </c>
      <c r="GK125" s="2">
        <v>0</v>
      </c>
      <c r="GL125" s="2">
        <f t="shared" si="138"/>
        <v>0</v>
      </c>
      <c r="GM125" s="2">
        <f t="shared" si="139"/>
        <v>446.78</v>
      </c>
      <c r="GN125" s="2">
        <f t="shared" si="140"/>
        <v>446.78</v>
      </c>
      <c r="GO125" s="2">
        <f t="shared" si="141"/>
        <v>0</v>
      </c>
      <c r="GP125" s="2">
        <f t="shared" si="142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43"/>
        <v>0</v>
      </c>
      <c r="GW125" s="2">
        <v>1</v>
      </c>
      <c r="GX125" s="2">
        <f t="shared" si="144"/>
        <v>0</v>
      </c>
      <c r="GY125" s="2"/>
      <c r="GZ125" s="2"/>
      <c r="HA125" s="2">
        <v>0</v>
      </c>
      <c r="HB125" s="2">
        <v>0</v>
      </c>
      <c r="HC125" s="2">
        <f t="shared" si="145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C126">
        <f>ROW(SmtRes!A148)</f>
        <v>148</v>
      </c>
      <c r="D126">
        <f>ROW(EtalonRes!A164)</f>
        <v>164</v>
      </c>
      <c r="E126" t="s">
        <v>205</v>
      </c>
      <c r="F126" t="s">
        <v>94</v>
      </c>
      <c r="G126" t="s">
        <v>95</v>
      </c>
      <c r="H126" t="s">
        <v>96</v>
      </c>
      <c r="I126">
        <f>ROUND((1+1+4+2)/100,9)</f>
        <v>0.08</v>
      </c>
      <c r="J126">
        <v>0</v>
      </c>
      <c r="K126">
        <f>ROUND((1+1+4+2)/100,9)</f>
        <v>0.08</v>
      </c>
      <c r="O126">
        <f t="shared" si="120"/>
        <v>9027.0300000000007</v>
      </c>
      <c r="P126">
        <f t="shared" si="121"/>
        <v>3424.32</v>
      </c>
      <c r="Q126">
        <f>(ROUND((ROUND(((((ET126*1.25)*1.1))*AV126*I126),2)*BB126),2)+ROUND((ROUND(((AE126-(((EU126*1.25)*1.1)))*AV126*I126),2)*BS126),2))</f>
        <v>160.35</v>
      </c>
      <c r="R126">
        <f>(ROUND((ROUND(((((EU126*1.25)*1.1))*AV126*I126),2)*BS126),2)+ROUND((ROUND(((AE126-(((EU126*1.25)*1.1)))*AV126*I126),2)*BS126),2))</f>
        <v>66.540000000000006</v>
      </c>
      <c r="S126">
        <f t="shared" si="122"/>
        <v>5442.36</v>
      </c>
      <c r="T126">
        <f t="shared" si="123"/>
        <v>0</v>
      </c>
      <c r="U126">
        <f t="shared" si="124"/>
        <v>8.0661358800000009</v>
      </c>
      <c r="V126">
        <f t="shared" si="125"/>
        <v>0</v>
      </c>
      <c r="W126">
        <f t="shared" si="126"/>
        <v>0</v>
      </c>
      <c r="X126">
        <f>(ROUND((((S126+ROUND((ROUND(((((EU126*1.25)*1.1))*AV126*I126),2)*BS126),2))*AT126)/100),2)+ROUND(((ROUND((ROUND(((AE126-(((EU126*1.25)*1.1)))*AV126*I126),2)*BS126),2)*AT126)/100),2))</f>
        <v>6004.7</v>
      </c>
      <c r="Y126">
        <f>(ROUND((((S126+ROUND((ROUND(((((EU126*1.25)*1.1))*AV126*I126),2)*BS126),2))*AU126)/100),2)+ROUND(((ROUND((ROUND(((AE126-(((EU126*1.25)*1.1)))*AV126*I126),2)*BS126),2)*AU126)/100),2))</f>
        <v>3360.43</v>
      </c>
      <c r="AA126">
        <v>60255011</v>
      </c>
      <c r="AB126">
        <f t="shared" si="127"/>
        <v>3369.5052500000002</v>
      </c>
      <c r="AC126">
        <f t="shared" si="128"/>
        <v>2078.9</v>
      </c>
      <c r="AD126">
        <f>ROUND((((((ET126*1.25)*1.1))-(((EU126*1.25)*1.1)))+AE126),6)</f>
        <v>131.10624999999999</v>
      </c>
      <c r="AE126">
        <f>ROUND((((EU126*1.25)*1.1)),6)</f>
        <v>14.1625</v>
      </c>
      <c r="AF126">
        <f>ROUND((((EV126*1.15)*1.1)),6)</f>
        <v>1159.499</v>
      </c>
      <c r="AG126">
        <f t="shared" si="129"/>
        <v>0</v>
      </c>
      <c r="AH126">
        <f>(((EW126*1.15)*1.1))</f>
        <v>94.495500000000007</v>
      </c>
      <c r="AI126">
        <f>(((EX126*1.25)*1.1))</f>
        <v>0</v>
      </c>
      <c r="AJ126">
        <f t="shared" si="130"/>
        <v>0</v>
      </c>
      <c r="AK126">
        <v>3090.85</v>
      </c>
      <c r="AL126">
        <v>2078.9</v>
      </c>
      <c r="AM126">
        <v>95.35</v>
      </c>
      <c r="AN126">
        <v>10.3</v>
      </c>
      <c r="AO126">
        <v>916.6</v>
      </c>
      <c r="AP126">
        <v>0</v>
      </c>
      <c r="AQ126">
        <v>74.7</v>
      </c>
      <c r="AR126">
        <v>0</v>
      </c>
      <c r="AS126">
        <v>0</v>
      </c>
      <c r="AT126">
        <v>109</v>
      </c>
      <c r="AU126">
        <v>61</v>
      </c>
      <c r="AV126">
        <v>1.0669999999999999</v>
      </c>
      <c r="AW126">
        <v>1</v>
      </c>
      <c r="AZ126">
        <v>1</v>
      </c>
      <c r="BA126">
        <v>54.99</v>
      </c>
      <c r="BB126">
        <v>14.33</v>
      </c>
      <c r="BC126">
        <v>20.59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1</v>
      </c>
      <c r="BJ126" t="s">
        <v>97</v>
      </c>
      <c r="BM126">
        <v>23</v>
      </c>
      <c r="BN126">
        <v>0</v>
      </c>
      <c r="BO126" t="s">
        <v>94</v>
      </c>
      <c r="BP126">
        <v>1</v>
      </c>
      <c r="BQ126">
        <v>30</v>
      </c>
      <c r="BR126">
        <v>0</v>
      </c>
      <c r="BS126">
        <v>54.99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109</v>
      </c>
      <c r="CA126">
        <v>61</v>
      </c>
      <c r="CB126" t="s">
        <v>3</v>
      </c>
      <c r="CE126">
        <v>1566</v>
      </c>
      <c r="CF126">
        <v>0</v>
      </c>
      <c r="CG126">
        <v>0</v>
      </c>
      <c r="CM126">
        <v>0</v>
      </c>
      <c r="CN126" t="s">
        <v>625</v>
      </c>
      <c r="CO126">
        <v>0</v>
      </c>
      <c r="CP126">
        <f t="shared" si="131"/>
        <v>9027.0299999999988</v>
      </c>
      <c r="CQ126">
        <f t="shared" si="132"/>
        <v>42804.55</v>
      </c>
      <c r="CR126">
        <f>(ROUND((ROUND(((((ET126*1.25)*1.1))*AV126*1),2)*BB126),2)+ROUND((ROUND(((AE126-(((EU126*1.25)*1.1)))*AV126*1),2)*BS126),2))</f>
        <v>2004.62</v>
      </c>
      <c r="CS126">
        <f>(ROUND((ROUND(((((EU126*1.25)*1.1))*AV126*1),2)*BS126),2)+ROUND((ROUND(((AE126-(((EU126*1.25)*1.1)))*AV126*1),2)*BS126),2))</f>
        <v>830.9</v>
      </c>
      <c r="CT126">
        <f t="shared" si="133"/>
        <v>68033.08</v>
      </c>
      <c r="CU126">
        <f t="shared" si="134"/>
        <v>0</v>
      </c>
      <c r="CV126">
        <f t="shared" si="135"/>
        <v>100.82669850000001</v>
      </c>
      <c r="CW126">
        <f t="shared" si="136"/>
        <v>0</v>
      </c>
      <c r="CX126">
        <f t="shared" si="137"/>
        <v>0</v>
      </c>
      <c r="CY126">
        <f>(ROUND((((S126+ROUND((ROUND(((((EU126*1.25)*1.1))*AV126*1),2)*BS126),2))*AT126)/100),2)+ROUND(((ROUND((ROUND(((AE126-(((EU126*1.25)*1.1)))*AV126*1),2)*BS126),2)*AT126)/100),2))</f>
        <v>6837.85</v>
      </c>
      <c r="CZ126">
        <f>(ROUND((((S126+ROUND((ROUND(((((EU126*1.25)*1.1))*AV126*1),2)*BS126),2))*AU126)/100),2)+ROUND(((ROUND((ROUND(((AE126-(((EU126*1.25)*1.1)))*AV126*1),2)*BS126),2)*AU126)/100),2))</f>
        <v>3826.69</v>
      </c>
      <c r="DB126">
        <v>27</v>
      </c>
      <c r="DC126" t="s">
        <v>3</v>
      </c>
      <c r="DD126" t="s">
        <v>3</v>
      </c>
      <c r="DE126" t="s">
        <v>98</v>
      </c>
      <c r="DF126" t="s">
        <v>98</v>
      </c>
      <c r="DG126" t="s">
        <v>99</v>
      </c>
      <c r="DH126" t="s">
        <v>3</v>
      </c>
      <c r="DI126" t="s">
        <v>99</v>
      </c>
      <c r="DJ126" t="s">
        <v>98</v>
      </c>
      <c r="DK126" t="s">
        <v>3</v>
      </c>
      <c r="DL126" t="s">
        <v>3</v>
      </c>
      <c r="DM126" t="s">
        <v>3</v>
      </c>
      <c r="DN126">
        <v>0</v>
      </c>
      <c r="DO126">
        <v>0</v>
      </c>
      <c r="DP126">
        <v>1</v>
      </c>
      <c r="DQ126">
        <v>1</v>
      </c>
      <c r="DU126">
        <v>1010</v>
      </c>
      <c r="DV126" t="s">
        <v>96</v>
      </c>
      <c r="DW126" t="s">
        <v>96</v>
      </c>
      <c r="DX126">
        <v>100</v>
      </c>
      <c r="DZ126" t="s">
        <v>3</v>
      </c>
      <c r="EA126" t="s">
        <v>3</v>
      </c>
      <c r="EB126" t="s">
        <v>3</v>
      </c>
      <c r="EC126" t="s">
        <v>3</v>
      </c>
      <c r="EE126">
        <v>60088254</v>
      </c>
      <c r="EF126">
        <v>30</v>
      </c>
      <c r="EG126" t="s">
        <v>100</v>
      </c>
      <c r="EH126">
        <v>0</v>
      </c>
      <c r="EI126" t="s">
        <v>3</v>
      </c>
      <c r="EJ126">
        <v>1</v>
      </c>
      <c r="EK126">
        <v>23</v>
      </c>
      <c r="EL126" t="s">
        <v>101</v>
      </c>
      <c r="EM126" t="s">
        <v>102</v>
      </c>
      <c r="EO126" t="s">
        <v>103</v>
      </c>
      <c r="EQ126">
        <v>0</v>
      </c>
      <c r="ER126">
        <v>3090.85</v>
      </c>
      <c r="ES126">
        <v>2078.9</v>
      </c>
      <c r="ET126">
        <v>95.35</v>
      </c>
      <c r="EU126">
        <v>10.3</v>
      </c>
      <c r="EV126">
        <v>916.6</v>
      </c>
      <c r="EW126">
        <v>74.7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109</v>
      </c>
      <c r="FY126">
        <v>61</v>
      </c>
      <c r="GA126" t="s">
        <v>3</v>
      </c>
      <c r="GD126">
        <v>1</v>
      </c>
      <c r="GF126">
        <v>-961949121</v>
      </c>
      <c r="GG126">
        <v>2</v>
      </c>
      <c r="GH126">
        <v>1</v>
      </c>
      <c r="GI126">
        <v>2</v>
      </c>
      <c r="GJ126">
        <v>0</v>
      </c>
      <c r="GK126">
        <v>0</v>
      </c>
      <c r="GL126">
        <f t="shared" si="138"/>
        <v>0</v>
      </c>
      <c r="GM126">
        <f t="shared" si="139"/>
        <v>18392.16</v>
      </c>
      <c r="GN126">
        <f t="shared" si="140"/>
        <v>18392.16</v>
      </c>
      <c r="GO126">
        <f t="shared" si="141"/>
        <v>0</v>
      </c>
      <c r="GP126">
        <f t="shared" si="142"/>
        <v>0</v>
      </c>
      <c r="GR126">
        <v>0</v>
      </c>
      <c r="GS126">
        <v>3</v>
      </c>
      <c r="GT126">
        <v>0</v>
      </c>
      <c r="GU126" t="s">
        <v>3</v>
      </c>
      <c r="GV126">
        <f t="shared" si="143"/>
        <v>0</v>
      </c>
      <c r="GW126">
        <v>1</v>
      </c>
      <c r="GX126">
        <f t="shared" si="144"/>
        <v>0</v>
      </c>
      <c r="HA126">
        <v>0</v>
      </c>
      <c r="HB126">
        <v>0</v>
      </c>
      <c r="HC126">
        <f t="shared" si="145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17</v>
      </c>
      <c r="B127" s="2">
        <v>1</v>
      </c>
      <c r="C127" s="2"/>
      <c r="D127" s="2"/>
      <c r="E127" s="2" t="s">
        <v>206</v>
      </c>
      <c r="F127" s="2" t="s">
        <v>207</v>
      </c>
      <c r="G127" s="2" t="s">
        <v>208</v>
      </c>
      <c r="H127" s="2" t="s">
        <v>31</v>
      </c>
      <c r="I127" s="2">
        <v>1</v>
      </c>
      <c r="J127" s="2">
        <v>0</v>
      </c>
      <c r="K127" s="2">
        <v>1</v>
      </c>
      <c r="L127" s="2"/>
      <c r="M127" s="2"/>
      <c r="N127" s="2"/>
      <c r="O127" s="2">
        <f t="shared" si="120"/>
        <v>1164.3599999999999</v>
      </c>
      <c r="P127" s="2">
        <f t="shared" si="121"/>
        <v>1164.3599999999999</v>
      </c>
      <c r="Q127" s="2">
        <f t="shared" ref="Q127:Q134" si="157">(ROUND((ROUND(((ET127)*AV127*I127),2)*BB127),2)+ROUND((ROUND(((AE127-(EU127))*AV127*I127),2)*BS127),2))</f>
        <v>0</v>
      </c>
      <c r="R127" s="2">
        <f t="shared" ref="R127:R134" si="158">(ROUND((ROUND(((EU127)*AV127*I127),2)*BS127),2)+ROUND((ROUND(((AE127-(EU127))*AV127*I127),2)*BS127),2))</f>
        <v>0</v>
      </c>
      <c r="S127" s="2">
        <f t="shared" si="122"/>
        <v>0</v>
      </c>
      <c r="T127" s="2">
        <f t="shared" si="123"/>
        <v>0</v>
      </c>
      <c r="U127" s="2">
        <f t="shared" si="124"/>
        <v>0</v>
      </c>
      <c r="V127" s="2">
        <f t="shared" si="125"/>
        <v>0</v>
      </c>
      <c r="W127" s="2">
        <f t="shared" si="126"/>
        <v>0</v>
      </c>
      <c r="X127" s="2">
        <f t="shared" ref="X127:X134" si="159">(ROUND((((S127+ROUND((ROUND(((EU127)*AV127*I127),2)*BS127),2))*AT127)/100),2)+ROUND(((ROUND((ROUND(((AE127-(EU127))*AV127*I127),2)*BS127),2)*AT127)/100),2))</f>
        <v>0</v>
      </c>
      <c r="Y127" s="2">
        <f t="shared" ref="Y127:Y134" si="160">(ROUND((((S127+ROUND((ROUND(((EU127)*AV127*I127),2)*BS127),2))*AU127)/100),2)+ROUND(((ROUND((ROUND(((AE127-(EU127))*AV127*I127),2)*BS127),2)*AU127)/100),2))</f>
        <v>0</v>
      </c>
      <c r="Z127" s="2"/>
      <c r="AA127" s="2">
        <v>60255014</v>
      </c>
      <c r="AB127" s="2">
        <f t="shared" si="127"/>
        <v>1164.3599999999999</v>
      </c>
      <c r="AC127" s="2">
        <f t="shared" si="128"/>
        <v>1164.3599999999999</v>
      </c>
      <c r="AD127" s="2">
        <f t="shared" ref="AD127:AD134" si="161">ROUND((((ET127)-(EU127))+AE127),6)</f>
        <v>0</v>
      </c>
      <c r="AE127" s="2">
        <f t="shared" ref="AE127:AF134" si="162">ROUND((EU127),6)</f>
        <v>0</v>
      </c>
      <c r="AF127" s="2">
        <f t="shared" si="162"/>
        <v>0</v>
      </c>
      <c r="AG127" s="2">
        <f t="shared" si="129"/>
        <v>0</v>
      </c>
      <c r="AH127" s="2">
        <f t="shared" ref="AH127:AI134" si="163">(EW127)</f>
        <v>0</v>
      </c>
      <c r="AI127" s="2">
        <f t="shared" si="163"/>
        <v>0</v>
      </c>
      <c r="AJ127" s="2">
        <f t="shared" si="130"/>
        <v>0</v>
      </c>
      <c r="AK127" s="2">
        <v>1164.3599999999999</v>
      </c>
      <c r="AL127" s="2">
        <v>1164.3599999999999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1</v>
      </c>
      <c r="BJ127" s="2" t="s">
        <v>209</v>
      </c>
      <c r="BK127" s="2"/>
      <c r="BL127" s="2"/>
      <c r="BM127" s="2">
        <v>1617</v>
      </c>
      <c r="BN127" s="2">
        <v>58973374</v>
      </c>
      <c r="BO127" s="2" t="s">
        <v>3</v>
      </c>
      <c r="BP127" s="2">
        <v>0</v>
      </c>
      <c r="BQ127" s="2">
        <v>200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131"/>
        <v>1164.3599999999999</v>
      </c>
      <c r="CQ127" s="2">
        <f t="shared" si="132"/>
        <v>1164.3599999999999</v>
      </c>
      <c r="CR127" s="2">
        <f t="shared" ref="CR127:CR134" si="164">(ROUND((ROUND(((ET127)*AV127*1),2)*BB127),2)+ROUND((ROUND(((AE127-(EU127))*AV127*1),2)*BS127),2))</f>
        <v>0</v>
      </c>
      <c r="CS127" s="2">
        <f t="shared" ref="CS127:CS134" si="165">(ROUND((ROUND(((EU127)*AV127*1),2)*BS127),2)+ROUND((ROUND(((AE127-(EU127))*AV127*1),2)*BS127),2))</f>
        <v>0</v>
      </c>
      <c r="CT127" s="2">
        <f t="shared" si="133"/>
        <v>0</v>
      </c>
      <c r="CU127" s="2">
        <f t="shared" si="134"/>
        <v>0</v>
      </c>
      <c r="CV127" s="2">
        <f t="shared" si="135"/>
        <v>0</v>
      </c>
      <c r="CW127" s="2">
        <f t="shared" si="136"/>
        <v>0</v>
      </c>
      <c r="CX127" s="2">
        <f t="shared" si="137"/>
        <v>0</v>
      </c>
      <c r="CY127" s="2">
        <f t="shared" ref="CY127:CY134" si="166">(ROUND((((S127+ROUND((ROUND(((EU127)*AV127*1),2)*BS127),2))*AT127)/100),2)+ROUND(((ROUND((ROUND(((AE127-(EU127))*AV127*1),2)*BS127),2)*AT127)/100),2))</f>
        <v>0</v>
      </c>
      <c r="CZ127" s="2">
        <f t="shared" ref="CZ127:CZ134" si="167">(ROUND((((S127+ROUND((ROUND(((EU127)*AV127*1),2)*BS127),2))*AU127)/100),2)+ROUND(((ROUND((ROUND(((AE127-(EU127))*AV127*1),2)*BS127),2)*AU127)/100),2))</f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1010</v>
      </c>
      <c r="DV127" s="2" t="s">
        <v>31</v>
      </c>
      <c r="DW127" s="2" t="s">
        <v>31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60088328</v>
      </c>
      <c r="EF127" s="2">
        <v>200</v>
      </c>
      <c r="EG127" s="2" t="s">
        <v>210</v>
      </c>
      <c r="EH127" s="2">
        <v>0</v>
      </c>
      <c r="EI127" s="2" t="s">
        <v>3</v>
      </c>
      <c r="EJ127" s="2">
        <v>1</v>
      </c>
      <c r="EK127" s="2">
        <v>1617</v>
      </c>
      <c r="EL127" s="2" t="s">
        <v>211</v>
      </c>
      <c r="EM127" s="2" t="s">
        <v>212</v>
      </c>
      <c r="EN127" s="2"/>
      <c r="EO127" s="2" t="s">
        <v>3</v>
      </c>
      <c r="EP127" s="2"/>
      <c r="EQ127" s="2">
        <v>0</v>
      </c>
      <c r="ER127" s="2">
        <v>1164.3599999999999</v>
      </c>
      <c r="ES127" s="2">
        <v>1164.3599999999999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3</v>
      </c>
      <c r="GB127" s="2"/>
      <c r="GC127" s="2"/>
      <c r="GD127" s="2">
        <v>1</v>
      </c>
      <c r="GE127" s="2"/>
      <c r="GF127" s="2">
        <v>60294421</v>
      </c>
      <c r="GG127" s="2">
        <v>2</v>
      </c>
      <c r="GH127" s="2">
        <v>1</v>
      </c>
      <c r="GI127" s="2">
        <v>-2</v>
      </c>
      <c r="GJ127" s="2">
        <v>0</v>
      </c>
      <c r="GK127" s="2">
        <v>0</v>
      </c>
      <c r="GL127" s="2">
        <f t="shared" si="138"/>
        <v>0</v>
      </c>
      <c r="GM127" s="2">
        <f t="shared" si="139"/>
        <v>1164.3599999999999</v>
      </c>
      <c r="GN127" s="2">
        <f t="shared" si="140"/>
        <v>1164.3599999999999</v>
      </c>
      <c r="GO127" s="2">
        <f t="shared" si="141"/>
        <v>0</v>
      </c>
      <c r="GP127" s="2">
        <f t="shared" si="142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143"/>
        <v>0</v>
      </c>
      <c r="GW127" s="2">
        <v>1</v>
      </c>
      <c r="GX127" s="2">
        <f t="shared" si="144"/>
        <v>0</v>
      </c>
      <c r="GY127" s="2"/>
      <c r="GZ127" s="2"/>
      <c r="HA127" s="2">
        <v>0</v>
      </c>
      <c r="HB127" s="2">
        <v>0</v>
      </c>
      <c r="HC127" s="2">
        <f t="shared" si="145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E128" t="s">
        <v>206</v>
      </c>
      <c r="F128" t="s">
        <v>207</v>
      </c>
      <c r="G128" t="s">
        <v>208</v>
      </c>
      <c r="H128" t="s">
        <v>31</v>
      </c>
      <c r="I128">
        <v>1</v>
      </c>
      <c r="J128">
        <v>0</v>
      </c>
      <c r="K128">
        <v>1</v>
      </c>
      <c r="O128">
        <f t="shared" si="120"/>
        <v>4552.6499999999996</v>
      </c>
      <c r="P128">
        <f t="shared" si="121"/>
        <v>4552.6499999999996</v>
      </c>
      <c r="Q128">
        <f t="shared" si="157"/>
        <v>0</v>
      </c>
      <c r="R128">
        <f t="shared" si="158"/>
        <v>0</v>
      </c>
      <c r="S128">
        <f t="shared" si="122"/>
        <v>0</v>
      </c>
      <c r="T128">
        <f t="shared" si="123"/>
        <v>0</v>
      </c>
      <c r="U128">
        <f t="shared" si="124"/>
        <v>0</v>
      </c>
      <c r="V128">
        <f t="shared" si="125"/>
        <v>0</v>
      </c>
      <c r="W128">
        <f t="shared" si="126"/>
        <v>0</v>
      </c>
      <c r="X128">
        <f t="shared" si="159"/>
        <v>0</v>
      </c>
      <c r="Y128">
        <f t="shared" si="160"/>
        <v>0</v>
      </c>
      <c r="AA128">
        <v>60255011</v>
      </c>
      <c r="AB128">
        <f t="shared" si="127"/>
        <v>1164.3599999999999</v>
      </c>
      <c r="AC128">
        <f t="shared" si="128"/>
        <v>1164.3599999999999</v>
      </c>
      <c r="AD128">
        <f t="shared" si="161"/>
        <v>0</v>
      </c>
      <c r="AE128">
        <f t="shared" si="162"/>
        <v>0</v>
      </c>
      <c r="AF128">
        <f t="shared" si="162"/>
        <v>0</v>
      </c>
      <c r="AG128">
        <f t="shared" si="129"/>
        <v>0</v>
      </c>
      <c r="AH128">
        <f t="shared" si="163"/>
        <v>0</v>
      </c>
      <c r="AI128">
        <f t="shared" si="163"/>
        <v>0</v>
      </c>
      <c r="AJ128">
        <f t="shared" si="130"/>
        <v>0</v>
      </c>
      <c r="AK128">
        <v>1164.3599999999999</v>
      </c>
      <c r="AL128">
        <v>1164.3599999999999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1</v>
      </c>
      <c r="AZ128">
        <v>1</v>
      </c>
      <c r="BA128">
        <v>1</v>
      </c>
      <c r="BB128">
        <v>1</v>
      </c>
      <c r="BC128">
        <v>3.91</v>
      </c>
      <c r="BD128" t="s">
        <v>3</v>
      </c>
      <c r="BE128" t="s">
        <v>3</v>
      </c>
      <c r="BF128" t="s">
        <v>3</v>
      </c>
      <c r="BG128" t="s">
        <v>3</v>
      </c>
      <c r="BH128">
        <v>3</v>
      </c>
      <c r="BI128">
        <v>1</v>
      </c>
      <c r="BJ128" t="s">
        <v>209</v>
      </c>
      <c r="BM128">
        <v>1617</v>
      </c>
      <c r="BN128">
        <v>58973374</v>
      </c>
      <c r="BO128" t="s">
        <v>207</v>
      </c>
      <c r="BP128">
        <v>1</v>
      </c>
      <c r="BQ128">
        <v>200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0</v>
      </c>
      <c r="CA128">
        <v>0</v>
      </c>
      <c r="CB128" t="s">
        <v>3</v>
      </c>
      <c r="CE128">
        <v>1566</v>
      </c>
      <c r="CF128">
        <v>0</v>
      </c>
      <c r="CG128">
        <v>0</v>
      </c>
      <c r="CM128">
        <v>0</v>
      </c>
      <c r="CN128" t="s">
        <v>3</v>
      </c>
      <c r="CO128">
        <v>0</v>
      </c>
      <c r="CP128">
        <f t="shared" si="131"/>
        <v>4552.6499999999996</v>
      </c>
      <c r="CQ128">
        <f t="shared" si="132"/>
        <v>4552.6499999999996</v>
      </c>
      <c r="CR128">
        <f t="shared" si="164"/>
        <v>0</v>
      </c>
      <c r="CS128">
        <f t="shared" si="165"/>
        <v>0</v>
      </c>
      <c r="CT128">
        <f t="shared" si="133"/>
        <v>0</v>
      </c>
      <c r="CU128">
        <f t="shared" si="134"/>
        <v>0</v>
      </c>
      <c r="CV128">
        <f t="shared" si="135"/>
        <v>0</v>
      </c>
      <c r="CW128">
        <f t="shared" si="136"/>
        <v>0</v>
      </c>
      <c r="CX128">
        <f t="shared" si="137"/>
        <v>0</v>
      </c>
      <c r="CY128">
        <f t="shared" si="166"/>
        <v>0</v>
      </c>
      <c r="CZ128">
        <f t="shared" si="167"/>
        <v>0</v>
      </c>
      <c r="DC128" t="s">
        <v>3</v>
      </c>
      <c r="DD128" t="s">
        <v>3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1010</v>
      </c>
      <c r="DV128" t="s">
        <v>31</v>
      </c>
      <c r="DW128" t="s">
        <v>31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60088328</v>
      </c>
      <c r="EF128">
        <v>200</v>
      </c>
      <c r="EG128" t="s">
        <v>210</v>
      </c>
      <c r="EH128">
        <v>0</v>
      </c>
      <c r="EI128" t="s">
        <v>3</v>
      </c>
      <c r="EJ128">
        <v>1</v>
      </c>
      <c r="EK128">
        <v>1617</v>
      </c>
      <c r="EL128" t="s">
        <v>211</v>
      </c>
      <c r="EM128" t="s">
        <v>212</v>
      </c>
      <c r="EO128" t="s">
        <v>3</v>
      </c>
      <c r="EQ128">
        <v>0</v>
      </c>
      <c r="ER128">
        <v>1164.3599999999999</v>
      </c>
      <c r="ES128">
        <v>1164.3599999999999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0</v>
      </c>
      <c r="FY128">
        <v>0</v>
      </c>
      <c r="GA128" t="s">
        <v>3</v>
      </c>
      <c r="GD128">
        <v>1</v>
      </c>
      <c r="GF128">
        <v>60294421</v>
      </c>
      <c r="GG128">
        <v>2</v>
      </c>
      <c r="GH128">
        <v>1</v>
      </c>
      <c r="GI128">
        <v>2</v>
      </c>
      <c r="GJ128">
        <v>0</v>
      </c>
      <c r="GK128">
        <v>0</v>
      </c>
      <c r="GL128">
        <f t="shared" si="138"/>
        <v>0</v>
      </c>
      <c r="GM128">
        <f t="shared" si="139"/>
        <v>4552.6499999999996</v>
      </c>
      <c r="GN128">
        <f t="shared" si="140"/>
        <v>4552.6499999999996</v>
      </c>
      <c r="GO128">
        <f t="shared" si="141"/>
        <v>0</v>
      </c>
      <c r="GP128">
        <f t="shared" si="142"/>
        <v>0</v>
      </c>
      <c r="GR128">
        <v>0</v>
      </c>
      <c r="GS128">
        <v>3</v>
      </c>
      <c r="GT128">
        <v>0</v>
      </c>
      <c r="GU128" t="s">
        <v>3</v>
      </c>
      <c r="GV128">
        <f t="shared" si="143"/>
        <v>0</v>
      </c>
      <c r="GW128">
        <v>1</v>
      </c>
      <c r="GX128">
        <f t="shared" si="144"/>
        <v>0</v>
      </c>
      <c r="HA128">
        <v>0</v>
      </c>
      <c r="HB128">
        <v>0</v>
      </c>
      <c r="HC128">
        <f t="shared" si="145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17</v>
      </c>
      <c r="B129" s="2">
        <v>1</v>
      </c>
      <c r="C129" s="2"/>
      <c r="D129" s="2"/>
      <c r="E129" s="2" t="s">
        <v>213</v>
      </c>
      <c r="F129" s="2" t="s">
        <v>214</v>
      </c>
      <c r="G129" s="2" t="s">
        <v>215</v>
      </c>
      <c r="H129" s="2" t="s">
        <v>31</v>
      </c>
      <c r="I129" s="2">
        <v>1</v>
      </c>
      <c r="J129" s="2">
        <v>0</v>
      </c>
      <c r="K129" s="2">
        <v>1</v>
      </c>
      <c r="L129" s="2"/>
      <c r="M129" s="2"/>
      <c r="N129" s="2"/>
      <c r="O129" s="2">
        <f t="shared" si="120"/>
        <v>1548.66</v>
      </c>
      <c r="P129" s="2">
        <f t="shared" si="121"/>
        <v>1548.66</v>
      </c>
      <c r="Q129" s="2">
        <f t="shared" si="157"/>
        <v>0</v>
      </c>
      <c r="R129" s="2">
        <f t="shared" si="158"/>
        <v>0</v>
      </c>
      <c r="S129" s="2">
        <f t="shared" si="122"/>
        <v>0</v>
      </c>
      <c r="T129" s="2">
        <f t="shared" si="123"/>
        <v>0</v>
      </c>
      <c r="U129" s="2">
        <f t="shared" si="124"/>
        <v>0</v>
      </c>
      <c r="V129" s="2">
        <f t="shared" si="125"/>
        <v>0</v>
      </c>
      <c r="W129" s="2">
        <f t="shared" si="126"/>
        <v>0</v>
      </c>
      <c r="X129" s="2">
        <f t="shared" si="159"/>
        <v>0</v>
      </c>
      <c r="Y129" s="2">
        <f t="shared" si="160"/>
        <v>0</v>
      </c>
      <c r="Z129" s="2"/>
      <c r="AA129" s="2">
        <v>60255014</v>
      </c>
      <c r="AB129" s="2">
        <f t="shared" si="127"/>
        <v>1548.66</v>
      </c>
      <c r="AC129" s="2">
        <f t="shared" si="128"/>
        <v>1548.66</v>
      </c>
      <c r="AD129" s="2">
        <f t="shared" si="161"/>
        <v>0</v>
      </c>
      <c r="AE129" s="2">
        <f t="shared" si="162"/>
        <v>0</v>
      </c>
      <c r="AF129" s="2">
        <f t="shared" si="162"/>
        <v>0</v>
      </c>
      <c r="AG129" s="2">
        <f t="shared" si="129"/>
        <v>0</v>
      </c>
      <c r="AH129" s="2">
        <f t="shared" si="163"/>
        <v>0</v>
      </c>
      <c r="AI129" s="2">
        <f t="shared" si="163"/>
        <v>0</v>
      </c>
      <c r="AJ129" s="2">
        <f t="shared" si="130"/>
        <v>0</v>
      </c>
      <c r="AK129" s="2">
        <v>1548.66</v>
      </c>
      <c r="AL129" s="2">
        <v>1548.66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1</v>
      </c>
      <c r="BJ129" s="2" t="s">
        <v>216</v>
      </c>
      <c r="BK129" s="2"/>
      <c r="BL129" s="2"/>
      <c r="BM129" s="2">
        <v>1617</v>
      </c>
      <c r="BN129" s="2">
        <v>58973374</v>
      </c>
      <c r="BO129" s="2" t="s">
        <v>3</v>
      </c>
      <c r="BP129" s="2">
        <v>0</v>
      </c>
      <c r="BQ129" s="2">
        <v>200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131"/>
        <v>1548.66</v>
      </c>
      <c r="CQ129" s="2">
        <f t="shared" si="132"/>
        <v>1548.66</v>
      </c>
      <c r="CR129" s="2">
        <f t="shared" si="164"/>
        <v>0</v>
      </c>
      <c r="CS129" s="2">
        <f t="shared" si="165"/>
        <v>0</v>
      </c>
      <c r="CT129" s="2">
        <f t="shared" si="133"/>
        <v>0</v>
      </c>
      <c r="CU129" s="2">
        <f t="shared" si="134"/>
        <v>0</v>
      </c>
      <c r="CV129" s="2">
        <f t="shared" si="135"/>
        <v>0</v>
      </c>
      <c r="CW129" s="2">
        <f t="shared" si="136"/>
        <v>0</v>
      </c>
      <c r="CX129" s="2">
        <f t="shared" si="137"/>
        <v>0</v>
      </c>
      <c r="CY129" s="2">
        <f t="shared" si="166"/>
        <v>0</v>
      </c>
      <c r="CZ129" s="2">
        <f t="shared" si="167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31</v>
      </c>
      <c r="DW129" s="2" t="s">
        <v>31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60088328</v>
      </c>
      <c r="EF129" s="2">
        <v>200</v>
      </c>
      <c r="EG129" s="2" t="s">
        <v>210</v>
      </c>
      <c r="EH129" s="2">
        <v>0</v>
      </c>
      <c r="EI129" s="2" t="s">
        <v>3</v>
      </c>
      <c r="EJ129" s="2">
        <v>1</v>
      </c>
      <c r="EK129" s="2">
        <v>1617</v>
      </c>
      <c r="EL129" s="2" t="s">
        <v>211</v>
      </c>
      <c r="EM129" s="2" t="s">
        <v>212</v>
      </c>
      <c r="EN129" s="2"/>
      <c r="EO129" s="2" t="s">
        <v>3</v>
      </c>
      <c r="EP129" s="2"/>
      <c r="EQ129" s="2">
        <v>0</v>
      </c>
      <c r="ER129" s="2">
        <v>1548.66</v>
      </c>
      <c r="ES129" s="2">
        <v>1548.66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3</v>
      </c>
      <c r="GB129" s="2"/>
      <c r="GC129" s="2"/>
      <c r="GD129" s="2">
        <v>1</v>
      </c>
      <c r="GE129" s="2"/>
      <c r="GF129" s="2">
        <v>1988881951</v>
      </c>
      <c r="GG129" s="2">
        <v>2</v>
      </c>
      <c r="GH129" s="2">
        <v>1</v>
      </c>
      <c r="GI129" s="2">
        <v>-2</v>
      </c>
      <c r="GJ129" s="2">
        <v>0</v>
      </c>
      <c r="GK129" s="2">
        <v>0</v>
      </c>
      <c r="GL129" s="2">
        <f t="shared" si="138"/>
        <v>0</v>
      </c>
      <c r="GM129" s="2">
        <f t="shared" si="139"/>
        <v>1548.66</v>
      </c>
      <c r="GN129" s="2">
        <f t="shared" si="140"/>
        <v>1548.66</v>
      </c>
      <c r="GO129" s="2">
        <f t="shared" si="141"/>
        <v>0</v>
      </c>
      <c r="GP129" s="2">
        <f t="shared" si="142"/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si="143"/>
        <v>0</v>
      </c>
      <c r="GW129" s="2">
        <v>1</v>
      </c>
      <c r="GX129" s="2">
        <f t="shared" si="144"/>
        <v>0</v>
      </c>
      <c r="GY129" s="2"/>
      <c r="GZ129" s="2"/>
      <c r="HA129" s="2">
        <v>0</v>
      </c>
      <c r="HB129" s="2">
        <v>0</v>
      </c>
      <c r="HC129" s="2">
        <f t="shared" si="145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E130" t="s">
        <v>213</v>
      </c>
      <c r="F130" t="s">
        <v>214</v>
      </c>
      <c r="G130" t="s">
        <v>215</v>
      </c>
      <c r="H130" t="s">
        <v>31</v>
      </c>
      <c r="I130">
        <v>1</v>
      </c>
      <c r="J130">
        <v>0</v>
      </c>
      <c r="K130">
        <v>1</v>
      </c>
      <c r="O130">
        <f t="shared" si="120"/>
        <v>6086.23</v>
      </c>
      <c r="P130">
        <f t="shared" si="121"/>
        <v>6086.23</v>
      </c>
      <c r="Q130">
        <f t="shared" si="157"/>
        <v>0</v>
      </c>
      <c r="R130">
        <f t="shared" si="158"/>
        <v>0</v>
      </c>
      <c r="S130">
        <f t="shared" si="122"/>
        <v>0</v>
      </c>
      <c r="T130">
        <f t="shared" si="123"/>
        <v>0</v>
      </c>
      <c r="U130">
        <f t="shared" si="124"/>
        <v>0</v>
      </c>
      <c r="V130">
        <f t="shared" si="125"/>
        <v>0</v>
      </c>
      <c r="W130">
        <f t="shared" si="126"/>
        <v>0</v>
      </c>
      <c r="X130">
        <f t="shared" si="159"/>
        <v>0</v>
      </c>
      <c r="Y130">
        <f t="shared" si="160"/>
        <v>0</v>
      </c>
      <c r="AA130">
        <v>60255011</v>
      </c>
      <c r="AB130">
        <f t="shared" si="127"/>
        <v>1548.66</v>
      </c>
      <c r="AC130">
        <f t="shared" si="128"/>
        <v>1548.66</v>
      </c>
      <c r="AD130">
        <f t="shared" si="161"/>
        <v>0</v>
      </c>
      <c r="AE130">
        <f t="shared" si="162"/>
        <v>0</v>
      </c>
      <c r="AF130">
        <f t="shared" si="162"/>
        <v>0</v>
      </c>
      <c r="AG130">
        <f t="shared" si="129"/>
        <v>0</v>
      </c>
      <c r="AH130">
        <f t="shared" si="163"/>
        <v>0</v>
      </c>
      <c r="AI130">
        <f t="shared" si="163"/>
        <v>0</v>
      </c>
      <c r="AJ130">
        <f t="shared" si="130"/>
        <v>0</v>
      </c>
      <c r="AK130">
        <v>1548.66</v>
      </c>
      <c r="AL130">
        <v>1548.66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1</v>
      </c>
      <c r="AZ130">
        <v>1</v>
      </c>
      <c r="BA130">
        <v>1</v>
      </c>
      <c r="BB130">
        <v>1</v>
      </c>
      <c r="BC130">
        <v>3.93</v>
      </c>
      <c r="BD130" t="s">
        <v>3</v>
      </c>
      <c r="BE130" t="s">
        <v>3</v>
      </c>
      <c r="BF130" t="s">
        <v>3</v>
      </c>
      <c r="BG130" t="s">
        <v>3</v>
      </c>
      <c r="BH130">
        <v>3</v>
      </c>
      <c r="BI130">
        <v>1</v>
      </c>
      <c r="BJ130" t="s">
        <v>216</v>
      </c>
      <c r="BM130">
        <v>1617</v>
      </c>
      <c r="BN130">
        <v>58973374</v>
      </c>
      <c r="BO130" t="s">
        <v>214</v>
      </c>
      <c r="BP130">
        <v>1</v>
      </c>
      <c r="BQ130">
        <v>200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0</v>
      </c>
      <c r="CA130">
        <v>0</v>
      </c>
      <c r="CB130" t="s">
        <v>3</v>
      </c>
      <c r="CE130">
        <v>1566</v>
      </c>
      <c r="CF130">
        <v>0</v>
      </c>
      <c r="CG130">
        <v>0</v>
      </c>
      <c r="CM130">
        <v>0</v>
      </c>
      <c r="CN130" t="s">
        <v>3</v>
      </c>
      <c r="CO130">
        <v>0</v>
      </c>
      <c r="CP130">
        <f t="shared" si="131"/>
        <v>6086.23</v>
      </c>
      <c r="CQ130">
        <f t="shared" si="132"/>
        <v>6086.23</v>
      </c>
      <c r="CR130">
        <f t="shared" si="164"/>
        <v>0</v>
      </c>
      <c r="CS130">
        <f t="shared" si="165"/>
        <v>0</v>
      </c>
      <c r="CT130">
        <f t="shared" si="133"/>
        <v>0</v>
      </c>
      <c r="CU130">
        <f t="shared" si="134"/>
        <v>0</v>
      </c>
      <c r="CV130">
        <f t="shared" si="135"/>
        <v>0</v>
      </c>
      <c r="CW130">
        <f t="shared" si="136"/>
        <v>0</v>
      </c>
      <c r="CX130">
        <f t="shared" si="137"/>
        <v>0</v>
      </c>
      <c r="CY130">
        <f t="shared" si="166"/>
        <v>0</v>
      </c>
      <c r="CZ130">
        <f t="shared" si="167"/>
        <v>0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>
        <v>0</v>
      </c>
      <c r="DO130">
        <v>0</v>
      </c>
      <c r="DP130">
        <v>1</v>
      </c>
      <c r="DQ130">
        <v>1</v>
      </c>
      <c r="DU130">
        <v>1010</v>
      </c>
      <c r="DV130" t="s">
        <v>31</v>
      </c>
      <c r="DW130" t="s">
        <v>31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60088328</v>
      </c>
      <c r="EF130">
        <v>200</v>
      </c>
      <c r="EG130" t="s">
        <v>210</v>
      </c>
      <c r="EH130">
        <v>0</v>
      </c>
      <c r="EI130" t="s">
        <v>3</v>
      </c>
      <c r="EJ130">
        <v>1</v>
      </c>
      <c r="EK130">
        <v>1617</v>
      </c>
      <c r="EL130" t="s">
        <v>211</v>
      </c>
      <c r="EM130" t="s">
        <v>212</v>
      </c>
      <c r="EO130" t="s">
        <v>3</v>
      </c>
      <c r="EQ130">
        <v>0</v>
      </c>
      <c r="ER130">
        <v>1548.66</v>
      </c>
      <c r="ES130">
        <v>1548.66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0</v>
      </c>
      <c r="FY130">
        <v>0</v>
      </c>
      <c r="GA130" t="s">
        <v>3</v>
      </c>
      <c r="GD130">
        <v>1</v>
      </c>
      <c r="GF130">
        <v>1988881951</v>
      </c>
      <c r="GG130">
        <v>2</v>
      </c>
      <c r="GH130">
        <v>1</v>
      </c>
      <c r="GI130">
        <v>2</v>
      </c>
      <c r="GJ130">
        <v>0</v>
      </c>
      <c r="GK130">
        <v>0</v>
      </c>
      <c r="GL130">
        <f t="shared" si="138"/>
        <v>0</v>
      </c>
      <c r="GM130">
        <f t="shared" si="139"/>
        <v>6086.23</v>
      </c>
      <c r="GN130">
        <f t="shared" si="140"/>
        <v>6086.23</v>
      </c>
      <c r="GO130">
        <f t="shared" si="141"/>
        <v>0</v>
      </c>
      <c r="GP130">
        <f t="shared" si="142"/>
        <v>0</v>
      </c>
      <c r="GR130">
        <v>0</v>
      </c>
      <c r="GS130">
        <v>3</v>
      </c>
      <c r="GT130">
        <v>0</v>
      </c>
      <c r="GU130" t="s">
        <v>3</v>
      </c>
      <c r="GV130">
        <f t="shared" si="143"/>
        <v>0</v>
      </c>
      <c r="GW130">
        <v>1</v>
      </c>
      <c r="GX130">
        <f t="shared" si="144"/>
        <v>0</v>
      </c>
      <c r="HA130">
        <v>0</v>
      </c>
      <c r="HB130">
        <v>0</v>
      </c>
      <c r="HC130">
        <f t="shared" si="145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/>
      <c r="D131" s="2"/>
      <c r="E131" s="2" t="s">
        <v>217</v>
      </c>
      <c r="F131" s="2" t="s">
        <v>218</v>
      </c>
      <c r="G131" s="2" t="s">
        <v>219</v>
      </c>
      <c r="H131" s="2" t="s">
        <v>31</v>
      </c>
      <c r="I131" s="2">
        <v>4</v>
      </c>
      <c r="J131" s="2">
        <v>0</v>
      </c>
      <c r="K131" s="2">
        <v>4</v>
      </c>
      <c r="L131" s="2"/>
      <c r="M131" s="2"/>
      <c r="N131" s="2"/>
      <c r="O131" s="2">
        <f t="shared" si="120"/>
        <v>7162.52</v>
      </c>
      <c r="P131" s="2">
        <f t="shared" si="121"/>
        <v>7162.52</v>
      </c>
      <c r="Q131" s="2">
        <f t="shared" si="157"/>
        <v>0</v>
      </c>
      <c r="R131" s="2">
        <f t="shared" si="158"/>
        <v>0</v>
      </c>
      <c r="S131" s="2">
        <f t="shared" si="122"/>
        <v>0</v>
      </c>
      <c r="T131" s="2">
        <f t="shared" si="123"/>
        <v>0</v>
      </c>
      <c r="U131" s="2">
        <f t="shared" si="124"/>
        <v>0</v>
      </c>
      <c r="V131" s="2">
        <f t="shared" si="125"/>
        <v>0</v>
      </c>
      <c r="W131" s="2">
        <f t="shared" si="126"/>
        <v>0</v>
      </c>
      <c r="X131" s="2">
        <f t="shared" si="159"/>
        <v>0</v>
      </c>
      <c r="Y131" s="2">
        <f t="shared" si="160"/>
        <v>0</v>
      </c>
      <c r="Z131" s="2"/>
      <c r="AA131" s="2">
        <v>60255014</v>
      </c>
      <c r="AB131" s="2">
        <f t="shared" si="127"/>
        <v>1790.63</v>
      </c>
      <c r="AC131" s="2">
        <f t="shared" si="128"/>
        <v>1790.63</v>
      </c>
      <c r="AD131" s="2">
        <f t="shared" si="161"/>
        <v>0</v>
      </c>
      <c r="AE131" s="2">
        <f t="shared" si="162"/>
        <v>0</v>
      </c>
      <c r="AF131" s="2">
        <f t="shared" si="162"/>
        <v>0</v>
      </c>
      <c r="AG131" s="2">
        <f t="shared" si="129"/>
        <v>0</v>
      </c>
      <c r="AH131" s="2">
        <f t="shared" si="163"/>
        <v>0</v>
      </c>
      <c r="AI131" s="2">
        <f t="shared" si="163"/>
        <v>0</v>
      </c>
      <c r="AJ131" s="2">
        <f t="shared" si="130"/>
        <v>0</v>
      </c>
      <c r="AK131" s="2">
        <v>1790.63</v>
      </c>
      <c r="AL131" s="2">
        <v>1790.63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220</v>
      </c>
      <c r="BK131" s="2"/>
      <c r="BL131" s="2"/>
      <c r="BM131" s="2">
        <v>1617</v>
      </c>
      <c r="BN131" s="2">
        <v>58973374</v>
      </c>
      <c r="BO131" s="2" t="s">
        <v>3</v>
      </c>
      <c r="BP131" s="2">
        <v>0</v>
      </c>
      <c r="BQ131" s="2">
        <v>200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131"/>
        <v>7162.52</v>
      </c>
      <c r="CQ131" s="2">
        <f t="shared" si="132"/>
        <v>1790.63</v>
      </c>
      <c r="CR131" s="2">
        <f t="shared" si="164"/>
        <v>0</v>
      </c>
      <c r="CS131" s="2">
        <f t="shared" si="165"/>
        <v>0</v>
      </c>
      <c r="CT131" s="2">
        <f t="shared" si="133"/>
        <v>0</v>
      </c>
      <c r="CU131" s="2">
        <f t="shared" si="134"/>
        <v>0</v>
      </c>
      <c r="CV131" s="2">
        <f t="shared" si="135"/>
        <v>0</v>
      </c>
      <c r="CW131" s="2">
        <f t="shared" si="136"/>
        <v>0</v>
      </c>
      <c r="CX131" s="2">
        <f t="shared" si="137"/>
        <v>0</v>
      </c>
      <c r="CY131" s="2">
        <f t="shared" si="166"/>
        <v>0</v>
      </c>
      <c r="CZ131" s="2">
        <f t="shared" si="167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31</v>
      </c>
      <c r="DW131" s="2" t="s">
        <v>31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60088328</v>
      </c>
      <c r="EF131" s="2">
        <v>200</v>
      </c>
      <c r="EG131" s="2" t="s">
        <v>210</v>
      </c>
      <c r="EH131" s="2">
        <v>0</v>
      </c>
      <c r="EI131" s="2" t="s">
        <v>3</v>
      </c>
      <c r="EJ131" s="2">
        <v>1</v>
      </c>
      <c r="EK131" s="2">
        <v>1617</v>
      </c>
      <c r="EL131" s="2" t="s">
        <v>211</v>
      </c>
      <c r="EM131" s="2" t="s">
        <v>212</v>
      </c>
      <c r="EN131" s="2"/>
      <c r="EO131" s="2" t="s">
        <v>3</v>
      </c>
      <c r="EP131" s="2"/>
      <c r="EQ131" s="2">
        <v>0</v>
      </c>
      <c r="ER131" s="2">
        <v>1790.63</v>
      </c>
      <c r="ES131" s="2">
        <v>1790.63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3</v>
      </c>
      <c r="GB131" s="2"/>
      <c r="GC131" s="2"/>
      <c r="GD131" s="2">
        <v>1</v>
      </c>
      <c r="GE131" s="2"/>
      <c r="GF131" s="2">
        <v>976278341</v>
      </c>
      <c r="GG131" s="2">
        <v>2</v>
      </c>
      <c r="GH131" s="2">
        <v>1</v>
      </c>
      <c r="GI131" s="2">
        <v>-2</v>
      </c>
      <c r="GJ131" s="2">
        <v>0</v>
      </c>
      <c r="GK131" s="2">
        <v>0</v>
      </c>
      <c r="GL131" s="2">
        <f t="shared" si="138"/>
        <v>0</v>
      </c>
      <c r="GM131" s="2">
        <f t="shared" si="139"/>
        <v>7162.52</v>
      </c>
      <c r="GN131" s="2">
        <f t="shared" si="140"/>
        <v>7162.52</v>
      </c>
      <c r="GO131" s="2">
        <f t="shared" si="141"/>
        <v>0</v>
      </c>
      <c r="GP131" s="2">
        <f t="shared" si="142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43"/>
        <v>0</v>
      </c>
      <c r="GW131" s="2">
        <v>1</v>
      </c>
      <c r="GX131" s="2">
        <f t="shared" si="144"/>
        <v>0</v>
      </c>
      <c r="GY131" s="2"/>
      <c r="GZ131" s="2"/>
      <c r="HA131" s="2">
        <v>0</v>
      </c>
      <c r="HB131" s="2">
        <v>0</v>
      </c>
      <c r="HC131" s="2">
        <f t="shared" si="145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E132" t="s">
        <v>217</v>
      </c>
      <c r="F132" t="s">
        <v>218</v>
      </c>
      <c r="G132" t="s">
        <v>219</v>
      </c>
      <c r="H132" t="s">
        <v>31</v>
      </c>
      <c r="I132">
        <v>4</v>
      </c>
      <c r="J132">
        <v>0</v>
      </c>
      <c r="K132">
        <v>4</v>
      </c>
      <c r="O132">
        <f t="shared" si="120"/>
        <v>27504.080000000002</v>
      </c>
      <c r="P132">
        <f t="shared" si="121"/>
        <v>27504.080000000002</v>
      </c>
      <c r="Q132">
        <f t="shared" si="157"/>
        <v>0</v>
      </c>
      <c r="R132">
        <f t="shared" si="158"/>
        <v>0</v>
      </c>
      <c r="S132">
        <f t="shared" si="122"/>
        <v>0</v>
      </c>
      <c r="T132">
        <f t="shared" si="123"/>
        <v>0</v>
      </c>
      <c r="U132">
        <f t="shared" si="124"/>
        <v>0</v>
      </c>
      <c r="V132">
        <f t="shared" si="125"/>
        <v>0</v>
      </c>
      <c r="W132">
        <f t="shared" si="126"/>
        <v>0</v>
      </c>
      <c r="X132">
        <f t="shared" si="159"/>
        <v>0</v>
      </c>
      <c r="Y132">
        <f t="shared" si="160"/>
        <v>0</v>
      </c>
      <c r="AA132">
        <v>60255011</v>
      </c>
      <c r="AB132">
        <f t="shared" si="127"/>
        <v>1790.63</v>
      </c>
      <c r="AC132">
        <f t="shared" si="128"/>
        <v>1790.63</v>
      </c>
      <c r="AD132">
        <f t="shared" si="161"/>
        <v>0</v>
      </c>
      <c r="AE132">
        <f t="shared" si="162"/>
        <v>0</v>
      </c>
      <c r="AF132">
        <f t="shared" si="162"/>
        <v>0</v>
      </c>
      <c r="AG132">
        <f t="shared" si="129"/>
        <v>0</v>
      </c>
      <c r="AH132">
        <f t="shared" si="163"/>
        <v>0</v>
      </c>
      <c r="AI132">
        <f t="shared" si="163"/>
        <v>0</v>
      </c>
      <c r="AJ132">
        <f t="shared" si="130"/>
        <v>0</v>
      </c>
      <c r="AK132">
        <v>1790.63</v>
      </c>
      <c r="AL132">
        <v>1790.63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3.84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1</v>
      </c>
      <c r="BJ132" t="s">
        <v>220</v>
      </c>
      <c r="BM132">
        <v>1617</v>
      </c>
      <c r="BN132">
        <v>58973374</v>
      </c>
      <c r="BO132" t="s">
        <v>218</v>
      </c>
      <c r="BP132">
        <v>1</v>
      </c>
      <c r="BQ132">
        <v>200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0</v>
      </c>
      <c r="CA132">
        <v>0</v>
      </c>
      <c r="CB132" t="s">
        <v>3</v>
      </c>
      <c r="CE132">
        <v>1566</v>
      </c>
      <c r="CF132">
        <v>0</v>
      </c>
      <c r="CG132">
        <v>0</v>
      </c>
      <c r="CM132">
        <v>0</v>
      </c>
      <c r="CN132" t="s">
        <v>3</v>
      </c>
      <c r="CO132">
        <v>0</v>
      </c>
      <c r="CP132">
        <f t="shared" si="131"/>
        <v>27504.080000000002</v>
      </c>
      <c r="CQ132">
        <f t="shared" si="132"/>
        <v>6876.02</v>
      </c>
      <c r="CR132">
        <f t="shared" si="164"/>
        <v>0</v>
      </c>
      <c r="CS132">
        <f t="shared" si="165"/>
        <v>0</v>
      </c>
      <c r="CT132">
        <f t="shared" si="133"/>
        <v>0</v>
      </c>
      <c r="CU132">
        <f t="shared" si="134"/>
        <v>0</v>
      </c>
      <c r="CV132">
        <f t="shared" si="135"/>
        <v>0</v>
      </c>
      <c r="CW132">
        <f t="shared" si="136"/>
        <v>0</v>
      </c>
      <c r="CX132">
        <f t="shared" si="137"/>
        <v>0</v>
      </c>
      <c r="CY132">
        <f t="shared" si="166"/>
        <v>0</v>
      </c>
      <c r="CZ132">
        <f t="shared" si="167"/>
        <v>0</v>
      </c>
      <c r="DC132" t="s">
        <v>3</v>
      </c>
      <c r="DD132" t="s">
        <v>3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1010</v>
      </c>
      <c r="DV132" t="s">
        <v>31</v>
      </c>
      <c r="DW132" t="s">
        <v>31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60088328</v>
      </c>
      <c r="EF132">
        <v>200</v>
      </c>
      <c r="EG132" t="s">
        <v>210</v>
      </c>
      <c r="EH132">
        <v>0</v>
      </c>
      <c r="EI132" t="s">
        <v>3</v>
      </c>
      <c r="EJ132">
        <v>1</v>
      </c>
      <c r="EK132">
        <v>1617</v>
      </c>
      <c r="EL132" t="s">
        <v>211</v>
      </c>
      <c r="EM132" t="s">
        <v>212</v>
      </c>
      <c r="EO132" t="s">
        <v>3</v>
      </c>
      <c r="EQ132">
        <v>0</v>
      </c>
      <c r="ER132">
        <v>1790.63</v>
      </c>
      <c r="ES132">
        <v>1790.63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FQ132">
        <v>0</v>
      </c>
      <c r="FR132">
        <v>0</v>
      </c>
      <c r="FS132">
        <v>0</v>
      </c>
      <c r="FX132">
        <v>0</v>
      </c>
      <c r="FY132">
        <v>0</v>
      </c>
      <c r="GA132" t="s">
        <v>3</v>
      </c>
      <c r="GD132">
        <v>1</v>
      </c>
      <c r="GF132">
        <v>976278341</v>
      </c>
      <c r="GG132">
        <v>2</v>
      </c>
      <c r="GH132">
        <v>1</v>
      </c>
      <c r="GI132">
        <v>2</v>
      </c>
      <c r="GJ132">
        <v>0</v>
      </c>
      <c r="GK132">
        <v>0</v>
      </c>
      <c r="GL132">
        <f t="shared" si="138"/>
        <v>0</v>
      </c>
      <c r="GM132">
        <f t="shared" si="139"/>
        <v>27504.080000000002</v>
      </c>
      <c r="GN132">
        <f t="shared" si="140"/>
        <v>27504.080000000002</v>
      </c>
      <c r="GO132">
        <f t="shared" si="141"/>
        <v>0</v>
      </c>
      <c r="GP132">
        <f t="shared" si="142"/>
        <v>0</v>
      </c>
      <c r="GR132">
        <v>0</v>
      </c>
      <c r="GS132">
        <v>3</v>
      </c>
      <c r="GT132">
        <v>0</v>
      </c>
      <c r="GU132" t="s">
        <v>3</v>
      </c>
      <c r="GV132">
        <f t="shared" si="143"/>
        <v>0</v>
      </c>
      <c r="GW132">
        <v>1</v>
      </c>
      <c r="GX132">
        <f t="shared" si="144"/>
        <v>0</v>
      </c>
      <c r="HA132">
        <v>0</v>
      </c>
      <c r="HB132">
        <v>0</v>
      </c>
      <c r="HC132">
        <f t="shared" si="145"/>
        <v>0</v>
      </c>
      <c r="HE132" t="s">
        <v>3</v>
      </c>
      <c r="HF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17</v>
      </c>
      <c r="B133" s="2">
        <v>1</v>
      </c>
      <c r="C133" s="2"/>
      <c r="D133" s="2"/>
      <c r="E133" s="2" t="s">
        <v>221</v>
      </c>
      <c r="F133" s="2" t="s">
        <v>222</v>
      </c>
      <c r="G133" s="2" t="s">
        <v>223</v>
      </c>
      <c r="H133" s="2" t="s">
        <v>31</v>
      </c>
      <c r="I133" s="2">
        <v>2</v>
      </c>
      <c r="J133" s="2">
        <v>0</v>
      </c>
      <c r="K133" s="2">
        <v>2</v>
      </c>
      <c r="L133" s="2"/>
      <c r="M133" s="2"/>
      <c r="N133" s="2"/>
      <c r="O133" s="2">
        <f t="shared" ref="O133:O160" si="168">ROUND(CP133,2)</f>
        <v>4042.4</v>
      </c>
      <c r="P133" s="2">
        <f t="shared" ref="P133:P160" si="169">ROUND((ROUND((AC133*AW133*I133),2)*BC133),2)</f>
        <v>4042.4</v>
      </c>
      <c r="Q133" s="2">
        <f t="shared" si="157"/>
        <v>0</v>
      </c>
      <c r="R133" s="2">
        <f t="shared" si="158"/>
        <v>0</v>
      </c>
      <c r="S133" s="2">
        <f t="shared" ref="S133:S160" si="170">ROUND((ROUND((AF133*AV133*I133),2)*BA133),2)</f>
        <v>0</v>
      </c>
      <c r="T133" s="2">
        <f t="shared" ref="T133:T160" si="171">ROUND(CU133*I133,2)</f>
        <v>0</v>
      </c>
      <c r="U133" s="2">
        <f t="shared" ref="U133:U160" si="172">CV133*I133</f>
        <v>0</v>
      </c>
      <c r="V133" s="2">
        <f t="shared" ref="V133:V160" si="173">CW133*I133</f>
        <v>0</v>
      </c>
      <c r="W133" s="2">
        <f t="shared" ref="W133:W160" si="174">ROUND(CX133*I133,2)</f>
        <v>0</v>
      </c>
      <c r="X133" s="2">
        <f t="shared" si="159"/>
        <v>0</v>
      </c>
      <c r="Y133" s="2">
        <f t="shared" si="160"/>
        <v>0</v>
      </c>
      <c r="Z133" s="2"/>
      <c r="AA133" s="2">
        <v>60255014</v>
      </c>
      <c r="AB133" s="2">
        <f t="shared" ref="AB133:AB160" si="175">ROUND((AC133+AD133+AF133),6)</f>
        <v>2021.2</v>
      </c>
      <c r="AC133" s="2">
        <f t="shared" ref="AC133:AC160" si="176">ROUND((ES133),6)</f>
        <v>2021.2</v>
      </c>
      <c r="AD133" s="2">
        <f t="shared" si="161"/>
        <v>0</v>
      </c>
      <c r="AE133" s="2">
        <f t="shared" si="162"/>
        <v>0</v>
      </c>
      <c r="AF133" s="2">
        <f t="shared" si="162"/>
        <v>0</v>
      </c>
      <c r="AG133" s="2">
        <f t="shared" ref="AG133:AG160" si="177">ROUND((AP133),6)</f>
        <v>0</v>
      </c>
      <c r="AH133" s="2">
        <f t="shared" si="163"/>
        <v>0</v>
      </c>
      <c r="AI133" s="2">
        <f t="shared" si="163"/>
        <v>0</v>
      </c>
      <c r="AJ133" s="2">
        <f t="shared" ref="AJ133:AJ160" si="178">(AS133)</f>
        <v>0</v>
      </c>
      <c r="AK133" s="2">
        <v>2021.2</v>
      </c>
      <c r="AL133" s="2">
        <v>2021.2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1</v>
      </c>
      <c r="BJ133" s="2" t="s">
        <v>224</v>
      </c>
      <c r="BK133" s="2"/>
      <c r="BL133" s="2"/>
      <c r="BM133" s="2">
        <v>1617</v>
      </c>
      <c r="BN133" s="2">
        <v>58973374</v>
      </c>
      <c r="BO133" s="2" t="s">
        <v>3</v>
      </c>
      <c r="BP133" s="2">
        <v>0</v>
      </c>
      <c r="BQ133" s="2">
        <v>200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0</v>
      </c>
      <c r="CA133" s="2">
        <v>0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ref="CP133:CP160" si="179">(P133+Q133+S133)</f>
        <v>4042.4</v>
      </c>
      <c r="CQ133" s="2">
        <f t="shared" ref="CQ133:CQ160" si="180">ROUND((ROUND((AC133*AW133*1),2)*BC133),2)</f>
        <v>2021.2</v>
      </c>
      <c r="CR133" s="2">
        <f t="shared" si="164"/>
        <v>0</v>
      </c>
      <c r="CS133" s="2">
        <f t="shared" si="165"/>
        <v>0</v>
      </c>
      <c r="CT133" s="2">
        <f t="shared" ref="CT133:CT160" si="181">ROUND((ROUND((AF133*AV133*1),2)*BA133),2)</f>
        <v>0</v>
      </c>
      <c r="CU133" s="2">
        <f t="shared" ref="CU133:CU160" si="182">AG133</f>
        <v>0</v>
      </c>
      <c r="CV133" s="2">
        <f t="shared" ref="CV133:CV160" si="183">(AH133*AV133)</f>
        <v>0</v>
      </c>
      <c r="CW133" s="2">
        <f t="shared" ref="CW133:CW160" si="184">AI133</f>
        <v>0</v>
      </c>
      <c r="CX133" s="2">
        <f t="shared" ref="CX133:CX160" si="185">AJ133</f>
        <v>0</v>
      </c>
      <c r="CY133" s="2">
        <f t="shared" si="166"/>
        <v>0</v>
      </c>
      <c r="CZ133" s="2">
        <f t="shared" si="167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31</v>
      </c>
      <c r="DW133" s="2" t="s">
        <v>31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60088328</v>
      </c>
      <c r="EF133" s="2">
        <v>200</v>
      </c>
      <c r="EG133" s="2" t="s">
        <v>210</v>
      </c>
      <c r="EH133" s="2">
        <v>0</v>
      </c>
      <c r="EI133" s="2" t="s">
        <v>3</v>
      </c>
      <c r="EJ133" s="2">
        <v>1</v>
      </c>
      <c r="EK133" s="2">
        <v>1617</v>
      </c>
      <c r="EL133" s="2" t="s">
        <v>211</v>
      </c>
      <c r="EM133" s="2" t="s">
        <v>212</v>
      </c>
      <c r="EN133" s="2"/>
      <c r="EO133" s="2" t="s">
        <v>3</v>
      </c>
      <c r="EP133" s="2"/>
      <c r="EQ133" s="2">
        <v>0</v>
      </c>
      <c r="ER133" s="2">
        <v>2021.2</v>
      </c>
      <c r="ES133" s="2">
        <v>2021.2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0</v>
      </c>
      <c r="FY133" s="2">
        <v>0</v>
      </c>
      <c r="FZ133" s="2"/>
      <c r="GA133" s="2" t="s">
        <v>3</v>
      </c>
      <c r="GB133" s="2"/>
      <c r="GC133" s="2"/>
      <c r="GD133" s="2">
        <v>1</v>
      </c>
      <c r="GE133" s="2"/>
      <c r="GF133" s="2">
        <v>685666556</v>
      </c>
      <c r="GG133" s="2">
        <v>2</v>
      </c>
      <c r="GH133" s="2">
        <v>1</v>
      </c>
      <c r="GI133" s="2">
        <v>-2</v>
      </c>
      <c r="GJ133" s="2">
        <v>0</v>
      </c>
      <c r="GK133" s="2">
        <v>0</v>
      </c>
      <c r="GL133" s="2">
        <f t="shared" ref="GL133:GL160" si="186">ROUND(IF(AND(BH133=3,BI133=3,FS133&lt;&gt;0),P133,0),2)</f>
        <v>0</v>
      </c>
      <c r="GM133" s="2">
        <f t="shared" ref="GM133:GM160" si="187">ROUND(O133+X133+Y133,2)+GX133</f>
        <v>4042.4</v>
      </c>
      <c r="GN133" s="2">
        <f t="shared" ref="GN133:GN160" si="188">IF(OR(BI133=0,BI133=1),GM133-GX133,0)</f>
        <v>4042.4</v>
      </c>
      <c r="GO133" s="2">
        <f t="shared" ref="GO133:GO160" si="189">IF(BI133=2,GM133-GX133,0)</f>
        <v>0</v>
      </c>
      <c r="GP133" s="2">
        <f t="shared" ref="GP133:GP160" si="190">IF(BI133=4,GM133-GX133,0)</f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ref="GV133:GV160" si="191">ROUND((GT133),6)</f>
        <v>0</v>
      </c>
      <c r="GW133" s="2">
        <v>1</v>
      </c>
      <c r="GX133" s="2">
        <f t="shared" ref="GX133:GX160" si="192">ROUND(HC133*I133,2)</f>
        <v>0</v>
      </c>
      <c r="GY133" s="2"/>
      <c r="GZ133" s="2"/>
      <c r="HA133" s="2">
        <v>0</v>
      </c>
      <c r="HB133" s="2">
        <v>0</v>
      </c>
      <c r="HC133" s="2">
        <f t="shared" ref="HC133:HC160" si="193">GV133*GW133</f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17</v>
      </c>
      <c r="B134">
        <v>1</v>
      </c>
      <c r="E134" t="s">
        <v>221</v>
      </c>
      <c r="F134" t="s">
        <v>222</v>
      </c>
      <c r="G134" t="s">
        <v>223</v>
      </c>
      <c r="H134" t="s">
        <v>31</v>
      </c>
      <c r="I134">
        <v>2</v>
      </c>
      <c r="J134">
        <v>0</v>
      </c>
      <c r="K134">
        <v>2</v>
      </c>
      <c r="O134">
        <f t="shared" si="168"/>
        <v>15805.78</v>
      </c>
      <c r="P134">
        <f t="shared" si="169"/>
        <v>15805.78</v>
      </c>
      <c r="Q134">
        <f t="shared" si="157"/>
        <v>0</v>
      </c>
      <c r="R134">
        <f t="shared" si="158"/>
        <v>0</v>
      </c>
      <c r="S134">
        <f t="shared" si="170"/>
        <v>0</v>
      </c>
      <c r="T134">
        <f t="shared" si="171"/>
        <v>0</v>
      </c>
      <c r="U134">
        <f t="shared" si="172"/>
        <v>0</v>
      </c>
      <c r="V134">
        <f t="shared" si="173"/>
        <v>0</v>
      </c>
      <c r="W134">
        <f t="shared" si="174"/>
        <v>0</v>
      </c>
      <c r="X134">
        <f t="shared" si="159"/>
        <v>0</v>
      </c>
      <c r="Y134">
        <f t="shared" si="160"/>
        <v>0</v>
      </c>
      <c r="AA134">
        <v>60255011</v>
      </c>
      <c r="AB134">
        <f t="shared" si="175"/>
        <v>2021.2</v>
      </c>
      <c r="AC134">
        <f t="shared" si="176"/>
        <v>2021.2</v>
      </c>
      <c r="AD134">
        <f t="shared" si="161"/>
        <v>0</v>
      </c>
      <c r="AE134">
        <f t="shared" si="162"/>
        <v>0</v>
      </c>
      <c r="AF134">
        <f t="shared" si="162"/>
        <v>0</v>
      </c>
      <c r="AG134">
        <f t="shared" si="177"/>
        <v>0</v>
      </c>
      <c r="AH134">
        <f t="shared" si="163"/>
        <v>0</v>
      </c>
      <c r="AI134">
        <f t="shared" si="163"/>
        <v>0</v>
      </c>
      <c r="AJ134">
        <f t="shared" si="178"/>
        <v>0</v>
      </c>
      <c r="AK134">
        <v>2021.2</v>
      </c>
      <c r="AL134">
        <v>2021.2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Z134">
        <v>1</v>
      </c>
      <c r="BA134">
        <v>1</v>
      </c>
      <c r="BB134">
        <v>1</v>
      </c>
      <c r="BC134">
        <v>3.91</v>
      </c>
      <c r="BD134" t="s">
        <v>3</v>
      </c>
      <c r="BE134" t="s">
        <v>3</v>
      </c>
      <c r="BF134" t="s">
        <v>3</v>
      </c>
      <c r="BG134" t="s">
        <v>3</v>
      </c>
      <c r="BH134">
        <v>3</v>
      </c>
      <c r="BI134">
        <v>1</v>
      </c>
      <c r="BJ134" t="s">
        <v>224</v>
      </c>
      <c r="BM134">
        <v>1617</v>
      </c>
      <c r="BN134">
        <v>58973374</v>
      </c>
      <c r="BO134" t="s">
        <v>222</v>
      </c>
      <c r="BP134">
        <v>1</v>
      </c>
      <c r="BQ134">
        <v>200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0</v>
      </c>
      <c r="CA134">
        <v>0</v>
      </c>
      <c r="CB134" t="s">
        <v>3</v>
      </c>
      <c r="CE134">
        <v>1566</v>
      </c>
      <c r="CF134">
        <v>0</v>
      </c>
      <c r="CG134">
        <v>0</v>
      </c>
      <c r="CM134">
        <v>0</v>
      </c>
      <c r="CN134" t="s">
        <v>3</v>
      </c>
      <c r="CO134">
        <v>0</v>
      </c>
      <c r="CP134">
        <f t="shared" si="179"/>
        <v>15805.78</v>
      </c>
      <c r="CQ134">
        <f t="shared" si="180"/>
        <v>7902.89</v>
      </c>
      <c r="CR134">
        <f t="shared" si="164"/>
        <v>0</v>
      </c>
      <c r="CS134">
        <f t="shared" si="165"/>
        <v>0</v>
      </c>
      <c r="CT134">
        <f t="shared" si="181"/>
        <v>0</v>
      </c>
      <c r="CU134">
        <f t="shared" si="182"/>
        <v>0</v>
      </c>
      <c r="CV134">
        <f t="shared" si="183"/>
        <v>0</v>
      </c>
      <c r="CW134">
        <f t="shared" si="184"/>
        <v>0</v>
      </c>
      <c r="CX134">
        <f t="shared" si="185"/>
        <v>0</v>
      </c>
      <c r="CY134">
        <f t="shared" si="166"/>
        <v>0</v>
      </c>
      <c r="CZ134">
        <f t="shared" si="167"/>
        <v>0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>
        <v>0</v>
      </c>
      <c r="DO134">
        <v>0</v>
      </c>
      <c r="DP134">
        <v>1</v>
      </c>
      <c r="DQ134">
        <v>1</v>
      </c>
      <c r="DU134">
        <v>1010</v>
      </c>
      <c r="DV134" t="s">
        <v>31</v>
      </c>
      <c r="DW134" t="s">
        <v>31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60088328</v>
      </c>
      <c r="EF134">
        <v>200</v>
      </c>
      <c r="EG134" t="s">
        <v>210</v>
      </c>
      <c r="EH134">
        <v>0</v>
      </c>
      <c r="EI134" t="s">
        <v>3</v>
      </c>
      <c r="EJ134">
        <v>1</v>
      </c>
      <c r="EK134">
        <v>1617</v>
      </c>
      <c r="EL134" t="s">
        <v>211</v>
      </c>
      <c r="EM134" t="s">
        <v>212</v>
      </c>
      <c r="EO134" t="s">
        <v>3</v>
      </c>
      <c r="EQ134">
        <v>0</v>
      </c>
      <c r="ER134">
        <v>2021.2</v>
      </c>
      <c r="ES134">
        <v>2021.2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FQ134">
        <v>0</v>
      </c>
      <c r="FR134">
        <v>0</v>
      </c>
      <c r="FS134">
        <v>0</v>
      </c>
      <c r="FX134">
        <v>0</v>
      </c>
      <c r="FY134">
        <v>0</v>
      </c>
      <c r="GA134" t="s">
        <v>3</v>
      </c>
      <c r="GD134">
        <v>1</v>
      </c>
      <c r="GF134">
        <v>685666556</v>
      </c>
      <c r="GG134">
        <v>2</v>
      </c>
      <c r="GH134">
        <v>1</v>
      </c>
      <c r="GI134">
        <v>2</v>
      </c>
      <c r="GJ134">
        <v>0</v>
      </c>
      <c r="GK134">
        <v>0</v>
      </c>
      <c r="GL134">
        <f t="shared" si="186"/>
        <v>0</v>
      </c>
      <c r="GM134">
        <f t="shared" si="187"/>
        <v>15805.78</v>
      </c>
      <c r="GN134">
        <f t="shared" si="188"/>
        <v>15805.78</v>
      </c>
      <c r="GO134">
        <f t="shared" si="189"/>
        <v>0</v>
      </c>
      <c r="GP134">
        <f t="shared" si="190"/>
        <v>0</v>
      </c>
      <c r="GR134">
        <v>0</v>
      </c>
      <c r="GS134">
        <v>3</v>
      </c>
      <c r="GT134">
        <v>0</v>
      </c>
      <c r="GU134" t="s">
        <v>3</v>
      </c>
      <c r="GV134">
        <f t="shared" si="191"/>
        <v>0</v>
      </c>
      <c r="GW134">
        <v>1</v>
      </c>
      <c r="GX134">
        <f t="shared" si="192"/>
        <v>0</v>
      </c>
      <c r="HA134">
        <v>0</v>
      </c>
      <c r="HB134">
        <v>0</v>
      </c>
      <c r="HC134">
        <f t="shared" si="193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17</v>
      </c>
      <c r="B135" s="2">
        <v>1</v>
      </c>
      <c r="C135" s="2">
        <f>ROW(SmtRes!A158)</f>
        <v>158</v>
      </c>
      <c r="D135" s="2">
        <f>ROW(EtalonRes!A175)</f>
        <v>175</v>
      </c>
      <c r="E135" s="2" t="s">
        <v>225</v>
      </c>
      <c r="F135" s="2" t="s">
        <v>195</v>
      </c>
      <c r="G135" s="2" t="s">
        <v>196</v>
      </c>
      <c r="H135" s="2" t="s">
        <v>96</v>
      </c>
      <c r="I135" s="2">
        <f>ROUND((6+4)/100,9)</f>
        <v>0.1</v>
      </c>
      <c r="J135" s="2">
        <v>0</v>
      </c>
      <c r="K135" s="2">
        <f>ROUND((6+4)/100,9)</f>
        <v>0.1</v>
      </c>
      <c r="L135" s="2"/>
      <c r="M135" s="2"/>
      <c r="N135" s="2"/>
      <c r="O135" s="2">
        <f t="shared" si="168"/>
        <v>497.83</v>
      </c>
      <c r="P135" s="2">
        <f t="shared" si="169"/>
        <v>311.91000000000003</v>
      </c>
      <c r="Q135" s="2">
        <f>(ROUND((ROUND(((((ET135*1.1)*1.25))*AV135*I135),2)*BB135),2)+ROUND((ROUND(((AE135-(((EU135*1.1)*1.25)))*AV135*I135),2)*BS135),2))</f>
        <v>24.46</v>
      </c>
      <c r="R135" s="2">
        <f>(ROUND((ROUND(((((EU135*1.1)*1.25))*AV135*I135),2)*BS135),2)+ROUND((ROUND(((AE135-(((EU135*1.1)*1.25)))*AV135*I135),2)*BS135),2))</f>
        <v>2.65</v>
      </c>
      <c r="S135" s="2">
        <f t="shared" si="170"/>
        <v>161.46</v>
      </c>
      <c r="T135" s="2">
        <f t="shared" si="171"/>
        <v>0</v>
      </c>
      <c r="U135" s="2">
        <f t="shared" si="172"/>
        <v>13.166860025</v>
      </c>
      <c r="V135" s="2">
        <f t="shared" si="173"/>
        <v>0</v>
      </c>
      <c r="W135" s="2">
        <f t="shared" si="174"/>
        <v>0</v>
      </c>
      <c r="X135" s="2">
        <f>(ROUND((((S135+ROUND((ROUND(((((EU135*1.1)*1.25))*AV135*I135),2)*BS135),2))*AT135)/100),2)+ROUND(((ROUND((ROUND(((AE135-(((EU135*1.1)*1.25)))*AV135*I135),2)*BS135),2)*AT135)/100),2))</f>
        <v>178.88</v>
      </c>
      <c r="Y135" s="2">
        <f>(ROUND((((S135+ROUND((ROUND(((((EU135*1.1)*1.25))*AV135*I135),2)*BS135),2))*AU135)/100),2)+ROUND(((ROUND((ROUND(((AE135-(((EU135*1.1)*1.25)))*AV135*I135),2)*BS135),2)*AU135)/100),2))</f>
        <v>100.11</v>
      </c>
      <c r="Z135" s="2"/>
      <c r="AA135" s="2">
        <v>60255014</v>
      </c>
      <c r="AB135" s="2">
        <f t="shared" si="175"/>
        <v>4861.5028499999999</v>
      </c>
      <c r="AC135" s="2">
        <f t="shared" si="176"/>
        <v>3119.11</v>
      </c>
      <c r="AD135" s="2">
        <f>ROUND((((((ET135*1.1)*1.25))-(((EU135*1.1)*1.25)))+AE135),6)</f>
        <v>229.21250000000001</v>
      </c>
      <c r="AE135" s="2">
        <f>ROUND((((EU135*1.1)*1.25)),6)</f>
        <v>24.846250000000001</v>
      </c>
      <c r="AF135" s="2">
        <f>ROUND((((EV135*1.1)*1.15)),6)</f>
        <v>1513.1803500000001</v>
      </c>
      <c r="AG135" s="2">
        <f t="shared" si="177"/>
        <v>0</v>
      </c>
      <c r="AH135" s="2">
        <f>(((EW135*1.1)*1.15))</f>
        <v>123.40075</v>
      </c>
      <c r="AI135" s="2">
        <f>(((EX135*1.1)*1.25))</f>
        <v>0</v>
      </c>
      <c r="AJ135" s="2">
        <f t="shared" si="178"/>
        <v>0</v>
      </c>
      <c r="AK135" s="2">
        <v>4482</v>
      </c>
      <c r="AL135" s="2">
        <v>3119.11</v>
      </c>
      <c r="AM135" s="2">
        <v>166.7</v>
      </c>
      <c r="AN135" s="2">
        <v>18.07</v>
      </c>
      <c r="AO135" s="2">
        <v>1196.19</v>
      </c>
      <c r="AP135" s="2">
        <v>0</v>
      </c>
      <c r="AQ135" s="2">
        <v>97.55</v>
      </c>
      <c r="AR135" s="2">
        <v>0</v>
      </c>
      <c r="AS135" s="2">
        <v>0</v>
      </c>
      <c r="AT135" s="2">
        <v>109</v>
      </c>
      <c r="AU135" s="2">
        <v>61</v>
      </c>
      <c r="AV135" s="2">
        <v>1.0669999999999999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1</v>
      </c>
      <c r="BJ135" s="2" t="s">
        <v>197</v>
      </c>
      <c r="BK135" s="2"/>
      <c r="BL135" s="2"/>
      <c r="BM135" s="2">
        <v>23</v>
      </c>
      <c r="BN135" s="2">
        <v>0</v>
      </c>
      <c r="BO135" s="2" t="s">
        <v>195</v>
      </c>
      <c r="BP135" s="2">
        <v>1</v>
      </c>
      <c r="BQ135" s="2">
        <v>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109</v>
      </c>
      <c r="CA135" s="2">
        <v>61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626</v>
      </c>
      <c r="CO135" s="2">
        <v>0</v>
      </c>
      <c r="CP135" s="2">
        <f t="shared" si="179"/>
        <v>497.83000000000004</v>
      </c>
      <c r="CQ135" s="2">
        <f t="shared" si="180"/>
        <v>3119.11</v>
      </c>
      <c r="CR135" s="2">
        <f>(ROUND((ROUND(((((ET135*1.1)*1.25))*AV135*1),2)*BB135),2)+ROUND((ROUND(((AE135-(((EU135*1.1)*1.25)))*AV135*1),2)*BS135),2))</f>
        <v>244.57</v>
      </c>
      <c r="CS135" s="2">
        <f>(ROUND((ROUND(((((EU135*1.1)*1.25))*AV135*1),2)*BS135),2)+ROUND((ROUND(((AE135-(((EU135*1.1)*1.25)))*AV135*1),2)*BS135),2))</f>
        <v>26.51</v>
      </c>
      <c r="CT135" s="2">
        <f t="shared" si="181"/>
        <v>1614.56</v>
      </c>
      <c r="CU135" s="2">
        <f t="shared" si="182"/>
        <v>0</v>
      </c>
      <c r="CV135" s="2">
        <f t="shared" si="183"/>
        <v>131.66860025</v>
      </c>
      <c r="CW135" s="2">
        <f t="shared" si="184"/>
        <v>0</v>
      </c>
      <c r="CX135" s="2">
        <f t="shared" si="185"/>
        <v>0</v>
      </c>
      <c r="CY135" s="2">
        <f>(ROUND((((S135+ROUND((ROUND(((((EU135*1.1)*1.25))*AV135*1),2)*BS135),2))*AT135)/100),2)+ROUND(((ROUND((ROUND(((AE135-(((EU135*1.1)*1.25)))*AV135*1),2)*BS135),2)*AT135)/100),2))</f>
        <v>204.89</v>
      </c>
      <c r="CZ135" s="2">
        <f>(ROUND((((S135+ROUND((ROUND(((((EU135*1.1)*1.25))*AV135*1),2)*BS135),2))*AU135)/100),2)+ROUND(((ROUND((ROUND(((AE135-(((EU135*1.1)*1.25)))*AV135*1),2)*BS135),2)*AU135)/100),2))</f>
        <v>114.66</v>
      </c>
      <c r="DA135" s="2"/>
      <c r="DB135" s="2">
        <v>29</v>
      </c>
      <c r="DC135" s="2" t="s">
        <v>3</v>
      </c>
      <c r="DD135" s="2" t="s">
        <v>3</v>
      </c>
      <c r="DE135" s="2" t="s">
        <v>198</v>
      </c>
      <c r="DF135" s="2" t="s">
        <v>198</v>
      </c>
      <c r="DG135" s="2" t="s">
        <v>199</v>
      </c>
      <c r="DH135" s="2" t="s">
        <v>3</v>
      </c>
      <c r="DI135" s="2" t="s">
        <v>199</v>
      </c>
      <c r="DJ135" s="2" t="s">
        <v>198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96</v>
      </c>
      <c r="DW135" s="2" t="s">
        <v>96</v>
      </c>
      <c r="DX135" s="2">
        <v>100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60088254</v>
      </c>
      <c r="EF135" s="2">
        <v>30</v>
      </c>
      <c r="EG135" s="2" t="s">
        <v>100</v>
      </c>
      <c r="EH135" s="2">
        <v>0</v>
      </c>
      <c r="EI135" s="2" t="s">
        <v>3</v>
      </c>
      <c r="EJ135" s="2">
        <v>1</v>
      </c>
      <c r="EK135" s="2">
        <v>23</v>
      </c>
      <c r="EL135" s="2" t="s">
        <v>101</v>
      </c>
      <c r="EM135" s="2" t="s">
        <v>102</v>
      </c>
      <c r="EN135" s="2"/>
      <c r="EO135" s="2" t="s">
        <v>200</v>
      </c>
      <c r="EP135" s="2"/>
      <c r="EQ135" s="2">
        <v>0</v>
      </c>
      <c r="ER135" s="2">
        <v>4482</v>
      </c>
      <c r="ES135" s="2">
        <v>3119.11</v>
      </c>
      <c r="ET135" s="2">
        <v>166.7</v>
      </c>
      <c r="EU135" s="2">
        <v>18.07</v>
      </c>
      <c r="EV135" s="2">
        <v>1196.19</v>
      </c>
      <c r="EW135" s="2">
        <v>97.55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109</v>
      </c>
      <c r="FY135" s="2">
        <v>61</v>
      </c>
      <c r="FZ135" s="2"/>
      <c r="GA135" s="2" t="s">
        <v>3</v>
      </c>
      <c r="GB135" s="2"/>
      <c r="GC135" s="2"/>
      <c r="GD135" s="2">
        <v>1</v>
      </c>
      <c r="GE135" s="2"/>
      <c r="GF135" s="2">
        <v>-367566365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186"/>
        <v>0</v>
      </c>
      <c r="GM135" s="2">
        <f t="shared" si="187"/>
        <v>776.82</v>
      </c>
      <c r="GN135" s="2">
        <f t="shared" si="188"/>
        <v>776.82</v>
      </c>
      <c r="GO135" s="2">
        <f t="shared" si="189"/>
        <v>0</v>
      </c>
      <c r="GP135" s="2">
        <f t="shared" si="190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91"/>
        <v>0</v>
      </c>
      <c r="GW135" s="2">
        <v>1</v>
      </c>
      <c r="GX135" s="2">
        <f t="shared" si="192"/>
        <v>0</v>
      </c>
      <c r="GY135" s="2"/>
      <c r="GZ135" s="2"/>
      <c r="HA135" s="2">
        <v>0</v>
      </c>
      <c r="HB135" s="2">
        <v>0</v>
      </c>
      <c r="HC135" s="2">
        <f t="shared" si="193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17</v>
      </c>
      <c r="B136">
        <v>1</v>
      </c>
      <c r="C136">
        <f>ROW(SmtRes!A168)</f>
        <v>168</v>
      </c>
      <c r="D136">
        <f>ROW(EtalonRes!A186)</f>
        <v>186</v>
      </c>
      <c r="E136" t="s">
        <v>225</v>
      </c>
      <c r="F136" t="s">
        <v>195</v>
      </c>
      <c r="G136" t="s">
        <v>196</v>
      </c>
      <c r="H136" t="s">
        <v>96</v>
      </c>
      <c r="I136">
        <f>ROUND((6+4)/100,9)</f>
        <v>0.1</v>
      </c>
      <c r="J136">
        <v>0</v>
      </c>
      <c r="K136">
        <f>ROUND((6+4)/100,9)</f>
        <v>0.1</v>
      </c>
      <c r="O136">
        <f t="shared" si="168"/>
        <v>15651.92</v>
      </c>
      <c r="P136">
        <f t="shared" si="169"/>
        <v>6422.23</v>
      </c>
      <c r="Q136">
        <f>(ROUND((ROUND(((((ET136*1.1)*1.25))*AV136*I136),2)*BB136),2)+ROUND((ROUND(((AE136-(((EU136*1.1)*1.25)))*AV136*I136),2)*BS136),2))</f>
        <v>351</v>
      </c>
      <c r="R136">
        <f>(ROUND((ROUND(((((EU136*1.1)*1.25))*AV136*I136),2)*BS136),2)+ROUND((ROUND(((AE136-(((EU136*1.1)*1.25)))*AV136*I136),2)*BS136),2))</f>
        <v>145.72</v>
      </c>
      <c r="S136">
        <f t="shared" si="170"/>
        <v>8878.69</v>
      </c>
      <c r="T136">
        <f t="shared" si="171"/>
        <v>0</v>
      </c>
      <c r="U136">
        <f t="shared" si="172"/>
        <v>13.166860025</v>
      </c>
      <c r="V136">
        <f t="shared" si="173"/>
        <v>0</v>
      </c>
      <c r="W136">
        <f t="shared" si="174"/>
        <v>0</v>
      </c>
      <c r="X136">
        <f>(ROUND((((S136+ROUND((ROUND(((((EU136*1.1)*1.25))*AV136*I136),2)*BS136),2))*AT136)/100),2)+ROUND(((ROUND((ROUND(((AE136-(((EU136*1.1)*1.25)))*AV136*I136),2)*BS136),2)*AT136)/100),2))</f>
        <v>9836.61</v>
      </c>
      <c r="Y136">
        <f>(ROUND((((S136+ROUND((ROUND(((((EU136*1.1)*1.25))*AV136*I136),2)*BS136),2))*AU136)/100),2)+ROUND(((ROUND((ROUND(((AE136-(((EU136*1.1)*1.25)))*AV136*I136),2)*BS136),2)*AU136)/100),2))</f>
        <v>5504.89</v>
      </c>
      <c r="AA136">
        <v>60255011</v>
      </c>
      <c r="AB136">
        <f t="shared" si="175"/>
        <v>4861.5028499999999</v>
      </c>
      <c r="AC136">
        <f t="shared" si="176"/>
        <v>3119.11</v>
      </c>
      <c r="AD136">
        <f>ROUND((((((ET136*1.1)*1.25))-(((EU136*1.1)*1.25)))+AE136),6)</f>
        <v>229.21250000000001</v>
      </c>
      <c r="AE136">
        <f>ROUND((((EU136*1.1)*1.25)),6)</f>
        <v>24.846250000000001</v>
      </c>
      <c r="AF136">
        <f>ROUND((((EV136*1.1)*1.15)),6)</f>
        <v>1513.1803500000001</v>
      </c>
      <c r="AG136">
        <f t="shared" si="177"/>
        <v>0</v>
      </c>
      <c r="AH136">
        <f>(((EW136*1.1)*1.15))</f>
        <v>123.40075</v>
      </c>
      <c r="AI136">
        <f>(((EX136*1.1)*1.25))</f>
        <v>0</v>
      </c>
      <c r="AJ136">
        <f t="shared" si="178"/>
        <v>0</v>
      </c>
      <c r="AK136">
        <v>4482</v>
      </c>
      <c r="AL136">
        <v>3119.11</v>
      </c>
      <c r="AM136">
        <v>166.7</v>
      </c>
      <c r="AN136">
        <v>18.07</v>
      </c>
      <c r="AO136">
        <v>1196.19</v>
      </c>
      <c r="AP136">
        <v>0</v>
      </c>
      <c r="AQ136">
        <v>97.55</v>
      </c>
      <c r="AR136">
        <v>0</v>
      </c>
      <c r="AS136">
        <v>0</v>
      </c>
      <c r="AT136">
        <v>109</v>
      </c>
      <c r="AU136">
        <v>61</v>
      </c>
      <c r="AV136">
        <v>1.0669999999999999</v>
      </c>
      <c r="AW136">
        <v>1</v>
      </c>
      <c r="AZ136">
        <v>1</v>
      </c>
      <c r="BA136">
        <v>54.99</v>
      </c>
      <c r="BB136">
        <v>14.35</v>
      </c>
      <c r="BC136">
        <v>20.59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1</v>
      </c>
      <c r="BJ136" t="s">
        <v>197</v>
      </c>
      <c r="BM136">
        <v>23</v>
      </c>
      <c r="BN136">
        <v>0</v>
      </c>
      <c r="BO136" t="s">
        <v>195</v>
      </c>
      <c r="BP136">
        <v>1</v>
      </c>
      <c r="BQ136">
        <v>30</v>
      </c>
      <c r="BR136">
        <v>0</v>
      </c>
      <c r="BS136">
        <v>54.99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109</v>
      </c>
      <c r="CA136">
        <v>61</v>
      </c>
      <c r="CB136" t="s">
        <v>3</v>
      </c>
      <c r="CE136">
        <v>1566</v>
      </c>
      <c r="CF136">
        <v>0</v>
      </c>
      <c r="CG136">
        <v>0</v>
      </c>
      <c r="CM136">
        <v>0</v>
      </c>
      <c r="CN136" t="s">
        <v>626</v>
      </c>
      <c r="CO136">
        <v>0</v>
      </c>
      <c r="CP136">
        <f t="shared" si="179"/>
        <v>15651.92</v>
      </c>
      <c r="CQ136">
        <f t="shared" si="180"/>
        <v>64222.47</v>
      </c>
      <c r="CR136">
        <f>(ROUND((ROUND(((((ET136*1.1)*1.25))*AV136*1),2)*BB136),2)+ROUND((ROUND(((AE136-(((EU136*1.1)*1.25)))*AV136*1),2)*BS136),2))</f>
        <v>3509.58</v>
      </c>
      <c r="CS136">
        <f>(ROUND((ROUND(((((EU136*1.1)*1.25))*AV136*1),2)*BS136),2)+ROUND((ROUND(((AE136-(((EU136*1.1)*1.25)))*AV136*1),2)*BS136),2))</f>
        <v>1457.78</v>
      </c>
      <c r="CT136">
        <f t="shared" si="181"/>
        <v>88784.65</v>
      </c>
      <c r="CU136">
        <f t="shared" si="182"/>
        <v>0</v>
      </c>
      <c r="CV136">
        <f t="shared" si="183"/>
        <v>131.66860025</v>
      </c>
      <c r="CW136">
        <f t="shared" si="184"/>
        <v>0</v>
      </c>
      <c r="CX136">
        <f t="shared" si="185"/>
        <v>0</v>
      </c>
      <c r="CY136">
        <f>(ROUND((((S136+ROUND((ROUND(((((EU136*1.1)*1.25))*AV136*1),2)*BS136),2))*AT136)/100),2)+ROUND(((ROUND((ROUND(((AE136-(((EU136*1.1)*1.25)))*AV136*1),2)*BS136),2)*AT136)/100),2))</f>
        <v>11266.75</v>
      </c>
      <c r="CZ136">
        <f>(ROUND((((S136+ROUND((ROUND(((((EU136*1.1)*1.25))*AV136*1),2)*BS136),2))*AU136)/100),2)+ROUND(((ROUND((ROUND(((AE136-(((EU136*1.1)*1.25)))*AV136*1),2)*BS136),2)*AU136)/100),2))</f>
        <v>6305.25</v>
      </c>
      <c r="DB136">
        <v>31</v>
      </c>
      <c r="DC136" t="s">
        <v>3</v>
      </c>
      <c r="DD136" t="s">
        <v>3</v>
      </c>
      <c r="DE136" t="s">
        <v>198</v>
      </c>
      <c r="DF136" t="s">
        <v>198</v>
      </c>
      <c r="DG136" t="s">
        <v>199</v>
      </c>
      <c r="DH136" t="s">
        <v>3</v>
      </c>
      <c r="DI136" t="s">
        <v>199</v>
      </c>
      <c r="DJ136" t="s">
        <v>198</v>
      </c>
      <c r="DK136" t="s">
        <v>3</v>
      </c>
      <c r="DL136" t="s">
        <v>3</v>
      </c>
      <c r="DM136" t="s">
        <v>3</v>
      </c>
      <c r="DN136">
        <v>0</v>
      </c>
      <c r="DO136">
        <v>0</v>
      </c>
      <c r="DP136">
        <v>1</v>
      </c>
      <c r="DQ136">
        <v>1</v>
      </c>
      <c r="DU136">
        <v>1010</v>
      </c>
      <c r="DV136" t="s">
        <v>96</v>
      </c>
      <c r="DW136" t="s">
        <v>96</v>
      </c>
      <c r="DX136">
        <v>100</v>
      </c>
      <c r="DZ136" t="s">
        <v>3</v>
      </c>
      <c r="EA136" t="s">
        <v>3</v>
      </c>
      <c r="EB136" t="s">
        <v>3</v>
      </c>
      <c r="EC136" t="s">
        <v>3</v>
      </c>
      <c r="EE136">
        <v>60088254</v>
      </c>
      <c r="EF136">
        <v>30</v>
      </c>
      <c r="EG136" t="s">
        <v>100</v>
      </c>
      <c r="EH136">
        <v>0</v>
      </c>
      <c r="EI136" t="s">
        <v>3</v>
      </c>
      <c r="EJ136">
        <v>1</v>
      </c>
      <c r="EK136">
        <v>23</v>
      </c>
      <c r="EL136" t="s">
        <v>101</v>
      </c>
      <c r="EM136" t="s">
        <v>102</v>
      </c>
      <c r="EO136" t="s">
        <v>200</v>
      </c>
      <c r="EQ136">
        <v>0</v>
      </c>
      <c r="ER136">
        <v>4482</v>
      </c>
      <c r="ES136">
        <v>3119.11</v>
      </c>
      <c r="ET136">
        <v>166.7</v>
      </c>
      <c r="EU136">
        <v>18.07</v>
      </c>
      <c r="EV136">
        <v>1196.19</v>
      </c>
      <c r="EW136">
        <v>97.55</v>
      </c>
      <c r="EX136">
        <v>0</v>
      </c>
      <c r="EY136">
        <v>0</v>
      </c>
      <c r="FQ136">
        <v>0</v>
      </c>
      <c r="FR136">
        <v>0</v>
      </c>
      <c r="FS136">
        <v>0</v>
      </c>
      <c r="FX136">
        <v>109</v>
      </c>
      <c r="FY136">
        <v>61</v>
      </c>
      <c r="GA136" t="s">
        <v>3</v>
      </c>
      <c r="GD136">
        <v>1</v>
      </c>
      <c r="GF136">
        <v>-367566365</v>
      </c>
      <c r="GG136">
        <v>2</v>
      </c>
      <c r="GH136">
        <v>1</v>
      </c>
      <c r="GI136">
        <v>2</v>
      </c>
      <c r="GJ136">
        <v>0</v>
      </c>
      <c r="GK136">
        <v>0</v>
      </c>
      <c r="GL136">
        <f t="shared" si="186"/>
        <v>0</v>
      </c>
      <c r="GM136">
        <f t="shared" si="187"/>
        <v>30993.42</v>
      </c>
      <c r="GN136">
        <f t="shared" si="188"/>
        <v>30993.42</v>
      </c>
      <c r="GO136">
        <f t="shared" si="189"/>
        <v>0</v>
      </c>
      <c r="GP136">
        <f t="shared" si="190"/>
        <v>0</v>
      </c>
      <c r="GR136">
        <v>0</v>
      </c>
      <c r="GS136">
        <v>3</v>
      </c>
      <c r="GT136">
        <v>0</v>
      </c>
      <c r="GU136" t="s">
        <v>3</v>
      </c>
      <c r="GV136">
        <f t="shared" si="191"/>
        <v>0</v>
      </c>
      <c r="GW136">
        <v>1</v>
      </c>
      <c r="GX136">
        <f t="shared" si="192"/>
        <v>0</v>
      </c>
      <c r="HA136">
        <v>0</v>
      </c>
      <c r="HB136">
        <v>0</v>
      </c>
      <c r="HC136">
        <f t="shared" si="193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226</v>
      </c>
      <c r="F137" s="2" t="s">
        <v>227</v>
      </c>
      <c r="G137" s="2" t="s">
        <v>228</v>
      </c>
      <c r="H137" s="2" t="s">
        <v>31</v>
      </c>
      <c r="I137" s="2">
        <v>6</v>
      </c>
      <c r="J137" s="2">
        <v>0</v>
      </c>
      <c r="K137" s="2">
        <v>6</v>
      </c>
      <c r="L137" s="2"/>
      <c r="M137" s="2"/>
      <c r="N137" s="2"/>
      <c r="O137" s="2">
        <f t="shared" si="168"/>
        <v>13271.64</v>
      </c>
      <c r="P137" s="2">
        <f t="shared" si="169"/>
        <v>13271.64</v>
      </c>
      <c r="Q137" s="2">
        <f>(ROUND((ROUND(((ET137)*AV137*I137),2)*BB137),2)+ROUND((ROUND(((AE137-(EU137))*AV137*I137),2)*BS137),2))</f>
        <v>0</v>
      </c>
      <c r="R137" s="2">
        <f>(ROUND((ROUND(((EU137)*AV137*I137),2)*BS137),2)+ROUND((ROUND(((AE137-(EU137))*AV137*I137),2)*BS137),2))</f>
        <v>0</v>
      </c>
      <c r="S137" s="2">
        <f t="shared" si="170"/>
        <v>0</v>
      </c>
      <c r="T137" s="2">
        <f t="shared" si="171"/>
        <v>0</v>
      </c>
      <c r="U137" s="2">
        <f t="shared" si="172"/>
        <v>0</v>
      </c>
      <c r="V137" s="2">
        <f t="shared" si="173"/>
        <v>0</v>
      </c>
      <c r="W137" s="2">
        <f t="shared" si="174"/>
        <v>0</v>
      </c>
      <c r="X137" s="2">
        <f>(ROUND((((S137+ROUND((ROUND(((EU137)*AV137*I137),2)*BS137),2))*AT137)/100),2)+ROUND(((ROUND((ROUND(((AE137-(EU137))*AV137*I137),2)*BS137),2)*AT137)/100),2))</f>
        <v>0</v>
      </c>
      <c r="Y137" s="2">
        <f>(ROUND((((S137+ROUND((ROUND(((EU137)*AV137*I137),2)*BS137),2))*AU137)/100),2)+ROUND(((ROUND((ROUND(((AE137-(EU137))*AV137*I137),2)*BS137),2)*AU137)/100),2))</f>
        <v>0</v>
      </c>
      <c r="Z137" s="2"/>
      <c r="AA137" s="2">
        <v>60255014</v>
      </c>
      <c r="AB137" s="2">
        <f t="shared" si="175"/>
        <v>2211.94</v>
      </c>
      <c r="AC137" s="2">
        <f t="shared" si="176"/>
        <v>2211.94</v>
      </c>
      <c r="AD137" s="2">
        <f>ROUND((((ET137)-(EU137))+AE137),6)</f>
        <v>0</v>
      </c>
      <c r="AE137" s="2">
        <f t="shared" ref="AE137:AF140" si="194">ROUND((EU137),6)</f>
        <v>0</v>
      </c>
      <c r="AF137" s="2">
        <f t="shared" si="194"/>
        <v>0</v>
      </c>
      <c r="AG137" s="2">
        <f t="shared" si="177"/>
        <v>0</v>
      </c>
      <c r="AH137" s="2">
        <f t="shared" ref="AH137:AI140" si="195">(EW137)</f>
        <v>0</v>
      </c>
      <c r="AI137" s="2">
        <f t="shared" si="195"/>
        <v>0</v>
      </c>
      <c r="AJ137" s="2">
        <f t="shared" si="178"/>
        <v>0</v>
      </c>
      <c r="AK137" s="2">
        <v>2211.94</v>
      </c>
      <c r="AL137" s="2">
        <v>2211.94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1</v>
      </c>
      <c r="BJ137" s="2" t="s">
        <v>229</v>
      </c>
      <c r="BK137" s="2"/>
      <c r="BL137" s="2"/>
      <c r="BM137" s="2">
        <v>1617</v>
      </c>
      <c r="BN137" s="2">
        <v>58973374</v>
      </c>
      <c r="BO137" s="2" t="s">
        <v>3</v>
      </c>
      <c r="BP137" s="2">
        <v>0</v>
      </c>
      <c r="BQ137" s="2">
        <v>200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79"/>
        <v>13271.64</v>
      </c>
      <c r="CQ137" s="2">
        <f t="shared" si="180"/>
        <v>2211.94</v>
      </c>
      <c r="CR137" s="2">
        <f>(ROUND((ROUND(((ET137)*AV137*1),2)*BB137),2)+ROUND((ROUND(((AE137-(EU137))*AV137*1),2)*BS137),2))</f>
        <v>0</v>
      </c>
      <c r="CS137" s="2">
        <f>(ROUND((ROUND(((EU137)*AV137*1),2)*BS137),2)+ROUND((ROUND(((AE137-(EU137))*AV137*1),2)*BS137),2))</f>
        <v>0</v>
      </c>
      <c r="CT137" s="2">
        <f t="shared" si="181"/>
        <v>0</v>
      </c>
      <c r="CU137" s="2">
        <f t="shared" si="182"/>
        <v>0</v>
      </c>
      <c r="CV137" s="2">
        <f t="shared" si="183"/>
        <v>0</v>
      </c>
      <c r="CW137" s="2">
        <f t="shared" si="184"/>
        <v>0</v>
      </c>
      <c r="CX137" s="2">
        <f t="shared" si="185"/>
        <v>0</v>
      </c>
      <c r="CY137" s="2">
        <f>(ROUND((((S137+ROUND((ROUND(((EU137)*AV137*1),2)*BS137),2))*AT137)/100),2)+ROUND(((ROUND((ROUND(((AE137-(EU137))*AV137*1),2)*BS137),2)*AT137)/100),2))</f>
        <v>0</v>
      </c>
      <c r="CZ137" s="2">
        <f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31</v>
      </c>
      <c r="DW137" s="2" t="s">
        <v>31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60088328</v>
      </c>
      <c r="EF137" s="2">
        <v>200</v>
      </c>
      <c r="EG137" s="2" t="s">
        <v>210</v>
      </c>
      <c r="EH137" s="2">
        <v>0</v>
      </c>
      <c r="EI137" s="2" t="s">
        <v>3</v>
      </c>
      <c r="EJ137" s="2">
        <v>1</v>
      </c>
      <c r="EK137" s="2">
        <v>1617</v>
      </c>
      <c r="EL137" s="2" t="s">
        <v>211</v>
      </c>
      <c r="EM137" s="2" t="s">
        <v>212</v>
      </c>
      <c r="EN137" s="2"/>
      <c r="EO137" s="2" t="s">
        <v>3</v>
      </c>
      <c r="EP137" s="2"/>
      <c r="EQ137" s="2">
        <v>0</v>
      </c>
      <c r="ER137" s="2">
        <v>2211.94</v>
      </c>
      <c r="ES137" s="2">
        <v>2211.94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3</v>
      </c>
      <c r="GB137" s="2"/>
      <c r="GC137" s="2"/>
      <c r="GD137" s="2">
        <v>1</v>
      </c>
      <c r="GE137" s="2"/>
      <c r="GF137" s="2">
        <v>833511700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186"/>
        <v>0</v>
      </c>
      <c r="GM137" s="2">
        <f t="shared" si="187"/>
        <v>13271.64</v>
      </c>
      <c r="GN137" s="2">
        <f t="shared" si="188"/>
        <v>13271.64</v>
      </c>
      <c r="GO137" s="2">
        <f t="shared" si="189"/>
        <v>0</v>
      </c>
      <c r="GP137" s="2">
        <f t="shared" si="190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91"/>
        <v>0</v>
      </c>
      <c r="GW137" s="2">
        <v>1</v>
      </c>
      <c r="GX137" s="2">
        <f t="shared" si="192"/>
        <v>0</v>
      </c>
      <c r="GY137" s="2"/>
      <c r="GZ137" s="2"/>
      <c r="HA137" s="2">
        <v>0</v>
      </c>
      <c r="HB137" s="2">
        <v>0</v>
      </c>
      <c r="HC137" s="2">
        <f t="shared" si="193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E138" t="s">
        <v>226</v>
      </c>
      <c r="F138" t="s">
        <v>227</v>
      </c>
      <c r="G138" t="s">
        <v>228</v>
      </c>
      <c r="H138" t="s">
        <v>31</v>
      </c>
      <c r="I138">
        <v>6</v>
      </c>
      <c r="J138">
        <v>0</v>
      </c>
      <c r="K138">
        <v>6</v>
      </c>
      <c r="O138">
        <f t="shared" si="168"/>
        <v>52688.41</v>
      </c>
      <c r="P138">
        <f t="shared" si="169"/>
        <v>52688.41</v>
      </c>
      <c r="Q138">
        <f>(ROUND((ROUND(((ET138)*AV138*I138),2)*BB138),2)+ROUND((ROUND(((AE138-(EU138))*AV138*I138),2)*BS138),2))</f>
        <v>0</v>
      </c>
      <c r="R138">
        <f>(ROUND((ROUND(((EU138)*AV138*I138),2)*BS138),2)+ROUND((ROUND(((AE138-(EU138))*AV138*I138),2)*BS138),2))</f>
        <v>0</v>
      </c>
      <c r="S138">
        <f t="shared" si="170"/>
        <v>0</v>
      </c>
      <c r="T138">
        <f t="shared" si="171"/>
        <v>0</v>
      </c>
      <c r="U138">
        <f t="shared" si="172"/>
        <v>0</v>
      </c>
      <c r="V138">
        <f t="shared" si="173"/>
        <v>0</v>
      </c>
      <c r="W138">
        <f t="shared" si="174"/>
        <v>0</v>
      </c>
      <c r="X138">
        <f>(ROUND((((S138+ROUND((ROUND(((EU138)*AV138*I138),2)*BS138),2))*AT138)/100),2)+ROUND(((ROUND((ROUND(((AE138-(EU138))*AV138*I138),2)*BS138),2)*AT138)/100),2))</f>
        <v>0</v>
      </c>
      <c r="Y138">
        <f>(ROUND((((S138+ROUND((ROUND(((EU138)*AV138*I138),2)*BS138),2))*AU138)/100),2)+ROUND(((ROUND((ROUND(((AE138-(EU138))*AV138*I138),2)*BS138),2)*AU138)/100),2))</f>
        <v>0</v>
      </c>
      <c r="AA138">
        <v>60255011</v>
      </c>
      <c r="AB138">
        <f t="shared" si="175"/>
        <v>2211.94</v>
      </c>
      <c r="AC138">
        <f t="shared" si="176"/>
        <v>2211.94</v>
      </c>
      <c r="AD138">
        <f>ROUND((((ET138)-(EU138))+AE138),6)</f>
        <v>0</v>
      </c>
      <c r="AE138">
        <f t="shared" si="194"/>
        <v>0</v>
      </c>
      <c r="AF138">
        <f t="shared" si="194"/>
        <v>0</v>
      </c>
      <c r="AG138">
        <f t="shared" si="177"/>
        <v>0</v>
      </c>
      <c r="AH138">
        <f t="shared" si="195"/>
        <v>0</v>
      </c>
      <c r="AI138">
        <f t="shared" si="195"/>
        <v>0</v>
      </c>
      <c r="AJ138">
        <f t="shared" si="178"/>
        <v>0</v>
      </c>
      <c r="AK138">
        <v>2211.94</v>
      </c>
      <c r="AL138">
        <v>2211.94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Z138">
        <v>1</v>
      </c>
      <c r="BA138">
        <v>1</v>
      </c>
      <c r="BB138">
        <v>1</v>
      </c>
      <c r="BC138">
        <v>3.97</v>
      </c>
      <c r="BD138" t="s">
        <v>3</v>
      </c>
      <c r="BE138" t="s">
        <v>3</v>
      </c>
      <c r="BF138" t="s">
        <v>3</v>
      </c>
      <c r="BG138" t="s">
        <v>3</v>
      </c>
      <c r="BH138">
        <v>3</v>
      </c>
      <c r="BI138">
        <v>1</v>
      </c>
      <c r="BJ138" t="s">
        <v>229</v>
      </c>
      <c r="BM138">
        <v>1617</v>
      </c>
      <c r="BN138">
        <v>58973374</v>
      </c>
      <c r="BO138" t="s">
        <v>227</v>
      </c>
      <c r="BP138">
        <v>1</v>
      </c>
      <c r="BQ138">
        <v>200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0</v>
      </c>
      <c r="CA138">
        <v>0</v>
      </c>
      <c r="CB138" t="s">
        <v>3</v>
      </c>
      <c r="CE138">
        <v>1566</v>
      </c>
      <c r="CF138">
        <v>0</v>
      </c>
      <c r="CG138">
        <v>0</v>
      </c>
      <c r="CM138">
        <v>0</v>
      </c>
      <c r="CN138" t="s">
        <v>3</v>
      </c>
      <c r="CO138">
        <v>0</v>
      </c>
      <c r="CP138">
        <f t="shared" si="179"/>
        <v>52688.41</v>
      </c>
      <c r="CQ138">
        <f t="shared" si="180"/>
        <v>8781.4</v>
      </c>
      <c r="CR138">
        <f>(ROUND((ROUND(((ET138)*AV138*1),2)*BB138),2)+ROUND((ROUND(((AE138-(EU138))*AV138*1),2)*BS138),2))</f>
        <v>0</v>
      </c>
      <c r="CS138">
        <f>(ROUND((ROUND(((EU138)*AV138*1),2)*BS138),2)+ROUND((ROUND(((AE138-(EU138))*AV138*1),2)*BS138),2))</f>
        <v>0</v>
      </c>
      <c r="CT138">
        <f t="shared" si="181"/>
        <v>0</v>
      </c>
      <c r="CU138">
        <f t="shared" si="182"/>
        <v>0</v>
      </c>
      <c r="CV138">
        <f t="shared" si="183"/>
        <v>0</v>
      </c>
      <c r="CW138">
        <f t="shared" si="184"/>
        <v>0</v>
      </c>
      <c r="CX138">
        <f t="shared" si="185"/>
        <v>0</v>
      </c>
      <c r="CY138">
        <f>(ROUND((((S138+ROUND((ROUND(((EU138)*AV138*1),2)*BS138),2))*AT138)/100),2)+ROUND(((ROUND((ROUND(((AE138-(EU138))*AV138*1),2)*BS138),2)*AT138)/100),2))</f>
        <v>0</v>
      </c>
      <c r="CZ138">
        <f>(ROUND((((S138+ROUND((ROUND(((EU138)*AV138*1),2)*BS138),2))*AU138)/100),2)+ROUND(((ROUND((ROUND(((AE138-(EU138))*AV138*1),2)*BS138),2)*AU138)/100),2))</f>
        <v>0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>
        <v>0</v>
      </c>
      <c r="DO138">
        <v>0</v>
      </c>
      <c r="DP138">
        <v>1</v>
      </c>
      <c r="DQ138">
        <v>1</v>
      </c>
      <c r="DU138">
        <v>1010</v>
      </c>
      <c r="DV138" t="s">
        <v>31</v>
      </c>
      <c r="DW138" t="s">
        <v>31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60088328</v>
      </c>
      <c r="EF138">
        <v>200</v>
      </c>
      <c r="EG138" t="s">
        <v>210</v>
      </c>
      <c r="EH138">
        <v>0</v>
      </c>
      <c r="EI138" t="s">
        <v>3</v>
      </c>
      <c r="EJ138">
        <v>1</v>
      </c>
      <c r="EK138">
        <v>1617</v>
      </c>
      <c r="EL138" t="s">
        <v>211</v>
      </c>
      <c r="EM138" t="s">
        <v>212</v>
      </c>
      <c r="EO138" t="s">
        <v>3</v>
      </c>
      <c r="EQ138">
        <v>0</v>
      </c>
      <c r="ER138">
        <v>2211.94</v>
      </c>
      <c r="ES138">
        <v>2211.94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FQ138">
        <v>0</v>
      </c>
      <c r="FR138">
        <v>0</v>
      </c>
      <c r="FS138">
        <v>0</v>
      </c>
      <c r="FX138">
        <v>0</v>
      </c>
      <c r="FY138">
        <v>0</v>
      </c>
      <c r="GA138" t="s">
        <v>3</v>
      </c>
      <c r="GD138">
        <v>1</v>
      </c>
      <c r="GF138">
        <v>833511700</v>
      </c>
      <c r="GG138">
        <v>2</v>
      </c>
      <c r="GH138">
        <v>1</v>
      </c>
      <c r="GI138">
        <v>2</v>
      </c>
      <c r="GJ138">
        <v>0</v>
      </c>
      <c r="GK138">
        <v>0</v>
      </c>
      <c r="GL138">
        <f t="shared" si="186"/>
        <v>0</v>
      </c>
      <c r="GM138">
        <f t="shared" si="187"/>
        <v>52688.41</v>
      </c>
      <c r="GN138">
        <f t="shared" si="188"/>
        <v>52688.41</v>
      </c>
      <c r="GO138">
        <f t="shared" si="189"/>
        <v>0</v>
      </c>
      <c r="GP138">
        <f t="shared" si="190"/>
        <v>0</v>
      </c>
      <c r="GR138">
        <v>0</v>
      </c>
      <c r="GS138">
        <v>3</v>
      </c>
      <c r="GT138">
        <v>0</v>
      </c>
      <c r="GU138" t="s">
        <v>3</v>
      </c>
      <c r="GV138">
        <f t="shared" si="191"/>
        <v>0</v>
      </c>
      <c r="GW138">
        <v>1</v>
      </c>
      <c r="GX138">
        <f t="shared" si="192"/>
        <v>0</v>
      </c>
      <c r="HA138">
        <v>0</v>
      </c>
      <c r="HB138">
        <v>0</v>
      </c>
      <c r="HC138">
        <f t="shared" si="193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/>
      <c r="D139" s="2"/>
      <c r="E139" s="2" t="s">
        <v>230</v>
      </c>
      <c r="F139" s="2" t="s">
        <v>231</v>
      </c>
      <c r="G139" s="2" t="s">
        <v>232</v>
      </c>
      <c r="H139" s="2" t="s">
        <v>107</v>
      </c>
      <c r="I139" s="2">
        <v>4</v>
      </c>
      <c r="J139" s="2">
        <v>0</v>
      </c>
      <c r="K139" s="2">
        <v>4</v>
      </c>
      <c r="L139" s="2"/>
      <c r="M139" s="2"/>
      <c r="N139" s="2"/>
      <c r="O139" s="2">
        <f t="shared" si="168"/>
        <v>4143.32</v>
      </c>
      <c r="P139" s="2">
        <f t="shared" si="169"/>
        <v>4143.32</v>
      </c>
      <c r="Q139" s="2">
        <f>(ROUND((ROUND(((ET139)*AV139*I139),2)*BB139),2)+ROUND((ROUND(((AE139-(EU139))*AV139*I139),2)*BS139),2))</f>
        <v>0</v>
      </c>
      <c r="R139" s="2">
        <f>(ROUND((ROUND(((EU139)*AV139*I139),2)*BS139),2)+ROUND((ROUND(((AE139-(EU139))*AV139*I139),2)*BS139),2))</f>
        <v>0</v>
      </c>
      <c r="S139" s="2">
        <f t="shared" si="170"/>
        <v>0</v>
      </c>
      <c r="T139" s="2">
        <f t="shared" si="171"/>
        <v>0</v>
      </c>
      <c r="U139" s="2">
        <f t="shared" si="172"/>
        <v>0</v>
      </c>
      <c r="V139" s="2">
        <f t="shared" si="173"/>
        <v>0</v>
      </c>
      <c r="W139" s="2">
        <f t="shared" si="174"/>
        <v>0</v>
      </c>
      <c r="X139" s="2">
        <f>(ROUND((((S139+ROUND((ROUND(((EU139)*AV139*I139),2)*BS139),2))*AT139)/100),2)+ROUND(((ROUND((ROUND(((AE139-(EU139))*AV139*I139),2)*BS139),2)*AT139)/100),2))</f>
        <v>0</v>
      </c>
      <c r="Y139" s="2">
        <f>(ROUND((((S139+ROUND((ROUND(((EU139)*AV139*I139),2)*BS139),2))*AU139)/100),2)+ROUND(((ROUND((ROUND(((AE139-(EU139))*AV139*I139),2)*BS139),2)*AU139)/100),2))</f>
        <v>0</v>
      </c>
      <c r="Z139" s="2"/>
      <c r="AA139" s="2">
        <v>60255014</v>
      </c>
      <c r="AB139" s="2">
        <f t="shared" si="175"/>
        <v>1035.83</v>
      </c>
      <c r="AC139" s="2">
        <f t="shared" si="176"/>
        <v>1035.83</v>
      </c>
      <c r="AD139" s="2">
        <f>ROUND((((ET139)-(EU139))+AE139),6)</f>
        <v>0</v>
      </c>
      <c r="AE139" s="2">
        <f t="shared" si="194"/>
        <v>0</v>
      </c>
      <c r="AF139" s="2">
        <f t="shared" si="194"/>
        <v>0</v>
      </c>
      <c r="AG139" s="2">
        <f t="shared" si="177"/>
        <v>0</v>
      </c>
      <c r="AH139" s="2">
        <f t="shared" si="195"/>
        <v>0</v>
      </c>
      <c r="AI139" s="2">
        <f t="shared" si="195"/>
        <v>0</v>
      </c>
      <c r="AJ139" s="2">
        <f t="shared" si="178"/>
        <v>0</v>
      </c>
      <c r="AK139" s="2">
        <v>1035.83</v>
      </c>
      <c r="AL139" s="2">
        <v>1035.83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1</v>
      </c>
      <c r="BJ139" s="2" t="s">
        <v>3</v>
      </c>
      <c r="BK139" s="2"/>
      <c r="BL139" s="2"/>
      <c r="BM139" s="2">
        <v>400002</v>
      </c>
      <c r="BN139" s="2">
        <v>0</v>
      </c>
      <c r="BO139" s="2" t="s">
        <v>3</v>
      </c>
      <c r="BP139" s="2">
        <v>0</v>
      </c>
      <c r="BQ139" s="2">
        <v>202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79"/>
        <v>4143.32</v>
      </c>
      <c r="CQ139" s="2">
        <f t="shared" si="180"/>
        <v>1035.83</v>
      </c>
      <c r="CR139" s="2">
        <f>(ROUND((ROUND(((ET139)*AV139*1),2)*BB139),2)+ROUND((ROUND(((AE139-(EU139))*AV139*1),2)*BS139),2))</f>
        <v>0</v>
      </c>
      <c r="CS139" s="2">
        <f>(ROUND((ROUND(((EU139)*AV139*1),2)*BS139),2)+ROUND((ROUND(((AE139-(EU139))*AV139*1),2)*BS139),2))</f>
        <v>0</v>
      </c>
      <c r="CT139" s="2">
        <f t="shared" si="181"/>
        <v>0</v>
      </c>
      <c r="CU139" s="2">
        <f t="shared" si="182"/>
        <v>0</v>
      </c>
      <c r="CV139" s="2">
        <f t="shared" si="183"/>
        <v>0</v>
      </c>
      <c r="CW139" s="2">
        <f t="shared" si="184"/>
        <v>0</v>
      </c>
      <c r="CX139" s="2">
        <f t="shared" si="185"/>
        <v>0</v>
      </c>
      <c r="CY139" s="2">
        <f>(ROUND((((S139+ROUND((ROUND(((EU139)*AV139*1),2)*BS139),2))*AT139)/100),2)+ROUND(((ROUND((ROUND(((AE139-(EU139))*AV139*1),2)*BS139),2)*AT139)/100),2))</f>
        <v>0</v>
      </c>
      <c r="CZ139" s="2">
        <f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107</v>
      </c>
      <c r="DW139" s="2" t="s">
        <v>107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60088211</v>
      </c>
      <c r="EF139" s="2">
        <v>202</v>
      </c>
      <c r="EG139" s="2" t="s">
        <v>108</v>
      </c>
      <c r="EH139" s="2">
        <v>0</v>
      </c>
      <c r="EI139" s="2" t="s">
        <v>3</v>
      </c>
      <c r="EJ139" s="2">
        <v>1</v>
      </c>
      <c r="EK139" s="2">
        <v>400002</v>
      </c>
      <c r="EL139" s="2" t="s">
        <v>109</v>
      </c>
      <c r="EM139" s="2" t="s">
        <v>108</v>
      </c>
      <c r="EN139" s="2"/>
      <c r="EO139" s="2" t="s">
        <v>3</v>
      </c>
      <c r="EP139" s="2"/>
      <c r="EQ139" s="2">
        <v>0</v>
      </c>
      <c r="ER139" s="2">
        <v>0</v>
      </c>
      <c r="ES139" s="2">
        <v>1035.83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233</v>
      </c>
      <c r="GB139" s="2"/>
      <c r="GC139" s="2"/>
      <c r="GD139" s="2">
        <v>1</v>
      </c>
      <c r="GE139" s="2"/>
      <c r="GF139" s="2">
        <v>-1735691676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86"/>
        <v>0</v>
      </c>
      <c r="GM139" s="2">
        <f t="shared" si="187"/>
        <v>4143.32</v>
      </c>
      <c r="GN139" s="2">
        <f t="shared" si="188"/>
        <v>4143.32</v>
      </c>
      <c r="GO139" s="2">
        <f t="shared" si="189"/>
        <v>0</v>
      </c>
      <c r="GP139" s="2">
        <f t="shared" si="190"/>
        <v>0</v>
      </c>
      <c r="GQ139" s="2"/>
      <c r="GR139" s="2">
        <v>0</v>
      </c>
      <c r="GS139" s="2">
        <v>2</v>
      </c>
      <c r="GT139" s="2">
        <v>0</v>
      </c>
      <c r="GU139" s="2" t="s">
        <v>3</v>
      </c>
      <c r="GV139" s="2">
        <f t="shared" si="191"/>
        <v>0</v>
      </c>
      <c r="GW139" s="2">
        <v>1</v>
      </c>
      <c r="GX139" s="2">
        <f t="shared" si="192"/>
        <v>0</v>
      </c>
      <c r="GY139" s="2"/>
      <c r="GZ139" s="2"/>
      <c r="HA139" s="2">
        <v>0</v>
      </c>
      <c r="HB139" s="2">
        <v>0</v>
      </c>
      <c r="HC139" s="2">
        <f t="shared" si="193"/>
        <v>0</v>
      </c>
      <c r="HD139" s="2"/>
      <c r="HE139" s="2" t="s">
        <v>111</v>
      </c>
      <c r="HF139" s="2" t="s">
        <v>28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E140" t="s">
        <v>230</v>
      </c>
      <c r="F140" t="s">
        <v>231</v>
      </c>
      <c r="G140" t="s">
        <v>232</v>
      </c>
      <c r="H140" t="s">
        <v>107</v>
      </c>
      <c r="I140">
        <v>4</v>
      </c>
      <c r="J140">
        <v>0</v>
      </c>
      <c r="K140">
        <v>4</v>
      </c>
      <c r="O140">
        <f t="shared" si="168"/>
        <v>40936</v>
      </c>
      <c r="P140">
        <f t="shared" si="169"/>
        <v>40936</v>
      </c>
      <c r="Q140">
        <f>(ROUND((ROUND(((ET140)*AV140*I140),2)*BB140),2)+ROUND((ROUND(((AE140-(EU140))*AV140*I140),2)*BS140),2))</f>
        <v>0</v>
      </c>
      <c r="R140">
        <f>(ROUND((ROUND(((EU140)*AV140*I140),2)*BS140),2)+ROUND((ROUND(((AE140-(EU140))*AV140*I140),2)*BS140),2))</f>
        <v>0</v>
      </c>
      <c r="S140">
        <f t="shared" si="170"/>
        <v>0</v>
      </c>
      <c r="T140">
        <f t="shared" si="171"/>
        <v>0</v>
      </c>
      <c r="U140">
        <f t="shared" si="172"/>
        <v>0</v>
      </c>
      <c r="V140">
        <f t="shared" si="173"/>
        <v>0</v>
      </c>
      <c r="W140">
        <f t="shared" si="174"/>
        <v>0</v>
      </c>
      <c r="X140">
        <f>(ROUND((((S140+ROUND((ROUND(((EU140)*AV140*I140),2)*BS140),2))*AT140)/100),2)+ROUND(((ROUND((ROUND(((AE140-(EU140))*AV140*I140),2)*BS140),2)*AT140)/100),2))</f>
        <v>0</v>
      </c>
      <c r="Y140">
        <f>(ROUND((((S140+ROUND((ROUND(((EU140)*AV140*I140),2)*BS140),2))*AU140)/100),2)+ROUND(((ROUND((ROUND(((AE140-(EU140))*AV140*I140),2)*BS140),2)*AU140)/100),2))</f>
        <v>0</v>
      </c>
      <c r="AA140">
        <v>60255011</v>
      </c>
      <c r="AB140">
        <f t="shared" si="175"/>
        <v>1035.83</v>
      </c>
      <c r="AC140">
        <f t="shared" si="176"/>
        <v>1035.83</v>
      </c>
      <c r="AD140">
        <f>ROUND((((ET140)-(EU140))+AE140),6)</f>
        <v>0</v>
      </c>
      <c r="AE140">
        <f t="shared" si="194"/>
        <v>0</v>
      </c>
      <c r="AF140">
        <f t="shared" si="194"/>
        <v>0</v>
      </c>
      <c r="AG140">
        <f t="shared" si="177"/>
        <v>0</v>
      </c>
      <c r="AH140">
        <f t="shared" si="195"/>
        <v>0</v>
      </c>
      <c r="AI140">
        <f t="shared" si="195"/>
        <v>0</v>
      </c>
      <c r="AJ140">
        <f t="shared" si="178"/>
        <v>0</v>
      </c>
      <c r="AK140">
        <v>1035.83</v>
      </c>
      <c r="AL140">
        <v>1035.83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1</v>
      </c>
      <c r="AZ140">
        <v>1</v>
      </c>
      <c r="BA140">
        <v>1</v>
      </c>
      <c r="BB140">
        <v>1</v>
      </c>
      <c r="BC140">
        <v>9.8800000000000008</v>
      </c>
      <c r="BD140" t="s">
        <v>3</v>
      </c>
      <c r="BE140" t="s">
        <v>3</v>
      </c>
      <c r="BF140" t="s">
        <v>3</v>
      </c>
      <c r="BG140" t="s">
        <v>3</v>
      </c>
      <c r="BH140">
        <v>3</v>
      </c>
      <c r="BI140">
        <v>1</v>
      </c>
      <c r="BJ140" t="s">
        <v>3</v>
      </c>
      <c r="BM140">
        <v>400002</v>
      </c>
      <c r="BN140">
        <v>0</v>
      </c>
      <c r="BO140" t="s">
        <v>3</v>
      </c>
      <c r="BP140">
        <v>0</v>
      </c>
      <c r="BQ140">
        <v>202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0</v>
      </c>
      <c r="CA140">
        <v>0</v>
      </c>
      <c r="CB140" t="s">
        <v>3</v>
      </c>
      <c r="CE140">
        <v>1566</v>
      </c>
      <c r="CF140">
        <v>0</v>
      </c>
      <c r="CG140">
        <v>0</v>
      </c>
      <c r="CM140">
        <v>0</v>
      </c>
      <c r="CN140" t="s">
        <v>3</v>
      </c>
      <c r="CO140">
        <v>0</v>
      </c>
      <c r="CP140">
        <f t="shared" si="179"/>
        <v>40936</v>
      </c>
      <c r="CQ140">
        <f t="shared" si="180"/>
        <v>10234</v>
      </c>
      <c r="CR140">
        <f>(ROUND((ROUND(((ET140)*AV140*1),2)*BB140),2)+ROUND((ROUND(((AE140-(EU140))*AV140*1),2)*BS140),2))</f>
        <v>0</v>
      </c>
      <c r="CS140">
        <f>(ROUND((ROUND(((EU140)*AV140*1),2)*BS140),2)+ROUND((ROUND(((AE140-(EU140))*AV140*1),2)*BS140),2))</f>
        <v>0</v>
      </c>
      <c r="CT140">
        <f t="shared" si="181"/>
        <v>0</v>
      </c>
      <c r="CU140">
        <f t="shared" si="182"/>
        <v>0</v>
      </c>
      <c r="CV140">
        <f t="shared" si="183"/>
        <v>0</v>
      </c>
      <c r="CW140">
        <f t="shared" si="184"/>
        <v>0</v>
      </c>
      <c r="CX140">
        <f t="shared" si="185"/>
        <v>0</v>
      </c>
      <c r="CY140">
        <f>(ROUND((((S140+ROUND((ROUND(((EU140)*AV140*1),2)*BS140),2))*AT140)/100),2)+ROUND(((ROUND((ROUND(((AE140-(EU140))*AV140*1),2)*BS140),2)*AT140)/100),2))</f>
        <v>0</v>
      </c>
      <c r="CZ140">
        <f>(ROUND((((S140+ROUND((ROUND(((EU140)*AV140*1),2)*BS140),2))*AU140)/100),2)+ROUND(((ROUND((ROUND(((AE140-(EU140))*AV140*1),2)*BS140),2)*AU140)/100),2))</f>
        <v>0</v>
      </c>
      <c r="DC140" t="s">
        <v>3</v>
      </c>
      <c r="DD140" t="s">
        <v>3</v>
      </c>
      <c r="DE140" t="s">
        <v>3</v>
      </c>
      <c r="DF140" t="s">
        <v>3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  <c r="DN140">
        <v>0</v>
      </c>
      <c r="DO140">
        <v>0</v>
      </c>
      <c r="DP140">
        <v>1</v>
      </c>
      <c r="DQ140">
        <v>1</v>
      </c>
      <c r="DU140">
        <v>1013</v>
      </c>
      <c r="DV140" t="s">
        <v>107</v>
      </c>
      <c r="DW140" t="s">
        <v>107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60088211</v>
      </c>
      <c r="EF140">
        <v>202</v>
      </c>
      <c r="EG140" t="s">
        <v>108</v>
      </c>
      <c r="EH140">
        <v>0</v>
      </c>
      <c r="EI140" t="s">
        <v>3</v>
      </c>
      <c r="EJ140">
        <v>1</v>
      </c>
      <c r="EK140">
        <v>400002</v>
      </c>
      <c r="EL140" t="s">
        <v>109</v>
      </c>
      <c r="EM140" t="s">
        <v>108</v>
      </c>
      <c r="EO140" t="s">
        <v>3</v>
      </c>
      <c r="EQ140">
        <v>0</v>
      </c>
      <c r="ER140">
        <v>1035.83</v>
      </c>
      <c r="ES140">
        <v>1035.83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5</v>
      </c>
      <c r="FC140">
        <v>1</v>
      </c>
      <c r="FD140">
        <v>18</v>
      </c>
      <c r="FF140">
        <v>12040</v>
      </c>
      <c r="FQ140">
        <v>0</v>
      </c>
      <c r="FR140">
        <v>0</v>
      </c>
      <c r="FS140">
        <v>0</v>
      </c>
      <c r="FX140">
        <v>0</v>
      </c>
      <c r="FY140">
        <v>0</v>
      </c>
      <c r="GA140" t="s">
        <v>233</v>
      </c>
      <c r="GD140">
        <v>1</v>
      </c>
      <c r="GF140">
        <v>-1735691676</v>
      </c>
      <c r="GG140">
        <v>2</v>
      </c>
      <c r="GH140">
        <v>3</v>
      </c>
      <c r="GI140">
        <v>5</v>
      </c>
      <c r="GJ140">
        <v>0</v>
      </c>
      <c r="GK140">
        <v>0</v>
      </c>
      <c r="GL140">
        <f t="shared" si="186"/>
        <v>0</v>
      </c>
      <c r="GM140">
        <f t="shared" si="187"/>
        <v>40936</v>
      </c>
      <c r="GN140">
        <f t="shared" si="188"/>
        <v>40936</v>
      </c>
      <c r="GO140">
        <f t="shared" si="189"/>
        <v>0</v>
      </c>
      <c r="GP140">
        <f t="shared" si="190"/>
        <v>0</v>
      </c>
      <c r="GR140">
        <v>1</v>
      </c>
      <c r="GS140">
        <v>1</v>
      </c>
      <c r="GT140">
        <v>0</v>
      </c>
      <c r="GU140" t="s">
        <v>3</v>
      </c>
      <c r="GV140">
        <f t="shared" si="191"/>
        <v>0</v>
      </c>
      <c r="GW140">
        <v>1</v>
      </c>
      <c r="GX140">
        <f t="shared" si="192"/>
        <v>0</v>
      </c>
      <c r="HA140">
        <v>0</v>
      </c>
      <c r="HB140">
        <v>0</v>
      </c>
      <c r="HC140">
        <f t="shared" si="193"/>
        <v>0</v>
      </c>
      <c r="HE140" t="s">
        <v>111</v>
      </c>
      <c r="HF140" t="s">
        <v>28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17</v>
      </c>
      <c r="B141" s="2">
        <v>1</v>
      </c>
      <c r="C141" s="2">
        <f>ROW(SmtRes!A178)</f>
        <v>178</v>
      </c>
      <c r="D141" s="2">
        <f>ROW(EtalonRes!A197)</f>
        <v>197</v>
      </c>
      <c r="E141" s="2" t="s">
        <v>234</v>
      </c>
      <c r="F141" s="2" t="s">
        <v>94</v>
      </c>
      <c r="G141" s="2" t="s">
        <v>95</v>
      </c>
      <c r="H141" s="2" t="s">
        <v>96</v>
      </c>
      <c r="I141" s="2">
        <f>ROUND((2+17)/100,9)</f>
        <v>0.19</v>
      </c>
      <c r="J141" s="2">
        <v>0</v>
      </c>
      <c r="K141" s="2">
        <f>ROUND((2+17)/100,9)</f>
        <v>0.19</v>
      </c>
      <c r="L141" s="2"/>
      <c r="M141" s="2"/>
      <c r="N141" s="2"/>
      <c r="O141" s="2">
        <f t="shared" si="168"/>
        <v>656.64</v>
      </c>
      <c r="P141" s="2">
        <f t="shared" si="169"/>
        <v>394.99</v>
      </c>
      <c r="Q141" s="2">
        <f>(ROUND((ROUND(((((ET141*1.25)*1.1))*AV141*I141),2)*BB141),2)+ROUND((ROUND(((AE141-(((EU141*1.25)*1.1)))*AV141*I141),2)*BS141),2))</f>
        <v>26.58</v>
      </c>
      <c r="R141" s="2">
        <f>(ROUND((ROUND(((((EU141*1.25)*1.1))*AV141*I141),2)*BS141),2)+ROUND((ROUND(((AE141-(((EU141*1.25)*1.1)))*AV141*I141),2)*BS141),2))</f>
        <v>2.87</v>
      </c>
      <c r="S141" s="2">
        <f t="shared" si="170"/>
        <v>235.07</v>
      </c>
      <c r="T141" s="2">
        <f t="shared" si="171"/>
        <v>0</v>
      </c>
      <c r="U141" s="2">
        <f t="shared" si="172"/>
        <v>19.157072715000002</v>
      </c>
      <c r="V141" s="2">
        <f t="shared" si="173"/>
        <v>0</v>
      </c>
      <c r="W141" s="2">
        <f t="shared" si="174"/>
        <v>0</v>
      </c>
      <c r="X141" s="2">
        <f>(ROUND((((S141+ROUND((ROUND(((((EU141*1.25)*1.1))*AV141*I141),2)*BS141),2))*AT141)/100),2)+ROUND(((ROUND((ROUND(((AE141-(((EU141*1.25)*1.1)))*AV141*I141),2)*BS141),2)*AT141)/100),2))</f>
        <v>259.35000000000002</v>
      </c>
      <c r="Y141" s="2">
        <f>(ROUND((((S141+ROUND((ROUND(((((EU141*1.25)*1.1))*AV141*I141),2)*BS141),2))*AU141)/100),2)+ROUND(((ROUND((ROUND(((AE141-(((EU141*1.25)*1.1)))*AV141*I141),2)*BS141),2)*AU141)/100),2))</f>
        <v>145.13999999999999</v>
      </c>
      <c r="Z141" s="2"/>
      <c r="AA141" s="2">
        <v>60255014</v>
      </c>
      <c r="AB141" s="2">
        <f t="shared" si="175"/>
        <v>3369.5052500000002</v>
      </c>
      <c r="AC141" s="2">
        <f t="shared" si="176"/>
        <v>2078.9</v>
      </c>
      <c r="AD141" s="2">
        <f>ROUND((((((ET141*1.25)*1.1))-(((EU141*1.25)*1.1)))+AE141),6)</f>
        <v>131.10624999999999</v>
      </c>
      <c r="AE141" s="2">
        <f>ROUND((((EU141*1.25)*1.1)),6)</f>
        <v>14.1625</v>
      </c>
      <c r="AF141" s="2">
        <f>ROUND((((EV141*1.15)*1.1)),6)</f>
        <v>1159.499</v>
      </c>
      <c r="AG141" s="2">
        <f t="shared" si="177"/>
        <v>0</v>
      </c>
      <c r="AH141" s="2">
        <f>(((EW141*1.15)*1.1))</f>
        <v>94.495500000000007</v>
      </c>
      <c r="AI141" s="2">
        <f>(((EX141*1.25)*1.1))</f>
        <v>0</v>
      </c>
      <c r="AJ141" s="2">
        <f t="shared" si="178"/>
        <v>0</v>
      </c>
      <c r="AK141" s="2">
        <v>3090.85</v>
      </c>
      <c r="AL141" s="2">
        <v>2078.9</v>
      </c>
      <c r="AM141" s="2">
        <v>95.35</v>
      </c>
      <c r="AN141" s="2">
        <v>10.3</v>
      </c>
      <c r="AO141" s="2">
        <v>916.6</v>
      </c>
      <c r="AP141" s="2">
        <v>0</v>
      </c>
      <c r="AQ141" s="2">
        <v>74.7</v>
      </c>
      <c r="AR141" s="2">
        <v>0</v>
      </c>
      <c r="AS141" s="2">
        <v>0</v>
      </c>
      <c r="AT141" s="2">
        <v>109</v>
      </c>
      <c r="AU141" s="2">
        <v>61</v>
      </c>
      <c r="AV141" s="2">
        <v>1.0669999999999999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1</v>
      </c>
      <c r="BJ141" s="2" t="s">
        <v>97</v>
      </c>
      <c r="BK141" s="2"/>
      <c r="BL141" s="2"/>
      <c r="BM141" s="2">
        <v>23</v>
      </c>
      <c r="BN141" s="2">
        <v>0</v>
      </c>
      <c r="BO141" s="2" t="s">
        <v>94</v>
      </c>
      <c r="BP141" s="2">
        <v>1</v>
      </c>
      <c r="BQ141" s="2">
        <v>30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109</v>
      </c>
      <c r="CA141" s="2">
        <v>61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625</v>
      </c>
      <c r="CO141" s="2">
        <v>0</v>
      </c>
      <c r="CP141" s="2">
        <f t="shared" si="179"/>
        <v>656.64</v>
      </c>
      <c r="CQ141" s="2">
        <f t="shared" si="180"/>
        <v>2078.9</v>
      </c>
      <c r="CR141" s="2">
        <f>(ROUND((ROUND(((((ET141*1.25)*1.1))*AV141*1),2)*BB141),2)+ROUND((ROUND(((AE141-(((EU141*1.25)*1.1)))*AV141*1),2)*BS141),2))</f>
        <v>139.88999999999999</v>
      </c>
      <c r="CS141" s="2">
        <f>(ROUND((ROUND(((((EU141*1.25)*1.1))*AV141*1),2)*BS141),2)+ROUND((ROUND(((AE141-(((EU141*1.25)*1.1)))*AV141*1),2)*BS141),2))</f>
        <v>15.11</v>
      </c>
      <c r="CT141" s="2">
        <f t="shared" si="181"/>
        <v>1237.19</v>
      </c>
      <c r="CU141" s="2">
        <f t="shared" si="182"/>
        <v>0</v>
      </c>
      <c r="CV141" s="2">
        <f t="shared" si="183"/>
        <v>100.82669850000001</v>
      </c>
      <c r="CW141" s="2">
        <f t="shared" si="184"/>
        <v>0</v>
      </c>
      <c r="CX141" s="2">
        <f t="shared" si="185"/>
        <v>0</v>
      </c>
      <c r="CY141" s="2">
        <f>(ROUND((((S141+ROUND((ROUND(((((EU141*1.25)*1.1))*AV141*1),2)*BS141),2))*AT141)/100),2)+ROUND(((ROUND((ROUND(((AE141-(((EU141*1.25)*1.1)))*AV141*1),2)*BS141),2)*AT141)/100),2))</f>
        <v>272.7</v>
      </c>
      <c r="CZ141" s="2">
        <f>(ROUND((((S141+ROUND((ROUND(((((EU141*1.25)*1.1))*AV141*1),2)*BS141),2))*AU141)/100),2)+ROUND(((ROUND((ROUND(((AE141-(((EU141*1.25)*1.1)))*AV141*1),2)*BS141),2)*AU141)/100),2))</f>
        <v>152.61000000000001</v>
      </c>
      <c r="DA141" s="2"/>
      <c r="DB141" s="2">
        <v>33</v>
      </c>
      <c r="DC141" s="2" t="s">
        <v>3</v>
      </c>
      <c r="DD141" s="2" t="s">
        <v>3</v>
      </c>
      <c r="DE141" s="2" t="s">
        <v>98</v>
      </c>
      <c r="DF141" s="2" t="s">
        <v>98</v>
      </c>
      <c r="DG141" s="2" t="s">
        <v>99</v>
      </c>
      <c r="DH141" s="2" t="s">
        <v>3</v>
      </c>
      <c r="DI141" s="2" t="s">
        <v>99</v>
      </c>
      <c r="DJ141" s="2" t="s">
        <v>98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1010</v>
      </c>
      <c r="DV141" s="2" t="s">
        <v>96</v>
      </c>
      <c r="DW141" s="2" t="s">
        <v>96</v>
      </c>
      <c r="DX141" s="2">
        <v>100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60088254</v>
      </c>
      <c r="EF141" s="2">
        <v>30</v>
      </c>
      <c r="EG141" s="2" t="s">
        <v>100</v>
      </c>
      <c r="EH141" s="2">
        <v>0</v>
      </c>
      <c r="EI141" s="2" t="s">
        <v>3</v>
      </c>
      <c r="EJ141" s="2">
        <v>1</v>
      </c>
      <c r="EK141" s="2">
        <v>23</v>
      </c>
      <c r="EL141" s="2" t="s">
        <v>101</v>
      </c>
      <c r="EM141" s="2" t="s">
        <v>102</v>
      </c>
      <c r="EN141" s="2"/>
      <c r="EO141" s="2" t="s">
        <v>103</v>
      </c>
      <c r="EP141" s="2"/>
      <c r="EQ141" s="2">
        <v>0</v>
      </c>
      <c r="ER141" s="2">
        <v>3090.85</v>
      </c>
      <c r="ES141" s="2">
        <v>2078.9</v>
      </c>
      <c r="ET141" s="2">
        <v>95.35</v>
      </c>
      <c r="EU141" s="2">
        <v>10.3</v>
      </c>
      <c r="EV141" s="2">
        <v>916.6</v>
      </c>
      <c r="EW141" s="2">
        <v>74.7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109</v>
      </c>
      <c r="FY141" s="2">
        <v>61</v>
      </c>
      <c r="FZ141" s="2"/>
      <c r="GA141" s="2" t="s">
        <v>3</v>
      </c>
      <c r="GB141" s="2"/>
      <c r="GC141" s="2"/>
      <c r="GD141" s="2">
        <v>1</v>
      </c>
      <c r="GE141" s="2"/>
      <c r="GF141" s="2">
        <v>-961949121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86"/>
        <v>0</v>
      </c>
      <c r="GM141" s="2">
        <f t="shared" si="187"/>
        <v>1061.1300000000001</v>
      </c>
      <c r="GN141" s="2">
        <f t="shared" si="188"/>
        <v>1061.1300000000001</v>
      </c>
      <c r="GO141" s="2">
        <f t="shared" si="189"/>
        <v>0</v>
      </c>
      <c r="GP141" s="2">
        <f t="shared" si="190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91"/>
        <v>0</v>
      </c>
      <c r="GW141" s="2">
        <v>1</v>
      </c>
      <c r="GX141" s="2">
        <f t="shared" si="192"/>
        <v>0</v>
      </c>
      <c r="GY141" s="2"/>
      <c r="GZ141" s="2"/>
      <c r="HA141" s="2">
        <v>0</v>
      </c>
      <c r="HB141" s="2">
        <v>0</v>
      </c>
      <c r="HC141" s="2">
        <f t="shared" si="193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17</v>
      </c>
      <c r="B142">
        <v>1</v>
      </c>
      <c r="C142">
        <f>ROW(SmtRes!A188)</f>
        <v>188</v>
      </c>
      <c r="D142">
        <f>ROW(EtalonRes!A208)</f>
        <v>208</v>
      </c>
      <c r="E142" t="s">
        <v>234</v>
      </c>
      <c r="F142" t="s">
        <v>94</v>
      </c>
      <c r="G142" t="s">
        <v>95</v>
      </c>
      <c r="H142" t="s">
        <v>96</v>
      </c>
      <c r="I142">
        <f>ROUND((2+17)/100,9)</f>
        <v>0.19</v>
      </c>
      <c r="J142">
        <v>0</v>
      </c>
      <c r="K142">
        <f>ROUND((2+17)/100,9)</f>
        <v>0.19</v>
      </c>
      <c r="O142">
        <f t="shared" si="168"/>
        <v>21440.23</v>
      </c>
      <c r="P142">
        <f t="shared" si="169"/>
        <v>8132.84</v>
      </c>
      <c r="Q142">
        <f>(ROUND((ROUND(((((ET142*1.25)*1.1))*AV142*I142),2)*BB142),2)+ROUND((ROUND(((AE142-(((EU142*1.25)*1.1)))*AV142*I142),2)*BS142),2))</f>
        <v>380.89</v>
      </c>
      <c r="R142">
        <f>(ROUND((ROUND(((((EU142*1.25)*1.1))*AV142*I142),2)*BS142),2)+ROUND((ROUND(((AE142-(((EU142*1.25)*1.1)))*AV142*I142),2)*BS142),2))</f>
        <v>157.82</v>
      </c>
      <c r="S142">
        <f t="shared" si="170"/>
        <v>12926.5</v>
      </c>
      <c r="T142">
        <f t="shared" si="171"/>
        <v>0</v>
      </c>
      <c r="U142">
        <f t="shared" si="172"/>
        <v>19.157072715000002</v>
      </c>
      <c r="V142">
        <f t="shared" si="173"/>
        <v>0</v>
      </c>
      <c r="W142">
        <f t="shared" si="174"/>
        <v>0</v>
      </c>
      <c r="X142">
        <f>(ROUND((((S142+ROUND((ROUND(((((EU142*1.25)*1.1))*AV142*I142),2)*BS142),2))*AT142)/100),2)+ROUND(((ROUND((ROUND(((AE142-(((EU142*1.25)*1.1)))*AV142*I142),2)*BS142),2)*AT142)/100),2))</f>
        <v>14261.91</v>
      </c>
      <c r="Y142">
        <f>(ROUND((((S142+ROUND((ROUND(((((EU142*1.25)*1.1))*AV142*I142),2)*BS142),2))*AU142)/100),2)+ROUND(((ROUND((ROUND(((AE142-(((EU142*1.25)*1.1)))*AV142*I142),2)*BS142),2)*AU142)/100),2))</f>
        <v>7981.44</v>
      </c>
      <c r="AA142">
        <v>60255011</v>
      </c>
      <c r="AB142">
        <f t="shared" si="175"/>
        <v>3369.5052500000002</v>
      </c>
      <c r="AC142">
        <f t="shared" si="176"/>
        <v>2078.9</v>
      </c>
      <c r="AD142">
        <f>ROUND((((((ET142*1.25)*1.1))-(((EU142*1.25)*1.1)))+AE142),6)</f>
        <v>131.10624999999999</v>
      </c>
      <c r="AE142">
        <f>ROUND((((EU142*1.25)*1.1)),6)</f>
        <v>14.1625</v>
      </c>
      <c r="AF142">
        <f>ROUND((((EV142*1.15)*1.1)),6)</f>
        <v>1159.499</v>
      </c>
      <c r="AG142">
        <f t="shared" si="177"/>
        <v>0</v>
      </c>
      <c r="AH142">
        <f>(((EW142*1.15)*1.1))</f>
        <v>94.495500000000007</v>
      </c>
      <c r="AI142">
        <f>(((EX142*1.25)*1.1))</f>
        <v>0</v>
      </c>
      <c r="AJ142">
        <f t="shared" si="178"/>
        <v>0</v>
      </c>
      <c r="AK142">
        <v>3090.85</v>
      </c>
      <c r="AL142">
        <v>2078.9</v>
      </c>
      <c r="AM142">
        <v>95.35</v>
      </c>
      <c r="AN142">
        <v>10.3</v>
      </c>
      <c r="AO142">
        <v>916.6</v>
      </c>
      <c r="AP142">
        <v>0</v>
      </c>
      <c r="AQ142">
        <v>74.7</v>
      </c>
      <c r="AR142">
        <v>0</v>
      </c>
      <c r="AS142">
        <v>0</v>
      </c>
      <c r="AT142">
        <v>109</v>
      </c>
      <c r="AU142">
        <v>61</v>
      </c>
      <c r="AV142">
        <v>1.0669999999999999</v>
      </c>
      <c r="AW142">
        <v>1</v>
      </c>
      <c r="AZ142">
        <v>1</v>
      </c>
      <c r="BA142">
        <v>54.99</v>
      </c>
      <c r="BB142">
        <v>14.33</v>
      </c>
      <c r="BC142">
        <v>20.59</v>
      </c>
      <c r="BD142" t="s">
        <v>3</v>
      </c>
      <c r="BE142" t="s">
        <v>3</v>
      </c>
      <c r="BF142" t="s">
        <v>3</v>
      </c>
      <c r="BG142" t="s">
        <v>3</v>
      </c>
      <c r="BH142">
        <v>0</v>
      </c>
      <c r="BI142">
        <v>1</v>
      </c>
      <c r="BJ142" t="s">
        <v>97</v>
      </c>
      <c r="BM142">
        <v>23</v>
      </c>
      <c r="BN142">
        <v>0</v>
      </c>
      <c r="BO142" t="s">
        <v>94</v>
      </c>
      <c r="BP142">
        <v>1</v>
      </c>
      <c r="BQ142">
        <v>30</v>
      </c>
      <c r="BR142">
        <v>0</v>
      </c>
      <c r="BS142">
        <v>54.99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109</v>
      </c>
      <c r="CA142">
        <v>61</v>
      </c>
      <c r="CB142" t="s">
        <v>3</v>
      </c>
      <c r="CE142">
        <v>1566</v>
      </c>
      <c r="CF142">
        <v>0</v>
      </c>
      <c r="CG142">
        <v>0</v>
      </c>
      <c r="CM142">
        <v>0</v>
      </c>
      <c r="CN142" t="s">
        <v>625</v>
      </c>
      <c r="CO142">
        <v>0</v>
      </c>
      <c r="CP142">
        <f t="shared" si="179"/>
        <v>21440.23</v>
      </c>
      <c r="CQ142">
        <f t="shared" si="180"/>
        <v>42804.55</v>
      </c>
      <c r="CR142">
        <f>(ROUND((ROUND(((((ET142*1.25)*1.1))*AV142*1),2)*BB142),2)+ROUND((ROUND(((AE142-(((EU142*1.25)*1.1)))*AV142*1),2)*BS142),2))</f>
        <v>2004.62</v>
      </c>
      <c r="CS142">
        <f>(ROUND((ROUND(((((EU142*1.25)*1.1))*AV142*1),2)*BS142),2)+ROUND((ROUND(((AE142-(((EU142*1.25)*1.1)))*AV142*1),2)*BS142),2))</f>
        <v>830.9</v>
      </c>
      <c r="CT142">
        <f t="shared" si="181"/>
        <v>68033.08</v>
      </c>
      <c r="CU142">
        <f t="shared" si="182"/>
        <v>0</v>
      </c>
      <c r="CV142">
        <f t="shared" si="183"/>
        <v>100.82669850000001</v>
      </c>
      <c r="CW142">
        <f t="shared" si="184"/>
        <v>0</v>
      </c>
      <c r="CX142">
        <f t="shared" si="185"/>
        <v>0</v>
      </c>
      <c r="CY142">
        <f>(ROUND((((S142+ROUND((ROUND(((((EU142*1.25)*1.1))*AV142*1),2)*BS142),2))*AT142)/100),2)+ROUND(((ROUND((ROUND(((AE142-(((EU142*1.25)*1.1)))*AV142*1),2)*BS142),2)*AT142)/100),2))</f>
        <v>14995.57</v>
      </c>
      <c r="CZ142">
        <f>(ROUND((((S142+ROUND((ROUND(((((EU142*1.25)*1.1))*AV142*1),2)*BS142),2))*AU142)/100),2)+ROUND(((ROUND((ROUND(((AE142-(((EU142*1.25)*1.1)))*AV142*1),2)*BS142),2)*AU142)/100),2))</f>
        <v>8392.01</v>
      </c>
      <c r="DB142">
        <v>35</v>
      </c>
      <c r="DC142" t="s">
        <v>3</v>
      </c>
      <c r="DD142" t="s">
        <v>3</v>
      </c>
      <c r="DE142" t="s">
        <v>98</v>
      </c>
      <c r="DF142" t="s">
        <v>98</v>
      </c>
      <c r="DG142" t="s">
        <v>99</v>
      </c>
      <c r="DH142" t="s">
        <v>3</v>
      </c>
      <c r="DI142" t="s">
        <v>99</v>
      </c>
      <c r="DJ142" t="s">
        <v>98</v>
      </c>
      <c r="DK142" t="s">
        <v>3</v>
      </c>
      <c r="DL142" t="s">
        <v>3</v>
      </c>
      <c r="DM142" t="s">
        <v>3</v>
      </c>
      <c r="DN142">
        <v>0</v>
      </c>
      <c r="DO142">
        <v>0</v>
      </c>
      <c r="DP142">
        <v>1</v>
      </c>
      <c r="DQ142">
        <v>1</v>
      </c>
      <c r="DU142">
        <v>1010</v>
      </c>
      <c r="DV142" t="s">
        <v>96</v>
      </c>
      <c r="DW142" t="s">
        <v>96</v>
      </c>
      <c r="DX142">
        <v>100</v>
      </c>
      <c r="DZ142" t="s">
        <v>3</v>
      </c>
      <c r="EA142" t="s">
        <v>3</v>
      </c>
      <c r="EB142" t="s">
        <v>3</v>
      </c>
      <c r="EC142" t="s">
        <v>3</v>
      </c>
      <c r="EE142">
        <v>60088254</v>
      </c>
      <c r="EF142">
        <v>30</v>
      </c>
      <c r="EG142" t="s">
        <v>100</v>
      </c>
      <c r="EH142">
        <v>0</v>
      </c>
      <c r="EI142" t="s">
        <v>3</v>
      </c>
      <c r="EJ142">
        <v>1</v>
      </c>
      <c r="EK142">
        <v>23</v>
      </c>
      <c r="EL142" t="s">
        <v>101</v>
      </c>
      <c r="EM142" t="s">
        <v>102</v>
      </c>
      <c r="EO142" t="s">
        <v>103</v>
      </c>
      <c r="EQ142">
        <v>0</v>
      </c>
      <c r="ER142">
        <v>3090.85</v>
      </c>
      <c r="ES142">
        <v>2078.9</v>
      </c>
      <c r="ET142">
        <v>95.35</v>
      </c>
      <c r="EU142">
        <v>10.3</v>
      </c>
      <c r="EV142">
        <v>916.6</v>
      </c>
      <c r="EW142">
        <v>74.7</v>
      </c>
      <c r="EX142">
        <v>0</v>
      </c>
      <c r="EY142">
        <v>0</v>
      </c>
      <c r="FQ142">
        <v>0</v>
      </c>
      <c r="FR142">
        <v>0</v>
      </c>
      <c r="FS142">
        <v>0</v>
      </c>
      <c r="FX142">
        <v>109</v>
      </c>
      <c r="FY142">
        <v>61</v>
      </c>
      <c r="GA142" t="s">
        <v>3</v>
      </c>
      <c r="GD142">
        <v>1</v>
      </c>
      <c r="GF142">
        <v>-961949121</v>
      </c>
      <c r="GG142">
        <v>2</v>
      </c>
      <c r="GH142">
        <v>1</v>
      </c>
      <c r="GI142">
        <v>2</v>
      </c>
      <c r="GJ142">
        <v>0</v>
      </c>
      <c r="GK142">
        <v>0</v>
      </c>
      <c r="GL142">
        <f t="shared" si="186"/>
        <v>0</v>
      </c>
      <c r="GM142">
        <f t="shared" si="187"/>
        <v>43683.58</v>
      </c>
      <c r="GN142">
        <f t="shared" si="188"/>
        <v>43683.58</v>
      </c>
      <c r="GO142">
        <f t="shared" si="189"/>
        <v>0</v>
      </c>
      <c r="GP142">
        <f t="shared" si="190"/>
        <v>0</v>
      </c>
      <c r="GR142">
        <v>0</v>
      </c>
      <c r="GS142">
        <v>3</v>
      </c>
      <c r="GT142">
        <v>0</v>
      </c>
      <c r="GU142" t="s">
        <v>3</v>
      </c>
      <c r="GV142">
        <f t="shared" si="191"/>
        <v>0</v>
      </c>
      <c r="GW142">
        <v>1</v>
      </c>
      <c r="GX142">
        <f t="shared" si="192"/>
        <v>0</v>
      </c>
      <c r="HA142">
        <v>0</v>
      </c>
      <c r="HB142">
        <v>0</v>
      </c>
      <c r="HC142">
        <f t="shared" si="193"/>
        <v>0</v>
      </c>
      <c r="HE142" t="s">
        <v>3</v>
      </c>
      <c r="HF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/>
      <c r="D143" s="2"/>
      <c r="E143" s="2" t="s">
        <v>235</v>
      </c>
      <c r="F143" s="2" t="s">
        <v>236</v>
      </c>
      <c r="G143" s="2" t="s">
        <v>237</v>
      </c>
      <c r="H143" s="2" t="s">
        <v>31</v>
      </c>
      <c r="I143" s="2">
        <v>2</v>
      </c>
      <c r="J143" s="2">
        <v>0</v>
      </c>
      <c r="K143" s="2">
        <v>2</v>
      </c>
      <c r="L143" s="2"/>
      <c r="M143" s="2"/>
      <c r="N143" s="2"/>
      <c r="O143" s="2">
        <f t="shared" si="168"/>
        <v>2738.62</v>
      </c>
      <c r="P143" s="2">
        <f t="shared" si="169"/>
        <v>2738.62</v>
      </c>
      <c r="Q143" s="2">
        <f>(ROUND((ROUND(((ET143)*AV143*I143),2)*BB143),2)+ROUND((ROUND(((AE143-(EU143))*AV143*I143),2)*BS143),2))</f>
        <v>0</v>
      </c>
      <c r="R143" s="2">
        <f>(ROUND((ROUND(((EU143)*AV143*I143),2)*BS143),2)+ROUND((ROUND(((AE143-(EU143))*AV143*I143),2)*BS143),2))</f>
        <v>0</v>
      </c>
      <c r="S143" s="2">
        <f t="shared" si="170"/>
        <v>0</v>
      </c>
      <c r="T143" s="2">
        <f t="shared" si="171"/>
        <v>0</v>
      </c>
      <c r="U143" s="2">
        <f t="shared" si="172"/>
        <v>0</v>
      </c>
      <c r="V143" s="2">
        <f t="shared" si="173"/>
        <v>0</v>
      </c>
      <c r="W143" s="2">
        <f t="shared" si="174"/>
        <v>0</v>
      </c>
      <c r="X143" s="2">
        <f>(ROUND((((S143+ROUND((ROUND(((EU143)*AV143*I143),2)*BS143),2))*AT143)/100),2)+ROUND(((ROUND((ROUND(((AE143-(EU143))*AV143*I143),2)*BS143),2)*AT143)/100),2))</f>
        <v>0</v>
      </c>
      <c r="Y143" s="2">
        <f>(ROUND((((S143+ROUND((ROUND(((EU143)*AV143*I143),2)*BS143),2))*AU143)/100),2)+ROUND(((ROUND((ROUND(((AE143-(EU143))*AV143*I143),2)*BS143),2)*AU143)/100),2))</f>
        <v>0</v>
      </c>
      <c r="Z143" s="2"/>
      <c r="AA143" s="2">
        <v>60255014</v>
      </c>
      <c r="AB143" s="2">
        <f t="shared" si="175"/>
        <v>1369.31</v>
      </c>
      <c r="AC143" s="2">
        <f t="shared" si="176"/>
        <v>1369.31</v>
      </c>
      <c r="AD143" s="2">
        <f>ROUND((((ET143)-(EU143))+AE143),6)</f>
        <v>0</v>
      </c>
      <c r="AE143" s="2">
        <f t="shared" ref="AE143:AF146" si="196">ROUND((EU143),6)</f>
        <v>0</v>
      </c>
      <c r="AF143" s="2">
        <f t="shared" si="196"/>
        <v>0</v>
      </c>
      <c r="AG143" s="2">
        <f t="shared" si="177"/>
        <v>0</v>
      </c>
      <c r="AH143" s="2">
        <f t="shared" ref="AH143:AI146" si="197">(EW143)</f>
        <v>0</v>
      </c>
      <c r="AI143" s="2">
        <f t="shared" si="197"/>
        <v>0</v>
      </c>
      <c r="AJ143" s="2">
        <f t="shared" si="178"/>
        <v>0</v>
      </c>
      <c r="AK143" s="2">
        <v>1369.31</v>
      </c>
      <c r="AL143" s="2">
        <v>1369.31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1</v>
      </c>
      <c r="BJ143" s="2" t="s">
        <v>238</v>
      </c>
      <c r="BK143" s="2"/>
      <c r="BL143" s="2"/>
      <c r="BM143" s="2">
        <v>1617</v>
      </c>
      <c r="BN143" s="2">
        <v>58973374</v>
      </c>
      <c r="BO143" s="2" t="s">
        <v>3</v>
      </c>
      <c r="BP143" s="2">
        <v>0</v>
      </c>
      <c r="BQ143" s="2">
        <v>200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0</v>
      </c>
      <c r="CA143" s="2">
        <v>0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79"/>
        <v>2738.62</v>
      </c>
      <c r="CQ143" s="2">
        <f t="shared" si="180"/>
        <v>1369.31</v>
      </c>
      <c r="CR143" s="2">
        <f>(ROUND((ROUND(((ET143)*AV143*1),2)*BB143),2)+ROUND((ROUND(((AE143-(EU143))*AV143*1),2)*BS143),2))</f>
        <v>0</v>
      </c>
      <c r="CS143" s="2">
        <f>(ROUND((ROUND(((EU143)*AV143*1),2)*BS143),2)+ROUND((ROUND(((AE143-(EU143))*AV143*1),2)*BS143),2))</f>
        <v>0</v>
      </c>
      <c r="CT143" s="2">
        <f t="shared" si="181"/>
        <v>0</v>
      </c>
      <c r="CU143" s="2">
        <f t="shared" si="182"/>
        <v>0</v>
      </c>
      <c r="CV143" s="2">
        <f t="shared" si="183"/>
        <v>0</v>
      </c>
      <c r="CW143" s="2">
        <f t="shared" si="184"/>
        <v>0</v>
      </c>
      <c r="CX143" s="2">
        <f t="shared" si="185"/>
        <v>0</v>
      </c>
      <c r="CY143" s="2">
        <f>(ROUND((((S143+ROUND((ROUND(((EU143)*AV143*1),2)*BS143),2))*AT143)/100),2)+ROUND(((ROUND((ROUND(((AE143-(EU143))*AV143*1),2)*BS143),2)*AT143)/100),2))</f>
        <v>0</v>
      </c>
      <c r="CZ143" s="2">
        <f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1010</v>
      </c>
      <c r="DV143" s="2" t="s">
        <v>31</v>
      </c>
      <c r="DW143" s="2" t="s">
        <v>31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60088328</v>
      </c>
      <c r="EF143" s="2">
        <v>200</v>
      </c>
      <c r="EG143" s="2" t="s">
        <v>210</v>
      </c>
      <c r="EH143" s="2">
        <v>0</v>
      </c>
      <c r="EI143" s="2" t="s">
        <v>3</v>
      </c>
      <c r="EJ143" s="2">
        <v>1</v>
      </c>
      <c r="EK143" s="2">
        <v>1617</v>
      </c>
      <c r="EL143" s="2" t="s">
        <v>211</v>
      </c>
      <c r="EM143" s="2" t="s">
        <v>212</v>
      </c>
      <c r="EN143" s="2"/>
      <c r="EO143" s="2" t="s">
        <v>3</v>
      </c>
      <c r="EP143" s="2"/>
      <c r="EQ143" s="2">
        <v>0</v>
      </c>
      <c r="ER143" s="2">
        <v>1369.31</v>
      </c>
      <c r="ES143" s="2">
        <v>1369.31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0</v>
      </c>
      <c r="FY143" s="2">
        <v>0</v>
      </c>
      <c r="FZ143" s="2"/>
      <c r="GA143" s="2" t="s">
        <v>3</v>
      </c>
      <c r="GB143" s="2"/>
      <c r="GC143" s="2"/>
      <c r="GD143" s="2">
        <v>1</v>
      </c>
      <c r="GE143" s="2"/>
      <c r="GF143" s="2">
        <v>53777769</v>
      </c>
      <c r="GG143" s="2">
        <v>2</v>
      </c>
      <c r="GH143" s="2">
        <v>1</v>
      </c>
      <c r="GI143" s="2">
        <v>-2</v>
      </c>
      <c r="GJ143" s="2">
        <v>0</v>
      </c>
      <c r="GK143" s="2">
        <v>0</v>
      </c>
      <c r="GL143" s="2">
        <f t="shared" si="186"/>
        <v>0</v>
      </c>
      <c r="GM143" s="2">
        <f t="shared" si="187"/>
        <v>2738.62</v>
      </c>
      <c r="GN143" s="2">
        <f t="shared" si="188"/>
        <v>2738.62</v>
      </c>
      <c r="GO143" s="2">
        <f t="shared" si="189"/>
        <v>0</v>
      </c>
      <c r="GP143" s="2">
        <f t="shared" si="190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91"/>
        <v>0</v>
      </c>
      <c r="GW143" s="2">
        <v>1</v>
      </c>
      <c r="GX143" s="2">
        <f t="shared" si="192"/>
        <v>0</v>
      </c>
      <c r="GY143" s="2"/>
      <c r="GZ143" s="2"/>
      <c r="HA143" s="2">
        <v>0</v>
      </c>
      <c r="HB143" s="2">
        <v>0</v>
      </c>
      <c r="HC143" s="2">
        <f t="shared" si="193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E144" t="s">
        <v>235</v>
      </c>
      <c r="F144" t="s">
        <v>236</v>
      </c>
      <c r="G144" t="s">
        <v>237</v>
      </c>
      <c r="H144" t="s">
        <v>31</v>
      </c>
      <c r="I144">
        <v>2</v>
      </c>
      <c r="J144">
        <v>0</v>
      </c>
      <c r="K144">
        <v>2</v>
      </c>
      <c r="O144">
        <f t="shared" si="168"/>
        <v>9475.6299999999992</v>
      </c>
      <c r="P144">
        <f t="shared" si="169"/>
        <v>9475.6299999999992</v>
      </c>
      <c r="Q144">
        <f>(ROUND((ROUND(((ET144)*AV144*I144),2)*BB144),2)+ROUND((ROUND(((AE144-(EU144))*AV144*I144),2)*BS144),2))</f>
        <v>0</v>
      </c>
      <c r="R144">
        <f>(ROUND((ROUND(((EU144)*AV144*I144),2)*BS144),2)+ROUND((ROUND(((AE144-(EU144))*AV144*I144),2)*BS144),2))</f>
        <v>0</v>
      </c>
      <c r="S144">
        <f t="shared" si="170"/>
        <v>0</v>
      </c>
      <c r="T144">
        <f t="shared" si="171"/>
        <v>0</v>
      </c>
      <c r="U144">
        <f t="shared" si="172"/>
        <v>0</v>
      </c>
      <c r="V144">
        <f t="shared" si="173"/>
        <v>0</v>
      </c>
      <c r="W144">
        <f t="shared" si="174"/>
        <v>0</v>
      </c>
      <c r="X144">
        <f>(ROUND((((S144+ROUND((ROUND(((EU144)*AV144*I144),2)*BS144),2))*AT144)/100),2)+ROUND(((ROUND((ROUND(((AE144-(EU144))*AV144*I144),2)*BS144),2)*AT144)/100),2))</f>
        <v>0</v>
      </c>
      <c r="Y144">
        <f>(ROUND((((S144+ROUND((ROUND(((EU144)*AV144*I144),2)*BS144),2))*AU144)/100),2)+ROUND(((ROUND((ROUND(((AE144-(EU144))*AV144*I144),2)*BS144),2)*AU144)/100),2))</f>
        <v>0</v>
      </c>
      <c r="AA144">
        <v>60255011</v>
      </c>
      <c r="AB144">
        <f t="shared" si="175"/>
        <v>1369.31</v>
      </c>
      <c r="AC144">
        <f t="shared" si="176"/>
        <v>1369.31</v>
      </c>
      <c r="AD144">
        <f>ROUND((((ET144)-(EU144))+AE144),6)</f>
        <v>0</v>
      </c>
      <c r="AE144">
        <f t="shared" si="196"/>
        <v>0</v>
      </c>
      <c r="AF144">
        <f t="shared" si="196"/>
        <v>0</v>
      </c>
      <c r="AG144">
        <f t="shared" si="177"/>
        <v>0</v>
      </c>
      <c r="AH144">
        <f t="shared" si="197"/>
        <v>0</v>
      </c>
      <c r="AI144">
        <f t="shared" si="197"/>
        <v>0</v>
      </c>
      <c r="AJ144">
        <f t="shared" si="178"/>
        <v>0</v>
      </c>
      <c r="AK144">
        <v>1369.31</v>
      </c>
      <c r="AL144">
        <v>1369.31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1</v>
      </c>
      <c r="AZ144">
        <v>1</v>
      </c>
      <c r="BA144">
        <v>1</v>
      </c>
      <c r="BB144">
        <v>1</v>
      </c>
      <c r="BC144">
        <v>3.46</v>
      </c>
      <c r="BD144" t="s">
        <v>3</v>
      </c>
      <c r="BE144" t="s">
        <v>3</v>
      </c>
      <c r="BF144" t="s">
        <v>3</v>
      </c>
      <c r="BG144" t="s">
        <v>3</v>
      </c>
      <c r="BH144">
        <v>3</v>
      </c>
      <c r="BI144">
        <v>1</v>
      </c>
      <c r="BJ144" t="s">
        <v>238</v>
      </c>
      <c r="BM144">
        <v>1617</v>
      </c>
      <c r="BN144">
        <v>58973374</v>
      </c>
      <c r="BO144" t="s">
        <v>236</v>
      </c>
      <c r="BP144">
        <v>1</v>
      </c>
      <c r="BQ144">
        <v>200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0</v>
      </c>
      <c r="CA144">
        <v>0</v>
      </c>
      <c r="CB144" t="s">
        <v>3</v>
      </c>
      <c r="CE144">
        <v>1566</v>
      </c>
      <c r="CF144">
        <v>0</v>
      </c>
      <c r="CG144">
        <v>0</v>
      </c>
      <c r="CM144">
        <v>0</v>
      </c>
      <c r="CN144" t="s">
        <v>3</v>
      </c>
      <c r="CO144">
        <v>0</v>
      </c>
      <c r="CP144">
        <f t="shared" si="179"/>
        <v>9475.6299999999992</v>
      </c>
      <c r="CQ144">
        <f t="shared" si="180"/>
        <v>4737.8100000000004</v>
      </c>
      <c r="CR144">
        <f>(ROUND((ROUND(((ET144)*AV144*1),2)*BB144),2)+ROUND((ROUND(((AE144-(EU144))*AV144*1),2)*BS144),2))</f>
        <v>0</v>
      </c>
      <c r="CS144">
        <f>(ROUND((ROUND(((EU144)*AV144*1),2)*BS144),2)+ROUND((ROUND(((AE144-(EU144))*AV144*1),2)*BS144),2))</f>
        <v>0</v>
      </c>
      <c r="CT144">
        <f t="shared" si="181"/>
        <v>0</v>
      </c>
      <c r="CU144">
        <f t="shared" si="182"/>
        <v>0</v>
      </c>
      <c r="CV144">
        <f t="shared" si="183"/>
        <v>0</v>
      </c>
      <c r="CW144">
        <f t="shared" si="184"/>
        <v>0</v>
      </c>
      <c r="CX144">
        <f t="shared" si="185"/>
        <v>0</v>
      </c>
      <c r="CY144">
        <f>(ROUND((((S144+ROUND((ROUND(((EU144)*AV144*1),2)*BS144),2))*AT144)/100),2)+ROUND(((ROUND((ROUND(((AE144-(EU144))*AV144*1),2)*BS144),2)*AT144)/100),2))</f>
        <v>0</v>
      </c>
      <c r="CZ144">
        <f>(ROUND((((S144+ROUND((ROUND(((EU144)*AV144*1),2)*BS144),2))*AU144)/100),2)+ROUND(((ROUND((ROUND(((AE144-(EU144))*AV144*1),2)*BS144),2)*AU144)/100),2))</f>
        <v>0</v>
      </c>
      <c r="DC144" t="s">
        <v>3</v>
      </c>
      <c r="DD144" t="s">
        <v>3</v>
      </c>
      <c r="DE144" t="s">
        <v>3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N144">
        <v>0</v>
      </c>
      <c r="DO144">
        <v>0</v>
      </c>
      <c r="DP144">
        <v>1</v>
      </c>
      <c r="DQ144">
        <v>1</v>
      </c>
      <c r="DU144">
        <v>1010</v>
      </c>
      <c r="DV144" t="s">
        <v>31</v>
      </c>
      <c r="DW144" t="s">
        <v>31</v>
      </c>
      <c r="DX144">
        <v>1</v>
      </c>
      <c r="DZ144" t="s">
        <v>3</v>
      </c>
      <c r="EA144" t="s">
        <v>3</v>
      </c>
      <c r="EB144" t="s">
        <v>3</v>
      </c>
      <c r="EC144" t="s">
        <v>3</v>
      </c>
      <c r="EE144">
        <v>60088328</v>
      </c>
      <c r="EF144">
        <v>200</v>
      </c>
      <c r="EG144" t="s">
        <v>210</v>
      </c>
      <c r="EH144">
        <v>0</v>
      </c>
      <c r="EI144" t="s">
        <v>3</v>
      </c>
      <c r="EJ144">
        <v>1</v>
      </c>
      <c r="EK144">
        <v>1617</v>
      </c>
      <c r="EL144" t="s">
        <v>211</v>
      </c>
      <c r="EM144" t="s">
        <v>212</v>
      </c>
      <c r="EO144" t="s">
        <v>3</v>
      </c>
      <c r="EQ144">
        <v>0</v>
      </c>
      <c r="ER144">
        <v>1369.31</v>
      </c>
      <c r="ES144">
        <v>1369.31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FQ144">
        <v>0</v>
      </c>
      <c r="FR144">
        <v>0</v>
      </c>
      <c r="FS144">
        <v>0</v>
      </c>
      <c r="FX144">
        <v>0</v>
      </c>
      <c r="FY144">
        <v>0</v>
      </c>
      <c r="GA144" t="s">
        <v>3</v>
      </c>
      <c r="GD144">
        <v>1</v>
      </c>
      <c r="GF144">
        <v>53777769</v>
      </c>
      <c r="GG144">
        <v>2</v>
      </c>
      <c r="GH144">
        <v>1</v>
      </c>
      <c r="GI144">
        <v>2</v>
      </c>
      <c r="GJ144">
        <v>0</v>
      </c>
      <c r="GK144">
        <v>0</v>
      </c>
      <c r="GL144">
        <f t="shared" si="186"/>
        <v>0</v>
      </c>
      <c r="GM144">
        <f t="shared" si="187"/>
        <v>9475.6299999999992</v>
      </c>
      <c r="GN144">
        <f t="shared" si="188"/>
        <v>9475.6299999999992</v>
      </c>
      <c r="GO144">
        <f t="shared" si="189"/>
        <v>0</v>
      </c>
      <c r="GP144">
        <f t="shared" si="190"/>
        <v>0</v>
      </c>
      <c r="GR144">
        <v>0</v>
      </c>
      <c r="GS144">
        <v>3</v>
      </c>
      <c r="GT144">
        <v>0</v>
      </c>
      <c r="GU144" t="s">
        <v>3</v>
      </c>
      <c r="GV144">
        <f t="shared" si="191"/>
        <v>0</v>
      </c>
      <c r="GW144">
        <v>1</v>
      </c>
      <c r="GX144">
        <f t="shared" si="192"/>
        <v>0</v>
      </c>
      <c r="HA144">
        <v>0</v>
      </c>
      <c r="HB144">
        <v>0</v>
      </c>
      <c r="HC144">
        <f t="shared" si="193"/>
        <v>0</v>
      </c>
      <c r="HE144" t="s">
        <v>3</v>
      </c>
      <c r="HF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17</v>
      </c>
      <c r="B145" s="2">
        <v>1</v>
      </c>
      <c r="C145" s="2"/>
      <c r="D145" s="2"/>
      <c r="E145" s="2" t="s">
        <v>239</v>
      </c>
      <c r="F145" s="2" t="s">
        <v>240</v>
      </c>
      <c r="G145" s="2" t="s">
        <v>241</v>
      </c>
      <c r="H145" s="2" t="s">
        <v>31</v>
      </c>
      <c r="I145" s="2">
        <v>17</v>
      </c>
      <c r="J145" s="2">
        <v>0</v>
      </c>
      <c r="K145" s="2">
        <v>17</v>
      </c>
      <c r="L145" s="2"/>
      <c r="M145" s="2"/>
      <c r="N145" s="2"/>
      <c r="O145" s="2">
        <f t="shared" si="168"/>
        <v>39151.17</v>
      </c>
      <c r="P145" s="2">
        <f t="shared" si="169"/>
        <v>39151.17</v>
      </c>
      <c r="Q145" s="2">
        <f>(ROUND((ROUND(((ET145)*AV145*I145),2)*BB145),2)+ROUND((ROUND(((AE145-(EU145))*AV145*I145),2)*BS145),2))</f>
        <v>0</v>
      </c>
      <c r="R145" s="2">
        <f>(ROUND((ROUND(((EU145)*AV145*I145),2)*BS145),2)+ROUND((ROUND(((AE145-(EU145))*AV145*I145),2)*BS145),2))</f>
        <v>0</v>
      </c>
      <c r="S145" s="2">
        <f t="shared" si="170"/>
        <v>0</v>
      </c>
      <c r="T145" s="2">
        <f t="shared" si="171"/>
        <v>0</v>
      </c>
      <c r="U145" s="2">
        <f t="shared" si="172"/>
        <v>0</v>
      </c>
      <c r="V145" s="2">
        <f t="shared" si="173"/>
        <v>0</v>
      </c>
      <c r="W145" s="2">
        <f t="shared" si="174"/>
        <v>0</v>
      </c>
      <c r="X145" s="2">
        <f>(ROUND((((S145+ROUND((ROUND(((EU145)*AV145*I145),2)*BS145),2))*AT145)/100),2)+ROUND(((ROUND((ROUND(((AE145-(EU145))*AV145*I145),2)*BS145),2)*AT145)/100),2))</f>
        <v>0</v>
      </c>
      <c r="Y145" s="2">
        <f>(ROUND((((S145+ROUND((ROUND(((EU145)*AV145*I145),2)*BS145),2))*AU145)/100),2)+ROUND(((ROUND((ROUND(((AE145-(EU145))*AV145*I145),2)*BS145),2)*AU145)/100),2))</f>
        <v>0</v>
      </c>
      <c r="Z145" s="2"/>
      <c r="AA145" s="2">
        <v>60255014</v>
      </c>
      <c r="AB145" s="2">
        <f t="shared" si="175"/>
        <v>2303.0100000000002</v>
      </c>
      <c r="AC145" s="2">
        <f t="shared" si="176"/>
        <v>2303.0100000000002</v>
      </c>
      <c r="AD145" s="2">
        <f>ROUND((((ET145)-(EU145))+AE145),6)</f>
        <v>0</v>
      </c>
      <c r="AE145" s="2">
        <f t="shared" si="196"/>
        <v>0</v>
      </c>
      <c r="AF145" s="2">
        <f t="shared" si="196"/>
        <v>0</v>
      </c>
      <c r="AG145" s="2">
        <f t="shared" si="177"/>
        <v>0</v>
      </c>
      <c r="AH145" s="2">
        <f t="shared" si="197"/>
        <v>0</v>
      </c>
      <c r="AI145" s="2">
        <f t="shared" si="197"/>
        <v>0</v>
      </c>
      <c r="AJ145" s="2">
        <f t="shared" si="178"/>
        <v>0</v>
      </c>
      <c r="AK145" s="2">
        <v>2303.0100000000002</v>
      </c>
      <c r="AL145" s="2">
        <v>2303.0100000000002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1</v>
      </c>
      <c r="BJ145" s="2" t="s">
        <v>242</v>
      </c>
      <c r="BK145" s="2"/>
      <c r="BL145" s="2"/>
      <c r="BM145" s="2">
        <v>1617</v>
      </c>
      <c r="BN145" s="2">
        <v>58973374</v>
      </c>
      <c r="BO145" s="2" t="s">
        <v>3</v>
      </c>
      <c r="BP145" s="2">
        <v>0</v>
      </c>
      <c r="BQ145" s="2">
        <v>200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79"/>
        <v>39151.17</v>
      </c>
      <c r="CQ145" s="2">
        <f t="shared" si="180"/>
        <v>2303.0100000000002</v>
      </c>
      <c r="CR145" s="2">
        <f>(ROUND((ROUND(((ET145)*AV145*1),2)*BB145),2)+ROUND((ROUND(((AE145-(EU145))*AV145*1),2)*BS145),2))</f>
        <v>0</v>
      </c>
      <c r="CS145" s="2">
        <f>(ROUND((ROUND(((EU145)*AV145*1),2)*BS145),2)+ROUND((ROUND(((AE145-(EU145))*AV145*1),2)*BS145),2))</f>
        <v>0</v>
      </c>
      <c r="CT145" s="2">
        <f t="shared" si="181"/>
        <v>0</v>
      </c>
      <c r="CU145" s="2">
        <f t="shared" si="182"/>
        <v>0</v>
      </c>
      <c r="CV145" s="2">
        <f t="shared" si="183"/>
        <v>0</v>
      </c>
      <c r="CW145" s="2">
        <f t="shared" si="184"/>
        <v>0</v>
      </c>
      <c r="CX145" s="2">
        <f t="shared" si="185"/>
        <v>0</v>
      </c>
      <c r="CY145" s="2">
        <f>(ROUND((((S145+ROUND((ROUND(((EU145)*AV145*1),2)*BS145),2))*AT145)/100),2)+ROUND(((ROUND((ROUND(((AE145-(EU145))*AV145*1),2)*BS145),2)*AT145)/100),2))</f>
        <v>0</v>
      </c>
      <c r="CZ145" s="2">
        <f>(ROUND((((S145+ROUND((ROUND(((EU145)*AV145*1),2)*BS145),2))*AU145)/100),2)+ROUND(((ROUND((ROUND(((AE145-(EU145))*AV145*1),2)*BS145),2)*AU145)/100),2))</f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31</v>
      </c>
      <c r="DW145" s="2" t="s">
        <v>31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60088328</v>
      </c>
      <c r="EF145" s="2">
        <v>200</v>
      </c>
      <c r="EG145" s="2" t="s">
        <v>210</v>
      </c>
      <c r="EH145" s="2">
        <v>0</v>
      </c>
      <c r="EI145" s="2" t="s">
        <v>3</v>
      </c>
      <c r="EJ145" s="2">
        <v>1</v>
      </c>
      <c r="EK145" s="2">
        <v>1617</v>
      </c>
      <c r="EL145" s="2" t="s">
        <v>211</v>
      </c>
      <c r="EM145" s="2" t="s">
        <v>212</v>
      </c>
      <c r="EN145" s="2"/>
      <c r="EO145" s="2" t="s">
        <v>3</v>
      </c>
      <c r="EP145" s="2"/>
      <c r="EQ145" s="2">
        <v>0</v>
      </c>
      <c r="ER145" s="2">
        <v>2303.0100000000002</v>
      </c>
      <c r="ES145" s="2">
        <v>2303.0100000000002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3</v>
      </c>
      <c r="GB145" s="2"/>
      <c r="GC145" s="2"/>
      <c r="GD145" s="2">
        <v>1</v>
      </c>
      <c r="GE145" s="2"/>
      <c r="GF145" s="2">
        <v>-229015429</v>
      </c>
      <c r="GG145" s="2">
        <v>2</v>
      </c>
      <c r="GH145" s="2">
        <v>1</v>
      </c>
      <c r="GI145" s="2">
        <v>-2</v>
      </c>
      <c r="GJ145" s="2">
        <v>0</v>
      </c>
      <c r="GK145" s="2">
        <v>0</v>
      </c>
      <c r="GL145" s="2">
        <f t="shared" si="186"/>
        <v>0</v>
      </c>
      <c r="GM145" s="2">
        <f t="shared" si="187"/>
        <v>39151.17</v>
      </c>
      <c r="GN145" s="2">
        <f t="shared" si="188"/>
        <v>39151.17</v>
      </c>
      <c r="GO145" s="2">
        <f t="shared" si="189"/>
        <v>0</v>
      </c>
      <c r="GP145" s="2">
        <f t="shared" si="190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91"/>
        <v>0</v>
      </c>
      <c r="GW145" s="2">
        <v>1</v>
      </c>
      <c r="GX145" s="2">
        <f t="shared" si="192"/>
        <v>0</v>
      </c>
      <c r="GY145" s="2"/>
      <c r="GZ145" s="2"/>
      <c r="HA145" s="2">
        <v>0</v>
      </c>
      <c r="HB145" s="2">
        <v>0</v>
      </c>
      <c r="HC145" s="2">
        <f t="shared" si="193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17</v>
      </c>
      <c r="B146">
        <v>1</v>
      </c>
      <c r="E146" t="s">
        <v>239</v>
      </c>
      <c r="F146" t="s">
        <v>240</v>
      </c>
      <c r="G146" t="s">
        <v>241</v>
      </c>
      <c r="H146" t="s">
        <v>31</v>
      </c>
      <c r="I146">
        <v>17</v>
      </c>
      <c r="J146">
        <v>0</v>
      </c>
      <c r="K146">
        <v>17</v>
      </c>
      <c r="O146">
        <f t="shared" si="168"/>
        <v>140552.70000000001</v>
      </c>
      <c r="P146">
        <f t="shared" si="169"/>
        <v>140552.70000000001</v>
      </c>
      <c r="Q146">
        <f>(ROUND((ROUND(((ET146)*AV146*I146),2)*BB146),2)+ROUND((ROUND(((AE146-(EU146))*AV146*I146),2)*BS146),2))</f>
        <v>0</v>
      </c>
      <c r="R146">
        <f>(ROUND((ROUND(((EU146)*AV146*I146),2)*BS146),2)+ROUND((ROUND(((AE146-(EU146))*AV146*I146),2)*BS146),2))</f>
        <v>0</v>
      </c>
      <c r="S146">
        <f t="shared" si="170"/>
        <v>0</v>
      </c>
      <c r="T146">
        <f t="shared" si="171"/>
        <v>0</v>
      </c>
      <c r="U146">
        <f t="shared" si="172"/>
        <v>0</v>
      </c>
      <c r="V146">
        <f t="shared" si="173"/>
        <v>0</v>
      </c>
      <c r="W146">
        <f t="shared" si="174"/>
        <v>0</v>
      </c>
      <c r="X146">
        <f>(ROUND((((S146+ROUND((ROUND(((EU146)*AV146*I146),2)*BS146),2))*AT146)/100),2)+ROUND(((ROUND((ROUND(((AE146-(EU146))*AV146*I146),2)*BS146),2)*AT146)/100),2))</f>
        <v>0</v>
      </c>
      <c r="Y146">
        <f>(ROUND((((S146+ROUND((ROUND(((EU146)*AV146*I146),2)*BS146),2))*AU146)/100),2)+ROUND(((ROUND((ROUND(((AE146-(EU146))*AV146*I146),2)*BS146),2)*AU146)/100),2))</f>
        <v>0</v>
      </c>
      <c r="AA146">
        <v>60255011</v>
      </c>
      <c r="AB146">
        <f t="shared" si="175"/>
        <v>2303.0100000000002</v>
      </c>
      <c r="AC146">
        <f t="shared" si="176"/>
        <v>2303.0100000000002</v>
      </c>
      <c r="AD146">
        <f>ROUND((((ET146)-(EU146))+AE146),6)</f>
        <v>0</v>
      </c>
      <c r="AE146">
        <f t="shared" si="196"/>
        <v>0</v>
      </c>
      <c r="AF146">
        <f t="shared" si="196"/>
        <v>0</v>
      </c>
      <c r="AG146">
        <f t="shared" si="177"/>
        <v>0</v>
      </c>
      <c r="AH146">
        <f t="shared" si="197"/>
        <v>0</v>
      </c>
      <c r="AI146">
        <f t="shared" si="197"/>
        <v>0</v>
      </c>
      <c r="AJ146">
        <f t="shared" si="178"/>
        <v>0</v>
      </c>
      <c r="AK146">
        <v>2303.0100000000002</v>
      </c>
      <c r="AL146">
        <v>2303.0100000000002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Z146">
        <v>1</v>
      </c>
      <c r="BA146">
        <v>1</v>
      </c>
      <c r="BB146">
        <v>1</v>
      </c>
      <c r="BC146">
        <v>3.59</v>
      </c>
      <c r="BD146" t="s">
        <v>3</v>
      </c>
      <c r="BE146" t="s">
        <v>3</v>
      </c>
      <c r="BF146" t="s">
        <v>3</v>
      </c>
      <c r="BG146" t="s">
        <v>3</v>
      </c>
      <c r="BH146">
        <v>3</v>
      </c>
      <c r="BI146">
        <v>1</v>
      </c>
      <c r="BJ146" t="s">
        <v>242</v>
      </c>
      <c r="BM146">
        <v>1617</v>
      </c>
      <c r="BN146">
        <v>58973374</v>
      </c>
      <c r="BO146" t="s">
        <v>240</v>
      </c>
      <c r="BP146">
        <v>1</v>
      </c>
      <c r="BQ146">
        <v>200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0</v>
      </c>
      <c r="CA146">
        <v>0</v>
      </c>
      <c r="CB146" t="s">
        <v>3</v>
      </c>
      <c r="CE146">
        <v>1566</v>
      </c>
      <c r="CF146">
        <v>0</v>
      </c>
      <c r="CG146">
        <v>0</v>
      </c>
      <c r="CM146">
        <v>0</v>
      </c>
      <c r="CN146" t="s">
        <v>3</v>
      </c>
      <c r="CO146">
        <v>0</v>
      </c>
      <c r="CP146">
        <f t="shared" si="179"/>
        <v>140552.70000000001</v>
      </c>
      <c r="CQ146">
        <f t="shared" si="180"/>
        <v>8267.81</v>
      </c>
      <c r="CR146">
        <f>(ROUND((ROUND(((ET146)*AV146*1),2)*BB146),2)+ROUND((ROUND(((AE146-(EU146))*AV146*1),2)*BS146),2))</f>
        <v>0</v>
      </c>
      <c r="CS146">
        <f>(ROUND((ROUND(((EU146)*AV146*1),2)*BS146),2)+ROUND((ROUND(((AE146-(EU146))*AV146*1),2)*BS146),2))</f>
        <v>0</v>
      </c>
      <c r="CT146">
        <f t="shared" si="181"/>
        <v>0</v>
      </c>
      <c r="CU146">
        <f t="shared" si="182"/>
        <v>0</v>
      </c>
      <c r="CV146">
        <f t="shared" si="183"/>
        <v>0</v>
      </c>
      <c r="CW146">
        <f t="shared" si="184"/>
        <v>0</v>
      </c>
      <c r="CX146">
        <f t="shared" si="185"/>
        <v>0</v>
      </c>
      <c r="CY146">
        <f>(ROUND((((S146+ROUND((ROUND(((EU146)*AV146*1),2)*BS146),2))*AT146)/100),2)+ROUND(((ROUND((ROUND(((AE146-(EU146))*AV146*1),2)*BS146),2)*AT146)/100),2))</f>
        <v>0</v>
      </c>
      <c r="CZ146">
        <f>(ROUND((((S146+ROUND((ROUND(((EU146)*AV146*1),2)*BS146),2))*AU146)/100),2)+ROUND(((ROUND((ROUND(((AE146-(EU146))*AV146*1),2)*BS146),2)*AU146)/100),2))</f>
        <v>0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>
        <v>0</v>
      </c>
      <c r="DO146">
        <v>0</v>
      </c>
      <c r="DP146">
        <v>1</v>
      </c>
      <c r="DQ146">
        <v>1</v>
      </c>
      <c r="DU146">
        <v>1010</v>
      </c>
      <c r="DV146" t="s">
        <v>31</v>
      </c>
      <c r="DW146" t="s">
        <v>31</v>
      </c>
      <c r="DX146">
        <v>1</v>
      </c>
      <c r="DZ146" t="s">
        <v>3</v>
      </c>
      <c r="EA146" t="s">
        <v>3</v>
      </c>
      <c r="EB146" t="s">
        <v>3</v>
      </c>
      <c r="EC146" t="s">
        <v>3</v>
      </c>
      <c r="EE146">
        <v>60088328</v>
      </c>
      <c r="EF146">
        <v>200</v>
      </c>
      <c r="EG146" t="s">
        <v>210</v>
      </c>
      <c r="EH146">
        <v>0</v>
      </c>
      <c r="EI146" t="s">
        <v>3</v>
      </c>
      <c r="EJ146">
        <v>1</v>
      </c>
      <c r="EK146">
        <v>1617</v>
      </c>
      <c r="EL146" t="s">
        <v>211</v>
      </c>
      <c r="EM146" t="s">
        <v>212</v>
      </c>
      <c r="EO146" t="s">
        <v>3</v>
      </c>
      <c r="EQ146">
        <v>0</v>
      </c>
      <c r="ER146">
        <v>2303.0100000000002</v>
      </c>
      <c r="ES146">
        <v>2303.0100000000002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FQ146">
        <v>0</v>
      </c>
      <c r="FR146">
        <v>0</v>
      </c>
      <c r="FS146">
        <v>0</v>
      </c>
      <c r="FX146">
        <v>0</v>
      </c>
      <c r="FY146">
        <v>0</v>
      </c>
      <c r="GA146" t="s">
        <v>3</v>
      </c>
      <c r="GD146">
        <v>1</v>
      </c>
      <c r="GF146">
        <v>-229015429</v>
      </c>
      <c r="GG146">
        <v>2</v>
      </c>
      <c r="GH146">
        <v>1</v>
      </c>
      <c r="GI146">
        <v>2</v>
      </c>
      <c r="GJ146">
        <v>0</v>
      </c>
      <c r="GK146">
        <v>0</v>
      </c>
      <c r="GL146">
        <f t="shared" si="186"/>
        <v>0</v>
      </c>
      <c r="GM146">
        <f t="shared" si="187"/>
        <v>140552.70000000001</v>
      </c>
      <c r="GN146">
        <f t="shared" si="188"/>
        <v>140552.70000000001</v>
      </c>
      <c r="GO146">
        <f t="shared" si="189"/>
        <v>0</v>
      </c>
      <c r="GP146">
        <f t="shared" si="190"/>
        <v>0</v>
      </c>
      <c r="GR146">
        <v>0</v>
      </c>
      <c r="GS146">
        <v>3</v>
      </c>
      <c r="GT146">
        <v>0</v>
      </c>
      <c r="GU146" t="s">
        <v>3</v>
      </c>
      <c r="GV146">
        <f t="shared" si="191"/>
        <v>0</v>
      </c>
      <c r="GW146">
        <v>1</v>
      </c>
      <c r="GX146">
        <f t="shared" si="192"/>
        <v>0</v>
      </c>
      <c r="HA146">
        <v>0</v>
      </c>
      <c r="HB146">
        <v>0</v>
      </c>
      <c r="HC146">
        <f t="shared" si="193"/>
        <v>0</v>
      </c>
      <c r="HE146" t="s">
        <v>3</v>
      </c>
      <c r="HF146" t="s">
        <v>3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7" spans="1:255" x14ac:dyDescent="0.2">
      <c r="A147" s="2">
        <v>17</v>
      </c>
      <c r="B147" s="2">
        <v>1</v>
      </c>
      <c r="C147" s="2">
        <f>ROW(SmtRes!A198)</f>
        <v>198</v>
      </c>
      <c r="D147" s="2">
        <f>ROW(EtalonRes!A219)</f>
        <v>219</v>
      </c>
      <c r="E147" s="2" t="s">
        <v>243</v>
      </c>
      <c r="F147" s="2" t="s">
        <v>195</v>
      </c>
      <c r="G147" s="2" t="s">
        <v>196</v>
      </c>
      <c r="H147" s="2" t="s">
        <v>96</v>
      </c>
      <c r="I147" s="2">
        <f>ROUND((2)/100,9)</f>
        <v>0.02</v>
      </c>
      <c r="J147" s="2">
        <v>0</v>
      </c>
      <c r="K147" s="2">
        <f>ROUND((2)/100,9)</f>
        <v>0.02</v>
      </c>
      <c r="L147" s="2"/>
      <c r="M147" s="2"/>
      <c r="N147" s="2"/>
      <c r="O147" s="2">
        <f t="shared" si="168"/>
        <v>99.56</v>
      </c>
      <c r="P147" s="2">
        <f t="shared" si="169"/>
        <v>62.38</v>
      </c>
      <c r="Q147" s="2">
        <f>(ROUND((ROUND(((((ET147*1.1)*1.25))*AV147*I147),2)*BB147),2)+ROUND((ROUND(((AE147-(((EU147*1.1)*1.25)))*AV147*I147),2)*BS147),2))</f>
        <v>4.8899999999999997</v>
      </c>
      <c r="R147" s="2">
        <f>(ROUND((ROUND(((((EU147*1.1)*1.25))*AV147*I147),2)*BS147),2)+ROUND((ROUND(((AE147-(((EU147*1.1)*1.25)))*AV147*I147),2)*BS147),2))</f>
        <v>0.53</v>
      </c>
      <c r="S147" s="2">
        <f t="shared" si="170"/>
        <v>32.29</v>
      </c>
      <c r="T147" s="2">
        <f t="shared" si="171"/>
        <v>0</v>
      </c>
      <c r="U147" s="2">
        <f t="shared" si="172"/>
        <v>2.633372005</v>
      </c>
      <c r="V147" s="2">
        <f t="shared" si="173"/>
        <v>0</v>
      </c>
      <c r="W147" s="2">
        <f t="shared" si="174"/>
        <v>0</v>
      </c>
      <c r="X147" s="2">
        <f>(ROUND((((S147+ROUND((ROUND(((((EU147*1.1)*1.25))*AV147*I147),2)*BS147),2))*AT147)/100),2)+ROUND(((ROUND((ROUND(((AE147-(((EU147*1.1)*1.25)))*AV147*I147),2)*BS147),2)*AT147)/100),2))</f>
        <v>35.770000000000003</v>
      </c>
      <c r="Y147" s="2">
        <f>(ROUND((((S147+ROUND((ROUND(((((EU147*1.1)*1.25))*AV147*I147),2)*BS147),2))*AU147)/100),2)+ROUND(((ROUND((ROUND(((AE147-(((EU147*1.1)*1.25)))*AV147*I147),2)*BS147),2)*AU147)/100),2))</f>
        <v>20.02</v>
      </c>
      <c r="Z147" s="2"/>
      <c r="AA147" s="2">
        <v>60255014</v>
      </c>
      <c r="AB147" s="2">
        <f t="shared" si="175"/>
        <v>4861.5028499999999</v>
      </c>
      <c r="AC147" s="2">
        <f t="shared" si="176"/>
        <v>3119.11</v>
      </c>
      <c r="AD147" s="2">
        <f>ROUND((((((ET147*1.1)*1.25))-(((EU147*1.1)*1.25)))+AE147),6)</f>
        <v>229.21250000000001</v>
      </c>
      <c r="AE147" s="2">
        <f>ROUND((((EU147*1.1)*1.25)),6)</f>
        <v>24.846250000000001</v>
      </c>
      <c r="AF147" s="2">
        <f>ROUND((((EV147*1.1)*1.15)),6)</f>
        <v>1513.1803500000001</v>
      </c>
      <c r="AG147" s="2">
        <f t="shared" si="177"/>
        <v>0</v>
      </c>
      <c r="AH147" s="2">
        <f>(((EW147*1.1)*1.15))</f>
        <v>123.40075</v>
      </c>
      <c r="AI147" s="2">
        <f>(((EX147*1.1)*1.25))</f>
        <v>0</v>
      </c>
      <c r="AJ147" s="2">
        <f t="shared" si="178"/>
        <v>0</v>
      </c>
      <c r="AK147" s="2">
        <v>4482</v>
      </c>
      <c r="AL147" s="2">
        <v>3119.11</v>
      </c>
      <c r="AM147" s="2">
        <v>166.7</v>
      </c>
      <c r="AN147" s="2">
        <v>18.07</v>
      </c>
      <c r="AO147" s="2">
        <v>1196.19</v>
      </c>
      <c r="AP147" s="2">
        <v>0</v>
      </c>
      <c r="AQ147" s="2">
        <v>97.55</v>
      </c>
      <c r="AR147" s="2">
        <v>0</v>
      </c>
      <c r="AS147" s="2">
        <v>0</v>
      </c>
      <c r="AT147" s="2">
        <v>109</v>
      </c>
      <c r="AU147" s="2">
        <v>61</v>
      </c>
      <c r="AV147" s="2">
        <v>1.0669999999999999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1</v>
      </c>
      <c r="BJ147" s="2" t="s">
        <v>197</v>
      </c>
      <c r="BK147" s="2"/>
      <c r="BL147" s="2"/>
      <c r="BM147" s="2">
        <v>23</v>
      </c>
      <c r="BN147" s="2">
        <v>0</v>
      </c>
      <c r="BO147" s="2" t="s">
        <v>195</v>
      </c>
      <c r="BP147" s="2">
        <v>1</v>
      </c>
      <c r="BQ147" s="2">
        <v>30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109</v>
      </c>
      <c r="CA147" s="2">
        <v>61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626</v>
      </c>
      <c r="CO147" s="2">
        <v>0</v>
      </c>
      <c r="CP147" s="2">
        <f t="shared" si="179"/>
        <v>99.56</v>
      </c>
      <c r="CQ147" s="2">
        <f t="shared" si="180"/>
        <v>3119.11</v>
      </c>
      <c r="CR147" s="2">
        <f>(ROUND((ROUND(((((ET147*1.1)*1.25))*AV147*1),2)*BB147),2)+ROUND((ROUND(((AE147-(((EU147*1.1)*1.25)))*AV147*1),2)*BS147),2))</f>
        <v>244.57</v>
      </c>
      <c r="CS147" s="2">
        <f>(ROUND((ROUND(((((EU147*1.1)*1.25))*AV147*1),2)*BS147),2)+ROUND((ROUND(((AE147-(((EU147*1.1)*1.25)))*AV147*1),2)*BS147),2))</f>
        <v>26.51</v>
      </c>
      <c r="CT147" s="2">
        <f t="shared" si="181"/>
        <v>1614.56</v>
      </c>
      <c r="CU147" s="2">
        <f t="shared" si="182"/>
        <v>0</v>
      </c>
      <c r="CV147" s="2">
        <f t="shared" si="183"/>
        <v>131.66860025</v>
      </c>
      <c r="CW147" s="2">
        <f t="shared" si="184"/>
        <v>0</v>
      </c>
      <c r="CX147" s="2">
        <f t="shared" si="185"/>
        <v>0</v>
      </c>
      <c r="CY147" s="2">
        <f>(ROUND((((S147+ROUND((ROUND(((((EU147*1.1)*1.25))*AV147*1),2)*BS147),2))*AT147)/100),2)+ROUND(((ROUND((ROUND(((AE147-(((EU147*1.1)*1.25)))*AV147*1),2)*BS147),2)*AT147)/100),2))</f>
        <v>64.09</v>
      </c>
      <c r="CZ147" s="2">
        <f>(ROUND((((S147+ROUND((ROUND(((((EU147*1.1)*1.25))*AV147*1),2)*BS147),2))*AU147)/100),2)+ROUND(((ROUND((ROUND(((AE147-(((EU147*1.1)*1.25)))*AV147*1),2)*BS147),2)*AU147)/100),2))</f>
        <v>35.869999999999997</v>
      </c>
      <c r="DA147" s="2"/>
      <c r="DB147" s="2">
        <v>37</v>
      </c>
      <c r="DC147" s="2" t="s">
        <v>3</v>
      </c>
      <c r="DD147" s="2" t="s">
        <v>3</v>
      </c>
      <c r="DE147" s="2" t="s">
        <v>198</v>
      </c>
      <c r="DF147" s="2" t="s">
        <v>198</v>
      </c>
      <c r="DG147" s="2" t="s">
        <v>199</v>
      </c>
      <c r="DH147" s="2" t="s">
        <v>3</v>
      </c>
      <c r="DI147" s="2" t="s">
        <v>199</v>
      </c>
      <c r="DJ147" s="2" t="s">
        <v>198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1010</v>
      </c>
      <c r="DV147" s="2" t="s">
        <v>96</v>
      </c>
      <c r="DW147" s="2" t="s">
        <v>96</v>
      </c>
      <c r="DX147" s="2">
        <v>100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60088254</v>
      </c>
      <c r="EF147" s="2">
        <v>30</v>
      </c>
      <c r="EG147" s="2" t="s">
        <v>100</v>
      </c>
      <c r="EH147" s="2">
        <v>0</v>
      </c>
      <c r="EI147" s="2" t="s">
        <v>3</v>
      </c>
      <c r="EJ147" s="2">
        <v>1</v>
      </c>
      <c r="EK147" s="2">
        <v>23</v>
      </c>
      <c r="EL147" s="2" t="s">
        <v>101</v>
      </c>
      <c r="EM147" s="2" t="s">
        <v>102</v>
      </c>
      <c r="EN147" s="2"/>
      <c r="EO147" s="2" t="s">
        <v>200</v>
      </c>
      <c r="EP147" s="2"/>
      <c r="EQ147" s="2">
        <v>0</v>
      </c>
      <c r="ER147" s="2">
        <v>4482</v>
      </c>
      <c r="ES147" s="2">
        <v>3119.11</v>
      </c>
      <c r="ET147" s="2">
        <v>166.7</v>
      </c>
      <c r="EU147" s="2">
        <v>18.07</v>
      </c>
      <c r="EV147" s="2">
        <v>1196.19</v>
      </c>
      <c r="EW147" s="2">
        <v>97.55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109</v>
      </c>
      <c r="FY147" s="2">
        <v>61</v>
      </c>
      <c r="FZ147" s="2"/>
      <c r="GA147" s="2" t="s">
        <v>3</v>
      </c>
      <c r="GB147" s="2"/>
      <c r="GC147" s="2"/>
      <c r="GD147" s="2">
        <v>1</v>
      </c>
      <c r="GE147" s="2"/>
      <c r="GF147" s="2">
        <v>-367566365</v>
      </c>
      <c r="GG147" s="2">
        <v>2</v>
      </c>
      <c r="GH147" s="2">
        <v>1</v>
      </c>
      <c r="GI147" s="2">
        <v>2</v>
      </c>
      <c r="GJ147" s="2">
        <v>0</v>
      </c>
      <c r="GK147" s="2">
        <v>0</v>
      </c>
      <c r="GL147" s="2">
        <f t="shared" si="186"/>
        <v>0</v>
      </c>
      <c r="GM147" s="2">
        <f t="shared" si="187"/>
        <v>155.35</v>
      </c>
      <c r="GN147" s="2">
        <f t="shared" si="188"/>
        <v>155.35</v>
      </c>
      <c r="GO147" s="2">
        <f t="shared" si="189"/>
        <v>0</v>
      </c>
      <c r="GP147" s="2">
        <f t="shared" si="190"/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si="191"/>
        <v>0</v>
      </c>
      <c r="GW147" s="2">
        <v>1</v>
      </c>
      <c r="GX147" s="2">
        <f t="shared" si="192"/>
        <v>0</v>
      </c>
      <c r="GY147" s="2"/>
      <c r="GZ147" s="2"/>
      <c r="HA147" s="2">
        <v>0</v>
      </c>
      <c r="HB147" s="2">
        <v>0</v>
      </c>
      <c r="HC147" s="2">
        <f t="shared" si="193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>
        <v>17</v>
      </c>
      <c r="B148">
        <v>1</v>
      </c>
      <c r="C148">
        <f>ROW(SmtRes!A208)</f>
        <v>208</v>
      </c>
      <c r="D148">
        <f>ROW(EtalonRes!A230)</f>
        <v>230</v>
      </c>
      <c r="E148" t="s">
        <v>243</v>
      </c>
      <c r="F148" t="s">
        <v>195</v>
      </c>
      <c r="G148" t="s">
        <v>196</v>
      </c>
      <c r="H148" t="s">
        <v>96</v>
      </c>
      <c r="I148">
        <f>ROUND((2)/100,9)</f>
        <v>0.02</v>
      </c>
      <c r="J148">
        <v>0</v>
      </c>
      <c r="K148">
        <f>ROUND((2)/100,9)</f>
        <v>0.02</v>
      </c>
      <c r="O148">
        <f t="shared" si="168"/>
        <v>3130.2</v>
      </c>
      <c r="P148">
        <f t="shared" si="169"/>
        <v>1284.4000000000001</v>
      </c>
      <c r="Q148">
        <f>(ROUND((ROUND(((((ET148*1.1)*1.25))*AV148*I148),2)*BB148),2)+ROUND((ROUND(((AE148-(((EU148*1.1)*1.25)))*AV148*I148),2)*BS148),2))</f>
        <v>70.17</v>
      </c>
      <c r="R148">
        <f>(ROUND((ROUND(((((EU148*1.1)*1.25))*AV148*I148),2)*BS148),2)+ROUND((ROUND(((AE148-(((EU148*1.1)*1.25)))*AV148*I148),2)*BS148),2))</f>
        <v>29.14</v>
      </c>
      <c r="S148">
        <f t="shared" si="170"/>
        <v>1775.63</v>
      </c>
      <c r="T148">
        <f t="shared" si="171"/>
        <v>0</v>
      </c>
      <c r="U148">
        <f t="shared" si="172"/>
        <v>2.633372005</v>
      </c>
      <c r="V148">
        <f t="shared" si="173"/>
        <v>0</v>
      </c>
      <c r="W148">
        <f t="shared" si="174"/>
        <v>0</v>
      </c>
      <c r="X148">
        <f>(ROUND((((S148+ROUND((ROUND(((((EU148*1.1)*1.25))*AV148*I148),2)*BS148),2))*AT148)/100),2)+ROUND(((ROUND((ROUND(((AE148-(((EU148*1.1)*1.25)))*AV148*I148),2)*BS148),2)*AT148)/100),2))</f>
        <v>1967.2</v>
      </c>
      <c r="Y148">
        <f>(ROUND((((S148+ROUND((ROUND(((((EU148*1.1)*1.25))*AV148*I148),2)*BS148),2))*AU148)/100),2)+ROUND(((ROUND((ROUND(((AE148-(((EU148*1.1)*1.25)))*AV148*I148),2)*BS148),2)*AU148)/100),2))</f>
        <v>1100.9100000000001</v>
      </c>
      <c r="AA148">
        <v>60255011</v>
      </c>
      <c r="AB148">
        <f t="shared" si="175"/>
        <v>4861.5028499999999</v>
      </c>
      <c r="AC148">
        <f t="shared" si="176"/>
        <v>3119.11</v>
      </c>
      <c r="AD148">
        <f>ROUND((((((ET148*1.1)*1.25))-(((EU148*1.1)*1.25)))+AE148),6)</f>
        <v>229.21250000000001</v>
      </c>
      <c r="AE148">
        <f>ROUND((((EU148*1.1)*1.25)),6)</f>
        <v>24.846250000000001</v>
      </c>
      <c r="AF148">
        <f>ROUND((((EV148*1.1)*1.15)),6)</f>
        <v>1513.1803500000001</v>
      </c>
      <c r="AG148">
        <f t="shared" si="177"/>
        <v>0</v>
      </c>
      <c r="AH148">
        <f>(((EW148*1.1)*1.15))</f>
        <v>123.40075</v>
      </c>
      <c r="AI148">
        <f>(((EX148*1.1)*1.25))</f>
        <v>0</v>
      </c>
      <c r="AJ148">
        <f t="shared" si="178"/>
        <v>0</v>
      </c>
      <c r="AK148">
        <v>4482</v>
      </c>
      <c r="AL148">
        <v>3119.11</v>
      </c>
      <c r="AM148">
        <v>166.7</v>
      </c>
      <c r="AN148">
        <v>18.07</v>
      </c>
      <c r="AO148">
        <v>1196.19</v>
      </c>
      <c r="AP148">
        <v>0</v>
      </c>
      <c r="AQ148">
        <v>97.55</v>
      </c>
      <c r="AR148">
        <v>0</v>
      </c>
      <c r="AS148">
        <v>0</v>
      </c>
      <c r="AT148">
        <v>109</v>
      </c>
      <c r="AU148">
        <v>61</v>
      </c>
      <c r="AV148">
        <v>1.0669999999999999</v>
      </c>
      <c r="AW148">
        <v>1</v>
      </c>
      <c r="AZ148">
        <v>1</v>
      </c>
      <c r="BA148">
        <v>54.99</v>
      </c>
      <c r="BB148">
        <v>14.35</v>
      </c>
      <c r="BC148">
        <v>20.59</v>
      </c>
      <c r="BD148" t="s">
        <v>3</v>
      </c>
      <c r="BE148" t="s">
        <v>3</v>
      </c>
      <c r="BF148" t="s">
        <v>3</v>
      </c>
      <c r="BG148" t="s">
        <v>3</v>
      </c>
      <c r="BH148">
        <v>0</v>
      </c>
      <c r="BI148">
        <v>1</v>
      </c>
      <c r="BJ148" t="s">
        <v>197</v>
      </c>
      <c r="BM148">
        <v>23</v>
      </c>
      <c r="BN148">
        <v>0</v>
      </c>
      <c r="BO148" t="s">
        <v>195</v>
      </c>
      <c r="BP148">
        <v>1</v>
      </c>
      <c r="BQ148">
        <v>30</v>
      </c>
      <c r="BR148">
        <v>0</v>
      </c>
      <c r="BS148">
        <v>54.99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109</v>
      </c>
      <c r="CA148">
        <v>61</v>
      </c>
      <c r="CB148" t="s">
        <v>3</v>
      </c>
      <c r="CE148">
        <v>1566</v>
      </c>
      <c r="CF148">
        <v>0</v>
      </c>
      <c r="CG148">
        <v>0</v>
      </c>
      <c r="CM148">
        <v>0</v>
      </c>
      <c r="CN148" t="s">
        <v>626</v>
      </c>
      <c r="CO148">
        <v>0</v>
      </c>
      <c r="CP148">
        <f t="shared" si="179"/>
        <v>3130.2000000000003</v>
      </c>
      <c r="CQ148">
        <f t="shared" si="180"/>
        <v>64222.47</v>
      </c>
      <c r="CR148">
        <f>(ROUND((ROUND(((((ET148*1.1)*1.25))*AV148*1),2)*BB148),2)+ROUND((ROUND(((AE148-(((EU148*1.1)*1.25)))*AV148*1),2)*BS148),2))</f>
        <v>3509.58</v>
      </c>
      <c r="CS148">
        <f>(ROUND((ROUND(((((EU148*1.1)*1.25))*AV148*1),2)*BS148),2)+ROUND((ROUND(((AE148-(((EU148*1.1)*1.25)))*AV148*1),2)*BS148),2))</f>
        <v>1457.78</v>
      </c>
      <c r="CT148">
        <f t="shared" si="181"/>
        <v>88784.65</v>
      </c>
      <c r="CU148">
        <f t="shared" si="182"/>
        <v>0</v>
      </c>
      <c r="CV148">
        <f t="shared" si="183"/>
        <v>131.66860025</v>
      </c>
      <c r="CW148">
        <f t="shared" si="184"/>
        <v>0</v>
      </c>
      <c r="CX148">
        <f t="shared" si="185"/>
        <v>0</v>
      </c>
      <c r="CY148">
        <f>(ROUND((((S148+ROUND((ROUND(((((EU148*1.1)*1.25))*AV148*1),2)*BS148),2))*AT148)/100),2)+ROUND(((ROUND((ROUND(((AE148-(((EU148*1.1)*1.25)))*AV148*1),2)*BS148),2)*AT148)/100),2))</f>
        <v>3524.42</v>
      </c>
      <c r="CZ148">
        <f>(ROUND((((S148+ROUND((ROUND(((((EU148*1.1)*1.25))*AV148*1),2)*BS148),2))*AU148)/100),2)+ROUND(((ROUND((ROUND(((AE148-(((EU148*1.1)*1.25)))*AV148*1),2)*BS148),2)*AU148)/100),2))</f>
        <v>1972.38</v>
      </c>
      <c r="DB148">
        <v>39</v>
      </c>
      <c r="DC148" t="s">
        <v>3</v>
      </c>
      <c r="DD148" t="s">
        <v>3</v>
      </c>
      <c r="DE148" t="s">
        <v>198</v>
      </c>
      <c r="DF148" t="s">
        <v>198</v>
      </c>
      <c r="DG148" t="s">
        <v>199</v>
      </c>
      <c r="DH148" t="s">
        <v>3</v>
      </c>
      <c r="DI148" t="s">
        <v>199</v>
      </c>
      <c r="DJ148" t="s">
        <v>198</v>
      </c>
      <c r="DK148" t="s">
        <v>3</v>
      </c>
      <c r="DL148" t="s">
        <v>3</v>
      </c>
      <c r="DM148" t="s">
        <v>3</v>
      </c>
      <c r="DN148">
        <v>0</v>
      </c>
      <c r="DO148">
        <v>0</v>
      </c>
      <c r="DP148">
        <v>1</v>
      </c>
      <c r="DQ148">
        <v>1</v>
      </c>
      <c r="DU148">
        <v>1010</v>
      </c>
      <c r="DV148" t="s">
        <v>96</v>
      </c>
      <c r="DW148" t="s">
        <v>96</v>
      </c>
      <c r="DX148">
        <v>100</v>
      </c>
      <c r="DZ148" t="s">
        <v>3</v>
      </c>
      <c r="EA148" t="s">
        <v>3</v>
      </c>
      <c r="EB148" t="s">
        <v>3</v>
      </c>
      <c r="EC148" t="s">
        <v>3</v>
      </c>
      <c r="EE148">
        <v>60088254</v>
      </c>
      <c r="EF148">
        <v>30</v>
      </c>
      <c r="EG148" t="s">
        <v>100</v>
      </c>
      <c r="EH148">
        <v>0</v>
      </c>
      <c r="EI148" t="s">
        <v>3</v>
      </c>
      <c r="EJ148">
        <v>1</v>
      </c>
      <c r="EK148">
        <v>23</v>
      </c>
      <c r="EL148" t="s">
        <v>101</v>
      </c>
      <c r="EM148" t="s">
        <v>102</v>
      </c>
      <c r="EO148" t="s">
        <v>200</v>
      </c>
      <c r="EQ148">
        <v>0</v>
      </c>
      <c r="ER148">
        <v>4482</v>
      </c>
      <c r="ES148">
        <v>3119.11</v>
      </c>
      <c r="ET148">
        <v>166.7</v>
      </c>
      <c r="EU148">
        <v>18.07</v>
      </c>
      <c r="EV148">
        <v>1196.19</v>
      </c>
      <c r="EW148">
        <v>97.55</v>
      </c>
      <c r="EX148">
        <v>0</v>
      </c>
      <c r="EY148">
        <v>0</v>
      </c>
      <c r="FQ148">
        <v>0</v>
      </c>
      <c r="FR148">
        <v>0</v>
      </c>
      <c r="FS148">
        <v>0</v>
      </c>
      <c r="FX148">
        <v>109</v>
      </c>
      <c r="FY148">
        <v>61</v>
      </c>
      <c r="GA148" t="s">
        <v>3</v>
      </c>
      <c r="GD148">
        <v>1</v>
      </c>
      <c r="GF148">
        <v>-367566365</v>
      </c>
      <c r="GG148">
        <v>2</v>
      </c>
      <c r="GH148">
        <v>1</v>
      </c>
      <c r="GI148">
        <v>2</v>
      </c>
      <c r="GJ148">
        <v>0</v>
      </c>
      <c r="GK148">
        <v>0</v>
      </c>
      <c r="GL148">
        <f t="shared" si="186"/>
        <v>0</v>
      </c>
      <c r="GM148">
        <f t="shared" si="187"/>
        <v>6198.31</v>
      </c>
      <c r="GN148">
        <f t="shared" si="188"/>
        <v>6198.31</v>
      </c>
      <c r="GO148">
        <f t="shared" si="189"/>
        <v>0</v>
      </c>
      <c r="GP148">
        <f t="shared" si="190"/>
        <v>0</v>
      </c>
      <c r="GR148">
        <v>0</v>
      </c>
      <c r="GS148">
        <v>3</v>
      </c>
      <c r="GT148">
        <v>0</v>
      </c>
      <c r="GU148" t="s">
        <v>3</v>
      </c>
      <c r="GV148">
        <f t="shared" si="191"/>
        <v>0</v>
      </c>
      <c r="GW148">
        <v>1</v>
      </c>
      <c r="GX148">
        <f t="shared" si="192"/>
        <v>0</v>
      </c>
      <c r="HA148">
        <v>0</v>
      </c>
      <c r="HB148">
        <v>0</v>
      </c>
      <c r="HC148">
        <f t="shared" si="193"/>
        <v>0</v>
      </c>
      <c r="HE148" t="s">
        <v>3</v>
      </c>
      <c r="HF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2">
      <c r="A149" s="2">
        <v>17</v>
      </c>
      <c r="B149" s="2">
        <v>1</v>
      </c>
      <c r="C149" s="2"/>
      <c r="D149" s="2"/>
      <c r="E149" s="2" t="s">
        <v>244</v>
      </c>
      <c r="F149" s="2" t="s">
        <v>245</v>
      </c>
      <c r="G149" s="2" t="s">
        <v>246</v>
      </c>
      <c r="H149" s="2" t="s">
        <v>31</v>
      </c>
      <c r="I149" s="2">
        <v>2</v>
      </c>
      <c r="J149" s="2">
        <v>0</v>
      </c>
      <c r="K149" s="2">
        <v>2</v>
      </c>
      <c r="L149" s="2"/>
      <c r="M149" s="2"/>
      <c r="N149" s="2"/>
      <c r="O149" s="2">
        <f t="shared" si="168"/>
        <v>4987.4399999999996</v>
      </c>
      <c r="P149" s="2">
        <f t="shared" si="169"/>
        <v>4987.4399999999996</v>
      </c>
      <c r="Q149" s="2">
        <f>(ROUND((ROUND(((ET149)*AV149*I149),2)*BB149),2)+ROUND((ROUND(((AE149-(EU149))*AV149*I149),2)*BS149),2))</f>
        <v>0</v>
      </c>
      <c r="R149" s="2">
        <f>(ROUND((ROUND(((EU149)*AV149*I149),2)*BS149),2)+ROUND((ROUND(((AE149-(EU149))*AV149*I149),2)*BS149),2))</f>
        <v>0</v>
      </c>
      <c r="S149" s="2">
        <f t="shared" si="170"/>
        <v>0</v>
      </c>
      <c r="T149" s="2">
        <f t="shared" si="171"/>
        <v>0</v>
      </c>
      <c r="U149" s="2">
        <f t="shared" si="172"/>
        <v>0</v>
      </c>
      <c r="V149" s="2">
        <f t="shared" si="173"/>
        <v>0</v>
      </c>
      <c r="W149" s="2">
        <f t="shared" si="174"/>
        <v>0</v>
      </c>
      <c r="X149" s="2">
        <f>(ROUND((((S149+ROUND((ROUND(((EU149)*AV149*I149),2)*BS149),2))*AT149)/100),2)+ROUND(((ROUND((ROUND(((AE149-(EU149))*AV149*I149),2)*BS149),2)*AT149)/100),2))</f>
        <v>0</v>
      </c>
      <c r="Y149" s="2">
        <f>(ROUND((((S149+ROUND((ROUND(((EU149)*AV149*I149),2)*BS149),2))*AU149)/100),2)+ROUND(((ROUND((ROUND(((AE149-(EU149))*AV149*I149),2)*BS149),2)*AU149)/100),2))</f>
        <v>0</v>
      </c>
      <c r="Z149" s="2"/>
      <c r="AA149" s="2">
        <v>60255014</v>
      </c>
      <c r="AB149" s="2">
        <f t="shared" si="175"/>
        <v>2493.7199999999998</v>
      </c>
      <c r="AC149" s="2">
        <f t="shared" si="176"/>
        <v>2493.7199999999998</v>
      </c>
      <c r="AD149" s="2">
        <f>ROUND((((ET149)-(EU149))+AE149),6)</f>
        <v>0</v>
      </c>
      <c r="AE149" s="2">
        <f>ROUND((EU149),6)</f>
        <v>0</v>
      </c>
      <c r="AF149" s="2">
        <f>ROUND((EV149),6)</f>
        <v>0</v>
      </c>
      <c r="AG149" s="2">
        <f t="shared" si="177"/>
        <v>0</v>
      </c>
      <c r="AH149" s="2">
        <f>(EW149)</f>
        <v>0</v>
      </c>
      <c r="AI149" s="2">
        <f>(EX149)</f>
        <v>0</v>
      </c>
      <c r="AJ149" s="2">
        <f t="shared" si="178"/>
        <v>0</v>
      </c>
      <c r="AK149" s="2">
        <v>2493.7199999999998</v>
      </c>
      <c r="AL149" s="2">
        <v>2493.7199999999998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1</v>
      </c>
      <c r="BJ149" s="2" t="s">
        <v>247</v>
      </c>
      <c r="BK149" s="2"/>
      <c r="BL149" s="2"/>
      <c r="BM149" s="2">
        <v>1617</v>
      </c>
      <c r="BN149" s="2">
        <v>58973374</v>
      </c>
      <c r="BO149" s="2" t="s">
        <v>3</v>
      </c>
      <c r="BP149" s="2">
        <v>0</v>
      </c>
      <c r="BQ149" s="2">
        <v>200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0</v>
      </c>
      <c r="CA149" s="2">
        <v>0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79"/>
        <v>4987.4399999999996</v>
      </c>
      <c r="CQ149" s="2">
        <f t="shared" si="180"/>
        <v>2493.7199999999998</v>
      </c>
      <c r="CR149" s="2">
        <f>(ROUND((ROUND(((ET149)*AV149*1),2)*BB149),2)+ROUND((ROUND(((AE149-(EU149))*AV149*1),2)*BS149),2))</f>
        <v>0</v>
      </c>
      <c r="CS149" s="2">
        <f>(ROUND((ROUND(((EU149)*AV149*1),2)*BS149),2)+ROUND((ROUND(((AE149-(EU149))*AV149*1),2)*BS149),2))</f>
        <v>0</v>
      </c>
      <c r="CT149" s="2">
        <f t="shared" si="181"/>
        <v>0</v>
      </c>
      <c r="CU149" s="2">
        <f t="shared" si="182"/>
        <v>0</v>
      </c>
      <c r="CV149" s="2">
        <f t="shared" si="183"/>
        <v>0</v>
      </c>
      <c r="CW149" s="2">
        <f t="shared" si="184"/>
        <v>0</v>
      </c>
      <c r="CX149" s="2">
        <f t="shared" si="185"/>
        <v>0</v>
      </c>
      <c r="CY149" s="2">
        <f>(ROUND((((S149+ROUND((ROUND(((EU149)*AV149*1),2)*BS149),2))*AT149)/100),2)+ROUND(((ROUND((ROUND(((AE149-(EU149))*AV149*1),2)*BS149),2)*AT149)/100),2))</f>
        <v>0</v>
      </c>
      <c r="CZ149" s="2">
        <f>(ROUND((((S149+ROUND((ROUND(((EU149)*AV149*1),2)*BS149),2))*AU149)/100),2)+ROUND(((ROUND((ROUND(((AE149-(EU149))*AV149*1),2)*BS149),2)*AU149)/100),2))</f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1010</v>
      </c>
      <c r="DV149" s="2" t="s">
        <v>31</v>
      </c>
      <c r="DW149" s="2" t="s">
        <v>31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60088328</v>
      </c>
      <c r="EF149" s="2">
        <v>200</v>
      </c>
      <c r="EG149" s="2" t="s">
        <v>210</v>
      </c>
      <c r="EH149" s="2">
        <v>0</v>
      </c>
      <c r="EI149" s="2" t="s">
        <v>3</v>
      </c>
      <c r="EJ149" s="2">
        <v>1</v>
      </c>
      <c r="EK149" s="2">
        <v>1617</v>
      </c>
      <c r="EL149" s="2" t="s">
        <v>211</v>
      </c>
      <c r="EM149" s="2" t="s">
        <v>212</v>
      </c>
      <c r="EN149" s="2"/>
      <c r="EO149" s="2" t="s">
        <v>3</v>
      </c>
      <c r="EP149" s="2"/>
      <c r="EQ149" s="2">
        <v>0</v>
      </c>
      <c r="ER149" s="2">
        <v>2493.7199999999998</v>
      </c>
      <c r="ES149" s="2">
        <v>2493.7199999999998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0</v>
      </c>
      <c r="FY149" s="2">
        <v>0</v>
      </c>
      <c r="FZ149" s="2"/>
      <c r="GA149" s="2" t="s">
        <v>3</v>
      </c>
      <c r="GB149" s="2"/>
      <c r="GC149" s="2"/>
      <c r="GD149" s="2">
        <v>1</v>
      </c>
      <c r="GE149" s="2"/>
      <c r="GF149" s="2">
        <v>2086554928</v>
      </c>
      <c r="GG149" s="2">
        <v>2</v>
      </c>
      <c r="GH149" s="2">
        <v>1</v>
      </c>
      <c r="GI149" s="2">
        <v>-2</v>
      </c>
      <c r="GJ149" s="2">
        <v>0</v>
      </c>
      <c r="GK149" s="2">
        <v>0</v>
      </c>
      <c r="GL149" s="2">
        <f t="shared" si="186"/>
        <v>0</v>
      </c>
      <c r="GM149" s="2">
        <f t="shared" si="187"/>
        <v>4987.4399999999996</v>
      </c>
      <c r="GN149" s="2">
        <f t="shared" si="188"/>
        <v>4987.4399999999996</v>
      </c>
      <c r="GO149" s="2">
        <f t="shared" si="189"/>
        <v>0</v>
      </c>
      <c r="GP149" s="2">
        <f t="shared" si="190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191"/>
        <v>0</v>
      </c>
      <c r="GW149" s="2">
        <v>1</v>
      </c>
      <c r="GX149" s="2">
        <f t="shared" si="192"/>
        <v>0</v>
      </c>
      <c r="GY149" s="2"/>
      <c r="GZ149" s="2"/>
      <c r="HA149" s="2">
        <v>0</v>
      </c>
      <c r="HB149" s="2">
        <v>0</v>
      </c>
      <c r="HC149" s="2">
        <f t="shared" si="193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>
        <v>17</v>
      </c>
      <c r="B150">
        <v>1</v>
      </c>
      <c r="E150" t="s">
        <v>244</v>
      </c>
      <c r="F150" t="s">
        <v>245</v>
      </c>
      <c r="G150" t="s">
        <v>246</v>
      </c>
      <c r="H150" t="s">
        <v>31</v>
      </c>
      <c r="I150">
        <v>2</v>
      </c>
      <c r="J150">
        <v>0</v>
      </c>
      <c r="K150">
        <v>2</v>
      </c>
      <c r="O150">
        <f t="shared" si="168"/>
        <v>18503.400000000001</v>
      </c>
      <c r="P150">
        <f t="shared" si="169"/>
        <v>18503.400000000001</v>
      </c>
      <c r="Q150">
        <f>(ROUND((ROUND(((ET150)*AV150*I150),2)*BB150),2)+ROUND((ROUND(((AE150-(EU150))*AV150*I150),2)*BS150),2))</f>
        <v>0</v>
      </c>
      <c r="R150">
        <f>(ROUND((ROUND(((EU150)*AV150*I150),2)*BS150),2)+ROUND((ROUND(((AE150-(EU150))*AV150*I150),2)*BS150),2))</f>
        <v>0</v>
      </c>
      <c r="S150">
        <f t="shared" si="170"/>
        <v>0</v>
      </c>
      <c r="T150">
        <f t="shared" si="171"/>
        <v>0</v>
      </c>
      <c r="U150">
        <f t="shared" si="172"/>
        <v>0</v>
      </c>
      <c r="V150">
        <f t="shared" si="173"/>
        <v>0</v>
      </c>
      <c r="W150">
        <f t="shared" si="174"/>
        <v>0</v>
      </c>
      <c r="X150">
        <f>(ROUND((((S150+ROUND((ROUND(((EU150)*AV150*I150),2)*BS150),2))*AT150)/100),2)+ROUND(((ROUND((ROUND(((AE150-(EU150))*AV150*I150),2)*BS150),2)*AT150)/100),2))</f>
        <v>0</v>
      </c>
      <c r="Y150">
        <f>(ROUND((((S150+ROUND((ROUND(((EU150)*AV150*I150),2)*BS150),2))*AU150)/100),2)+ROUND(((ROUND((ROUND(((AE150-(EU150))*AV150*I150),2)*BS150),2)*AU150)/100),2))</f>
        <v>0</v>
      </c>
      <c r="AA150">
        <v>60255011</v>
      </c>
      <c r="AB150">
        <f t="shared" si="175"/>
        <v>2493.7199999999998</v>
      </c>
      <c r="AC150">
        <f t="shared" si="176"/>
        <v>2493.7199999999998</v>
      </c>
      <c r="AD150">
        <f>ROUND((((ET150)-(EU150))+AE150),6)</f>
        <v>0</v>
      </c>
      <c r="AE150">
        <f>ROUND((EU150),6)</f>
        <v>0</v>
      </c>
      <c r="AF150">
        <f>ROUND((EV150),6)</f>
        <v>0</v>
      </c>
      <c r="AG150">
        <f t="shared" si="177"/>
        <v>0</v>
      </c>
      <c r="AH150">
        <f>(EW150)</f>
        <v>0</v>
      </c>
      <c r="AI150">
        <f>(EX150)</f>
        <v>0</v>
      </c>
      <c r="AJ150">
        <f t="shared" si="178"/>
        <v>0</v>
      </c>
      <c r="AK150">
        <v>2493.7199999999998</v>
      </c>
      <c r="AL150">
        <v>2493.7199999999998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Z150">
        <v>1</v>
      </c>
      <c r="BA150">
        <v>1</v>
      </c>
      <c r="BB150">
        <v>1</v>
      </c>
      <c r="BC150">
        <v>3.71</v>
      </c>
      <c r="BD150" t="s">
        <v>3</v>
      </c>
      <c r="BE150" t="s">
        <v>3</v>
      </c>
      <c r="BF150" t="s">
        <v>3</v>
      </c>
      <c r="BG150" t="s">
        <v>3</v>
      </c>
      <c r="BH150">
        <v>3</v>
      </c>
      <c r="BI150">
        <v>1</v>
      </c>
      <c r="BJ150" t="s">
        <v>247</v>
      </c>
      <c r="BM150">
        <v>1617</v>
      </c>
      <c r="BN150">
        <v>58973374</v>
      </c>
      <c r="BO150" t="s">
        <v>245</v>
      </c>
      <c r="BP150">
        <v>1</v>
      </c>
      <c r="BQ150">
        <v>200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0</v>
      </c>
      <c r="CA150">
        <v>0</v>
      </c>
      <c r="CB150" t="s">
        <v>3</v>
      </c>
      <c r="CE150">
        <v>1566</v>
      </c>
      <c r="CF150">
        <v>0</v>
      </c>
      <c r="CG150">
        <v>0</v>
      </c>
      <c r="CM150">
        <v>0</v>
      </c>
      <c r="CN150" t="s">
        <v>3</v>
      </c>
      <c r="CO150">
        <v>0</v>
      </c>
      <c r="CP150">
        <f t="shared" si="179"/>
        <v>18503.400000000001</v>
      </c>
      <c r="CQ150">
        <f t="shared" si="180"/>
        <v>9251.7000000000007</v>
      </c>
      <c r="CR150">
        <f>(ROUND((ROUND(((ET150)*AV150*1),2)*BB150),2)+ROUND((ROUND(((AE150-(EU150))*AV150*1),2)*BS150),2))</f>
        <v>0</v>
      </c>
      <c r="CS150">
        <f>(ROUND((ROUND(((EU150)*AV150*1),2)*BS150),2)+ROUND((ROUND(((AE150-(EU150))*AV150*1),2)*BS150),2))</f>
        <v>0</v>
      </c>
      <c r="CT150">
        <f t="shared" si="181"/>
        <v>0</v>
      </c>
      <c r="CU150">
        <f t="shared" si="182"/>
        <v>0</v>
      </c>
      <c r="CV150">
        <f t="shared" si="183"/>
        <v>0</v>
      </c>
      <c r="CW150">
        <f t="shared" si="184"/>
        <v>0</v>
      </c>
      <c r="CX150">
        <f t="shared" si="185"/>
        <v>0</v>
      </c>
      <c r="CY150">
        <f>(ROUND((((S150+ROUND((ROUND(((EU150)*AV150*1),2)*BS150),2))*AT150)/100),2)+ROUND(((ROUND((ROUND(((AE150-(EU150))*AV150*1),2)*BS150),2)*AT150)/100),2))</f>
        <v>0</v>
      </c>
      <c r="CZ150">
        <f>(ROUND((((S150+ROUND((ROUND(((EU150)*AV150*1),2)*BS150),2))*AU150)/100),2)+ROUND(((ROUND((ROUND(((AE150-(EU150))*AV150*1),2)*BS150),2)*AU150)/100),2))</f>
        <v>0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  <c r="DN150">
        <v>0</v>
      </c>
      <c r="DO150">
        <v>0</v>
      </c>
      <c r="DP150">
        <v>1</v>
      </c>
      <c r="DQ150">
        <v>1</v>
      </c>
      <c r="DU150">
        <v>1010</v>
      </c>
      <c r="DV150" t="s">
        <v>31</v>
      </c>
      <c r="DW150" t="s">
        <v>31</v>
      </c>
      <c r="DX150">
        <v>1</v>
      </c>
      <c r="DZ150" t="s">
        <v>3</v>
      </c>
      <c r="EA150" t="s">
        <v>3</v>
      </c>
      <c r="EB150" t="s">
        <v>3</v>
      </c>
      <c r="EC150" t="s">
        <v>3</v>
      </c>
      <c r="EE150">
        <v>60088328</v>
      </c>
      <c r="EF150">
        <v>200</v>
      </c>
      <c r="EG150" t="s">
        <v>210</v>
      </c>
      <c r="EH150">
        <v>0</v>
      </c>
      <c r="EI150" t="s">
        <v>3</v>
      </c>
      <c r="EJ150">
        <v>1</v>
      </c>
      <c r="EK150">
        <v>1617</v>
      </c>
      <c r="EL150" t="s">
        <v>211</v>
      </c>
      <c r="EM150" t="s">
        <v>212</v>
      </c>
      <c r="EO150" t="s">
        <v>3</v>
      </c>
      <c r="EQ150">
        <v>0</v>
      </c>
      <c r="ER150">
        <v>2493.7199999999998</v>
      </c>
      <c r="ES150">
        <v>2493.7199999999998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FQ150">
        <v>0</v>
      </c>
      <c r="FR150">
        <v>0</v>
      </c>
      <c r="FS150">
        <v>0</v>
      </c>
      <c r="FX150">
        <v>0</v>
      </c>
      <c r="FY150">
        <v>0</v>
      </c>
      <c r="GA150" t="s">
        <v>3</v>
      </c>
      <c r="GD150">
        <v>1</v>
      </c>
      <c r="GF150">
        <v>2086554928</v>
      </c>
      <c r="GG150">
        <v>2</v>
      </c>
      <c r="GH150">
        <v>1</v>
      </c>
      <c r="GI150">
        <v>2</v>
      </c>
      <c r="GJ150">
        <v>0</v>
      </c>
      <c r="GK150">
        <v>0</v>
      </c>
      <c r="GL150">
        <f t="shared" si="186"/>
        <v>0</v>
      </c>
      <c r="GM150">
        <f t="shared" si="187"/>
        <v>18503.400000000001</v>
      </c>
      <c r="GN150">
        <f t="shared" si="188"/>
        <v>18503.400000000001</v>
      </c>
      <c r="GO150">
        <f t="shared" si="189"/>
        <v>0</v>
      </c>
      <c r="GP150">
        <f t="shared" si="190"/>
        <v>0</v>
      </c>
      <c r="GR150">
        <v>0</v>
      </c>
      <c r="GS150">
        <v>3</v>
      </c>
      <c r="GT150">
        <v>0</v>
      </c>
      <c r="GU150" t="s">
        <v>3</v>
      </c>
      <c r="GV150">
        <f t="shared" si="191"/>
        <v>0</v>
      </c>
      <c r="GW150">
        <v>1</v>
      </c>
      <c r="GX150">
        <f t="shared" si="192"/>
        <v>0</v>
      </c>
      <c r="HA150">
        <v>0</v>
      </c>
      <c r="HB150">
        <v>0</v>
      </c>
      <c r="HC150">
        <f t="shared" si="193"/>
        <v>0</v>
      </c>
      <c r="HE150" t="s">
        <v>3</v>
      </c>
      <c r="HF150" t="s">
        <v>3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1" spans="1:255" x14ac:dyDescent="0.2">
      <c r="A151" s="2">
        <v>17</v>
      </c>
      <c r="B151" s="2">
        <v>1</v>
      </c>
      <c r="C151" s="2">
        <f>ROW(SmtRes!A218)</f>
        <v>218</v>
      </c>
      <c r="D151" s="2">
        <f>ROW(EtalonRes!A241)</f>
        <v>241</v>
      </c>
      <c r="E151" s="2" t="s">
        <v>248</v>
      </c>
      <c r="F151" s="2" t="s">
        <v>94</v>
      </c>
      <c r="G151" s="2" t="s">
        <v>95</v>
      </c>
      <c r="H151" s="2" t="s">
        <v>96</v>
      </c>
      <c r="I151" s="2">
        <f>ROUND((1+5+13+12)/100,9)</f>
        <v>0.31</v>
      </c>
      <c r="J151" s="2">
        <v>0</v>
      </c>
      <c r="K151" s="2">
        <f>ROUND((1+5+13+12)/100,9)</f>
        <v>0.31</v>
      </c>
      <c r="L151" s="2"/>
      <c r="M151" s="2"/>
      <c r="N151" s="2"/>
      <c r="O151" s="2">
        <f t="shared" si="168"/>
        <v>1071.3599999999999</v>
      </c>
      <c r="P151" s="2">
        <f t="shared" si="169"/>
        <v>644.46</v>
      </c>
      <c r="Q151" s="2">
        <f>(ROUND((ROUND(((((ET151*1.25)*1.1))*AV151*I151),2)*BB151),2)+ROUND((ROUND(((AE151-(((EU151*1.25)*1.1)))*AV151*I151),2)*BS151),2))</f>
        <v>43.37</v>
      </c>
      <c r="R151" s="2">
        <f>(ROUND((ROUND(((((EU151*1.25)*1.1))*AV151*I151),2)*BS151),2)+ROUND((ROUND(((AE151-(((EU151*1.25)*1.1)))*AV151*I151),2)*BS151),2))</f>
        <v>4.68</v>
      </c>
      <c r="S151" s="2">
        <f t="shared" si="170"/>
        <v>383.53</v>
      </c>
      <c r="T151" s="2">
        <f t="shared" si="171"/>
        <v>0</v>
      </c>
      <c r="U151" s="2">
        <f t="shared" si="172"/>
        <v>31.256276535000001</v>
      </c>
      <c r="V151" s="2">
        <f t="shared" si="173"/>
        <v>0</v>
      </c>
      <c r="W151" s="2">
        <f t="shared" si="174"/>
        <v>0</v>
      </c>
      <c r="X151" s="2">
        <f>(ROUND((((S151+ROUND((ROUND(((((EU151*1.25)*1.1))*AV151*I151),2)*BS151),2))*AT151)/100),2)+ROUND(((ROUND((ROUND(((AE151-(((EU151*1.25)*1.1)))*AV151*I151),2)*BS151),2)*AT151)/100),2))</f>
        <v>423.15</v>
      </c>
      <c r="Y151" s="2">
        <f>(ROUND((((S151+ROUND((ROUND(((((EU151*1.25)*1.1))*AV151*I151),2)*BS151),2))*AU151)/100),2)+ROUND(((ROUND((ROUND(((AE151-(((EU151*1.25)*1.1)))*AV151*I151),2)*BS151),2)*AU151)/100),2))</f>
        <v>236.81</v>
      </c>
      <c r="Z151" s="2"/>
      <c r="AA151" s="2">
        <v>60255014</v>
      </c>
      <c r="AB151" s="2">
        <f t="shared" si="175"/>
        <v>3369.5052500000002</v>
      </c>
      <c r="AC151" s="2">
        <f t="shared" si="176"/>
        <v>2078.9</v>
      </c>
      <c r="AD151" s="2">
        <f>ROUND((((((ET151*1.25)*1.1))-(((EU151*1.25)*1.1)))+AE151),6)</f>
        <v>131.10624999999999</v>
      </c>
      <c r="AE151" s="2">
        <f>ROUND((((EU151*1.25)*1.1)),6)</f>
        <v>14.1625</v>
      </c>
      <c r="AF151" s="2">
        <f>ROUND((((EV151*1.15)*1.1)),6)</f>
        <v>1159.499</v>
      </c>
      <c r="AG151" s="2">
        <f t="shared" si="177"/>
        <v>0</v>
      </c>
      <c r="AH151" s="2">
        <f>(((EW151*1.15)*1.1))</f>
        <v>94.495500000000007</v>
      </c>
      <c r="AI151" s="2">
        <f>(((EX151*1.25)*1.1))</f>
        <v>0</v>
      </c>
      <c r="AJ151" s="2">
        <f t="shared" si="178"/>
        <v>0</v>
      </c>
      <c r="AK151" s="2">
        <v>3090.85</v>
      </c>
      <c r="AL151" s="2">
        <v>2078.9</v>
      </c>
      <c r="AM151" s="2">
        <v>95.35</v>
      </c>
      <c r="AN151" s="2">
        <v>10.3</v>
      </c>
      <c r="AO151" s="2">
        <v>916.6</v>
      </c>
      <c r="AP151" s="2">
        <v>0</v>
      </c>
      <c r="AQ151" s="2">
        <v>74.7</v>
      </c>
      <c r="AR151" s="2">
        <v>0</v>
      </c>
      <c r="AS151" s="2">
        <v>0</v>
      </c>
      <c r="AT151" s="2">
        <v>109</v>
      </c>
      <c r="AU151" s="2">
        <v>61</v>
      </c>
      <c r="AV151" s="2">
        <v>1.0669999999999999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1</v>
      </c>
      <c r="BJ151" s="2" t="s">
        <v>97</v>
      </c>
      <c r="BK151" s="2"/>
      <c r="BL151" s="2"/>
      <c r="BM151" s="2">
        <v>23</v>
      </c>
      <c r="BN151" s="2">
        <v>0</v>
      </c>
      <c r="BO151" s="2" t="s">
        <v>94</v>
      </c>
      <c r="BP151" s="2">
        <v>1</v>
      </c>
      <c r="BQ151" s="2">
        <v>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109</v>
      </c>
      <c r="CA151" s="2">
        <v>61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625</v>
      </c>
      <c r="CO151" s="2">
        <v>0</v>
      </c>
      <c r="CP151" s="2">
        <f t="shared" si="179"/>
        <v>1071.3600000000001</v>
      </c>
      <c r="CQ151" s="2">
        <f t="shared" si="180"/>
        <v>2078.9</v>
      </c>
      <c r="CR151" s="2">
        <f>(ROUND((ROUND(((((ET151*1.25)*1.1))*AV151*1),2)*BB151),2)+ROUND((ROUND(((AE151-(((EU151*1.25)*1.1)))*AV151*1),2)*BS151),2))</f>
        <v>139.88999999999999</v>
      </c>
      <c r="CS151" s="2">
        <f>(ROUND((ROUND(((((EU151*1.25)*1.1))*AV151*1),2)*BS151),2)+ROUND((ROUND(((AE151-(((EU151*1.25)*1.1)))*AV151*1),2)*BS151),2))</f>
        <v>15.11</v>
      </c>
      <c r="CT151" s="2">
        <f t="shared" si="181"/>
        <v>1237.19</v>
      </c>
      <c r="CU151" s="2">
        <f t="shared" si="182"/>
        <v>0</v>
      </c>
      <c r="CV151" s="2">
        <f t="shared" si="183"/>
        <v>100.82669850000001</v>
      </c>
      <c r="CW151" s="2">
        <f t="shared" si="184"/>
        <v>0</v>
      </c>
      <c r="CX151" s="2">
        <f t="shared" si="185"/>
        <v>0</v>
      </c>
      <c r="CY151" s="2">
        <f>(ROUND((((S151+ROUND((ROUND(((((EU151*1.25)*1.1))*AV151*1),2)*BS151),2))*AT151)/100),2)+ROUND(((ROUND((ROUND(((AE151-(((EU151*1.25)*1.1)))*AV151*1),2)*BS151),2)*AT151)/100),2))</f>
        <v>434.52</v>
      </c>
      <c r="CZ151" s="2">
        <f>(ROUND((((S151+ROUND((ROUND(((((EU151*1.25)*1.1))*AV151*1),2)*BS151),2))*AU151)/100),2)+ROUND(((ROUND((ROUND(((AE151-(((EU151*1.25)*1.1)))*AV151*1),2)*BS151),2)*AU151)/100),2))</f>
        <v>243.17</v>
      </c>
      <c r="DA151" s="2"/>
      <c r="DB151" s="2">
        <v>41</v>
      </c>
      <c r="DC151" s="2" t="s">
        <v>3</v>
      </c>
      <c r="DD151" s="2" t="s">
        <v>3</v>
      </c>
      <c r="DE151" s="2" t="s">
        <v>98</v>
      </c>
      <c r="DF151" s="2" t="s">
        <v>98</v>
      </c>
      <c r="DG151" s="2" t="s">
        <v>99</v>
      </c>
      <c r="DH151" s="2" t="s">
        <v>3</v>
      </c>
      <c r="DI151" s="2" t="s">
        <v>99</v>
      </c>
      <c r="DJ151" s="2" t="s">
        <v>98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96</v>
      </c>
      <c r="DW151" s="2" t="s">
        <v>96</v>
      </c>
      <c r="DX151" s="2">
        <v>100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60088254</v>
      </c>
      <c r="EF151" s="2">
        <v>30</v>
      </c>
      <c r="EG151" s="2" t="s">
        <v>100</v>
      </c>
      <c r="EH151" s="2">
        <v>0</v>
      </c>
      <c r="EI151" s="2" t="s">
        <v>3</v>
      </c>
      <c r="EJ151" s="2">
        <v>1</v>
      </c>
      <c r="EK151" s="2">
        <v>23</v>
      </c>
      <c r="EL151" s="2" t="s">
        <v>101</v>
      </c>
      <c r="EM151" s="2" t="s">
        <v>102</v>
      </c>
      <c r="EN151" s="2"/>
      <c r="EO151" s="2" t="s">
        <v>103</v>
      </c>
      <c r="EP151" s="2"/>
      <c r="EQ151" s="2">
        <v>0</v>
      </c>
      <c r="ER151" s="2">
        <v>3090.85</v>
      </c>
      <c r="ES151" s="2">
        <v>2078.9</v>
      </c>
      <c r="ET151" s="2">
        <v>95.35</v>
      </c>
      <c r="EU151" s="2">
        <v>10.3</v>
      </c>
      <c r="EV151" s="2">
        <v>916.6</v>
      </c>
      <c r="EW151" s="2">
        <v>74.7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109</v>
      </c>
      <c r="FY151" s="2">
        <v>61</v>
      </c>
      <c r="FZ151" s="2"/>
      <c r="GA151" s="2" t="s">
        <v>3</v>
      </c>
      <c r="GB151" s="2"/>
      <c r="GC151" s="2"/>
      <c r="GD151" s="2">
        <v>1</v>
      </c>
      <c r="GE151" s="2"/>
      <c r="GF151" s="2">
        <v>-961949121</v>
      </c>
      <c r="GG151" s="2">
        <v>2</v>
      </c>
      <c r="GH151" s="2">
        <v>1</v>
      </c>
      <c r="GI151" s="2">
        <v>2</v>
      </c>
      <c r="GJ151" s="2">
        <v>0</v>
      </c>
      <c r="GK151" s="2">
        <v>0</v>
      </c>
      <c r="GL151" s="2">
        <f t="shared" si="186"/>
        <v>0</v>
      </c>
      <c r="GM151" s="2">
        <f t="shared" si="187"/>
        <v>1731.32</v>
      </c>
      <c r="GN151" s="2">
        <f t="shared" si="188"/>
        <v>1731.32</v>
      </c>
      <c r="GO151" s="2">
        <f t="shared" si="189"/>
        <v>0</v>
      </c>
      <c r="GP151" s="2">
        <f t="shared" si="190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91"/>
        <v>0</v>
      </c>
      <c r="GW151" s="2">
        <v>1</v>
      </c>
      <c r="GX151" s="2">
        <f t="shared" si="192"/>
        <v>0</v>
      </c>
      <c r="GY151" s="2"/>
      <c r="GZ151" s="2"/>
      <c r="HA151" s="2">
        <v>0</v>
      </c>
      <c r="HB151" s="2">
        <v>0</v>
      </c>
      <c r="HC151" s="2">
        <f t="shared" si="193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>
        <v>17</v>
      </c>
      <c r="B152">
        <v>1</v>
      </c>
      <c r="C152">
        <f>ROW(SmtRes!A228)</f>
        <v>228</v>
      </c>
      <c r="D152">
        <f>ROW(EtalonRes!A252)</f>
        <v>252</v>
      </c>
      <c r="E152" t="s">
        <v>248</v>
      </c>
      <c r="F152" t="s">
        <v>94</v>
      </c>
      <c r="G152" t="s">
        <v>95</v>
      </c>
      <c r="H152" t="s">
        <v>96</v>
      </c>
      <c r="I152">
        <f>ROUND((1+5+13+12)/100,9)</f>
        <v>0.31</v>
      </c>
      <c r="J152">
        <v>0</v>
      </c>
      <c r="K152">
        <f>ROUND((1+5+13+12)/100,9)</f>
        <v>0.31</v>
      </c>
      <c r="O152">
        <f t="shared" si="168"/>
        <v>34981.230000000003</v>
      </c>
      <c r="P152">
        <f t="shared" si="169"/>
        <v>13269.43</v>
      </c>
      <c r="Q152">
        <f>(ROUND((ROUND(((((ET152*1.25)*1.1))*AV152*I152),2)*BB152),2)+ROUND((ROUND(((AE152-(((EU152*1.25)*1.1)))*AV152*I152),2)*BS152),2))</f>
        <v>621.49</v>
      </c>
      <c r="R152">
        <f>(ROUND((ROUND(((((EU152*1.25)*1.1))*AV152*I152),2)*BS152),2)+ROUND((ROUND(((AE152-(((EU152*1.25)*1.1)))*AV152*I152),2)*BS152),2))</f>
        <v>257.35000000000002</v>
      </c>
      <c r="S152">
        <f t="shared" si="170"/>
        <v>21090.31</v>
      </c>
      <c r="T152">
        <f t="shared" si="171"/>
        <v>0</v>
      </c>
      <c r="U152">
        <f t="shared" si="172"/>
        <v>31.256276535000001</v>
      </c>
      <c r="V152">
        <f t="shared" si="173"/>
        <v>0</v>
      </c>
      <c r="W152">
        <f t="shared" si="174"/>
        <v>0</v>
      </c>
      <c r="X152">
        <f>(ROUND((((S152+ROUND((ROUND(((((EU152*1.25)*1.1))*AV152*I152),2)*BS152),2))*AT152)/100),2)+ROUND(((ROUND((ROUND(((AE152-(((EU152*1.25)*1.1)))*AV152*I152),2)*BS152),2)*AT152)/100),2))</f>
        <v>23268.95</v>
      </c>
      <c r="Y152">
        <f>(ROUND((((S152+ROUND((ROUND(((((EU152*1.25)*1.1))*AV152*I152),2)*BS152),2))*AU152)/100),2)+ROUND(((ROUND((ROUND(((AE152-(((EU152*1.25)*1.1)))*AV152*I152),2)*BS152),2)*AU152)/100),2))</f>
        <v>13022.07</v>
      </c>
      <c r="AA152">
        <v>60255011</v>
      </c>
      <c r="AB152">
        <f t="shared" si="175"/>
        <v>3369.5052500000002</v>
      </c>
      <c r="AC152">
        <f t="shared" si="176"/>
        <v>2078.9</v>
      </c>
      <c r="AD152">
        <f>ROUND((((((ET152*1.25)*1.1))-(((EU152*1.25)*1.1)))+AE152),6)</f>
        <v>131.10624999999999</v>
      </c>
      <c r="AE152">
        <f>ROUND((((EU152*1.25)*1.1)),6)</f>
        <v>14.1625</v>
      </c>
      <c r="AF152">
        <f>ROUND((((EV152*1.15)*1.1)),6)</f>
        <v>1159.499</v>
      </c>
      <c r="AG152">
        <f t="shared" si="177"/>
        <v>0</v>
      </c>
      <c r="AH152">
        <f>(((EW152*1.15)*1.1))</f>
        <v>94.495500000000007</v>
      </c>
      <c r="AI152">
        <f>(((EX152*1.25)*1.1))</f>
        <v>0</v>
      </c>
      <c r="AJ152">
        <f t="shared" si="178"/>
        <v>0</v>
      </c>
      <c r="AK152">
        <v>3090.85</v>
      </c>
      <c r="AL152">
        <v>2078.9</v>
      </c>
      <c r="AM152">
        <v>95.35</v>
      </c>
      <c r="AN152">
        <v>10.3</v>
      </c>
      <c r="AO152">
        <v>916.6</v>
      </c>
      <c r="AP152">
        <v>0</v>
      </c>
      <c r="AQ152">
        <v>74.7</v>
      </c>
      <c r="AR152">
        <v>0</v>
      </c>
      <c r="AS152">
        <v>0</v>
      </c>
      <c r="AT152">
        <v>109</v>
      </c>
      <c r="AU152">
        <v>61</v>
      </c>
      <c r="AV152">
        <v>1.0669999999999999</v>
      </c>
      <c r="AW152">
        <v>1</v>
      </c>
      <c r="AZ152">
        <v>1</v>
      </c>
      <c r="BA152">
        <v>54.99</v>
      </c>
      <c r="BB152">
        <v>14.33</v>
      </c>
      <c r="BC152">
        <v>20.59</v>
      </c>
      <c r="BD152" t="s">
        <v>3</v>
      </c>
      <c r="BE152" t="s">
        <v>3</v>
      </c>
      <c r="BF152" t="s">
        <v>3</v>
      </c>
      <c r="BG152" t="s">
        <v>3</v>
      </c>
      <c r="BH152">
        <v>0</v>
      </c>
      <c r="BI152">
        <v>1</v>
      </c>
      <c r="BJ152" t="s">
        <v>97</v>
      </c>
      <c r="BM152">
        <v>23</v>
      </c>
      <c r="BN152">
        <v>0</v>
      </c>
      <c r="BO152" t="s">
        <v>94</v>
      </c>
      <c r="BP152">
        <v>1</v>
      </c>
      <c r="BQ152">
        <v>30</v>
      </c>
      <c r="BR152">
        <v>0</v>
      </c>
      <c r="BS152">
        <v>54.99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109</v>
      </c>
      <c r="CA152">
        <v>61</v>
      </c>
      <c r="CB152" t="s">
        <v>3</v>
      </c>
      <c r="CE152">
        <v>1566</v>
      </c>
      <c r="CF152">
        <v>0</v>
      </c>
      <c r="CG152">
        <v>0</v>
      </c>
      <c r="CM152">
        <v>0</v>
      </c>
      <c r="CN152" t="s">
        <v>625</v>
      </c>
      <c r="CO152">
        <v>0</v>
      </c>
      <c r="CP152">
        <f t="shared" si="179"/>
        <v>34981.230000000003</v>
      </c>
      <c r="CQ152">
        <f t="shared" si="180"/>
        <v>42804.55</v>
      </c>
      <c r="CR152">
        <f>(ROUND((ROUND(((((ET152*1.25)*1.1))*AV152*1),2)*BB152),2)+ROUND((ROUND(((AE152-(((EU152*1.25)*1.1)))*AV152*1),2)*BS152),2))</f>
        <v>2004.62</v>
      </c>
      <c r="CS152">
        <f>(ROUND((ROUND(((((EU152*1.25)*1.1))*AV152*1),2)*BS152),2)+ROUND((ROUND(((AE152-(((EU152*1.25)*1.1)))*AV152*1),2)*BS152),2))</f>
        <v>830.9</v>
      </c>
      <c r="CT152">
        <f t="shared" si="181"/>
        <v>68033.08</v>
      </c>
      <c r="CU152">
        <f t="shared" si="182"/>
        <v>0</v>
      </c>
      <c r="CV152">
        <f t="shared" si="183"/>
        <v>100.82669850000001</v>
      </c>
      <c r="CW152">
        <f t="shared" si="184"/>
        <v>0</v>
      </c>
      <c r="CX152">
        <f t="shared" si="185"/>
        <v>0</v>
      </c>
      <c r="CY152">
        <f>(ROUND((((S152+ROUND((ROUND(((((EU152*1.25)*1.1))*AV152*1),2)*BS152),2))*AT152)/100),2)+ROUND(((ROUND((ROUND(((AE152-(((EU152*1.25)*1.1)))*AV152*1),2)*BS152),2)*AT152)/100),2))</f>
        <v>23894.12</v>
      </c>
      <c r="CZ152">
        <f>(ROUND((((S152+ROUND((ROUND(((((EU152*1.25)*1.1))*AV152*1),2)*BS152),2))*AU152)/100),2)+ROUND(((ROUND((ROUND(((AE152-(((EU152*1.25)*1.1)))*AV152*1),2)*BS152),2)*AU152)/100),2))</f>
        <v>13371.94</v>
      </c>
      <c r="DB152">
        <v>43</v>
      </c>
      <c r="DC152" t="s">
        <v>3</v>
      </c>
      <c r="DD152" t="s">
        <v>3</v>
      </c>
      <c r="DE152" t="s">
        <v>98</v>
      </c>
      <c r="DF152" t="s">
        <v>98</v>
      </c>
      <c r="DG152" t="s">
        <v>99</v>
      </c>
      <c r="DH152" t="s">
        <v>3</v>
      </c>
      <c r="DI152" t="s">
        <v>99</v>
      </c>
      <c r="DJ152" t="s">
        <v>98</v>
      </c>
      <c r="DK152" t="s">
        <v>3</v>
      </c>
      <c r="DL152" t="s">
        <v>3</v>
      </c>
      <c r="DM152" t="s">
        <v>3</v>
      </c>
      <c r="DN152">
        <v>0</v>
      </c>
      <c r="DO152">
        <v>0</v>
      </c>
      <c r="DP152">
        <v>1</v>
      </c>
      <c r="DQ152">
        <v>1</v>
      </c>
      <c r="DU152">
        <v>1010</v>
      </c>
      <c r="DV152" t="s">
        <v>96</v>
      </c>
      <c r="DW152" t="s">
        <v>96</v>
      </c>
      <c r="DX152">
        <v>100</v>
      </c>
      <c r="DZ152" t="s">
        <v>3</v>
      </c>
      <c r="EA152" t="s">
        <v>3</v>
      </c>
      <c r="EB152" t="s">
        <v>3</v>
      </c>
      <c r="EC152" t="s">
        <v>3</v>
      </c>
      <c r="EE152">
        <v>60088254</v>
      </c>
      <c r="EF152">
        <v>30</v>
      </c>
      <c r="EG152" t="s">
        <v>100</v>
      </c>
      <c r="EH152">
        <v>0</v>
      </c>
      <c r="EI152" t="s">
        <v>3</v>
      </c>
      <c r="EJ152">
        <v>1</v>
      </c>
      <c r="EK152">
        <v>23</v>
      </c>
      <c r="EL152" t="s">
        <v>101</v>
      </c>
      <c r="EM152" t="s">
        <v>102</v>
      </c>
      <c r="EO152" t="s">
        <v>103</v>
      </c>
      <c r="EQ152">
        <v>0</v>
      </c>
      <c r="ER152">
        <v>3090.85</v>
      </c>
      <c r="ES152">
        <v>2078.9</v>
      </c>
      <c r="ET152">
        <v>95.35</v>
      </c>
      <c r="EU152">
        <v>10.3</v>
      </c>
      <c r="EV152">
        <v>916.6</v>
      </c>
      <c r="EW152">
        <v>74.7</v>
      </c>
      <c r="EX152">
        <v>0</v>
      </c>
      <c r="EY152">
        <v>0</v>
      </c>
      <c r="FQ152">
        <v>0</v>
      </c>
      <c r="FR152">
        <v>0</v>
      </c>
      <c r="FS152">
        <v>0</v>
      </c>
      <c r="FX152">
        <v>109</v>
      </c>
      <c r="FY152">
        <v>61</v>
      </c>
      <c r="GA152" t="s">
        <v>3</v>
      </c>
      <c r="GD152">
        <v>1</v>
      </c>
      <c r="GF152">
        <v>-961949121</v>
      </c>
      <c r="GG152">
        <v>2</v>
      </c>
      <c r="GH152">
        <v>1</v>
      </c>
      <c r="GI152">
        <v>2</v>
      </c>
      <c r="GJ152">
        <v>0</v>
      </c>
      <c r="GK152">
        <v>0</v>
      </c>
      <c r="GL152">
        <f t="shared" si="186"/>
        <v>0</v>
      </c>
      <c r="GM152">
        <f t="shared" si="187"/>
        <v>71272.25</v>
      </c>
      <c r="GN152">
        <f t="shared" si="188"/>
        <v>71272.25</v>
      </c>
      <c r="GO152">
        <f t="shared" si="189"/>
        <v>0</v>
      </c>
      <c r="GP152">
        <f t="shared" si="190"/>
        <v>0</v>
      </c>
      <c r="GR152">
        <v>0</v>
      </c>
      <c r="GS152">
        <v>3</v>
      </c>
      <c r="GT152">
        <v>0</v>
      </c>
      <c r="GU152" t="s">
        <v>3</v>
      </c>
      <c r="GV152">
        <f t="shared" si="191"/>
        <v>0</v>
      </c>
      <c r="GW152">
        <v>1</v>
      </c>
      <c r="GX152">
        <f t="shared" si="192"/>
        <v>0</v>
      </c>
      <c r="HA152">
        <v>0</v>
      </c>
      <c r="HB152">
        <v>0</v>
      </c>
      <c r="HC152">
        <f t="shared" si="193"/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3" spans="1:255" x14ac:dyDescent="0.2">
      <c r="A153" s="2">
        <v>17</v>
      </c>
      <c r="B153" s="2">
        <v>1</v>
      </c>
      <c r="C153" s="2"/>
      <c r="D153" s="2"/>
      <c r="E153" s="2" t="s">
        <v>249</v>
      </c>
      <c r="F153" s="2" t="s">
        <v>250</v>
      </c>
      <c r="G153" s="2" t="s">
        <v>251</v>
      </c>
      <c r="H153" s="2" t="s">
        <v>107</v>
      </c>
      <c r="I153" s="2">
        <v>1</v>
      </c>
      <c r="J153" s="2">
        <v>0</v>
      </c>
      <c r="K153" s="2">
        <v>1</v>
      </c>
      <c r="L153" s="2"/>
      <c r="M153" s="2"/>
      <c r="N153" s="2"/>
      <c r="O153" s="2">
        <f t="shared" si="168"/>
        <v>586.74</v>
      </c>
      <c r="P153" s="2">
        <f t="shared" si="169"/>
        <v>586.74</v>
      </c>
      <c r="Q153" s="2">
        <f t="shared" ref="Q153:Q160" si="198">(ROUND((ROUND(((ET153)*AV153*I153),2)*BB153),2)+ROUND((ROUND(((AE153-(EU153))*AV153*I153),2)*BS153),2))</f>
        <v>0</v>
      </c>
      <c r="R153" s="2">
        <f t="shared" ref="R153:R160" si="199">(ROUND((ROUND(((EU153)*AV153*I153),2)*BS153),2)+ROUND((ROUND(((AE153-(EU153))*AV153*I153),2)*BS153),2))</f>
        <v>0</v>
      </c>
      <c r="S153" s="2">
        <f t="shared" si="170"/>
        <v>0</v>
      </c>
      <c r="T153" s="2">
        <f t="shared" si="171"/>
        <v>0</v>
      </c>
      <c r="U153" s="2">
        <f t="shared" si="172"/>
        <v>0</v>
      </c>
      <c r="V153" s="2">
        <f t="shared" si="173"/>
        <v>0</v>
      </c>
      <c r="W153" s="2">
        <f t="shared" si="174"/>
        <v>0</v>
      </c>
      <c r="X153" s="2">
        <f t="shared" ref="X153:X160" si="200">(ROUND((((S153+ROUND((ROUND(((EU153)*AV153*I153),2)*BS153),2))*AT153)/100),2)+ROUND(((ROUND((ROUND(((AE153-(EU153))*AV153*I153),2)*BS153),2)*AT153)/100),2))</f>
        <v>0</v>
      </c>
      <c r="Y153" s="2">
        <f t="shared" ref="Y153:Y160" si="201">(ROUND((((S153+ROUND((ROUND(((EU153)*AV153*I153),2)*BS153),2))*AU153)/100),2)+ROUND(((ROUND((ROUND(((AE153-(EU153))*AV153*I153),2)*BS153),2)*AU153)/100),2))</f>
        <v>0</v>
      </c>
      <c r="Z153" s="2"/>
      <c r="AA153" s="2">
        <v>60255014</v>
      </c>
      <c r="AB153" s="2">
        <f t="shared" si="175"/>
        <v>586.74</v>
      </c>
      <c r="AC153" s="2">
        <f t="shared" si="176"/>
        <v>586.74</v>
      </c>
      <c r="AD153" s="2">
        <f t="shared" ref="AD153:AD160" si="202">ROUND((((ET153)-(EU153))+AE153),6)</f>
        <v>0</v>
      </c>
      <c r="AE153" s="2">
        <f t="shared" ref="AE153:AF160" si="203">ROUND((EU153),6)</f>
        <v>0</v>
      </c>
      <c r="AF153" s="2">
        <f t="shared" si="203"/>
        <v>0</v>
      </c>
      <c r="AG153" s="2">
        <f t="shared" si="177"/>
        <v>0</v>
      </c>
      <c r="AH153" s="2">
        <f t="shared" ref="AH153:AI160" si="204">(EW153)</f>
        <v>0</v>
      </c>
      <c r="AI153" s="2">
        <f t="shared" si="204"/>
        <v>0</v>
      </c>
      <c r="AJ153" s="2">
        <f t="shared" si="178"/>
        <v>0</v>
      </c>
      <c r="AK153" s="2">
        <v>586.74</v>
      </c>
      <c r="AL153" s="2">
        <v>586.74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1</v>
      </c>
      <c r="BJ153" s="2" t="s">
        <v>3</v>
      </c>
      <c r="BK153" s="2"/>
      <c r="BL153" s="2"/>
      <c r="BM153" s="2">
        <v>400002</v>
      </c>
      <c r="BN153" s="2">
        <v>0</v>
      </c>
      <c r="BO153" s="2" t="s">
        <v>3</v>
      </c>
      <c r="BP153" s="2">
        <v>0</v>
      </c>
      <c r="BQ153" s="2">
        <v>202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0</v>
      </c>
      <c r="CA153" s="2">
        <v>0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79"/>
        <v>586.74</v>
      </c>
      <c r="CQ153" s="2">
        <f t="shared" si="180"/>
        <v>586.74</v>
      </c>
      <c r="CR153" s="2">
        <f t="shared" ref="CR153:CR160" si="205">(ROUND((ROUND(((ET153)*AV153*1),2)*BB153),2)+ROUND((ROUND(((AE153-(EU153))*AV153*1),2)*BS153),2))</f>
        <v>0</v>
      </c>
      <c r="CS153" s="2">
        <f t="shared" ref="CS153:CS160" si="206">(ROUND((ROUND(((EU153)*AV153*1),2)*BS153),2)+ROUND((ROUND(((AE153-(EU153))*AV153*1),2)*BS153),2))</f>
        <v>0</v>
      </c>
      <c r="CT153" s="2">
        <f t="shared" si="181"/>
        <v>0</v>
      </c>
      <c r="CU153" s="2">
        <f t="shared" si="182"/>
        <v>0</v>
      </c>
      <c r="CV153" s="2">
        <f t="shared" si="183"/>
        <v>0</v>
      </c>
      <c r="CW153" s="2">
        <f t="shared" si="184"/>
        <v>0</v>
      </c>
      <c r="CX153" s="2">
        <f t="shared" si="185"/>
        <v>0</v>
      </c>
      <c r="CY153" s="2">
        <f t="shared" ref="CY153:CY160" si="207">(ROUND((((S153+ROUND((ROUND(((EU153)*AV153*1),2)*BS153),2))*AT153)/100),2)+ROUND(((ROUND((ROUND(((AE153-(EU153))*AV153*1),2)*BS153),2)*AT153)/100),2))</f>
        <v>0</v>
      </c>
      <c r="CZ153" s="2">
        <f t="shared" ref="CZ153:CZ160" si="208">(ROUND((((S153+ROUND((ROUND(((EU153)*AV153*1),2)*BS153),2))*AU153)/100),2)+ROUND(((ROUND((ROUND(((AE153-(EU153))*AV153*1),2)*BS153),2)*AU153)/100),2))</f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107</v>
      </c>
      <c r="DW153" s="2" t="s">
        <v>107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60088211</v>
      </c>
      <c r="EF153" s="2">
        <v>202</v>
      </c>
      <c r="EG153" s="2" t="s">
        <v>108</v>
      </c>
      <c r="EH153" s="2">
        <v>0</v>
      </c>
      <c r="EI153" s="2" t="s">
        <v>3</v>
      </c>
      <c r="EJ153" s="2">
        <v>1</v>
      </c>
      <c r="EK153" s="2">
        <v>400002</v>
      </c>
      <c r="EL153" s="2" t="s">
        <v>109</v>
      </c>
      <c r="EM153" s="2" t="s">
        <v>108</v>
      </c>
      <c r="EN153" s="2"/>
      <c r="EO153" s="2" t="s">
        <v>3</v>
      </c>
      <c r="EP153" s="2"/>
      <c r="EQ153" s="2">
        <v>0</v>
      </c>
      <c r="ER153" s="2">
        <v>0</v>
      </c>
      <c r="ES153" s="2">
        <v>586.74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0</v>
      </c>
      <c r="FY153" s="2">
        <v>0</v>
      </c>
      <c r="FZ153" s="2"/>
      <c r="GA153" s="2" t="s">
        <v>252</v>
      </c>
      <c r="GB153" s="2"/>
      <c r="GC153" s="2"/>
      <c r="GD153" s="2">
        <v>1</v>
      </c>
      <c r="GE153" s="2"/>
      <c r="GF153" s="2">
        <v>-1803215305</v>
      </c>
      <c r="GG153" s="2">
        <v>2</v>
      </c>
      <c r="GH153" s="2">
        <v>4</v>
      </c>
      <c r="GI153" s="2">
        <v>-2</v>
      </c>
      <c r="GJ153" s="2">
        <v>0</v>
      </c>
      <c r="GK153" s="2">
        <v>0</v>
      </c>
      <c r="GL153" s="2">
        <f t="shared" si="186"/>
        <v>0</v>
      </c>
      <c r="GM153" s="2">
        <f t="shared" si="187"/>
        <v>586.74</v>
      </c>
      <c r="GN153" s="2">
        <f t="shared" si="188"/>
        <v>586.74</v>
      </c>
      <c r="GO153" s="2">
        <f t="shared" si="189"/>
        <v>0</v>
      </c>
      <c r="GP153" s="2">
        <f t="shared" si="190"/>
        <v>0</v>
      </c>
      <c r="GQ153" s="2"/>
      <c r="GR153" s="2">
        <v>0</v>
      </c>
      <c r="GS153" s="2">
        <v>2</v>
      </c>
      <c r="GT153" s="2">
        <v>0</v>
      </c>
      <c r="GU153" s="2" t="s">
        <v>3</v>
      </c>
      <c r="GV153" s="2">
        <f t="shared" si="191"/>
        <v>0</v>
      </c>
      <c r="GW153" s="2">
        <v>1</v>
      </c>
      <c r="GX153" s="2">
        <f t="shared" si="192"/>
        <v>0</v>
      </c>
      <c r="GY153" s="2"/>
      <c r="GZ153" s="2"/>
      <c r="HA153" s="2">
        <v>0</v>
      </c>
      <c r="HB153" s="2">
        <v>0</v>
      </c>
      <c r="HC153" s="2">
        <f t="shared" si="193"/>
        <v>0</v>
      </c>
      <c r="HD153" s="2"/>
      <c r="HE153" s="2" t="s">
        <v>111</v>
      </c>
      <c r="HF153" s="2" t="s">
        <v>28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>
        <v>17</v>
      </c>
      <c r="B154">
        <v>1</v>
      </c>
      <c r="E154" t="s">
        <v>249</v>
      </c>
      <c r="F154" t="s">
        <v>250</v>
      </c>
      <c r="G154" t="s">
        <v>251</v>
      </c>
      <c r="H154" t="s">
        <v>107</v>
      </c>
      <c r="I154">
        <v>1</v>
      </c>
      <c r="J154">
        <v>0</v>
      </c>
      <c r="K154">
        <v>1</v>
      </c>
      <c r="O154">
        <f t="shared" si="168"/>
        <v>5796.99</v>
      </c>
      <c r="P154">
        <f t="shared" si="169"/>
        <v>5796.99</v>
      </c>
      <c r="Q154">
        <f t="shared" si="198"/>
        <v>0</v>
      </c>
      <c r="R154">
        <f t="shared" si="199"/>
        <v>0</v>
      </c>
      <c r="S154">
        <f t="shared" si="170"/>
        <v>0</v>
      </c>
      <c r="T154">
        <f t="shared" si="171"/>
        <v>0</v>
      </c>
      <c r="U154">
        <f t="shared" si="172"/>
        <v>0</v>
      </c>
      <c r="V154">
        <f t="shared" si="173"/>
        <v>0</v>
      </c>
      <c r="W154">
        <f t="shared" si="174"/>
        <v>0</v>
      </c>
      <c r="X154">
        <f t="shared" si="200"/>
        <v>0</v>
      </c>
      <c r="Y154">
        <f t="shared" si="201"/>
        <v>0</v>
      </c>
      <c r="AA154">
        <v>60255011</v>
      </c>
      <c r="AB154">
        <f t="shared" si="175"/>
        <v>586.74</v>
      </c>
      <c r="AC154">
        <f t="shared" si="176"/>
        <v>586.74</v>
      </c>
      <c r="AD154">
        <f t="shared" si="202"/>
        <v>0</v>
      </c>
      <c r="AE154">
        <f t="shared" si="203"/>
        <v>0</v>
      </c>
      <c r="AF154">
        <f t="shared" si="203"/>
        <v>0</v>
      </c>
      <c r="AG154">
        <f t="shared" si="177"/>
        <v>0</v>
      </c>
      <c r="AH154">
        <f t="shared" si="204"/>
        <v>0</v>
      </c>
      <c r="AI154">
        <f t="shared" si="204"/>
        <v>0</v>
      </c>
      <c r="AJ154">
        <f t="shared" si="178"/>
        <v>0</v>
      </c>
      <c r="AK154">
        <v>586.74</v>
      </c>
      <c r="AL154">
        <v>586.74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Z154">
        <v>1</v>
      </c>
      <c r="BA154">
        <v>1</v>
      </c>
      <c r="BB154">
        <v>1</v>
      </c>
      <c r="BC154">
        <v>9.8800000000000008</v>
      </c>
      <c r="BD154" t="s">
        <v>3</v>
      </c>
      <c r="BE154" t="s">
        <v>3</v>
      </c>
      <c r="BF154" t="s">
        <v>3</v>
      </c>
      <c r="BG154" t="s">
        <v>3</v>
      </c>
      <c r="BH154">
        <v>3</v>
      </c>
      <c r="BI154">
        <v>1</v>
      </c>
      <c r="BJ154" t="s">
        <v>3</v>
      </c>
      <c r="BM154">
        <v>400002</v>
      </c>
      <c r="BN154">
        <v>0</v>
      </c>
      <c r="BO154" t="s">
        <v>3</v>
      </c>
      <c r="BP154">
        <v>0</v>
      </c>
      <c r="BQ154">
        <v>202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 t="s">
        <v>3</v>
      </c>
      <c r="BZ154">
        <v>0</v>
      </c>
      <c r="CA154">
        <v>0</v>
      </c>
      <c r="CB154" t="s">
        <v>3</v>
      </c>
      <c r="CE154">
        <v>1566</v>
      </c>
      <c r="CF154">
        <v>0</v>
      </c>
      <c r="CG154">
        <v>0</v>
      </c>
      <c r="CM154">
        <v>0</v>
      </c>
      <c r="CN154" t="s">
        <v>3</v>
      </c>
      <c r="CO154">
        <v>0</v>
      </c>
      <c r="CP154">
        <f t="shared" si="179"/>
        <v>5796.99</v>
      </c>
      <c r="CQ154">
        <f t="shared" si="180"/>
        <v>5796.99</v>
      </c>
      <c r="CR154">
        <f t="shared" si="205"/>
        <v>0</v>
      </c>
      <c r="CS154">
        <f t="shared" si="206"/>
        <v>0</v>
      </c>
      <c r="CT154">
        <f t="shared" si="181"/>
        <v>0</v>
      </c>
      <c r="CU154">
        <f t="shared" si="182"/>
        <v>0</v>
      </c>
      <c r="CV154">
        <f t="shared" si="183"/>
        <v>0</v>
      </c>
      <c r="CW154">
        <f t="shared" si="184"/>
        <v>0</v>
      </c>
      <c r="CX154">
        <f t="shared" si="185"/>
        <v>0</v>
      </c>
      <c r="CY154">
        <f t="shared" si="207"/>
        <v>0</v>
      </c>
      <c r="CZ154">
        <f t="shared" si="208"/>
        <v>0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>
        <v>0</v>
      </c>
      <c r="DO154">
        <v>0</v>
      </c>
      <c r="DP154">
        <v>1</v>
      </c>
      <c r="DQ154">
        <v>1</v>
      </c>
      <c r="DU154">
        <v>1013</v>
      </c>
      <c r="DV154" t="s">
        <v>107</v>
      </c>
      <c r="DW154" t="s">
        <v>107</v>
      </c>
      <c r="DX154">
        <v>1</v>
      </c>
      <c r="DZ154" t="s">
        <v>3</v>
      </c>
      <c r="EA154" t="s">
        <v>3</v>
      </c>
      <c r="EB154" t="s">
        <v>3</v>
      </c>
      <c r="EC154" t="s">
        <v>3</v>
      </c>
      <c r="EE154">
        <v>60088211</v>
      </c>
      <c r="EF154">
        <v>202</v>
      </c>
      <c r="EG154" t="s">
        <v>108</v>
      </c>
      <c r="EH154">
        <v>0</v>
      </c>
      <c r="EI154" t="s">
        <v>3</v>
      </c>
      <c r="EJ154">
        <v>1</v>
      </c>
      <c r="EK154">
        <v>400002</v>
      </c>
      <c r="EL154" t="s">
        <v>109</v>
      </c>
      <c r="EM154" t="s">
        <v>108</v>
      </c>
      <c r="EO154" t="s">
        <v>3</v>
      </c>
      <c r="EQ154">
        <v>0</v>
      </c>
      <c r="ER154">
        <v>586.74</v>
      </c>
      <c r="ES154">
        <v>586.74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5</v>
      </c>
      <c r="FC154">
        <v>1</v>
      </c>
      <c r="FD154">
        <v>18</v>
      </c>
      <c r="FF154">
        <v>6820</v>
      </c>
      <c r="FQ154">
        <v>0</v>
      </c>
      <c r="FR154">
        <v>0</v>
      </c>
      <c r="FS154">
        <v>0</v>
      </c>
      <c r="FX154">
        <v>0</v>
      </c>
      <c r="FY154">
        <v>0</v>
      </c>
      <c r="GA154" t="s">
        <v>252</v>
      </c>
      <c r="GD154">
        <v>1</v>
      </c>
      <c r="GF154">
        <v>-1803215305</v>
      </c>
      <c r="GG154">
        <v>2</v>
      </c>
      <c r="GH154">
        <v>3</v>
      </c>
      <c r="GI154">
        <v>5</v>
      </c>
      <c r="GJ154">
        <v>0</v>
      </c>
      <c r="GK154">
        <v>0</v>
      </c>
      <c r="GL154">
        <f t="shared" si="186"/>
        <v>0</v>
      </c>
      <c r="GM154">
        <f t="shared" si="187"/>
        <v>5796.99</v>
      </c>
      <c r="GN154">
        <f t="shared" si="188"/>
        <v>5796.99</v>
      </c>
      <c r="GO154">
        <f t="shared" si="189"/>
        <v>0</v>
      </c>
      <c r="GP154">
        <f t="shared" si="190"/>
        <v>0</v>
      </c>
      <c r="GR154">
        <v>1</v>
      </c>
      <c r="GS154">
        <v>1</v>
      </c>
      <c r="GT154">
        <v>0</v>
      </c>
      <c r="GU154" t="s">
        <v>3</v>
      </c>
      <c r="GV154">
        <f t="shared" si="191"/>
        <v>0</v>
      </c>
      <c r="GW154">
        <v>1</v>
      </c>
      <c r="GX154">
        <f t="shared" si="192"/>
        <v>0</v>
      </c>
      <c r="HA154">
        <v>0</v>
      </c>
      <c r="HB154">
        <v>0</v>
      </c>
      <c r="HC154">
        <f t="shared" si="193"/>
        <v>0</v>
      </c>
      <c r="HE154" t="s">
        <v>111</v>
      </c>
      <c r="HF154" t="s">
        <v>28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S154">
        <v>0</v>
      </c>
      <c r="IK154">
        <v>0</v>
      </c>
    </row>
    <row r="155" spans="1:255" x14ac:dyDescent="0.2">
      <c r="A155" s="2">
        <v>17</v>
      </c>
      <c r="B155" s="2">
        <v>1</v>
      </c>
      <c r="C155" s="2"/>
      <c r="D155" s="2"/>
      <c r="E155" s="2" t="s">
        <v>253</v>
      </c>
      <c r="F155" s="2" t="s">
        <v>254</v>
      </c>
      <c r="G155" s="2" t="s">
        <v>255</v>
      </c>
      <c r="H155" s="2" t="s">
        <v>107</v>
      </c>
      <c r="I155" s="2">
        <v>5</v>
      </c>
      <c r="J155" s="2">
        <v>0</v>
      </c>
      <c r="K155" s="2">
        <v>5</v>
      </c>
      <c r="L155" s="2"/>
      <c r="M155" s="2"/>
      <c r="N155" s="2"/>
      <c r="O155" s="2">
        <f t="shared" si="168"/>
        <v>3626.25</v>
      </c>
      <c r="P155" s="2">
        <f t="shared" si="169"/>
        <v>3626.25</v>
      </c>
      <c r="Q155" s="2">
        <f t="shared" si="198"/>
        <v>0</v>
      </c>
      <c r="R155" s="2">
        <f t="shared" si="199"/>
        <v>0</v>
      </c>
      <c r="S155" s="2">
        <f t="shared" si="170"/>
        <v>0</v>
      </c>
      <c r="T155" s="2">
        <f t="shared" si="171"/>
        <v>0</v>
      </c>
      <c r="U155" s="2">
        <f t="shared" si="172"/>
        <v>0</v>
      </c>
      <c r="V155" s="2">
        <f t="shared" si="173"/>
        <v>0</v>
      </c>
      <c r="W155" s="2">
        <f t="shared" si="174"/>
        <v>0</v>
      </c>
      <c r="X155" s="2">
        <f t="shared" si="200"/>
        <v>0</v>
      </c>
      <c r="Y155" s="2">
        <f t="shared" si="201"/>
        <v>0</v>
      </c>
      <c r="Z155" s="2"/>
      <c r="AA155" s="2">
        <v>60255014</v>
      </c>
      <c r="AB155" s="2">
        <f t="shared" si="175"/>
        <v>725.25</v>
      </c>
      <c r="AC155" s="2">
        <f t="shared" si="176"/>
        <v>725.25</v>
      </c>
      <c r="AD155" s="2">
        <f t="shared" si="202"/>
        <v>0</v>
      </c>
      <c r="AE155" s="2">
        <f t="shared" si="203"/>
        <v>0</v>
      </c>
      <c r="AF155" s="2">
        <f t="shared" si="203"/>
        <v>0</v>
      </c>
      <c r="AG155" s="2">
        <f t="shared" si="177"/>
        <v>0</v>
      </c>
      <c r="AH155" s="2">
        <f t="shared" si="204"/>
        <v>0</v>
      </c>
      <c r="AI155" s="2">
        <f t="shared" si="204"/>
        <v>0</v>
      </c>
      <c r="AJ155" s="2">
        <f t="shared" si="178"/>
        <v>0</v>
      </c>
      <c r="AK155" s="2">
        <v>725.25</v>
      </c>
      <c r="AL155" s="2">
        <v>725.25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1</v>
      </c>
      <c r="BJ155" s="2" t="s">
        <v>3</v>
      </c>
      <c r="BK155" s="2"/>
      <c r="BL155" s="2"/>
      <c r="BM155" s="2">
        <v>400002</v>
      </c>
      <c r="BN155" s="2">
        <v>0</v>
      </c>
      <c r="BO155" s="2" t="s">
        <v>3</v>
      </c>
      <c r="BP155" s="2">
        <v>0</v>
      </c>
      <c r="BQ155" s="2">
        <v>202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0</v>
      </c>
      <c r="CA155" s="2">
        <v>0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3</v>
      </c>
      <c r="CO155" s="2">
        <v>0</v>
      </c>
      <c r="CP155" s="2">
        <f t="shared" si="179"/>
        <v>3626.25</v>
      </c>
      <c r="CQ155" s="2">
        <f t="shared" si="180"/>
        <v>725.25</v>
      </c>
      <c r="CR155" s="2">
        <f t="shared" si="205"/>
        <v>0</v>
      </c>
      <c r="CS155" s="2">
        <f t="shared" si="206"/>
        <v>0</v>
      </c>
      <c r="CT155" s="2">
        <f t="shared" si="181"/>
        <v>0</v>
      </c>
      <c r="CU155" s="2">
        <f t="shared" si="182"/>
        <v>0</v>
      </c>
      <c r="CV155" s="2">
        <f t="shared" si="183"/>
        <v>0</v>
      </c>
      <c r="CW155" s="2">
        <f t="shared" si="184"/>
        <v>0</v>
      </c>
      <c r="CX155" s="2">
        <f t="shared" si="185"/>
        <v>0</v>
      </c>
      <c r="CY155" s="2">
        <f t="shared" si="207"/>
        <v>0</v>
      </c>
      <c r="CZ155" s="2">
        <f t="shared" si="208"/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107</v>
      </c>
      <c r="DW155" s="2" t="s">
        <v>107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60088211</v>
      </c>
      <c r="EF155" s="2">
        <v>202</v>
      </c>
      <c r="EG155" s="2" t="s">
        <v>108</v>
      </c>
      <c r="EH155" s="2">
        <v>0</v>
      </c>
      <c r="EI155" s="2" t="s">
        <v>3</v>
      </c>
      <c r="EJ155" s="2">
        <v>1</v>
      </c>
      <c r="EK155" s="2">
        <v>400002</v>
      </c>
      <c r="EL155" s="2" t="s">
        <v>109</v>
      </c>
      <c r="EM155" s="2" t="s">
        <v>108</v>
      </c>
      <c r="EN155" s="2"/>
      <c r="EO155" s="2" t="s">
        <v>3</v>
      </c>
      <c r="EP155" s="2"/>
      <c r="EQ155" s="2">
        <v>0</v>
      </c>
      <c r="ER155" s="2">
        <v>0</v>
      </c>
      <c r="ES155" s="2">
        <v>725.25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0</v>
      </c>
      <c r="FY155" s="2">
        <v>0</v>
      </c>
      <c r="FZ155" s="2"/>
      <c r="GA155" s="2" t="s">
        <v>256</v>
      </c>
      <c r="GB155" s="2"/>
      <c r="GC155" s="2"/>
      <c r="GD155" s="2">
        <v>1</v>
      </c>
      <c r="GE155" s="2"/>
      <c r="GF155" s="2">
        <v>929206609</v>
      </c>
      <c r="GG155" s="2">
        <v>2</v>
      </c>
      <c r="GH155" s="2">
        <v>4</v>
      </c>
      <c r="GI155" s="2">
        <v>-2</v>
      </c>
      <c r="GJ155" s="2">
        <v>0</v>
      </c>
      <c r="GK155" s="2">
        <v>0</v>
      </c>
      <c r="GL155" s="2">
        <f t="shared" si="186"/>
        <v>0</v>
      </c>
      <c r="GM155" s="2">
        <f t="shared" si="187"/>
        <v>3626.25</v>
      </c>
      <c r="GN155" s="2">
        <f t="shared" si="188"/>
        <v>3626.25</v>
      </c>
      <c r="GO155" s="2">
        <f t="shared" si="189"/>
        <v>0</v>
      </c>
      <c r="GP155" s="2">
        <f t="shared" si="190"/>
        <v>0</v>
      </c>
      <c r="GQ155" s="2"/>
      <c r="GR155" s="2">
        <v>0</v>
      </c>
      <c r="GS155" s="2">
        <v>2</v>
      </c>
      <c r="GT155" s="2">
        <v>0</v>
      </c>
      <c r="GU155" s="2" t="s">
        <v>3</v>
      </c>
      <c r="GV155" s="2">
        <f t="shared" si="191"/>
        <v>0</v>
      </c>
      <c r="GW155" s="2">
        <v>1</v>
      </c>
      <c r="GX155" s="2">
        <f t="shared" si="192"/>
        <v>0</v>
      </c>
      <c r="GY155" s="2"/>
      <c r="GZ155" s="2"/>
      <c r="HA155" s="2">
        <v>0</v>
      </c>
      <c r="HB155" s="2">
        <v>0</v>
      </c>
      <c r="HC155" s="2">
        <f t="shared" si="193"/>
        <v>0</v>
      </c>
      <c r="HD155" s="2"/>
      <c r="HE155" s="2" t="s">
        <v>111</v>
      </c>
      <c r="HF155" s="2" t="s">
        <v>28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>
        <v>17</v>
      </c>
      <c r="B156">
        <v>1</v>
      </c>
      <c r="E156" t="s">
        <v>253</v>
      </c>
      <c r="F156" t="s">
        <v>254</v>
      </c>
      <c r="G156" t="s">
        <v>255</v>
      </c>
      <c r="H156" t="s">
        <v>107</v>
      </c>
      <c r="I156">
        <v>5</v>
      </c>
      <c r="J156">
        <v>0</v>
      </c>
      <c r="K156">
        <v>5</v>
      </c>
      <c r="O156">
        <f t="shared" si="168"/>
        <v>35827.35</v>
      </c>
      <c r="P156">
        <f t="shared" si="169"/>
        <v>35827.35</v>
      </c>
      <c r="Q156">
        <f t="shared" si="198"/>
        <v>0</v>
      </c>
      <c r="R156">
        <f t="shared" si="199"/>
        <v>0</v>
      </c>
      <c r="S156">
        <f t="shared" si="170"/>
        <v>0</v>
      </c>
      <c r="T156">
        <f t="shared" si="171"/>
        <v>0</v>
      </c>
      <c r="U156">
        <f t="shared" si="172"/>
        <v>0</v>
      </c>
      <c r="V156">
        <f t="shared" si="173"/>
        <v>0</v>
      </c>
      <c r="W156">
        <f t="shared" si="174"/>
        <v>0</v>
      </c>
      <c r="X156">
        <f t="shared" si="200"/>
        <v>0</v>
      </c>
      <c r="Y156">
        <f t="shared" si="201"/>
        <v>0</v>
      </c>
      <c r="AA156">
        <v>60255011</v>
      </c>
      <c r="AB156">
        <f t="shared" si="175"/>
        <v>725.25</v>
      </c>
      <c r="AC156">
        <f t="shared" si="176"/>
        <v>725.25</v>
      </c>
      <c r="AD156">
        <f t="shared" si="202"/>
        <v>0</v>
      </c>
      <c r="AE156">
        <f t="shared" si="203"/>
        <v>0</v>
      </c>
      <c r="AF156">
        <f t="shared" si="203"/>
        <v>0</v>
      </c>
      <c r="AG156">
        <f t="shared" si="177"/>
        <v>0</v>
      </c>
      <c r="AH156">
        <f t="shared" si="204"/>
        <v>0</v>
      </c>
      <c r="AI156">
        <f t="shared" si="204"/>
        <v>0</v>
      </c>
      <c r="AJ156">
        <f t="shared" si="178"/>
        <v>0</v>
      </c>
      <c r="AK156">
        <v>725.25</v>
      </c>
      <c r="AL156">
        <v>725.25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1</v>
      </c>
      <c r="AZ156">
        <v>1</v>
      </c>
      <c r="BA156">
        <v>1</v>
      </c>
      <c r="BB156">
        <v>1</v>
      </c>
      <c r="BC156">
        <v>9.8800000000000008</v>
      </c>
      <c r="BD156" t="s">
        <v>3</v>
      </c>
      <c r="BE156" t="s">
        <v>3</v>
      </c>
      <c r="BF156" t="s">
        <v>3</v>
      </c>
      <c r="BG156" t="s">
        <v>3</v>
      </c>
      <c r="BH156">
        <v>3</v>
      </c>
      <c r="BI156">
        <v>1</v>
      </c>
      <c r="BJ156" t="s">
        <v>3</v>
      </c>
      <c r="BM156">
        <v>400002</v>
      </c>
      <c r="BN156">
        <v>0</v>
      </c>
      <c r="BO156" t="s">
        <v>3</v>
      </c>
      <c r="BP156">
        <v>0</v>
      </c>
      <c r="BQ156">
        <v>202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 t="s">
        <v>3</v>
      </c>
      <c r="BZ156">
        <v>0</v>
      </c>
      <c r="CA156">
        <v>0</v>
      </c>
      <c r="CB156" t="s">
        <v>3</v>
      </c>
      <c r="CE156">
        <v>1566</v>
      </c>
      <c r="CF156">
        <v>0</v>
      </c>
      <c r="CG156">
        <v>0</v>
      </c>
      <c r="CM156">
        <v>0</v>
      </c>
      <c r="CN156" t="s">
        <v>3</v>
      </c>
      <c r="CO156">
        <v>0</v>
      </c>
      <c r="CP156">
        <f t="shared" si="179"/>
        <v>35827.35</v>
      </c>
      <c r="CQ156">
        <f t="shared" si="180"/>
        <v>7165.47</v>
      </c>
      <c r="CR156">
        <f t="shared" si="205"/>
        <v>0</v>
      </c>
      <c r="CS156">
        <f t="shared" si="206"/>
        <v>0</v>
      </c>
      <c r="CT156">
        <f t="shared" si="181"/>
        <v>0</v>
      </c>
      <c r="CU156">
        <f t="shared" si="182"/>
        <v>0</v>
      </c>
      <c r="CV156">
        <f t="shared" si="183"/>
        <v>0</v>
      </c>
      <c r="CW156">
        <f t="shared" si="184"/>
        <v>0</v>
      </c>
      <c r="CX156">
        <f t="shared" si="185"/>
        <v>0</v>
      </c>
      <c r="CY156">
        <f t="shared" si="207"/>
        <v>0</v>
      </c>
      <c r="CZ156">
        <f t="shared" si="208"/>
        <v>0</v>
      </c>
      <c r="DC156" t="s">
        <v>3</v>
      </c>
      <c r="DD156" t="s">
        <v>3</v>
      </c>
      <c r="DE156" t="s">
        <v>3</v>
      </c>
      <c r="DF156" t="s">
        <v>3</v>
      </c>
      <c r="DG156" t="s">
        <v>3</v>
      </c>
      <c r="DH156" t="s">
        <v>3</v>
      </c>
      <c r="DI156" t="s">
        <v>3</v>
      </c>
      <c r="DJ156" t="s">
        <v>3</v>
      </c>
      <c r="DK156" t="s">
        <v>3</v>
      </c>
      <c r="DL156" t="s">
        <v>3</v>
      </c>
      <c r="DM156" t="s">
        <v>3</v>
      </c>
      <c r="DN156">
        <v>0</v>
      </c>
      <c r="DO156">
        <v>0</v>
      </c>
      <c r="DP156">
        <v>1</v>
      </c>
      <c r="DQ156">
        <v>1</v>
      </c>
      <c r="DU156">
        <v>1013</v>
      </c>
      <c r="DV156" t="s">
        <v>107</v>
      </c>
      <c r="DW156" t="s">
        <v>107</v>
      </c>
      <c r="DX156">
        <v>1</v>
      </c>
      <c r="DZ156" t="s">
        <v>3</v>
      </c>
      <c r="EA156" t="s">
        <v>3</v>
      </c>
      <c r="EB156" t="s">
        <v>3</v>
      </c>
      <c r="EC156" t="s">
        <v>3</v>
      </c>
      <c r="EE156">
        <v>60088211</v>
      </c>
      <c r="EF156">
        <v>202</v>
      </c>
      <c r="EG156" t="s">
        <v>108</v>
      </c>
      <c r="EH156">
        <v>0</v>
      </c>
      <c r="EI156" t="s">
        <v>3</v>
      </c>
      <c r="EJ156">
        <v>1</v>
      </c>
      <c r="EK156">
        <v>400002</v>
      </c>
      <c r="EL156" t="s">
        <v>109</v>
      </c>
      <c r="EM156" t="s">
        <v>108</v>
      </c>
      <c r="EO156" t="s">
        <v>3</v>
      </c>
      <c r="EQ156">
        <v>0</v>
      </c>
      <c r="ER156">
        <v>725.25</v>
      </c>
      <c r="ES156">
        <v>725.25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5</v>
      </c>
      <c r="FC156">
        <v>1</v>
      </c>
      <c r="FD156">
        <v>18</v>
      </c>
      <c r="FF156">
        <v>8430</v>
      </c>
      <c r="FQ156">
        <v>0</v>
      </c>
      <c r="FR156">
        <v>0</v>
      </c>
      <c r="FS156">
        <v>0</v>
      </c>
      <c r="FX156">
        <v>0</v>
      </c>
      <c r="FY156">
        <v>0</v>
      </c>
      <c r="GA156" t="s">
        <v>256</v>
      </c>
      <c r="GD156">
        <v>1</v>
      </c>
      <c r="GF156">
        <v>929206609</v>
      </c>
      <c r="GG156">
        <v>2</v>
      </c>
      <c r="GH156">
        <v>3</v>
      </c>
      <c r="GI156">
        <v>5</v>
      </c>
      <c r="GJ156">
        <v>0</v>
      </c>
      <c r="GK156">
        <v>0</v>
      </c>
      <c r="GL156">
        <f t="shared" si="186"/>
        <v>0</v>
      </c>
      <c r="GM156">
        <f t="shared" si="187"/>
        <v>35827.35</v>
      </c>
      <c r="GN156">
        <f t="shared" si="188"/>
        <v>35827.35</v>
      </c>
      <c r="GO156">
        <f t="shared" si="189"/>
        <v>0</v>
      </c>
      <c r="GP156">
        <f t="shared" si="190"/>
        <v>0</v>
      </c>
      <c r="GR156">
        <v>1</v>
      </c>
      <c r="GS156">
        <v>1</v>
      </c>
      <c r="GT156">
        <v>0</v>
      </c>
      <c r="GU156" t="s">
        <v>3</v>
      </c>
      <c r="GV156">
        <f t="shared" si="191"/>
        <v>0</v>
      </c>
      <c r="GW156">
        <v>1</v>
      </c>
      <c r="GX156">
        <f t="shared" si="192"/>
        <v>0</v>
      </c>
      <c r="HA156">
        <v>0</v>
      </c>
      <c r="HB156">
        <v>0</v>
      </c>
      <c r="HC156">
        <f t="shared" si="193"/>
        <v>0</v>
      </c>
      <c r="HE156" t="s">
        <v>111</v>
      </c>
      <c r="HF156" t="s">
        <v>28</v>
      </c>
      <c r="HM156" t="s">
        <v>3</v>
      </c>
      <c r="HN156" t="s">
        <v>3</v>
      </c>
      <c r="HO156" t="s">
        <v>3</v>
      </c>
      <c r="HP156" t="s">
        <v>3</v>
      </c>
      <c r="HQ156" t="s">
        <v>3</v>
      </c>
      <c r="HS156">
        <v>0</v>
      </c>
      <c r="IK156">
        <v>0</v>
      </c>
    </row>
    <row r="157" spans="1:255" x14ac:dyDescent="0.2">
      <c r="A157" s="2">
        <v>17</v>
      </c>
      <c r="B157" s="2">
        <v>1</v>
      </c>
      <c r="C157" s="2"/>
      <c r="D157" s="2"/>
      <c r="E157" s="2" t="s">
        <v>257</v>
      </c>
      <c r="F157" s="2" t="s">
        <v>258</v>
      </c>
      <c r="G157" s="2" t="s">
        <v>259</v>
      </c>
      <c r="H157" s="2" t="s">
        <v>31</v>
      </c>
      <c r="I157" s="2">
        <v>13</v>
      </c>
      <c r="J157" s="2">
        <v>0</v>
      </c>
      <c r="K157" s="2">
        <v>13</v>
      </c>
      <c r="L157" s="2"/>
      <c r="M157" s="2"/>
      <c r="N157" s="2"/>
      <c r="O157" s="2">
        <f t="shared" si="168"/>
        <v>26053.69</v>
      </c>
      <c r="P157" s="2">
        <f t="shared" si="169"/>
        <v>26053.69</v>
      </c>
      <c r="Q157" s="2">
        <f t="shared" si="198"/>
        <v>0</v>
      </c>
      <c r="R157" s="2">
        <f t="shared" si="199"/>
        <v>0</v>
      </c>
      <c r="S157" s="2">
        <f t="shared" si="170"/>
        <v>0</v>
      </c>
      <c r="T157" s="2">
        <f t="shared" si="171"/>
        <v>0</v>
      </c>
      <c r="U157" s="2">
        <f t="shared" si="172"/>
        <v>0</v>
      </c>
      <c r="V157" s="2">
        <f t="shared" si="173"/>
        <v>0</v>
      </c>
      <c r="W157" s="2">
        <f t="shared" si="174"/>
        <v>0</v>
      </c>
      <c r="X157" s="2">
        <f t="shared" si="200"/>
        <v>0</v>
      </c>
      <c r="Y157" s="2">
        <f t="shared" si="201"/>
        <v>0</v>
      </c>
      <c r="Z157" s="2"/>
      <c r="AA157" s="2">
        <v>60255014</v>
      </c>
      <c r="AB157" s="2">
        <f t="shared" si="175"/>
        <v>2004.13</v>
      </c>
      <c r="AC157" s="2">
        <f t="shared" si="176"/>
        <v>2004.13</v>
      </c>
      <c r="AD157" s="2">
        <f t="shared" si="202"/>
        <v>0</v>
      </c>
      <c r="AE157" s="2">
        <f t="shared" si="203"/>
        <v>0</v>
      </c>
      <c r="AF157" s="2">
        <f t="shared" si="203"/>
        <v>0</v>
      </c>
      <c r="AG157" s="2">
        <f t="shared" si="177"/>
        <v>0</v>
      </c>
      <c r="AH157" s="2">
        <f t="shared" si="204"/>
        <v>0</v>
      </c>
      <c r="AI157" s="2">
        <f t="shared" si="204"/>
        <v>0</v>
      </c>
      <c r="AJ157" s="2">
        <f t="shared" si="178"/>
        <v>0</v>
      </c>
      <c r="AK157" s="2">
        <v>2004.13</v>
      </c>
      <c r="AL157" s="2">
        <v>2004.13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260</v>
      </c>
      <c r="BK157" s="2"/>
      <c r="BL157" s="2"/>
      <c r="BM157" s="2">
        <v>1617</v>
      </c>
      <c r="BN157" s="2">
        <v>58973374</v>
      </c>
      <c r="BO157" s="2" t="s">
        <v>3</v>
      </c>
      <c r="BP157" s="2">
        <v>0</v>
      </c>
      <c r="BQ157" s="2">
        <v>200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0</v>
      </c>
      <c r="CA157" s="2">
        <v>0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3</v>
      </c>
      <c r="CO157" s="2">
        <v>0</v>
      </c>
      <c r="CP157" s="2">
        <f t="shared" si="179"/>
        <v>26053.69</v>
      </c>
      <c r="CQ157" s="2">
        <f t="shared" si="180"/>
        <v>2004.13</v>
      </c>
      <c r="CR157" s="2">
        <f t="shared" si="205"/>
        <v>0</v>
      </c>
      <c r="CS157" s="2">
        <f t="shared" si="206"/>
        <v>0</v>
      </c>
      <c r="CT157" s="2">
        <f t="shared" si="181"/>
        <v>0</v>
      </c>
      <c r="CU157" s="2">
        <f t="shared" si="182"/>
        <v>0</v>
      </c>
      <c r="CV157" s="2">
        <f t="shared" si="183"/>
        <v>0</v>
      </c>
      <c r="CW157" s="2">
        <f t="shared" si="184"/>
        <v>0</v>
      </c>
      <c r="CX157" s="2">
        <f t="shared" si="185"/>
        <v>0</v>
      </c>
      <c r="CY157" s="2">
        <f t="shared" si="207"/>
        <v>0</v>
      </c>
      <c r="CZ157" s="2">
        <f t="shared" si="208"/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1010</v>
      </c>
      <c r="DV157" s="2" t="s">
        <v>31</v>
      </c>
      <c r="DW157" s="2" t="s">
        <v>31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60088328</v>
      </c>
      <c r="EF157" s="2">
        <v>200</v>
      </c>
      <c r="EG157" s="2" t="s">
        <v>210</v>
      </c>
      <c r="EH157" s="2">
        <v>0</v>
      </c>
      <c r="EI157" s="2" t="s">
        <v>3</v>
      </c>
      <c r="EJ157" s="2">
        <v>1</v>
      </c>
      <c r="EK157" s="2">
        <v>1617</v>
      </c>
      <c r="EL157" s="2" t="s">
        <v>211</v>
      </c>
      <c r="EM157" s="2" t="s">
        <v>212</v>
      </c>
      <c r="EN157" s="2"/>
      <c r="EO157" s="2" t="s">
        <v>3</v>
      </c>
      <c r="EP157" s="2"/>
      <c r="EQ157" s="2">
        <v>0</v>
      </c>
      <c r="ER157" s="2">
        <v>2004.13</v>
      </c>
      <c r="ES157" s="2">
        <v>2004.13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0</v>
      </c>
      <c r="FY157" s="2">
        <v>0</v>
      </c>
      <c r="FZ157" s="2"/>
      <c r="GA157" s="2" t="s">
        <v>3</v>
      </c>
      <c r="GB157" s="2"/>
      <c r="GC157" s="2"/>
      <c r="GD157" s="2">
        <v>1</v>
      </c>
      <c r="GE157" s="2"/>
      <c r="GF157" s="2">
        <v>-1908939967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86"/>
        <v>0</v>
      </c>
      <c r="GM157" s="2">
        <f t="shared" si="187"/>
        <v>26053.69</v>
      </c>
      <c r="GN157" s="2">
        <f t="shared" si="188"/>
        <v>26053.69</v>
      </c>
      <c r="GO157" s="2">
        <f t="shared" si="189"/>
        <v>0</v>
      </c>
      <c r="GP157" s="2">
        <f t="shared" si="190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191"/>
        <v>0</v>
      </c>
      <c r="GW157" s="2">
        <v>1</v>
      </c>
      <c r="GX157" s="2">
        <f t="shared" si="192"/>
        <v>0</v>
      </c>
      <c r="GY157" s="2"/>
      <c r="GZ157" s="2"/>
      <c r="HA157" s="2">
        <v>0</v>
      </c>
      <c r="HB157" s="2">
        <v>0</v>
      </c>
      <c r="HC157" s="2">
        <f t="shared" si="193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>
        <v>17</v>
      </c>
      <c r="B158">
        <v>1</v>
      </c>
      <c r="E158" t="s">
        <v>257</v>
      </c>
      <c r="F158" t="s">
        <v>258</v>
      </c>
      <c r="G158" t="s">
        <v>259</v>
      </c>
      <c r="H158" t="s">
        <v>31</v>
      </c>
      <c r="I158">
        <v>13</v>
      </c>
      <c r="J158">
        <v>0</v>
      </c>
      <c r="K158">
        <v>13</v>
      </c>
      <c r="O158">
        <f t="shared" si="168"/>
        <v>130268.45</v>
      </c>
      <c r="P158">
        <f t="shared" si="169"/>
        <v>130268.45</v>
      </c>
      <c r="Q158">
        <f t="shared" si="198"/>
        <v>0</v>
      </c>
      <c r="R158">
        <f t="shared" si="199"/>
        <v>0</v>
      </c>
      <c r="S158">
        <f t="shared" si="170"/>
        <v>0</v>
      </c>
      <c r="T158">
        <f t="shared" si="171"/>
        <v>0</v>
      </c>
      <c r="U158">
        <f t="shared" si="172"/>
        <v>0</v>
      </c>
      <c r="V158">
        <f t="shared" si="173"/>
        <v>0</v>
      </c>
      <c r="W158">
        <f t="shared" si="174"/>
        <v>0</v>
      </c>
      <c r="X158">
        <f t="shared" si="200"/>
        <v>0</v>
      </c>
      <c r="Y158">
        <f t="shared" si="201"/>
        <v>0</v>
      </c>
      <c r="AA158">
        <v>60255011</v>
      </c>
      <c r="AB158">
        <f t="shared" si="175"/>
        <v>2004.13</v>
      </c>
      <c r="AC158">
        <f t="shared" si="176"/>
        <v>2004.13</v>
      </c>
      <c r="AD158">
        <f t="shared" si="202"/>
        <v>0</v>
      </c>
      <c r="AE158">
        <f t="shared" si="203"/>
        <v>0</v>
      </c>
      <c r="AF158">
        <f t="shared" si="203"/>
        <v>0</v>
      </c>
      <c r="AG158">
        <f t="shared" si="177"/>
        <v>0</v>
      </c>
      <c r="AH158">
        <f t="shared" si="204"/>
        <v>0</v>
      </c>
      <c r="AI158">
        <f t="shared" si="204"/>
        <v>0</v>
      </c>
      <c r="AJ158">
        <f t="shared" si="178"/>
        <v>0</v>
      </c>
      <c r="AK158">
        <v>2004.13</v>
      </c>
      <c r="AL158">
        <v>2004.13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Z158">
        <v>1</v>
      </c>
      <c r="BA158">
        <v>1</v>
      </c>
      <c r="BB158">
        <v>1</v>
      </c>
      <c r="BC158">
        <v>5</v>
      </c>
      <c r="BD158" t="s">
        <v>3</v>
      </c>
      <c r="BE158" t="s">
        <v>3</v>
      </c>
      <c r="BF158" t="s">
        <v>3</v>
      </c>
      <c r="BG158" t="s">
        <v>3</v>
      </c>
      <c r="BH158">
        <v>3</v>
      </c>
      <c r="BI158">
        <v>1</v>
      </c>
      <c r="BJ158" t="s">
        <v>260</v>
      </c>
      <c r="BM158">
        <v>1617</v>
      </c>
      <c r="BN158">
        <v>58973374</v>
      </c>
      <c r="BO158" t="s">
        <v>258</v>
      </c>
      <c r="BP158">
        <v>1</v>
      </c>
      <c r="BQ158">
        <v>200</v>
      </c>
      <c r="BR158">
        <v>0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 t="s">
        <v>3</v>
      </c>
      <c r="BZ158">
        <v>0</v>
      </c>
      <c r="CA158">
        <v>0</v>
      </c>
      <c r="CB158" t="s">
        <v>3</v>
      </c>
      <c r="CE158">
        <v>1566</v>
      </c>
      <c r="CF158">
        <v>0</v>
      </c>
      <c r="CG158">
        <v>0</v>
      </c>
      <c r="CM158">
        <v>0</v>
      </c>
      <c r="CN158" t="s">
        <v>3</v>
      </c>
      <c r="CO158">
        <v>0</v>
      </c>
      <c r="CP158">
        <f t="shared" si="179"/>
        <v>130268.45</v>
      </c>
      <c r="CQ158">
        <f t="shared" si="180"/>
        <v>10020.65</v>
      </c>
      <c r="CR158">
        <f t="shared" si="205"/>
        <v>0</v>
      </c>
      <c r="CS158">
        <f t="shared" si="206"/>
        <v>0</v>
      </c>
      <c r="CT158">
        <f t="shared" si="181"/>
        <v>0</v>
      </c>
      <c r="CU158">
        <f t="shared" si="182"/>
        <v>0</v>
      </c>
      <c r="CV158">
        <f t="shared" si="183"/>
        <v>0</v>
      </c>
      <c r="CW158">
        <f t="shared" si="184"/>
        <v>0</v>
      </c>
      <c r="CX158">
        <f t="shared" si="185"/>
        <v>0</v>
      </c>
      <c r="CY158">
        <f t="shared" si="207"/>
        <v>0</v>
      </c>
      <c r="CZ158">
        <f t="shared" si="208"/>
        <v>0</v>
      </c>
      <c r="DC158" t="s">
        <v>3</v>
      </c>
      <c r="DD158" t="s">
        <v>3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>
        <v>0</v>
      </c>
      <c r="DO158">
        <v>0</v>
      </c>
      <c r="DP158">
        <v>1</v>
      </c>
      <c r="DQ158">
        <v>1</v>
      </c>
      <c r="DU158">
        <v>1010</v>
      </c>
      <c r="DV158" t="s">
        <v>31</v>
      </c>
      <c r="DW158" t="s">
        <v>31</v>
      </c>
      <c r="DX158">
        <v>1</v>
      </c>
      <c r="DZ158" t="s">
        <v>3</v>
      </c>
      <c r="EA158" t="s">
        <v>3</v>
      </c>
      <c r="EB158" t="s">
        <v>3</v>
      </c>
      <c r="EC158" t="s">
        <v>3</v>
      </c>
      <c r="EE158">
        <v>60088328</v>
      </c>
      <c r="EF158">
        <v>200</v>
      </c>
      <c r="EG158" t="s">
        <v>210</v>
      </c>
      <c r="EH158">
        <v>0</v>
      </c>
      <c r="EI158" t="s">
        <v>3</v>
      </c>
      <c r="EJ158">
        <v>1</v>
      </c>
      <c r="EK158">
        <v>1617</v>
      </c>
      <c r="EL158" t="s">
        <v>211</v>
      </c>
      <c r="EM158" t="s">
        <v>212</v>
      </c>
      <c r="EO158" t="s">
        <v>3</v>
      </c>
      <c r="EQ158">
        <v>0</v>
      </c>
      <c r="ER158">
        <v>2004.13</v>
      </c>
      <c r="ES158">
        <v>2004.13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FQ158">
        <v>0</v>
      </c>
      <c r="FR158">
        <v>0</v>
      </c>
      <c r="FS158">
        <v>0</v>
      </c>
      <c r="FX158">
        <v>0</v>
      </c>
      <c r="FY158">
        <v>0</v>
      </c>
      <c r="GA158" t="s">
        <v>3</v>
      </c>
      <c r="GD158">
        <v>1</v>
      </c>
      <c r="GF158">
        <v>-1908939967</v>
      </c>
      <c r="GG158">
        <v>2</v>
      </c>
      <c r="GH158">
        <v>1</v>
      </c>
      <c r="GI158">
        <v>2</v>
      </c>
      <c r="GJ158">
        <v>0</v>
      </c>
      <c r="GK158">
        <v>0</v>
      </c>
      <c r="GL158">
        <f t="shared" si="186"/>
        <v>0</v>
      </c>
      <c r="GM158">
        <f t="shared" si="187"/>
        <v>130268.45</v>
      </c>
      <c r="GN158">
        <f t="shared" si="188"/>
        <v>130268.45</v>
      </c>
      <c r="GO158">
        <f t="shared" si="189"/>
        <v>0</v>
      </c>
      <c r="GP158">
        <f t="shared" si="190"/>
        <v>0</v>
      </c>
      <c r="GR158">
        <v>0</v>
      </c>
      <c r="GS158">
        <v>3</v>
      </c>
      <c r="GT158">
        <v>0</v>
      </c>
      <c r="GU158" t="s">
        <v>3</v>
      </c>
      <c r="GV158">
        <f t="shared" si="191"/>
        <v>0</v>
      </c>
      <c r="GW158">
        <v>1</v>
      </c>
      <c r="GX158">
        <f t="shared" si="192"/>
        <v>0</v>
      </c>
      <c r="HA158">
        <v>0</v>
      </c>
      <c r="HB158">
        <v>0</v>
      </c>
      <c r="HC158">
        <f t="shared" si="193"/>
        <v>0</v>
      </c>
      <c r="HE158" t="s">
        <v>3</v>
      </c>
      <c r="HF158" t="s">
        <v>3</v>
      </c>
      <c r="HM158" t="s">
        <v>3</v>
      </c>
      <c r="HN158" t="s">
        <v>3</v>
      </c>
      <c r="HO158" t="s">
        <v>3</v>
      </c>
      <c r="HP158" t="s">
        <v>3</v>
      </c>
      <c r="HQ158" t="s">
        <v>3</v>
      </c>
      <c r="HS158">
        <v>0</v>
      </c>
      <c r="IK158">
        <v>0</v>
      </c>
    </row>
    <row r="159" spans="1:255" x14ac:dyDescent="0.2">
      <c r="A159" s="2">
        <v>17</v>
      </c>
      <c r="B159" s="2">
        <v>1</v>
      </c>
      <c r="C159" s="2"/>
      <c r="D159" s="2"/>
      <c r="E159" s="2" t="s">
        <v>261</v>
      </c>
      <c r="F159" s="2" t="s">
        <v>262</v>
      </c>
      <c r="G159" s="2" t="s">
        <v>263</v>
      </c>
      <c r="H159" s="2" t="s">
        <v>31</v>
      </c>
      <c r="I159" s="2">
        <v>12</v>
      </c>
      <c r="J159" s="2">
        <v>0</v>
      </c>
      <c r="K159" s="2">
        <v>12</v>
      </c>
      <c r="L159" s="2"/>
      <c r="M159" s="2"/>
      <c r="N159" s="2"/>
      <c r="O159" s="2">
        <f t="shared" si="168"/>
        <v>28729.439999999999</v>
      </c>
      <c r="P159" s="2">
        <f t="shared" si="169"/>
        <v>28729.439999999999</v>
      </c>
      <c r="Q159" s="2">
        <f t="shared" si="198"/>
        <v>0</v>
      </c>
      <c r="R159" s="2">
        <f t="shared" si="199"/>
        <v>0</v>
      </c>
      <c r="S159" s="2">
        <f t="shared" si="170"/>
        <v>0</v>
      </c>
      <c r="T159" s="2">
        <f t="shared" si="171"/>
        <v>0</v>
      </c>
      <c r="U159" s="2">
        <f t="shared" si="172"/>
        <v>0</v>
      </c>
      <c r="V159" s="2">
        <f t="shared" si="173"/>
        <v>0</v>
      </c>
      <c r="W159" s="2">
        <f t="shared" si="174"/>
        <v>0</v>
      </c>
      <c r="X159" s="2">
        <f t="shared" si="200"/>
        <v>0</v>
      </c>
      <c r="Y159" s="2">
        <f t="shared" si="201"/>
        <v>0</v>
      </c>
      <c r="Z159" s="2"/>
      <c r="AA159" s="2">
        <v>60255014</v>
      </c>
      <c r="AB159" s="2">
        <f t="shared" si="175"/>
        <v>2394.12</v>
      </c>
      <c r="AC159" s="2">
        <f t="shared" si="176"/>
        <v>2394.12</v>
      </c>
      <c r="AD159" s="2">
        <f t="shared" si="202"/>
        <v>0</v>
      </c>
      <c r="AE159" s="2">
        <f t="shared" si="203"/>
        <v>0</v>
      </c>
      <c r="AF159" s="2">
        <f t="shared" si="203"/>
        <v>0</v>
      </c>
      <c r="AG159" s="2">
        <f t="shared" si="177"/>
        <v>0</v>
      </c>
      <c r="AH159" s="2">
        <f t="shared" si="204"/>
        <v>0</v>
      </c>
      <c r="AI159" s="2">
        <f t="shared" si="204"/>
        <v>0</v>
      </c>
      <c r="AJ159" s="2">
        <f t="shared" si="178"/>
        <v>0</v>
      </c>
      <c r="AK159" s="2">
        <v>2394.12</v>
      </c>
      <c r="AL159" s="2">
        <v>2394.12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264</v>
      </c>
      <c r="BK159" s="2"/>
      <c r="BL159" s="2"/>
      <c r="BM159" s="2">
        <v>1617</v>
      </c>
      <c r="BN159" s="2">
        <v>58973374</v>
      </c>
      <c r="BO159" s="2" t="s">
        <v>3</v>
      </c>
      <c r="BP159" s="2">
        <v>0</v>
      </c>
      <c r="BQ159" s="2">
        <v>200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0</v>
      </c>
      <c r="CA159" s="2">
        <v>0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79"/>
        <v>28729.439999999999</v>
      </c>
      <c r="CQ159" s="2">
        <f t="shared" si="180"/>
        <v>2394.12</v>
      </c>
      <c r="CR159" s="2">
        <f t="shared" si="205"/>
        <v>0</v>
      </c>
      <c r="CS159" s="2">
        <f t="shared" si="206"/>
        <v>0</v>
      </c>
      <c r="CT159" s="2">
        <f t="shared" si="181"/>
        <v>0</v>
      </c>
      <c r="CU159" s="2">
        <f t="shared" si="182"/>
        <v>0</v>
      </c>
      <c r="CV159" s="2">
        <f t="shared" si="183"/>
        <v>0</v>
      </c>
      <c r="CW159" s="2">
        <f t="shared" si="184"/>
        <v>0</v>
      </c>
      <c r="CX159" s="2">
        <f t="shared" si="185"/>
        <v>0</v>
      </c>
      <c r="CY159" s="2">
        <f t="shared" si="207"/>
        <v>0</v>
      </c>
      <c r="CZ159" s="2">
        <f t="shared" si="208"/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31</v>
      </c>
      <c r="DW159" s="2" t="s">
        <v>31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60088328</v>
      </c>
      <c r="EF159" s="2">
        <v>200</v>
      </c>
      <c r="EG159" s="2" t="s">
        <v>210</v>
      </c>
      <c r="EH159" s="2">
        <v>0</v>
      </c>
      <c r="EI159" s="2" t="s">
        <v>3</v>
      </c>
      <c r="EJ159" s="2">
        <v>1</v>
      </c>
      <c r="EK159" s="2">
        <v>1617</v>
      </c>
      <c r="EL159" s="2" t="s">
        <v>211</v>
      </c>
      <c r="EM159" s="2" t="s">
        <v>212</v>
      </c>
      <c r="EN159" s="2"/>
      <c r="EO159" s="2" t="s">
        <v>3</v>
      </c>
      <c r="EP159" s="2"/>
      <c r="EQ159" s="2">
        <v>0</v>
      </c>
      <c r="ER159" s="2">
        <v>2394.12</v>
      </c>
      <c r="ES159" s="2">
        <v>2394.12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0</v>
      </c>
      <c r="FY159" s="2">
        <v>0</v>
      </c>
      <c r="FZ159" s="2"/>
      <c r="GA159" s="2" t="s">
        <v>3</v>
      </c>
      <c r="GB159" s="2"/>
      <c r="GC159" s="2"/>
      <c r="GD159" s="2">
        <v>1</v>
      </c>
      <c r="GE159" s="2"/>
      <c r="GF159" s="2">
        <v>-1797748455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86"/>
        <v>0</v>
      </c>
      <c r="GM159" s="2">
        <f t="shared" si="187"/>
        <v>28729.439999999999</v>
      </c>
      <c r="GN159" s="2">
        <f t="shared" si="188"/>
        <v>28729.439999999999</v>
      </c>
      <c r="GO159" s="2">
        <f t="shared" si="189"/>
        <v>0</v>
      </c>
      <c r="GP159" s="2">
        <f t="shared" si="190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91"/>
        <v>0</v>
      </c>
      <c r="GW159" s="2">
        <v>1</v>
      </c>
      <c r="GX159" s="2">
        <f t="shared" si="192"/>
        <v>0</v>
      </c>
      <c r="GY159" s="2"/>
      <c r="GZ159" s="2"/>
      <c r="HA159" s="2">
        <v>0</v>
      </c>
      <c r="HB159" s="2">
        <v>0</v>
      </c>
      <c r="HC159" s="2">
        <f t="shared" si="193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>
        <v>17</v>
      </c>
      <c r="B160">
        <v>1</v>
      </c>
      <c r="E160" t="s">
        <v>261</v>
      </c>
      <c r="F160" t="s">
        <v>262</v>
      </c>
      <c r="G160" t="s">
        <v>263</v>
      </c>
      <c r="H160" t="s">
        <v>31</v>
      </c>
      <c r="I160">
        <v>12</v>
      </c>
      <c r="J160">
        <v>0</v>
      </c>
      <c r="K160">
        <v>12</v>
      </c>
      <c r="O160">
        <f t="shared" si="168"/>
        <v>138763.20000000001</v>
      </c>
      <c r="P160">
        <f t="shared" si="169"/>
        <v>138763.20000000001</v>
      </c>
      <c r="Q160">
        <f t="shared" si="198"/>
        <v>0</v>
      </c>
      <c r="R160">
        <f t="shared" si="199"/>
        <v>0</v>
      </c>
      <c r="S160">
        <f t="shared" si="170"/>
        <v>0</v>
      </c>
      <c r="T160">
        <f t="shared" si="171"/>
        <v>0</v>
      </c>
      <c r="U160">
        <f t="shared" si="172"/>
        <v>0</v>
      </c>
      <c r="V160">
        <f t="shared" si="173"/>
        <v>0</v>
      </c>
      <c r="W160">
        <f t="shared" si="174"/>
        <v>0</v>
      </c>
      <c r="X160">
        <f t="shared" si="200"/>
        <v>0</v>
      </c>
      <c r="Y160">
        <f t="shared" si="201"/>
        <v>0</v>
      </c>
      <c r="AA160">
        <v>60255011</v>
      </c>
      <c r="AB160">
        <f t="shared" si="175"/>
        <v>2394.12</v>
      </c>
      <c r="AC160">
        <f t="shared" si="176"/>
        <v>2394.12</v>
      </c>
      <c r="AD160">
        <f t="shared" si="202"/>
        <v>0</v>
      </c>
      <c r="AE160">
        <f t="shared" si="203"/>
        <v>0</v>
      </c>
      <c r="AF160">
        <f t="shared" si="203"/>
        <v>0</v>
      </c>
      <c r="AG160">
        <f t="shared" si="177"/>
        <v>0</v>
      </c>
      <c r="AH160">
        <f t="shared" si="204"/>
        <v>0</v>
      </c>
      <c r="AI160">
        <f t="shared" si="204"/>
        <v>0</v>
      </c>
      <c r="AJ160">
        <f t="shared" si="178"/>
        <v>0</v>
      </c>
      <c r="AK160">
        <v>2394.12</v>
      </c>
      <c r="AL160">
        <v>2394.12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Z160">
        <v>1</v>
      </c>
      <c r="BA160">
        <v>1</v>
      </c>
      <c r="BB160">
        <v>1</v>
      </c>
      <c r="BC160">
        <v>4.83</v>
      </c>
      <c r="BD160" t="s">
        <v>3</v>
      </c>
      <c r="BE160" t="s">
        <v>3</v>
      </c>
      <c r="BF160" t="s">
        <v>3</v>
      </c>
      <c r="BG160" t="s">
        <v>3</v>
      </c>
      <c r="BH160">
        <v>3</v>
      </c>
      <c r="BI160">
        <v>1</v>
      </c>
      <c r="BJ160" t="s">
        <v>264</v>
      </c>
      <c r="BM160">
        <v>1617</v>
      </c>
      <c r="BN160">
        <v>58973374</v>
      </c>
      <c r="BO160" t="s">
        <v>262</v>
      </c>
      <c r="BP160">
        <v>1</v>
      </c>
      <c r="BQ160">
        <v>200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 t="s">
        <v>3</v>
      </c>
      <c r="BZ160">
        <v>0</v>
      </c>
      <c r="CA160">
        <v>0</v>
      </c>
      <c r="CB160" t="s">
        <v>3</v>
      </c>
      <c r="CE160">
        <v>1566</v>
      </c>
      <c r="CF160">
        <v>0</v>
      </c>
      <c r="CG160">
        <v>0</v>
      </c>
      <c r="CM160">
        <v>0</v>
      </c>
      <c r="CN160" t="s">
        <v>3</v>
      </c>
      <c r="CO160">
        <v>0</v>
      </c>
      <c r="CP160">
        <f t="shared" si="179"/>
        <v>138763.20000000001</v>
      </c>
      <c r="CQ160">
        <f t="shared" si="180"/>
        <v>11563.6</v>
      </c>
      <c r="CR160">
        <f t="shared" si="205"/>
        <v>0</v>
      </c>
      <c r="CS160">
        <f t="shared" si="206"/>
        <v>0</v>
      </c>
      <c r="CT160">
        <f t="shared" si="181"/>
        <v>0</v>
      </c>
      <c r="CU160">
        <f t="shared" si="182"/>
        <v>0</v>
      </c>
      <c r="CV160">
        <f t="shared" si="183"/>
        <v>0</v>
      </c>
      <c r="CW160">
        <f t="shared" si="184"/>
        <v>0</v>
      </c>
      <c r="CX160">
        <f t="shared" si="185"/>
        <v>0</v>
      </c>
      <c r="CY160">
        <f t="shared" si="207"/>
        <v>0</v>
      </c>
      <c r="CZ160">
        <f t="shared" si="208"/>
        <v>0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>
        <v>0</v>
      </c>
      <c r="DO160">
        <v>0</v>
      </c>
      <c r="DP160">
        <v>1</v>
      </c>
      <c r="DQ160">
        <v>1</v>
      </c>
      <c r="DU160">
        <v>1010</v>
      </c>
      <c r="DV160" t="s">
        <v>31</v>
      </c>
      <c r="DW160" t="s">
        <v>31</v>
      </c>
      <c r="DX160">
        <v>1</v>
      </c>
      <c r="DZ160" t="s">
        <v>3</v>
      </c>
      <c r="EA160" t="s">
        <v>3</v>
      </c>
      <c r="EB160" t="s">
        <v>3</v>
      </c>
      <c r="EC160" t="s">
        <v>3</v>
      </c>
      <c r="EE160">
        <v>60088328</v>
      </c>
      <c r="EF160">
        <v>200</v>
      </c>
      <c r="EG160" t="s">
        <v>210</v>
      </c>
      <c r="EH160">
        <v>0</v>
      </c>
      <c r="EI160" t="s">
        <v>3</v>
      </c>
      <c r="EJ160">
        <v>1</v>
      </c>
      <c r="EK160">
        <v>1617</v>
      </c>
      <c r="EL160" t="s">
        <v>211</v>
      </c>
      <c r="EM160" t="s">
        <v>212</v>
      </c>
      <c r="EO160" t="s">
        <v>3</v>
      </c>
      <c r="EQ160">
        <v>0</v>
      </c>
      <c r="ER160">
        <v>2394.12</v>
      </c>
      <c r="ES160">
        <v>2394.12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FQ160">
        <v>0</v>
      </c>
      <c r="FR160">
        <v>0</v>
      </c>
      <c r="FS160">
        <v>0</v>
      </c>
      <c r="FX160">
        <v>0</v>
      </c>
      <c r="FY160">
        <v>0</v>
      </c>
      <c r="GA160" t="s">
        <v>3</v>
      </c>
      <c r="GD160">
        <v>1</v>
      </c>
      <c r="GF160">
        <v>-1797748455</v>
      </c>
      <c r="GG160">
        <v>2</v>
      </c>
      <c r="GH160">
        <v>1</v>
      </c>
      <c r="GI160">
        <v>2</v>
      </c>
      <c r="GJ160">
        <v>0</v>
      </c>
      <c r="GK160">
        <v>0</v>
      </c>
      <c r="GL160">
        <f t="shared" si="186"/>
        <v>0</v>
      </c>
      <c r="GM160">
        <f t="shared" si="187"/>
        <v>138763.20000000001</v>
      </c>
      <c r="GN160">
        <f t="shared" si="188"/>
        <v>138763.20000000001</v>
      </c>
      <c r="GO160">
        <f t="shared" si="189"/>
        <v>0</v>
      </c>
      <c r="GP160">
        <f t="shared" si="190"/>
        <v>0</v>
      </c>
      <c r="GR160">
        <v>0</v>
      </c>
      <c r="GS160">
        <v>3</v>
      </c>
      <c r="GT160">
        <v>0</v>
      </c>
      <c r="GU160" t="s">
        <v>3</v>
      </c>
      <c r="GV160">
        <f t="shared" si="191"/>
        <v>0</v>
      </c>
      <c r="GW160">
        <v>1</v>
      </c>
      <c r="GX160">
        <f t="shared" si="192"/>
        <v>0</v>
      </c>
      <c r="HA160">
        <v>0</v>
      </c>
      <c r="HB160">
        <v>0</v>
      </c>
      <c r="HC160">
        <f t="shared" si="193"/>
        <v>0</v>
      </c>
      <c r="HE160" t="s">
        <v>3</v>
      </c>
      <c r="HF160" t="s">
        <v>3</v>
      </c>
      <c r="HM160" t="s">
        <v>3</v>
      </c>
      <c r="HN160" t="s">
        <v>3</v>
      </c>
      <c r="HO160" t="s">
        <v>3</v>
      </c>
      <c r="HP160" t="s">
        <v>3</v>
      </c>
      <c r="HQ160" t="s">
        <v>3</v>
      </c>
      <c r="HS160">
        <v>0</v>
      </c>
      <c r="IK160">
        <v>0</v>
      </c>
    </row>
    <row r="161" spans="1:255" x14ac:dyDescent="0.2">
      <c r="A161" s="2">
        <v>19</v>
      </c>
      <c r="B161" s="2">
        <v>1</v>
      </c>
      <c r="C161" s="2"/>
      <c r="D161" s="2"/>
      <c r="E161" s="2"/>
      <c r="F161" s="2" t="s">
        <v>3</v>
      </c>
      <c r="G161" s="2" t="s">
        <v>265</v>
      </c>
      <c r="H161" s="2" t="s">
        <v>3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>
        <v>1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2">
        <v>17</v>
      </c>
      <c r="B162" s="2">
        <v>1</v>
      </c>
      <c r="C162" s="2"/>
      <c r="D162" s="2"/>
      <c r="E162" s="2" t="s">
        <v>266</v>
      </c>
      <c r="F162" s="2" t="s">
        <v>267</v>
      </c>
      <c r="G162" s="2" t="s">
        <v>268</v>
      </c>
      <c r="H162" s="2" t="s">
        <v>107</v>
      </c>
      <c r="I162" s="2">
        <v>347</v>
      </c>
      <c r="J162" s="2">
        <v>0</v>
      </c>
      <c r="K162" s="2">
        <v>347</v>
      </c>
      <c r="L162" s="2"/>
      <c r="M162" s="2"/>
      <c r="N162" s="2"/>
      <c r="O162" s="2">
        <f>ROUND(CP162,2)</f>
        <v>19702.66</v>
      </c>
      <c r="P162" s="2">
        <f>ROUND((ROUND((AC162*AW162*I162),2)*BC162),2)</f>
        <v>19702.66</v>
      </c>
      <c r="Q162" s="2">
        <f>(ROUND((ROUND(((ET162)*AV162*I162),2)*BB162),2)+ROUND((ROUND(((AE162-(EU162))*AV162*I162),2)*BS162),2))</f>
        <v>0</v>
      </c>
      <c r="R162" s="2">
        <f>(ROUND((ROUND(((EU162)*AV162*I162),2)*BS162),2)+ROUND((ROUND(((AE162-(EU162))*AV162*I162),2)*BS162),2))</f>
        <v>0</v>
      </c>
      <c r="S162" s="2">
        <f>ROUND((ROUND((AF162*AV162*I162),2)*BA162),2)</f>
        <v>0</v>
      </c>
      <c r="T162" s="2">
        <f>ROUND(CU162*I162,2)</f>
        <v>0</v>
      </c>
      <c r="U162" s="2">
        <f>CV162*I162</f>
        <v>0</v>
      </c>
      <c r="V162" s="2">
        <f>CW162*I162</f>
        <v>0</v>
      </c>
      <c r="W162" s="2">
        <f>ROUND(CX162*I162,2)</f>
        <v>0</v>
      </c>
      <c r="X162" s="2">
        <f>(ROUND((((S162+ROUND((ROUND(((EU162)*AV162*I162),2)*BS162),2))*AT162)/100),2)+ROUND(((ROUND((ROUND(((AE162-(EU162))*AV162*I162),2)*BS162),2)*AT162)/100),2))</f>
        <v>0</v>
      </c>
      <c r="Y162" s="2">
        <f>(ROUND((((S162+ROUND((ROUND(((EU162)*AV162*I162),2)*BS162),2))*AU162)/100),2)+ROUND(((ROUND((ROUND(((AE162-(EU162))*AV162*I162),2)*BS162),2)*AU162)/100),2))</f>
        <v>0</v>
      </c>
      <c r="Z162" s="2"/>
      <c r="AA162" s="2">
        <v>60255014</v>
      </c>
      <c r="AB162" s="2">
        <f>ROUND((AC162+AD162+AF162),6)</f>
        <v>56.78</v>
      </c>
      <c r="AC162" s="2">
        <f>ROUND((ES162),6)</f>
        <v>56.78</v>
      </c>
      <c r="AD162" s="2">
        <f>ROUND((((ET162)-(EU162))+AE162),6)</f>
        <v>0</v>
      </c>
      <c r="AE162" s="2">
        <f>ROUND((EU162),6)</f>
        <v>0</v>
      </c>
      <c r="AF162" s="2">
        <f>ROUND((EV162),6)</f>
        <v>0</v>
      </c>
      <c r="AG162" s="2">
        <f>ROUND((AP162),6)</f>
        <v>0</v>
      </c>
      <c r="AH162" s="2">
        <f>(EW162)</f>
        <v>0</v>
      </c>
      <c r="AI162" s="2">
        <f>(EX162)</f>
        <v>0</v>
      </c>
      <c r="AJ162" s="2">
        <f>(AS162)</f>
        <v>0</v>
      </c>
      <c r="AK162" s="2">
        <v>56.78</v>
      </c>
      <c r="AL162" s="2">
        <v>56.78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1</v>
      </c>
      <c r="BJ162" s="2" t="s">
        <v>3</v>
      </c>
      <c r="BK162" s="2"/>
      <c r="BL162" s="2"/>
      <c r="BM162" s="2">
        <v>400002</v>
      </c>
      <c r="BN162" s="2">
        <v>0</v>
      </c>
      <c r="BO162" s="2" t="s">
        <v>3</v>
      </c>
      <c r="BP162" s="2">
        <v>0</v>
      </c>
      <c r="BQ162" s="2">
        <v>202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0</v>
      </c>
      <c r="CA162" s="2">
        <v>0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>(P162+Q162+S162)</f>
        <v>19702.66</v>
      </c>
      <c r="CQ162" s="2">
        <f>ROUND((ROUND((AC162*AW162*1),2)*BC162),2)</f>
        <v>56.78</v>
      </c>
      <c r="CR162" s="2">
        <f>(ROUND((ROUND(((ET162)*AV162*1),2)*BB162),2)+ROUND((ROUND(((AE162-(EU162))*AV162*1),2)*BS162),2))</f>
        <v>0</v>
      </c>
      <c r="CS162" s="2">
        <f>(ROUND((ROUND(((EU162)*AV162*1),2)*BS162),2)+ROUND((ROUND(((AE162-(EU162))*AV162*1),2)*BS162),2))</f>
        <v>0</v>
      </c>
      <c r="CT162" s="2">
        <f>ROUND((ROUND((AF162*AV162*1),2)*BA162),2)</f>
        <v>0</v>
      </c>
      <c r="CU162" s="2">
        <f>AG162</f>
        <v>0</v>
      </c>
      <c r="CV162" s="2">
        <f>(AH162*AV162)</f>
        <v>0</v>
      </c>
      <c r="CW162" s="2">
        <f>AI162</f>
        <v>0</v>
      </c>
      <c r="CX162" s="2">
        <f>AJ162</f>
        <v>0</v>
      </c>
      <c r="CY162" s="2">
        <f>(ROUND((((S162+ROUND((ROUND(((EU162)*AV162*1),2)*BS162),2))*AT162)/100),2)+ROUND(((ROUND((ROUND(((AE162-(EU162))*AV162*1),2)*BS162),2)*AT162)/100),2))</f>
        <v>0</v>
      </c>
      <c r="CZ162" s="2">
        <f>(ROUND((((S162+ROUND((ROUND(((EU162)*AV162*1),2)*BS162),2))*AU162)/100),2)+ROUND(((ROUND((ROUND(((AE162-(EU162))*AV162*1),2)*BS162),2)*AU162)/100),2))</f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107</v>
      </c>
      <c r="DW162" s="2" t="s">
        <v>107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60088211</v>
      </c>
      <c r="EF162" s="2">
        <v>202</v>
      </c>
      <c r="EG162" s="2" t="s">
        <v>108</v>
      </c>
      <c r="EH162" s="2">
        <v>0</v>
      </c>
      <c r="EI162" s="2" t="s">
        <v>3</v>
      </c>
      <c r="EJ162" s="2">
        <v>1</v>
      </c>
      <c r="EK162" s="2">
        <v>400002</v>
      </c>
      <c r="EL162" s="2" t="s">
        <v>109</v>
      </c>
      <c r="EM162" s="2" t="s">
        <v>108</v>
      </c>
      <c r="EN162" s="2"/>
      <c r="EO162" s="2" t="s">
        <v>3</v>
      </c>
      <c r="EP162" s="2"/>
      <c r="EQ162" s="2">
        <v>0</v>
      </c>
      <c r="ER162" s="2">
        <v>0</v>
      </c>
      <c r="ES162" s="2">
        <v>56.78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0</v>
      </c>
      <c r="FY162" s="2">
        <v>0</v>
      </c>
      <c r="FZ162" s="2"/>
      <c r="GA162" s="2" t="s">
        <v>269</v>
      </c>
      <c r="GB162" s="2"/>
      <c r="GC162" s="2"/>
      <c r="GD162" s="2">
        <v>1</v>
      </c>
      <c r="GE162" s="2"/>
      <c r="GF162" s="2">
        <v>1512346583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>ROUND(IF(AND(BH162=3,BI162=3,FS162&lt;&gt;0),P162,0),2)</f>
        <v>0</v>
      </c>
      <c r="GM162" s="2">
        <f>ROUND(O162+X162+Y162,2)+GX162</f>
        <v>19702.66</v>
      </c>
      <c r="GN162" s="2">
        <f>IF(OR(BI162=0,BI162=1),GM162-GX162,0)</f>
        <v>19702.66</v>
      </c>
      <c r="GO162" s="2">
        <f>IF(BI162=2,GM162-GX162,0)</f>
        <v>0</v>
      </c>
      <c r="GP162" s="2">
        <f>IF(BI162=4,GM162-GX162,0)</f>
        <v>0</v>
      </c>
      <c r="GQ162" s="2"/>
      <c r="GR162" s="2">
        <v>0</v>
      </c>
      <c r="GS162" s="2">
        <v>2</v>
      </c>
      <c r="GT162" s="2">
        <v>0</v>
      </c>
      <c r="GU162" s="2" t="s">
        <v>3</v>
      </c>
      <c r="GV162" s="2">
        <f>ROUND((GT162),6)</f>
        <v>0</v>
      </c>
      <c r="GW162" s="2">
        <v>1</v>
      </c>
      <c r="GX162" s="2">
        <f>ROUND(HC162*I162,2)</f>
        <v>0</v>
      </c>
      <c r="GY162" s="2"/>
      <c r="GZ162" s="2"/>
      <c r="HA162" s="2">
        <v>0</v>
      </c>
      <c r="HB162" s="2">
        <v>0</v>
      </c>
      <c r="HC162" s="2">
        <f>GV162*GW162</f>
        <v>0</v>
      </c>
      <c r="HD162" s="2"/>
      <c r="HE162" s="2" t="s">
        <v>111</v>
      </c>
      <c r="HF162" s="2" t="s">
        <v>28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>
        <v>17</v>
      </c>
      <c r="B163">
        <v>1</v>
      </c>
      <c r="E163" t="s">
        <v>266</v>
      </c>
      <c r="F163" t="s">
        <v>267</v>
      </c>
      <c r="G163" t="s">
        <v>268</v>
      </c>
      <c r="H163" t="s">
        <v>107</v>
      </c>
      <c r="I163">
        <v>347</v>
      </c>
      <c r="J163">
        <v>0</v>
      </c>
      <c r="K163">
        <v>347</v>
      </c>
      <c r="O163">
        <f>ROUND(CP163,2)</f>
        <v>194662.28</v>
      </c>
      <c r="P163">
        <f>ROUND((ROUND((AC163*AW163*I163),2)*BC163),2)</f>
        <v>194662.28</v>
      </c>
      <c r="Q163">
        <f>(ROUND((ROUND(((ET163)*AV163*I163),2)*BB163),2)+ROUND((ROUND(((AE163-(EU163))*AV163*I163),2)*BS163),2))</f>
        <v>0</v>
      </c>
      <c r="R163">
        <f>(ROUND((ROUND(((EU163)*AV163*I163),2)*BS163),2)+ROUND((ROUND(((AE163-(EU163))*AV163*I163),2)*BS163),2))</f>
        <v>0</v>
      </c>
      <c r="S163">
        <f>ROUND((ROUND((AF163*AV163*I163),2)*BA163),2)</f>
        <v>0</v>
      </c>
      <c r="T163">
        <f>ROUND(CU163*I163,2)</f>
        <v>0</v>
      </c>
      <c r="U163">
        <f>CV163*I163</f>
        <v>0</v>
      </c>
      <c r="V163">
        <f>CW163*I163</f>
        <v>0</v>
      </c>
      <c r="W163">
        <f>ROUND(CX163*I163,2)</f>
        <v>0</v>
      </c>
      <c r="X163">
        <f>(ROUND((((S163+ROUND((ROUND(((EU163)*AV163*I163),2)*BS163),2))*AT163)/100),2)+ROUND(((ROUND((ROUND(((AE163-(EU163))*AV163*I163),2)*BS163),2)*AT163)/100),2))</f>
        <v>0</v>
      </c>
      <c r="Y163">
        <f>(ROUND((((S163+ROUND((ROUND(((EU163)*AV163*I163),2)*BS163),2))*AU163)/100),2)+ROUND(((ROUND((ROUND(((AE163-(EU163))*AV163*I163),2)*BS163),2)*AU163)/100),2))</f>
        <v>0</v>
      </c>
      <c r="AA163">
        <v>60255011</v>
      </c>
      <c r="AB163">
        <f>ROUND((AC163+AD163+AF163),6)</f>
        <v>56.78</v>
      </c>
      <c r="AC163">
        <f>ROUND((ES163),6)</f>
        <v>56.78</v>
      </c>
      <c r="AD163">
        <f>ROUND((((ET163)-(EU163))+AE163),6)</f>
        <v>0</v>
      </c>
      <c r="AE163">
        <f>ROUND((EU163),6)</f>
        <v>0</v>
      </c>
      <c r="AF163">
        <f>ROUND((EV163),6)</f>
        <v>0</v>
      </c>
      <c r="AG163">
        <f>ROUND((AP163),6)</f>
        <v>0</v>
      </c>
      <c r="AH163">
        <f>(EW163)</f>
        <v>0</v>
      </c>
      <c r="AI163">
        <f>(EX163)</f>
        <v>0</v>
      </c>
      <c r="AJ163">
        <f>(AS163)</f>
        <v>0</v>
      </c>
      <c r="AK163">
        <v>56.78</v>
      </c>
      <c r="AL163">
        <v>56.78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Z163">
        <v>1</v>
      </c>
      <c r="BA163">
        <v>1</v>
      </c>
      <c r="BB163">
        <v>1</v>
      </c>
      <c r="BC163">
        <v>9.8800000000000008</v>
      </c>
      <c r="BD163" t="s">
        <v>3</v>
      </c>
      <c r="BE163" t="s">
        <v>3</v>
      </c>
      <c r="BF163" t="s">
        <v>3</v>
      </c>
      <c r="BG163" t="s">
        <v>3</v>
      </c>
      <c r="BH163">
        <v>3</v>
      </c>
      <c r="BI163">
        <v>1</v>
      </c>
      <c r="BJ163" t="s">
        <v>3</v>
      </c>
      <c r="BM163">
        <v>400002</v>
      </c>
      <c r="BN163">
        <v>0</v>
      </c>
      <c r="BO163" t="s">
        <v>3</v>
      </c>
      <c r="BP163">
        <v>0</v>
      </c>
      <c r="BQ163">
        <v>202</v>
      </c>
      <c r="BR163">
        <v>0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 t="s">
        <v>3</v>
      </c>
      <c r="BZ163">
        <v>0</v>
      </c>
      <c r="CA163">
        <v>0</v>
      </c>
      <c r="CB163" t="s">
        <v>3</v>
      </c>
      <c r="CE163">
        <v>1566</v>
      </c>
      <c r="CF163">
        <v>0</v>
      </c>
      <c r="CG163">
        <v>0</v>
      </c>
      <c r="CM163">
        <v>0</v>
      </c>
      <c r="CN163" t="s">
        <v>3</v>
      </c>
      <c r="CO163">
        <v>0</v>
      </c>
      <c r="CP163">
        <f>(P163+Q163+S163)</f>
        <v>194662.28</v>
      </c>
      <c r="CQ163">
        <f>ROUND((ROUND((AC163*AW163*1),2)*BC163),2)</f>
        <v>560.99</v>
      </c>
      <c r="CR163">
        <f>(ROUND((ROUND(((ET163)*AV163*1),2)*BB163),2)+ROUND((ROUND(((AE163-(EU163))*AV163*1),2)*BS163),2))</f>
        <v>0</v>
      </c>
      <c r="CS163">
        <f>(ROUND((ROUND(((EU163)*AV163*1),2)*BS163),2)+ROUND((ROUND(((AE163-(EU163))*AV163*1),2)*BS163),2))</f>
        <v>0</v>
      </c>
      <c r="CT163">
        <f>ROUND((ROUND((AF163*AV163*1),2)*BA163),2)</f>
        <v>0</v>
      </c>
      <c r="CU163">
        <f>AG163</f>
        <v>0</v>
      </c>
      <c r="CV163">
        <f>(AH163*AV163)</f>
        <v>0</v>
      </c>
      <c r="CW163">
        <f>AI163</f>
        <v>0</v>
      </c>
      <c r="CX163">
        <f>AJ163</f>
        <v>0</v>
      </c>
      <c r="CY163">
        <f>(ROUND((((S163+ROUND((ROUND(((EU163)*AV163*1),2)*BS163),2))*AT163)/100),2)+ROUND(((ROUND((ROUND(((AE163-(EU163))*AV163*1),2)*BS163),2)*AT163)/100),2))</f>
        <v>0</v>
      </c>
      <c r="CZ163">
        <f>(ROUND((((S163+ROUND((ROUND(((EU163)*AV163*1),2)*BS163),2))*AU163)/100),2)+ROUND(((ROUND((ROUND(((AE163-(EU163))*AV163*1),2)*BS163),2)*AU163)/100),2))</f>
        <v>0</v>
      </c>
      <c r="DC163" t="s">
        <v>3</v>
      </c>
      <c r="DD163" t="s">
        <v>3</v>
      </c>
      <c r="DE163" t="s">
        <v>3</v>
      </c>
      <c r="DF163" t="s">
        <v>3</v>
      </c>
      <c r="DG163" t="s">
        <v>3</v>
      </c>
      <c r="DH163" t="s">
        <v>3</v>
      </c>
      <c r="DI163" t="s">
        <v>3</v>
      </c>
      <c r="DJ163" t="s">
        <v>3</v>
      </c>
      <c r="DK163" t="s">
        <v>3</v>
      </c>
      <c r="DL163" t="s">
        <v>3</v>
      </c>
      <c r="DM163" t="s">
        <v>3</v>
      </c>
      <c r="DN163">
        <v>0</v>
      </c>
      <c r="DO163">
        <v>0</v>
      </c>
      <c r="DP163">
        <v>1</v>
      </c>
      <c r="DQ163">
        <v>1</v>
      </c>
      <c r="DU163">
        <v>1013</v>
      </c>
      <c r="DV163" t="s">
        <v>107</v>
      </c>
      <c r="DW163" t="s">
        <v>107</v>
      </c>
      <c r="DX163">
        <v>1</v>
      </c>
      <c r="DZ163" t="s">
        <v>3</v>
      </c>
      <c r="EA163" t="s">
        <v>3</v>
      </c>
      <c r="EB163" t="s">
        <v>3</v>
      </c>
      <c r="EC163" t="s">
        <v>3</v>
      </c>
      <c r="EE163">
        <v>60088211</v>
      </c>
      <c r="EF163">
        <v>202</v>
      </c>
      <c r="EG163" t="s">
        <v>108</v>
      </c>
      <c r="EH163">
        <v>0</v>
      </c>
      <c r="EI163" t="s">
        <v>3</v>
      </c>
      <c r="EJ163">
        <v>1</v>
      </c>
      <c r="EK163">
        <v>400002</v>
      </c>
      <c r="EL163" t="s">
        <v>109</v>
      </c>
      <c r="EM163" t="s">
        <v>108</v>
      </c>
      <c r="EO163" t="s">
        <v>3</v>
      </c>
      <c r="EQ163">
        <v>0</v>
      </c>
      <c r="ER163">
        <v>56.78</v>
      </c>
      <c r="ES163">
        <v>56.78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5</v>
      </c>
      <c r="FC163">
        <v>1</v>
      </c>
      <c r="FD163">
        <v>18</v>
      </c>
      <c r="FF163">
        <v>660</v>
      </c>
      <c r="FQ163">
        <v>0</v>
      </c>
      <c r="FR163">
        <v>0</v>
      </c>
      <c r="FS163">
        <v>0</v>
      </c>
      <c r="FX163">
        <v>0</v>
      </c>
      <c r="FY163">
        <v>0</v>
      </c>
      <c r="GA163" t="s">
        <v>269</v>
      </c>
      <c r="GD163">
        <v>1</v>
      </c>
      <c r="GF163">
        <v>1512346583</v>
      </c>
      <c r="GG163">
        <v>2</v>
      </c>
      <c r="GH163">
        <v>3</v>
      </c>
      <c r="GI163">
        <v>5</v>
      </c>
      <c r="GJ163">
        <v>0</v>
      </c>
      <c r="GK163">
        <v>0</v>
      </c>
      <c r="GL163">
        <f>ROUND(IF(AND(BH163=3,BI163=3,FS163&lt;&gt;0),P163,0),2)</f>
        <v>0</v>
      </c>
      <c r="GM163">
        <f>ROUND(O163+X163+Y163,2)+GX163</f>
        <v>194662.28</v>
      </c>
      <c r="GN163">
        <f>IF(OR(BI163=0,BI163=1),GM163-GX163,0)</f>
        <v>194662.28</v>
      </c>
      <c r="GO163">
        <f>IF(BI163=2,GM163-GX163,0)</f>
        <v>0</v>
      </c>
      <c r="GP163">
        <f>IF(BI163=4,GM163-GX163,0)</f>
        <v>0</v>
      </c>
      <c r="GR163">
        <v>1</v>
      </c>
      <c r="GS163">
        <v>1</v>
      </c>
      <c r="GT163">
        <v>0</v>
      </c>
      <c r="GU163" t="s">
        <v>3</v>
      </c>
      <c r="GV163">
        <f>ROUND((GT163),6)</f>
        <v>0</v>
      </c>
      <c r="GW163">
        <v>1</v>
      </c>
      <c r="GX163">
        <f>ROUND(HC163*I163,2)</f>
        <v>0</v>
      </c>
      <c r="HA163">
        <v>0</v>
      </c>
      <c r="HB163">
        <v>0</v>
      </c>
      <c r="HC163">
        <f>GV163*GW163</f>
        <v>0</v>
      </c>
      <c r="HE163" t="s">
        <v>111</v>
      </c>
      <c r="HF163" t="s">
        <v>28</v>
      </c>
      <c r="HM163" t="s">
        <v>3</v>
      </c>
      <c r="HN163" t="s">
        <v>3</v>
      </c>
      <c r="HO163" t="s">
        <v>3</v>
      </c>
      <c r="HP163" t="s">
        <v>3</v>
      </c>
      <c r="HQ163" t="s">
        <v>3</v>
      </c>
      <c r="HS163">
        <v>0</v>
      </c>
      <c r="IK163">
        <v>0</v>
      </c>
    </row>
    <row r="164" spans="1:255" x14ac:dyDescent="0.2">
      <c r="A164" s="2">
        <v>19</v>
      </c>
      <c r="B164" s="2">
        <v>1</v>
      </c>
      <c r="C164" s="2"/>
      <c r="D164" s="2"/>
      <c r="E164" s="2"/>
      <c r="F164" s="2" t="s">
        <v>3</v>
      </c>
      <c r="G164" s="2" t="s">
        <v>270</v>
      </c>
      <c r="H164" s="2" t="s">
        <v>3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>
        <v>1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 s="2">
        <v>17</v>
      </c>
      <c r="B165" s="2">
        <v>1</v>
      </c>
      <c r="C165" s="2">
        <f>ROW(SmtRes!A235)</f>
        <v>235</v>
      </c>
      <c r="D165" s="2">
        <f>ROW(EtalonRes!A259)</f>
        <v>259</v>
      </c>
      <c r="E165" s="2" t="s">
        <v>271</v>
      </c>
      <c r="F165" s="2" t="s">
        <v>272</v>
      </c>
      <c r="G165" s="2" t="s">
        <v>273</v>
      </c>
      <c r="H165" s="2" t="s">
        <v>96</v>
      </c>
      <c r="I165" s="2">
        <f>ROUND(347/100,9)</f>
        <v>3.47</v>
      </c>
      <c r="J165" s="2">
        <v>0</v>
      </c>
      <c r="K165" s="2">
        <f>ROUND(347/100,9)</f>
        <v>3.47</v>
      </c>
      <c r="L165" s="2"/>
      <c r="M165" s="2"/>
      <c r="N165" s="2"/>
      <c r="O165" s="2">
        <f t="shared" ref="O165:O174" si="209">ROUND(CP165,2)</f>
        <v>5400.8</v>
      </c>
      <c r="P165" s="2">
        <f t="shared" ref="P165:P174" si="210">ROUND((ROUND((AC165*AW165*I165),2)*BC165),2)</f>
        <v>541.84</v>
      </c>
      <c r="Q165" s="2">
        <f>(ROUND((ROUND(((((ET165*1.25)*1.1))*AV165*I165),2)*BB165),2)+ROUND((ROUND(((AE165-(((EU165*1.25)*1.1)))*AV165*I165),2)*BS165),2))</f>
        <v>36.25</v>
      </c>
      <c r="R165" s="2">
        <f>(ROUND((ROUND(((((EU165*1.25)*1.1))*AV165*I165),2)*BS165),2)+ROUND((ROUND(((AE165-(((EU165*1.25)*1.1)))*AV165*I165),2)*BS165),2))</f>
        <v>1.53</v>
      </c>
      <c r="S165" s="2">
        <f t="shared" ref="S165:S174" si="211">ROUND((ROUND((AF165*AV165*I165),2)*BA165),2)</f>
        <v>4822.71</v>
      </c>
      <c r="T165" s="2">
        <f t="shared" ref="T165:T174" si="212">ROUND(CU165*I165,2)</f>
        <v>0</v>
      </c>
      <c r="U165" s="2">
        <f t="shared" ref="U165:U174" si="213">CV165*I165</f>
        <v>405.27622152049997</v>
      </c>
      <c r="V165" s="2">
        <f t="shared" ref="V165:V174" si="214">CW165*I165</f>
        <v>0</v>
      </c>
      <c r="W165" s="2">
        <f t="shared" ref="W165:W174" si="215">ROUND(CX165*I165,2)</f>
        <v>0</v>
      </c>
      <c r="X165" s="2">
        <f>(ROUND((((S165+ROUND((ROUND(((((EU165*1.25)*1.1))*AV165*I165),2)*BS165),2))*AT165)/100),2)+ROUND(((ROUND((ROUND(((AE165-(((EU165*1.25)*1.1)))*AV165*I165),2)*BS165),2)*AT165)/100),2))</f>
        <v>5258.42</v>
      </c>
      <c r="Y165" s="2">
        <f>(ROUND((((S165+ROUND((ROUND(((((EU165*1.25)*1.1))*AV165*I165),2)*BS165),2))*AU165)/100),2)+ROUND(((ROUND((ROUND(((AE165-(((EU165*1.25)*1.1)))*AV165*I165),2)*BS165),2)*AU165)/100),2))</f>
        <v>2942.79</v>
      </c>
      <c r="Z165" s="2"/>
      <c r="AA165" s="2">
        <v>60255014</v>
      </c>
      <c r="AB165" s="2">
        <f t="shared" ref="AB165:AB174" si="216">ROUND((AC165+AD165+AF165),6)</f>
        <v>1468.49785</v>
      </c>
      <c r="AC165" s="2">
        <f t="shared" ref="AC165:AC174" si="217">ROUND((ES165),6)</f>
        <v>156.15</v>
      </c>
      <c r="AD165" s="2">
        <f>ROUND((((((ET165*1.25)*1.1))-(((EU165*1.25)*1.1)))+AE165),6)</f>
        <v>9.7899999999999991</v>
      </c>
      <c r="AE165" s="2">
        <f>ROUND((((EU165*1.25)*1.1)),6)</f>
        <v>0.41249999999999998</v>
      </c>
      <c r="AF165" s="2">
        <f>ROUND((((EV165*1.15)*1.1)),6)</f>
        <v>1302.5578499999999</v>
      </c>
      <c r="AG165" s="2">
        <f t="shared" ref="AG165:AG174" si="218">ROUND((AP165),6)</f>
        <v>0</v>
      </c>
      <c r="AH165" s="2">
        <f>(((EW165*1.15)*1.1))</f>
        <v>109.46044999999999</v>
      </c>
      <c r="AI165" s="2">
        <f>(((EX165*1.25)*1.1))</f>
        <v>0</v>
      </c>
      <c r="AJ165" s="2">
        <f t="shared" ref="AJ165:AJ174" si="219">(AS165)</f>
        <v>0</v>
      </c>
      <c r="AK165" s="2">
        <v>1192.96</v>
      </c>
      <c r="AL165" s="2">
        <v>156.15</v>
      </c>
      <c r="AM165" s="2">
        <v>7.12</v>
      </c>
      <c r="AN165" s="2">
        <v>0.3</v>
      </c>
      <c r="AO165" s="2">
        <v>1029.69</v>
      </c>
      <c r="AP165" s="2">
        <v>0</v>
      </c>
      <c r="AQ165" s="2">
        <v>86.53</v>
      </c>
      <c r="AR165" s="2">
        <v>0</v>
      </c>
      <c r="AS165" s="2">
        <v>0</v>
      </c>
      <c r="AT165" s="2">
        <v>109</v>
      </c>
      <c r="AU165" s="2">
        <v>61</v>
      </c>
      <c r="AV165" s="2">
        <v>1.0669999999999999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1</v>
      </c>
      <c r="BJ165" s="2" t="s">
        <v>274</v>
      </c>
      <c r="BK165" s="2"/>
      <c r="BL165" s="2"/>
      <c r="BM165" s="2">
        <v>23</v>
      </c>
      <c r="BN165" s="2">
        <v>58973374</v>
      </c>
      <c r="BO165" s="2" t="s">
        <v>272</v>
      </c>
      <c r="BP165" s="2">
        <v>1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109</v>
      </c>
      <c r="CA165" s="2">
        <v>61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625</v>
      </c>
      <c r="CO165" s="2">
        <v>0</v>
      </c>
      <c r="CP165" s="2">
        <f t="shared" ref="CP165:CP174" si="220">(P165+Q165+S165)</f>
        <v>5400.8</v>
      </c>
      <c r="CQ165" s="2">
        <f t="shared" ref="CQ165:CQ174" si="221">ROUND((ROUND((AC165*AW165*1),2)*BC165),2)</f>
        <v>156.15</v>
      </c>
      <c r="CR165" s="2">
        <f>(ROUND((ROUND(((((ET165*1.25)*1.1))*AV165*1),2)*BB165),2)+ROUND((ROUND(((AE165-(((EU165*1.25)*1.1)))*AV165*1),2)*BS165),2))</f>
        <v>10.45</v>
      </c>
      <c r="CS165" s="2">
        <f>(ROUND((ROUND(((((EU165*1.25)*1.1))*AV165*1),2)*BS165),2)+ROUND((ROUND(((AE165-(((EU165*1.25)*1.1)))*AV165*1),2)*BS165),2))</f>
        <v>0.44</v>
      </c>
      <c r="CT165" s="2">
        <f t="shared" ref="CT165:CT174" si="222">ROUND((ROUND((AF165*AV165*1),2)*BA165),2)</f>
        <v>1389.83</v>
      </c>
      <c r="CU165" s="2">
        <f t="shared" ref="CU165:CU174" si="223">AG165</f>
        <v>0</v>
      </c>
      <c r="CV165" s="2">
        <f t="shared" ref="CV165:CV174" si="224">(AH165*AV165)</f>
        <v>116.79430014999998</v>
      </c>
      <c r="CW165" s="2">
        <f t="shared" ref="CW165:CW174" si="225">AI165</f>
        <v>0</v>
      </c>
      <c r="CX165" s="2">
        <f t="shared" ref="CX165:CX174" si="226">AJ165</f>
        <v>0</v>
      </c>
      <c r="CY165" s="2">
        <f>(ROUND((((S165+ROUND((ROUND(((((EU165*1.25)*1.1))*AV165*1),2)*BS165),2))*AT165)/100),2)+ROUND(((ROUND((ROUND(((AE165-(((EU165*1.25)*1.1)))*AV165*1),2)*BS165),2)*AT165)/100),2))</f>
        <v>5257.23</v>
      </c>
      <c r="CZ165" s="2">
        <f>(ROUND((((S165+ROUND((ROUND(((((EU165*1.25)*1.1))*AV165*1),2)*BS165),2))*AU165)/100),2)+ROUND(((ROUND((ROUND(((AE165-(((EU165*1.25)*1.1)))*AV165*1),2)*BS165),2)*AU165)/100),2))</f>
        <v>2942.12</v>
      </c>
      <c r="DA165" s="2"/>
      <c r="DB165" s="2">
        <v>45</v>
      </c>
      <c r="DC165" s="2" t="s">
        <v>3</v>
      </c>
      <c r="DD165" s="2" t="s">
        <v>3</v>
      </c>
      <c r="DE165" s="2" t="s">
        <v>98</v>
      </c>
      <c r="DF165" s="2" t="s">
        <v>98</v>
      </c>
      <c r="DG165" s="2" t="s">
        <v>99</v>
      </c>
      <c r="DH165" s="2" t="s">
        <v>3</v>
      </c>
      <c r="DI165" s="2" t="s">
        <v>99</v>
      </c>
      <c r="DJ165" s="2" t="s">
        <v>98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96</v>
      </c>
      <c r="DW165" s="2" t="s">
        <v>96</v>
      </c>
      <c r="DX165" s="2">
        <v>100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60088254</v>
      </c>
      <c r="EF165" s="2">
        <v>30</v>
      </c>
      <c r="EG165" s="2" t="s">
        <v>100</v>
      </c>
      <c r="EH165" s="2">
        <v>0</v>
      </c>
      <c r="EI165" s="2" t="s">
        <v>3</v>
      </c>
      <c r="EJ165" s="2">
        <v>1</v>
      </c>
      <c r="EK165" s="2">
        <v>23</v>
      </c>
      <c r="EL165" s="2" t="s">
        <v>101</v>
      </c>
      <c r="EM165" s="2" t="s">
        <v>102</v>
      </c>
      <c r="EN165" s="2"/>
      <c r="EO165" s="2" t="s">
        <v>103</v>
      </c>
      <c r="EP165" s="2"/>
      <c r="EQ165" s="2">
        <v>0</v>
      </c>
      <c r="ER165" s="2">
        <v>1192.96</v>
      </c>
      <c r="ES165" s="2">
        <v>156.15</v>
      </c>
      <c r="ET165" s="2">
        <v>7.12</v>
      </c>
      <c r="EU165" s="2">
        <v>0.3</v>
      </c>
      <c r="EV165" s="2">
        <v>1029.69</v>
      </c>
      <c r="EW165" s="2">
        <v>86.53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109</v>
      </c>
      <c r="FY165" s="2">
        <v>61</v>
      </c>
      <c r="FZ165" s="2"/>
      <c r="GA165" s="2" t="s">
        <v>3</v>
      </c>
      <c r="GB165" s="2"/>
      <c r="GC165" s="2"/>
      <c r="GD165" s="2">
        <v>1</v>
      </c>
      <c r="GE165" s="2"/>
      <c r="GF165" s="2">
        <v>-584430330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ref="GL165:GL174" si="227">ROUND(IF(AND(BH165=3,BI165=3,FS165&lt;&gt;0),P165,0),2)</f>
        <v>0</v>
      </c>
      <c r="GM165" s="2">
        <f t="shared" ref="GM165:GM174" si="228">ROUND(O165+X165+Y165,2)+GX165</f>
        <v>13602.01</v>
      </c>
      <c r="GN165" s="2">
        <f t="shared" ref="GN165:GN174" si="229">IF(OR(BI165=0,BI165=1),GM165-GX165,0)</f>
        <v>13602.01</v>
      </c>
      <c r="GO165" s="2">
        <f t="shared" ref="GO165:GO174" si="230">IF(BI165=2,GM165-GX165,0)</f>
        <v>0</v>
      </c>
      <c r="GP165" s="2">
        <f t="shared" ref="GP165:GP174" si="231">IF(BI165=4,GM165-GX165,0)</f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ref="GV165:GV174" si="232">ROUND((GT165),6)</f>
        <v>0</v>
      </c>
      <c r="GW165" s="2">
        <v>1</v>
      </c>
      <c r="GX165" s="2">
        <f t="shared" ref="GX165:GX174" si="233">ROUND(HC165*I165,2)</f>
        <v>0</v>
      </c>
      <c r="GY165" s="2"/>
      <c r="GZ165" s="2"/>
      <c r="HA165" s="2">
        <v>0</v>
      </c>
      <c r="HB165" s="2">
        <v>0</v>
      </c>
      <c r="HC165" s="2">
        <f t="shared" ref="HC165:HC174" si="234">GV165*GW165</f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>
        <v>17</v>
      </c>
      <c r="B166">
        <v>1</v>
      </c>
      <c r="C166">
        <f>ROW(SmtRes!A242)</f>
        <v>242</v>
      </c>
      <c r="D166">
        <f>ROW(EtalonRes!A266)</f>
        <v>266</v>
      </c>
      <c r="E166" t="s">
        <v>271</v>
      </c>
      <c r="F166" t="s">
        <v>272</v>
      </c>
      <c r="G166" t="s">
        <v>273</v>
      </c>
      <c r="H166" t="s">
        <v>96</v>
      </c>
      <c r="I166">
        <f>ROUND(347/100,9)</f>
        <v>3.47</v>
      </c>
      <c r="J166">
        <v>0</v>
      </c>
      <c r="K166">
        <f>ROUND(347/100,9)</f>
        <v>3.47</v>
      </c>
      <c r="O166">
        <f t="shared" si="209"/>
        <v>266671.01</v>
      </c>
      <c r="P166">
        <f t="shared" si="210"/>
        <v>1062.01</v>
      </c>
      <c r="Q166">
        <f>(ROUND((ROUND(((((ET166*1.25)*1.1))*AV166*I166),2)*BB166),2)+ROUND((ROUND(((AE166-(((EU166*1.25)*1.1)))*AV166*I166),2)*BS166),2))</f>
        <v>408.18</v>
      </c>
      <c r="R166">
        <f>(ROUND((ROUND(((((EU166*1.25)*1.1))*AV166*I166),2)*BS166),2)+ROUND((ROUND(((AE166-(((EU166*1.25)*1.1)))*AV166*I166),2)*BS166),2))</f>
        <v>84.13</v>
      </c>
      <c r="S166">
        <f t="shared" si="211"/>
        <v>265200.82</v>
      </c>
      <c r="T166">
        <f t="shared" si="212"/>
        <v>0</v>
      </c>
      <c r="U166">
        <f t="shared" si="213"/>
        <v>405.27622152049997</v>
      </c>
      <c r="V166">
        <f t="shared" si="214"/>
        <v>0</v>
      </c>
      <c r="W166">
        <f t="shared" si="215"/>
        <v>0</v>
      </c>
      <c r="X166">
        <f>(ROUND((((S166+ROUND((ROUND(((((EU166*1.25)*1.1))*AV166*I166),2)*BS166),2))*AT166)/100),2)+ROUND(((ROUND((ROUND(((AE166-(((EU166*1.25)*1.1)))*AV166*I166),2)*BS166),2)*AT166)/100),2))</f>
        <v>289160.59999999998</v>
      </c>
      <c r="Y166">
        <f>(ROUND((((S166+ROUND((ROUND(((((EU166*1.25)*1.1))*AV166*I166),2)*BS166),2))*AU166)/100),2)+ROUND(((ROUND((ROUND(((AE166-(((EU166*1.25)*1.1)))*AV166*I166),2)*BS166),2)*AU166)/100),2))</f>
        <v>161823.82</v>
      </c>
      <c r="AA166">
        <v>60255011</v>
      </c>
      <c r="AB166">
        <f t="shared" si="216"/>
        <v>1468.49785</v>
      </c>
      <c r="AC166">
        <f t="shared" si="217"/>
        <v>156.15</v>
      </c>
      <c r="AD166">
        <f>ROUND((((((ET166*1.25)*1.1))-(((EU166*1.25)*1.1)))+AE166),6)</f>
        <v>9.7899999999999991</v>
      </c>
      <c r="AE166">
        <f>ROUND((((EU166*1.25)*1.1)),6)</f>
        <v>0.41249999999999998</v>
      </c>
      <c r="AF166">
        <f>ROUND((((EV166*1.15)*1.1)),6)</f>
        <v>1302.5578499999999</v>
      </c>
      <c r="AG166">
        <f t="shared" si="218"/>
        <v>0</v>
      </c>
      <c r="AH166">
        <f>(((EW166*1.15)*1.1))</f>
        <v>109.46044999999999</v>
      </c>
      <c r="AI166">
        <f>(((EX166*1.25)*1.1))</f>
        <v>0</v>
      </c>
      <c r="AJ166">
        <f t="shared" si="219"/>
        <v>0</v>
      </c>
      <c r="AK166">
        <v>1192.96</v>
      </c>
      <c r="AL166">
        <v>156.15</v>
      </c>
      <c r="AM166">
        <v>7.12</v>
      </c>
      <c r="AN166">
        <v>0.3</v>
      </c>
      <c r="AO166">
        <v>1029.69</v>
      </c>
      <c r="AP166">
        <v>0</v>
      </c>
      <c r="AQ166">
        <v>86.53</v>
      </c>
      <c r="AR166">
        <v>0</v>
      </c>
      <c r="AS166">
        <v>0</v>
      </c>
      <c r="AT166">
        <v>109</v>
      </c>
      <c r="AU166">
        <v>61</v>
      </c>
      <c r="AV166">
        <v>1.0669999999999999</v>
      </c>
      <c r="AW166">
        <v>1</v>
      </c>
      <c r="AZ166">
        <v>1</v>
      </c>
      <c r="BA166">
        <v>54.99</v>
      </c>
      <c r="BB166">
        <v>11.26</v>
      </c>
      <c r="BC166">
        <v>1.96</v>
      </c>
      <c r="BD166" t="s">
        <v>3</v>
      </c>
      <c r="BE166" t="s">
        <v>3</v>
      </c>
      <c r="BF166" t="s">
        <v>3</v>
      </c>
      <c r="BG166" t="s">
        <v>3</v>
      </c>
      <c r="BH166">
        <v>0</v>
      </c>
      <c r="BI166">
        <v>1</v>
      </c>
      <c r="BJ166" t="s">
        <v>274</v>
      </c>
      <c r="BM166">
        <v>23</v>
      </c>
      <c r="BN166">
        <v>58973374</v>
      </c>
      <c r="BO166" t="s">
        <v>272</v>
      </c>
      <c r="BP166">
        <v>1</v>
      </c>
      <c r="BQ166">
        <v>30</v>
      </c>
      <c r="BR166">
        <v>0</v>
      </c>
      <c r="BS166">
        <v>54.99</v>
      </c>
      <c r="BT166">
        <v>1</v>
      </c>
      <c r="BU166">
        <v>1</v>
      </c>
      <c r="BV166">
        <v>1</v>
      </c>
      <c r="BW166">
        <v>1</v>
      </c>
      <c r="BX166">
        <v>1</v>
      </c>
      <c r="BY166" t="s">
        <v>3</v>
      </c>
      <c r="BZ166">
        <v>109</v>
      </c>
      <c r="CA166">
        <v>61</v>
      </c>
      <c r="CB166" t="s">
        <v>3</v>
      </c>
      <c r="CE166">
        <v>1566</v>
      </c>
      <c r="CF166">
        <v>0</v>
      </c>
      <c r="CG166">
        <v>0</v>
      </c>
      <c r="CM166">
        <v>0</v>
      </c>
      <c r="CN166" t="s">
        <v>625</v>
      </c>
      <c r="CO166">
        <v>0</v>
      </c>
      <c r="CP166">
        <f t="shared" si="220"/>
        <v>266671.01</v>
      </c>
      <c r="CQ166">
        <f t="shared" si="221"/>
        <v>306.05</v>
      </c>
      <c r="CR166">
        <f>(ROUND((ROUND(((((ET166*1.25)*1.1))*AV166*1),2)*BB166),2)+ROUND((ROUND(((AE166-(((EU166*1.25)*1.1)))*AV166*1),2)*BS166),2))</f>
        <v>117.67</v>
      </c>
      <c r="CS166">
        <f>(ROUND((ROUND(((((EU166*1.25)*1.1))*AV166*1),2)*BS166),2)+ROUND((ROUND(((AE166-(((EU166*1.25)*1.1)))*AV166*1),2)*BS166),2))</f>
        <v>24.2</v>
      </c>
      <c r="CT166">
        <f t="shared" si="222"/>
        <v>76426.75</v>
      </c>
      <c r="CU166">
        <f t="shared" si="223"/>
        <v>0</v>
      </c>
      <c r="CV166">
        <f t="shared" si="224"/>
        <v>116.79430014999998</v>
      </c>
      <c r="CW166">
        <f t="shared" si="225"/>
        <v>0</v>
      </c>
      <c r="CX166">
        <f t="shared" si="226"/>
        <v>0</v>
      </c>
      <c r="CY166">
        <f>(ROUND((((S166+ROUND((ROUND(((((EU166*1.25)*1.1))*AV166*1),2)*BS166),2))*AT166)/100),2)+ROUND(((ROUND((ROUND(((AE166-(((EU166*1.25)*1.1)))*AV166*1),2)*BS166),2)*AT166)/100),2))</f>
        <v>289095.27</v>
      </c>
      <c r="CZ166">
        <f>(ROUND((((S166+ROUND((ROUND(((((EU166*1.25)*1.1))*AV166*1),2)*BS166),2))*AU166)/100),2)+ROUND(((ROUND((ROUND(((AE166-(((EU166*1.25)*1.1)))*AV166*1),2)*BS166),2)*AU166)/100),2))</f>
        <v>161787.26</v>
      </c>
      <c r="DB166">
        <v>47</v>
      </c>
      <c r="DC166" t="s">
        <v>3</v>
      </c>
      <c r="DD166" t="s">
        <v>3</v>
      </c>
      <c r="DE166" t="s">
        <v>98</v>
      </c>
      <c r="DF166" t="s">
        <v>98</v>
      </c>
      <c r="DG166" t="s">
        <v>99</v>
      </c>
      <c r="DH166" t="s">
        <v>3</v>
      </c>
      <c r="DI166" t="s">
        <v>99</v>
      </c>
      <c r="DJ166" t="s">
        <v>98</v>
      </c>
      <c r="DK166" t="s">
        <v>3</v>
      </c>
      <c r="DL166" t="s">
        <v>3</v>
      </c>
      <c r="DM166" t="s">
        <v>3</v>
      </c>
      <c r="DN166">
        <v>0</v>
      </c>
      <c r="DO166">
        <v>0</v>
      </c>
      <c r="DP166">
        <v>1</v>
      </c>
      <c r="DQ166">
        <v>1</v>
      </c>
      <c r="DU166">
        <v>1010</v>
      </c>
      <c r="DV166" t="s">
        <v>96</v>
      </c>
      <c r="DW166" t="s">
        <v>96</v>
      </c>
      <c r="DX166">
        <v>100</v>
      </c>
      <c r="DZ166" t="s">
        <v>3</v>
      </c>
      <c r="EA166" t="s">
        <v>3</v>
      </c>
      <c r="EB166" t="s">
        <v>3</v>
      </c>
      <c r="EC166" t="s">
        <v>3</v>
      </c>
      <c r="EE166">
        <v>60088254</v>
      </c>
      <c r="EF166">
        <v>30</v>
      </c>
      <c r="EG166" t="s">
        <v>100</v>
      </c>
      <c r="EH166">
        <v>0</v>
      </c>
      <c r="EI166" t="s">
        <v>3</v>
      </c>
      <c r="EJ166">
        <v>1</v>
      </c>
      <c r="EK166">
        <v>23</v>
      </c>
      <c r="EL166" t="s">
        <v>101</v>
      </c>
      <c r="EM166" t="s">
        <v>102</v>
      </c>
      <c r="EO166" t="s">
        <v>103</v>
      </c>
      <c r="EQ166">
        <v>0</v>
      </c>
      <c r="ER166">
        <v>1192.96</v>
      </c>
      <c r="ES166">
        <v>156.15</v>
      </c>
      <c r="ET166">
        <v>7.12</v>
      </c>
      <c r="EU166">
        <v>0.3</v>
      </c>
      <c r="EV166">
        <v>1029.69</v>
      </c>
      <c r="EW166">
        <v>86.53</v>
      </c>
      <c r="EX166">
        <v>0</v>
      </c>
      <c r="EY166">
        <v>0</v>
      </c>
      <c r="FQ166">
        <v>0</v>
      </c>
      <c r="FR166">
        <v>0</v>
      </c>
      <c r="FS166">
        <v>0</v>
      </c>
      <c r="FX166">
        <v>109</v>
      </c>
      <c r="FY166">
        <v>61</v>
      </c>
      <c r="GA166" t="s">
        <v>3</v>
      </c>
      <c r="GD166">
        <v>1</v>
      </c>
      <c r="GF166">
        <v>-584430330</v>
      </c>
      <c r="GG166">
        <v>2</v>
      </c>
      <c r="GH166">
        <v>1</v>
      </c>
      <c r="GI166">
        <v>2</v>
      </c>
      <c r="GJ166">
        <v>0</v>
      </c>
      <c r="GK166">
        <v>0</v>
      </c>
      <c r="GL166">
        <f t="shared" si="227"/>
        <v>0</v>
      </c>
      <c r="GM166">
        <f t="shared" si="228"/>
        <v>717655.43</v>
      </c>
      <c r="GN166">
        <f t="shared" si="229"/>
        <v>717655.43</v>
      </c>
      <c r="GO166">
        <f t="shared" si="230"/>
        <v>0</v>
      </c>
      <c r="GP166">
        <f t="shared" si="231"/>
        <v>0</v>
      </c>
      <c r="GR166">
        <v>0</v>
      </c>
      <c r="GS166">
        <v>3</v>
      </c>
      <c r="GT166">
        <v>0</v>
      </c>
      <c r="GU166" t="s">
        <v>3</v>
      </c>
      <c r="GV166">
        <f t="shared" si="232"/>
        <v>0</v>
      </c>
      <c r="GW166">
        <v>1</v>
      </c>
      <c r="GX166">
        <f t="shared" si="233"/>
        <v>0</v>
      </c>
      <c r="HA166">
        <v>0</v>
      </c>
      <c r="HB166">
        <v>0</v>
      </c>
      <c r="HC166">
        <f t="shared" si="234"/>
        <v>0</v>
      </c>
      <c r="HE166" t="s">
        <v>3</v>
      </c>
      <c r="HF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3</v>
      </c>
      <c r="HS166">
        <v>0</v>
      </c>
      <c r="IK166">
        <v>0</v>
      </c>
    </row>
    <row r="167" spans="1:255" x14ac:dyDescent="0.2">
      <c r="A167" s="2">
        <v>18</v>
      </c>
      <c r="B167" s="2">
        <v>1</v>
      </c>
      <c r="C167" s="2">
        <v>234</v>
      </c>
      <c r="D167" s="2"/>
      <c r="E167" s="2" t="s">
        <v>275</v>
      </c>
      <c r="F167" s="2" t="s">
        <v>276</v>
      </c>
      <c r="G167" s="2" t="s">
        <v>277</v>
      </c>
      <c r="H167" s="2" t="s">
        <v>31</v>
      </c>
      <c r="I167" s="2">
        <f>I165*J167</f>
        <v>347</v>
      </c>
      <c r="J167" s="2">
        <v>100</v>
      </c>
      <c r="K167" s="2">
        <v>100</v>
      </c>
      <c r="L167" s="2"/>
      <c r="M167" s="2"/>
      <c r="N167" s="2"/>
      <c r="O167" s="2">
        <f t="shared" si="209"/>
        <v>63608.57</v>
      </c>
      <c r="P167" s="2">
        <f t="shared" si="210"/>
        <v>63608.57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211"/>
        <v>0</v>
      </c>
      <c r="T167" s="2">
        <f t="shared" si="212"/>
        <v>0</v>
      </c>
      <c r="U167" s="2">
        <f t="shared" si="213"/>
        <v>0</v>
      </c>
      <c r="V167" s="2">
        <f t="shared" si="214"/>
        <v>0</v>
      </c>
      <c r="W167" s="2">
        <f t="shared" si="215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60255014</v>
      </c>
      <c r="AB167" s="2">
        <f t="shared" si="216"/>
        <v>183.31</v>
      </c>
      <c r="AC167" s="2">
        <f t="shared" si="217"/>
        <v>183.31</v>
      </c>
      <c r="AD167" s="2">
        <f>ROUND((((ET167)-(EU167))+AE167),6)</f>
        <v>0</v>
      </c>
      <c r="AE167" s="2">
        <f t="shared" ref="AE167:AF170" si="235">ROUND((EU167),6)</f>
        <v>0</v>
      </c>
      <c r="AF167" s="2">
        <f t="shared" si="235"/>
        <v>0</v>
      </c>
      <c r="AG167" s="2">
        <f t="shared" si="218"/>
        <v>0</v>
      </c>
      <c r="AH167" s="2">
        <f t="shared" ref="AH167:AI170" si="236">(EW167)</f>
        <v>0</v>
      </c>
      <c r="AI167" s="2">
        <f t="shared" si="236"/>
        <v>0</v>
      </c>
      <c r="AJ167" s="2">
        <f t="shared" si="219"/>
        <v>0</v>
      </c>
      <c r="AK167" s="2">
        <v>183.31</v>
      </c>
      <c r="AL167" s="2">
        <v>183.31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109</v>
      </c>
      <c r="AU167" s="2">
        <v>61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278</v>
      </c>
      <c r="BK167" s="2"/>
      <c r="BL167" s="2"/>
      <c r="BM167" s="2">
        <v>23</v>
      </c>
      <c r="BN167" s="2">
        <v>58973374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109</v>
      </c>
      <c r="CA167" s="2">
        <v>61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220"/>
        <v>63608.57</v>
      </c>
      <c r="CQ167" s="2">
        <f t="shared" si="221"/>
        <v>183.31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222"/>
        <v>0</v>
      </c>
      <c r="CU167" s="2">
        <f t="shared" si="223"/>
        <v>0</v>
      </c>
      <c r="CV167" s="2">
        <f t="shared" si="224"/>
        <v>0</v>
      </c>
      <c r="CW167" s="2">
        <f t="shared" si="225"/>
        <v>0</v>
      </c>
      <c r="CX167" s="2">
        <f t="shared" si="226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31</v>
      </c>
      <c r="DW167" s="2" t="s">
        <v>31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60088254</v>
      </c>
      <c r="EF167" s="2">
        <v>30</v>
      </c>
      <c r="EG167" s="2" t="s">
        <v>100</v>
      </c>
      <c r="EH167" s="2">
        <v>0</v>
      </c>
      <c r="EI167" s="2" t="s">
        <v>3</v>
      </c>
      <c r="EJ167" s="2">
        <v>1</v>
      </c>
      <c r="EK167" s="2">
        <v>23</v>
      </c>
      <c r="EL167" s="2" t="s">
        <v>101</v>
      </c>
      <c r="EM167" s="2" t="s">
        <v>102</v>
      </c>
      <c r="EN167" s="2"/>
      <c r="EO167" s="2" t="s">
        <v>3</v>
      </c>
      <c r="EP167" s="2"/>
      <c r="EQ167" s="2">
        <v>0</v>
      </c>
      <c r="ER167" s="2">
        <v>183.31</v>
      </c>
      <c r="ES167" s="2">
        <v>183.31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109</v>
      </c>
      <c r="FY167" s="2">
        <v>61</v>
      </c>
      <c r="FZ167" s="2"/>
      <c r="GA167" s="2" t="s">
        <v>3</v>
      </c>
      <c r="GB167" s="2"/>
      <c r="GC167" s="2"/>
      <c r="GD167" s="2">
        <v>1</v>
      </c>
      <c r="GE167" s="2"/>
      <c r="GF167" s="2">
        <v>809643446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227"/>
        <v>0</v>
      </c>
      <c r="GM167" s="2">
        <f t="shared" si="228"/>
        <v>63608.57</v>
      </c>
      <c r="GN167" s="2">
        <f t="shared" si="229"/>
        <v>63608.57</v>
      </c>
      <c r="GO167" s="2">
        <f t="shared" si="230"/>
        <v>0</v>
      </c>
      <c r="GP167" s="2">
        <f t="shared" si="231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32"/>
        <v>0</v>
      </c>
      <c r="GW167" s="2">
        <v>1</v>
      </c>
      <c r="GX167" s="2">
        <f t="shared" si="233"/>
        <v>0</v>
      </c>
      <c r="GY167" s="2"/>
      <c r="GZ167" s="2"/>
      <c r="HA167" s="2">
        <v>0</v>
      </c>
      <c r="HB167" s="2">
        <v>0</v>
      </c>
      <c r="HC167" s="2">
        <f t="shared" si="234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>
        <v>18</v>
      </c>
      <c r="B168">
        <v>1</v>
      </c>
      <c r="C168">
        <v>241</v>
      </c>
      <c r="E168" t="s">
        <v>275</v>
      </c>
      <c r="F168" t="s">
        <v>276</v>
      </c>
      <c r="G168" t="s">
        <v>277</v>
      </c>
      <c r="H168" t="s">
        <v>31</v>
      </c>
      <c r="I168">
        <f>I166*J168</f>
        <v>347</v>
      </c>
      <c r="J168">
        <v>100</v>
      </c>
      <c r="K168">
        <v>100</v>
      </c>
      <c r="O168">
        <f t="shared" si="209"/>
        <v>406458.76</v>
      </c>
      <c r="P168">
        <f t="shared" si="210"/>
        <v>406458.76</v>
      </c>
      <c r="Q168">
        <f>(ROUND((ROUND(((ET168)*AV168*I168),2)*BB168),2)+ROUND((ROUND(((AE168-(EU168))*AV168*I168),2)*BS168),2))</f>
        <v>0</v>
      </c>
      <c r="R168">
        <f>(ROUND((ROUND(((EU168)*AV168*I168),2)*BS168),2)+ROUND((ROUND(((AE168-(EU168))*AV168*I168),2)*BS168),2))</f>
        <v>0</v>
      </c>
      <c r="S168">
        <f t="shared" si="211"/>
        <v>0</v>
      </c>
      <c r="T168">
        <f t="shared" si="212"/>
        <v>0</v>
      </c>
      <c r="U168">
        <f t="shared" si="213"/>
        <v>0</v>
      </c>
      <c r="V168">
        <f t="shared" si="214"/>
        <v>0</v>
      </c>
      <c r="W168">
        <f t="shared" si="215"/>
        <v>0</v>
      </c>
      <c r="X168">
        <f>(ROUND((((S168+ROUND((ROUND(((EU168)*AV168*I168),2)*BS168),2))*AT168)/100),2)+ROUND(((ROUND((ROUND(((AE168-(EU168))*AV168*I168),2)*BS168),2)*AT168)/100),2))</f>
        <v>0</v>
      </c>
      <c r="Y168">
        <f>(ROUND((((S168+ROUND((ROUND(((EU168)*AV168*I168),2)*BS168),2))*AU168)/100),2)+ROUND(((ROUND((ROUND(((AE168-(EU168))*AV168*I168),2)*BS168),2)*AU168)/100),2))</f>
        <v>0</v>
      </c>
      <c r="AA168">
        <v>60255011</v>
      </c>
      <c r="AB168">
        <f t="shared" si="216"/>
        <v>183.31</v>
      </c>
      <c r="AC168">
        <f t="shared" si="217"/>
        <v>183.31</v>
      </c>
      <c r="AD168">
        <f>ROUND((((ET168)-(EU168))+AE168),6)</f>
        <v>0</v>
      </c>
      <c r="AE168">
        <f t="shared" si="235"/>
        <v>0</v>
      </c>
      <c r="AF168">
        <f t="shared" si="235"/>
        <v>0</v>
      </c>
      <c r="AG168">
        <f t="shared" si="218"/>
        <v>0</v>
      </c>
      <c r="AH168">
        <f t="shared" si="236"/>
        <v>0</v>
      </c>
      <c r="AI168">
        <f t="shared" si="236"/>
        <v>0</v>
      </c>
      <c r="AJ168">
        <f t="shared" si="219"/>
        <v>0</v>
      </c>
      <c r="AK168">
        <v>183.31</v>
      </c>
      <c r="AL168">
        <v>183.31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109</v>
      </c>
      <c r="AU168">
        <v>61</v>
      </c>
      <c r="AV168">
        <v>1</v>
      </c>
      <c r="AW168">
        <v>1</v>
      </c>
      <c r="AZ168">
        <v>1</v>
      </c>
      <c r="BA168">
        <v>1</v>
      </c>
      <c r="BB168">
        <v>1</v>
      </c>
      <c r="BC168">
        <v>6.39</v>
      </c>
      <c r="BD168" t="s">
        <v>3</v>
      </c>
      <c r="BE168" t="s">
        <v>3</v>
      </c>
      <c r="BF168" t="s">
        <v>3</v>
      </c>
      <c r="BG168" t="s">
        <v>3</v>
      </c>
      <c r="BH168">
        <v>3</v>
      </c>
      <c r="BI168">
        <v>1</v>
      </c>
      <c r="BJ168" t="s">
        <v>278</v>
      </c>
      <c r="BM168">
        <v>23</v>
      </c>
      <c r="BN168">
        <v>58973374</v>
      </c>
      <c r="BO168" t="s">
        <v>276</v>
      </c>
      <c r="BP168">
        <v>1</v>
      </c>
      <c r="BQ168">
        <v>30</v>
      </c>
      <c r="BR168">
        <v>0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 t="s">
        <v>3</v>
      </c>
      <c r="BZ168">
        <v>109</v>
      </c>
      <c r="CA168">
        <v>61</v>
      </c>
      <c r="CB168" t="s">
        <v>3</v>
      </c>
      <c r="CE168">
        <v>1566</v>
      </c>
      <c r="CF168">
        <v>0</v>
      </c>
      <c r="CG168">
        <v>0</v>
      </c>
      <c r="CM168">
        <v>0</v>
      </c>
      <c r="CN168" t="s">
        <v>3</v>
      </c>
      <c r="CO168">
        <v>0</v>
      </c>
      <c r="CP168">
        <f t="shared" si="220"/>
        <v>406458.76</v>
      </c>
      <c r="CQ168">
        <f t="shared" si="221"/>
        <v>1171.3499999999999</v>
      </c>
      <c r="CR168">
        <f>(ROUND((ROUND(((ET168)*AV168*1),2)*BB168),2)+ROUND((ROUND(((AE168-(EU168))*AV168*1),2)*BS168),2))</f>
        <v>0</v>
      </c>
      <c r="CS168">
        <f>(ROUND((ROUND(((EU168)*AV168*1),2)*BS168),2)+ROUND((ROUND(((AE168-(EU168))*AV168*1),2)*BS168),2))</f>
        <v>0</v>
      </c>
      <c r="CT168">
        <f t="shared" si="222"/>
        <v>0</v>
      </c>
      <c r="CU168">
        <f t="shared" si="223"/>
        <v>0</v>
      </c>
      <c r="CV168">
        <f t="shared" si="224"/>
        <v>0</v>
      </c>
      <c r="CW168">
        <f t="shared" si="225"/>
        <v>0</v>
      </c>
      <c r="CX168">
        <f t="shared" si="226"/>
        <v>0</v>
      </c>
      <c r="CY168">
        <f>(ROUND((((S168+ROUND((ROUND(((EU168)*AV168*1),2)*BS168),2))*AT168)/100),2)+ROUND(((ROUND((ROUND(((AE168-(EU168))*AV168*1),2)*BS168),2)*AT168)/100),2))</f>
        <v>0</v>
      </c>
      <c r="CZ168">
        <f>(ROUND((((S168+ROUND((ROUND(((EU168)*AV168*1),2)*BS168),2))*AU168)/100),2)+ROUND(((ROUND((ROUND(((AE168-(EU168))*AV168*1),2)*BS168),2)*AU168)/100),2))</f>
        <v>0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>
        <v>0</v>
      </c>
      <c r="DO168">
        <v>0</v>
      </c>
      <c r="DP168">
        <v>1</v>
      </c>
      <c r="DQ168">
        <v>1</v>
      </c>
      <c r="DU168">
        <v>1010</v>
      </c>
      <c r="DV168" t="s">
        <v>31</v>
      </c>
      <c r="DW168" t="s">
        <v>31</v>
      </c>
      <c r="DX168">
        <v>1</v>
      </c>
      <c r="DZ168" t="s">
        <v>3</v>
      </c>
      <c r="EA168" t="s">
        <v>3</v>
      </c>
      <c r="EB168" t="s">
        <v>3</v>
      </c>
      <c r="EC168" t="s">
        <v>3</v>
      </c>
      <c r="EE168">
        <v>60088254</v>
      </c>
      <c r="EF168">
        <v>30</v>
      </c>
      <c r="EG168" t="s">
        <v>100</v>
      </c>
      <c r="EH168">
        <v>0</v>
      </c>
      <c r="EI168" t="s">
        <v>3</v>
      </c>
      <c r="EJ168">
        <v>1</v>
      </c>
      <c r="EK168">
        <v>23</v>
      </c>
      <c r="EL168" t="s">
        <v>101</v>
      </c>
      <c r="EM168" t="s">
        <v>102</v>
      </c>
      <c r="EO168" t="s">
        <v>3</v>
      </c>
      <c r="EQ168">
        <v>0</v>
      </c>
      <c r="ER168">
        <v>183.31</v>
      </c>
      <c r="ES168">
        <v>183.31</v>
      </c>
      <c r="ET168">
        <v>0</v>
      </c>
      <c r="EU168">
        <v>0</v>
      </c>
      <c r="EV168">
        <v>0</v>
      </c>
      <c r="EW168">
        <v>0</v>
      </c>
      <c r="EX168">
        <v>0</v>
      </c>
      <c r="FQ168">
        <v>0</v>
      </c>
      <c r="FR168">
        <v>0</v>
      </c>
      <c r="FS168">
        <v>0</v>
      </c>
      <c r="FX168">
        <v>109</v>
      </c>
      <c r="FY168">
        <v>61</v>
      </c>
      <c r="GA168" t="s">
        <v>3</v>
      </c>
      <c r="GD168">
        <v>1</v>
      </c>
      <c r="GF168">
        <v>809643446</v>
      </c>
      <c r="GG168">
        <v>2</v>
      </c>
      <c r="GH168">
        <v>1</v>
      </c>
      <c r="GI168">
        <v>2</v>
      </c>
      <c r="GJ168">
        <v>0</v>
      </c>
      <c r="GK168">
        <v>0</v>
      </c>
      <c r="GL168">
        <f t="shared" si="227"/>
        <v>0</v>
      </c>
      <c r="GM168">
        <f t="shared" si="228"/>
        <v>406458.76</v>
      </c>
      <c r="GN168">
        <f t="shared" si="229"/>
        <v>406458.76</v>
      </c>
      <c r="GO168">
        <f t="shared" si="230"/>
        <v>0</v>
      </c>
      <c r="GP168">
        <f t="shared" si="231"/>
        <v>0</v>
      </c>
      <c r="GR168">
        <v>0</v>
      </c>
      <c r="GS168">
        <v>3</v>
      </c>
      <c r="GT168">
        <v>0</v>
      </c>
      <c r="GU168" t="s">
        <v>3</v>
      </c>
      <c r="GV168">
        <f t="shared" si="232"/>
        <v>0</v>
      </c>
      <c r="GW168">
        <v>1</v>
      </c>
      <c r="GX168">
        <f t="shared" si="233"/>
        <v>0</v>
      </c>
      <c r="HA168">
        <v>0</v>
      </c>
      <c r="HB168">
        <v>0</v>
      </c>
      <c r="HC168">
        <f t="shared" si="234"/>
        <v>0</v>
      </c>
      <c r="HE168" t="s">
        <v>3</v>
      </c>
      <c r="HF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3</v>
      </c>
      <c r="HS168">
        <v>0</v>
      </c>
      <c r="IK168">
        <v>0</v>
      </c>
    </row>
    <row r="169" spans="1:255" x14ac:dyDescent="0.2">
      <c r="A169" s="2">
        <v>18</v>
      </c>
      <c r="B169" s="2">
        <v>1</v>
      </c>
      <c r="C169" s="2">
        <v>235</v>
      </c>
      <c r="D169" s="2"/>
      <c r="E169" s="2" t="s">
        <v>279</v>
      </c>
      <c r="F169" s="2" t="s">
        <v>280</v>
      </c>
      <c r="G169" s="2" t="s">
        <v>281</v>
      </c>
      <c r="H169" s="2" t="s">
        <v>31</v>
      </c>
      <c r="I169" s="2">
        <f>I165*J169</f>
        <v>347</v>
      </c>
      <c r="J169" s="2">
        <v>100</v>
      </c>
      <c r="K169" s="2">
        <v>100</v>
      </c>
      <c r="L169" s="2"/>
      <c r="M169" s="2"/>
      <c r="N169" s="2"/>
      <c r="O169" s="2">
        <f t="shared" si="209"/>
        <v>106796.19</v>
      </c>
      <c r="P169" s="2">
        <f t="shared" si="210"/>
        <v>106796.19</v>
      </c>
      <c r="Q169" s="2">
        <f>(ROUND((ROUND(((ET169)*AV169*I169),2)*BB169),2)+ROUND((ROUND(((AE169-(EU169))*AV169*I169),2)*BS169),2))</f>
        <v>0</v>
      </c>
      <c r="R169" s="2">
        <f>(ROUND((ROUND(((EU169)*AV169*I169),2)*BS169),2)+ROUND((ROUND(((AE169-(EU169))*AV169*I169),2)*BS169),2))</f>
        <v>0</v>
      </c>
      <c r="S169" s="2">
        <f t="shared" si="211"/>
        <v>0</v>
      </c>
      <c r="T169" s="2">
        <f t="shared" si="212"/>
        <v>0</v>
      </c>
      <c r="U169" s="2">
        <f t="shared" si="213"/>
        <v>0</v>
      </c>
      <c r="V169" s="2">
        <f t="shared" si="214"/>
        <v>0</v>
      </c>
      <c r="W169" s="2">
        <f t="shared" si="215"/>
        <v>0</v>
      </c>
      <c r="X169" s="2">
        <f>(ROUND((((S169+ROUND((ROUND(((EU169)*AV169*I169),2)*BS169),2))*AT169)/100),2)+ROUND(((ROUND((ROUND(((AE169-(EU169))*AV169*I169),2)*BS169),2)*AT169)/100),2))</f>
        <v>0</v>
      </c>
      <c r="Y169" s="2">
        <f>(ROUND((((S169+ROUND((ROUND(((EU169)*AV169*I169),2)*BS169),2))*AU169)/100),2)+ROUND(((ROUND((ROUND(((AE169-(EU169))*AV169*I169),2)*BS169),2)*AU169)/100),2))</f>
        <v>0</v>
      </c>
      <c r="Z169" s="2"/>
      <c r="AA169" s="2">
        <v>60255014</v>
      </c>
      <c r="AB169" s="2">
        <f t="shared" si="216"/>
        <v>307.77</v>
      </c>
      <c r="AC169" s="2">
        <f t="shared" si="217"/>
        <v>307.77</v>
      </c>
      <c r="AD169" s="2">
        <f>ROUND((((ET169)-(EU169))+AE169),6)</f>
        <v>0</v>
      </c>
      <c r="AE169" s="2">
        <f t="shared" si="235"/>
        <v>0</v>
      </c>
      <c r="AF169" s="2">
        <f t="shared" si="235"/>
        <v>0</v>
      </c>
      <c r="AG169" s="2">
        <f t="shared" si="218"/>
        <v>0</v>
      </c>
      <c r="AH169" s="2">
        <f t="shared" si="236"/>
        <v>0</v>
      </c>
      <c r="AI169" s="2">
        <f t="shared" si="236"/>
        <v>0</v>
      </c>
      <c r="AJ169" s="2">
        <f t="shared" si="219"/>
        <v>0</v>
      </c>
      <c r="AK169" s="2">
        <v>307.77</v>
      </c>
      <c r="AL169" s="2">
        <v>307.77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109</v>
      </c>
      <c r="AU169" s="2">
        <v>61</v>
      </c>
      <c r="AV169" s="2">
        <v>1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3</v>
      </c>
      <c r="BI169" s="2">
        <v>1</v>
      </c>
      <c r="BJ169" s="2" t="s">
        <v>282</v>
      </c>
      <c r="BK169" s="2"/>
      <c r="BL169" s="2"/>
      <c r="BM169" s="2">
        <v>23</v>
      </c>
      <c r="BN169" s="2">
        <v>58973374</v>
      </c>
      <c r="BO169" s="2" t="s">
        <v>3</v>
      </c>
      <c r="BP169" s="2">
        <v>0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109</v>
      </c>
      <c r="CA169" s="2">
        <v>61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3</v>
      </c>
      <c r="CO169" s="2">
        <v>0</v>
      </c>
      <c r="CP169" s="2">
        <f t="shared" si="220"/>
        <v>106796.19</v>
      </c>
      <c r="CQ169" s="2">
        <f t="shared" si="221"/>
        <v>307.77</v>
      </c>
      <c r="CR169" s="2">
        <f>(ROUND((ROUND(((ET169)*AV169*1),2)*BB169),2)+ROUND((ROUND(((AE169-(EU169))*AV169*1),2)*BS169),2))</f>
        <v>0</v>
      </c>
      <c r="CS169" s="2">
        <f>(ROUND((ROUND(((EU169)*AV169*1),2)*BS169),2)+ROUND((ROUND(((AE169-(EU169))*AV169*1),2)*BS169),2))</f>
        <v>0</v>
      </c>
      <c r="CT169" s="2">
        <f t="shared" si="222"/>
        <v>0</v>
      </c>
      <c r="CU169" s="2">
        <f t="shared" si="223"/>
        <v>0</v>
      </c>
      <c r="CV169" s="2">
        <f t="shared" si="224"/>
        <v>0</v>
      </c>
      <c r="CW169" s="2">
        <f t="shared" si="225"/>
        <v>0</v>
      </c>
      <c r="CX169" s="2">
        <f t="shared" si="226"/>
        <v>0</v>
      </c>
      <c r="CY169" s="2">
        <f>(ROUND((((S169+ROUND((ROUND(((EU169)*AV169*1),2)*BS169),2))*AT169)/100),2)+ROUND(((ROUND((ROUND(((AE169-(EU169))*AV169*1),2)*BS169),2)*AT169)/100),2))</f>
        <v>0</v>
      </c>
      <c r="CZ169" s="2">
        <f>(ROUND((((S169+ROUND((ROUND(((EU169)*AV169*1),2)*BS169),2))*AU169)/100),2)+ROUND(((ROUND((ROUND(((AE169-(EU169))*AV169*1),2)*BS169),2)*AU169)/100),2))</f>
        <v>0</v>
      </c>
      <c r="DA169" s="2"/>
      <c r="DB169" s="2"/>
      <c r="DC169" s="2" t="s">
        <v>3</v>
      </c>
      <c r="DD169" s="2" t="s">
        <v>3</v>
      </c>
      <c r="DE169" s="2" t="s">
        <v>3</v>
      </c>
      <c r="DF169" s="2" t="s">
        <v>3</v>
      </c>
      <c r="DG169" s="2" t="s">
        <v>3</v>
      </c>
      <c r="DH169" s="2" t="s">
        <v>3</v>
      </c>
      <c r="DI169" s="2" t="s">
        <v>3</v>
      </c>
      <c r="DJ169" s="2" t="s">
        <v>3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1010</v>
      </c>
      <c r="DV169" s="2" t="s">
        <v>31</v>
      </c>
      <c r="DW169" s="2" t="s">
        <v>31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60088254</v>
      </c>
      <c r="EF169" s="2">
        <v>30</v>
      </c>
      <c r="EG169" s="2" t="s">
        <v>100</v>
      </c>
      <c r="EH169" s="2">
        <v>0</v>
      </c>
      <c r="EI169" s="2" t="s">
        <v>3</v>
      </c>
      <c r="EJ169" s="2">
        <v>1</v>
      </c>
      <c r="EK169" s="2">
        <v>23</v>
      </c>
      <c r="EL169" s="2" t="s">
        <v>101</v>
      </c>
      <c r="EM169" s="2" t="s">
        <v>102</v>
      </c>
      <c r="EN169" s="2"/>
      <c r="EO169" s="2" t="s">
        <v>3</v>
      </c>
      <c r="EP169" s="2"/>
      <c r="EQ169" s="2">
        <v>0</v>
      </c>
      <c r="ER169" s="2">
        <v>307.77</v>
      </c>
      <c r="ES169" s="2">
        <v>307.77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109</v>
      </c>
      <c r="FY169" s="2">
        <v>61</v>
      </c>
      <c r="FZ169" s="2"/>
      <c r="GA169" s="2" t="s">
        <v>3</v>
      </c>
      <c r="GB169" s="2"/>
      <c r="GC169" s="2"/>
      <c r="GD169" s="2">
        <v>1</v>
      </c>
      <c r="GE169" s="2"/>
      <c r="GF169" s="2">
        <v>1228790676</v>
      </c>
      <c r="GG169" s="2">
        <v>2</v>
      </c>
      <c r="GH169" s="2">
        <v>1</v>
      </c>
      <c r="GI169" s="2">
        <v>-2</v>
      </c>
      <c r="GJ169" s="2">
        <v>0</v>
      </c>
      <c r="GK169" s="2">
        <v>0</v>
      </c>
      <c r="GL169" s="2">
        <f t="shared" si="227"/>
        <v>0</v>
      </c>
      <c r="GM169" s="2">
        <f t="shared" si="228"/>
        <v>106796.19</v>
      </c>
      <c r="GN169" s="2">
        <f t="shared" si="229"/>
        <v>106796.19</v>
      </c>
      <c r="GO169" s="2">
        <f t="shared" si="230"/>
        <v>0</v>
      </c>
      <c r="GP169" s="2">
        <f t="shared" si="231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32"/>
        <v>0</v>
      </c>
      <c r="GW169" s="2">
        <v>1</v>
      </c>
      <c r="GX169" s="2">
        <f t="shared" si="233"/>
        <v>0</v>
      </c>
      <c r="GY169" s="2"/>
      <c r="GZ169" s="2"/>
      <c r="HA169" s="2">
        <v>0</v>
      </c>
      <c r="HB169" s="2">
        <v>0</v>
      </c>
      <c r="HC169" s="2">
        <f t="shared" si="234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>
        <v>18</v>
      </c>
      <c r="B170">
        <v>1</v>
      </c>
      <c r="C170">
        <v>242</v>
      </c>
      <c r="E170" t="s">
        <v>279</v>
      </c>
      <c r="F170" t="s">
        <v>280</v>
      </c>
      <c r="G170" t="s">
        <v>281</v>
      </c>
      <c r="H170" t="s">
        <v>31</v>
      </c>
      <c r="I170">
        <f>I166*J170</f>
        <v>347</v>
      </c>
      <c r="J170">
        <v>100</v>
      </c>
      <c r="K170">
        <v>100</v>
      </c>
      <c r="O170">
        <f t="shared" si="209"/>
        <v>786019.96</v>
      </c>
      <c r="P170">
        <f t="shared" si="210"/>
        <v>786019.96</v>
      </c>
      <c r="Q170">
        <f>(ROUND((ROUND(((ET170)*AV170*I170),2)*BB170),2)+ROUND((ROUND(((AE170-(EU170))*AV170*I170),2)*BS170),2))</f>
        <v>0</v>
      </c>
      <c r="R170">
        <f>(ROUND((ROUND(((EU170)*AV170*I170),2)*BS170),2)+ROUND((ROUND(((AE170-(EU170))*AV170*I170),2)*BS170),2))</f>
        <v>0</v>
      </c>
      <c r="S170">
        <f t="shared" si="211"/>
        <v>0</v>
      </c>
      <c r="T170">
        <f t="shared" si="212"/>
        <v>0</v>
      </c>
      <c r="U170">
        <f t="shared" si="213"/>
        <v>0</v>
      </c>
      <c r="V170">
        <f t="shared" si="214"/>
        <v>0</v>
      </c>
      <c r="W170">
        <f t="shared" si="215"/>
        <v>0</v>
      </c>
      <c r="X170">
        <f>(ROUND((((S170+ROUND((ROUND(((EU170)*AV170*I170),2)*BS170),2))*AT170)/100),2)+ROUND(((ROUND((ROUND(((AE170-(EU170))*AV170*I170),2)*BS170),2)*AT170)/100),2))</f>
        <v>0</v>
      </c>
      <c r="Y170">
        <f>(ROUND((((S170+ROUND((ROUND(((EU170)*AV170*I170),2)*BS170),2))*AU170)/100),2)+ROUND(((ROUND((ROUND(((AE170-(EU170))*AV170*I170),2)*BS170),2)*AU170)/100),2))</f>
        <v>0</v>
      </c>
      <c r="AA170">
        <v>60255011</v>
      </c>
      <c r="AB170">
        <f t="shared" si="216"/>
        <v>307.77</v>
      </c>
      <c r="AC170">
        <f t="shared" si="217"/>
        <v>307.77</v>
      </c>
      <c r="AD170">
        <f>ROUND((((ET170)-(EU170))+AE170),6)</f>
        <v>0</v>
      </c>
      <c r="AE170">
        <f t="shared" si="235"/>
        <v>0</v>
      </c>
      <c r="AF170">
        <f t="shared" si="235"/>
        <v>0</v>
      </c>
      <c r="AG170">
        <f t="shared" si="218"/>
        <v>0</v>
      </c>
      <c r="AH170">
        <f t="shared" si="236"/>
        <v>0</v>
      </c>
      <c r="AI170">
        <f t="shared" si="236"/>
        <v>0</v>
      </c>
      <c r="AJ170">
        <f t="shared" si="219"/>
        <v>0</v>
      </c>
      <c r="AK170">
        <v>307.77</v>
      </c>
      <c r="AL170">
        <v>307.77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109</v>
      </c>
      <c r="AU170">
        <v>61</v>
      </c>
      <c r="AV170">
        <v>1</v>
      </c>
      <c r="AW170">
        <v>1</v>
      </c>
      <c r="AZ170">
        <v>1</v>
      </c>
      <c r="BA170">
        <v>1</v>
      </c>
      <c r="BB170">
        <v>1</v>
      </c>
      <c r="BC170">
        <v>7.36</v>
      </c>
      <c r="BD170" t="s">
        <v>3</v>
      </c>
      <c r="BE170" t="s">
        <v>3</v>
      </c>
      <c r="BF170" t="s">
        <v>3</v>
      </c>
      <c r="BG170" t="s">
        <v>3</v>
      </c>
      <c r="BH170">
        <v>3</v>
      </c>
      <c r="BI170">
        <v>1</v>
      </c>
      <c r="BJ170" t="s">
        <v>282</v>
      </c>
      <c r="BM170">
        <v>23</v>
      </c>
      <c r="BN170">
        <v>58973374</v>
      </c>
      <c r="BO170" t="s">
        <v>280</v>
      </c>
      <c r="BP170">
        <v>1</v>
      </c>
      <c r="BQ170">
        <v>30</v>
      </c>
      <c r="BR170">
        <v>0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 t="s">
        <v>3</v>
      </c>
      <c r="BZ170">
        <v>109</v>
      </c>
      <c r="CA170">
        <v>61</v>
      </c>
      <c r="CB170" t="s">
        <v>3</v>
      </c>
      <c r="CE170">
        <v>1566</v>
      </c>
      <c r="CF170">
        <v>0</v>
      </c>
      <c r="CG170">
        <v>0</v>
      </c>
      <c r="CM170">
        <v>0</v>
      </c>
      <c r="CN170" t="s">
        <v>3</v>
      </c>
      <c r="CO170">
        <v>0</v>
      </c>
      <c r="CP170">
        <f t="shared" si="220"/>
        <v>786019.96</v>
      </c>
      <c r="CQ170">
        <f t="shared" si="221"/>
        <v>2265.19</v>
      </c>
      <c r="CR170">
        <f>(ROUND((ROUND(((ET170)*AV170*1),2)*BB170),2)+ROUND((ROUND(((AE170-(EU170))*AV170*1),2)*BS170),2))</f>
        <v>0</v>
      </c>
      <c r="CS170">
        <f>(ROUND((ROUND(((EU170)*AV170*1),2)*BS170),2)+ROUND((ROUND(((AE170-(EU170))*AV170*1),2)*BS170),2))</f>
        <v>0</v>
      </c>
      <c r="CT170">
        <f t="shared" si="222"/>
        <v>0</v>
      </c>
      <c r="CU170">
        <f t="shared" si="223"/>
        <v>0</v>
      </c>
      <c r="CV170">
        <f t="shared" si="224"/>
        <v>0</v>
      </c>
      <c r="CW170">
        <f t="shared" si="225"/>
        <v>0</v>
      </c>
      <c r="CX170">
        <f t="shared" si="226"/>
        <v>0</v>
      </c>
      <c r="CY170">
        <f>(ROUND((((S170+ROUND((ROUND(((EU170)*AV170*1),2)*BS170),2))*AT170)/100),2)+ROUND(((ROUND((ROUND(((AE170-(EU170))*AV170*1),2)*BS170),2)*AT170)/100),2))</f>
        <v>0</v>
      </c>
      <c r="CZ170">
        <f>(ROUND((((S170+ROUND((ROUND(((EU170)*AV170*1),2)*BS170),2))*AU170)/100),2)+ROUND(((ROUND((ROUND(((AE170-(EU170))*AV170*1),2)*BS170),2)*AU170)/100),2))</f>
        <v>0</v>
      </c>
      <c r="DC170" t="s">
        <v>3</v>
      </c>
      <c r="DD170" t="s">
        <v>3</v>
      </c>
      <c r="DE170" t="s">
        <v>3</v>
      </c>
      <c r="DF170" t="s">
        <v>3</v>
      </c>
      <c r="DG170" t="s">
        <v>3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  <c r="DN170">
        <v>0</v>
      </c>
      <c r="DO170">
        <v>0</v>
      </c>
      <c r="DP170">
        <v>1</v>
      </c>
      <c r="DQ170">
        <v>1</v>
      </c>
      <c r="DU170">
        <v>1010</v>
      </c>
      <c r="DV170" t="s">
        <v>31</v>
      </c>
      <c r="DW170" t="s">
        <v>31</v>
      </c>
      <c r="DX170">
        <v>1</v>
      </c>
      <c r="DZ170" t="s">
        <v>3</v>
      </c>
      <c r="EA170" t="s">
        <v>3</v>
      </c>
      <c r="EB170" t="s">
        <v>3</v>
      </c>
      <c r="EC170" t="s">
        <v>3</v>
      </c>
      <c r="EE170">
        <v>60088254</v>
      </c>
      <c r="EF170">
        <v>30</v>
      </c>
      <c r="EG170" t="s">
        <v>100</v>
      </c>
      <c r="EH170">
        <v>0</v>
      </c>
      <c r="EI170" t="s">
        <v>3</v>
      </c>
      <c r="EJ170">
        <v>1</v>
      </c>
      <c r="EK170">
        <v>23</v>
      </c>
      <c r="EL170" t="s">
        <v>101</v>
      </c>
      <c r="EM170" t="s">
        <v>102</v>
      </c>
      <c r="EO170" t="s">
        <v>3</v>
      </c>
      <c r="EQ170">
        <v>0</v>
      </c>
      <c r="ER170">
        <v>307.77</v>
      </c>
      <c r="ES170">
        <v>307.77</v>
      </c>
      <c r="ET170">
        <v>0</v>
      </c>
      <c r="EU170">
        <v>0</v>
      </c>
      <c r="EV170">
        <v>0</v>
      </c>
      <c r="EW170">
        <v>0</v>
      </c>
      <c r="EX170">
        <v>0</v>
      </c>
      <c r="FQ170">
        <v>0</v>
      </c>
      <c r="FR170">
        <v>0</v>
      </c>
      <c r="FS170">
        <v>0</v>
      </c>
      <c r="FX170">
        <v>109</v>
      </c>
      <c r="FY170">
        <v>61</v>
      </c>
      <c r="GA170" t="s">
        <v>3</v>
      </c>
      <c r="GD170">
        <v>1</v>
      </c>
      <c r="GF170">
        <v>1228790676</v>
      </c>
      <c r="GG170">
        <v>2</v>
      </c>
      <c r="GH170">
        <v>1</v>
      </c>
      <c r="GI170">
        <v>2</v>
      </c>
      <c r="GJ170">
        <v>0</v>
      </c>
      <c r="GK170">
        <v>0</v>
      </c>
      <c r="GL170">
        <f t="shared" si="227"/>
        <v>0</v>
      </c>
      <c r="GM170">
        <f t="shared" si="228"/>
        <v>786019.96</v>
      </c>
      <c r="GN170">
        <f t="shared" si="229"/>
        <v>786019.96</v>
      </c>
      <c r="GO170">
        <f t="shared" si="230"/>
        <v>0</v>
      </c>
      <c r="GP170">
        <f t="shared" si="231"/>
        <v>0</v>
      </c>
      <c r="GR170">
        <v>0</v>
      </c>
      <c r="GS170">
        <v>3</v>
      </c>
      <c r="GT170">
        <v>0</v>
      </c>
      <c r="GU170" t="s">
        <v>3</v>
      </c>
      <c r="GV170">
        <f t="shared" si="232"/>
        <v>0</v>
      </c>
      <c r="GW170">
        <v>1</v>
      </c>
      <c r="GX170">
        <f t="shared" si="233"/>
        <v>0</v>
      </c>
      <c r="HA170">
        <v>0</v>
      </c>
      <c r="HB170">
        <v>0</v>
      </c>
      <c r="HC170">
        <f t="shared" si="234"/>
        <v>0</v>
      </c>
      <c r="HE170" t="s">
        <v>3</v>
      </c>
      <c r="HF170" t="s">
        <v>3</v>
      </c>
      <c r="HM170" t="s">
        <v>3</v>
      </c>
      <c r="HN170" t="s">
        <v>3</v>
      </c>
      <c r="HO170" t="s">
        <v>3</v>
      </c>
      <c r="HP170" t="s">
        <v>3</v>
      </c>
      <c r="HQ170" t="s">
        <v>3</v>
      </c>
      <c r="HS170">
        <v>0</v>
      </c>
      <c r="IK170">
        <v>0</v>
      </c>
    </row>
    <row r="171" spans="1:255" x14ac:dyDescent="0.2">
      <c r="A171" s="2">
        <v>17</v>
      </c>
      <c r="B171" s="2">
        <v>1</v>
      </c>
      <c r="C171" s="2">
        <f>ROW(SmtRes!A246)</f>
        <v>246</v>
      </c>
      <c r="D171" s="2">
        <f>ROW(EtalonRes!A270)</f>
        <v>270</v>
      </c>
      <c r="E171" s="2" t="s">
        <v>283</v>
      </c>
      <c r="F171" s="2" t="s">
        <v>284</v>
      </c>
      <c r="G171" s="2" t="s">
        <v>285</v>
      </c>
      <c r="H171" s="2" t="s">
        <v>21</v>
      </c>
      <c r="I171" s="2">
        <v>347</v>
      </c>
      <c r="J171" s="2">
        <v>0</v>
      </c>
      <c r="K171" s="2">
        <v>347</v>
      </c>
      <c r="L171" s="2"/>
      <c r="M171" s="2"/>
      <c r="N171" s="2"/>
      <c r="O171" s="2">
        <f t="shared" si="209"/>
        <v>2073.4499999999998</v>
      </c>
      <c r="P171" s="2">
        <f t="shared" si="210"/>
        <v>281.07</v>
      </c>
      <c r="Q171" s="2">
        <f>(ROUND((ROUND(((((ET171*1.25)*1.1))*AV171*I171),2)*BB171),2)+ROUND((ROUND(((AE171-(((EU171*1.25)*1.1)))*AV171*I171),2)*BS171),2))</f>
        <v>0</v>
      </c>
      <c r="R171" s="2">
        <f>(ROUND((ROUND(((((EU171*1.25)*1.1))*AV171*I171),2)*BS171),2)+ROUND((ROUND(((AE171-(((EU171*1.25)*1.1)))*AV171*I171),2)*BS171),2))</f>
        <v>0</v>
      </c>
      <c r="S171" s="2">
        <f t="shared" si="211"/>
        <v>1792.38</v>
      </c>
      <c r="T171" s="2">
        <f t="shared" si="212"/>
        <v>0</v>
      </c>
      <c r="U171" s="2">
        <f t="shared" si="213"/>
        <v>137.8757655</v>
      </c>
      <c r="V171" s="2">
        <f t="shared" si="214"/>
        <v>0</v>
      </c>
      <c r="W171" s="2">
        <f t="shared" si="215"/>
        <v>0</v>
      </c>
      <c r="X171" s="2">
        <f>(ROUND((((S171+ROUND((ROUND(((((EU171*1.25)*1.1))*AV171*I171),2)*BS171),2))*AT171)/100),2)+ROUND(((ROUND((ROUND(((AE171-(((EU171*1.25)*1.1)))*AV171*I171),2)*BS171),2)*AT171)/100),2))</f>
        <v>1613.14</v>
      </c>
      <c r="Y171" s="2">
        <f>(ROUND((((S171+ROUND((ROUND(((((EU171*1.25)*1.1))*AV171*I171),2)*BS171),2))*AU171)/100),2)+ROUND(((ROUND((ROUND(((AE171-(((EU171*1.25)*1.1)))*AV171*I171),2)*BS171),2)*AU171)/100),2))</f>
        <v>824.49</v>
      </c>
      <c r="Z171" s="2"/>
      <c r="AA171" s="2">
        <v>60255014</v>
      </c>
      <c r="AB171" s="2">
        <f t="shared" si="216"/>
        <v>5.7435</v>
      </c>
      <c r="AC171" s="2">
        <f t="shared" si="217"/>
        <v>0.81</v>
      </c>
      <c r="AD171" s="2">
        <f>ROUND((((((ET171*1.25)*1.1))-(((EU171*1.25)*1.1)))+AE171),6)</f>
        <v>0</v>
      </c>
      <c r="AE171" s="2">
        <f>ROUND((((EU171*1.25)*1.1)),6)</f>
        <v>0</v>
      </c>
      <c r="AF171" s="2">
        <f>ROUND((((EV171*1.15)*1.1)),6)</f>
        <v>4.9335000000000004</v>
      </c>
      <c r="AG171" s="2">
        <f t="shared" si="218"/>
        <v>0</v>
      </c>
      <c r="AH171" s="2">
        <f>(((EW171*1.15)*1.1))</f>
        <v>0.3795</v>
      </c>
      <c r="AI171" s="2">
        <f>(((EX171*1.25)*1.1))</f>
        <v>0</v>
      </c>
      <c r="AJ171" s="2">
        <f t="shared" si="219"/>
        <v>0</v>
      </c>
      <c r="AK171" s="2">
        <v>4.71</v>
      </c>
      <c r="AL171" s="2">
        <v>0.81</v>
      </c>
      <c r="AM171" s="2">
        <v>0</v>
      </c>
      <c r="AN171" s="2">
        <v>0</v>
      </c>
      <c r="AO171" s="2">
        <v>3.9</v>
      </c>
      <c r="AP171" s="2">
        <v>0</v>
      </c>
      <c r="AQ171" s="2">
        <v>0.3</v>
      </c>
      <c r="AR171" s="2">
        <v>0</v>
      </c>
      <c r="AS171" s="2">
        <v>0</v>
      </c>
      <c r="AT171" s="2">
        <v>90</v>
      </c>
      <c r="AU171" s="2">
        <v>46</v>
      </c>
      <c r="AV171" s="2">
        <v>1.0469999999999999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2</v>
      </c>
      <c r="BJ171" s="2" t="s">
        <v>286</v>
      </c>
      <c r="BK171" s="2"/>
      <c r="BL171" s="2"/>
      <c r="BM171" s="2">
        <v>72</v>
      </c>
      <c r="BN171" s="2">
        <v>58973374</v>
      </c>
      <c r="BO171" s="2" t="s">
        <v>284</v>
      </c>
      <c r="BP171" s="2">
        <v>1</v>
      </c>
      <c r="BQ171" s="2">
        <v>40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90</v>
      </c>
      <c r="CA171" s="2">
        <v>46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625</v>
      </c>
      <c r="CO171" s="2">
        <v>0</v>
      </c>
      <c r="CP171" s="2">
        <f t="shared" si="220"/>
        <v>2073.4500000000003</v>
      </c>
      <c r="CQ171" s="2">
        <f t="shared" si="221"/>
        <v>0.81</v>
      </c>
      <c r="CR171" s="2">
        <f>(ROUND((ROUND(((((ET171*1.25)*1.1))*AV171*1),2)*BB171),2)+ROUND((ROUND(((AE171-(((EU171*1.25)*1.1)))*AV171*1),2)*BS171),2))</f>
        <v>0</v>
      </c>
      <c r="CS171" s="2">
        <f>(ROUND((ROUND(((((EU171*1.25)*1.1))*AV171*1),2)*BS171),2)+ROUND((ROUND(((AE171-(((EU171*1.25)*1.1)))*AV171*1),2)*BS171),2))</f>
        <v>0</v>
      </c>
      <c r="CT171" s="2">
        <f t="shared" si="222"/>
        <v>5.17</v>
      </c>
      <c r="CU171" s="2">
        <f t="shared" si="223"/>
        <v>0</v>
      </c>
      <c r="CV171" s="2">
        <f t="shared" si="224"/>
        <v>0.39733649999999998</v>
      </c>
      <c r="CW171" s="2">
        <f t="shared" si="225"/>
        <v>0</v>
      </c>
      <c r="CX171" s="2">
        <f t="shared" si="226"/>
        <v>0</v>
      </c>
      <c r="CY171" s="2">
        <f>(ROUND((((S171+ROUND((ROUND(((((EU171*1.25)*1.1))*AV171*1),2)*BS171),2))*AT171)/100),2)+ROUND(((ROUND((ROUND(((AE171-(((EU171*1.25)*1.1)))*AV171*1),2)*BS171),2)*AT171)/100),2))</f>
        <v>1613.14</v>
      </c>
      <c r="CZ171" s="2">
        <f>(ROUND((((S171+ROUND((ROUND(((((EU171*1.25)*1.1))*AV171*1),2)*BS171),2))*AU171)/100),2)+ROUND(((ROUND((ROUND(((AE171-(((EU171*1.25)*1.1)))*AV171*1),2)*BS171),2)*AU171)/100),2))</f>
        <v>824.49</v>
      </c>
      <c r="DA171" s="2"/>
      <c r="DB171" s="2">
        <v>49</v>
      </c>
      <c r="DC171" s="2" t="s">
        <v>3</v>
      </c>
      <c r="DD171" s="2" t="s">
        <v>3</v>
      </c>
      <c r="DE171" s="2" t="s">
        <v>98</v>
      </c>
      <c r="DF171" s="2" t="s">
        <v>98</v>
      </c>
      <c r="DG171" s="2" t="s">
        <v>99</v>
      </c>
      <c r="DH171" s="2" t="s">
        <v>3</v>
      </c>
      <c r="DI171" s="2" t="s">
        <v>99</v>
      </c>
      <c r="DJ171" s="2" t="s">
        <v>98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21</v>
      </c>
      <c r="DW171" s="2" t="s">
        <v>21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60088304</v>
      </c>
      <c r="EF171" s="2">
        <v>40</v>
      </c>
      <c r="EG171" s="2" t="s">
        <v>24</v>
      </c>
      <c r="EH171" s="2">
        <v>0</v>
      </c>
      <c r="EI171" s="2" t="s">
        <v>3</v>
      </c>
      <c r="EJ171" s="2">
        <v>2</v>
      </c>
      <c r="EK171" s="2">
        <v>72</v>
      </c>
      <c r="EL171" s="2" t="s">
        <v>287</v>
      </c>
      <c r="EM171" s="2" t="s">
        <v>288</v>
      </c>
      <c r="EN171" s="2"/>
      <c r="EO171" s="2" t="s">
        <v>103</v>
      </c>
      <c r="EP171" s="2"/>
      <c r="EQ171" s="2">
        <v>0</v>
      </c>
      <c r="ER171" s="2">
        <v>4.71</v>
      </c>
      <c r="ES171" s="2">
        <v>0.81</v>
      </c>
      <c r="ET171" s="2">
        <v>0</v>
      </c>
      <c r="EU171" s="2">
        <v>0</v>
      </c>
      <c r="EV171" s="2">
        <v>3.9</v>
      </c>
      <c r="EW171" s="2">
        <v>0.3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90</v>
      </c>
      <c r="FY171" s="2">
        <v>46</v>
      </c>
      <c r="FZ171" s="2"/>
      <c r="GA171" s="2" t="s">
        <v>3</v>
      </c>
      <c r="GB171" s="2"/>
      <c r="GC171" s="2"/>
      <c r="GD171" s="2">
        <v>1</v>
      </c>
      <c r="GE171" s="2"/>
      <c r="GF171" s="2">
        <v>-1494899736</v>
      </c>
      <c r="GG171" s="2">
        <v>2</v>
      </c>
      <c r="GH171" s="2">
        <v>1</v>
      </c>
      <c r="GI171" s="2">
        <v>2</v>
      </c>
      <c r="GJ171" s="2">
        <v>0</v>
      </c>
      <c r="GK171" s="2">
        <v>0</v>
      </c>
      <c r="GL171" s="2">
        <f t="shared" si="227"/>
        <v>0</v>
      </c>
      <c r="GM171" s="2">
        <f t="shared" si="228"/>
        <v>4511.08</v>
      </c>
      <c r="GN171" s="2">
        <f t="shared" si="229"/>
        <v>0</v>
      </c>
      <c r="GO171" s="2">
        <f t="shared" si="230"/>
        <v>4511.08</v>
      </c>
      <c r="GP171" s="2">
        <f t="shared" si="231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232"/>
        <v>0</v>
      </c>
      <c r="GW171" s="2">
        <v>1</v>
      </c>
      <c r="GX171" s="2">
        <f t="shared" si="233"/>
        <v>0</v>
      </c>
      <c r="GY171" s="2"/>
      <c r="GZ171" s="2"/>
      <c r="HA171" s="2">
        <v>0</v>
      </c>
      <c r="HB171" s="2">
        <v>0</v>
      </c>
      <c r="HC171" s="2">
        <f t="shared" si="234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>
        <v>17</v>
      </c>
      <c r="B172">
        <v>1</v>
      </c>
      <c r="C172">
        <f>ROW(SmtRes!A250)</f>
        <v>250</v>
      </c>
      <c r="D172">
        <f>ROW(EtalonRes!A274)</f>
        <v>274</v>
      </c>
      <c r="E172" t="s">
        <v>283</v>
      </c>
      <c r="F172" t="s">
        <v>284</v>
      </c>
      <c r="G172" t="s">
        <v>285</v>
      </c>
      <c r="H172" t="s">
        <v>21</v>
      </c>
      <c r="I172">
        <v>347</v>
      </c>
      <c r="J172">
        <v>0</v>
      </c>
      <c r="K172">
        <v>347</v>
      </c>
      <c r="O172">
        <f t="shared" si="209"/>
        <v>101036.4</v>
      </c>
      <c r="P172">
        <f t="shared" si="210"/>
        <v>2473.42</v>
      </c>
      <c r="Q172">
        <f>(ROUND((ROUND(((((ET172*1.25)*1.1))*AV172*I172),2)*BB172),2)+ROUND((ROUND(((AE172-(((EU172*1.25)*1.1)))*AV172*I172),2)*BS172),2))</f>
        <v>0</v>
      </c>
      <c r="R172">
        <f>(ROUND((ROUND(((((EU172*1.25)*1.1))*AV172*I172),2)*BS172),2)+ROUND((ROUND(((AE172-(((EU172*1.25)*1.1)))*AV172*I172),2)*BS172),2))</f>
        <v>0</v>
      </c>
      <c r="S172">
        <f t="shared" si="211"/>
        <v>98562.98</v>
      </c>
      <c r="T172">
        <f t="shared" si="212"/>
        <v>0</v>
      </c>
      <c r="U172">
        <f t="shared" si="213"/>
        <v>137.8757655</v>
      </c>
      <c r="V172">
        <f t="shared" si="214"/>
        <v>0</v>
      </c>
      <c r="W172">
        <f t="shared" si="215"/>
        <v>0</v>
      </c>
      <c r="X172">
        <f>(ROUND((((S172+ROUND((ROUND(((((EU172*1.25)*1.1))*AV172*I172),2)*BS172),2))*AT172)/100),2)+ROUND(((ROUND((ROUND(((AE172-(((EU172*1.25)*1.1)))*AV172*I172),2)*BS172),2)*AT172)/100),2))</f>
        <v>88706.68</v>
      </c>
      <c r="Y172">
        <f>(ROUND((((S172+ROUND((ROUND(((((EU172*1.25)*1.1))*AV172*I172),2)*BS172),2))*AU172)/100),2)+ROUND(((ROUND((ROUND(((AE172-(((EU172*1.25)*1.1)))*AV172*I172),2)*BS172),2)*AU172)/100),2))</f>
        <v>45338.97</v>
      </c>
      <c r="AA172">
        <v>60255011</v>
      </c>
      <c r="AB172">
        <f t="shared" si="216"/>
        <v>5.7435</v>
      </c>
      <c r="AC172">
        <f t="shared" si="217"/>
        <v>0.81</v>
      </c>
      <c r="AD172">
        <f>ROUND((((((ET172*1.25)*1.1))-(((EU172*1.25)*1.1)))+AE172),6)</f>
        <v>0</v>
      </c>
      <c r="AE172">
        <f>ROUND((((EU172*1.25)*1.1)),6)</f>
        <v>0</v>
      </c>
      <c r="AF172">
        <f>ROUND((((EV172*1.15)*1.1)),6)</f>
        <v>4.9335000000000004</v>
      </c>
      <c r="AG172">
        <f t="shared" si="218"/>
        <v>0</v>
      </c>
      <c r="AH172">
        <f>(((EW172*1.15)*1.1))</f>
        <v>0.3795</v>
      </c>
      <c r="AI172">
        <f>(((EX172*1.25)*1.1))</f>
        <v>0</v>
      </c>
      <c r="AJ172">
        <f t="shared" si="219"/>
        <v>0</v>
      </c>
      <c r="AK172">
        <v>4.71</v>
      </c>
      <c r="AL172">
        <v>0.81</v>
      </c>
      <c r="AM172">
        <v>0</v>
      </c>
      <c r="AN172">
        <v>0</v>
      </c>
      <c r="AO172">
        <v>3.9</v>
      </c>
      <c r="AP172">
        <v>0</v>
      </c>
      <c r="AQ172">
        <v>0.3</v>
      </c>
      <c r="AR172">
        <v>0</v>
      </c>
      <c r="AS172">
        <v>0</v>
      </c>
      <c r="AT172">
        <v>90</v>
      </c>
      <c r="AU172">
        <v>46</v>
      </c>
      <c r="AV172">
        <v>1.0469999999999999</v>
      </c>
      <c r="AW172">
        <v>1</v>
      </c>
      <c r="AZ172">
        <v>1</v>
      </c>
      <c r="BA172">
        <v>54.99</v>
      </c>
      <c r="BB172">
        <v>1</v>
      </c>
      <c r="BC172">
        <v>8.8000000000000007</v>
      </c>
      <c r="BD172" t="s">
        <v>3</v>
      </c>
      <c r="BE172" t="s">
        <v>3</v>
      </c>
      <c r="BF172" t="s">
        <v>3</v>
      </c>
      <c r="BG172" t="s">
        <v>3</v>
      </c>
      <c r="BH172">
        <v>0</v>
      </c>
      <c r="BI172">
        <v>2</v>
      </c>
      <c r="BJ172" t="s">
        <v>286</v>
      </c>
      <c r="BM172">
        <v>72</v>
      </c>
      <c r="BN172">
        <v>58973374</v>
      </c>
      <c r="BO172" t="s">
        <v>284</v>
      </c>
      <c r="BP172">
        <v>1</v>
      </c>
      <c r="BQ172">
        <v>40</v>
      </c>
      <c r="BR172">
        <v>0</v>
      </c>
      <c r="BS172">
        <v>54.99</v>
      </c>
      <c r="BT172">
        <v>1</v>
      </c>
      <c r="BU172">
        <v>1</v>
      </c>
      <c r="BV172">
        <v>1</v>
      </c>
      <c r="BW172">
        <v>1</v>
      </c>
      <c r="BX172">
        <v>1</v>
      </c>
      <c r="BY172" t="s">
        <v>3</v>
      </c>
      <c r="BZ172">
        <v>90</v>
      </c>
      <c r="CA172">
        <v>46</v>
      </c>
      <c r="CB172" t="s">
        <v>3</v>
      </c>
      <c r="CE172">
        <v>1566</v>
      </c>
      <c r="CF172">
        <v>0</v>
      </c>
      <c r="CG172">
        <v>0</v>
      </c>
      <c r="CM172">
        <v>0</v>
      </c>
      <c r="CN172" t="s">
        <v>625</v>
      </c>
      <c r="CO172">
        <v>0</v>
      </c>
      <c r="CP172">
        <f t="shared" si="220"/>
        <v>101036.4</v>
      </c>
      <c r="CQ172">
        <f t="shared" si="221"/>
        <v>7.13</v>
      </c>
      <c r="CR172">
        <f>(ROUND((ROUND(((((ET172*1.25)*1.1))*AV172*1),2)*BB172),2)+ROUND((ROUND(((AE172-(((EU172*1.25)*1.1)))*AV172*1),2)*BS172),2))</f>
        <v>0</v>
      </c>
      <c r="CS172">
        <f>(ROUND((ROUND(((((EU172*1.25)*1.1))*AV172*1),2)*BS172),2)+ROUND((ROUND(((AE172-(((EU172*1.25)*1.1)))*AV172*1),2)*BS172),2))</f>
        <v>0</v>
      </c>
      <c r="CT172">
        <f t="shared" si="222"/>
        <v>284.3</v>
      </c>
      <c r="CU172">
        <f t="shared" si="223"/>
        <v>0</v>
      </c>
      <c r="CV172">
        <f t="shared" si="224"/>
        <v>0.39733649999999998</v>
      </c>
      <c r="CW172">
        <f t="shared" si="225"/>
        <v>0</v>
      </c>
      <c r="CX172">
        <f t="shared" si="226"/>
        <v>0</v>
      </c>
      <c r="CY172">
        <f>(ROUND((((S172+ROUND((ROUND(((((EU172*1.25)*1.1))*AV172*1),2)*BS172),2))*AT172)/100),2)+ROUND(((ROUND((ROUND(((AE172-(((EU172*1.25)*1.1)))*AV172*1),2)*BS172),2)*AT172)/100),2))</f>
        <v>88706.68</v>
      </c>
      <c r="CZ172">
        <f>(ROUND((((S172+ROUND((ROUND(((((EU172*1.25)*1.1))*AV172*1),2)*BS172),2))*AU172)/100),2)+ROUND(((ROUND((ROUND(((AE172-(((EU172*1.25)*1.1)))*AV172*1),2)*BS172),2)*AU172)/100),2))</f>
        <v>45338.97</v>
      </c>
      <c r="DB172">
        <v>51</v>
      </c>
      <c r="DC172" t="s">
        <v>3</v>
      </c>
      <c r="DD172" t="s">
        <v>3</v>
      </c>
      <c r="DE172" t="s">
        <v>98</v>
      </c>
      <c r="DF172" t="s">
        <v>98</v>
      </c>
      <c r="DG172" t="s">
        <v>99</v>
      </c>
      <c r="DH172" t="s">
        <v>3</v>
      </c>
      <c r="DI172" t="s">
        <v>99</v>
      </c>
      <c r="DJ172" t="s">
        <v>98</v>
      </c>
      <c r="DK172" t="s">
        <v>3</v>
      </c>
      <c r="DL172" t="s">
        <v>3</v>
      </c>
      <c r="DM172" t="s">
        <v>3</v>
      </c>
      <c r="DN172">
        <v>0</v>
      </c>
      <c r="DO172">
        <v>0</v>
      </c>
      <c r="DP172">
        <v>1</v>
      </c>
      <c r="DQ172">
        <v>1</v>
      </c>
      <c r="DU172">
        <v>1013</v>
      </c>
      <c r="DV172" t="s">
        <v>21</v>
      </c>
      <c r="DW172" t="s">
        <v>21</v>
      </c>
      <c r="DX172">
        <v>1</v>
      </c>
      <c r="DZ172" t="s">
        <v>3</v>
      </c>
      <c r="EA172" t="s">
        <v>3</v>
      </c>
      <c r="EB172" t="s">
        <v>3</v>
      </c>
      <c r="EC172" t="s">
        <v>3</v>
      </c>
      <c r="EE172">
        <v>60088304</v>
      </c>
      <c r="EF172">
        <v>40</v>
      </c>
      <c r="EG172" t="s">
        <v>24</v>
      </c>
      <c r="EH172">
        <v>0</v>
      </c>
      <c r="EI172" t="s">
        <v>3</v>
      </c>
      <c r="EJ172">
        <v>2</v>
      </c>
      <c r="EK172">
        <v>72</v>
      </c>
      <c r="EL172" t="s">
        <v>287</v>
      </c>
      <c r="EM172" t="s">
        <v>288</v>
      </c>
      <c r="EO172" t="s">
        <v>103</v>
      </c>
      <c r="EQ172">
        <v>0</v>
      </c>
      <c r="ER172">
        <v>4.71</v>
      </c>
      <c r="ES172">
        <v>0.81</v>
      </c>
      <c r="ET172">
        <v>0</v>
      </c>
      <c r="EU172">
        <v>0</v>
      </c>
      <c r="EV172">
        <v>3.9</v>
      </c>
      <c r="EW172">
        <v>0.3</v>
      </c>
      <c r="EX172">
        <v>0</v>
      </c>
      <c r="EY172">
        <v>0</v>
      </c>
      <c r="FQ172">
        <v>0</v>
      </c>
      <c r="FR172">
        <v>0</v>
      </c>
      <c r="FS172">
        <v>0</v>
      </c>
      <c r="FX172">
        <v>90</v>
      </c>
      <c r="FY172">
        <v>46</v>
      </c>
      <c r="GA172" t="s">
        <v>3</v>
      </c>
      <c r="GD172">
        <v>1</v>
      </c>
      <c r="GF172">
        <v>-1494899736</v>
      </c>
      <c r="GG172">
        <v>2</v>
      </c>
      <c r="GH172">
        <v>1</v>
      </c>
      <c r="GI172">
        <v>2</v>
      </c>
      <c r="GJ172">
        <v>0</v>
      </c>
      <c r="GK172">
        <v>0</v>
      </c>
      <c r="GL172">
        <f t="shared" si="227"/>
        <v>0</v>
      </c>
      <c r="GM172">
        <f t="shared" si="228"/>
        <v>235082.05</v>
      </c>
      <c r="GN172">
        <f t="shared" si="229"/>
        <v>0</v>
      </c>
      <c r="GO172">
        <f t="shared" si="230"/>
        <v>235082.05</v>
      </c>
      <c r="GP172">
        <f t="shared" si="231"/>
        <v>0</v>
      </c>
      <c r="GR172">
        <v>0</v>
      </c>
      <c r="GS172">
        <v>3</v>
      </c>
      <c r="GT172">
        <v>0</v>
      </c>
      <c r="GU172" t="s">
        <v>3</v>
      </c>
      <c r="GV172">
        <f t="shared" si="232"/>
        <v>0</v>
      </c>
      <c r="GW172">
        <v>1</v>
      </c>
      <c r="GX172">
        <f t="shared" si="233"/>
        <v>0</v>
      </c>
      <c r="HA172">
        <v>0</v>
      </c>
      <c r="HB172">
        <v>0</v>
      </c>
      <c r="HC172">
        <f t="shared" si="234"/>
        <v>0</v>
      </c>
      <c r="HE172" t="s">
        <v>3</v>
      </c>
      <c r="HF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3</v>
      </c>
      <c r="HS172">
        <v>0</v>
      </c>
      <c r="IK172">
        <v>0</v>
      </c>
    </row>
    <row r="173" spans="1:255" x14ac:dyDescent="0.2">
      <c r="A173" s="2">
        <v>18</v>
      </c>
      <c r="B173" s="2">
        <v>1</v>
      </c>
      <c r="C173" s="2">
        <v>244</v>
      </c>
      <c r="D173" s="2"/>
      <c r="E173" s="2" t="s">
        <v>289</v>
      </c>
      <c r="F173" s="2" t="s">
        <v>290</v>
      </c>
      <c r="G173" s="2" t="s">
        <v>291</v>
      </c>
      <c r="H173" s="2" t="s">
        <v>31</v>
      </c>
      <c r="I173" s="2">
        <f>I171*J173</f>
        <v>347</v>
      </c>
      <c r="J173" s="2">
        <v>1</v>
      </c>
      <c r="K173" s="2">
        <v>1</v>
      </c>
      <c r="L173" s="2"/>
      <c r="M173" s="2"/>
      <c r="N173" s="2"/>
      <c r="O173" s="2">
        <f t="shared" si="209"/>
        <v>18821.28</v>
      </c>
      <c r="P173" s="2">
        <f t="shared" si="210"/>
        <v>18821.28</v>
      </c>
      <c r="Q173" s="2">
        <f>(ROUND((ROUND(((ET173)*AV173*I173),2)*BB173),2)+ROUND((ROUND(((AE173-(EU173))*AV173*I173),2)*BS173),2))</f>
        <v>0</v>
      </c>
      <c r="R173" s="2">
        <f>(ROUND((ROUND(((EU173)*AV173*I173),2)*BS173),2)+ROUND((ROUND(((AE173-(EU173))*AV173*I173),2)*BS173),2))</f>
        <v>0</v>
      </c>
      <c r="S173" s="2">
        <f t="shared" si="211"/>
        <v>0</v>
      </c>
      <c r="T173" s="2">
        <f t="shared" si="212"/>
        <v>0</v>
      </c>
      <c r="U173" s="2">
        <f t="shared" si="213"/>
        <v>0</v>
      </c>
      <c r="V173" s="2">
        <f t="shared" si="214"/>
        <v>0</v>
      </c>
      <c r="W173" s="2">
        <f t="shared" si="215"/>
        <v>0</v>
      </c>
      <c r="X173" s="2">
        <f>(ROUND((((S173+ROUND((ROUND(((EU173)*AV173*I173),2)*BS173),2))*AT173)/100),2)+ROUND(((ROUND((ROUND(((AE173-(EU173))*AV173*I173),2)*BS173),2)*AT173)/100),2))</f>
        <v>0</v>
      </c>
      <c r="Y173" s="2">
        <f>(ROUND((((S173+ROUND((ROUND(((EU173)*AV173*I173),2)*BS173),2))*AU173)/100),2)+ROUND(((ROUND((ROUND(((AE173-(EU173))*AV173*I173),2)*BS173),2)*AU173)/100),2))</f>
        <v>0</v>
      </c>
      <c r="Z173" s="2"/>
      <c r="AA173" s="2">
        <v>60255014</v>
      </c>
      <c r="AB173" s="2">
        <f t="shared" si="216"/>
        <v>54.24</v>
      </c>
      <c r="AC173" s="2">
        <f t="shared" si="217"/>
        <v>54.24</v>
      </c>
      <c r="AD173" s="2">
        <f>ROUND((((ET173)-(EU173))+AE173),6)</f>
        <v>0</v>
      </c>
      <c r="AE173" s="2">
        <f>ROUND((EU173),6)</f>
        <v>0</v>
      </c>
      <c r="AF173" s="2">
        <f>ROUND((EV173),6)</f>
        <v>0</v>
      </c>
      <c r="AG173" s="2">
        <f t="shared" si="218"/>
        <v>0</v>
      </c>
      <c r="AH173" s="2">
        <f>(EW173)</f>
        <v>0</v>
      </c>
      <c r="AI173" s="2">
        <f>(EX173)</f>
        <v>0</v>
      </c>
      <c r="AJ173" s="2">
        <f t="shared" si="219"/>
        <v>0</v>
      </c>
      <c r="AK173" s="2">
        <v>54.24</v>
      </c>
      <c r="AL173" s="2">
        <v>54.24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90</v>
      </c>
      <c r="AU173" s="2">
        <v>46</v>
      </c>
      <c r="AV173" s="2">
        <v>1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3</v>
      </c>
      <c r="BI173" s="2">
        <v>2</v>
      </c>
      <c r="BJ173" s="2" t="s">
        <v>292</v>
      </c>
      <c r="BK173" s="2"/>
      <c r="BL173" s="2"/>
      <c r="BM173" s="2">
        <v>72</v>
      </c>
      <c r="BN173" s="2">
        <v>58973374</v>
      </c>
      <c r="BO173" s="2" t="s">
        <v>3</v>
      </c>
      <c r="BP173" s="2">
        <v>0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3</v>
      </c>
      <c r="CO173" s="2">
        <v>0</v>
      </c>
      <c r="CP173" s="2">
        <f t="shared" si="220"/>
        <v>18821.28</v>
      </c>
      <c r="CQ173" s="2">
        <f t="shared" si="221"/>
        <v>54.24</v>
      </c>
      <c r="CR173" s="2">
        <f>(ROUND((ROUND(((ET173)*AV173*1),2)*BB173),2)+ROUND((ROUND(((AE173-(EU173))*AV173*1),2)*BS173),2))</f>
        <v>0</v>
      </c>
      <c r="CS173" s="2">
        <f>(ROUND((ROUND(((EU173)*AV173*1),2)*BS173),2)+ROUND((ROUND(((AE173-(EU173))*AV173*1),2)*BS173),2))</f>
        <v>0</v>
      </c>
      <c r="CT173" s="2">
        <f t="shared" si="222"/>
        <v>0</v>
      </c>
      <c r="CU173" s="2">
        <f t="shared" si="223"/>
        <v>0</v>
      </c>
      <c r="CV173" s="2">
        <f t="shared" si="224"/>
        <v>0</v>
      </c>
      <c r="CW173" s="2">
        <f t="shared" si="225"/>
        <v>0</v>
      </c>
      <c r="CX173" s="2">
        <f t="shared" si="226"/>
        <v>0</v>
      </c>
      <c r="CY173" s="2">
        <f>(ROUND((((S173+ROUND((ROUND(((EU173)*AV173*1),2)*BS173),2))*AT173)/100),2)+ROUND(((ROUND((ROUND(((AE173-(EU173))*AV173*1),2)*BS173),2)*AT173)/100),2))</f>
        <v>0</v>
      </c>
      <c r="CZ173" s="2">
        <f>(ROUND((((S173+ROUND((ROUND(((EU173)*AV173*1),2)*BS173),2))*AU173)/100),2)+ROUND(((ROUND((ROUND(((AE173-(EU173))*AV173*1),2)*BS173),2)*AU173)/100),2))</f>
        <v>0</v>
      </c>
      <c r="DA173" s="2"/>
      <c r="DB173" s="2"/>
      <c r="DC173" s="2" t="s">
        <v>3</v>
      </c>
      <c r="DD173" s="2" t="s">
        <v>3</v>
      </c>
      <c r="DE173" s="2" t="s">
        <v>3</v>
      </c>
      <c r="DF173" s="2" t="s">
        <v>3</v>
      </c>
      <c r="DG173" s="2" t="s">
        <v>3</v>
      </c>
      <c r="DH173" s="2" t="s">
        <v>3</v>
      </c>
      <c r="DI173" s="2" t="s">
        <v>3</v>
      </c>
      <c r="DJ173" s="2" t="s">
        <v>3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1010</v>
      </c>
      <c r="DV173" s="2" t="s">
        <v>31</v>
      </c>
      <c r="DW173" s="2" t="s">
        <v>31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60088304</v>
      </c>
      <c r="EF173" s="2">
        <v>40</v>
      </c>
      <c r="EG173" s="2" t="s">
        <v>24</v>
      </c>
      <c r="EH173" s="2">
        <v>0</v>
      </c>
      <c r="EI173" s="2" t="s">
        <v>3</v>
      </c>
      <c r="EJ173" s="2">
        <v>2</v>
      </c>
      <c r="EK173" s="2">
        <v>72</v>
      </c>
      <c r="EL173" s="2" t="s">
        <v>287</v>
      </c>
      <c r="EM173" s="2" t="s">
        <v>288</v>
      </c>
      <c r="EN173" s="2"/>
      <c r="EO173" s="2" t="s">
        <v>3</v>
      </c>
      <c r="EP173" s="2"/>
      <c r="EQ173" s="2">
        <v>0</v>
      </c>
      <c r="ER173" s="2">
        <v>54.24</v>
      </c>
      <c r="ES173" s="2">
        <v>54.24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1114305854</v>
      </c>
      <c r="GG173" s="2">
        <v>2</v>
      </c>
      <c r="GH173" s="2">
        <v>1</v>
      </c>
      <c r="GI173" s="2">
        <v>-2</v>
      </c>
      <c r="GJ173" s="2">
        <v>0</v>
      </c>
      <c r="GK173" s="2">
        <v>0</v>
      </c>
      <c r="GL173" s="2">
        <f t="shared" si="227"/>
        <v>0</v>
      </c>
      <c r="GM173" s="2">
        <f t="shared" si="228"/>
        <v>18821.28</v>
      </c>
      <c r="GN173" s="2">
        <f t="shared" si="229"/>
        <v>0</v>
      </c>
      <c r="GO173" s="2">
        <f t="shared" si="230"/>
        <v>18821.28</v>
      </c>
      <c r="GP173" s="2">
        <f t="shared" si="231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32"/>
        <v>0</v>
      </c>
      <c r="GW173" s="2">
        <v>1</v>
      </c>
      <c r="GX173" s="2">
        <f t="shared" si="233"/>
        <v>0</v>
      </c>
      <c r="GY173" s="2"/>
      <c r="GZ173" s="2"/>
      <c r="HA173" s="2">
        <v>0</v>
      </c>
      <c r="HB173" s="2">
        <v>0</v>
      </c>
      <c r="HC173" s="2">
        <f t="shared" si="234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>
        <v>18</v>
      </c>
      <c r="B174">
        <v>1</v>
      </c>
      <c r="C174">
        <v>248</v>
      </c>
      <c r="E174" t="s">
        <v>289</v>
      </c>
      <c r="F174" t="s">
        <v>290</v>
      </c>
      <c r="G174" t="s">
        <v>291</v>
      </c>
      <c r="H174" t="s">
        <v>31</v>
      </c>
      <c r="I174">
        <f>I172*J174</f>
        <v>347</v>
      </c>
      <c r="J174">
        <v>1</v>
      </c>
      <c r="K174">
        <v>1</v>
      </c>
      <c r="O174">
        <f t="shared" si="209"/>
        <v>49876.39</v>
      </c>
      <c r="P174">
        <f t="shared" si="210"/>
        <v>49876.39</v>
      </c>
      <c r="Q174">
        <f>(ROUND((ROUND(((ET174)*AV174*I174),2)*BB174),2)+ROUND((ROUND(((AE174-(EU174))*AV174*I174),2)*BS174),2))</f>
        <v>0</v>
      </c>
      <c r="R174">
        <f>(ROUND((ROUND(((EU174)*AV174*I174),2)*BS174),2)+ROUND((ROUND(((AE174-(EU174))*AV174*I174),2)*BS174),2))</f>
        <v>0</v>
      </c>
      <c r="S174">
        <f t="shared" si="211"/>
        <v>0</v>
      </c>
      <c r="T174">
        <f t="shared" si="212"/>
        <v>0</v>
      </c>
      <c r="U174">
        <f t="shared" si="213"/>
        <v>0</v>
      </c>
      <c r="V174">
        <f t="shared" si="214"/>
        <v>0</v>
      </c>
      <c r="W174">
        <f t="shared" si="215"/>
        <v>0</v>
      </c>
      <c r="X174">
        <f>(ROUND((((S174+ROUND((ROUND(((EU174)*AV174*I174),2)*BS174),2))*AT174)/100),2)+ROUND(((ROUND((ROUND(((AE174-(EU174))*AV174*I174),2)*BS174),2)*AT174)/100),2))</f>
        <v>0</v>
      </c>
      <c r="Y174">
        <f>(ROUND((((S174+ROUND((ROUND(((EU174)*AV174*I174),2)*BS174),2))*AU174)/100),2)+ROUND(((ROUND((ROUND(((AE174-(EU174))*AV174*I174),2)*BS174),2)*AU174)/100),2))</f>
        <v>0</v>
      </c>
      <c r="AA174">
        <v>60255011</v>
      </c>
      <c r="AB174">
        <f t="shared" si="216"/>
        <v>54.24</v>
      </c>
      <c r="AC174">
        <f t="shared" si="217"/>
        <v>54.24</v>
      </c>
      <c r="AD174">
        <f>ROUND((((ET174)-(EU174))+AE174),6)</f>
        <v>0</v>
      </c>
      <c r="AE174">
        <f>ROUND((EU174),6)</f>
        <v>0</v>
      </c>
      <c r="AF174">
        <f>ROUND((EV174),6)</f>
        <v>0</v>
      </c>
      <c r="AG174">
        <f t="shared" si="218"/>
        <v>0</v>
      </c>
      <c r="AH174">
        <f>(EW174)</f>
        <v>0</v>
      </c>
      <c r="AI174">
        <f>(EX174)</f>
        <v>0</v>
      </c>
      <c r="AJ174">
        <f t="shared" si="219"/>
        <v>0</v>
      </c>
      <c r="AK174">
        <v>54.24</v>
      </c>
      <c r="AL174">
        <v>54.24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90</v>
      </c>
      <c r="AU174">
        <v>46</v>
      </c>
      <c r="AV174">
        <v>1</v>
      </c>
      <c r="AW174">
        <v>1</v>
      </c>
      <c r="AZ174">
        <v>1</v>
      </c>
      <c r="BA174">
        <v>1</v>
      </c>
      <c r="BB174">
        <v>1</v>
      </c>
      <c r="BC174">
        <v>2.65</v>
      </c>
      <c r="BD174" t="s">
        <v>3</v>
      </c>
      <c r="BE174" t="s">
        <v>3</v>
      </c>
      <c r="BF174" t="s">
        <v>3</v>
      </c>
      <c r="BG174" t="s">
        <v>3</v>
      </c>
      <c r="BH174">
        <v>3</v>
      </c>
      <c r="BI174">
        <v>2</v>
      </c>
      <c r="BJ174" t="s">
        <v>292</v>
      </c>
      <c r="BM174">
        <v>72</v>
      </c>
      <c r="BN174">
        <v>58973374</v>
      </c>
      <c r="BO174" t="s">
        <v>290</v>
      </c>
      <c r="BP174">
        <v>1</v>
      </c>
      <c r="BQ174">
        <v>40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 t="s">
        <v>3</v>
      </c>
      <c r="BZ174">
        <v>90</v>
      </c>
      <c r="CA174">
        <v>46</v>
      </c>
      <c r="CB174" t="s">
        <v>3</v>
      </c>
      <c r="CE174">
        <v>1566</v>
      </c>
      <c r="CF174">
        <v>0</v>
      </c>
      <c r="CG174">
        <v>0</v>
      </c>
      <c r="CM174">
        <v>0</v>
      </c>
      <c r="CN174" t="s">
        <v>3</v>
      </c>
      <c r="CO174">
        <v>0</v>
      </c>
      <c r="CP174">
        <f t="shared" si="220"/>
        <v>49876.39</v>
      </c>
      <c r="CQ174">
        <f t="shared" si="221"/>
        <v>143.74</v>
      </c>
      <c r="CR174">
        <f>(ROUND((ROUND(((ET174)*AV174*1),2)*BB174),2)+ROUND((ROUND(((AE174-(EU174))*AV174*1),2)*BS174),2))</f>
        <v>0</v>
      </c>
      <c r="CS174">
        <f>(ROUND((ROUND(((EU174)*AV174*1),2)*BS174),2)+ROUND((ROUND(((AE174-(EU174))*AV174*1),2)*BS174),2))</f>
        <v>0</v>
      </c>
      <c r="CT174">
        <f t="shared" si="222"/>
        <v>0</v>
      </c>
      <c r="CU174">
        <f t="shared" si="223"/>
        <v>0</v>
      </c>
      <c r="CV174">
        <f t="shared" si="224"/>
        <v>0</v>
      </c>
      <c r="CW174">
        <f t="shared" si="225"/>
        <v>0</v>
      </c>
      <c r="CX174">
        <f t="shared" si="226"/>
        <v>0</v>
      </c>
      <c r="CY174">
        <f>(ROUND((((S174+ROUND((ROUND(((EU174)*AV174*1),2)*BS174),2))*AT174)/100),2)+ROUND(((ROUND((ROUND(((AE174-(EU174))*AV174*1),2)*BS174),2)*AT174)/100),2))</f>
        <v>0</v>
      </c>
      <c r="CZ174">
        <f>(ROUND((((S174+ROUND((ROUND(((EU174)*AV174*1),2)*BS174),2))*AU174)/100),2)+ROUND(((ROUND((ROUND(((AE174-(EU174))*AV174*1),2)*BS174),2)*AU174)/100),2))</f>
        <v>0</v>
      </c>
      <c r="DC174" t="s">
        <v>3</v>
      </c>
      <c r="DD174" t="s">
        <v>3</v>
      </c>
      <c r="DE174" t="s">
        <v>3</v>
      </c>
      <c r="DF174" t="s">
        <v>3</v>
      </c>
      <c r="DG174" t="s">
        <v>3</v>
      </c>
      <c r="DH174" t="s">
        <v>3</v>
      </c>
      <c r="DI174" t="s">
        <v>3</v>
      </c>
      <c r="DJ174" t="s">
        <v>3</v>
      </c>
      <c r="DK174" t="s">
        <v>3</v>
      </c>
      <c r="DL174" t="s">
        <v>3</v>
      </c>
      <c r="DM174" t="s">
        <v>3</v>
      </c>
      <c r="DN174">
        <v>0</v>
      </c>
      <c r="DO174">
        <v>0</v>
      </c>
      <c r="DP174">
        <v>1</v>
      </c>
      <c r="DQ174">
        <v>1</v>
      </c>
      <c r="DU174">
        <v>1010</v>
      </c>
      <c r="DV174" t="s">
        <v>31</v>
      </c>
      <c r="DW174" t="s">
        <v>31</v>
      </c>
      <c r="DX174">
        <v>1</v>
      </c>
      <c r="DZ174" t="s">
        <v>3</v>
      </c>
      <c r="EA174" t="s">
        <v>3</v>
      </c>
      <c r="EB174" t="s">
        <v>3</v>
      </c>
      <c r="EC174" t="s">
        <v>3</v>
      </c>
      <c r="EE174">
        <v>60088304</v>
      </c>
      <c r="EF174">
        <v>40</v>
      </c>
      <c r="EG174" t="s">
        <v>24</v>
      </c>
      <c r="EH174">
        <v>0</v>
      </c>
      <c r="EI174" t="s">
        <v>3</v>
      </c>
      <c r="EJ174">
        <v>2</v>
      </c>
      <c r="EK174">
        <v>72</v>
      </c>
      <c r="EL174" t="s">
        <v>287</v>
      </c>
      <c r="EM174" t="s">
        <v>288</v>
      </c>
      <c r="EO174" t="s">
        <v>3</v>
      </c>
      <c r="EQ174">
        <v>0</v>
      </c>
      <c r="ER174">
        <v>54.24</v>
      </c>
      <c r="ES174">
        <v>54.24</v>
      </c>
      <c r="ET174">
        <v>0</v>
      </c>
      <c r="EU174">
        <v>0</v>
      </c>
      <c r="EV174">
        <v>0</v>
      </c>
      <c r="EW174">
        <v>0</v>
      </c>
      <c r="EX174">
        <v>0</v>
      </c>
      <c r="FQ174">
        <v>0</v>
      </c>
      <c r="FR174">
        <v>0</v>
      </c>
      <c r="FS174">
        <v>0</v>
      </c>
      <c r="FX174">
        <v>90</v>
      </c>
      <c r="FY174">
        <v>46</v>
      </c>
      <c r="GA174" t="s">
        <v>3</v>
      </c>
      <c r="GD174">
        <v>1</v>
      </c>
      <c r="GF174">
        <v>1114305854</v>
      </c>
      <c r="GG174">
        <v>2</v>
      </c>
      <c r="GH174">
        <v>1</v>
      </c>
      <c r="GI174">
        <v>2</v>
      </c>
      <c r="GJ174">
        <v>0</v>
      </c>
      <c r="GK174">
        <v>0</v>
      </c>
      <c r="GL174">
        <f t="shared" si="227"/>
        <v>0</v>
      </c>
      <c r="GM174">
        <f t="shared" si="228"/>
        <v>49876.39</v>
      </c>
      <c r="GN174">
        <f t="shared" si="229"/>
        <v>0</v>
      </c>
      <c r="GO174">
        <f t="shared" si="230"/>
        <v>49876.39</v>
      </c>
      <c r="GP174">
        <f t="shared" si="231"/>
        <v>0</v>
      </c>
      <c r="GR174">
        <v>0</v>
      </c>
      <c r="GS174">
        <v>3</v>
      </c>
      <c r="GT174">
        <v>0</v>
      </c>
      <c r="GU174" t="s">
        <v>3</v>
      </c>
      <c r="GV174">
        <f t="shared" si="232"/>
        <v>0</v>
      </c>
      <c r="GW174">
        <v>1</v>
      </c>
      <c r="GX174">
        <f t="shared" si="233"/>
        <v>0</v>
      </c>
      <c r="HA174">
        <v>0</v>
      </c>
      <c r="HB174">
        <v>0</v>
      </c>
      <c r="HC174">
        <f t="shared" si="234"/>
        <v>0</v>
      </c>
      <c r="HE174" t="s">
        <v>3</v>
      </c>
      <c r="HF174" t="s">
        <v>3</v>
      </c>
      <c r="HM174" t="s">
        <v>3</v>
      </c>
      <c r="HN174" t="s">
        <v>3</v>
      </c>
      <c r="HO174" t="s">
        <v>3</v>
      </c>
      <c r="HP174" t="s">
        <v>3</v>
      </c>
      <c r="HQ174" t="s">
        <v>3</v>
      </c>
      <c r="HS174">
        <v>0</v>
      </c>
      <c r="IK174">
        <v>0</v>
      </c>
    </row>
    <row r="176" spans="1:255" x14ac:dyDescent="0.2">
      <c r="A176" s="3">
        <v>51</v>
      </c>
      <c r="B176" s="3">
        <f>B65</f>
        <v>1</v>
      </c>
      <c r="C176" s="3">
        <f>A65</f>
        <v>4</v>
      </c>
      <c r="D176" s="3">
        <f>ROW(A65)</f>
        <v>65</v>
      </c>
      <c r="E176" s="3"/>
      <c r="F176" s="3" t="str">
        <f>IF(F65&lt;&gt;"",F65,"")</f>
        <v/>
      </c>
      <c r="G176" s="3" t="str">
        <f>IF(G65&lt;&gt;"",G65,"")</f>
        <v>Радиаторы отопления</v>
      </c>
      <c r="H176" s="3">
        <v>0</v>
      </c>
      <c r="I176" s="3"/>
      <c r="J176" s="3"/>
      <c r="K176" s="3"/>
      <c r="L176" s="3"/>
      <c r="M176" s="3"/>
      <c r="N176" s="3"/>
      <c r="O176" s="3">
        <f t="shared" ref="O176:T176" si="237">ROUND(AB176,2)</f>
        <v>606112.63</v>
      </c>
      <c r="P176" s="3">
        <f t="shared" si="237"/>
        <v>594287.54</v>
      </c>
      <c r="Q176" s="3">
        <f t="shared" si="237"/>
        <v>607.51</v>
      </c>
      <c r="R176" s="3">
        <f t="shared" si="237"/>
        <v>63.31</v>
      </c>
      <c r="S176" s="3">
        <f t="shared" si="237"/>
        <v>11217.58</v>
      </c>
      <c r="T176" s="3">
        <f t="shared" si="237"/>
        <v>0</v>
      </c>
      <c r="U176" s="3">
        <f>AH176</f>
        <v>918.31099025050003</v>
      </c>
      <c r="V176" s="3">
        <f>AI176</f>
        <v>0</v>
      </c>
      <c r="W176" s="3">
        <f>ROUND(AJ176,2)</f>
        <v>0</v>
      </c>
      <c r="X176" s="3">
        <f>ROUND(AK176,2)</f>
        <v>11955.61</v>
      </c>
      <c r="Y176" s="3">
        <f>ROUND(AL176,2)</f>
        <v>6612.5</v>
      </c>
      <c r="Z176" s="3"/>
      <c r="AA176" s="3"/>
      <c r="AB176" s="3">
        <f>ROUND(SUMIF(AA69:AA174,"=60255014",O69:O174),2)</f>
        <v>606112.63</v>
      </c>
      <c r="AC176" s="3">
        <f>ROUND(SUMIF(AA69:AA174,"=60255014",P69:P174),2)</f>
        <v>594287.54</v>
      </c>
      <c r="AD176" s="3">
        <f>ROUND(SUMIF(AA69:AA174,"=60255014",Q69:Q174),2)</f>
        <v>607.51</v>
      </c>
      <c r="AE176" s="3">
        <f>ROUND(SUMIF(AA69:AA174,"=60255014",R69:R174),2)</f>
        <v>63.31</v>
      </c>
      <c r="AF176" s="3">
        <f>ROUND(SUMIF(AA69:AA174,"=60255014",S69:S174),2)</f>
        <v>11217.58</v>
      </c>
      <c r="AG176" s="3">
        <f>ROUND(SUMIF(AA69:AA174,"=60255014",T69:T174),2)</f>
        <v>0</v>
      </c>
      <c r="AH176" s="3">
        <f>SUMIF(AA69:AA174,"=60255014",U69:U174)</f>
        <v>918.31099025050003</v>
      </c>
      <c r="AI176" s="3">
        <f>SUMIF(AA69:AA174,"=60255014",V69:V174)</f>
        <v>0</v>
      </c>
      <c r="AJ176" s="3">
        <f>ROUND(SUMIF(AA69:AA174,"=60255014",W69:W174),2)</f>
        <v>0</v>
      </c>
      <c r="AK176" s="3">
        <f>ROUND(SUMIF(AA69:AA174,"=60255014",X69:X174),2)</f>
        <v>11955.61</v>
      </c>
      <c r="AL176" s="3">
        <f>ROUND(SUMIF(AA69:AA174,"=60255014",Y69:Y174),2)</f>
        <v>6612.5</v>
      </c>
      <c r="AM176" s="3"/>
      <c r="AN176" s="3"/>
      <c r="AO176" s="3">
        <f t="shared" ref="AO176:BD176" si="238">ROUND(BX176,2)</f>
        <v>0</v>
      </c>
      <c r="AP176" s="3">
        <f t="shared" si="238"/>
        <v>0</v>
      </c>
      <c r="AQ176" s="3">
        <f t="shared" si="238"/>
        <v>0</v>
      </c>
      <c r="AR176" s="3">
        <f t="shared" si="238"/>
        <v>624680.74</v>
      </c>
      <c r="AS176" s="3">
        <f t="shared" si="238"/>
        <v>601348.38</v>
      </c>
      <c r="AT176" s="3">
        <f t="shared" si="238"/>
        <v>23332.36</v>
      </c>
      <c r="AU176" s="3">
        <f t="shared" si="238"/>
        <v>0</v>
      </c>
      <c r="AV176" s="3">
        <f t="shared" si="238"/>
        <v>594287.54</v>
      </c>
      <c r="AW176" s="3">
        <f t="shared" si="238"/>
        <v>594287.54</v>
      </c>
      <c r="AX176" s="3">
        <f t="shared" si="238"/>
        <v>0</v>
      </c>
      <c r="AY176" s="3">
        <f t="shared" si="238"/>
        <v>594287.54</v>
      </c>
      <c r="AZ176" s="3">
        <f t="shared" si="238"/>
        <v>0</v>
      </c>
      <c r="BA176" s="3">
        <f t="shared" si="238"/>
        <v>0</v>
      </c>
      <c r="BB176" s="3">
        <f t="shared" si="238"/>
        <v>0</v>
      </c>
      <c r="BC176" s="3">
        <f t="shared" si="238"/>
        <v>0</v>
      </c>
      <c r="BD176" s="3">
        <f t="shared" si="238"/>
        <v>0</v>
      </c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>
        <f>ROUND(SUMIF(AA69:AA174,"=60255014",FQ69:FQ174),2)</f>
        <v>0</v>
      </c>
      <c r="BY176" s="3">
        <f>ROUND(SUMIF(AA69:AA174,"=60255014",FR69:FR174),2)</f>
        <v>0</v>
      </c>
      <c r="BZ176" s="3">
        <f>ROUND(SUMIF(AA69:AA174,"=60255014",GL69:GL174),2)</f>
        <v>0</v>
      </c>
      <c r="CA176" s="3">
        <f>ROUND(SUMIF(AA69:AA174,"=60255014",GM69:GM174),2)</f>
        <v>624680.74</v>
      </c>
      <c r="CB176" s="3">
        <f>ROUND(SUMIF(AA69:AA174,"=60255014",GN69:GN174),2)</f>
        <v>601348.38</v>
      </c>
      <c r="CC176" s="3">
        <f>ROUND(SUMIF(AA69:AA174,"=60255014",GO69:GO174),2)</f>
        <v>23332.36</v>
      </c>
      <c r="CD176" s="3">
        <f>ROUND(SUMIF(AA69:AA174,"=60255014",GP69:GP174),2)</f>
        <v>0</v>
      </c>
      <c r="CE176" s="3">
        <f>AC176-BX176</f>
        <v>594287.54</v>
      </c>
      <c r="CF176" s="3">
        <f>AC176-BY176</f>
        <v>594287.54</v>
      </c>
      <c r="CG176" s="3">
        <f>BX176-BZ176</f>
        <v>0</v>
      </c>
      <c r="CH176" s="3">
        <f>AC176-BX176-BY176+BZ176</f>
        <v>594287.54</v>
      </c>
      <c r="CI176" s="3">
        <f>BY176-BZ176</f>
        <v>0</v>
      </c>
      <c r="CJ176" s="3">
        <f>ROUND(SUMIF(AA69:AA174,"=60255014",GX69:GX174),2)</f>
        <v>0</v>
      </c>
      <c r="CK176" s="3">
        <f>ROUND(SUMIF(AA69:AA174,"=60255014",GY69:GY174),2)</f>
        <v>0</v>
      </c>
      <c r="CL176" s="3">
        <f>ROUND(SUMIF(AA69:AA174,"=60255014",GZ69:GZ174),2)</f>
        <v>0</v>
      </c>
      <c r="CM176" s="3">
        <f>ROUND(SUMIF(AA69:AA174,"=60255014",HD69:HD174),2)</f>
        <v>0</v>
      </c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4">
        <f t="shared" ref="DG176:DL176" si="239">ROUND(DT176,2)</f>
        <v>5222778.95</v>
      </c>
      <c r="DH176" s="4">
        <f t="shared" si="239"/>
        <v>4597325.87</v>
      </c>
      <c r="DI176" s="4">
        <f t="shared" si="239"/>
        <v>8598.35</v>
      </c>
      <c r="DJ176" s="4">
        <f t="shared" si="239"/>
        <v>3481.4</v>
      </c>
      <c r="DK176" s="4">
        <f t="shared" si="239"/>
        <v>616854.73</v>
      </c>
      <c r="DL176" s="4">
        <f t="shared" si="239"/>
        <v>0</v>
      </c>
      <c r="DM176" s="4">
        <f>DZ176</f>
        <v>918.31099025050003</v>
      </c>
      <c r="DN176" s="4">
        <f>EA176</f>
        <v>0</v>
      </c>
      <c r="DO176" s="4">
        <f>ROUND(EB176,2)</f>
        <v>0</v>
      </c>
      <c r="DP176" s="4">
        <f>ROUND(EC176,2)</f>
        <v>657439.42000000004</v>
      </c>
      <c r="DQ176" s="4">
        <f>ROUND(ED176,2)</f>
        <v>363620.59</v>
      </c>
      <c r="DR176" s="4"/>
      <c r="DS176" s="4"/>
      <c r="DT176" s="4">
        <f>ROUND(SUMIF(AA69:AA174,"=60255011",O69:O174),2)</f>
        <v>5222778.95</v>
      </c>
      <c r="DU176" s="4">
        <f>ROUND(SUMIF(AA69:AA174,"=60255011",P69:P174),2)</f>
        <v>4597325.87</v>
      </c>
      <c r="DV176" s="4">
        <f>ROUND(SUMIF(AA69:AA174,"=60255011",Q69:Q174),2)</f>
        <v>8598.35</v>
      </c>
      <c r="DW176" s="4">
        <f>ROUND(SUMIF(AA69:AA174,"=60255011",R69:R174),2)</f>
        <v>3481.4</v>
      </c>
      <c r="DX176" s="4">
        <f>ROUND(SUMIF(AA69:AA174,"=60255011",S69:S174),2)</f>
        <v>616854.73</v>
      </c>
      <c r="DY176" s="4">
        <f>ROUND(SUMIF(AA69:AA174,"=60255011",T69:T174),2)</f>
        <v>0</v>
      </c>
      <c r="DZ176" s="4">
        <f>SUMIF(AA69:AA174,"=60255011",U69:U174)</f>
        <v>918.31099025050003</v>
      </c>
      <c r="EA176" s="4">
        <f>SUMIF(AA69:AA174,"=60255011",V69:V174)</f>
        <v>0</v>
      </c>
      <c r="EB176" s="4">
        <f>ROUND(SUMIF(AA69:AA174,"=60255011",W69:W174),2)</f>
        <v>0</v>
      </c>
      <c r="EC176" s="4">
        <f>ROUND(SUMIF(AA69:AA174,"=60255011",X69:X174),2)</f>
        <v>657439.42000000004</v>
      </c>
      <c r="ED176" s="4">
        <f>ROUND(SUMIF(AA69:AA174,"=60255011",Y69:Y174),2)</f>
        <v>363620.59</v>
      </c>
      <c r="EE176" s="4"/>
      <c r="EF176" s="4"/>
      <c r="EG176" s="4">
        <f t="shared" ref="EG176:EV176" si="240">ROUND(FP176,2)</f>
        <v>0</v>
      </c>
      <c r="EH176" s="4">
        <f t="shared" si="240"/>
        <v>0</v>
      </c>
      <c r="EI176" s="4">
        <f t="shared" si="240"/>
        <v>0</v>
      </c>
      <c r="EJ176" s="4">
        <f t="shared" si="240"/>
        <v>6243838.96</v>
      </c>
      <c r="EK176" s="4">
        <f t="shared" si="240"/>
        <v>5958880.5199999996</v>
      </c>
      <c r="EL176" s="4">
        <f t="shared" si="240"/>
        <v>284958.44</v>
      </c>
      <c r="EM176" s="4">
        <f t="shared" si="240"/>
        <v>0</v>
      </c>
      <c r="EN176" s="4">
        <f t="shared" si="240"/>
        <v>4597325.87</v>
      </c>
      <c r="EO176" s="4">
        <f t="shared" si="240"/>
        <v>4597325.87</v>
      </c>
      <c r="EP176" s="4">
        <f t="shared" si="240"/>
        <v>0</v>
      </c>
      <c r="EQ176" s="4">
        <f t="shared" si="240"/>
        <v>4597325.87</v>
      </c>
      <c r="ER176" s="4">
        <f t="shared" si="240"/>
        <v>0</v>
      </c>
      <c r="ES176" s="4">
        <f t="shared" si="240"/>
        <v>0</v>
      </c>
      <c r="ET176" s="4">
        <f t="shared" si="240"/>
        <v>0</v>
      </c>
      <c r="EU176" s="4">
        <f t="shared" si="240"/>
        <v>0</v>
      </c>
      <c r="EV176" s="4">
        <f t="shared" si="240"/>
        <v>0</v>
      </c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>
        <f>ROUND(SUMIF(AA69:AA174,"=60255011",FQ69:FQ174),2)</f>
        <v>0</v>
      </c>
      <c r="FQ176" s="4">
        <f>ROUND(SUMIF(AA69:AA174,"=60255011",FR69:FR174),2)</f>
        <v>0</v>
      </c>
      <c r="FR176" s="4">
        <f>ROUND(SUMIF(AA69:AA174,"=60255011",GL69:GL174),2)</f>
        <v>0</v>
      </c>
      <c r="FS176" s="4">
        <f>ROUND(SUMIF(AA69:AA174,"=60255011",GM69:GM174),2)</f>
        <v>6243838.96</v>
      </c>
      <c r="FT176" s="4">
        <f>ROUND(SUMIF(AA69:AA174,"=60255011",GN69:GN174),2)</f>
        <v>5958880.5199999996</v>
      </c>
      <c r="FU176" s="4">
        <f>ROUND(SUMIF(AA69:AA174,"=60255011",GO69:GO174),2)</f>
        <v>284958.44</v>
      </c>
      <c r="FV176" s="4">
        <f>ROUND(SUMIF(AA69:AA174,"=60255011",GP69:GP174),2)</f>
        <v>0</v>
      </c>
      <c r="FW176" s="4">
        <f>DU176-FP176</f>
        <v>4597325.87</v>
      </c>
      <c r="FX176" s="4">
        <f>DU176-FQ176</f>
        <v>4597325.87</v>
      </c>
      <c r="FY176" s="4">
        <f>FP176-FR176</f>
        <v>0</v>
      </c>
      <c r="FZ176" s="4">
        <f>DU176-FP176-FQ176+FR176</f>
        <v>4597325.87</v>
      </c>
      <c r="GA176" s="4">
        <f>FQ176-FR176</f>
        <v>0</v>
      </c>
      <c r="GB176" s="4">
        <f>ROUND(SUMIF(AA69:AA174,"=60255011",GX69:GX174),2)</f>
        <v>0</v>
      </c>
      <c r="GC176" s="4">
        <f>ROUND(SUMIF(AA69:AA174,"=60255011",GY69:GY174),2)</f>
        <v>0</v>
      </c>
      <c r="GD176" s="4">
        <f>ROUND(SUMIF(AA69:AA174,"=60255011",GZ69:GZ174),2)</f>
        <v>0</v>
      </c>
      <c r="GE176" s="4">
        <f>ROUND(SUMIF(AA69:AA174,"=60255011",HD69:HD174),2)</f>
        <v>0</v>
      </c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>
        <v>0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201</v>
      </c>
      <c r="F178" s="5">
        <f>ROUND(Source!O176,O178)</f>
        <v>606112.63</v>
      </c>
      <c r="G178" s="5" t="s">
        <v>38</v>
      </c>
      <c r="H178" s="5" t="s">
        <v>39</v>
      </c>
      <c r="I178" s="5"/>
      <c r="J178" s="5"/>
      <c r="K178" s="5">
        <v>201</v>
      </c>
      <c r="L178" s="5">
        <v>1</v>
      </c>
      <c r="M178" s="5">
        <v>3</v>
      </c>
      <c r="N178" s="5" t="s">
        <v>3</v>
      </c>
      <c r="O178" s="5">
        <v>2</v>
      </c>
      <c r="P178" s="5">
        <f>ROUND(Source!DG176,O178)</f>
        <v>5222778.95</v>
      </c>
      <c r="Q178" s="5"/>
      <c r="R178" s="5"/>
      <c r="S178" s="5"/>
      <c r="T178" s="5"/>
      <c r="U178" s="5"/>
      <c r="V178" s="5"/>
      <c r="W178" s="5">
        <v>606112.63</v>
      </c>
      <c r="X178" s="5">
        <v>1</v>
      </c>
      <c r="Y178" s="5">
        <v>606112.63</v>
      </c>
      <c r="Z178" s="5">
        <v>5222778.95</v>
      </c>
      <c r="AA178" s="5">
        <v>1</v>
      </c>
      <c r="AB178" s="5">
        <v>5222778.95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202</v>
      </c>
      <c r="F179" s="5">
        <f>ROUND(Source!P176,O179)</f>
        <v>594287.54</v>
      </c>
      <c r="G179" s="5" t="s">
        <v>40</v>
      </c>
      <c r="H179" s="5" t="s">
        <v>41</v>
      </c>
      <c r="I179" s="5"/>
      <c r="J179" s="5"/>
      <c r="K179" s="5">
        <v>202</v>
      </c>
      <c r="L179" s="5">
        <v>2</v>
      </c>
      <c r="M179" s="5">
        <v>3</v>
      </c>
      <c r="N179" s="5" t="s">
        <v>3</v>
      </c>
      <c r="O179" s="5">
        <v>2</v>
      </c>
      <c r="P179" s="5">
        <f>ROUND(Source!DH176,O179)</f>
        <v>4597325.87</v>
      </c>
      <c r="Q179" s="5"/>
      <c r="R179" s="5"/>
      <c r="S179" s="5"/>
      <c r="T179" s="5"/>
      <c r="U179" s="5"/>
      <c r="V179" s="5"/>
      <c r="W179" s="5">
        <v>594287.54</v>
      </c>
      <c r="X179" s="5">
        <v>1</v>
      </c>
      <c r="Y179" s="5">
        <v>594287.54</v>
      </c>
      <c r="Z179" s="5">
        <v>4597325.87</v>
      </c>
      <c r="AA179" s="5">
        <v>1</v>
      </c>
      <c r="AB179" s="5">
        <v>4597325.87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222</v>
      </c>
      <c r="F180" s="5">
        <f>ROUND(Source!AO176,O180)</f>
        <v>0</v>
      </c>
      <c r="G180" s="5" t="s">
        <v>42</v>
      </c>
      <c r="H180" s="5" t="s">
        <v>43</v>
      </c>
      <c r="I180" s="5"/>
      <c r="J180" s="5"/>
      <c r="K180" s="5">
        <v>222</v>
      </c>
      <c r="L180" s="5">
        <v>3</v>
      </c>
      <c r="M180" s="5">
        <v>3</v>
      </c>
      <c r="N180" s="5" t="s">
        <v>3</v>
      </c>
      <c r="O180" s="5">
        <v>2</v>
      </c>
      <c r="P180" s="5">
        <f>ROUND(Source!EG176,O180)</f>
        <v>0</v>
      </c>
      <c r="Q180" s="5"/>
      <c r="R180" s="5"/>
      <c r="S180" s="5"/>
      <c r="T180" s="5"/>
      <c r="U180" s="5"/>
      <c r="V180" s="5"/>
      <c r="W180" s="5">
        <v>0</v>
      </c>
      <c r="X180" s="5">
        <v>1</v>
      </c>
      <c r="Y180" s="5">
        <v>0</v>
      </c>
      <c r="Z180" s="5">
        <v>0</v>
      </c>
      <c r="AA180" s="5">
        <v>1</v>
      </c>
      <c r="AB180" s="5">
        <v>0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225</v>
      </c>
      <c r="F181" s="5">
        <f>ROUND(Source!AV176,O181)</f>
        <v>594287.54</v>
      </c>
      <c r="G181" s="5" t="s">
        <v>44</v>
      </c>
      <c r="H181" s="5" t="s">
        <v>45</v>
      </c>
      <c r="I181" s="5"/>
      <c r="J181" s="5"/>
      <c r="K181" s="5">
        <v>225</v>
      </c>
      <c r="L181" s="5">
        <v>4</v>
      </c>
      <c r="M181" s="5">
        <v>3</v>
      </c>
      <c r="N181" s="5" t="s">
        <v>3</v>
      </c>
      <c r="O181" s="5">
        <v>2</v>
      </c>
      <c r="P181" s="5">
        <f>ROUND(Source!EN176,O181)</f>
        <v>4597325.87</v>
      </c>
      <c r="Q181" s="5"/>
      <c r="R181" s="5"/>
      <c r="S181" s="5"/>
      <c r="T181" s="5"/>
      <c r="U181" s="5"/>
      <c r="V181" s="5"/>
      <c r="W181" s="5">
        <v>594287.54</v>
      </c>
      <c r="X181" s="5">
        <v>1</v>
      </c>
      <c r="Y181" s="5">
        <v>594287.54</v>
      </c>
      <c r="Z181" s="5">
        <v>4597325.87</v>
      </c>
      <c r="AA181" s="5">
        <v>1</v>
      </c>
      <c r="AB181" s="5">
        <v>4597325.87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226</v>
      </c>
      <c r="F182" s="5">
        <f>ROUND(Source!AW176,O182)</f>
        <v>594287.54</v>
      </c>
      <c r="G182" s="5" t="s">
        <v>46</v>
      </c>
      <c r="H182" s="5" t="s">
        <v>47</v>
      </c>
      <c r="I182" s="5"/>
      <c r="J182" s="5"/>
      <c r="K182" s="5">
        <v>226</v>
      </c>
      <c r="L182" s="5">
        <v>5</v>
      </c>
      <c r="M182" s="5">
        <v>3</v>
      </c>
      <c r="N182" s="5" t="s">
        <v>3</v>
      </c>
      <c r="O182" s="5">
        <v>2</v>
      </c>
      <c r="P182" s="5">
        <f>ROUND(Source!EO176,O182)</f>
        <v>4597325.87</v>
      </c>
      <c r="Q182" s="5"/>
      <c r="R182" s="5"/>
      <c r="S182" s="5"/>
      <c r="T182" s="5"/>
      <c r="U182" s="5"/>
      <c r="V182" s="5"/>
      <c r="W182" s="5">
        <v>594287.54</v>
      </c>
      <c r="X182" s="5">
        <v>1</v>
      </c>
      <c r="Y182" s="5">
        <v>594287.54</v>
      </c>
      <c r="Z182" s="5">
        <v>4597325.87</v>
      </c>
      <c r="AA182" s="5">
        <v>1</v>
      </c>
      <c r="AB182" s="5">
        <v>4597325.87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227</v>
      </c>
      <c r="F183" s="5">
        <f>ROUND(Source!AX176,O183)</f>
        <v>0</v>
      </c>
      <c r="G183" s="5" t="s">
        <v>48</v>
      </c>
      <c r="H183" s="5" t="s">
        <v>49</v>
      </c>
      <c r="I183" s="5"/>
      <c r="J183" s="5"/>
      <c r="K183" s="5">
        <v>227</v>
      </c>
      <c r="L183" s="5">
        <v>6</v>
      </c>
      <c r="M183" s="5">
        <v>3</v>
      </c>
      <c r="N183" s="5" t="s">
        <v>3</v>
      </c>
      <c r="O183" s="5">
        <v>2</v>
      </c>
      <c r="P183" s="5">
        <f>ROUND(Source!EP176,O183)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228</v>
      </c>
      <c r="F184" s="5">
        <f>ROUND(Source!AY176,O184)</f>
        <v>594287.54</v>
      </c>
      <c r="G184" s="5" t="s">
        <v>50</v>
      </c>
      <c r="H184" s="5" t="s">
        <v>51</v>
      </c>
      <c r="I184" s="5"/>
      <c r="J184" s="5"/>
      <c r="K184" s="5">
        <v>228</v>
      </c>
      <c r="L184" s="5">
        <v>7</v>
      </c>
      <c r="M184" s="5">
        <v>3</v>
      </c>
      <c r="N184" s="5" t="s">
        <v>3</v>
      </c>
      <c r="O184" s="5">
        <v>2</v>
      </c>
      <c r="P184" s="5">
        <f>ROUND(Source!EQ176,O184)</f>
        <v>4597325.87</v>
      </c>
      <c r="Q184" s="5"/>
      <c r="R184" s="5"/>
      <c r="S184" s="5"/>
      <c r="T184" s="5"/>
      <c r="U184" s="5"/>
      <c r="V184" s="5"/>
      <c r="W184" s="5">
        <v>594287.54</v>
      </c>
      <c r="X184" s="5">
        <v>1</v>
      </c>
      <c r="Y184" s="5">
        <v>594287.54</v>
      </c>
      <c r="Z184" s="5">
        <v>4597325.87</v>
      </c>
      <c r="AA184" s="5">
        <v>1</v>
      </c>
      <c r="AB184" s="5">
        <v>4597325.87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216</v>
      </c>
      <c r="F185" s="5">
        <f>ROUND(Source!AP176,O185)</f>
        <v>0</v>
      </c>
      <c r="G185" s="5" t="s">
        <v>52</v>
      </c>
      <c r="H185" s="5" t="s">
        <v>53</v>
      </c>
      <c r="I185" s="5"/>
      <c r="J185" s="5"/>
      <c r="K185" s="5">
        <v>216</v>
      </c>
      <c r="L185" s="5">
        <v>8</v>
      </c>
      <c r="M185" s="5">
        <v>3</v>
      </c>
      <c r="N185" s="5" t="s">
        <v>3</v>
      </c>
      <c r="O185" s="5">
        <v>2</v>
      </c>
      <c r="P185" s="5">
        <f>ROUND(Source!EH176,O185)</f>
        <v>0</v>
      </c>
      <c r="Q185" s="5"/>
      <c r="R185" s="5"/>
      <c r="S185" s="5"/>
      <c r="T185" s="5"/>
      <c r="U185" s="5"/>
      <c r="V185" s="5"/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223</v>
      </c>
      <c r="F186" s="5">
        <f>ROUND(Source!AQ176,O186)</f>
        <v>0</v>
      </c>
      <c r="G186" s="5" t="s">
        <v>54</v>
      </c>
      <c r="H186" s="5" t="s">
        <v>55</v>
      </c>
      <c r="I186" s="5"/>
      <c r="J186" s="5"/>
      <c r="K186" s="5">
        <v>223</v>
      </c>
      <c r="L186" s="5">
        <v>9</v>
      </c>
      <c r="M186" s="5">
        <v>3</v>
      </c>
      <c r="N186" s="5" t="s">
        <v>3</v>
      </c>
      <c r="O186" s="5">
        <v>2</v>
      </c>
      <c r="P186" s="5">
        <f>ROUND(Source!EI176,O186)</f>
        <v>0</v>
      </c>
      <c r="Q186" s="5"/>
      <c r="R186" s="5"/>
      <c r="S186" s="5"/>
      <c r="T186" s="5"/>
      <c r="U186" s="5"/>
      <c r="V186" s="5"/>
      <c r="W186" s="5">
        <v>0</v>
      </c>
      <c r="X186" s="5">
        <v>1</v>
      </c>
      <c r="Y186" s="5">
        <v>0</v>
      </c>
      <c r="Z186" s="5">
        <v>0</v>
      </c>
      <c r="AA186" s="5">
        <v>1</v>
      </c>
      <c r="AB186" s="5">
        <v>0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229</v>
      </c>
      <c r="F187" s="5">
        <f>ROUND(Source!AZ176,O187)</f>
        <v>0</v>
      </c>
      <c r="G187" s="5" t="s">
        <v>56</v>
      </c>
      <c r="H187" s="5" t="s">
        <v>57</v>
      </c>
      <c r="I187" s="5"/>
      <c r="J187" s="5"/>
      <c r="K187" s="5">
        <v>229</v>
      </c>
      <c r="L187" s="5">
        <v>10</v>
      </c>
      <c r="M187" s="5">
        <v>3</v>
      </c>
      <c r="N187" s="5" t="s">
        <v>3</v>
      </c>
      <c r="O187" s="5">
        <v>2</v>
      </c>
      <c r="P187" s="5">
        <f>ROUND(Source!ER176,O187)</f>
        <v>0</v>
      </c>
      <c r="Q187" s="5"/>
      <c r="R187" s="5"/>
      <c r="S187" s="5"/>
      <c r="T187" s="5"/>
      <c r="U187" s="5"/>
      <c r="V187" s="5"/>
      <c r="W187" s="5">
        <v>0</v>
      </c>
      <c r="X187" s="5">
        <v>1</v>
      </c>
      <c r="Y187" s="5">
        <v>0</v>
      </c>
      <c r="Z187" s="5">
        <v>0</v>
      </c>
      <c r="AA187" s="5">
        <v>1</v>
      </c>
      <c r="AB187" s="5">
        <v>0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203</v>
      </c>
      <c r="F188" s="5">
        <f>ROUND(Source!Q176,O188)</f>
        <v>607.51</v>
      </c>
      <c r="G188" s="5" t="s">
        <v>58</v>
      </c>
      <c r="H188" s="5" t="s">
        <v>59</v>
      </c>
      <c r="I188" s="5"/>
      <c r="J188" s="5"/>
      <c r="K188" s="5">
        <v>203</v>
      </c>
      <c r="L188" s="5">
        <v>11</v>
      </c>
      <c r="M188" s="5">
        <v>3</v>
      </c>
      <c r="N188" s="5" t="s">
        <v>3</v>
      </c>
      <c r="O188" s="5">
        <v>2</v>
      </c>
      <c r="P188" s="5">
        <f>ROUND(Source!DI176,O188)</f>
        <v>8598.35</v>
      </c>
      <c r="Q188" s="5"/>
      <c r="R188" s="5"/>
      <c r="S188" s="5"/>
      <c r="T188" s="5"/>
      <c r="U188" s="5"/>
      <c r="V188" s="5"/>
      <c r="W188" s="5">
        <v>607.51</v>
      </c>
      <c r="X188" s="5">
        <v>1</v>
      </c>
      <c r="Y188" s="5">
        <v>607.51</v>
      </c>
      <c r="Z188" s="5">
        <v>8598.35</v>
      </c>
      <c r="AA188" s="5">
        <v>1</v>
      </c>
      <c r="AB188" s="5">
        <v>8598.35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231</v>
      </c>
      <c r="F189" s="5">
        <f>ROUND(Source!BB176,O189)</f>
        <v>0</v>
      </c>
      <c r="G189" s="5" t="s">
        <v>60</v>
      </c>
      <c r="H189" s="5" t="s">
        <v>61</v>
      </c>
      <c r="I189" s="5"/>
      <c r="J189" s="5"/>
      <c r="K189" s="5">
        <v>231</v>
      </c>
      <c r="L189" s="5">
        <v>12</v>
      </c>
      <c r="M189" s="5">
        <v>3</v>
      </c>
      <c r="N189" s="5" t="s">
        <v>3</v>
      </c>
      <c r="O189" s="5">
        <v>2</v>
      </c>
      <c r="P189" s="5">
        <f>ROUND(Source!ET176,O189)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204</v>
      </c>
      <c r="F190" s="5">
        <f>ROUND(Source!R176,O190)</f>
        <v>63.31</v>
      </c>
      <c r="G190" s="5" t="s">
        <v>62</v>
      </c>
      <c r="H190" s="5" t="s">
        <v>63</v>
      </c>
      <c r="I190" s="5"/>
      <c r="J190" s="5"/>
      <c r="K190" s="5">
        <v>204</v>
      </c>
      <c r="L190" s="5">
        <v>13</v>
      </c>
      <c r="M190" s="5">
        <v>3</v>
      </c>
      <c r="N190" s="5" t="s">
        <v>3</v>
      </c>
      <c r="O190" s="5">
        <v>2</v>
      </c>
      <c r="P190" s="5">
        <f>ROUND(Source!DJ176,O190)</f>
        <v>3481.4</v>
      </c>
      <c r="Q190" s="5"/>
      <c r="R190" s="5"/>
      <c r="S190" s="5"/>
      <c r="T190" s="5"/>
      <c r="U190" s="5"/>
      <c r="V190" s="5"/>
      <c r="W190" s="5">
        <v>63.31</v>
      </c>
      <c r="X190" s="5">
        <v>1</v>
      </c>
      <c r="Y190" s="5">
        <v>63.31</v>
      </c>
      <c r="Z190" s="5">
        <v>3481.4</v>
      </c>
      <c r="AA190" s="5">
        <v>1</v>
      </c>
      <c r="AB190" s="5">
        <v>3481.4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205</v>
      </c>
      <c r="F191" s="5">
        <f>ROUND(Source!S176,O191)</f>
        <v>11217.58</v>
      </c>
      <c r="G191" s="5" t="s">
        <v>64</v>
      </c>
      <c r="H191" s="5" t="s">
        <v>65</v>
      </c>
      <c r="I191" s="5"/>
      <c r="J191" s="5"/>
      <c r="K191" s="5">
        <v>205</v>
      </c>
      <c r="L191" s="5">
        <v>14</v>
      </c>
      <c r="M191" s="5">
        <v>3</v>
      </c>
      <c r="N191" s="5" t="s">
        <v>3</v>
      </c>
      <c r="O191" s="5">
        <v>2</v>
      </c>
      <c r="P191" s="5">
        <f>ROUND(Source!DK176,O191)</f>
        <v>616854.73</v>
      </c>
      <c r="Q191" s="5"/>
      <c r="R191" s="5"/>
      <c r="S191" s="5"/>
      <c r="T191" s="5"/>
      <c r="U191" s="5"/>
      <c r="V191" s="5"/>
      <c r="W191" s="5">
        <v>11217.58</v>
      </c>
      <c r="X191" s="5">
        <v>1</v>
      </c>
      <c r="Y191" s="5">
        <v>11217.58</v>
      </c>
      <c r="Z191" s="5">
        <v>616854.73</v>
      </c>
      <c r="AA191" s="5">
        <v>1</v>
      </c>
      <c r="AB191" s="5">
        <v>616854.73</v>
      </c>
    </row>
    <row r="192" spans="1:28" x14ac:dyDescent="0.2">
      <c r="A192" s="5">
        <v>50</v>
      </c>
      <c r="B192" s="5">
        <v>0</v>
      </c>
      <c r="C192" s="5">
        <v>0</v>
      </c>
      <c r="D192" s="5">
        <v>1</v>
      </c>
      <c r="E192" s="5">
        <v>232</v>
      </c>
      <c r="F192" s="5">
        <f>ROUND(Source!BC176,O192)</f>
        <v>0</v>
      </c>
      <c r="G192" s="5" t="s">
        <v>66</v>
      </c>
      <c r="H192" s="5" t="s">
        <v>67</v>
      </c>
      <c r="I192" s="5"/>
      <c r="J192" s="5"/>
      <c r="K192" s="5">
        <v>232</v>
      </c>
      <c r="L192" s="5">
        <v>15</v>
      </c>
      <c r="M192" s="5">
        <v>3</v>
      </c>
      <c r="N192" s="5" t="s">
        <v>3</v>
      </c>
      <c r="O192" s="5">
        <v>2</v>
      </c>
      <c r="P192" s="5">
        <f>ROUND(Source!EU176,O192)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06" x14ac:dyDescent="0.2">
      <c r="A193" s="5">
        <v>50</v>
      </c>
      <c r="B193" s="5">
        <v>0</v>
      </c>
      <c r="C193" s="5">
        <v>0</v>
      </c>
      <c r="D193" s="5">
        <v>1</v>
      </c>
      <c r="E193" s="5">
        <v>214</v>
      </c>
      <c r="F193" s="5">
        <f>ROUND(Source!AS176,O193)</f>
        <v>601348.38</v>
      </c>
      <c r="G193" s="5" t="s">
        <v>68</v>
      </c>
      <c r="H193" s="5" t="s">
        <v>69</v>
      </c>
      <c r="I193" s="5"/>
      <c r="J193" s="5"/>
      <c r="K193" s="5">
        <v>214</v>
      </c>
      <c r="L193" s="5">
        <v>16</v>
      </c>
      <c r="M193" s="5">
        <v>3</v>
      </c>
      <c r="N193" s="5" t="s">
        <v>3</v>
      </c>
      <c r="O193" s="5">
        <v>2</v>
      </c>
      <c r="P193" s="5">
        <f>ROUND(Source!EK176,O193)</f>
        <v>5958880.5199999996</v>
      </c>
      <c r="Q193" s="5"/>
      <c r="R193" s="5"/>
      <c r="S193" s="5"/>
      <c r="T193" s="5"/>
      <c r="U193" s="5"/>
      <c r="V193" s="5"/>
      <c r="W193" s="5">
        <v>601348.38</v>
      </c>
      <c r="X193" s="5">
        <v>1</v>
      </c>
      <c r="Y193" s="5">
        <v>601348.38</v>
      </c>
      <c r="Z193" s="5">
        <v>5958880.5199999996</v>
      </c>
      <c r="AA193" s="5">
        <v>1</v>
      </c>
      <c r="AB193" s="5">
        <v>5958880.5199999996</v>
      </c>
    </row>
    <row r="194" spans="1:206" x14ac:dyDescent="0.2">
      <c r="A194" s="5">
        <v>50</v>
      </c>
      <c r="B194" s="5">
        <v>0</v>
      </c>
      <c r="C194" s="5">
        <v>0</v>
      </c>
      <c r="D194" s="5">
        <v>1</v>
      </c>
      <c r="E194" s="5">
        <v>215</v>
      </c>
      <c r="F194" s="5">
        <f>ROUND(Source!AT176,O194)</f>
        <v>23332.36</v>
      </c>
      <c r="G194" s="5" t="s">
        <v>70</v>
      </c>
      <c r="H194" s="5" t="s">
        <v>71</v>
      </c>
      <c r="I194" s="5"/>
      <c r="J194" s="5"/>
      <c r="K194" s="5">
        <v>215</v>
      </c>
      <c r="L194" s="5">
        <v>17</v>
      </c>
      <c r="M194" s="5">
        <v>3</v>
      </c>
      <c r="N194" s="5" t="s">
        <v>3</v>
      </c>
      <c r="O194" s="5">
        <v>2</v>
      </c>
      <c r="P194" s="5">
        <f>ROUND(Source!EL176,O194)</f>
        <v>284958.44</v>
      </c>
      <c r="Q194" s="5"/>
      <c r="R194" s="5"/>
      <c r="S194" s="5"/>
      <c r="T194" s="5"/>
      <c r="U194" s="5"/>
      <c r="V194" s="5"/>
      <c r="W194" s="5">
        <v>23332.36</v>
      </c>
      <c r="X194" s="5">
        <v>1</v>
      </c>
      <c r="Y194" s="5">
        <v>23332.36</v>
      </c>
      <c r="Z194" s="5">
        <v>284958.44</v>
      </c>
      <c r="AA194" s="5">
        <v>1</v>
      </c>
      <c r="AB194" s="5">
        <v>284958.44</v>
      </c>
    </row>
    <row r="195" spans="1:206" x14ac:dyDescent="0.2">
      <c r="A195" s="5">
        <v>50</v>
      </c>
      <c r="B195" s="5">
        <v>0</v>
      </c>
      <c r="C195" s="5">
        <v>0</v>
      </c>
      <c r="D195" s="5">
        <v>1</v>
      </c>
      <c r="E195" s="5">
        <v>217</v>
      </c>
      <c r="F195" s="5">
        <f>ROUND(Source!AU176,O195)</f>
        <v>0</v>
      </c>
      <c r="G195" s="5" t="s">
        <v>72</v>
      </c>
      <c r="H195" s="5" t="s">
        <v>73</v>
      </c>
      <c r="I195" s="5"/>
      <c r="J195" s="5"/>
      <c r="K195" s="5">
        <v>217</v>
      </c>
      <c r="L195" s="5">
        <v>18</v>
      </c>
      <c r="M195" s="5">
        <v>3</v>
      </c>
      <c r="N195" s="5" t="s">
        <v>3</v>
      </c>
      <c r="O195" s="5">
        <v>2</v>
      </c>
      <c r="P195" s="5">
        <f>ROUND(Source!EM176,O195)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06" x14ac:dyDescent="0.2">
      <c r="A196" s="5">
        <v>50</v>
      </c>
      <c r="B196" s="5">
        <v>0</v>
      </c>
      <c r="C196" s="5">
        <v>0</v>
      </c>
      <c r="D196" s="5">
        <v>1</v>
      </c>
      <c r="E196" s="5">
        <v>230</v>
      </c>
      <c r="F196" s="5">
        <f>ROUND(Source!BA176,O196)</f>
        <v>0</v>
      </c>
      <c r="G196" s="5" t="s">
        <v>74</v>
      </c>
      <c r="H196" s="5" t="s">
        <v>75</v>
      </c>
      <c r="I196" s="5"/>
      <c r="J196" s="5"/>
      <c r="K196" s="5">
        <v>230</v>
      </c>
      <c r="L196" s="5">
        <v>19</v>
      </c>
      <c r="M196" s="5">
        <v>3</v>
      </c>
      <c r="N196" s="5" t="s">
        <v>3</v>
      </c>
      <c r="O196" s="5">
        <v>2</v>
      </c>
      <c r="P196" s="5">
        <f>ROUND(Source!ES176,O196)</f>
        <v>0</v>
      </c>
      <c r="Q196" s="5"/>
      <c r="R196" s="5"/>
      <c r="S196" s="5"/>
      <c r="T196" s="5"/>
      <c r="U196" s="5"/>
      <c r="V196" s="5"/>
      <c r="W196" s="5">
        <v>0</v>
      </c>
      <c r="X196" s="5">
        <v>1</v>
      </c>
      <c r="Y196" s="5">
        <v>0</v>
      </c>
      <c r="Z196" s="5">
        <v>0</v>
      </c>
      <c r="AA196" s="5">
        <v>1</v>
      </c>
      <c r="AB196" s="5">
        <v>0</v>
      </c>
    </row>
    <row r="197" spans="1:206" x14ac:dyDescent="0.2">
      <c r="A197" s="5">
        <v>50</v>
      </c>
      <c r="B197" s="5">
        <v>0</v>
      </c>
      <c r="C197" s="5">
        <v>0</v>
      </c>
      <c r="D197" s="5">
        <v>1</v>
      </c>
      <c r="E197" s="5">
        <v>206</v>
      </c>
      <c r="F197" s="5">
        <f>ROUND(Source!T176,O197)</f>
        <v>0</v>
      </c>
      <c r="G197" s="5" t="s">
        <v>76</v>
      </c>
      <c r="H197" s="5" t="s">
        <v>77</v>
      </c>
      <c r="I197" s="5"/>
      <c r="J197" s="5"/>
      <c r="K197" s="5">
        <v>206</v>
      </c>
      <c r="L197" s="5">
        <v>20</v>
      </c>
      <c r="M197" s="5">
        <v>3</v>
      </c>
      <c r="N197" s="5" t="s">
        <v>3</v>
      </c>
      <c r="O197" s="5">
        <v>2</v>
      </c>
      <c r="P197" s="5">
        <f>ROUND(Source!DL176,O197)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06" x14ac:dyDescent="0.2">
      <c r="A198" s="5">
        <v>50</v>
      </c>
      <c r="B198" s="5">
        <v>0</v>
      </c>
      <c r="C198" s="5">
        <v>0</v>
      </c>
      <c r="D198" s="5">
        <v>1</v>
      </c>
      <c r="E198" s="5">
        <v>207</v>
      </c>
      <c r="F198" s="5">
        <f>Source!U176</f>
        <v>918.31099025050003</v>
      </c>
      <c r="G198" s="5" t="s">
        <v>78</v>
      </c>
      <c r="H198" s="5" t="s">
        <v>79</v>
      </c>
      <c r="I198" s="5"/>
      <c r="J198" s="5"/>
      <c r="K198" s="5">
        <v>207</v>
      </c>
      <c r="L198" s="5">
        <v>21</v>
      </c>
      <c r="M198" s="5">
        <v>3</v>
      </c>
      <c r="N198" s="5" t="s">
        <v>3</v>
      </c>
      <c r="O198" s="5">
        <v>-1</v>
      </c>
      <c r="P198" s="5">
        <f>Source!DM176</f>
        <v>918.31099025050003</v>
      </c>
      <c r="Q198" s="5"/>
      <c r="R198" s="5"/>
      <c r="S198" s="5"/>
      <c r="T198" s="5"/>
      <c r="U198" s="5"/>
      <c r="V198" s="5"/>
      <c r="W198" s="5">
        <v>918.31099025050003</v>
      </c>
      <c r="X198" s="5">
        <v>1</v>
      </c>
      <c r="Y198" s="5">
        <v>918.31099025050003</v>
      </c>
      <c r="Z198" s="5">
        <v>918.31099025050003</v>
      </c>
      <c r="AA198" s="5">
        <v>1</v>
      </c>
      <c r="AB198" s="5">
        <v>918.31099025050003</v>
      </c>
    </row>
    <row r="199" spans="1:206" x14ac:dyDescent="0.2">
      <c r="A199" s="5">
        <v>50</v>
      </c>
      <c r="B199" s="5">
        <v>0</v>
      </c>
      <c r="C199" s="5">
        <v>0</v>
      </c>
      <c r="D199" s="5">
        <v>1</v>
      </c>
      <c r="E199" s="5">
        <v>208</v>
      </c>
      <c r="F199" s="5">
        <f>Source!V176</f>
        <v>0</v>
      </c>
      <c r="G199" s="5" t="s">
        <v>80</v>
      </c>
      <c r="H199" s="5" t="s">
        <v>81</v>
      </c>
      <c r="I199" s="5"/>
      <c r="J199" s="5"/>
      <c r="K199" s="5">
        <v>208</v>
      </c>
      <c r="L199" s="5">
        <v>22</v>
      </c>
      <c r="M199" s="5">
        <v>3</v>
      </c>
      <c r="N199" s="5" t="s">
        <v>3</v>
      </c>
      <c r="O199" s="5">
        <v>-1</v>
      </c>
      <c r="P199" s="5">
        <f>Source!DN176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06" x14ac:dyDescent="0.2">
      <c r="A200" s="5">
        <v>50</v>
      </c>
      <c r="B200" s="5">
        <v>0</v>
      </c>
      <c r="C200" s="5">
        <v>0</v>
      </c>
      <c r="D200" s="5">
        <v>1</v>
      </c>
      <c r="E200" s="5">
        <v>209</v>
      </c>
      <c r="F200" s="5">
        <f>ROUND(Source!W176,O200)</f>
        <v>0</v>
      </c>
      <c r="G200" s="5" t="s">
        <v>82</v>
      </c>
      <c r="H200" s="5" t="s">
        <v>83</v>
      </c>
      <c r="I200" s="5"/>
      <c r="J200" s="5"/>
      <c r="K200" s="5">
        <v>209</v>
      </c>
      <c r="L200" s="5">
        <v>23</v>
      </c>
      <c r="M200" s="5">
        <v>3</v>
      </c>
      <c r="N200" s="5" t="s">
        <v>3</v>
      </c>
      <c r="O200" s="5">
        <v>2</v>
      </c>
      <c r="P200" s="5">
        <f>ROUND(Source!DO176,O200)</f>
        <v>0</v>
      </c>
      <c r="Q200" s="5"/>
      <c r="R200" s="5"/>
      <c r="S200" s="5"/>
      <c r="T200" s="5"/>
      <c r="U200" s="5"/>
      <c r="V200" s="5"/>
      <c r="W200" s="5">
        <v>0</v>
      </c>
      <c r="X200" s="5">
        <v>1</v>
      </c>
      <c r="Y200" s="5">
        <v>0</v>
      </c>
      <c r="Z200" s="5">
        <v>0</v>
      </c>
      <c r="AA200" s="5">
        <v>1</v>
      </c>
      <c r="AB200" s="5">
        <v>0</v>
      </c>
    </row>
    <row r="201" spans="1:206" x14ac:dyDescent="0.2">
      <c r="A201" s="5">
        <v>50</v>
      </c>
      <c r="B201" s="5">
        <v>0</v>
      </c>
      <c r="C201" s="5">
        <v>0</v>
      </c>
      <c r="D201" s="5">
        <v>1</v>
      </c>
      <c r="E201" s="5">
        <v>233</v>
      </c>
      <c r="F201" s="5">
        <f>ROUND(Source!BD176,O201)</f>
        <v>0</v>
      </c>
      <c r="G201" s="5" t="s">
        <v>84</v>
      </c>
      <c r="H201" s="5" t="s">
        <v>85</v>
      </c>
      <c r="I201" s="5"/>
      <c r="J201" s="5"/>
      <c r="K201" s="5">
        <v>233</v>
      </c>
      <c r="L201" s="5">
        <v>24</v>
      </c>
      <c r="M201" s="5">
        <v>3</v>
      </c>
      <c r="N201" s="5" t="s">
        <v>3</v>
      </c>
      <c r="O201" s="5">
        <v>2</v>
      </c>
      <c r="P201" s="5">
        <f>ROUND(Source!EV176,O201)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06" x14ac:dyDescent="0.2">
      <c r="A202" s="5">
        <v>50</v>
      </c>
      <c r="B202" s="5">
        <v>0</v>
      </c>
      <c r="C202" s="5">
        <v>0</v>
      </c>
      <c r="D202" s="5">
        <v>1</v>
      </c>
      <c r="E202" s="5">
        <v>210</v>
      </c>
      <c r="F202" s="5">
        <f>ROUND(Source!X176,O202)</f>
        <v>11955.61</v>
      </c>
      <c r="G202" s="5" t="s">
        <v>86</v>
      </c>
      <c r="H202" s="5" t="s">
        <v>87</v>
      </c>
      <c r="I202" s="5"/>
      <c r="J202" s="5"/>
      <c r="K202" s="5">
        <v>210</v>
      </c>
      <c r="L202" s="5">
        <v>25</v>
      </c>
      <c r="M202" s="5">
        <v>3</v>
      </c>
      <c r="N202" s="5" t="s">
        <v>3</v>
      </c>
      <c r="O202" s="5">
        <v>2</v>
      </c>
      <c r="P202" s="5">
        <f>ROUND(Source!DP176,O202)</f>
        <v>657439.42000000004</v>
      </c>
      <c r="Q202" s="5"/>
      <c r="R202" s="5"/>
      <c r="S202" s="5"/>
      <c r="T202" s="5"/>
      <c r="U202" s="5"/>
      <c r="V202" s="5"/>
      <c r="W202" s="5">
        <v>11955.61</v>
      </c>
      <c r="X202" s="5">
        <v>1</v>
      </c>
      <c r="Y202" s="5">
        <v>11955.61</v>
      </c>
      <c r="Z202" s="5">
        <v>657439.42000000004</v>
      </c>
      <c r="AA202" s="5">
        <v>1</v>
      </c>
      <c r="AB202" s="5">
        <v>657439.42000000004</v>
      </c>
    </row>
    <row r="203" spans="1:206" x14ac:dyDescent="0.2">
      <c r="A203" s="5">
        <v>50</v>
      </c>
      <c r="B203" s="5">
        <v>0</v>
      </c>
      <c r="C203" s="5">
        <v>0</v>
      </c>
      <c r="D203" s="5">
        <v>1</v>
      </c>
      <c r="E203" s="5">
        <v>211</v>
      </c>
      <c r="F203" s="5">
        <f>ROUND(Source!Y176,O203)</f>
        <v>6612.5</v>
      </c>
      <c r="G203" s="5" t="s">
        <v>88</v>
      </c>
      <c r="H203" s="5" t="s">
        <v>89</v>
      </c>
      <c r="I203" s="5"/>
      <c r="J203" s="5"/>
      <c r="K203" s="5">
        <v>211</v>
      </c>
      <c r="L203" s="5">
        <v>26</v>
      </c>
      <c r="M203" s="5">
        <v>3</v>
      </c>
      <c r="N203" s="5" t="s">
        <v>3</v>
      </c>
      <c r="O203" s="5">
        <v>2</v>
      </c>
      <c r="P203" s="5">
        <f>ROUND(Source!DQ176,O203)</f>
        <v>363620.59</v>
      </c>
      <c r="Q203" s="5"/>
      <c r="R203" s="5"/>
      <c r="S203" s="5"/>
      <c r="T203" s="5"/>
      <c r="U203" s="5"/>
      <c r="V203" s="5"/>
      <c r="W203" s="5">
        <v>6612.5</v>
      </c>
      <c r="X203" s="5">
        <v>1</v>
      </c>
      <c r="Y203" s="5">
        <v>6612.5</v>
      </c>
      <c r="Z203" s="5">
        <v>363620.59</v>
      </c>
      <c r="AA203" s="5">
        <v>1</v>
      </c>
      <c r="AB203" s="5">
        <v>363620.59</v>
      </c>
    </row>
    <row r="204" spans="1:206" x14ac:dyDescent="0.2">
      <c r="A204" s="5">
        <v>50</v>
      </c>
      <c r="B204" s="5">
        <v>0</v>
      </c>
      <c r="C204" s="5">
        <v>0</v>
      </c>
      <c r="D204" s="5">
        <v>1</v>
      </c>
      <c r="E204" s="5">
        <v>224</v>
      </c>
      <c r="F204" s="5">
        <f>ROUND(Source!AR176,O204)</f>
        <v>624680.74</v>
      </c>
      <c r="G204" s="5" t="s">
        <v>90</v>
      </c>
      <c r="H204" s="5" t="s">
        <v>91</v>
      </c>
      <c r="I204" s="5"/>
      <c r="J204" s="5"/>
      <c r="K204" s="5">
        <v>224</v>
      </c>
      <c r="L204" s="5">
        <v>27</v>
      </c>
      <c r="M204" s="5">
        <v>3</v>
      </c>
      <c r="N204" s="5" t="s">
        <v>3</v>
      </c>
      <c r="O204" s="5">
        <v>2</v>
      </c>
      <c r="P204" s="5">
        <f>ROUND(Source!EJ176,O204)</f>
        <v>6243838.96</v>
      </c>
      <c r="Q204" s="5"/>
      <c r="R204" s="5"/>
      <c r="S204" s="5"/>
      <c r="T204" s="5"/>
      <c r="U204" s="5"/>
      <c r="V204" s="5"/>
      <c r="W204" s="5">
        <v>624680.74</v>
      </c>
      <c r="X204" s="5">
        <v>1</v>
      </c>
      <c r="Y204" s="5">
        <v>624680.74</v>
      </c>
      <c r="Z204" s="5">
        <v>6243838.96</v>
      </c>
      <c r="AA204" s="5">
        <v>1</v>
      </c>
      <c r="AB204" s="5">
        <v>6243838.96</v>
      </c>
    </row>
    <row r="206" spans="1:206" x14ac:dyDescent="0.2">
      <c r="A206" s="1">
        <v>4</v>
      </c>
      <c r="B206" s="1">
        <v>1</v>
      </c>
      <c r="C206" s="1"/>
      <c r="D206" s="1">
        <f>ROW(A250)</f>
        <v>250</v>
      </c>
      <c r="E206" s="1"/>
      <c r="F206" s="1" t="s">
        <v>3</v>
      </c>
      <c r="G206" s="1" t="s">
        <v>293</v>
      </c>
      <c r="H206" s="1" t="s">
        <v>3</v>
      </c>
      <c r="I206" s="1">
        <v>0</v>
      </c>
      <c r="J206" s="1"/>
      <c r="K206" s="1">
        <v>-1</v>
      </c>
      <c r="L206" s="1"/>
      <c r="M206" s="1" t="s">
        <v>3</v>
      </c>
      <c r="N206" s="1"/>
      <c r="O206" s="1"/>
      <c r="P206" s="1"/>
      <c r="Q206" s="1"/>
      <c r="R206" s="1"/>
      <c r="S206" s="1">
        <v>0</v>
      </c>
      <c r="T206" s="1">
        <v>0</v>
      </c>
      <c r="U206" s="1" t="s">
        <v>3</v>
      </c>
      <c r="V206" s="1">
        <v>0</v>
      </c>
      <c r="W206" s="1"/>
      <c r="X206" s="1"/>
      <c r="Y206" s="1"/>
      <c r="Z206" s="1"/>
      <c r="AA206" s="1"/>
      <c r="AB206" s="1" t="s">
        <v>3</v>
      </c>
      <c r="AC206" s="1" t="s">
        <v>3</v>
      </c>
      <c r="AD206" s="1" t="s">
        <v>3</v>
      </c>
      <c r="AE206" s="1" t="s">
        <v>3</v>
      </c>
      <c r="AF206" s="1" t="s">
        <v>3</v>
      </c>
      <c r="AG206" s="1" t="s">
        <v>3</v>
      </c>
      <c r="AH206" s="1"/>
      <c r="AI206" s="1"/>
      <c r="AJ206" s="1"/>
      <c r="AK206" s="1"/>
      <c r="AL206" s="1"/>
      <c r="AM206" s="1"/>
      <c r="AN206" s="1"/>
      <c r="AO206" s="1"/>
      <c r="AP206" s="1" t="s">
        <v>3</v>
      </c>
      <c r="AQ206" s="1" t="s">
        <v>3</v>
      </c>
      <c r="AR206" s="1" t="s">
        <v>3</v>
      </c>
      <c r="AS206" s="1"/>
      <c r="AT206" s="1"/>
      <c r="AU206" s="1"/>
      <c r="AV206" s="1"/>
      <c r="AW206" s="1"/>
      <c r="AX206" s="1"/>
      <c r="AY206" s="1"/>
      <c r="AZ206" s="1" t="s">
        <v>3</v>
      </c>
      <c r="BA206" s="1"/>
      <c r="BB206" s="1" t="s">
        <v>3</v>
      </c>
      <c r="BC206" s="1" t="s">
        <v>3</v>
      </c>
      <c r="BD206" s="1" t="s">
        <v>3</v>
      </c>
      <c r="BE206" s="1" t="s">
        <v>3</v>
      </c>
      <c r="BF206" s="1" t="s">
        <v>3</v>
      </c>
      <c r="BG206" s="1" t="s">
        <v>3</v>
      </c>
      <c r="BH206" s="1" t="s">
        <v>3</v>
      </c>
      <c r="BI206" s="1" t="s">
        <v>3</v>
      </c>
      <c r="BJ206" s="1" t="s">
        <v>3</v>
      </c>
      <c r="BK206" s="1" t="s">
        <v>3</v>
      </c>
      <c r="BL206" s="1" t="s">
        <v>3</v>
      </c>
      <c r="BM206" s="1" t="s">
        <v>3</v>
      </c>
      <c r="BN206" s="1" t="s">
        <v>3</v>
      </c>
      <c r="BO206" s="1" t="s">
        <v>3</v>
      </c>
      <c r="BP206" s="1" t="s">
        <v>3</v>
      </c>
      <c r="BQ206" s="1"/>
      <c r="BR206" s="1"/>
      <c r="BS206" s="1"/>
      <c r="BT206" s="1"/>
      <c r="BU206" s="1"/>
      <c r="BV206" s="1"/>
      <c r="BW206" s="1"/>
      <c r="BX206" s="1">
        <v>0</v>
      </c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>
        <v>0</v>
      </c>
    </row>
    <row r="208" spans="1:206" x14ac:dyDescent="0.2">
      <c r="A208" s="3">
        <v>52</v>
      </c>
      <c r="B208" s="3">
        <f t="shared" ref="B208:G208" si="241">B250</f>
        <v>1</v>
      </c>
      <c r="C208" s="3">
        <f t="shared" si="241"/>
        <v>4</v>
      </c>
      <c r="D208" s="3">
        <f t="shared" si="241"/>
        <v>206</v>
      </c>
      <c r="E208" s="3">
        <f t="shared" si="241"/>
        <v>0</v>
      </c>
      <c r="F208" s="3" t="str">
        <f t="shared" si="241"/>
        <v/>
      </c>
      <c r="G208" s="3" t="str">
        <f t="shared" si="241"/>
        <v>Арматура трубопроводная</v>
      </c>
      <c r="H208" s="3"/>
      <c r="I208" s="3"/>
      <c r="J208" s="3"/>
      <c r="K208" s="3"/>
      <c r="L208" s="3"/>
      <c r="M208" s="3"/>
      <c r="N208" s="3"/>
      <c r="O208" s="3">
        <f t="shared" ref="O208:AT208" si="242">O250</f>
        <v>102799.9</v>
      </c>
      <c r="P208" s="3">
        <f t="shared" si="242"/>
        <v>102478.48</v>
      </c>
      <c r="Q208" s="3">
        <f t="shared" si="242"/>
        <v>0.44</v>
      </c>
      <c r="R208" s="3">
        <f t="shared" si="242"/>
        <v>0.04</v>
      </c>
      <c r="S208" s="3">
        <f t="shared" si="242"/>
        <v>320.98</v>
      </c>
      <c r="T208" s="3">
        <f t="shared" si="242"/>
        <v>0</v>
      </c>
      <c r="U208" s="3">
        <f t="shared" si="242"/>
        <v>24.722910795000001</v>
      </c>
      <c r="V208" s="3">
        <f t="shared" si="242"/>
        <v>0</v>
      </c>
      <c r="W208" s="3">
        <f t="shared" si="242"/>
        <v>0</v>
      </c>
      <c r="X208" s="3">
        <f t="shared" si="242"/>
        <v>298.88</v>
      </c>
      <c r="Y208" s="3">
        <f t="shared" si="242"/>
        <v>155.53</v>
      </c>
      <c r="Z208" s="3">
        <f t="shared" si="242"/>
        <v>0</v>
      </c>
      <c r="AA208" s="3">
        <f t="shared" si="242"/>
        <v>0</v>
      </c>
      <c r="AB208" s="3">
        <f t="shared" si="242"/>
        <v>102799.9</v>
      </c>
      <c r="AC208" s="3">
        <f t="shared" si="242"/>
        <v>102478.48</v>
      </c>
      <c r="AD208" s="3">
        <f t="shared" si="242"/>
        <v>0.44</v>
      </c>
      <c r="AE208" s="3">
        <f t="shared" si="242"/>
        <v>0.04</v>
      </c>
      <c r="AF208" s="3">
        <f t="shared" si="242"/>
        <v>320.98</v>
      </c>
      <c r="AG208" s="3">
        <f t="shared" si="242"/>
        <v>0</v>
      </c>
      <c r="AH208" s="3">
        <f t="shared" si="242"/>
        <v>24.722910795000001</v>
      </c>
      <c r="AI208" s="3">
        <f t="shared" si="242"/>
        <v>0</v>
      </c>
      <c r="AJ208" s="3">
        <f t="shared" si="242"/>
        <v>0</v>
      </c>
      <c r="AK208" s="3">
        <f t="shared" si="242"/>
        <v>298.88</v>
      </c>
      <c r="AL208" s="3">
        <f t="shared" si="242"/>
        <v>155.53</v>
      </c>
      <c r="AM208" s="3">
        <f t="shared" si="242"/>
        <v>0</v>
      </c>
      <c r="AN208" s="3">
        <f t="shared" si="242"/>
        <v>0</v>
      </c>
      <c r="AO208" s="3">
        <f t="shared" si="242"/>
        <v>0</v>
      </c>
      <c r="AP208" s="3">
        <f t="shared" si="242"/>
        <v>0</v>
      </c>
      <c r="AQ208" s="3">
        <f t="shared" si="242"/>
        <v>0</v>
      </c>
      <c r="AR208" s="3">
        <f t="shared" si="242"/>
        <v>103254.31</v>
      </c>
      <c r="AS208" s="3">
        <f t="shared" si="242"/>
        <v>102578.3</v>
      </c>
      <c r="AT208" s="3">
        <f t="shared" si="242"/>
        <v>676.01</v>
      </c>
      <c r="AU208" s="3">
        <f t="shared" ref="AU208:BZ208" si="243">AU250</f>
        <v>0</v>
      </c>
      <c r="AV208" s="3">
        <f t="shared" si="243"/>
        <v>102478.48</v>
      </c>
      <c r="AW208" s="3">
        <f t="shared" si="243"/>
        <v>102478.48</v>
      </c>
      <c r="AX208" s="3">
        <f t="shared" si="243"/>
        <v>0</v>
      </c>
      <c r="AY208" s="3">
        <f t="shared" si="243"/>
        <v>102478.48</v>
      </c>
      <c r="AZ208" s="3">
        <f t="shared" si="243"/>
        <v>0</v>
      </c>
      <c r="BA208" s="3">
        <f t="shared" si="243"/>
        <v>0</v>
      </c>
      <c r="BB208" s="3">
        <f t="shared" si="243"/>
        <v>0</v>
      </c>
      <c r="BC208" s="3">
        <f t="shared" si="243"/>
        <v>0</v>
      </c>
      <c r="BD208" s="3">
        <f t="shared" si="243"/>
        <v>0</v>
      </c>
      <c r="BE208" s="3">
        <f t="shared" si="243"/>
        <v>0</v>
      </c>
      <c r="BF208" s="3">
        <f t="shared" si="243"/>
        <v>0</v>
      </c>
      <c r="BG208" s="3">
        <f t="shared" si="243"/>
        <v>0</v>
      </c>
      <c r="BH208" s="3">
        <f t="shared" si="243"/>
        <v>0</v>
      </c>
      <c r="BI208" s="3">
        <f t="shared" si="243"/>
        <v>0</v>
      </c>
      <c r="BJ208" s="3">
        <f t="shared" si="243"/>
        <v>0</v>
      </c>
      <c r="BK208" s="3">
        <f t="shared" si="243"/>
        <v>0</v>
      </c>
      <c r="BL208" s="3">
        <f t="shared" si="243"/>
        <v>0</v>
      </c>
      <c r="BM208" s="3">
        <f t="shared" si="243"/>
        <v>0</v>
      </c>
      <c r="BN208" s="3">
        <f t="shared" si="243"/>
        <v>0</v>
      </c>
      <c r="BO208" s="3">
        <f t="shared" si="243"/>
        <v>0</v>
      </c>
      <c r="BP208" s="3">
        <f t="shared" si="243"/>
        <v>0</v>
      </c>
      <c r="BQ208" s="3">
        <f t="shared" si="243"/>
        <v>0</v>
      </c>
      <c r="BR208" s="3">
        <f t="shared" si="243"/>
        <v>0</v>
      </c>
      <c r="BS208" s="3">
        <f t="shared" si="243"/>
        <v>0</v>
      </c>
      <c r="BT208" s="3">
        <f t="shared" si="243"/>
        <v>0</v>
      </c>
      <c r="BU208" s="3">
        <f t="shared" si="243"/>
        <v>0</v>
      </c>
      <c r="BV208" s="3">
        <f t="shared" si="243"/>
        <v>0</v>
      </c>
      <c r="BW208" s="3">
        <f t="shared" si="243"/>
        <v>0</v>
      </c>
      <c r="BX208" s="3">
        <f t="shared" si="243"/>
        <v>0</v>
      </c>
      <c r="BY208" s="3">
        <f t="shared" si="243"/>
        <v>0</v>
      </c>
      <c r="BZ208" s="3">
        <f t="shared" si="243"/>
        <v>0</v>
      </c>
      <c r="CA208" s="3">
        <f t="shared" ref="CA208:DF208" si="244">CA250</f>
        <v>103254.31</v>
      </c>
      <c r="CB208" s="3">
        <f t="shared" si="244"/>
        <v>102578.3</v>
      </c>
      <c r="CC208" s="3">
        <f t="shared" si="244"/>
        <v>676.01</v>
      </c>
      <c r="CD208" s="3">
        <f t="shared" si="244"/>
        <v>0</v>
      </c>
      <c r="CE208" s="3">
        <f t="shared" si="244"/>
        <v>102478.48</v>
      </c>
      <c r="CF208" s="3">
        <f t="shared" si="244"/>
        <v>102478.48</v>
      </c>
      <c r="CG208" s="3">
        <f t="shared" si="244"/>
        <v>0</v>
      </c>
      <c r="CH208" s="3">
        <f t="shared" si="244"/>
        <v>102478.48</v>
      </c>
      <c r="CI208" s="3">
        <f t="shared" si="244"/>
        <v>0</v>
      </c>
      <c r="CJ208" s="3">
        <f t="shared" si="244"/>
        <v>0</v>
      </c>
      <c r="CK208" s="3">
        <f t="shared" si="244"/>
        <v>0</v>
      </c>
      <c r="CL208" s="3">
        <f t="shared" si="244"/>
        <v>0</v>
      </c>
      <c r="CM208" s="3">
        <f t="shared" si="244"/>
        <v>0</v>
      </c>
      <c r="CN208" s="3">
        <f t="shared" si="244"/>
        <v>0</v>
      </c>
      <c r="CO208" s="3">
        <f t="shared" si="244"/>
        <v>0</v>
      </c>
      <c r="CP208" s="3">
        <f t="shared" si="244"/>
        <v>0</v>
      </c>
      <c r="CQ208" s="3">
        <f t="shared" si="244"/>
        <v>0</v>
      </c>
      <c r="CR208" s="3">
        <f t="shared" si="244"/>
        <v>0</v>
      </c>
      <c r="CS208" s="3">
        <f t="shared" si="244"/>
        <v>0</v>
      </c>
      <c r="CT208" s="3">
        <f t="shared" si="244"/>
        <v>0</v>
      </c>
      <c r="CU208" s="3">
        <f t="shared" si="244"/>
        <v>0</v>
      </c>
      <c r="CV208" s="3">
        <f t="shared" si="244"/>
        <v>0</v>
      </c>
      <c r="CW208" s="3">
        <f t="shared" si="244"/>
        <v>0</v>
      </c>
      <c r="CX208" s="3">
        <f t="shared" si="244"/>
        <v>0</v>
      </c>
      <c r="CY208" s="3">
        <f t="shared" si="244"/>
        <v>0</v>
      </c>
      <c r="CZ208" s="3">
        <f t="shared" si="244"/>
        <v>0</v>
      </c>
      <c r="DA208" s="3">
        <f t="shared" si="244"/>
        <v>0</v>
      </c>
      <c r="DB208" s="3">
        <f t="shared" si="244"/>
        <v>0</v>
      </c>
      <c r="DC208" s="3">
        <f t="shared" si="244"/>
        <v>0</v>
      </c>
      <c r="DD208" s="3">
        <f t="shared" si="244"/>
        <v>0</v>
      </c>
      <c r="DE208" s="3">
        <f t="shared" si="244"/>
        <v>0</v>
      </c>
      <c r="DF208" s="3">
        <f t="shared" si="244"/>
        <v>0</v>
      </c>
      <c r="DG208" s="4">
        <f t="shared" ref="DG208:EL208" si="245">DG250</f>
        <v>1129004.6399999999</v>
      </c>
      <c r="DH208" s="4">
        <f t="shared" si="245"/>
        <v>1111348.3</v>
      </c>
      <c r="DI208" s="4">
        <f t="shared" si="245"/>
        <v>5.65</v>
      </c>
      <c r="DJ208" s="4">
        <f t="shared" si="245"/>
        <v>2.2000000000000002</v>
      </c>
      <c r="DK208" s="4">
        <f t="shared" si="245"/>
        <v>17650.689999999999</v>
      </c>
      <c r="DL208" s="4">
        <f t="shared" si="245"/>
        <v>0</v>
      </c>
      <c r="DM208" s="4">
        <f t="shared" si="245"/>
        <v>24.722910795000001</v>
      </c>
      <c r="DN208" s="4">
        <f t="shared" si="245"/>
        <v>0</v>
      </c>
      <c r="DO208" s="4">
        <f t="shared" si="245"/>
        <v>0</v>
      </c>
      <c r="DP208" s="4">
        <f t="shared" si="245"/>
        <v>16435.29</v>
      </c>
      <c r="DQ208" s="4">
        <f t="shared" si="245"/>
        <v>8552.7199999999993</v>
      </c>
      <c r="DR208" s="4">
        <f t="shared" si="245"/>
        <v>0</v>
      </c>
      <c r="DS208" s="4">
        <f t="shared" si="245"/>
        <v>0</v>
      </c>
      <c r="DT208" s="4">
        <f t="shared" si="245"/>
        <v>1129004.6399999999</v>
      </c>
      <c r="DU208" s="4">
        <f t="shared" si="245"/>
        <v>1111348.3</v>
      </c>
      <c r="DV208" s="4">
        <f t="shared" si="245"/>
        <v>5.65</v>
      </c>
      <c r="DW208" s="4">
        <f t="shared" si="245"/>
        <v>2.2000000000000002</v>
      </c>
      <c r="DX208" s="4">
        <f t="shared" si="245"/>
        <v>17650.689999999999</v>
      </c>
      <c r="DY208" s="4">
        <f t="shared" si="245"/>
        <v>0</v>
      </c>
      <c r="DZ208" s="4">
        <f t="shared" si="245"/>
        <v>24.722910795000001</v>
      </c>
      <c r="EA208" s="4">
        <f t="shared" si="245"/>
        <v>0</v>
      </c>
      <c r="EB208" s="4">
        <f t="shared" si="245"/>
        <v>0</v>
      </c>
      <c r="EC208" s="4">
        <f t="shared" si="245"/>
        <v>16435.29</v>
      </c>
      <c r="ED208" s="4">
        <f t="shared" si="245"/>
        <v>8552.7199999999993</v>
      </c>
      <c r="EE208" s="4">
        <f t="shared" si="245"/>
        <v>0</v>
      </c>
      <c r="EF208" s="4">
        <f t="shared" si="245"/>
        <v>0</v>
      </c>
      <c r="EG208" s="4">
        <f t="shared" si="245"/>
        <v>0</v>
      </c>
      <c r="EH208" s="4">
        <f t="shared" si="245"/>
        <v>0</v>
      </c>
      <c r="EI208" s="4">
        <f t="shared" si="245"/>
        <v>0</v>
      </c>
      <c r="EJ208" s="4">
        <f t="shared" si="245"/>
        <v>1153992.6499999999</v>
      </c>
      <c r="EK208" s="4">
        <f t="shared" si="245"/>
        <v>1118764.05</v>
      </c>
      <c r="EL208" s="4">
        <f t="shared" si="245"/>
        <v>35228.6</v>
      </c>
      <c r="EM208" s="4">
        <f t="shared" ref="EM208:FR208" si="246">EM250</f>
        <v>0</v>
      </c>
      <c r="EN208" s="4">
        <f t="shared" si="246"/>
        <v>1111348.3</v>
      </c>
      <c r="EO208" s="4">
        <f t="shared" si="246"/>
        <v>1111348.3</v>
      </c>
      <c r="EP208" s="4">
        <f t="shared" si="246"/>
        <v>0</v>
      </c>
      <c r="EQ208" s="4">
        <f t="shared" si="246"/>
        <v>1111348.3</v>
      </c>
      <c r="ER208" s="4">
        <f t="shared" si="246"/>
        <v>0</v>
      </c>
      <c r="ES208" s="4">
        <f t="shared" si="246"/>
        <v>0</v>
      </c>
      <c r="ET208" s="4">
        <f t="shared" si="246"/>
        <v>0</v>
      </c>
      <c r="EU208" s="4">
        <f t="shared" si="246"/>
        <v>0</v>
      </c>
      <c r="EV208" s="4">
        <f t="shared" si="246"/>
        <v>0</v>
      </c>
      <c r="EW208" s="4">
        <f t="shared" si="246"/>
        <v>0</v>
      </c>
      <c r="EX208" s="4">
        <f t="shared" si="246"/>
        <v>0</v>
      </c>
      <c r="EY208" s="4">
        <f t="shared" si="246"/>
        <v>0</v>
      </c>
      <c r="EZ208" s="4">
        <f t="shared" si="246"/>
        <v>0</v>
      </c>
      <c r="FA208" s="4">
        <f t="shared" si="246"/>
        <v>0</v>
      </c>
      <c r="FB208" s="4">
        <f t="shared" si="246"/>
        <v>0</v>
      </c>
      <c r="FC208" s="4">
        <f t="shared" si="246"/>
        <v>0</v>
      </c>
      <c r="FD208" s="4">
        <f t="shared" si="246"/>
        <v>0</v>
      </c>
      <c r="FE208" s="4">
        <f t="shared" si="246"/>
        <v>0</v>
      </c>
      <c r="FF208" s="4">
        <f t="shared" si="246"/>
        <v>0</v>
      </c>
      <c r="FG208" s="4">
        <f t="shared" si="246"/>
        <v>0</v>
      </c>
      <c r="FH208" s="4">
        <f t="shared" si="246"/>
        <v>0</v>
      </c>
      <c r="FI208" s="4">
        <f t="shared" si="246"/>
        <v>0</v>
      </c>
      <c r="FJ208" s="4">
        <f t="shared" si="246"/>
        <v>0</v>
      </c>
      <c r="FK208" s="4">
        <f t="shared" si="246"/>
        <v>0</v>
      </c>
      <c r="FL208" s="4">
        <f t="shared" si="246"/>
        <v>0</v>
      </c>
      <c r="FM208" s="4">
        <f t="shared" si="246"/>
        <v>0</v>
      </c>
      <c r="FN208" s="4">
        <f t="shared" si="246"/>
        <v>0</v>
      </c>
      <c r="FO208" s="4">
        <f t="shared" si="246"/>
        <v>0</v>
      </c>
      <c r="FP208" s="4">
        <f t="shared" si="246"/>
        <v>0</v>
      </c>
      <c r="FQ208" s="4">
        <f t="shared" si="246"/>
        <v>0</v>
      </c>
      <c r="FR208" s="4">
        <f t="shared" si="246"/>
        <v>0</v>
      </c>
      <c r="FS208" s="4">
        <f t="shared" ref="FS208:GX208" si="247">FS250</f>
        <v>1153992.6499999999</v>
      </c>
      <c r="FT208" s="4">
        <f t="shared" si="247"/>
        <v>1118764.05</v>
      </c>
      <c r="FU208" s="4">
        <f t="shared" si="247"/>
        <v>35228.6</v>
      </c>
      <c r="FV208" s="4">
        <f t="shared" si="247"/>
        <v>0</v>
      </c>
      <c r="FW208" s="4">
        <f t="shared" si="247"/>
        <v>1111348.3</v>
      </c>
      <c r="FX208" s="4">
        <f t="shared" si="247"/>
        <v>1111348.3</v>
      </c>
      <c r="FY208" s="4">
        <f t="shared" si="247"/>
        <v>0</v>
      </c>
      <c r="FZ208" s="4">
        <f t="shared" si="247"/>
        <v>1111348.3</v>
      </c>
      <c r="GA208" s="4">
        <f t="shared" si="247"/>
        <v>0</v>
      </c>
      <c r="GB208" s="4">
        <f t="shared" si="247"/>
        <v>0</v>
      </c>
      <c r="GC208" s="4">
        <f t="shared" si="247"/>
        <v>0</v>
      </c>
      <c r="GD208" s="4">
        <f t="shared" si="247"/>
        <v>0</v>
      </c>
      <c r="GE208" s="4">
        <f t="shared" si="247"/>
        <v>0</v>
      </c>
      <c r="GF208" s="4">
        <f t="shared" si="247"/>
        <v>0</v>
      </c>
      <c r="GG208" s="4">
        <f t="shared" si="247"/>
        <v>0</v>
      </c>
      <c r="GH208" s="4">
        <f t="shared" si="247"/>
        <v>0</v>
      </c>
      <c r="GI208" s="4">
        <f t="shared" si="247"/>
        <v>0</v>
      </c>
      <c r="GJ208" s="4">
        <f t="shared" si="247"/>
        <v>0</v>
      </c>
      <c r="GK208" s="4">
        <f t="shared" si="247"/>
        <v>0</v>
      </c>
      <c r="GL208" s="4">
        <f t="shared" si="247"/>
        <v>0</v>
      </c>
      <c r="GM208" s="4">
        <f t="shared" si="247"/>
        <v>0</v>
      </c>
      <c r="GN208" s="4">
        <f t="shared" si="247"/>
        <v>0</v>
      </c>
      <c r="GO208" s="4">
        <f t="shared" si="247"/>
        <v>0</v>
      </c>
      <c r="GP208" s="4">
        <f t="shared" si="247"/>
        <v>0</v>
      </c>
      <c r="GQ208" s="4">
        <f t="shared" si="247"/>
        <v>0</v>
      </c>
      <c r="GR208" s="4">
        <f t="shared" si="247"/>
        <v>0</v>
      </c>
      <c r="GS208" s="4">
        <f t="shared" si="247"/>
        <v>0</v>
      </c>
      <c r="GT208" s="4">
        <f t="shared" si="247"/>
        <v>0</v>
      </c>
      <c r="GU208" s="4">
        <f t="shared" si="247"/>
        <v>0</v>
      </c>
      <c r="GV208" s="4">
        <f t="shared" si="247"/>
        <v>0</v>
      </c>
      <c r="GW208" s="4">
        <f t="shared" si="247"/>
        <v>0</v>
      </c>
      <c r="GX208" s="4">
        <f t="shared" si="247"/>
        <v>0</v>
      </c>
    </row>
    <row r="210" spans="1:255" x14ac:dyDescent="0.2">
      <c r="A210" s="2">
        <v>17</v>
      </c>
      <c r="B210" s="2">
        <v>1</v>
      </c>
      <c r="C210" s="2"/>
      <c r="D210" s="2"/>
      <c r="E210" s="2" t="s">
        <v>294</v>
      </c>
      <c r="F210" s="2" t="s">
        <v>295</v>
      </c>
      <c r="G210" s="2" t="s">
        <v>627</v>
      </c>
      <c r="H210" s="2" t="s">
        <v>31</v>
      </c>
      <c r="I210" s="2">
        <v>120</v>
      </c>
      <c r="J210" s="2">
        <v>0</v>
      </c>
      <c r="K210" s="2">
        <v>120</v>
      </c>
      <c r="L210" s="2"/>
      <c r="M210" s="2"/>
      <c r="N210" s="2"/>
      <c r="O210" s="2">
        <f t="shared" ref="O210:O241" si="248">ROUND(CP210,2)</f>
        <v>6800.4</v>
      </c>
      <c r="P210" s="2">
        <f t="shared" ref="P210:P241" si="249">ROUND((ROUND((AC210*AW210*I210),2)*BC210),2)</f>
        <v>6800.4</v>
      </c>
      <c r="Q210" s="2">
        <f>(ROUND((ROUND(((ET210)*AV210*I210),2)*BB210),2)+ROUND((ROUND(((AE210-(EU210))*AV210*I210),2)*BS210),2))</f>
        <v>0</v>
      </c>
      <c r="R210" s="2">
        <f>(ROUND((ROUND(((EU210)*AV210*I210),2)*BS210),2)+ROUND((ROUND(((AE210-(EU210))*AV210*I210),2)*BS210),2))</f>
        <v>0</v>
      </c>
      <c r="S210" s="2">
        <f t="shared" ref="S210:S241" si="250">ROUND((ROUND((AF210*AV210*I210),2)*BA210),2)</f>
        <v>0</v>
      </c>
      <c r="T210" s="2">
        <f t="shared" ref="T210:T241" si="251">ROUND(CU210*I210,2)</f>
        <v>0</v>
      </c>
      <c r="U210" s="2">
        <f t="shared" ref="U210:U241" si="252">CV210*I210</f>
        <v>0</v>
      </c>
      <c r="V210" s="2">
        <f t="shared" ref="V210:V241" si="253">CW210*I210</f>
        <v>0</v>
      </c>
      <c r="W210" s="2">
        <f t="shared" ref="W210:W241" si="254">ROUND(CX210*I210,2)</f>
        <v>0</v>
      </c>
      <c r="X210" s="2">
        <f>(ROUND((((S210+ROUND((ROUND(((EU210)*AV210*I210),2)*BS210),2))*AT210)/100),2)+ROUND(((ROUND((ROUND(((AE210-(EU210))*AV210*I210),2)*BS210),2)*AT210)/100),2))</f>
        <v>0</v>
      </c>
      <c r="Y210" s="2">
        <f>(ROUND((((S210+ROUND((ROUND(((EU210)*AV210*I210),2)*BS210),2))*AU210)/100),2)+ROUND(((ROUND((ROUND(((AE210-(EU210))*AV210*I210),2)*BS210),2)*AU210)/100),2))</f>
        <v>0</v>
      </c>
      <c r="Z210" s="2"/>
      <c r="AA210" s="2">
        <v>60255014</v>
      </c>
      <c r="AB210" s="2">
        <f t="shared" ref="AB210:AB241" si="255">ROUND((AC210+AD210+AF210),6)</f>
        <v>56.67</v>
      </c>
      <c r="AC210" s="2">
        <f t="shared" ref="AC210:AC241" si="256">ROUND((ES210),6)</f>
        <v>56.67</v>
      </c>
      <c r="AD210" s="2">
        <f>ROUND((((ET210)-(EU210))+AE210),6)</f>
        <v>0</v>
      </c>
      <c r="AE210" s="2">
        <f>ROUND((EU210),6)</f>
        <v>0</v>
      </c>
      <c r="AF210" s="2">
        <f>ROUND((EV210),6)</f>
        <v>0</v>
      </c>
      <c r="AG210" s="2">
        <f t="shared" ref="AG210:AG241" si="257">ROUND((AP210),6)</f>
        <v>0</v>
      </c>
      <c r="AH210" s="2">
        <f>(EW210)</f>
        <v>0</v>
      </c>
      <c r="AI210" s="2">
        <f>(EX210)</f>
        <v>0</v>
      </c>
      <c r="AJ210" s="2">
        <f t="shared" ref="AJ210:AJ241" si="258">(AS210)</f>
        <v>0</v>
      </c>
      <c r="AK210" s="2">
        <v>56.67</v>
      </c>
      <c r="AL210" s="2">
        <v>56.67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296</v>
      </c>
      <c r="BK210" s="2"/>
      <c r="BL210" s="2"/>
      <c r="BM210" s="2">
        <v>1617</v>
      </c>
      <c r="BN210" s="2">
        <v>58973374</v>
      </c>
      <c r="BO210" s="2" t="s">
        <v>3</v>
      </c>
      <c r="BP210" s="2">
        <v>0</v>
      </c>
      <c r="BQ210" s="2">
        <v>200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ref="CP210:CP241" si="259">(P210+Q210+S210)</f>
        <v>6800.4</v>
      </c>
      <c r="CQ210" s="2">
        <f t="shared" ref="CQ210:CQ241" si="260">ROUND((ROUND((AC210*AW210*1),2)*BC210),2)</f>
        <v>56.67</v>
      </c>
      <c r="CR210" s="2">
        <f>(ROUND((ROUND(((ET210)*AV210*1),2)*BB210),2)+ROUND((ROUND(((AE210-(EU210))*AV210*1),2)*BS210),2))</f>
        <v>0</v>
      </c>
      <c r="CS210" s="2">
        <f>(ROUND((ROUND(((EU210)*AV210*1),2)*BS210),2)+ROUND((ROUND(((AE210-(EU210))*AV210*1),2)*BS210),2))</f>
        <v>0</v>
      </c>
      <c r="CT210" s="2">
        <f t="shared" ref="CT210:CT241" si="261">ROUND((ROUND((AF210*AV210*1),2)*BA210),2)</f>
        <v>0</v>
      </c>
      <c r="CU210" s="2">
        <f t="shared" ref="CU210:CU241" si="262">AG210</f>
        <v>0</v>
      </c>
      <c r="CV210" s="2">
        <f t="shared" ref="CV210:CV241" si="263">(AH210*AV210)</f>
        <v>0</v>
      </c>
      <c r="CW210" s="2">
        <f t="shared" ref="CW210:CW241" si="264">AI210</f>
        <v>0</v>
      </c>
      <c r="CX210" s="2">
        <f t="shared" ref="CX210:CX241" si="265">AJ210</f>
        <v>0</v>
      </c>
      <c r="CY210" s="2">
        <f>(ROUND((((S210+ROUND((ROUND(((EU210)*AV210*1),2)*BS210),2))*AT210)/100),2)+ROUND(((ROUND((ROUND(((AE210-(EU210))*AV210*1),2)*BS210),2)*AT210)/100),2))</f>
        <v>0</v>
      </c>
      <c r="CZ210" s="2">
        <f>(ROUND((((S210+ROUND((ROUND(((EU210)*AV210*1),2)*BS210),2))*AU210)/100),2)+ROUND(((ROUND((ROUND(((AE210-(EU210))*AV210*1),2)*BS210),2)*AU210)/100),2))</f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1010</v>
      </c>
      <c r="DV210" s="2" t="s">
        <v>31</v>
      </c>
      <c r="DW210" s="2" t="s">
        <v>31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60088328</v>
      </c>
      <c r="EF210" s="2">
        <v>200</v>
      </c>
      <c r="EG210" s="2" t="s">
        <v>210</v>
      </c>
      <c r="EH210" s="2">
        <v>0</v>
      </c>
      <c r="EI210" s="2" t="s">
        <v>3</v>
      </c>
      <c r="EJ210" s="2">
        <v>1</v>
      </c>
      <c r="EK210" s="2">
        <v>1617</v>
      </c>
      <c r="EL210" s="2" t="s">
        <v>211</v>
      </c>
      <c r="EM210" s="2" t="s">
        <v>212</v>
      </c>
      <c r="EN210" s="2"/>
      <c r="EO210" s="2" t="s">
        <v>3</v>
      </c>
      <c r="EP210" s="2"/>
      <c r="EQ210" s="2">
        <v>0</v>
      </c>
      <c r="ER210" s="2">
        <v>56.67</v>
      </c>
      <c r="ES210" s="2">
        <v>56.67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3</v>
      </c>
      <c r="GB210" s="2"/>
      <c r="GC210" s="2"/>
      <c r="GD210" s="2">
        <v>1</v>
      </c>
      <c r="GE210" s="2"/>
      <c r="GF210" s="2">
        <v>-273352828</v>
      </c>
      <c r="GG210" s="2">
        <v>2</v>
      </c>
      <c r="GH210" s="2">
        <v>1</v>
      </c>
      <c r="GI210" s="2">
        <v>-2</v>
      </c>
      <c r="GJ210" s="2">
        <v>0</v>
      </c>
      <c r="GK210" s="2">
        <v>0</v>
      </c>
      <c r="GL210" s="2">
        <f t="shared" ref="GL210:GL241" si="266">ROUND(IF(AND(BH210=3,BI210=3,FS210&lt;&gt;0),P210,0),2)</f>
        <v>0</v>
      </c>
      <c r="GM210" s="2">
        <f t="shared" ref="GM210:GM241" si="267">ROUND(O210+X210+Y210,2)+GX210</f>
        <v>6800.4</v>
      </c>
      <c r="GN210" s="2">
        <f t="shared" ref="GN210:GN241" si="268">IF(OR(BI210=0,BI210=1),GM210-GX210,0)</f>
        <v>6800.4</v>
      </c>
      <c r="GO210" s="2">
        <f t="shared" ref="GO210:GO241" si="269">IF(BI210=2,GM210-GX210,0)</f>
        <v>0</v>
      </c>
      <c r="GP210" s="2">
        <f t="shared" ref="GP210:GP241" si="270">IF(BI210=4,GM210-GX210,0)</f>
        <v>0</v>
      </c>
      <c r="GQ210" s="2"/>
      <c r="GR210" s="2">
        <v>0</v>
      </c>
      <c r="GS210" s="2">
        <v>3</v>
      </c>
      <c r="GT210" s="2">
        <v>0</v>
      </c>
      <c r="GU210" s="2" t="s">
        <v>3</v>
      </c>
      <c r="GV210" s="2">
        <f t="shared" ref="GV210:GV241" si="271">ROUND((GT210),6)</f>
        <v>0</v>
      </c>
      <c r="GW210" s="2">
        <v>1</v>
      </c>
      <c r="GX210" s="2">
        <f t="shared" ref="GX210:GX241" si="272">ROUND(HC210*I210,2)</f>
        <v>0</v>
      </c>
      <c r="GY210" s="2"/>
      <c r="GZ210" s="2"/>
      <c r="HA210" s="2">
        <v>0</v>
      </c>
      <c r="HB210" s="2">
        <v>0</v>
      </c>
      <c r="HC210" s="2">
        <f t="shared" ref="HC210:HC241" si="273">GV210*GW210</f>
        <v>0</v>
      </c>
      <c r="HD210" s="2"/>
      <c r="HE210" s="2" t="s">
        <v>3</v>
      </c>
      <c r="HF210" s="2" t="s">
        <v>3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>
        <v>17</v>
      </c>
      <c r="B211">
        <v>1</v>
      </c>
      <c r="E211" t="s">
        <v>294</v>
      </c>
      <c r="F211" t="s">
        <v>295</v>
      </c>
      <c r="G211" t="s">
        <v>627</v>
      </c>
      <c r="H211" t="s">
        <v>31</v>
      </c>
      <c r="I211">
        <v>120</v>
      </c>
      <c r="J211">
        <v>0</v>
      </c>
      <c r="K211">
        <v>120</v>
      </c>
      <c r="O211">
        <f t="shared" si="248"/>
        <v>173478.2</v>
      </c>
      <c r="P211">
        <f t="shared" si="249"/>
        <v>173478.2</v>
      </c>
      <c r="Q211">
        <f>(ROUND((ROUND(((ET211)*AV211*I211),2)*BB211),2)+ROUND((ROUND(((AE211-(EU211))*AV211*I211),2)*BS211),2))</f>
        <v>0</v>
      </c>
      <c r="R211">
        <f>(ROUND((ROUND(((EU211)*AV211*I211),2)*BS211),2)+ROUND((ROUND(((AE211-(EU211))*AV211*I211),2)*BS211),2))</f>
        <v>0</v>
      </c>
      <c r="S211">
        <f t="shared" si="250"/>
        <v>0</v>
      </c>
      <c r="T211">
        <f t="shared" si="251"/>
        <v>0</v>
      </c>
      <c r="U211">
        <f t="shared" si="252"/>
        <v>0</v>
      </c>
      <c r="V211">
        <f t="shared" si="253"/>
        <v>0</v>
      </c>
      <c r="W211">
        <f t="shared" si="254"/>
        <v>0</v>
      </c>
      <c r="X211">
        <f>(ROUND((((S211+ROUND((ROUND(((EU211)*AV211*I211),2)*BS211),2))*AT211)/100),2)+ROUND(((ROUND((ROUND(((AE211-(EU211))*AV211*I211),2)*BS211),2)*AT211)/100),2))</f>
        <v>0</v>
      </c>
      <c r="Y211">
        <f>(ROUND((((S211+ROUND((ROUND(((EU211)*AV211*I211),2)*BS211),2))*AU211)/100),2)+ROUND(((ROUND((ROUND(((AE211-(EU211))*AV211*I211),2)*BS211),2)*AU211)/100),2))</f>
        <v>0</v>
      </c>
      <c r="AA211">
        <v>60255011</v>
      </c>
      <c r="AB211">
        <f t="shared" si="255"/>
        <v>56.67</v>
      </c>
      <c r="AC211">
        <f t="shared" si="256"/>
        <v>56.67</v>
      </c>
      <c r="AD211">
        <f>ROUND((((ET211)-(EU211))+AE211),6)</f>
        <v>0</v>
      </c>
      <c r="AE211">
        <f>ROUND((EU211),6)</f>
        <v>0</v>
      </c>
      <c r="AF211">
        <f>ROUND((EV211),6)</f>
        <v>0</v>
      </c>
      <c r="AG211">
        <f t="shared" si="257"/>
        <v>0</v>
      </c>
      <c r="AH211">
        <f>(EW211)</f>
        <v>0</v>
      </c>
      <c r="AI211">
        <f>(EX211)</f>
        <v>0</v>
      </c>
      <c r="AJ211">
        <f t="shared" si="258"/>
        <v>0</v>
      </c>
      <c r="AK211">
        <v>56.67</v>
      </c>
      <c r="AL211">
        <v>56.67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Z211">
        <v>1</v>
      </c>
      <c r="BA211">
        <v>1</v>
      </c>
      <c r="BB211">
        <v>1</v>
      </c>
      <c r="BC211">
        <v>25.51</v>
      </c>
      <c r="BD211" t="s">
        <v>3</v>
      </c>
      <c r="BE211" t="s">
        <v>3</v>
      </c>
      <c r="BF211" t="s">
        <v>3</v>
      </c>
      <c r="BG211" t="s">
        <v>3</v>
      </c>
      <c r="BH211">
        <v>3</v>
      </c>
      <c r="BI211">
        <v>1</v>
      </c>
      <c r="BJ211" t="s">
        <v>296</v>
      </c>
      <c r="BM211">
        <v>1617</v>
      </c>
      <c r="BN211">
        <v>58973374</v>
      </c>
      <c r="BO211" t="s">
        <v>295</v>
      </c>
      <c r="BP211">
        <v>1</v>
      </c>
      <c r="BQ211">
        <v>200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 t="s">
        <v>3</v>
      </c>
      <c r="BZ211">
        <v>0</v>
      </c>
      <c r="CA211">
        <v>0</v>
      </c>
      <c r="CB211" t="s">
        <v>3</v>
      </c>
      <c r="CE211">
        <v>1566</v>
      </c>
      <c r="CF211">
        <v>0</v>
      </c>
      <c r="CG211">
        <v>0</v>
      </c>
      <c r="CM211">
        <v>0</v>
      </c>
      <c r="CN211" t="s">
        <v>3</v>
      </c>
      <c r="CO211">
        <v>0</v>
      </c>
      <c r="CP211">
        <f t="shared" si="259"/>
        <v>173478.2</v>
      </c>
      <c r="CQ211">
        <f t="shared" si="260"/>
        <v>1445.65</v>
      </c>
      <c r="CR211">
        <f>(ROUND((ROUND(((ET211)*AV211*1),2)*BB211),2)+ROUND((ROUND(((AE211-(EU211))*AV211*1),2)*BS211),2))</f>
        <v>0</v>
      </c>
      <c r="CS211">
        <f>(ROUND((ROUND(((EU211)*AV211*1),2)*BS211),2)+ROUND((ROUND(((AE211-(EU211))*AV211*1),2)*BS211),2))</f>
        <v>0</v>
      </c>
      <c r="CT211">
        <f t="shared" si="261"/>
        <v>0</v>
      </c>
      <c r="CU211">
        <f t="shared" si="262"/>
        <v>0</v>
      </c>
      <c r="CV211">
        <f t="shared" si="263"/>
        <v>0</v>
      </c>
      <c r="CW211">
        <f t="shared" si="264"/>
        <v>0</v>
      </c>
      <c r="CX211">
        <f t="shared" si="265"/>
        <v>0</v>
      </c>
      <c r="CY211">
        <f>(ROUND((((S211+ROUND((ROUND(((EU211)*AV211*1),2)*BS211),2))*AT211)/100),2)+ROUND(((ROUND((ROUND(((AE211-(EU211))*AV211*1),2)*BS211),2)*AT211)/100),2))</f>
        <v>0</v>
      </c>
      <c r="CZ211">
        <f>(ROUND((((S211+ROUND((ROUND(((EU211)*AV211*1),2)*BS211),2))*AU211)/100),2)+ROUND(((ROUND((ROUND(((AE211-(EU211))*AV211*1),2)*BS211),2)*AU211)/100),2))</f>
        <v>0</v>
      </c>
      <c r="DC211" t="s">
        <v>3</v>
      </c>
      <c r="DD211" t="s">
        <v>3</v>
      </c>
      <c r="DE211" t="s">
        <v>3</v>
      </c>
      <c r="DF211" t="s">
        <v>3</v>
      </c>
      <c r="DG211" t="s">
        <v>3</v>
      </c>
      <c r="DH211" t="s">
        <v>3</v>
      </c>
      <c r="DI211" t="s">
        <v>3</v>
      </c>
      <c r="DJ211" t="s">
        <v>3</v>
      </c>
      <c r="DK211" t="s">
        <v>3</v>
      </c>
      <c r="DL211" t="s">
        <v>3</v>
      </c>
      <c r="DM211" t="s">
        <v>3</v>
      </c>
      <c r="DN211">
        <v>0</v>
      </c>
      <c r="DO211">
        <v>0</v>
      </c>
      <c r="DP211">
        <v>1</v>
      </c>
      <c r="DQ211">
        <v>1</v>
      </c>
      <c r="DU211">
        <v>1010</v>
      </c>
      <c r="DV211" t="s">
        <v>31</v>
      </c>
      <c r="DW211" t="s">
        <v>31</v>
      </c>
      <c r="DX211">
        <v>1</v>
      </c>
      <c r="DZ211" t="s">
        <v>3</v>
      </c>
      <c r="EA211" t="s">
        <v>3</v>
      </c>
      <c r="EB211" t="s">
        <v>3</v>
      </c>
      <c r="EC211" t="s">
        <v>3</v>
      </c>
      <c r="EE211">
        <v>60088328</v>
      </c>
      <c r="EF211">
        <v>200</v>
      </c>
      <c r="EG211" t="s">
        <v>210</v>
      </c>
      <c r="EH211">
        <v>0</v>
      </c>
      <c r="EI211" t="s">
        <v>3</v>
      </c>
      <c r="EJ211">
        <v>1</v>
      </c>
      <c r="EK211">
        <v>1617</v>
      </c>
      <c r="EL211" t="s">
        <v>211</v>
      </c>
      <c r="EM211" t="s">
        <v>212</v>
      </c>
      <c r="EO211" t="s">
        <v>3</v>
      </c>
      <c r="EQ211">
        <v>0</v>
      </c>
      <c r="ER211">
        <v>56.67</v>
      </c>
      <c r="ES211">
        <v>56.67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FQ211">
        <v>0</v>
      </c>
      <c r="FR211">
        <v>0</v>
      </c>
      <c r="FS211">
        <v>0</v>
      </c>
      <c r="FX211">
        <v>0</v>
      </c>
      <c r="FY211">
        <v>0</v>
      </c>
      <c r="GA211" t="s">
        <v>3</v>
      </c>
      <c r="GD211">
        <v>1</v>
      </c>
      <c r="GF211">
        <v>-273352828</v>
      </c>
      <c r="GG211">
        <v>2</v>
      </c>
      <c r="GH211">
        <v>1</v>
      </c>
      <c r="GI211">
        <v>2</v>
      </c>
      <c r="GJ211">
        <v>0</v>
      </c>
      <c r="GK211">
        <v>0</v>
      </c>
      <c r="GL211">
        <f t="shared" si="266"/>
        <v>0</v>
      </c>
      <c r="GM211">
        <f t="shared" si="267"/>
        <v>173478.2</v>
      </c>
      <c r="GN211">
        <f t="shared" si="268"/>
        <v>173478.2</v>
      </c>
      <c r="GO211">
        <f t="shared" si="269"/>
        <v>0</v>
      </c>
      <c r="GP211">
        <f t="shared" si="270"/>
        <v>0</v>
      </c>
      <c r="GR211">
        <v>0</v>
      </c>
      <c r="GS211">
        <v>3</v>
      </c>
      <c r="GT211">
        <v>0</v>
      </c>
      <c r="GU211" t="s">
        <v>3</v>
      </c>
      <c r="GV211">
        <f t="shared" si="271"/>
        <v>0</v>
      </c>
      <c r="GW211">
        <v>1</v>
      </c>
      <c r="GX211">
        <f t="shared" si="272"/>
        <v>0</v>
      </c>
      <c r="HA211">
        <v>0</v>
      </c>
      <c r="HB211">
        <v>0</v>
      </c>
      <c r="HC211">
        <f t="shared" si="273"/>
        <v>0</v>
      </c>
      <c r="HE211" t="s">
        <v>3</v>
      </c>
      <c r="HF211" t="s">
        <v>3</v>
      </c>
      <c r="HM211" t="s">
        <v>3</v>
      </c>
      <c r="HN211" t="s">
        <v>3</v>
      </c>
      <c r="HO211" t="s">
        <v>3</v>
      </c>
      <c r="HP211" t="s">
        <v>3</v>
      </c>
      <c r="HQ211" t="s">
        <v>3</v>
      </c>
      <c r="HS211">
        <v>0</v>
      </c>
      <c r="IK211">
        <v>0</v>
      </c>
    </row>
    <row r="212" spans="1:255" x14ac:dyDescent="0.2">
      <c r="A212" s="2">
        <v>17</v>
      </c>
      <c r="B212" s="2">
        <v>1</v>
      </c>
      <c r="C212" s="2">
        <f>ROW(SmtRes!A256)</f>
        <v>256</v>
      </c>
      <c r="D212" s="2">
        <f>ROW(EtalonRes!A279)</f>
        <v>279</v>
      </c>
      <c r="E212" s="2" t="s">
        <v>297</v>
      </c>
      <c r="F212" s="2" t="s">
        <v>298</v>
      </c>
      <c r="G212" s="2" t="s">
        <v>299</v>
      </c>
      <c r="H212" s="2" t="s">
        <v>300</v>
      </c>
      <c r="I212" s="2">
        <v>20</v>
      </c>
      <c r="J212" s="2">
        <v>0</v>
      </c>
      <c r="K212" s="2">
        <v>20</v>
      </c>
      <c r="L212" s="2"/>
      <c r="M212" s="2"/>
      <c r="N212" s="2"/>
      <c r="O212" s="2">
        <f t="shared" si="248"/>
        <v>161.05000000000001</v>
      </c>
      <c r="P212" s="2">
        <f t="shared" si="249"/>
        <v>118.4</v>
      </c>
      <c r="Q212" s="2">
        <f>(ROUND((ROUND(((((ET212*1.25)*1.1))*AV212*I212),2)*BB212),2)+ROUND((ROUND(((AE212-(((EU212*1.25)*1.1)))*AV212*I212),2)*BS212),2))</f>
        <v>0</v>
      </c>
      <c r="R212" s="2">
        <f>(ROUND((ROUND(((((EU212*1.25)*1.1))*AV212*I212),2)*BS212),2)+ROUND((ROUND(((AE212-(((EU212*1.25)*1.1)))*AV212*I212),2)*BS212),2))</f>
        <v>0</v>
      </c>
      <c r="S212" s="2">
        <f t="shared" si="250"/>
        <v>42.65</v>
      </c>
      <c r="T212" s="2">
        <f t="shared" si="251"/>
        <v>0</v>
      </c>
      <c r="U212" s="2">
        <f t="shared" si="252"/>
        <v>3.2394119999999997</v>
      </c>
      <c r="V212" s="2">
        <f t="shared" si="253"/>
        <v>0</v>
      </c>
      <c r="W212" s="2">
        <f t="shared" si="254"/>
        <v>0</v>
      </c>
      <c r="X212" s="2">
        <f>(ROUND((((S212+ROUND((ROUND(((((EU212*1.25)*1.1))*AV212*I212),2)*BS212),2))*AT212)/100),2)+ROUND(((ROUND((ROUND(((AE212-(((EU212*1.25)*1.1)))*AV212*I212),2)*BS212),2)*AT212)/100),2))</f>
        <v>46.49</v>
      </c>
      <c r="Y212" s="2">
        <f>(ROUND((((S212+ROUND((ROUND(((((EU212*1.25)*1.1))*AV212*I212),2)*BS212),2))*AU212)/100),2)+ROUND(((ROUND((ROUND(((AE212-(((EU212*1.25)*1.1)))*AV212*I212),2)*BS212),2)*AU212)/100),2))</f>
        <v>26.02</v>
      </c>
      <c r="Z212" s="2"/>
      <c r="AA212" s="2">
        <v>60255014</v>
      </c>
      <c r="AB212" s="2">
        <f t="shared" si="255"/>
        <v>7.9187000000000003</v>
      </c>
      <c r="AC212" s="2">
        <f t="shared" si="256"/>
        <v>5.92</v>
      </c>
      <c r="AD212" s="2">
        <f>ROUND((((((ET212*1.25)*1.1))-(((EU212*1.25)*1.1)))+AE212),6)</f>
        <v>0</v>
      </c>
      <c r="AE212" s="2">
        <f>ROUND((((EU212*1.25)*1.1)),6)</f>
        <v>0</v>
      </c>
      <c r="AF212" s="2">
        <f>ROUND((((EV212*1.15)*1.1)),6)</f>
        <v>1.9986999999999999</v>
      </c>
      <c r="AG212" s="2">
        <f t="shared" si="257"/>
        <v>0</v>
      </c>
      <c r="AH212" s="2">
        <f>(((EW212*1.15)*1.1))</f>
        <v>0.15179999999999999</v>
      </c>
      <c r="AI212" s="2">
        <f>(((EX212*1.25)*1.1))</f>
        <v>0</v>
      </c>
      <c r="AJ212" s="2">
        <f t="shared" si="258"/>
        <v>0</v>
      </c>
      <c r="AK212" s="2">
        <v>7.5</v>
      </c>
      <c r="AL212" s="2">
        <v>5.92</v>
      </c>
      <c r="AM212" s="2">
        <v>0</v>
      </c>
      <c r="AN212" s="2">
        <v>0</v>
      </c>
      <c r="AO212" s="2">
        <v>1.58</v>
      </c>
      <c r="AP212" s="2">
        <v>0</v>
      </c>
      <c r="AQ212" s="2">
        <v>0.12</v>
      </c>
      <c r="AR212" s="2">
        <v>0</v>
      </c>
      <c r="AS212" s="2">
        <v>0</v>
      </c>
      <c r="AT212" s="2">
        <v>109</v>
      </c>
      <c r="AU212" s="2">
        <v>61</v>
      </c>
      <c r="AV212" s="2">
        <v>1.0669999999999999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0</v>
      </c>
      <c r="BI212" s="2">
        <v>1</v>
      </c>
      <c r="BJ212" s="2" t="s">
        <v>301</v>
      </c>
      <c r="BK212" s="2"/>
      <c r="BL212" s="2"/>
      <c r="BM212" s="2">
        <v>23</v>
      </c>
      <c r="BN212" s="2">
        <v>58973374</v>
      </c>
      <c r="BO212" s="2" t="s">
        <v>298</v>
      </c>
      <c r="BP212" s="2">
        <v>1</v>
      </c>
      <c r="BQ212" s="2">
        <v>30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109</v>
      </c>
      <c r="CA212" s="2">
        <v>61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625</v>
      </c>
      <c r="CO212" s="2">
        <v>0</v>
      </c>
      <c r="CP212" s="2">
        <f t="shared" si="259"/>
        <v>161.05000000000001</v>
      </c>
      <c r="CQ212" s="2">
        <f t="shared" si="260"/>
        <v>5.92</v>
      </c>
      <c r="CR212" s="2">
        <f>(ROUND((ROUND(((((ET212*1.25)*1.1))*AV212*1),2)*BB212),2)+ROUND((ROUND(((AE212-(((EU212*1.25)*1.1)))*AV212*1),2)*BS212),2))</f>
        <v>0</v>
      </c>
      <c r="CS212" s="2">
        <f>(ROUND((ROUND(((((EU212*1.25)*1.1))*AV212*1),2)*BS212),2)+ROUND((ROUND(((AE212-(((EU212*1.25)*1.1)))*AV212*1),2)*BS212),2))</f>
        <v>0</v>
      </c>
      <c r="CT212" s="2">
        <f t="shared" si="261"/>
        <v>2.13</v>
      </c>
      <c r="CU212" s="2">
        <f t="shared" si="262"/>
        <v>0</v>
      </c>
      <c r="CV212" s="2">
        <f t="shared" si="263"/>
        <v>0.16197059999999999</v>
      </c>
      <c r="CW212" s="2">
        <f t="shared" si="264"/>
        <v>0</v>
      </c>
      <c r="CX212" s="2">
        <f t="shared" si="265"/>
        <v>0</v>
      </c>
      <c r="CY212" s="2">
        <f>(ROUND((((S212+ROUND((ROUND(((((EU212*1.25)*1.1))*AV212*1),2)*BS212),2))*AT212)/100),2)+ROUND(((ROUND((ROUND(((AE212-(((EU212*1.25)*1.1)))*AV212*1),2)*BS212),2)*AT212)/100),2))</f>
        <v>46.49</v>
      </c>
      <c r="CZ212" s="2">
        <f>(ROUND((((S212+ROUND((ROUND(((((EU212*1.25)*1.1))*AV212*1),2)*BS212),2))*AU212)/100),2)+ROUND(((ROUND((ROUND(((AE212-(((EU212*1.25)*1.1)))*AV212*1),2)*BS212),2)*AU212)/100),2))</f>
        <v>26.02</v>
      </c>
      <c r="DA212" s="2"/>
      <c r="DB212" s="2">
        <v>53</v>
      </c>
      <c r="DC212" s="2" t="s">
        <v>3</v>
      </c>
      <c r="DD212" s="2" t="s">
        <v>3</v>
      </c>
      <c r="DE212" s="2" t="s">
        <v>98</v>
      </c>
      <c r="DF212" s="2" t="s">
        <v>98</v>
      </c>
      <c r="DG212" s="2" t="s">
        <v>99</v>
      </c>
      <c r="DH212" s="2" t="s">
        <v>3</v>
      </c>
      <c r="DI212" s="2" t="s">
        <v>99</v>
      </c>
      <c r="DJ212" s="2" t="s">
        <v>98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1013</v>
      </c>
      <c r="DV212" s="2" t="s">
        <v>300</v>
      </c>
      <c r="DW212" s="2" t="s">
        <v>300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60088254</v>
      </c>
      <c r="EF212" s="2">
        <v>30</v>
      </c>
      <c r="EG212" s="2" t="s">
        <v>100</v>
      </c>
      <c r="EH212" s="2">
        <v>0</v>
      </c>
      <c r="EI212" s="2" t="s">
        <v>3</v>
      </c>
      <c r="EJ212" s="2">
        <v>1</v>
      </c>
      <c r="EK212" s="2">
        <v>23</v>
      </c>
      <c r="EL212" s="2" t="s">
        <v>101</v>
      </c>
      <c r="EM212" s="2" t="s">
        <v>102</v>
      </c>
      <c r="EN212" s="2"/>
      <c r="EO212" s="2" t="s">
        <v>103</v>
      </c>
      <c r="EP212" s="2"/>
      <c r="EQ212" s="2">
        <v>0</v>
      </c>
      <c r="ER212" s="2">
        <v>7.5</v>
      </c>
      <c r="ES212" s="2">
        <v>5.92</v>
      </c>
      <c r="ET212" s="2">
        <v>0</v>
      </c>
      <c r="EU212" s="2">
        <v>0</v>
      </c>
      <c r="EV212" s="2">
        <v>1.58</v>
      </c>
      <c r="EW212" s="2">
        <v>0.12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109</v>
      </c>
      <c r="FY212" s="2">
        <v>61</v>
      </c>
      <c r="FZ212" s="2"/>
      <c r="GA212" s="2" t="s">
        <v>3</v>
      </c>
      <c r="GB212" s="2"/>
      <c r="GC212" s="2"/>
      <c r="GD212" s="2">
        <v>1</v>
      </c>
      <c r="GE212" s="2"/>
      <c r="GF212" s="2">
        <v>-310920589</v>
      </c>
      <c r="GG212" s="2">
        <v>2</v>
      </c>
      <c r="GH212" s="2">
        <v>1</v>
      </c>
      <c r="GI212" s="2">
        <v>2</v>
      </c>
      <c r="GJ212" s="2">
        <v>0</v>
      </c>
      <c r="GK212" s="2">
        <v>0</v>
      </c>
      <c r="GL212" s="2">
        <f t="shared" si="266"/>
        <v>0</v>
      </c>
      <c r="GM212" s="2">
        <f t="shared" si="267"/>
        <v>233.56</v>
      </c>
      <c r="GN212" s="2">
        <f t="shared" si="268"/>
        <v>233.56</v>
      </c>
      <c r="GO212" s="2">
        <f t="shared" si="269"/>
        <v>0</v>
      </c>
      <c r="GP212" s="2">
        <f t="shared" si="270"/>
        <v>0</v>
      </c>
      <c r="GQ212" s="2"/>
      <c r="GR212" s="2">
        <v>0</v>
      </c>
      <c r="GS212" s="2">
        <v>3</v>
      </c>
      <c r="GT212" s="2">
        <v>0</v>
      </c>
      <c r="GU212" s="2" t="s">
        <v>3</v>
      </c>
      <c r="GV212" s="2">
        <f t="shared" si="271"/>
        <v>0</v>
      </c>
      <c r="GW212" s="2">
        <v>1</v>
      </c>
      <c r="GX212" s="2">
        <f t="shared" si="272"/>
        <v>0</v>
      </c>
      <c r="GY212" s="2"/>
      <c r="GZ212" s="2"/>
      <c r="HA212" s="2">
        <v>0</v>
      </c>
      <c r="HB212" s="2">
        <v>0</v>
      </c>
      <c r="HC212" s="2">
        <f t="shared" si="273"/>
        <v>0</v>
      </c>
      <c r="HD212" s="2"/>
      <c r="HE212" s="2" t="s">
        <v>3</v>
      </c>
      <c r="HF212" s="2" t="s">
        <v>3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>
        <v>17</v>
      </c>
      <c r="B213">
        <v>1</v>
      </c>
      <c r="C213">
        <f>ROW(SmtRes!A262)</f>
        <v>262</v>
      </c>
      <c r="D213">
        <f>ROW(EtalonRes!A284)</f>
        <v>284</v>
      </c>
      <c r="E213" t="s">
        <v>297</v>
      </c>
      <c r="F213" t="s">
        <v>298</v>
      </c>
      <c r="G213" t="s">
        <v>299</v>
      </c>
      <c r="H213" t="s">
        <v>300</v>
      </c>
      <c r="I213">
        <v>20</v>
      </c>
      <c r="J213">
        <v>0</v>
      </c>
      <c r="K213">
        <v>20</v>
      </c>
      <c r="O213">
        <f t="shared" si="248"/>
        <v>3113.74</v>
      </c>
      <c r="P213">
        <f t="shared" si="249"/>
        <v>768.42</v>
      </c>
      <c r="Q213">
        <f>(ROUND((ROUND(((((ET213*1.25)*1.1))*AV213*I213),2)*BB213),2)+ROUND((ROUND(((AE213-(((EU213*1.25)*1.1)))*AV213*I213),2)*BS213),2))</f>
        <v>0</v>
      </c>
      <c r="R213">
        <f>(ROUND((ROUND(((((EU213*1.25)*1.1))*AV213*I213),2)*BS213),2)+ROUND((ROUND(((AE213-(((EU213*1.25)*1.1)))*AV213*I213),2)*BS213),2))</f>
        <v>0</v>
      </c>
      <c r="S213">
        <f t="shared" si="250"/>
        <v>2345.3200000000002</v>
      </c>
      <c r="T213">
        <f t="shared" si="251"/>
        <v>0</v>
      </c>
      <c r="U213">
        <f t="shared" si="252"/>
        <v>3.2394119999999997</v>
      </c>
      <c r="V213">
        <f t="shared" si="253"/>
        <v>0</v>
      </c>
      <c r="W213">
        <f t="shared" si="254"/>
        <v>0</v>
      </c>
      <c r="X213">
        <f>(ROUND((((S213+ROUND((ROUND(((((EU213*1.25)*1.1))*AV213*I213),2)*BS213),2))*AT213)/100),2)+ROUND(((ROUND((ROUND(((AE213-(((EU213*1.25)*1.1)))*AV213*I213),2)*BS213),2)*AT213)/100),2))</f>
        <v>2556.4</v>
      </c>
      <c r="Y213">
        <f>(ROUND((((S213+ROUND((ROUND(((((EU213*1.25)*1.1))*AV213*I213),2)*BS213),2))*AU213)/100),2)+ROUND(((ROUND((ROUND(((AE213-(((EU213*1.25)*1.1)))*AV213*I213),2)*BS213),2)*AU213)/100),2))</f>
        <v>1430.65</v>
      </c>
      <c r="AA213">
        <v>60255011</v>
      </c>
      <c r="AB213">
        <f t="shared" si="255"/>
        <v>7.9187000000000003</v>
      </c>
      <c r="AC213">
        <f t="shared" si="256"/>
        <v>5.92</v>
      </c>
      <c r="AD213">
        <f>ROUND((((((ET213*1.25)*1.1))-(((EU213*1.25)*1.1)))+AE213),6)</f>
        <v>0</v>
      </c>
      <c r="AE213">
        <f>ROUND((((EU213*1.25)*1.1)),6)</f>
        <v>0</v>
      </c>
      <c r="AF213">
        <f>ROUND((((EV213*1.15)*1.1)),6)</f>
        <v>1.9986999999999999</v>
      </c>
      <c r="AG213">
        <f t="shared" si="257"/>
        <v>0</v>
      </c>
      <c r="AH213">
        <f>(((EW213*1.15)*1.1))</f>
        <v>0.15179999999999999</v>
      </c>
      <c r="AI213">
        <f>(((EX213*1.25)*1.1))</f>
        <v>0</v>
      </c>
      <c r="AJ213">
        <f t="shared" si="258"/>
        <v>0</v>
      </c>
      <c r="AK213">
        <v>7.5</v>
      </c>
      <c r="AL213">
        <v>5.92</v>
      </c>
      <c r="AM213">
        <v>0</v>
      </c>
      <c r="AN213">
        <v>0</v>
      </c>
      <c r="AO213">
        <v>1.58</v>
      </c>
      <c r="AP213">
        <v>0</v>
      </c>
      <c r="AQ213">
        <v>0.12</v>
      </c>
      <c r="AR213">
        <v>0</v>
      </c>
      <c r="AS213">
        <v>0</v>
      </c>
      <c r="AT213">
        <v>109</v>
      </c>
      <c r="AU213">
        <v>61</v>
      </c>
      <c r="AV213">
        <v>1.0669999999999999</v>
      </c>
      <c r="AW213">
        <v>1</v>
      </c>
      <c r="AZ213">
        <v>1</v>
      </c>
      <c r="BA213">
        <v>54.99</v>
      </c>
      <c r="BB213">
        <v>1</v>
      </c>
      <c r="BC213">
        <v>6.49</v>
      </c>
      <c r="BD213" t="s">
        <v>3</v>
      </c>
      <c r="BE213" t="s">
        <v>3</v>
      </c>
      <c r="BF213" t="s">
        <v>3</v>
      </c>
      <c r="BG213" t="s">
        <v>3</v>
      </c>
      <c r="BH213">
        <v>0</v>
      </c>
      <c r="BI213">
        <v>1</v>
      </c>
      <c r="BJ213" t="s">
        <v>301</v>
      </c>
      <c r="BM213">
        <v>23</v>
      </c>
      <c r="BN213">
        <v>58973374</v>
      </c>
      <c r="BO213" t="s">
        <v>298</v>
      </c>
      <c r="BP213">
        <v>1</v>
      </c>
      <c r="BQ213">
        <v>30</v>
      </c>
      <c r="BR213">
        <v>0</v>
      </c>
      <c r="BS213">
        <v>54.99</v>
      </c>
      <c r="BT213">
        <v>1</v>
      </c>
      <c r="BU213">
        <v>1</v>
      </c>
      <c r="BV213">
        <v>1</v>
      </c>
      <c r="BW213">
        <v>1</v>
      </c>
      <c r="BX213">
        <v>1</v>
      </c>
      <c r="BY213" t="s">
        <v>3</v>
      </c>
      <c r="BZ213">
        <v>109</v>
      </c>
      <c r="CA213">
        <v>61</v>
      </c>
      <c r="CB213" t="s">
        <v>3</v>
      </c>
      <c r="CE213">
        <v>1566</v>
      </c>
      <c r="CF213">
        <v>0</v>
      </c>
      <c r="CG213">
        <v>0</v>
      </c>
      <c r="CM213">
        <v>0</v>
      </c>
      <c r="CN213" t="s">
        <v>625</v>
      </c>
      <c r="CO213">
        <v>0</v>
      </c>
      <c r="CP213">
        <f t="shared" si="259"/>
        <v>3113.7400000000002</v>
      </c>
      <c r="CQ213">
        <f t="shared" si="260"/>
        <v>38.42</v>
      </c>
      <c r="CR213">
        <f>(ROUND((ROUND(((((ET213*1.25)*1.1))*AV213*1),2)*BB213),2)+ROUND((ROUND(((AE213-(((EU213*1.25)*1.1)))*AV213*1),2)*BS213),2))</f>
        <v>0</v>
      </c>
      <c r="CS213">
        <f>(ROUND((ROUND(((((EU213*1.25)*1.1))*AV213*1),2)*BS213),2)+ROUND((ROUND(((AE213-(((EU213*1.25)*1.1)))*AV213*1),2)*BS213),2))</f>
        <v>0</v>
      </c>
      <c r="CT213">
        <f t="shared" si="261"/>
        <v>117.13</v>
      </c>
      <c r="CU213">
        <f t="shared" si="262"/>
        <v>0</v>
      </c>
      <c r="CV213">
        <f t="shared" si="263"/>
        <v>0.16197059999999999</v>
      </c>
      <c r="CW213">
        <f t="shared" si="264"/>
        <v>0</v>
      </c>
      <c r="CX213">
        <f t="shared" si="265"/>
        <v>0</v>
      </c>
      <c r="CY213">
        <f>(ROUND((((S213+ROUND((ROUND(((((EU213*1.25)*1.1))*AV213*1),2)*BS213),2))*AT213)/100),2)+ROUND(((ROUND((ROUND(((AE213-(((EU213*1.25)*1.1)))*AV213*1),2)*BS213),2)*AT213)/100),2))</f>
        <v>2556.4</v>
      </c>
      <c r="CZ213">
        <f>(ROUND((((S213+ROUND((ROUND(((((EU213*1.25)*1.1))*AV213*1),2)*BS213),2))*AU213)/100),2)+ROUND(((ROUND((ROUND(((AE213-(((EU213*1.25)*1.1)))*AV213*1),2)*BS213),2)*AU213)/100),2))</f>
        <v>1430.65</v>
      </c>
      <c r="DB213">
        <v>55</v>
      </c>
      <c r="DC213" t="s">
        <v>3</v>
      </c>
      <c r="DD213" t="s">
        <v>3</v>
      </c>
      <c r="DE213" t="s">
        <v>98</v>
      </c>
      <c r="DF213" t="s">
        <v>98</v>
      </c>
      <c r="DG213" t="s">
        <v>99</v>
      </c>
      <c r="DH213" t="s">
        <v>3</v>
      </c>
      <c r="DI213" t="s">
        <v>99</v>
      </c>
      <c r="DJ213" t="s">
        <v>98</v>
      </c>
      <c r="DK213" t="s">
        <v>3</v>
      </c>
      <c r="DL213" t="s">
        <v>3</v>
      </c>
      <c r="DM213" t="s">
        <v>3</v>
      </c>
      <c r="DN213">
        <v>0</v>
      </c>
      <c r="DO213">
        <v>0</v>
      </c>
      <c r="DP213">
        <v>1</v>
      </c>
      <c r="DQ213">
        <v>1</v>
      </c>
      <c r="DU213">
        <v>1013</v>
      </c>
      <c r="DV213" t="s">
        <v>300</v>
      </c>
      <c r="DW213" t="s">
        <v>300</v>
      </c>
      <c r="DX213">
        <v>1</v>
      </c>
      <c r="DZ213" t="s">
        <v>3</v>
      </c>
      <c r="EA213" t="s">
        <v>3</v>
      </c>
      <c r="EB213" t="s">
        <v>3</v>
      </c>
      <c r="EC213" t="s">
        <v>3</v>
      </c>
      <c r="EE213">
        <v>60088254</v>
      </c>
      <c r="EF213">
        <v>30</v>
      </c>
      <c r="EG213" t="s">
        <v>100</v>
      </c>
      <c r="EH213">
        <v>0</v>
      </c>
      <c r="EI213" t="s">
        <v>3</v>
      </c>
      <c r="EJ213">
        <v>1</v>
      </c>
      <c r="EK213">
        <v>23</v>
      </c>
      <c r="EL213" t="s">
        <v>101</v>
      </c>
      <c r="EM213" t="s">
        <v>102</v>
      </c>
      <c r="EO213" t="s">
        <v>103</v>
      </c>
      <c r="EQ213">
        <v>0</v>
      </c>
      <c r="ER213">
        <v>7.5</v>
      </c>
      <c r="ES213">
        <v>5.92</v>
      </c>
      <c r="ET213">
        <v>0</v>
      </c>
      <c r="EU213">
        <v>0</v>
      </c>
      <c r="EV213">
        <v>1.58</v>
      </c>
      <c r="EW213">
        <v>0.12</v>
      </c>
      <c r="EX213">
        <v>0</v>
      </c>
      <c r="EY213">
        <v>0</v>
      </c>
      <c r="FQ213">
        <v>0</v>
      </c>
      <c r="FR213">
        <v>0</v>
      </c>
      <c r="FS213">
        <v>0</v>
      </c>
      <c r="FX213">
        <v>109</v>
      </c>
      <c r="FY213">
        <v>61</v>
      </c>
      <c r="GA213" t="s">
        <v>3</v>
      </c>
      <c r="GD213">
        <v>1</v>
      </c>
      <c r="GF213">
        <v>-310920589</v>
      </c>
      <c r="GG213">
        <v>2</v>
      </c>
      <c r="GH213">
        <v>1</v>
      </c>
      <c r="GI213">
        <v>2</v>
      </c>
      <c r="GJ213">
        <v>0</v>
      </c>
      <c r="GK213">
        <v>0</v>
      </c>
      <c r="GL213">
        <f t="shared" si="266"/>
        <v>0</v>
      </c>
      <c r="GM213">
        <f t="shared" si="267"/>
        <v>7100.79</v>
      </c>
      <c r="GN213">
        <f t="shared" si="268"/>
        <v>7100.79</v>
      </c>
      <c r="GO213">
        <f t="shared" si="269"/>
        <v>0</v>
      </c>
      <c r="GP213">
        <f t="shared" si="270"/>
        <v>0</v>
      </c>
      <c r="GR213">
        <v>0</v>
      </c>
      <c r="GS213">
        <v>3</v>
      </c>
      <c r="GT213">
        <v>0</v>
      </c>
      <c r="GU213" t="s">
        <v>3</v>
      </c>
      <c r="GV213">
        <f t="shared" si="271"/>
        <v>0</v>
      </c>
      <c r="GW213">
        <v>1</v>
      </c>
      <c r="GX213">
        <f t="shared" si="272"/>
        <v>0</v>
      </c>
      <c r="HA213">
        <v>0</v>
      </c>
      <c r="HB213">
        <v>0</v>
      </c>
      <c r="HC213">
        <f t="shared" si="273"/>
        <v>0</v>
      </c>
      <c r="HE213" t="s">
        <v>3</v>
      </c>
      <c r="HF213" t="s">
        <v>3</v>
      </c>
      <c r="HM213" t="s">
        <v>3</v>
      </c>
      <c r="HN213" t="s">
        <v>3</v>
      </c>
      <c r="HO213" t="s">
        <v>3</v>
      </c>
      <c r="HP213" t="s">
        <v>3</v>
      </c>
      <c r="HQ213" t="s">
        <v>3</v>
      </c>
      <c r="HS213">
        <v>0</v>
      </c>
      <c r="IK213">
        <v>0</v>
      </c>
    </row>
    <row r="214" spans="1:255" x14ac:dyDescent="0.2">
      <c r="A214" s="2">
        <v>18</v>
      </c>
      <c r="B214" s="2">
        <v>1</v>
      </c>
      <c r="C214" s="2">
        <v>255</v>
      </c>
      <c r="D214" s="2"/>
      <c r="E214" s="2" t="s">
        <v>302</v>
      </c>
      <c r="F214" s="2" t="s">
        <v>303</v>
      </c>
      <c r="G214" s="2" t="s">
        <v>304</v>
      </c>
      <c r="H214" s="2" t="s">
        <v>31</v>
      </c>
      <c r="I214" s="2">
        <f>I212*J214</f>
        <v>-20</v>
      </c>
      <c r="J214" s="2">
        <v>-1</v>
      </c>
      <c r="K214" s="2">
        <v>-1</v>
      </c>
      <c r="L214" s="2"/>
      <c r="M214" s="2"/>
      <c r="N214" s="2"/>
      <c r="O214" s="2">
        <f t="shared" si="248"/>
        <v>-99.8</v>
      </c>
      <c r="P214" s="2">
        <f t="shared" si="249"/>
        <v>-99.8</v>
      </c>
      <c r="Q214" s="2">
        <f t="shared" ref="Q214:Q223" si="274">(ROUND((ROUND(((ET214)*AV214*I214),2)*BB214),2)+ROUND((ROUND(((AE214-(EU214))*AV214*I214),2)*BS214),2))</f>
        <v>0</v>
      </c>
      <c r="R214" s="2">
        <f t="shared" ref="R214:R223" si="275">(ROUND((ROUND(((EU214)*AV214*I214),2)*BS214),2)+ROUND((ROUND(((AE214-(EU214))*AV214*I214),2)*BS214),2))</f>
        <v>0</v>
      </c>
      <c r="S214" s="2">
        <f t="shared" si="250"/>
        <v>0</v>
      </c>
      <c r="T214" s="2">
        <f t="shared" si="251"/>
        <v>0</v>
      </c>
      <c r="U214" s="2">
        <f t="shared" si="252"/>
        <v>0</v>
      </c>
      <c r="V214" s="2">
        <f t="shared" si="253"/>
        <v>0</v>
      </c>
      <c r="W214" s="2">
        <f t="shared" si="254"/>
        <v>0</v>
      </c>
      <c r="X214" s="2">
        <f t="shared" ref="X214:X223" si="276">(ROUND((((S214+ROUND((ROUND(((EU214)*AV214*I214),2)*BS214),2))*AT214)/100),2)+ROUND(((ROUND((ROUND(((AE214-(EU214))*AV214*I214),2)*BS214),2)*AT214)/100),2))</f>
        <v>0</v>
      </c>
      <c r="Y214" s="2">
        <f t="shared" ref="Y214:Y223" si="277">(ROUND((((S214+ROUND((ROUND(((EU214)*AV214*I214),2)*BS214),2))*AU214)/100),2)+ROUND(((ROUND((ROUND(((AE214-(EU214))*AV214*I214),2)*BS214),2)*AU214)/100),2))</f>
        <v>0</v>
      </c>
      <c r="Z214" s="2"/>
      <c r="AA214" s="2">
        <v>60255014</v>
      </c>
      <c r="AB214" s="2">
        <f t="shared" si="255"/>
        <v>4.99</v>
      </c>
      <c r="AC214" s="2">
        <f t="shared" si="256"/>
        <v>4.99</v>
      </c>
      <c r="AD214" s="2">
        <f t="shared" ref="AD214:AD223" si="278">ROUND((((ET214)-(EU214))+AE214),6)</f>
        <v>0</v>
      </c>
      <c r="AE214" s="2">
        <f t="shared" ref="AE214:AE223" si="279">ROUND((EU214),6)</f>
        <v>0</v>
      </c>
      <c r="AF214" s="2">
        <f t="shared" ref="AF214:AF223" si="280">ROUND((EV214),6)</f>
        <v>0</v>
      </c>
      <c r="AG214" s="2">
        <f t="shared" si="257"/>
        <v>0</v>
      </c>
      <c r="AH214" s="2">
        <f t="shared" ref="AH214:AH223" si="281">(EW214)</f>
        <v>0</v>
      </c>
      <c r="AI214" s="2">
        <f t="shared" ref="AI214:AI223" si="282">(EX214)</f>
        <v>0</v>
      </c>
      <c r="AJ214" s="2">
        <f t="shared" si="258"/>
        <v>0</v>
      </c>
      <c r="AK214" s="2">
        <v>4.99</v>
      </c>
      <c r="AL214" s="2">
        <v>4.99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109</v>
      </c>
      <c r="AU214" s="2">
        <v>61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305</v>
      </c>
      <c r="BK214" s="2"/>
      <c r="BL214" s="2"/>
      <c r="BM214" s="2">
        <v>23</v>
      </c>
      <c r="BN214" s="2">
        <v>58973374</v>
      </c>
      <c r="BO214" s="2" t="s">
        <v>3</v>
      </c>
      <c r="BP214" s="2">
        <v>0</v>
      </c>
      <c r="BQ214" s="2">
        <v>30</v>
      </c>
      <c r="BR214" s="2">
        <v>1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109</v>
      </c>
      <c r="CA214" s="2">
        <v>61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259"/>
        <v>-99.8</v>
      </c>
      <c r="CQ214" s="2">
        <f t="shared" si="260"/>
        <v>4.99</v>
      </c>
      <c r="CR214" s="2">
        <f t="shared" ref="CR214:CR223" si="283">(ROUND((ROUND(((ET214)*AV214*1),2)*BB214),2)+ROUND((ROUND(((AE214-(EU214))*AV214*1),2)*BS214),2))</f>
        <v>0</v>
      </c>
      <c r="CS214" s="2">
        <f t="shared" ref="CS214:CS223" si="284">(ROUND((ROUND(((EU214)*AV214*1),2)*BS214),2)+ROUND((ROUND(((AE214-(EU214))*AV214*1),2)*BS214),2))</f>
        <v>0</v>
      </c>
      <c r="CT214" s="2">
        <f t="shared" si="261"/>
        <v>0</v>
      </c>
      <c r="CU214" s="2">
        <f t="shared" si="262"/>
        <v>0</v>
      </c>
      <c r="CV214" s="2">
        <f t="shared" si="263"/>
        <v>0</v>
      </c>
      <c r="CW214" s="2">
        <f t="shared" si="264"/>
        <v>0</v>
      </c>
      <c r="CX214" s="2">
        <f t="shared" si="265"/>
        <v>0</v>
      </c>
      <c r="CY214" s="2">
        <f t="shared" ref="CY214:CY223" si="285">(ROUND((((S214+ROUND((ROUND(((EU214)*AV214*1),2)*BS214),2))*AT214)/100),2)+ROUND(((ROUND((ROUND(((AE214-(EU214))*AV214*1),2)*BS214),2)*AT214)/100),2))</f>
        <v>0</v>
      </c>
      <c r="CZ214" s="2">
        <f t="shared" ref="CZ214:CZ223" si="286">(ROUND((((S214+ROUND((ROUND(((EU214)*AV214*1),2)*BS214),2))*AU214)/100),2)+ROUND(((ROUND((ROUND(((AE214-(EU214))*AV214*1),2)*BS214),2)*AU214)/100),2))</f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1010</v>
      </c>
      <c r="DV214" s="2" t="s">
        <v>31</v>
      </c>
      <c r="DW214" s="2" t="s">
        <v>31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60088254</v>
      </c>
      <c r="EF214" s="2">
        <v>30</v>
      </c>
      <c r="EG214" s="2" t="s">
        <v>100</v>
      </c>
      <c r="EH214" s="2">
        <v>0</v>
      </c>
      <c r="EI214" s="2" t="s">
        <v>3</v>
      </c>
      <c r="EJ214" s="2">
        <v>1</v>
      </c>
      <c r="EK214" s="2">
        <v>23</v>
      </c>
      <c r="EL214" s="2" t="s">
        <v>101</v>
      </c>
      <c r="EM214" s="2" t="s">
        <v>102</v>
      </c>
      <c r="EN214" s="2"/>
      <c r="EO214" s="2" t="s">
        <v>3</v>
      </c>
      <c r="EP214" s="2"/>
      <c r="EQ214" s="2">
        <v>0</v>
      </c>
      <c r="ER214" s="2">
        <v>4.99</v>
      </c>
      <c r="ES214" s="2">
        <v>4.99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109</v>
      </c>
      <c r="FY214" s="2">
        <v>61</v>
      </c>
      <c r="FZ214" s="2"/>
      <c r="GA214" s="2" t="s">
        <v>3</v>
      </c>
      <c r="GB214" s="2"/>
      <c r="GC214" s="2"/>
      <c r="GD214" s="2">
        <v>1</v>
      </c>
      <c r="GE214" s="2"/>
      <c r="GF214" s="2">
        <v>1321486414</v>
      </c>
      <c r="GG214" s="2">
        <v>2</v>
      </c>
      <c r="GH214" s="2">
        <v>1</v>
      </c>
      <c r="GI214" s="2">
        <v>-2</v>
      </c>
      <c r="GJ214" s="2">
        <v>0</v>
      </c>
      <c r="GK214" s="2">
        <v>0</v>
      </c>
      <c r="GL214" s="2">
        <f t="shared" si="266"/>
        <v>0</v>
      </c>
      <c r="GM214" s="2">
        <f t="shared" si="267"/>
        <v>-99.8</v>
      </c>
      <c r="GN214" s="2">
        <f t="shared" si="268"/>
        <v>-99.8</v>
      </c>
      <c r="GO214" s="2">
        <f t="shared" si="269"/>
        <v>0</v>
      </c>
      <c r="GP214" s="2">
        <f t="shared" si="270"/>
        <v>0</v>
      </c>
      <c r="GQ214" s="2"/>
      <c r="GR214" s="2">
        <v>0</v>
      </c>
      <c r="GS214" s="2">
        <v>3</v>
      </c>
      <c r="GT214" s="2">
        <v>0</v>
      </c>
      <c r="GU214" s="2" t="s">
        <v>3</v>
      </c>
      <c r="GV214" s="2">
        <f t="shared" si="271"/>
        <v>0</v>
      </c>
      <c r="GW214" s="2">
        <v>1</v>
      </c>
      <c r="GX214" s="2">
        <f t="shared" si="272"/>
        <v>0</v>
      </c>
      <c r="GY214" s="2"/>
      <c r="GZ214" s="2"/>
      <c r="HA214" s="2">
        <v>0</v>
      </c>
      <c r="HB214" s="2">
        <v>0</v>
      </c>
      <c r="HC214" s="2">
        <f t="shared" si="273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>
        <v>18</v>
      </c>
      <c r="B215">
        <v>1</v>
      </c>
      <c r="C215">
        <v>261</v>
      </c>
      <c r="E215" t="s">
        <v>302</v>
      </c>
      <c r="F215" t="s">
        <v>303</v>
      </c>
      <c r="G215" t="s">
        <v>304</v>
      </c>
      <c r="H215" t="s">
        <v>31</v>
      </c>
      <c r="I215">
        <f>I213*J215</f>
        <v>-20</v>
      </c>
      <c r="J215">
        <v>-1</v>
      </c>
      <c r="K215">
        <v>-1</v>
      </c>
      <c r="O215">
        <f t="shared" si="248"/>
        <v>-674.65</v>
      </c>
      <c r="P215">
        <f t="shared" si="249"/>
        <v>-674.65</v>
      </c>
      <c r="Q215">
        <f t="shared" si="274"/>
        <v>0</v>
      </c>
      <c r="R215">
        <f t="shared" si="275"/>
        <v>0</v>
      </c>
      <c r="S215">
        <f t="shared" si="250"/>
        <v>0</v>
      </c>
      <c r="T215">
        <f t="shared" si="251"/>
        <v>0</v>
      </c>
      <c r="U215">
        <f t="shared" si="252"/>
        <v>0</v>
      </c>
      <c r="V215">
        <f t="shared" si="253"/>
        <v>0</v>
      </c>
      <c r="W215">
        <f t="shared" si="254"/>
        <v>0</v>
      </c>
      <c r="X215">
        <f t="shared" si="276"/>
        <v>0</v>
      </c>
      <c r="Y215">
        <f t="shared" si="277"/>
        <v>0</v>
      </c>
      <c r="AA215">
        <v>60255011</v>
      </c>
      <c r="AB215">
        <f t="shared" si="255"/>
        <v>4.99</v>
      </c>
      <c r="AC215">
        <f t="shared" si="256"/>
        <v>4.99</v>
      </c>
      <c r="AD215">
        <f t="shared" si="278"/>
        <v>0</v>
      </c>
      <c r="AE215">
        <f t="shared" si="279"/>
        <v>0</v>
      </c>
      <c r="AF215">
        <f t="shared" si="280"/>
        <v>0</v>
      </c>
      <c r="AG215">
        <f t="shared" si="257"/>
        <v>0</v>
      </c>
      <c r="AH215">
        <f t="shared" si="281"/>
        <v>0</v>
      </c>
      <c r="AI215">
        <f t="shared" si="282"/>
        <v>0</v>
      </c>
      <c r="AJ215">
        <f t="shared" si="258"/>
        <v>0</v>
      </c>
      <c r="AK215">
        <v>4.99</v>
      </c>
      <c r="AL215">
        <v>4.99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109</v>
      </c>
      <c r="AU215">
        <v>61</v>
      </c>
      <c r="AV215">
        <v>1</v>
      </c>
      <c r="AW215">
        <v>1</v>
      </c>
      <c r="AZ215">
        <v>1</v>
      </c>
      <c r="BA215">
        <v>1</v>
      </c>
      <c r="BB215">
        <v>1</v>
      </c>
      <c r="BC215">
        <v>6.76</v>
      </c>
      <c r="BD215" t="s">
        <v>3</v>
      </c>
      <c r="BE215" t="s">
        <v>3</v>
      </c>
      <c r="BF215" t="s">
        <v>3</v>
      </c>
      <c r="BG215" t="s">
        <v>3</v>
      </c>
      <c r="BH215">
        <v>3</v>
      </c>
      <c r="BI215">
        <v>1</v>
      </c>
      <c r="BJ215" t="s">
        <v>305</v>
      </c>
      <c r="BM215">
        <v>23</v>
      </c>
      <c r="BN215">
        <v>58973374</v>
      </c>
      <c r="BO215" t="s">
        <v>303</v>
      </c>
      <c r="BP215">
        <v>1</v>
      </c>
      <c r="BQ215">
        <v>30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 t="s">
        <v>3</v>
      </c>
      <c r="BZ215">
        <v>109</v>
      </c>
      <c r="CA215">
        <v>61</v>
      </c>
      <c r="CB215" t="s">
        <v>3</v>
      </c>
      <c r="CE215">
        <v>1566</v>
      </c>
      <c r="CF215">
        <v>0</v>
      </c>
      <c r="CG215">
        <v>0</v>
      </c>
      <c r="CM215">
        <v>0</v>
      </c>
      <c r="CN215" t="s">
        <v>3</v>
      </c>
      <c r="CO215">
        <v>0</v>
      </c>
      <c r="CP215">
        <f t="shared" si="259"/>
        <v>-674.65</v>
      </c>
      <c r="CQ215">
        <f t="shared" si="260"/>
        <v>33.729999999999997</v>
      </c>
      <c r="CR215">
        <f t="shared" si="283"/>
        <v>0</v>
      </c>
      <c r="CS215">
        <f t="shared" si="284"/>
        <v>0</v>
      </c>
      <c r="CT215">
        <f t="shared" si="261"/>
        <v>0</v>
      </c>
      <c r="CU215">
        <f t="shared" si="262"/>
        <v>0</v>
      </c>
      <c r="CV215">
        <f t="shared" si="263"/>
        <v>0</v>
      </c>
      <c r="CW215">
        <f t="shared" si="264"/>
        <v>0</v>
      </c>
      <c r="CX215">
        <f t="shared" si="265"/>
        <v>0</v>
      </c>
      <c r="CY215">
        <f t="shared" si="285"/>
        <v>0</v>
      </c>
      <c r="CZ215">
        <f t="shared" si="286"/>
        <v>0</v>
      </c>
      <c r="DC215" t="s">
        <v>3</v>
      </c>
      <c r="DD215" t="s">
        <v>3</v>
      </c>
      <c r="DE215" t="s">
        <v>3</v>
      </c>
      <c r="DF215" t="s">
        <v>3</v>
      </c>
      <c r="DG215" t="s">
        <v>3</v>
      </c>
      <c r="DH215" t="s">
        <v>3</v>
      </c>
      <c r="DI215" t="s">
        <v>3</v>
      </c>
      <c r="DJ215" t="s">
        <v>3</v>
      </c>
      <c r="DK215" t="s">
        <v>3</v>
      </c>
      <c r="DL215" t="s">
        <v>3</v>
      </c>
      <c r="DM215" t="s">
        <v>3</v>
      </c>
      <c r="DN215">
        <v>0</v>
      </c>
      <c r="DO215">
        <v>0</v>
      </c>
      <c r="DP215">
        <v>1</v>
      </c>
      <c r="DQ215">
        <v>1</v>
      </c>
      <c r="DU215">
        <v>1010</v>
      </c>
      <c r="DV215" t="s">
        <v>31</v>
      </c>
      <c r="DW215" t="s">
        <v>31</v>
      </c>
      <c r="DX215">
        <v>1</v>
      </c>
      <c r="DZ215" t="s">
        <v>3</v>
      </c>
      <c r="EA215" t="s">
        <v>3</v>
      </c>
      <c r="EB215" t="s">
        <v>3</v>
      </c>
      <c r="EC215" t="s">
        <v>3</v>
      </c>
      <c r="EE215">
        <v>60088254</v>
      </c>
      <c r="EF215">
        <v>30</v>
      </c>
      <c r="EG215" t="s">
        <v>100</v>
      </c>
      <c r="EH215">
        <v>0</v>
      </c>
      <c r="EI215" t="s">
        <v>3</v>
      </c>
      <c r="EJ215">
        <v>1</v>
      </c>
      <c r="EK215">
        <v>23</v>
      </c>
      <c r="EL215" t="s">
        <v>101</v>
      </c>
      <c r="EM215" t="s">
        <v>102</v>
      </c>
      <c r="EO215" t="s">
        <v>3</v>
      </c>
      <c r="EQ215">
        <v>0</v>
      </c>
      <c r="ER215">
        <v>4.99</v>
      </c>
      <c r="ES215">
        <v>4.99</v>
      </c>
      <c r="ET215">
        <v>0</v>
      </c>
      <c r="EU215">
        <v>0</v>
      </c>
      <c r="EV215">
        <v>0</v>
      </c>
      <c r="EW215">
        <v>0</v>
      </c>
      <c r="EX215">
        <v>0</v>
      </c>
      <c r="FQ215">
        <v>0</v>
      </c>
      <c r="FR215">
        <v>0</v>
      </c>
      <c r="FS215">
        <v>0</v>
      </c>
      <c r="FX215">
        <v>109</v>
      </c>
      <c r="FY215">
        <v>61</v>
      </c>
      <c r="GA215" t="s">
        <v>3</v>
      </c>
      <c r="GD215">
        <v>1</v>
      </c>
      <c r="GF215">
        <v>1321486414</v>
      </c>
      <c r="GG215">
        <v>2</v>
      </c>
      <c r="GH215">
        <v>1</v>
      </c>
      <c r="GI215">
        <v>2</v>
      </c>
      <c r="GJ215">
        <v>0</v>
      </c>
      <c r="GK215">
        <v>0</v>
      </c>
      <c r="GL215">
        <f t="shared" si="266"/>
        <v>0</v>
      </c>
      <c r="GM215">
        <f t="shared" si="267"/>
        <v>-674.65</v>
      </c>
      <c r="GN215">
        <f t="shared" si="268"/>
        <v>-674.65</v>
      </c>
      <c r="GO215">
        <f t="shared" si="269"/>
        <v>0</v>
      </c>
      <c r="GP215">
        <f t="shared" si="270"/>
        <v>0</v>
      </c>
      <c r="GR215">
        <v>0</v>
      </c>
      <c r="GS215">
        <v>3</v>
      </c>
      <c r="GT215">
        <v>0</v>
      </c>
      <c r="GU215" t="s">
        <v>3</v>
      </c>
      <c r="GV215">
        <f t="shared" si="271"/>
        <v>0</v>
      </c>
      <c r="GW215">
        <v>1</v>
      </c>
      <c r="GX215">
        <f t="shared" si="272"/>
        <v>0</v>
      </c>
      <c r="HA215">
        <v>0</v>
      </c>
      <c r="HB215">
        <v>0</v>
      </c>
      <c r="HC215">
        <f t="shared" si="273"/>
        <v>0</v>
      </c>
      <c r="HE215" t="s">
        <v>3</v>
      </c>
      <c r="HF215" t="s">
        <v>3</v>
      </c>
      <c r="HM215" t="s">
        <v>3</v>
      </c>
      <c r="HN215" t="s">
        <v>3</v>
      </c>
      <c r="HO215" t="s">
        <v>3</v>
      </c>
      <c r="HP215" t="s">
        <v>3</v>
      </c>
      <c r="HQ215" t="s">
        <v>3</v>
      </c>
      <c r="HS215">
        <v>0</v>
      </c>
      <c r="IK215">
        <v>0</v>
      </c>
    </row>
    <row r="216" spans="1:255" x14ac:dyDescent="0.2">
      <c r="A216" s="2">
        <v>18</v>
      </c>
      <c r="B216" s="2">
        <v>1</v>
      </c>
      <c r="C216" s="2">
        <v>256</v>
      </c>
      <c r="D216" s="2"/>
      <c r="E216" s="2" t="s">
        <v>306</v>
      </c>
      <c r="F216" s="2" t="s">
        <v>307</v>
      </c>
      <c r="G216" s="2" t="s">
        <v>308</v>
      </c>
      <c r="H216" s="2" t="s">
        <v>31</v>
      </c>
      <c r="I216" s="2">
        <f>I212*J216</f>
        <v>20</v>
      </c>
      <c r="J216" s="2">
        <v>1</v>
      </c>
      <c r="K216" s="2">
        <v>1</v>
      </c>
      <c r="L216" s="2"/>
      <c r="M216" s="2"/>
      <c r="N216" s="2"/>
      <c r="O216" s="2">
        <f t="shared" si="248"/>
        <v>2647.6</v>
      </c>
      <c r="P216" s="2">
        <f t="shared" si="249"/>
        <v>2647.6</v>
      </c>
      <c r="Q216" s="2">
        <f t="shared" si="274"/>
        <v>0</v>
      </c>
      <c r="R216" s="2">
        <f t="shared" si="275"/>
        <v>0</v>
      </c>
      <c r="S216" s="2">
        <f t="shared" si="250"/>
        <v>0</v>
      </c>
      <c r="T216" s="2">
        <f t="shared" si="251"/>
        <v>0</v>
      </c>
      <c r="U216" s="2">
        <f t="shared" si="252"/>
        <v>0</v>
      </c>
      <c r="V216" s="2">
        <f t="shared" si="253"/>
        <v>0</v>
      </c>
      <c r="W216" s="2">
        <f t="shared" si="254"/>
        <v>0</v>
      </c>
      <c r="X216" s="2">
        <f t="shared" si="276"/>
        <v>0</v>
      </c>
      <c r="Y216" s="2">
        <f t="shared" si="277"/>
        <v>0</v>
      </c>
      <c r="Z216" s="2"/>
      <c r="AA216" s="2">
        <v>60255014</v>
      </c>
      <c r="AB216" s="2">
        <f t="shared" si="255"/>
        <v>132.38</v>
      </c>
      <c r="AC216" s="2">
        <f t="shared" si="256"/>
        <v>132.38</v>
      </c>
      <c r="AD216" s="2">
        <f t="shared" si="278"/>
        <v>0</v>
      </c>
      <c r="AE216" s="2">
        <f t="shared" si="279"/>
        <v>0</v>
      </c>
      <c r="AF216" s="2">
        <f t="shared" si="280"/>
        <v>0</v>
      </c>
      <c r="AG216" s="2">
        <f t="shared" si="257"/>
        <v>0</v>
      </c>
      <c r="AH216" s="2">
        <f t="shared" si="281"/>
        <v>0</v>
      </c>
      <c r="AI216" s="2">
        <f t="shared" si="282"/>
        <v>0</v>
      </c>
      <c r="AJ216" s="2">
        <f t="shared" si="258"/>
        <v>0</v>
      </c>
      <c r="AK216" s="2">
        <v>132.38</v>
      </c>
      <c r="AL216" s="2">
        <v>132.38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109</v>
      </c>
      <c r="AU216" s="2">
        <v>61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309</v>
      </c>
      <c r="BK216" s="2"/>
      <c r="BL216" s="2"/>
      <c r="BM216" s="2">
        <v>23</v>
      </c>
      <c r="BN216" s="2">
        <v>58973374</v>
      </c>
      <c r="BO216" s="2" t="s">
        <v>3</v>
      </c>
      <c r="BP216" s="2">
        <v>0</v>
      </c>
      <c r="BQ216" s="2">
        <v>30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109</v>
      </c>
      <c r="CA216" s="2">
        <v>61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259"/>
        <v>2647.6</v>
      </c>
      <c r="CQ216" s="2">
        <f t="shared" si="260"/>
        <v>132.38</v>
      </c>
      <c r="CR216" s="2">
        <f t="shared" si="283"/>
        <v>0</v>
      </c>
      <c r="CS216" s="2">
        <f t="shared" si="284"/>
        <v>0</v>
      </c>
      <c r="CT216" s="2">
        <f t="shared" si="261"/>
        <v>0</v>
      </c>
      <c r="CU216" s="2">
        <f t="shared" si="262"/>
        <v>0</v>
      </c>
      <c r="CV216" s="2">
        <f t="shared" si="263"/>
        <v>0</v>
      </c>
      <c r="CW216" s="2">
        <f t="shared" si="264"/>
        <v>0</v>
      </c>
      <c r="CX216" s="2">
        <f t="shared" si="265"/>
        <v>0</v>
      </c>
      <c r="CY216" s="2">
        <f t="shared" si="285"/>
        <v>0</v>
      </c>
      <c r="CZ216" s="2">
        <f t="shared" si="286"/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1010</v>
      </c>
      <c r="DV216" s="2" t="s">
        <v>31</v>
      </c>
      <c r="DW216" s="2" t="s">
        <v>31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60088254</v>
      </c>
      <c r="EF216" s="2">
        <v>30</v>
      </c>
      <c r="EG216" s="2" t="s">
        <v>100</v>
      </c>
      <c r="EH216" s="2">
        <v>0</v>
      </c>
      <c r="EI216" s="2" t="s">
        <v>3</v>
      </c>
      <c r="EJ216" s="2">
        <v>1</v>
      </c>
      <c r="EK216" s="2">
        <v>23</v>
      </c>
      <c r="EL216" s="2" t="s">
        <v>101</v>
      </c>
      <c r="EM216" s="2" t="s">
        <v>102</v>
      </c>
      <c r="EN216" s="2"/>
      <c r="EO216" s="2" t="s">
        <v>3</v>
      </c>
      <c r="EP216" s="2"/>
      <c r="EQ216" s="2">
        <v>0</v>
      </c>
      <c r="ER216" s="2">
        <v>132.38</v>
      </c>
      <c r="ES216" s="2">
        <v>132.38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109</v>
      </c>
      <c r="FY216" s="2">
        <v>61</v>
      </c>
      <c r="FZ216" s="2"/>
      <c r="GA216" s="2" t="s">
        <v>3</v>
      </c>
      <c r="GB216" s="2"/>
      <c r="GC216" s="2"/>
      <c r="GD216" s="2">
        <v>1</v>
      </c>
      <c r="GE216" s="2"/>
      <c r="GF216" s="2">
        <v>-20220172</v>
      </c>
      <c r="GG216" s="2">
        <v>2</v>
      </c>
      <c r="GH216" s="2">
        <v>1</v>
      </c>
      <c r="GI216" s="2">
        <v>-2</v>
      </c>
      <c r="GJ216" s="2">
        <v>0</v>
      </c>
      <c r="GK216" s="2">
        <v>0</v>
      </c>
      <c r="GL216" s="2">
        <f t="shared" si="266"/>
        <v>0</v>
      </c>
      <c r="GM216" s="2">
        <f t="shared" si="267"/>
        <v>2647.6</v>
      </c>
      <c r="GN216" s="2">
        <f t="shared" si="268"/>
        <v>2647.6</v>
      </c>
      <c r="GO216" s="2">
        <f t="shared" si="269"/>
        <v>0</v>
      </c>
      <c r="GP216" s="2">
        <f t="shared" si="270"/>
        <v>0</v>
      </c>
      <c r="GQ216" s="2"/>
      <c r="GR216" s="2">
        <v>0</v>
      </c>
      <c r="GS216" s="2">
        <v>3</v>
      </c>
      <c r="GT216" s="2">
        <v>0</v>
      </c>
      <c r="GU216" s="2" t="s">
        <v>3</v>
      </c>
      <c r="GV216" s="2">
        <f t="shared" si="271"/>
        <v>0</v>
      </c>
      <c r="GW216" s="2">
        <v>1</v>
      </c>
      <c r="GX216" s="2">
        <f t="shared" si="272"/>
        <v>0</v>
      </c>
      <c r="GY216" s="2"/>
      <c r="GZ216" s="2"/>
      <c r="HA216" s="2">
        <v>0</v>
      </c>
      <c r="HB216" s="2">
        <v>0</v>
      </c>
      <c r="HC216" s="2">
        <f t="shared" si="273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>
        <v>18</v>
      </c>
      <c r="B217">
        <v>1</v>
      </c>
      <c r="C217">
        <v>262</v>
      </c>
      <c r="E217" t="s">
        <v>306</v>
      </c>
      <c r="F217" t="s">
        <v>307</v>
      </c>
      <c r="G217" t="s">
        <v>308</v>
      </c>
      <c r="H217" t="s">
        <v>31</v>
      </c>
      <c r="I217">
        <f>I213*J217</f>
        <v>20</v>
      </c>
      <c r="J217">
        <v>1</v>
      </c>
      <c r="K217">
        <v>1</v>
      </c>
      <c r="O217">
        <f t="shared" si="248"/>
        <v>16732.830000000002</v>
      </c>
      <c r="P217">
        <f t="shared" si="249"/>
        <v>16732.830000000002</v>
      </c>
      <c r="Q217">
        <f t="shared" si="274"/>
        <v>0</v>
      </c>
      <c r="R217">
        <f t="shared" si="275"/>
        <v>0</v>
      </c>
      <c r="S217">
        <f t="shared" si="250"/>
        <v>0</v>
      </c>
      <c r="T217">
        <f t="shared" si="251"/>
        <v>0</v>
      </c>
      <c r="U217">
        <f t="shared" si="252"/>
        <v>0</v>
      </c>
      <c r="V217">
        <f t="shared" si="253"/>
        <v>0</v>
      </c>
      <c r="W217">
        <f t="shared" si="254"/>
        <v>0</v>
      </c>
      <c r="X217">
        <f t="shared" si="276"/>
        <v>0</v>
      </c>
      <c r="Y217">
        <f t="shared" si="277"/>
        <v>0</v>
      </c>
      <c r="AA217">
        <v>60255011</v>
      </c>
      <c r="AB217">
        <f t="shared" si="255"/>
        <v>132.38</v>
      </c>
      <c r="AC217">
        <f t="shared" si="256"/>
        <v>132.38</v>
      </c>
      <c r="AD217">
        <f t="shared" si="278"/>
        <v>0</v>
      </c>
      <c r="AE217">
        <f t="shared" si="279"/>
        <v>0</v>
      </c>
      <c r="AF217">
        <f t="shared" si="280"/>
        <v>0</v>
      </c>
      <c r="AG217">
        <f t="shared" si="257"/>
        <v>0</v>
      </c>
      <c r="AH217">
        <f t="shared" si="281"/>
        <v>0</v>
      </c>
      <c r="AI217">
        <f t="shared" si="282"/>
        <v>0</v>
      </c>
      <c r="AJ217">
        <f t="shared" si="258"/>
        <v>0</v>
      </c>
      <c r="AK217">
        <v>132.38</v>
      </c>
      <c r="AL217">
        <v>132.38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109</v>
      </c>
      <c r="AU217">
        <v>61</v>
      </c>
      <c r="AV217">
        <v>1</v>
      </c>
      <c r="AW217">
        <v>1</v>
      </c>
      <c r="AZ217">
        <v>1</v>
      </c>
      <c r="BA217">
        <v>1</v>
      </c>
      <c r="BB217">
        <v>1</v>
      </c>
      <c r="BC217">
        <v>6.32</v>
      </c>
      <c r="BD217" t="s">
        <v>3</v>
      </c>
      <c r="BE217" t="s">
        <v>3</v>
      </c>
      <c r="BF217" t="s">
        <v>3</v>
      </c>
      <c r="BG217" t="s">
        <v>3</v>
      </c>
      <c r="BH217">
        <v>3</v>
      </c>
      <c r="BI217">
        <v>1</v>
      </c>
      <c r="BJ217" t="s">
        <v>309</v>
      </c>
      <c r="BM217">
        <v>23</v>
      </c>
      <c r="BN217">
        <v>58973374</v>
      </c>
      <c r="BO217" t="s">
        <v>307</v>
      </c>
      <c r="BP217">
        <v>1</v>
      </c>
      <c r="BQ217">
        <v>30</v>
      </c>
      <c r="BR217">
        <v>0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 t="s">
        <v>3</v>
      </c>
      <c r="BZ217">
        <v>109</v>
      </c>
      <c r="CA217">
        <v>61</v>
      </c>
      <c r="CB217" t="s">
        <v>3</v>
      </c>
      <c r="CE217">
        <v>1566</v>
      </c>
      <c r="CF217">
        <v>0</v>
      </c>
      <c r="CG217">
        <v>0</v>
      </c>
      <c r="CM217">
        <v>0</v>
      </c>
      <c r="CN217" t="s">
        <v>3</v>
      </c>
      <c r="CO217">
        <v>0</v>
      </c>
      <c r="CP217">
        <f t="shared" si="259"/>
        <v>16732.830000000002</v>
      </c>
      <c r="CQ217">
        <f t="shared" si="260"/>
        <v>836.64</v>
      </c>
      <c r="CR217">
        <f t="shared" si="283"/>
        <v>0</v>
      </c>
      <c r="CS217">
        <f t="shared" si="284"/>
        <v>0</v>
      </c>
      <c r="CT217">
        <f t="shared" si="261"/>
        <v>0</v>
      </c>
      <c r="CU217">
        <f t="shared" si="262"/>
        <v>0</v>
      </c>
      <c r="CV217">
        <f t="shared" si="263"/>
        <v>0</v>
      </c>
      <c r="CW217">
        <f t="shared" si="264"/>
        <v>0</v>
      </c>
      <c r="CX217">
        <f t="shared" si="265"/>
        <v>0</v>
      </c>
      <c r="CY217">
        <f t="shared" si="285"/>
        <v>0</v>
      </c>
      <c r="CZ217">
        <f t="shared" si="286"/>
        <v>0</v>
      </c>
      <c r="DC217" t="s">
        <v>3</v>
      </c>
      <c r="DD217" t="s">
        <v>3</v>
      </c>
      <c r="DE217" t="s">
        <v>3</v>
      </c>
      <c r="DF217" t="s">
        <v>3</v>
      </c>
      <c r="DG217" t="s">
        <v>3</v>
      </c>
      <c r="DH217" t="s">
        <v>3</v>
      </c>
      <c r="DI217" t="s">
        <v>3</v>
      </c>
      <c r="DJ217" t="s">
        <v>3</v>
      </c>
      <c r="DK217" t="s">
        <v>3</v>
      </c>
      <c r="DL217" t="s">
        <v>3</v>
      </c>
      <c r="DM217" t="s">
        <v>3</v>
      </c>
      <c r="DN217">
        <v>0</v>
      </c>
      <c r="DO217">
        <v>0</v>
      </c>
      <c r="DP217">
        <v>1</v>
      </c>
      <c r="DQ217">
        <v>1</v>
      </c>
      <c r="DU217">
        <v>1010</v>
      </c>
      <c r="DV217" t="s">
        <v>31</v>
      </c>
      <c r="DW217" t="s">
        <v>31</v>
      </c>
      <c r="DX217">
        <v>1</v>
      </c>
      <c r="DZ217" t="s">
        <v>3</v>
      </c>
      <c r="EA217" t="s">
        <v>3</v>
      </c>
      <c r="EB217" t="s">
        <v>3</v>
      </c>
      <c r="EC217" t="s">
        <v>3</v>
      </c>
      <c r="EE217">
        <v>60088254</v>
      </c>
      <c r="EF217">
        <v>30</v>
      </c>
      <c r="EG217" t="s">
        <v>100</v>
      </c>
      <c r="EH217">
        <v>0</v>
      </c>
      <c r="EI217" t="s">
        <v>3</v>
      </c>
      <c r="EJ217">
        <v>1</v>
      </c>
      <c r="EK217">
        <v>23</v>
      </c>
      <c r="EL217" t="s">
        <v>101</v>
      </c>
      <c r="EM217" t="s">
        <v>102</v>
      </c>
      <c r="EO217" t="s">
        <v>3</v>
      </c>
      <c r="EQ217">
        <v>0</v>
      </c>
      <c r="ER217">
        <v>132.38</v>
      </c>
      <c r="ES217">
        <v>132.38</v>
      </c>
      <c r="ET217">
        <v>0</v>
      </c>
      <c r="EU217">
        <v>0</v>
      </c>
      <c r="EV217">
        <v>0</v>
      </c>
      <c r="EW217">
        <v>0</v>
      </c>
      <c r="EX217">
        <v>0</v>
      </c>
      <c r="FQ217">
        <v>0</v>
      </c>
      <c r="FR217">
        <v>0</v>
      </c>
      <c r="FS217">
        <v>0</v>
      </c>
      <c r="FX217">
        <v>109</v>
      </c>
      <c r="FY217">
        <v>61</v>
      </c>
      <c r="GA217" t="s">
        <v>3</v>
      </c>
      <c r="GD217">
        <v>1</v>
      </c>
      <c r="GF217">
        <v>-20220172</v>
      </c>
      <c r="GG217">
        <v>2</v>
      </c>
      <c r="GH217">
        <v>1</v>
      </c>
      <c r="GI217">
        <v>2</v>
      </c>
      <c r="GJ217">
        <v>0</v>
      </c>
      <c r="GK217">
        <v>0</v>
      </c>
      <c r="GL217">
        <f t="shared" si="266"/>
        <v>0</v>
      </c>
      <c r="GM217">
        <f t="shared" si="267"/>
        <v>16732.830000000002</v>
      </c>
      <c r="GN217">
        <f t="shared" si="268"/>
        <v>16732.830000000002</v>
      </c>
      <c r="GO217">
        <f t="shared" si="269"/>
        <v>0</v>
      </c>
      <c r="GP217">
        <f t="shared" si="270"/>
        <v>0</v>
      </c>
      <c r="GR217">
        <v>0</v>
      </c>
      <c r="GS217">
        <v>3</v>
      </c>
      <c r="GT217">
        <v>0</v>
      </c>
      <c r="GU217" t="s">
        <v>3</v>
      </c>
      <c r="GV217">
        <f t="shared" si="271"/>
        <v>0</v>
      </c>
      <c r="GW217">
        <v>1</v>
      </c>
      <c r="GX217">
        <f t="shared" si="272"/>
        <v>0</v>
      </c>
      <c r="HA217">
        <v>0</v>
      </c>
      <c r="HB217">
        <v>0</v>
      </c>
      <c r="HC217">
        <f t="shared" si="273"/>
        <v>0</v>
      </c>
      <c r="HE217" t="s">
        <v>3</v>
      </c>
      <c r="HF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3</v>
      </c>
      <c r="HS217">
        <v>0</v>
      </c>
      <c r="IK217">
        <v>0</v>
      </c>
    </row>
    <row r="218" spans="1:255" x14ac:dyDescent="0.2">
      <c r="A218" s="2">
        <v>17</v>
      </c>
      <c r="B218" s="2">
        <v>1</v>
      </c>
      <c r="C218" s="2"/>
      <c r="D218" s="2"/>
      <c r="E218" s="2" t="s">
        <v>310</v>
      </c>
      <c r="F218" s="2" t="s">
        <v>311</v>
      </c>
      <c r="G218" s="2" t="s">
        <v>312</v>
      </c>
      <c r="H218" s="2" t="s">
        <v>31</v>
      </c>
      <c r="I218" s="2">
        <v>86</v>
      </c>
      <c r="J218" s="2">
        <v>0</v>
      </c>
      <c r="K218" s="2">
        <v>86</v>
      </c>
      <c r="L218" s="2"/>
      <c r="M218" s="2"/>
      <c r="N218" s="2"/>
      <c r="O218" s="2">
        <f t="shared" si="248"/>
        <v>1512.74</v>
      </c>
      <c r="P218" s="2">
        <f t="shared" si="249"/>
        <v>1512.74</v>
      </c>
      <c r="Q218" s="2">
        <f t="shared" si="274"/>
        <v>0</v>
      </c>
      <c r="R218" s="2">
        <f t="shared" si="275"/>
        <v>0</v>
      </c>
      <c r="S218" s="2">
        <f t="shared" si="250"/>
        <v>0</v>
      </c>
      <c r="T218" s="2">
        <f t="shared" si="251"/>
        <v>0</v>
      </c>
      <c r="U218" s="2">
        <f t="shared" si="252"/>
        <v>0</v>
      </c>
      <c r="V218" s="2">
        <f t="shared" si="253"/>
        <v>0</v>
      </c>
      <c r="W218" s="2">
        <f t="shared" si="254"/>
        <v>0</v>
      </c>
      <c r="X218" s="2">
        <f t="shared" si="276"/>
        <v>0</v>
      </c>
      <c r="Y218" s="2">
        <f t="shared" si="277"/>
        <v>0</v>
      </c>
      <c r="Z218" s="2"/>
      <c r="AA218" s="2">
        <v>60255014</v>
      </c>
      <c r="AB218" s="2">
        <f t="shared" si="255"/>
        <v>17.59</v>
      </c>
      <c r="AC218" s="2">
        <f t="shared" si="256"/>
        <v>17.59</v>
      </c>
      <c r="AD218" s="2">
        <f t="shared" si="278"/>
        <v>0</v>
      </c>
      <c r="AE218" s="2">
        <f t="shared" si="279"/>
        <v>0</v>
      </c>
      <c r="AF218" s="2">
        <f t="shared" si="280"/>
        <v>0</v>
      </c>
      <c r="AG218" s="2">
        <f t="shared" si="257"/>
        <v>0</v>
      </c>
      <c r="AH218" s="2">
        <f t="shared" si="281"/>
        <v>0</v>
      </c>
      <c r="AI218" s="2">
        <f t="shared" si="282"/>
        <v>0</v>
      </c>
      <c r="AJ218" s="2">
        <f t="shared" si="258"/>
        <v>0</v>
      </c>
      <c r="AK218" s="2">
        <v>17.59</v>
      </c>
      <c r="AL218" s="2">
        <v>17.59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313</v>
      </c>
      <c r="BK218" s="2"/>
      <c r="BL218" s="2"/>
      <c r="BM218" s="2">
        <v>1617</v>
      </c>
      <c r="BN218" s="2">
        <v>58973374</v>
      </c>
      <c r="BO218" s="2" t="s">
        <v>3</v>
      </c>
      <c r="BP218" s="2">
        <v>0</v>
      </c>
      <c r="BQ218" s="2">
        <v>200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0</v>
      </c>
      <c r="CA218" s="2">
        <v>0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259"/>
        <v>1512.74</v>
      </c>
      <c r="CQ218" s="2">
        <f t="shared" si="260"/>
        <v>17.59</v>
      </c>
      <c r="CR218" s="2">
        <f t="shared" si="283"/>
        <v>0</v>
      </c>
      <c r="CS218" s="2">
        <f t="shared" si="284"/>
        <v>0</v>
      </c>
      <c r="CT218" s="2">
        <f t="shared" si="261"/>
        <v>0</v>
      </c>
      <c r="CU218" s="2">
        <f t="shared" si="262"/>
        <v>0</v>
      </c>
      <c r="CV218" s="2">
        <f t="shared" si="263"/>
        <v>0</v>
      </c>
      <c r="CW218" s="2">
        <f t="shared" si="264"/>
        <v>0</v>
      </c>
      <c r="CX218" s="2">
        <f t="shared" si="265"/>
        <v>0</v>
      </c>
      <c r="CY218" s="2">
        <f t="shared" si="285"/>
        <v>0</v>
      </c>
      <c r="CZ218" s="2">
        <f t="shared" si="286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31</v>
      </c>
      <c r="DW218" s="2" t="s">
        <v>31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60088328</v>
      </c>
      <c r="EF218" s="2">
        <v>200</v>
      </c>
      <c r="EG218" s="2" t="s">
        <v>210</v>
      </c>
      <c r="EH218" s="2">
        <v>0</v>
      </c>
      <c r="EI218" s="2" t="s">
        <v>3</v>
      </c>
      <c r="EJ218" s="2">
        <v>1</v>
      </c>
      <c r="EK218" s="2">
        <v>1617</v>
      </c>
      <c r="EL218" s="2" t="s">
        <v>211</v>
      </c>
      <c r="EM218" s="2" t="s">
        <v>212</v>
      </c>
      <c r="EN218" s="2"/>
      <c r="EO218" s="2" t="s">
        <v>3</v>
      </c>
      <c r="EP218" s="2"/>
      <c r="EQ218" s="2">
        <v>0</v>
      </c>
      <c r="ER218" s="2">
        <v>17.59</v>
      </c>
      <c r="ES218" s="2">
        <v>17.59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0</v>
      </c>
      <c r="FY218" s="2">
        <v>0</v>
      </c>
      <c r="FZ218" s="2"/>
      <c r="GA218" s="2" t="s">
        <v>3</v>
      </c>
      <c r="GB218" s="2"/>
      <c r="GC218" s="2"/>
      <c r="GD218" s="2">
        <v>1</v>
      </c>
      <c r="GE218" s="2"/>
      <c r="GF218" s="2">
        <v>-136025490</v>
      </c>
      <c r="GG218" s="2">
        <v>2</v>
      </c>
      <c r="GH218" s="2">
        <v>1</v>
      </c>
      <c r="GI218" s="2">
        <v>-2</v>
      </c>
      <c r="GJ218" s="2">
        <v>0</v>
      </c>
      <c r="GK218" s="2">
        <v>0</v>
      </c>
      <c r="GL218" s="2">
        <f t="shared" si="266"/>
        <v>0</v>
      </c>
      <c r="GM218" s="2">
        <f t="shared" si="267"/>
        <v>1512.74</v>
      </c>
      <c r="GN218" s="2">
        <f t="shared" si="268"/>
        <v>1512.74</v>
      </c>
      <c r="GO218" s="2">
        <f t="shared" si="269"/>
        <v>0</v>
      </c>
      <c r="GP218" s="2">
        <f t="shared" si="270"/>
        <v>0</v>
      </c>
      <c r="GQ218" s="2"/>
      <c r="GR218" s="2">
        <v>0</v>
      </c>
      <c r="GS218" s="2">
        <v>3</v>
      </c>
      <c r="GT218" s="2">
        <v>0</v>
      </c>
      <c r="GU218" s="2" t="s">
        <v>3</v>
      </c>
      <c r="GV218" s="2">
        <f t="shared" si="271"/>
        <v>0</v>
      </c>
      <c r="GW218" s="2">
        <v>1</v>
      </c>
      <c r="GX218" s="2">
        <f t="shared" si="272"/>
        <v>0</v>
      </c>
      <c r="GY218" s="2"/>
      <c r="GZ218" s="2"/>
      <c r="HA218" s="2">
        <v>0</v>
      </c>
      <c r="HB218" s="2">
        <v>0</v>
      </c>
      <c r="HC218" s="2">
        <f t="shared" si="273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>
        <v>17</v>
      </c>
      <c r="B219">
        <v>1</v>
      </c>
      <c r="E219" t="s">
        <v>310</v>
      </c>
      <c r="F219" t="s">
        <v>311</v>
      </c>
      <c r="G219" t="s">
        <v>312</v>
      </c>
      <c r="H219" t="s">
        <v>31</v>
      </c>
      <c r="I219">
        <v>86</v>
      </c>
      <c r="J219">
        <v>0</v>
      </c>
      <c r="K219">
        <v>86</v>
      </c>
      <c r="O219">
        <f t="shared" si="248"/>
        <v>10982.49</v>
      </c>
      <c r="P219">
        <f t="shared" si="249"/>
        <v>10982.49</v>
      </c>
      <c r="Q219">
        <f t="shared" si="274"/>
        <v>0</v>
      </c>
      <c r="R219">
        <f t="shared" si="275"/>
        <v>0</v>
      </c>
      <c r="S219">
        <f t="shared" si="250"/>
        <v>0</v>
      </c>
      <c r="T219">
        <f t="shared" si="251"/>
        <v>0</v>
      </c>
      <c r="U219">
        <f t="shared" si="252"/>
        <v>0</v>
      </c>
      <c r="V219">
        <f t="shared" si="253"/>
        <v>0</v>
      </c>
      <c r="W219">
        <f t="shared" si="254"/>
        <v>0</v>
      </c>
      <c r="X219">
        <f t="shared" si="276"/>
        <v>0</v>
      </c>
      <c r="Y219">
        <f t="shared" si="277"/>
        <v>0</v>
      </c>
      <c r="AA219">
        <v>60255011</v>
      </c>
      <c r="AB219">
        <f t="shared" si="255"/>
        <v>17.59</v>
      </c>
      <c r="AC219">
        <f t="shared" si="256"/>
        <v>17.59</v>
      </c>
      <c r="AD219">
        <f t="shared" si="278"/>
        <v>0</v>
      </c>
      <c r="AE219">
        <f t="shared" si="279"/>
        <v>0</v>
      </c>
      <c r="AF219">
        <f t="shared" si="280"/>
        <v>0</v>
      </c>
      <c r="AG219">
        <f t="shared" si="257"/>
        <v>0</v>
      </c>
      <c r="AH219">
        <f t="shared" si="281"/>
        <v>0</v>
      </c>
      <c r="AI219">
        <f t="shared" si="282"/>
        <v>0</v>
      </c>
      <c r="AJ219">
        <f t="shared" si="258"/>
        <v>0</v>
      </c>
      <c r="AK219">
        <v>17.59</v>
      </c>
      <c r="AL219">
        <v>17.59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Z219">
        <v>1</v>
      </c>
      <c r="BA219">
        <v>1</v>
      </c>
      <c r="BB219">
        <v>1</v>
      </c>
      <c r="BC219">
        <v>7.26</v>
      </c>
      <c r="BD219" t="s">
        <v>3</v>
      </c>
      <c r="BE219" t="s">
        <v>3</v>
      </c>
      <c r="BF219" t="s">
        <v>3</v>
      </c>
      <c r="BG219" t="s">
        <v>3</v>
      </c>
      <c r="BH219">
        <v>3</v>
      </c>
      <c r="BI219">
        <v>1</v>
      </c>
      <c r="BJ219" t="s">
        <v>313</v>
      </c>
      <c r="BM219">
        <v>1617</v>
      </c>
      <c r="BN219">
        <v>58973374</v>
      </c>
      <c r="BO219" t="s">
        <v>311</v>
      </c>
      <c r="BP219">
        <v>1</v>
      </c>
      <c r="BQ219">
        <v>200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 t="s">
        <v>3</v>
      </c>
      <c r="BZ219">
        <v>0</v>
      </c>
      <c r="CA219">
        <v>0</v>
      </c>
      <c r="CB219" t="s">
        <v>3</v>
      </c>
      <c r="CE219">
        <v>1566</v>
      </c>
      <c r="CF219">
        <v>0</v>
      </c>
      <c r="CG219">
        <v>0</v>
      </c>
      <c r="CM219">
        <v>0</v>
      </c>
      <c r="CN219" t="s">
        <v>3</v>
      </c>
      <c r="CO219">
        <v>0</v>
      </c>
      <c r="CP219">
        <f t="shared" si="259"/>
        <v>10982.49</v>
      </c>
      <c r="CQ219">
        <f t="shared" si="260"/>
        <v>127.7</v>
      </c>
      <c r="CR219">
        <f t="shared" si="283"/>
        <v>0</v>
      </c>
      <c r="CS219">
        <f t="shared" si="284"/>
        <v>0</v>
      </c>
      <c r="CT219">
        <f t="shared" si="261"/>
        <v>0</v>
      </c>
      <c r="CU219">
        <f t="shared" si="262"/>
        <v>0</v>
      </c>
      <c r="CV219">
        <f t="shared" si="263"/>
        <v>0</v>
      </c>
      <c r="CW219">
        <f t="shared" si="264"/>
        <v>0</v>
      </c>
      <c r="CX219">
        <f t="shared" si="265"/>
        <v>0</v>
      </c>
      <c r="CY219">
        <f t="shared" si="285"/>
        <v>0</v>
      </c>
      <c r="CZ219">
        <f t="shared" si="286"/>
        <v>0</v>
      </c>
      <c r="DC219" t="s">
        <v>3</v>
      </c>
      <c r="DD219" t="s">
        <v>3</v>
      </c>
      <c r="DE219" t="s">
        <v>3</v>
      </c>
      <c r="DF219" t="s">
        <v>3</v>
      </c>
      <c r="DG219" t="s">
        <v>3</v>
      </c>
      <c r="DH219" t="s">
        <v>3</v>
      </c>
      <c r="DI219" t="s">
        <v>3</v>
      </c>
      <c r="DJ219" t="s">
        <v>3</v>
      </c>
      <c r="DK219" t="s">
        <v>3</v>
      </c>
      <c r="DL219" t="s">
        <v>3</v>
      </c>
      <c r="DM219" t="s">
        <v>3</v>
      </c>
      <c r="DN219">
        <v>0</v>
      </c>
      <c r="DO219">
        <v>0</v>
      </c>
      <c r="DP219">
        <v>1</v>
      </c>
      <c r="DQ219">
        <v>1</v>
      </c>
      <c r="DU219">
        <v>1010</v>
      </c>
      <c r="DV219" t="s">
        <v>31</v>
      </c>
      <c r="DW219" t="s">
        <v>31</v>
      </c>
      <c r="DX219">
        <v>1</v>
      </c>
      <c r="DZ219" t="s">
        <v>3</v>
      </c>
      <c r="EA219" t="s">
        <v>3</v>
      </c>
      <c r="EB219" t="s">
        <v>3</v>
      </c>
      <c r="EC219" t="s">
        <v>3</v>
      </c>
      <c r="EE219">
        <v>60088328</v>
      </c>
      <c r="EF219">
        <v>200</v>
      </c>
      <c r="EG219" t="s">
        <v>210</v>
      </c>
      <c r="EH219">
        <v>0</v>
      </c>
      <c r="EI219" t="s">
        <v>3</v>
      </c>
      <c r="EJ219">
        <v>1</v>
      </c>
      <c r="EK219">
        <v>1617</v>
      </c>
      <c r="EL219" t="s">
        <v>211</v>
      </c>
      <c r="EM219" t="s">
        <v>212</v>
      </c>
      <c r="EO219" t="s">
        <v>3</v>
      </c>
      <c r="EQ219">
        <v>0</v>
      </c>
      <c r="ER219">
        <v>17.59</v>
      </c>
      <c r="ES219">
        <v>17.59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FQ219">
        <v>0</v>
      </c>
      <c r="FR219">
        <v>0</v>
      </c>
      <c r="FS219">
        <v>0</v>
      </c>
      <c r="FX219">
        <v>0</v>
      </c>
      <c r="FY219">
        <v>0</v>
      </c>
      <c r="GA219" t="s">
        <v>3</v>
      </c>
      <c r="GD219">
        <v>1</v>
      </c>
      <c r="GF219">
        <v>-136025490</v>
      </c>
      <c r="GG219">
        <v>2</v>
      </c>
      <c r="GH219">
        <v>1</v>
      </c>
      <c r="GI219">
        <v>2</v>
      </c>
      <c r="GJ219">
        <v>0</v>
      </c>
      <c r="GK219">
        <v>0</v>
      </c>
      <c r="GL219">
        <f t="shared" si="266"/>
        <v>0</v>
      </c>
      <c r="GM219">
        <f t="shared" si="267"/>
        <v>10982.49</v>
      </c>
      <c r="GN219">
        <f t="shared" si="268"/>
        <v>10982.49</v>
      </c>
      <c r="GO219">
        <f t="shared" si="269"/>
        <v>0</v>
      </c>
      <c r="GP219">
        <f t="shared" si="270"/>
        <v>0</v>
      </c>
      <c r="GR219">
        <v>0</v>
      </c>
      <c r="GS219">
        <v>3</v>
      </c>
      <c r="GT219">
        <v>0</v>
      </c>
      <c r="GU219" t="s">
        <v>3</v>
      </c>
      <c r="GV219">
        <f t="shared" si="271"/>
        <v>0</v>
      </c>
      <c r="GW219">
        <v>1</v>
      </c>
      <c r="GX219">
        <f t="shared" si="272"/>
        <v>0</v>
      </c>
      <c r="HA219">
        <v>0</v>
      </c>
      <c r="HB219">
        <v>0</v>
      </c>
      <c r="HC219">
        <f t="shared" si="273"/>
        <v>0</v>
      </c>
      <c r="HE219" t="s">
        <v>3</v>
      </c>
      <c r="HF219" t="s">
        <v>3</v>
      </c>
      <c r="HM219" t="s">
        <v>3</v>
      </c>
      <c r="HN219" t="s">
        <v>3</v>
      </c>
      <c r="HO219" t="s">
        <v>3</v>
      </c>
      <c r="HP219" t="s">
        <v>3</v>
      </c>
      <c r="HQ219" t="s">
        <v>3</v>
      </c>
      <c r="HS219">
        <v>0</v>
      </c>
      <c r="IK219">
        <v>0</v>
      </c>
    </row>
    <row r="220" spans="1:255" x14ac:dyDescent="0.2">
      <c r="A220" s="2">
        <v>17</v>
      </c>
      <c r="B220" s="2">
        <v>1</v>
      </c>
      <c r="C220" s="2"/>
      <c r="D220" s="2"/>
      <c r="E220" s="2" t="s">
        <v>314</v>
      </c>
      <c r="F220" s="2" t="s">
        <v>315</v>
      </c>
      <c r="G220" s="2" t="s">
        <v>316</v>
      </c>
      <c r="H220" s="2" t="s">
        <v>31</v>
      </c>
      <c r="I220" s="2">
        <v>10</v>
      </c>
      <c r="J220" s="2">
        <v>0</v>
      </c>
      <c r="K220" s="2">
        <v>10</v>
      </c>
      <c r="L220" s="2"/>
      <c r="M220" s="2"/>
      <c r="N220" s="2"/>
      <c r="O220" s="2">
        <f t="shared" si="248"/>
        <v>281.60000000000002</v>
      </c>
      <c r="P220" s="2">
        <f t="shared" si="249"/>
        <v>281.60000000000002</v>
      </c>
      <c r="Q220" s="2">
        <f t="shared" si="274"/>
        <v>0</v>
      </c>
      <c r="R220" s="2">
        <f t="shared" si="275"/>
        <v>0</v>
      </c>
      <c r="S220" s="2">
        <f t="shared" si="250"/>
        <v>0</v>
      </c>
      <c r="T220" s="2">
        <f t="shared" si="251"/>
        <v>0</v>
      </c>
      <c r="U220" s="2">
        <f t="shared" si="252"/>
        <v>0</v>
      </c>
      <c r="V220" s="2">
        <f t="shared" si="253"/>
        <v>0</v>
      </c>
      <c r="W220" s="2">
        <f t="shared" si="254"/>
        <v>0</v>
      </c>
      <c r="X220" s="2">
        <f t="shared" si="276"/>
        <v>0</v>
      </c>
      <c r="Y220" s="2">
        <f t="shared" si="277"/>
        <v>0</v>
      </c>
      <c r="Z220" s="2"/>
      <c r="AA220" s="2">
        <v>60255014</v>
      </c>
      <c r="AB220" s="2">
        <f t="shared" si="255"/>
        <v>28.16</v>
      </c>
      <c r="AC220" s="2">
        <f t="shared" si="256"/>
        <v>28.16</v>
      </c>
      <c r="AD220" s="2">
        <f t="shared" si="278"/>
        <v>0</v>
      </c>
      <c r="AE220" s="2">
        <f t="shared" si="279"/>
        <v>0</v>
      </c>
      <c r="AF220" s="2">
        <f t="shared" si="280"/>
        <v>0</v>
      </c>
      <c r="AG220" s="2">
        <f t="shared" si="257"/>
        <v>0</v>
      </c>
      <c r="AH220" s="2">
        <f t="shared" si="281"/>
        <v>0</v>
      </c>
      <c r="AI220" s="2">
        <f t="shared" si="282"/>
        <v>0</v>
      </c>
      <c r="AJ220" s="2">
        <f t="shared" si="258"/>
        <v>0</v>
      </c>
      <c r="AK220" s="2">
        <v>28.16</v>
      </c>
      <c r="AL220" s="2">
        <v>28.16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1</v>
      </c>
      <c r="BJ220" s="2" t="s">
        <v>317</v>
      </c>
      <c r="BK220" s="2"/>
      <c r="BL220" s="2"/>
      <c r="BM220" s="2">
        <v>1617</v>
      </c>
      <c r="BN220" s="2">
        <v>58973374</v>
      </c>
      <c r="BO220" s="2" t="s">
        <v>3</v>
      </c>
      <c r="BP220" s="2">
        <v>0</v>
      </c>
      <c r="BQ220" s="2">
        <v>200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si="259"/>
        <v>281.60000000000002</v>
      </c>
      <c r="CQ220" s="2">
        <f t="shared" si="260"/>
        <v>28.16</v>
      </c>
      <c r="CR220" s="2">
        <f t="shared" si="283"/>
        <v>0</v>
      </c>
      <c r="CS220" s="2">
        <f t="shared" si="284"/>
        <v>0</v>
      </c>
      <c r="CT220" s="2">
        <f t="shared" si="261"/>
        <v>0</v>
      </c>
      <c r="CU220" s="2">
        <f t="shared" si="262"/>
        <v>0</v>
      </c>
      <c r="CV220" s="2">
        <f t="shared" si="263"/>
        <v>0</v>
      </c>
      <c r="CW220" s="2">
        <f t="shared" si="264"/>
        <v>0</v>
      </c>
      <c r="CX220" s="2">
        <f t="shared" si="265"/>
        <v>0</v>
      </c>
      <c r="CY220" s="2">
        <f t="shared" si="285"/>
        <v>0</v>
      </c>
      <c r="CZ220" s="2">
        <f t="shared" si="286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1010</v>
      </c>
      <c r="DV220" s="2" t="s">
        <v>31</v>
      </c>
      <c r="DW220" s="2" t="s">
        <v>31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60088328</v>
      </c>
      <c r="EF220" s="2">
        <v>200</v>
      </c>
      <c r="EG220" s="2" t="s">
        <v>210</v>
      </c>
      <c r="EH220" s="2">
        <v>0</v>
      </c>
      <c r="EI220" s="2" t="s">
        <v>3</v>
      </c>
      <c r="EJ220" s="2">
        <v>1</v>
      </c>
      <c r="EK220" s="2">
        <v>1617</v>
      </c>
      <c r="EL220" s="2" t="s">
        <v>211</v>
      </c>
      <c r="EM220" s="2" t="s">
        <v>212</v>
      </c>
      <c r="EN220" s="2"/>
      <c r="EO220" s="2" t="s">
        <v>3</v>
      </c>
      <c r="EP220" s="2"/>
      <c r="EQ220" s="2">
        <v>0</v>
      </c>
      <c r="ER220" s="2">
        <v>28.16</v>
      </c>
      <c r="ES220" s="2">
        <v>28.16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3</v>
      </c>
      <c r="GB220" s="2"/>
      <c r="GC220" s="2"/>
      <c r="GD220" s="2">
        <v>1</v>
      </c>
      <c r="GE220" s="2"/>
      <c r="GF220" s="2">
        <v>1989707889</v>
      </c>
      <c r="GG220" s="2">
        <v>2</v>
      </c>
      <c r="GH220" s="2">
        <v>1</v>
      </c>
      <c r="GI220" s="2">
        <v>-2</v>
      </c>
      <c r="GJ220" s="2">
        <v>0</v>
      </c>
      <c r="GK220" s="2">
        <v>0</v>
      </c>
      <c r="GL220" s="2">
        <f t="shared" si="266"/>
        <v>0</v>
      </c>
      <c r="GM220" s="2">
        <f t="shared" si="267"/>
        <v>281.60000000000002</v>
      </c>
      <c r="GN220" s="2">
        <f t="shared" si="268"/>
        <v>281.60000000000002</v>
      </c>
      <c r="GO220" s="2">
        <f t="shared" si="269"/>
        <v>0</v>
      </c>
      <c r="GP220" s="2">
        <f t="shared" si="270"/>
        <v>0</v>
      </c>
      <c r="GQ220" s="2"/>
      <c r="GR220" s="2">
        <v>0</v>
      </c>
      <c r="GS220" s="2">
        <v>3</v>
      </c>
      <c r="GT220" s="2">
        <v>0</v>
      </c>
      <c r="GU220" s="2" t="s">
        <v>3</v>
      </c>
      <c r="GV220" s="2">
        <f t="shared" si="271"/>
        <v>0</v>
      </c>
      <c r="GW220" s="2">
        <v>1</v>
      </c>
      <c r="GX220" s="2">
        <f t="shared" si="272"/>
        <v>0</v>
      </c>
      <c r="GY220" s="2"/>
      <c r="GZ220" s="2"/>
      <c r="HA220" s="2">
        <v>0</v>
      </c>
      <c r="HB220" s="2">
        <v>0</v>
      </c>
      <c r="HC220" s="2">
        <f t="shared" si="273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>
        <v>17</v>
      </c>
      <c r="B221">
        <v>1</v>
      </c>
      <c r="E221" t="s">
        <v>314</v>
      </c>
      <c r="F221" t="s">
        <v>315</v>
      </c>
      <c r="G221" t="s">
        <v>316</v>
      </c>
      <c r="H221" t="s">
        <v>31</v>
      </c>
      <c r="I221">
        <v>10</v>
      </c>
      <c r="J221">
        <v>0</v>
      </c>
      <c r="K221">
        <v>10</v>
      </c>
      <c r="O221">
        <f t="shared" si="248"/>
        <v>1540.35</v>
      </c>
      <c r="P221">
        <f t="shared" si="249"/>
        <v>1540.35</v>
      </c>
      <c r="Q221">
        <f t="shared" si="274"/>
        <v>0</v>
      </c>
      <c r="R221">
        <f t="shared" si="275"/>
        <v>0</v>
      </c>
      <c r="S221">
        <f t="shared" si="250"/>
        <v>0</v>
      </c>
      <c r="T221">
        <f t="shared" si="251"/>
        <v>0</v>
      </c>
      <c r="U221">
        <f t="shared" si="252"/>
        <v>0</v>
      </c>
      <c r="V221">
        <f t="shared" si="253"/>
        <v>0</v>
      </c>
      <c r="W221">
        <f t="shared" si="254"/>
        <v>0</v>
      </c>
      <c r="X221">
        <f t="shared" si="276"/>
        <v>0</v>
      </c>
      <c r="Y221">
        <f t="shared" si="277"/>
        <v>0</v>
      </c>
      <c r="AA221">
        <v>60255011</v>
      </c>
      <c r="AB221">
        <f t="shared" si="255"/>
        <v>28.16</v>
      </c>
      <c r="AC221">
        <f t="shared" si="256"/>
        <v>28.16</v>
      </c>
      <c r="AD221">
        <f t="shared" si="278"/>
        <v>0</v>
      </c>
      <c r="AE221">
        <f t="shared" si="279"/>
        <v>0</v>
      </c>
      <c r="AF221">
        <f t="shared" si="280"/>
        <v>0</v>
      </c>
      <c r="AG221">
        <f t="shared" si="257"/>
        <v>0</v>
      </c>
      <c r="AH221">
        <f t="shared" si="281"/>
        <v>0</v>
      </c>
      <c r="AI221">
        <f t="shared" si="282"/>
        <v>0</v>
      </c>
      <c r="AJ221">
        <f t="shared" si="258"/>
        <v>0</v>
      </c>
      <c r="AK221">
        <v>28.16</v>
      </c>
      <c r="AL221">
        <v>28.16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Z221">
        <v>1</v>
      </c>
      <c r="BA221">
        <v>1</v>
      </c>
      <c r="BB221">
        <v>1</v>
      </c>
      <c r="BC221">
        <v>5.47</v>
      </c>
      <c r="BD221" t="s">
        <v>3</v>
      </c>
      <c r="BE221" t="s">
        <v>3</v>
      </c>
      <c r="BF221" t="s">
        <v>3</v>
      </c>
      <c r="BG221" t="s">
        <v>3</v>
      </c>
      <c r="BH221">
        <v>3</v>
      </c>
      <c r="BI221">
        <v>1</v>
      </c>
      <c r="BJ221" t="s">
        <v>317</v>
      </c>
      <c r="BM221">
        <v>1617</v>
      </c>
      <c r="BN221">
        <v>58973374</v>
      </c>
      <c r="BO221" t="s">
        <v>315</v>
      </c>
      <c r="BP221">
        <v>1</v>
      </c>
      <c r="BQ221">
        <v>200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 t="s">
        <v>3</v>
      </c>
      <c r="BZ221">
        <v>0</v>
      </c>
      <c r="CA221">
        <v>0</v>
      </c>
      <c r="CB221" t="s">
        <v>3</v>
      </c>
      <c r="CE221">
        <v>1566</v>
      </c>
      <c r="CF221">
        <v>0</v>
      </c>
      <c r="CG221">
        <v>0</v>
      </c>
      <c r="CM221">
        <v>0</v>
      </c>
      <c r="CN221" t="s">
        <v>3</v>
      </c>
      <c r="CO221">
        <v>0</v>
      </c>
      <c r="CP221">
        <f t="shared" si="259"/>
        <v>1540.35</v>
      </c>
      <c r="CQ221">
        <f t="shared" si="260"/>
        <v>154.04</v>
      </c>
      <c r="CR221">
        <f t="shared" si="283"/>
        <v>0</v>
      </c>
      <c r="CS221">
        <f t="shared" si="284"/>
        <v>0</v>
      </c>
      <c r="CT221">
        <f t="shared" si="261"/>
        <v>0</v>
      </c>
      <c r="CU221">
        <f t="shared" si="262"/>
        <v>0</v>
      </c>
      <c r="CV221">
        <f t="shared" si="263"/>
        <v>0</v>
      </c>
      <c r="CW221">
        <f t="shared" si="264"/>
        <v>0</v>
      </c>
      <c r="CX221">
        <f t="shared" si="265"/>
        <v>0</v>
      </c>
      <c r="CY221">
        <f t="shared" si="285"/>
        <v>0</v>
      </c>
      <c r="CZ221">
        <f t="shared" si="286"/>
        <v>0</v>
      </c>
      <c r="DC221" t="s">
        <v>3</v>
      </c>
      <c r="DD221" t="s">
        <v>3</v>
      </c>
      <c r="DE221" t="s">
        <v>3</v>
      </c>
      <c r="DF221" t="s">
        <v>3</v>
      </c>
      <c r="DG221" t="s">
        <v>3</v>
      </c>
      <c r="DH221" t="s">
        <v>3</v>
      </c>
      <c r="DI221" t="s">
        <v>3</v>
      </c>
      <c r="DJ221" t="s">
        <v>3</v>
      </c>
      <c r="DK221" t="s">
        <v>3</v>
      </c>
      <c r="DL221" t="s">
        <v>3</v>
      </c>
      <c r="DM221" t="s">
        <v>3</v>
      </c>
      <c r="DN221">
        <v>0</v>
      </c>
      <c r="DO221">
        <v>0</v>
      </c>
      <c r="DP221">
        <v>1</v>
      </c>
      <c r="DQ221">
        <v>1</v>
      </c>
      <c r="DU221">
        <v>1010</v>
      </c>
      <c r="DV221" t="s">
        <v>31</v>
      </c>
      <c r="DW221" t="s">
        <v>31</v>
      </c>
      <c r="DX221">
        <v>1</v>
      </c>
      <c r="DZ221" t="s">
        <v>3</v>
      </c>
      <c r="EA221" t="s">
        <v>3</v>
      </c>
      <c r="EB221" t="s">
        <v>3</v>
      </c>
      <c r="EC221" t="s">
        <v>3</v>
      </c>
      <c r="EE221">
        <v>60088328</v>
      </c>
      <c r="EF221">
        <v>200</v>
      </c>
      <c r="EG221" t="s">
        <v>210</v>
      </c>
      <c r="EH221">
        <v>0</v>
      </c>
      <c r="EI221" t="s">
        <v>3</v>
      </c>
      <c r="EJ221">
        <v>1</v>
      </c>
      <c r="EK221">
        <v>1617</v>
      </c>
      <c r="EL221" t="s">
        <v>211</v>
      </c>
      <c r="EM221" t="s">
        <v>212</v>
      </c>
      <c r="EO221" t="s">
        <v>3</v>
      </c>
      <c r="EQ221">
        <v>0</v>
      </c>
      <c r="ER221">
        <v>28.16</v>
      </c>
      <c r="ES221">
        <v>28.16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FQ221">
        <v>0</v>
      </c>
      <c r="FR221">
        <v>0</v>
      </c>
      <c r="FS221">
        <v>0</v>
      </c>
      <c r="FX221">
        <v>0</v>
      </c>
      <c r="FY221">
        <v>0</v>
      </c>
      <c r="GA221" t="s">
        <v>3</v>
      </c>
      <c r="GD221">
        <v>1</v>
      </c>
      <c r="GF221">
        <v>1989707889</v>
      </c>
      <c r="GG221">
        <v>2</v>
      </c>
      <c r="GH221">
        <v>1</v>
      </c>
      <c r="GI221">
        <v>2</v>
      </c>
      <c r="GJ221">
        <v>0</v>
      </c>
      <c r="GK221">
        <v>0</v>
      </c>
      <c r="GL221">
        <f t="shared" si="266"/>
        <v>0</v>
      </c>
      <c r="GM221">
        <f t="shared" si="267"/>
        <v>1540.35</v>
      </c>
      <c r="GN221">
        <f t="shared" si="268"/>
        <v>1540.35</v>
      </c>
      <c r="GO221">
        <f t="shared" si="269"/>
        <v>0</v>
      </c>
      <c r="GP221">
        <f t="shared" si="270"/>
        <v>0</v>
      </c>
      <c r="GR221">
        <v>0</v>
      </c>
      <c r="GS221">
        <v>3</v>
      </c>
      <c r="GT221">
        <v>0</v>
      </c>
      <c r="GU221" t="s">
        <v>3</v>
      </c>
      <c r="GV221">
        <f t="shared" si="271"/>
        <v>0</v>
      </c>
      <c r="GW221">
        <v>1</v>
      </c>
      <c r="GX221">
        <f t="shared" si="272"/>
        <v>0</v>
      </c>
      <c r="HA221">
        <v>0</v>
      </c>
      <c r="HB221">
        <v>0</v>
      </c>
      <c r="HC221">
        <f t="shared" si="273"/>
        <v>0</v>
      </c>
      <c r="HE221" t="s">
        <v>3</v>
      </c>
      <c r="HF221" t="s">
        <v>3</v>
      </c>
      <c r="HM221" t="s">
        <v>3</v>
      </c>
      <c r="HN221" t="s">
        <v>3</v>
      </c>
      <c r="HO221" t="s">
        <v>3</v>
      </c>
      <c r="HP221" t="s">
        <v>3</v>
      </c>
      <c r="HQ221" t="s">
        <v>3</v>
      </c>
      <c r="HS221">
        <v>0</v>
      </c>
      <c r="IK221">
        <v>0</v>
      </c>
    </row>
    <row r="222" spans="1:255" x14ac:dyDescent="0.2">
      <c r="A222" s="2">
        <v>17</v>
      </c>
      <c r="B222" s="2">
        <v>1</v>
      </c>
      <c r="C222" s="2"/>
      <c r="D222" s="2"/>
      <c r="E222" s="2" t="s">
        <v>318</v>
      </c>
      <c r="F222" s="2" t="s">
        <v>319</v>
      </c>
      <c r="G222" s="2" t="s">
        <v>320</v>
      </c>
      <c r="H222" s="2" t="s">
        <v>31</v>
      </c>
      <c r="I222" s="2">
        <v>6</v>
      </c>
      <c r="J222" s="2">
        <v>0</v>
      </c>
      <c r="K222" s="2">
        <v>6</v>
      </c>
      <c r="L222" s="2"/>
      <c r="M222" s="2"/>
      <c r="N222" s="2"/>
      <c r="O222" s="2">
        <f t="shared" si="248"/>
        <v>400.86</v>
      </c>
      <c r="P222" s="2">
        <f t="shared" si="249"/>
        <v>400.86</v>
      </c>
      <c r="Q222" s="2">
        <f t="shared" si="274"/>
        <v>0</v>
      </c>
      <c r="R222" s="2">
        <f t="shared" si="275"/>
        <v>0</v>
      </c>
      <c r="S222" s="2">
        <f t="shared" si="250"/>
        <v>0</v>
      </c>
      <c r="T222" s="2">
        <f t="shared" si="251"/>
        <v>0</v>
      </c>
      <c r="U222" s="2">
        <f t="shared" si="252"/>
        <v>0</v>
      </c>
      <c r="V222" s="2">
        <f t="shared" si="253"/>
        <v>0</v>
      </c>
      <c r="W222" s="2">
        <f t="shared" si="254"/>
        <v>0</v>
      </c>
      <c r="X222" s="2">
        <f t="shared" si="276"/>
        <v>0</v>
      </c>
      <c r="Y222" s="2">
        <f t="shared" si="277"/>
        <v>0</v>
      </c>
      <c r="Z222" s="2"/>
      <c r="AA222" s="2">
        <v>60255014</v>
      </c>
      <c r="AB222" s="2">
        <f t="shared" si="255"/>
        <v>66.81</v>
      </c>
      <c r="AC222" s="2">
        <f t="shared" si="256"/>
        <v>66.81</v>
      </c>
      <c r="AD222" s="2">
        <f t="shared" si="278"/>
        <v>0</v>
      </c>
      <c r="AE222" s="2">
        <f t="shared" si="279"/>
        <v>0</v>
      </c>
      <c r="AF222" s="2">
        <f t="shared" si="280"/>
        <v>0</v>
      </c>
      <c r="AG222" s="2">
        <f t="shared" si="257"/>
        <v>0</v>
      </c>
      <c r="AH222" s="2">
        <f t="shared" si="281"/>
        <v>0</v>
      </c>
      <c r="AI222" s="2">
        <f t="shared" si="282"/>
        <v>0</v>
      </c>
      <c r="AJ222" s="2">
        <f t="shared" si="258"/>
        <v>0</v>
      </c>
      <c r="AK222" s="2">
        <v>66.81</v>
      </c>
      <c r="AL222" s="2">
        <v>66.81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1</v>
      </c>
      <c r="BJ222" s="2" t="s">
        <v>321</v>
      </c>
      <c r="BK222" s="2"/>
      <c r="BL222" s="2"/>
      <c r="BM222" s="2">
        <v>1617</v>
      </c>
      <c r="BN222" s="2">
        <v>58973374</v>
      </c>
      <c r="BO222" s="2" t="s">
        <v>3</v>
      </c>
      <c r="BP222" s="2">
        <v>0</v>
      </c>
      <c r="BQ222" s="2">
        <v>200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0</v>
      </c>
      <c r="CA222" s="2">
        <v>0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259"/>
        <v>400.86</v>
      </c>
      <c r="CQ222" s="2">
        <f t="shared" si="260"/>
        <v>66.81</v>
      </c>
      <c r="CR222" s="2">
        <f t="shared" si="283"/>
        <v>0</v>
      </c>
      <c r="CS222" s="2">
        <f t="shared" si="284"/>
        <v>0</v>
      </c>
      <c r="CT222" s="2">
        <f t="shared" si="261"/>
        <v>0</v>
      </c>
      <c r="CU222" s="2">
        <f t="shared" si="262"/>
        <v>0</v>
      </c>
      <c r="CV222" s="2">
        <f t="shared" si="263"/>
        <v>0</v>
      </c>
      <c r="CW222" s="2">
        <f t="shared" si="264"/>
        <v>0</v>
      </c>
      <c r="CX222" s="2">
        <f t="shared" si="265"/>
        <v>0</v>
      </c>
      <c r="CY222" s="2">
        <f t="shared" si="285"/>
        <v>0</v>
      </c>
      <c r="CZ222" s="2">
        <f t="shared" si="286"/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1010</v>
      </c>
      <c r="DV222" s="2" t="s">
        <v>31</v>
      </c>
      <c r="DW222" s="2" t="s">
        <v>31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60088328</v>
      </c>
      <c r="EF222" s="2">
        <v>200</v>
      </c>
      <c r="EG222" s="2" t="s">
        <v>210</v>
      </c>
      <c r="EH222" s="2">
        <v>0</v>
      </c>
      <c r="EI222" s="2" t="s">
        <v>3</v>
      </c>
      <c r="EJ222" s="2">
        <v>1</v>
      </c>
      <c r="EK222" s="2">
        <v>1617</v>
      </c>
      <c r="EL222" s="2" t="s">
        <v>211</v>
      </c>
      <c r="EM222" s="2" t="s">
        <v>212</v>
      </c>
      <c r="EN222" s="2"/>
      <c r="EO222" s="2" t="s">
        <v>3</v>
      </c>
      <c r="EP222" s="2"/>
      <c r="EQ222" s="2">
        <v>0</v>
      </c>
      <c r="ER222" s="2">
        <v>66.81</v>
      </c>
      <c r="ES222" s="2">
        <v>66.81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0</v>
      </c>
      <c r="FY222" s="2">
        <v>0</v>
      </c>
      <c r="FZ222" s="2"/>
      <c r="GA222" s="2" t="s">
        <v>3</v>
      </c>
      <c r="GB222" s="2"/>
      <c r="GC222" s="2"/>
      <c r="GD222" s="2">
        <v>1</v>
      </c>
      <c r="GE222" s="2"/>
      <c r="GF222" s="2">
        <v>-1553316623</v>
      </c>
      <c r="GG222" s="2">
        <v>2</v>
      </c>
      <c r="GH222" s="2">
        <v>1</v>
      </c>
      <c r="GI222" s="2">
        <v>-2</v>
      </c>
      <c r="GJ222" s="2">
        <v>0</v>
      </c>
      <c r="GK222" s="2">
        <v>0</v>
      </c>
      <c r="GL222" s="2">
        <f t="shared" si="266"/>
        <v>0</v>
      </c>
      <c r="GM222" s="2">
        <f t="shared" si="267"/>
        <v>400.86</v>
      </c>
      <c r="GN222" s="2">
        <f t="shared" si="268"/>
        <v>400.86</v>
      </c>
      <c r="GO222" s="2">
        <f t="shared" si="269"/>
        <v>0</v>
      </c>
      <c r="GP222" s="2">
        <f t="shared" si="270"/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si="271"/>
        <v>0</v>
      </c>
      <c r="GW222" s="2">
        <v>1</v>
      </c>
      <c r="GX222" s="2">
        <f t="shared" si="272"/>
        <v>0</v>
      </c>
      <c r="GY222" s="2"/>
      <c r="GZ222" s="2"/>
      <c r="HA222" s="2">
        <v>0</v>
      </c>
      <c r="HB222" s="2">
        <v>0</v>
      </c>
      <c r="HC222" s="2">
        <f t="shared" si="273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>
        <v>17</v>
      </c>
      <c r="B223">
        <v>1</v>
      </c>
      <c r="E223" t="s">
        <v>318</v>
      </c>
      <c r="F223" t="s">
        <v>319</v>
      </c>
      <c r="G223" t="s">
        <v>320</v>
      </c>
      <c r="H223" t="s">
        <v>31</v>
      </c>
      <c r="I223">
        <v>6</v>
      </c>
      <c r="J223">
        <v>0</v>
      </c>
      <c r="K223">
        <v>6</v>
      </c>
      <c r="O223">
        <f t="shared" si="248"/>
        <v>1623.48</v>
      </c>
      <c r="P223">
        <f t="shared" si="249"/>
        <v>1623.48</v>
      </c>
      <c r="Q223">
        <f t="shared" si="274"/>
        <v>0</v>
      </c>
      <c r="R223">
        <f t="shared" si="275"/>
        <v>0</v>
      </c>
      <c r="S223">
        <f t="shared" si="250"/>
        <v>0</v>
      </c>
      <c r="T223">
        <f t="shared" si="251"/>
        <v>0</v>
      </c>
      <c r="U223">
        <f t="shared" si="252"/>
        <v>0</v>
      </c>
      <c r="V223">
        <f t="shared" si="253"/>
        <v>0</v>
      </c>
      <c r="W223">
        <f t="shared" si="254"/>
        <v>0</v>
      </c>
      <c r="X223">
        <f t="shared" si="276"/>
        <v>0</v>
      </c>
      <c r="Y223">
        <f t="shared" si="277"/>
        <v>0</v>
      </c>
      <c r="AA223">
        <v>60255011</v>
      </c>
      <c r="AB223">
        <f t="shared" si="255"/>
        <v>66.81</v>
      </c>
      <c r="AC223">
        <f t="shared" si="256"/>
        <v>66.81</v>
      </c>
      <c r="AD223">
        <f t="shared" si="278"/>
        <v>0</v>
      </c>
      <c r="AE223">
        <f t="shared" si="279"/>
        <v>0</v>
      </c>
      <c r="AF223">
        <f t="shared" si="280"/>
        <v>0</v>
      </c>
      <c r="AG223">
        <f t="shared" si="257"/>
        <v>0</v>
      </c>
      <c r="AH223">
        <f t="shared" si="281"/>
        <v>0</v>
      </c>
      <c r="AI223">
        <f t="shared" si="282"/>
        <v>0</v>
      </c>
      <c r="AJ223">
        <f t="shared" si="258"/>
        <v>0</v>
      </c>
      <c r="AK223">
        <v>66.81</v>
      </c>
      <c r="AL223">
        <v>66.81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Z223">
        <v>1</v>
      </c>
      <c r="BA223">
        <v>1</v>
      </c>
      <c r="BB223">
        <v>1</v>
      </c>
      <c r="BC223">
        <v>4.05</v>
      </c>
      <c r="BD223" t="s">
        <v>3</v>
      </c>
      <c r="BE223" t="s">
        <v>3</v>
      </c>
      <c r="BF223" t="s">
        <v>3</v>
      </c>
      <c r="BG223" t="s">
        <v>3</v>
      </c>
      <c r="BH223">
        <v>3</v>
      </c>
      <c r="BI223">
        <v>1</v>
      </c>
      <c r="BJ223" t="s">
        <v>321</v>
      </c>
      <c r="BM223">
        <v>1617</v>
      </c>
      <c r="BN223">
        <v>58973374</v>
      </c>
      <c r="BO223" t="s">
        <v>319</v>
      </c>
      <c r="BP223">
        <v>1</v>
      </c>
      <c r="BQ223">
        <v>200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 t="s">
        <v>3</v>
      </c>
      <c r="BZ223">
        <v>0</v>
      </c>
      <c r="CA223">
        <v>0</v>
      </c>
      <c r="CB223" t="s">
        <v>3</v>
      </c>
      <c r="CE223">
        <v>1566</v>
      </c>
      <c r="CF223">
        <v>0</v>
      </c>
      <c r="CG223">
        <v>0</v>
      </c>
      <c r="CM223">
        <v>0</v>
      </c>
      <c r="CN223" t="s">
        <v>3</v>
      </c>
      <c r="CO223">
        <v>0</v>
      </c>
      <c r="CP223">
        <f t="shared" si="259"/>
        <v>1623.48</v>
      </c>
      <c r="CQ223">
        <f t="shared" si="260"/>
        <v>270.58</v>
      </c>
      <c r="CR223">
        <f t="shared" si="283"/>
        <v>0</v>
      </c>
      <c r="CS223">
        <f t="shared" si="284"/>
        <v>0</v>
      </c>
      <c r="CT223">
        <f t="shared" si="261"/>
        <v>0</v>
      </c>
      <c r="CU223">
        <f t="shared" si="262"/>
        <v>0</v>
      </c>
      <c r="CV223">
        <f t="shared" si="263"/>
        <v>0</v>
      </c>
      <c r="CW223">
        <f t="shared" si="264"/>
        <v>0</v>
      </c>
      <c r="CX223">
        <f t="shared" si="265"/>
        <v>0</v>
      </c>
      <c r="CY223">
        <f t="shared" si="285"/>
        <v>0</v>
      </c>
      <c r="CZ223">
        <f t="shared" si="286"/>
        <v>0</v>
      </c>
      <c r="DC223" t="s">
        <v>3</v>
      </c>
      <c r="DD223" t="s">
        <v>3</v>
      </c>
      <c r="DE223" t="s">
        <v>3</v>
      </c>
      <c r="DF223" t="s">
        <v>3</v>
      </c>
      <c r="DG223" t="s">
        <v>3</v>
      </c>
      <c r="DH223" t="s">
        <v>3</v>
      </c>
      <c r="DI223" t="s">
        <v>3</v>
      </c>
      <c r="DJ223" t="s">
        <v>3</v>
      </c>
      <c r="DK223" t="s">
        <v>3</v>
      </c>
      <c r="DL223" t="s">
        <v>3</v>
      </c>
      <c r="DM223" t="s">
        <v>3</v>
      </c>
      <c r="DN223">
        <v>0</v>
      </c>
      <c r="DO223">
        <v>0</v>
      </c>
      <c r="DP223">
        <v>1</v>
      </c>
      <c r="DQ223">
        <v>1</v>
      </c>
      <c r="DU223">
        <v>1010</v>
      </c>
      <c r="DV223" t="s">
        <v>31</v>
      </c>
      <c r="DW223" t="s">
        <v>31</v>
      </c>
      <c r="DX223">
        <v>1</v>
      </c>
      <c r="DZ223" t="s">
        <v>3</v>
      </c>
      <c r="EA223" t="s">
        <v>3</v>
      </c>
      <c r="EB223" t="s">
        <v>3</v>
      </c>
      <c r="EC223" t="s">
        <v>3</v>
      </c>
      <c r="EE223">
        <v>60088328</v>
      </c>
      <c r="EF223">
        <v>200</v>
      </c>
      <c r="EG223" t="s">
        <v>210</v>
      </c>
      <c r="EH223">
        <v>0</v>
      </c>
      <c r="EI223" t="s">
        <v>3</v>
      </c>
      <c r="EJ223">
        <v>1</v>
      </c>
      <c r="EK223">
        <v>1617</v>
      </c>
      <c r="EL223" t="s">
        <v>211</v>
      </c>
      <c r="EM223" t="s">
        <v>212</v>
      </c>
      <c r="EO223" t="s">
        <v>3</v>
      </c>
      <c r="EQ223">
        <v>0</v>
      </c>
      <c r="ER223">
        <v>66.81</v>
      </c>
      <c r="ES223">
        <v>66.81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FQ223">
        <v>0</v>
      </c>
      <c r="FR223">
        <v>0</v>
      </c>
      <c r="FS223">
        <v>0</v>
      </c>
      <c r="FX223">
        <v>0</v>
      </c>
      <c r="FY223">
        <v>0</v>
      </c>
      <c r="GA223" t="s">
        <v>3</v>
      </c>
      <c r="GD223">
        <v>1</v>
      </c>
      <c r="GF223">
        <v>-1553316623</v>
      </c>
      <c r="GG223">
        <v>2</v>
      </c>
      <c r="GH223">
        <v>1</v>
      </c>
      <c r="GI223">
        <v>2</v>
      </c>
      <c r="GJ223">
        <v>0</v>
      </c>
      <c r="GK223">
        <v>0</v>
      </c>
      <c r="GL223">
        <f t="shared" si="266"/>
        <v>0</v>
      </c>
      <c r="GM223">
        <f t="shared" si="267"/>
        <v>1623.48</v>
      </c>
      <c r="GN223">
        <f t="shared" si="268"/>
        <v>1623.48</v>
      </c>
      <c r="GO223">
        <f t="shared" si="269"/>
        <v>0</v>
      </c>
      <c r="GP223">
        <f t="shared" si="270"/>
        <v>0</v>
      </c>
      <c r="GR223">
        <v>0</v>
      </c>
      <c r="GS223">
        <v>3</v>
      </c>
      <c r="GT223">
        <v>0</v>
      </c>
      <c r="GU223" t="s">
        <v>3</v>
      </c>
      <c r="GV223">
        <f t="shared" si="271"/>
        <v>0</v>
      </c>
      <c r="GW223">
        <v>1</v>
      </c>
      <c r="GX223">
        <f t="shared" si="272"/>
        <v>0</v>
      </c>
      <c r="HA223">
        <v>0</v>
      </c>
      <c r="HB223">
        <v>0</v>
      </c>
      <c r="HC223">
        <f t="shared" si="273"/>
        <v>0</v>
      </c>
      <c r="HE223" t="s">
        <v>3</v>
      </c>
      <c r="HF223" t="s">
        <v>3</v>
      </c>
      <c r="HM223" t="s">
        <v>3</v>
      </c>
      <c r="HN223" t="s">
        <v>3</v>
      </c>
      <c r="HO223" t="s">
        <v>3</v>
      </c>
      <c r="HP223" t="s">
        <v>3</v>
      </c>
      <c r="HQ223" t="s">
        <v>3</v>
      </c>
      <c r="HS223">
        <v>0</v>
      </c>
      <c r="IK223">
        <v>0</v>
      </c>
    </row>
    <row r="224" spans="1:255" x14ac:dyDescent="0.2">
      <c r="A224" s="2">
        <v>17</v>
      </c>
      <c r="B224" s="2">
        <v>1</v>
      </c>
      <c r="C224" s="2">
        <f>ROW(SmtRes!A265)</f>
        <v>265</v>
      </c>
      <c r="D224" s="2">
        <f>ROW(EtalonRes!A288)</f>
        <v>288</v>
      </c>
      <c r="E224" s="2" t="s">
        <v>322</v>
      </c>
      <c r="F224" s="2" t="s">
        <v>284</v>
      </c>
      <c r="G224" s="2" t="s">
        <v>285</v>
      </c>
      <c r="H224" s="2" t="s">
        <v>21</v>
      </c>
      <c r="I224" s="2">
        <v>45</v>
      </c>
      <c r="J224" s="2">
        <v>0</v>
      </c>
      <c r="K224" s="2">
        <v>45</v>
      </c>
      <c r="L224" s="2"/>
      <c r="M224" s="2"/>
      <c r="N224" s="2"/>
      <c r="O224" s="2">
        <f t="shared" si="248"/>
        <v>268.89</v>
      </c>
      <c r="P224" s="2">
        <f t="shared" si="249"/>
        <v>36.450000000000003</v>
      </c>
      <c r="Q224" s="2">
        <f>(ROUND((ROUND(((((ET224*1.25)*1.1))*AV224*I224),2)*BB224),2)+ROUND((ROUND(((AE224-(((EU224*1.25)*1.1)))*AV224*I224),2)*BS224),2))</f>
        <v>0</v>
      </c>
      <c r="R224" s="2">
        <f>(ROUND((ROUND(((((EU224*1.25)*1.1))*AV224*I224),2)*BS224),2)+ROUND((ROUND(((AE224-(((EU224*1.25)*1.1)))*AV224*I224),2)*BS224),2))</f>
        <v>0</v>
      </c>
      <c r="S224" s="2">
        <f t="shared" si="250"/>
        <v>232.44</v>
      </c>
      <c r="T224" s="2">
        <f t="shared" si="251"/>
        <v>0</v>
      </c>
      <c r="U224" s="2">
        <f t="shared" si="252"/>
        <v>17.880142499999998</v>
      </c>
      <c r="V224" s="2">
        <f t="shared" si="253"/>
        <v>0</v>
      </c>
      <c r="W224" s="2">
        <f t="shared" si="254"/>
        <v>0</v>
      </c>
      <c r="X224" s="2">
        <f>(ROUND((((S224+ROUND((ROUND(((((EU224*1.25)*1.1))*AV224*I224),2)*BS224),2))*AT224)/100),2)+ROUND(((ROUND((ROUND(((AE224-(((EU224*1.25)*1.1)))*AV224*I224),2)*BS224),2)*AT224)/100),2))</f>
        <v>209.2</v>
      </c>
      <c r="Y224" s="2">
        <f>(ROUND((((S224+ROUND((ROUND(((((EU224*1.25)*1.1))*AV224*I224),2)*BS224),2))*AU224)/100),2)+ROUND(((ROUND((ROUND(((AE224-(((EU224*1.25)*1.1)))*AV224*I224),2)*BS224),2)*AU224)/100),2))</f>
        <v>106.92</v>
      </c>
      <c r="Z224" s="2"/>
      <c r="AA224" s="2">
        <v>60255014</v>
      </c>
      <c r="AB224" s="2">
        <f t="shared" si="255"/>
        <v>5.7435</v>
      </c>
      <c r="AC224" s="2">
        <f t="shared" si="256"/>
        <v>0.81</v>
      </c>
      <c r="AD224" s="2">
        <f>ROUND((((((ET224*1.25)*1.1))-(((EU224*1.25)*1.1)))+AE224),6)</f>
        <v>0</v>
      </c>
      <c r="AE224" s="2">
        <f>ROUND((((EU224*1.25)*1.1)),6)</f>
        <v>0</v>
      </c>
      <c r="AF224" s="2">
        <f>ROUND((((EV224*1.15)*1.1)),6)</f>
        <v>4.9335000000000004</v>
      </c>
      <c r="AG224" s="2">
        <f t="shared" si="257"/>
        <v>0</v>
      </c>
      <c r="AH224" s="2">
        <f>(((EW224*1.15)*1.1))</f>
        <v>0.3795</v>
      </c>
      <c r="AI224" s="2">
        <f>(((EX224*1.25)*1.1))</f>
        <v>0</v>
      </c>
      <c r="AJ224" s="2">
        <f t="shared" si="258"/>
        <v>0</v>
      </c>
      <c r="AK224" s="2">
        <v>4.71</v>
      </c>
      <c r="AL224" s="2">
        <v>0.81</v>
      </c>
      <c r="AM224" s="2">
        <v>0</v>
      </c>
      <c r="AN224" s="2">
        <v>0</v>
      </c>
      <c r="AO224" s="2">
        <v>3.9</v>
      </c>
      <c r="AP224" s="2">
        <v>0</v>
      </c>
      <c r="AQ224" s="2">
        <v>0.3</v>
      </c>
      <c r="AR224" s="2">
        <v>0</v>
      </c>
      <c r="AS224" s="2">
        <v>0</v>
      </c>
      <c r="AT224" s="2">
        <v>90</v>
      </c>
      <c r="AU224" s="2">
        <v>46</v>
      </c>
      <c r="AV224" s="2">
        <v>1.0469999999999999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0</v>
      </c>
      <c r="BI224" s="2">
        <v>2</v>
      </c>
      <c r="BJ224" s="2" t="s">
        <v>286</v>
      </c>
      <c r="BK224" s="2"/>
      <c r="BL224" s="2"/>
      <c r="BM224" s="2">
        <v>72</v>
      </c>
      <c r="BN224" s="2">
        <v>58973374</v>
      </c>
      <c r="BO224" s="2" t="s">
        <v>284</v>
      </c>
      <c r="BP224" s="2">
        <v>1</v>
      </c>
      <c r="BQ224" s="2">
        <v>40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90</v>
      </c>
      <c r="CA224" s="2">
        <v>46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625</v>
      </c>
      <c r="CO224" s="2">
        <v>0</v>
      </c>
      <c r="CP224" s="2">
        <f t="shared" si="259"/>
        <v>268.89</v>
      </c>
      <c r="CQ224" s="2">
        <f t="shared" si="260"/>
        <v>0.81</v>
      </c>
      <c r="CR224" s="2">
        <f>(ROUND((ROUND(((((ET224*1.25)*1.1))*AV224*1),2)*BB224),2)+ROUND((ROUND(((AE224-(((EU224*1.25)*1.1)))*AV224*1),2)*BS224),2))</f>
        <v>0</v>
      </c>
      <c r="CS224" s="2">
        <f>(ROUND((ROUND(((((EU224*1.25)*1.1))*AV224*1),2)*BS224),2)+ROUND((ROUND(((AE224-(((EU224*1.25)*1.1)))*AV224*1),2)*BS224),2))</f>
        <v>0</v>
      </c>
      <c r="CT224" s="2">
        <f t="shared" si="261"/>
        <v>5.17</v>
      </c>
      <c r="CU224" s="2">
        <f t="shared" si="262"/>
        <v>0</v>
      </c>
      <c r="CV224" s="2">
        <f t="shared" si="263"/>
        <v>0.39733649999999998</v>
      </c>
      <c r="CW224" s="2">
        <f t="shared" si="264"/>
        <v>0</v>
      </c>
      <c r="CX224" s="2">
        <f t="shared" si="265"/>
        <v>0</v>
      </c>
      <c r="CY224" s="2">
        <f>(ROUND((((S224+ROUND((ROUND(((((EU224*1.25)*1.1))*AV224*1),2)*BS224),2))*AT224)/100),2)+ROUND(((ROUND((ROUND(((AE224-(((EU224*1.25)*1.1)))*AV224*1),2)*BS224),2)*AT224)/100),2))</f>
        <v>209.2</v>
      </c>
      <c r="CZ224" s="2">
        <f>(ROUND((((S224+ROUND((ROUND(((((EU224*1.25)*1.1))*AV224*1),2)*BS224),2))*AU224)/100),2)+ROUND(((ROUND((ROUND(((AE224-(((EU224*1.25)*1.1)))*AV224*1),2)*BS224),2)*AU224)/100),2))</f>
        <v>106.92</v>
      </c>
      <c r="DA224" s="2"/>
      <c r="DB224" s="2">
        <v>57</v>
      </c>
      <c r="DC224" s="2" t="s">
        <v>3</v>
      </c>
      <c r="DD224" s="2" t="s">
        <v>3</v>
      </c>
      <c r="DE224" s="2" t="s">
        <v>98</v>
      </c>
      <c r="DF224" s="2" t="s">
        <v>98</v>
      </c>
      <c r="DG224" s="2" t="s">
        <v>99</v>
      </c>
      <c r="DH224" s="2" t="s">
        <v>3</v>
      </c>
      <c r="DI224" s="2" t="s">
        <v>99</v>
      </c>
      <c r="DJ224" s="2" t="s">
        <v>98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1013</v>
      </c>
      <c r="DV224" s="2" t="s">
        <v>21</v>
      </c>
      <c r="DW224" s="2" t="s">
        <v>21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60088304</v>
      </c>
      <c r="EF224" s="2">
        <v>40</v>
      </c>
      <c r="EG224" s="2" t="s">
        <v>24</v>
      </c>
      <c r="EH224" s="2">
        <v>0</v>
      </c>
      <c r="EI224" s="2" t="s">
        <v>3</v>
      </c>
      <c r="EJ224" s="2">
        <v>2</v>
      </c>
      <c r="EK224" s="2">
        <v>72</v>
      </c>
      <c r="EL224" s="2" t="s">
        <v>287</v>
      </c>
      <c r="EM224" s="2" t="s">
        <v>288</v>
      </c>
      <c r="EN224" s="2"/>
      <c r="EO224" s="2" t="s">
        <v>103</v>
      </c>
      <c r="EP224" s="2"/>
      <c r="EQ224" s="2">
        <v>0</v>
      </c>
      <c r="ER224" s="2">
        <v>4.71</v>
      </c>
      <c r="ES224" s="2">
        <v>0.81</v>
      </c>
      <c r="ET224" s="2">
        <v>0</v>
      </c>
      <c r="EU224" s="2">
        <v>0</v>
      </c>
      <c r="EV224" s="2">
        <v>3.9</v>
      </c>
      <c r="EW224" s="2">
        <v>0.3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90</v>
      </c>
      <c r="FY224" s="2">
        <v>46</v>
      </c>
      <c r="FZ224" s="2"/>
      <c r="GA224" s="2" t="s">
        <v>3</v>
      </c>
      <c r="GB224" s="2"/>
      <c r="GC224" s="2"/>
      <c r="GD224" s="2">
        <v>1</v>
      </c>
      <c r="GE224" s="2"/>
      <c r="GF224" s="2">
        <v>-1494899736</v>
      </c>
      <c r="GG224" s="2">
        <v>2</v>
      </c>
      <c r="GH224" s="2">
        <v>1</v>
      </c>
      <c r="GI224" s="2">
        <v>2</v>
      </c>
      <c r="GJ224" s="2">
        <v>0</v>
      </c>
      <c r="GK224" s="2">
        <v>0</v>
      </c>
      <c r="GL224" s="2">
        <f t="shared" si="266"/>
        <v>0</v>
      </c>
      <c r="GM224" s="2">
        <f t="shared" si="267"/>
        <v>585.01</v>
      </c>
      <c r="GN224" s="2">
        <f t="shared" si="268"/>
        <v>0</v>
      </c>
      <c r="GO224" s="2">
        <f t="shared" si="269"/>
        <v>585.01</v>
      </c>
      <c r="GP224" s="2">
        <f t="shared" si="270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71"/>
        <v>0</v>
      </c>
      <c r="GW224" s="2">
        <v>1</v>
      </c>
      <c r="GX224" s="2">
        <f t="shared" si="272"/>
        <v>0</v>
      </c>
      <c r="GY224" s="2"/>
      <c r="GZ224" s="2"/>
      <c r="HA224" s="2">
        <v>0</v>
      </c>
      <c r="HB224" s="2">
        <v>0</v>
      </c>
      <c r="HC224" s="2">
        <f t="shared" si="273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">
      <c r="A225">
        <v>17</v>
      </c>
      <c r="B225">
        <v>1</v>
      </c>
      <c r="C225">
        <f>ROW(SmtRes!A268)</f>
        <v>268</v>
      </c>
      <c r="D225">
        <f>ROW(EtalonRes!A292)</f>
        <v>292</v>
      </c>
      <c r="E225" t="s">
        <v>322</v>
      </c>
      <c r="F225" t="s">
        <v>284</v>
      </c>
      <c r="G225" t="s">
        <v>285</v>
      </c>
      <c r="H225" t="s">
        <v>21</v>
      </c>
      <c r="I225">
        <v>45</v>
      </c>
      <c r="J225">
        <v>0</v>
      </c>
      <c r="K225">
        <v>45</v>
      </c>
      <c r="O225">
        <f t="shared" si="248"/>
        <v>13102.64</v>
      </c>
      <c r="P225">
        <f t="shared" si="249"/>
        <v>320.76</v>
      </c>
      <c r="Q225">
        <f>(ROUND((ROUND(((((ET225*1.25)*1.1))*AV225*I225),2)*BB225),2)+ROUND((ROUND(((AE225-(((EU225*1.25)*1.1)))*AV225*I225),2)*BS225),2))</f>
        <v>0</v>
      </c>
      <c r="R225">
        <f>(ROUND((ROUND(((((EU225*1.25)*1.1))*AV225*I225),2)*BS225),2)+ROUND((ROUND(((AE225-(((EU225*1.25)*1.1)))*AV225*I225),2)*BS225),2))</f>
        <v>0</v>
      </c>
      <c r="S225">
        <f t="shared" si="250"/>
        <v>12781.88</v>
      </c>
      <c r="T225">
        <f t="shared" si="251"/>
        <v>0</v>
      </c>
      <c r="U225">
        <f t="shared" si="252"/>
        <v>17.880142499999998</v>
      </c>
      <c r="V225">
        <f t="shared" si="253"/>
        <v>0</v>
      </c>
      <c r="W225">
        <f t="shared" si="254"/>
        <v>0</v>
      </c>
      <c r="X225">
        <f>(ROUND((((S225+ROUND((ROUND(((((EU225*1.25)*1.1))*AV225*I225),2)*BS225),2))*AT225)/100),2)+ROUND(((ROUND((ROUND(((AE225-(((EU225*1.25)*1.1)))*AV225*I225),2)*BS225),2)*AT225)/100),2))</f>
        <v>11503.69</v>
      </c>
      <c r="Y225">
        <f>(ROUND((((S225+ROUND((ROUND(((((EU225*1.25)*1.1))*AV225*I225),2)*BS225),2))*AU225)/100),2)+ROUND(((ROUND((ROUND(((AE225-(((EU225*1.25)*1.1)))*AV225*I225),2)*BS225),2)*AU225)/100),2))</f>
        <v>5879.66</v>
      </c>
      <c r="AA225">
        <v>60255011</v>
      </c>
      <c r="AB225">
        <f t="shared" si="255"/>
        <v>5.7435</v>
      </c>
      <c r="AC225">
        <f t="shared" si="256"/>
        <v>0.81</v>
      </c>
      <c r="AD225">
        <f>ROUND((((((ET225*1.25)*1.1))-(((EU225*1.25)*1.1)))+AE225),6)</f>
        <v>0</v>
      </c>
      <c r="AE225">
        <f>ROUND((((EU225*1.25)*1.1)),6)</f>
        <v>0</v>
      </c>
      <c r="AF225">
        <f>ROUND((((EV225*1.15)*1.1)),6)</f>
        <v>4.9335000000000004</v>
      </c>
      <c r="AG225">
        <f t="shared" si="257"/>
        <v>0</v>
      </c>
      <c r="AH225">
        <f>(((EW225*1.15)*1.1))</f>
        <v>0.3795</v>
      </c>
      <c r="AI225">
        <f>(((EX225*1.25)*1.1))</f>
        <v>0</v>
      </c>
      <c r="AJ225">
        <f t="shared" si="258"/>
        <v>0</v>
      </c>
      <c r="AK225">
        <v>4.71</v>
      </c>
      <c r="AL225">
        <v>0.81</v>
      </c>
      <c r="AM225">
        <v>0</v>
      </c>
      <c r="AN225">
        <v>0</v>
      </c>
      <c r="AO225">
        <v>3.9</v>
      </c>
      <c r="AP225">
        <v>0</v>
      </c>
      <c r="AQ225">
        <v>0.3</v>
      </c>
      <c r="AR225">
        <v>0</v>
      </c>
      <c r="AS225">
        <v>0</v>
      </c>
      <c r="AT225">
        <v>90</v>
      </c>
      <c r="AU225">
        <v>46</v>
      </c>
      <c r="AV225">
        <v>1.0469999999999999</v>
      </c>
      <c r="AW225">
        <v>1</v>
      </c>
      <c r="AZ225">
        <v>1</v>
      </c>
      <c r="BA225">
        <v>54.99</v>
      </c>
      <c r="BB225">
        <v>1</v>
      </c>
      <c r="BC225">
        <v>8.8000000000000007</v>
      </c>
      <c r="BD225" t="s">
        <v>3</v>
      </c>
      <c r="BE225" t="s">
        <v>3</v>
      </c>
      <c r="BF225" t="s">
        <v>3</v>
      </c>
      <c r="BG225" t="s">
        <v>3</v>
      </c>
      <c r="BH225">
        <v>0</v>
      </c>
      <c r="BI225">
        <v>2</v>
      </c>
      <c r="BJ225" t="s">
        <v>286</v>
      </c>
      <c r="BM225">
        <v>72</v>
      </c>
      <c r="BN225">
        <v>58973374</v>
      </c>
      <c r="BO225" t="s">
        <v>284</v>
      </c>
      <c r="BP225">
        <v>1</v>
      </c>
      <c r="BQ225">
        <v>40</v>
      </c>
      <c r="BR225">
        <v>0</v>
      </c>
      <c r="BS225">
        <v>54.99</v>
      </c>
      <c r="BT225">
        <v>1</v>
      </c>
      <c r="BU225">
        <v>1</v>
      </c>
      <c r="BV225">
        <v>1</v>
      </c>
      <c r="BW225">
        <v>1</v>
      </c>
      <c r="BX225">
        <v>1</v>
      </c>
      <c r="BY225" t="s">
        <v>3</v>
      </c>
      <c r="BZ225">
        <v>90</v>
      </c>
      <c r="CA225">
        <v>46</v>
      </c>
      <c r="CB225" t="s">
        <v>3</v>
      </c>
      <c r="CE225">
        <v>1566</v>
      </c>
      <c r="CF225">
        <v>0</v>
      </c>
      <c r="CG225">
        <v>0</v>
      </c>
      <c r="CM225">
        <v>0</v>
      </c>
      <c r="CN225" t="s">
        <v>625</v>
      </c>
      <c r="CO225">
        <v>0</v>
      </c>
      <c r="CP225">
        <f t="shared" si="259"/>
        <v>13102.64</v>
      </c>
      <c r="CQ225">
        <f t="shared" si="260"/>
        <v>7.13</v>
      </c>
      <c r="CR225">
        <f>(ROUND((ROUND(((((ET225*1.25)*1.1))*AV225*1),2)*BB225),2)+ROUND((ROUND(((AE225-(((EU225*1.25)*1.1)))*AV225*1),2)*BS225),2))</f>
        <v>0</v>
      </c>
      <c r="CS225">
        <f>(ROUND((ROUND(((((EU225*1.25)*1.1))*AV225*1),2)*BS225),2)+ROUND((ROUND(((AE225-(((EU225*1.25)*1.1)))*AV225*1),2)*BS225),2))</f>
        <v>0</v>
      </c>
      <c r="CT225">
        <f t="shared" si="261"/>
        <v>284.3</v>
      </c>
      <c r="CU225">
        <f t="shared" si="262"/>
        <v>0</v>
      </c>
      <c r="CV225">
        <f t="shared" si="263"/>
        <v>0.39733649999999998</v>
      </c>
      <c r="CW225">
        <f t="shared" si="264"/>
        <v>0</v>
      </c>
      <c r="CX225">
        <f t="shared" si="265"/>
        <v>0</v>
      </c>
      <c r="CY225">
        <f>(ROUND((((S225+ROUND((ROUND(((((EU225*1.25)*1.1))*AV225*1),2)*BS225),2))*AT225)/100),2)+ROUND(((ROUND((ROUND(((AE225-(((EU225*1.25)*1.1)))*AV225*1),2)*BS225),2)*AT225)/100),2))</f>
        <v>11503.69</v>
      </c>
      <c r="CZ225">
        <f>(ROUND((((S225+ROUND((ROUND(((((EU225*1.25)*1.1))*AV225*1),2)*BS225),2))*AU225)/100),2)+ROUND(((ROUND((ROUND(((AE225-(((EU225*1.25)*1.1)))*AV225*1),2)*BS225),2)*AU225)/100),2))</f>
        <v>5879.66</v>
      </c>
      <c r="DB225">
        <v>59</v>
      </c>
      <c r="DC225" t="s">
        <v>3</v>
      </c>
      <c r="DD225" t="s">
        <v>3</v>
      </c>
      <c r="DE225" t="s">
        <v>98</v>
      </c>
      <c r="DF225" t="s">
        <v>98</v>
      </c>
      <c r="DG225" t="s">
        <v>99</v>
      </c>
      <c r="DH225" t="s">
        <v>3</v>
      </c>
      <c r="DI225" t="s">
        <v>99</v>
      </c>
      <c r="DJ225" t="s">
        <v>98</v>
      </c>
      <c r="DK225" t="s">
        <v>3</v>
      </c>
      <c r="DL225" t="s">
        <v>3</v>
      </c>
      <c r="DM225" t="s">
        <v>3</v>
      </c>
      <c r="DN225">
        <v>0</v>
      </c>
      <c r="DO225">
        <v>0</v>
      </c>
      <c r="DP225">
        <v>1</v>
      </c>
      <c r="DQ225">
        <v>1</v>
      </c>
      <c r="DU225">
        <v>1013</v>
      </c>
      <c r="DV225" t="s">
        <v>21</v>
      </c>
      <c r="DW225" t="s">
        <v>21</v>
      </c>
      <c r="DX225">
        <v>1</v>
      </c>
      <c r="DZ225" t="s">
        <v>3</v>
      </c>
      <c r="EA225" t="s">
        <v>3</v>
      </c>
      <c r="EB225" t="s">
        <v>3</v>
      </c>
      <c r="EC225" t="s">
        <v>3</v>
      </c>
      <c r="EE225">
        <v>60088304</v>
      </c>
      <c r="EF225">
        <v>40</v>
      </c>
      <c r="EG225" t="s">
        <v>24</v>
      </c>
      <c r="EH225">
        <v>0</v>
      </c>
      <c r="EI225" t="s">
        <v>3</v>
      </c>
      <c r="EJ225">
        <v>2</v>
      </c>
      <c r="EK225">
        <v>72</v>
      </c>
      <c r="EL225" t="s">
        <v>287</v>
      </c>
      <c r="EM225" t="s">
        <v>288</v>
      </c>
      <c r="EO225" t="s">
        <v>103</v>
      </c>
      <c r="EQ225">
        <v>0</v>
      </c>
      <c r="ER225">
        <v>4.71</v>
      </c>
      <c r="ES225">
        <v>0.81</v>
      </c>
      <c r="ET225">
        <v>0</v>
      </c>
      <c r="EU225">
        <v>0</v>
      </c>
      <c r="EV225">
        <v>3.9</v>
      </c>
      <c r="EW225">
        <v>0.3</v>
      </c>
      <c r="EX225">
        <v>0</v>
      </c>
      <c r="EY225">
        <v>0</v>
      </c>
      <c r="FQ225">
        <v>0</v>
      </c>
      <c r="FR225">
        <v>0</v>
      </c>
      <c r="FS225">
        <v>0</v>
      </c>
      <c r="FX225">
        <v>90</v>
      </c>
      <c r="FY225">
        <v>46</v>
      </c>
      <c r="GA225" t="s">
        <v>3</v>
      </c>
      <c r="GD225">
        <v>1</v>
      </c>
      <c r="GF225">
        <v>-1494899736</v>
      </c>
      <c r="GG225">
        <v>2</v>
      </c>
      <c r="GH225">
        <v>1</v>
      </c>
      <c r="GI225">
        <v>2</v>
      </c>
      <c r="GJ225">
        <v>0</v>
      </c>
      <c r="GK225">
        <v>0</v>
      </c>
      <c r="GL225">
        <f t="shared" si="266"/>
        <v>0</v>
      </c>
      <c r="GM225">
        <f t="shared" si="267"/>
        <v>30485.99</v>
      </c>
      <c r="GN225">
        <f t="shared" si="268"/>
        <v>0</v>
      </c>
      <c r="GO225">
        <f t="shared" si="269"/>
        <v>30485.99</v>
      </c>
      <c r="GP225">
        <f t="shared" si="270"/>
        <v>0</v>
      </c>
      <c r="GR225">
        <v>0</v>
      </c>
      <c r="GS225">
        <v>3</v>
      </c>
      <c r="GT225">
        <v>0</v>
      </c>
      <c r="GU225" t="s">
        <v>3</v>
      </c>
      <c r="GV225">
        <f t="shared" si="271"/>
        <v>0</v>
      </c>
      <c r="GW225">
        <v>1</v>
      </c>
      <c r="GX225">
        <f t="shared" si="272"/>
        <v>0</v>
      </c>
      <c r="HA225">
        <v>0</v>
      </c>
      <c r="HB225">
        <v>0</v>
      </c>
      <c r="HC225">
        <f t="shared" si="273"/>
        <v>0</v>
      </c>
      <c r="HE225" t="s">
        <v>3</v>
      </c>
      <c r="HF225" t="s">
        <v>3</v>
      </c>
      <c r="HM225" t="s">
        <v>3</v>
      </c>
      <c r="HN225" t="s">
        <v>3</v>
      </c>
      <c r="HO225" t="s">
        <v>3</v>
      </c>
      <c r="HP225" t="s">
        <v>3</v>
      </c>
      <c r="HQ225" t="s">
        <v>3</v>
      </c>
      <c r="HS225">
        <v>0</v>
      </c>
      <c r="IK225">
        <v>0</v>
      </c>
    </row>
    <row r="226" spans="1:255" x14ac:dyDescent="0.2">
      <c r="A226" s="2">
        <v>17</v>
      </c>
      <c r="B226" s="2">
        <v>1</v>
      </c>
      <c r="C226" s="2"/>
      <c r="D226" s="2"/>
      <c r="E226" s="2" t="s">
        <v>323</v>
      </c>
      <c r="F226" s="2" t="s">
        <v>324</v>
      </c>
      <c r="G226" s="2" t="s">
        <v>325</v>
      </c>
      <c r="H226" s="2" t="s">
        <v>107</v>
      </c>
      <c r="I226" s="2">
        <v>45</v>
      </c>
      <c r="J226" s="2">
        <v>0</v>
      </c>
      <c r="K226" s="2">
        <v>45</v>
      </c>
      <c r="L226" s="2"/>
      <c r="M226" s="2"/>
      <c r="N226" s="2"/>
      <c r="O226" s="2">
        <f t="shared" si="248"/>
        <v>60433.2</v>
      </c>
      <c r="P226" s="2">
        <f t="shared" si="249"/>
        <v>60433.2</v>
      </c>
      <c r="Q226" s="2">
        <f>(ROUND((ROUND(((ET226)*AV226*I226),2)*BB226),2)+ROUND((ROUND(((AE226-(EU226))*AV226*I226),2)*BS226),2))</f>
        <v>0</v>
      </c>
      <c r="R226" s="2">
        <f>(ROUND((ROUND(((EU226)*AV226*I226),2)*BS226),2)+ROUND((ROUND(((AE226-(EU226))*AV226*I226),2)*BS226),2))</f>
        <v>0</v>
      </c>
      <c r="S226" s="2">
        <f t="shared" si="250"/>
        <v>0</v>
      </c>
      <c r="T226" s="2">
        <f t="shared" si="251"/>
        <v>0</v>
      </c>
      <c r="U226" s="2">
        <f t="shared" si="252"/>
        <v>0</v>
      </c>
      <c r="V226" s="2">
        <f t="shared" si="253"/>
        <v>0</v>
      </c>
      <c r="W226" s="2">
        <f t="shared" si="254"/>
        <v>0</v>
      </c>
      <c r="X226" s="2">
        <f>(ROUND((((S226+ROUND((ROUND(((EU226)*AV226*I226),2)*BS226),2))*AT226)/100),2)+ROUND(((ROUND((ROUND(((AE226-(EU226))*AV226*I226),2)*BS226),2)*AT226)/100),2))</f>
        <v>0</v>
      </c>
      <c r="Y226" s="2">
        <f>(ROUND((((S226+ROUND((ROUND(((EU226)*AV226*I226),2)*BS226),2))*AU226)/100),2)+ROUND(((ROUND((ROUND(((AE226-(EU226))*AV226*I226),2)*BS226),2)*AU226)/100),2))</f>
        <v>0</v>
      </c>
      <c r="Z226" s="2"/>
      <c r="AA226" s="2">
        <v>60255014</v>
      </c>
      <c r="AB226" s="2">
        <f t="shared" si="255"/>
        <v>1342.96</v>
      </c>
      <c r="AC226" s="2">
        <f t="shared" si="256"/>
        <v>1342.96</v>
      </c>
      <c r="AD226" s="2">
        <f>ROUND((((ET226)-(EU226))+AE226),6)</f>
        <v>0</v>
      </c>
      <c r="AE226" s="2">
        <f t="shared" ref="AE226:AF229" si="287">ROUND((EU226),6)</f>
        <v>0</v>
      </c>
      <c r="AF226" s="2">
        <f t="shared" si="287"/>
        <v>0</v>
      </c>
      <c r="AG226" s="2">
        <f t="shared" si="257"/>
        <v>0</v>
      </c>
      <c r="AH226" s="2">
        <f t="shared" ref="AH226:AI229" si="288">(EW226)</f>
        <v>0</v>
      </c>
      <c r="AI226" s="2">
        <f t="shared" si="288"/>
        <v>0</v>
      </c>
      <c r="AJ226" s="2">
        <f t="shared" si="258"/>
        <v>0</v>
      </c>
      <c r="AK226" s="2">
        <v>1342.96</v>
      </c>
      <c r="AL226" s="2">
        <v>1342.96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1</v>
      </c>
      <c r="BJ226" s="2" t="s">
        <v>3</v>
      </c>
      <c r="BK226" s="2"/>
      <c r="BL226" s="2"/>
      <c r="BM226" s="2">
        <v>400002</v>
      </c>
      <c r="BN226" s="2">
        <v>0</v>
      </c>
      <c r="BO226" s="2" t="s">
        <v>3</v>
      </c>
      <c r="BP226" s="2">
        <v>0</v>
      </c>
      <c r="BQ226" s="2">
        <v>202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0</v>
      </c>
      <c r="CA226" s="2">
        <v>0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259"/>
        <v>60433.2</v>
      </c>
      <c r="CQ226" s="2">
        <f t="shared" si="260"/>
        <v>1342.96</v>
      </c>
      <c r="CR226" s="2">
        <f>(ROUND((ROUND(((ET226)*AV226*1),2)*BB226),2)+ROUND((ROUND(((AE226-(EU226))*AV226*1),2)*BS226),2))</f>
        <v>0</v>
      </c>
      <c r="CS226" s="2">
        <f>(ROUND((ROUND(((EU226)*AV226*1),2)*BS226),2)+ROUND((ROUND(((AE226-(EU226))*AV226*1),2)*BS226),2))</f>
        <v>0</v>
      </c>
      <c r="CT226" s="2">
        <f t="shared" si="261"/>
        <v>0</v>
      </c>
      <c r="CU226" s="2">
        <f t="shared" si="262"/>
        <v>0</v>
      </c>
      <c r="CV226" s="2">
        <f t="shared" si="263"/>
        <v>0</v>
      </c>
      <c r="CW226" s="2">
        <f t="shared" si="264"/>
        <v>0</v>
      </c>
      <c r="CX226" s="2">
        <f t="shared" si="265"/>
        <v>0</v>
      </c>
      <c r="CY226" s="2">
        <f>(ROUND((((S226+ROUND((ROUND(((EU226)*AV226*1),2)*BS226),2))*AT226)/100),2)+ROUND(((ROUND((ROUND(((AE226-(EU226))*AV226*1),2)*BS226),2)*AT226)/100),2))</f>
        <v>0</v>
      </c>
      <c r="CZ226" s="2">
        <f>(ROUND((((S226+ROUND((ROUND(((EU226)*AV226*1),2)*BS226),2))*AU226)/100),2)+ROUND(((ROUND((ROUND(((AE226-(EU226))*AV226*1),2)*BS226),2)*AU226)/100),2))</f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1013</v>
      </c>
      <c r="DV226" s="2" t="s">
        <v>107</v>
      </c>
      <c r="DW226" s="2" t="s">
        <v>107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60088211</v>
      </c>
      <c r="EF226" s="2">
        <v>202</v>
      </c>
      <c r="EG226" s="2" t="s">
        <v>108</v>
      </c>
      <c r="EH226" s="2">
        <v>0</v>
      </c>
      <c r="EI226" s="2" t="s">
        <v>3</v>
      </c>
      <c r="EJ226" s="2">
        <v>1</v>
      </c>
      <c r="EK226" s="2">
        <v>400002</v>
      </c>
      <c r="EL226" s="2" t="s">
        <v>109</v>
      </c>
      <c r="EM226" s="2" t="s">
        <v>108</v>
      </c>
      <c r="EN226" s="2"/>
      <c r="EO226" s="2" t="s">
        <v>3</v>
      </c>
      <c r="EP226" s="2"/>
      <c r="EQ226" s="2">
        <v>0</v>
      </c>
      <c r="ER226" s="2">
        <v>0</v>
      </c>
      <c r="ES226" s="2">
        <v>1342.96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0</v>
      </c>
      <c r="FY226" s="2">
        <v>0</v>
      </c>
      <c r="FZ226" s="2"/>
      <c r="GA226" s="2" t="s">
        <v>326</v>
      </c>
      <c r="GB226" s="2"/>
      <c r="GC226" s="2"/>
      <c r="GD226" s="2">
        <v>1</v>
      </c>
      <c r="GE226" s="2"/>
      <c r="GF226" s="2">
        <v>-1710461665</v>
      </c>
      <c r="GG226" s="2">
        <v>2</v>
      </c>
      <c r="GH226" s="2">
        <v>4</v>
      </c>
      <c r="GI226" s="2">
        <v>-2</v>
      </c>
      <c r="GJ226" s="2">
        <v>0</v>
      </c>
      <c r="GK226" s="2">
        <v>0</v>
      </c>
      <c r="GL226" s="2">
        <f t="shared" si="266"/>
        <v>0</v>
      </c>
      <c r="GM226" s="2">
        <f t="shared" si="267"/>
        <v>60433.2</v>
      </c>
      <c r="GN226" s="2">
        <f t="shared" si="268"/>
        <v>60433.2</v>
      </c>
      <c r="GO226" s="2">
        <f t="shared" si="269"/>
        <v>0</v>
      </c>
      <c r="GP226" s="2">
        <f t="shared" si="270"/>
        <v>0</v>
      </c>
      <c r="GQ226" s="2"/>
      <c r="GR226" s="2">
        <v>0</v>
      </c>
      <c r="GS226" s="2">
        <v>2</v>
      </c>
      <c r="GT226" s="2">
        <v>0</v>
      </c>
      <c r="GU226" s="2" t="s">
        <v>3</v>
      </c>
      <c r="GV226" s="2">
        <f t="shared" si="271"/>
        <v>0</v>
      </c>
      <c r="GW226" s="2">
        <v>1</v>
      </c>
      <c r="GX226" s="2">
        <f t="shared" si="272"/>
        <v>0</v>
      </c>
      <c r="GY226" s="2"/>
      <c r="GZ226" s="2"/>
      <c r="HA226" s="2">
        <v>0</v>
      </c>
      <c r="HB226" s="2">
        <v>0</v>
      </c>
      <c r="HC226" s="2">
        <f t="shared" si="273"/>
        <v>0</v>
      </c>
      <c r="HD226" s="2"/>
      <c r="HE226" s="2" t="s">
        <v>111</v>
      </c>
      <c r="HF226" s="2" t="s">
        <v>28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">
      <c r="A227">
        <v>17</v>
      </c>
      <c r="B227">
        <v>1</v>
      </c>
      <c r="E227" t="s">
        <v>323</v>
      </c>
      <c r="F227" t="s">
        <v>324</v>
      </c>
      <c r="G227" t="s">
        <v>325</v>
      </c>
      <c r="H227" t="s">
        <v>107</v>
      </c>
      <c r="I227">
        <v>45</v>
      </c>
      <c r="J227">
        <v>0</v>
      </c>
      <c r="K227">
        <v>45</v>
      </c>
      <c r="O227">
        <f t="shared" si="248"/>
        <v>597080.02</v>
      </c>
      <c r="P227">
        <f t="shared" si="249"/>
        <v>597080.02</v>
      </c>
      <c r="Q227">
        <f>(ROUND((ROUND(((ET227)*AV227*I227),2)*BB227),2)+ROUND((ROUND(((AE227-(EU227))*AV227*I227),2)*BS227),2))</f>
        <v>0</v>
      </c>
      <c r="R227">
        <f>(ROUND((ROUND(((EU227)*AV227*I227),2)*BS227),2)+ROUND((ROUND(((AE227-(EU227))*AV227*I227),2)*BS227),2))</f>
        <v>0</v>
      </c>
      <c r="S227">
        <f t="shared" si="250"/>
        <v>0</v>
      </c>
      <c r="T227">
        <f t="shared" si="251"/>
        <v>0</v>
      </c>
      <c r="U227">
        <f t="shared" si="252"/>
        <v>0</v>
      </c>
      <c r="V227">
        <f t="shared" si="253"/>
        <v>0</v>
      </c>
      <c r="W227">
        <f t="shared" si="254"/>
        <v>0</v>
      </c>
      <c r="X227">
        <f>(ROUND((((S227+ROUND((ROUND(((EU227)*AV227*I227),2)*BS227),2))*AT227)/100),2)+ROUND(((ROUND((ROUND(((AE227-(EU227))*AV227*I227),2)*BS227),2)*AT227)/100),2))</f>
        <v>0</v>
      </c>
      <c r="Y227">
        <f>(ROUND((((S227+ROUND((ROUND(((EU227)*AV227*I227),2)*BS227),2))*AU227)/100),2)+ROUND(((ROUND((ROUND(((AE227-(EU227))*AV227*I227),2)*BS227),2)*AU227)/100),2))</f>
        <v>0</v>
      </c>
      <c r="AA227">
        <v>60255011</v>
      </c>
      <c r="AB227">
        <f t="shared" si="255"/>
        <v>1342.96</v>
      </c>
      <c r="AC227">
        <f t="shared" si="256"/>
        <v>1342.96</v>
      </c>
      <c r="AD227">
        <f>ROUND((((ET227)-(EU227))+AE227),6)</f>
        <v>0</v>
      </c>
      <c r="AE227">
        <f t="shared" si="287"/>
        <v>0</v>
      </c>
      <c r="AF227">
        <f t="shared" si="287"/>
        <v>0</v>
      </c>
      <c r="AG227">
        <f t="shared" si="257"/>
        <v>0</v>
      </c>
      <c r="AH227">
        <f t="shared" si="288"/>
        <v>0</v>
      </c>
      <c r="AI227">
        <f t="shared" si="288"/>
        <v>0</v>
      </c>
      <c r="AJ227">
        <f t="shared" si="258"/>
        <v>0</v>
      </c>
      <c r="AK227">
        <v>1342.96</v>
      </c>
      <c r="AL227">
        <v>1342.96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Z227">
        <v>1</v>
      </c>
      <c r="BA227">
        <v>1</v>
      </c>
      <c r="BB227">
        <v>1</v>
      </c>
      <c r="BC227">
        <v>9.8800000000000008</v>
      </c>
      <c r="BD227" t="s">
        <v>3</v>
      </c>
      <c r="BE227" t="s">
        <v>3</v>
      </c>
      <c r="BF227" t="s">
        <v>3</v>
      </c>
      <c r="BG227" t="s">
        <v>3</v>
      </c>
      <c r="BH227">
        <v>3</v>
      </c>
      <c r="BI227">
        <v>1</v>
      </c>
      <c r="BJ227" t="s">
        <v>3</v>
      </c>
      <c r="BM227">
        <v>400002</v>
      </c>
      <c r="BN227">
        <v>0</v>
      </c>
      <c r="BO227" t="s">
        <v>3</v>
      </c>
      <c r="BP227">
        <v>0</v>
      </c>
      <c r="BQ227">
        <v>202</v>
      </c>
      <c r="BR227">
        <v>0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 t="s">
        <v>3</v>
      </c>
      <c r="BZ227">
        <v>0</v>
      </c>
      <c r="CA227">
        <v>0</v>
      </c>
      <c r="CB227" t="s">
        <v>3</v>
      </c>
      <c r="CE227">
        <v>1566</v>
      </c>
      <c r="CF227">
        <v>0</v>
      </c>
      <c r="CG227">
        <v>0</v>
      </c>
      <c r="CM227">
        <v>0</v>
      </c>
      <c r="CN227" t="s">
        <v>3</v>
      </c>
      <c r="CO227">
        <v>0</v>
      </c>
      <c r="CP227">
        <f t="shared" si="259"/>
        <v>597080.02</v>
      </c>
      <c r="CQ227">
        <f t="shared" si="260"/>
        <v>13268.44</v>
      </c>
      <c r="CR227">
        <f>(ROUND((ROUND(((ET227)*AV227*1),2)*BB227),2)+ROUND((ROUND(((AE227-(EU227))*AV227*1),2)*BS227),2))</f>
        <v>0</v>
      </c>
      <c r="CS227">
        <f>(ROUND((ROUND(((EU227)*AV227*1),2)*BS227),2)+ROUND((ROUND(((AE227-(EU227))*AV227*1),2)*BS227),2))</f>
        <v>0</v>
      </c>
      <c r="CT227">
        <f t="shared" si="261"/>
        <v>0</v>
      </c>
      <c r="CU227">
        <f t="shared" si="262"/>
        <v>0</v>
      </c>
      <c r="CV227">
        <f t="shared" si="263"/>
        <v>0</v>
      </c>
      <c r="CW227">
        <f t="shared" si="264"/>
        <v>0</v>
      </c>
      <c r="CX227">
        <f t="shared" si="265"/>
        <v>0</v>
      </c>
      <c r="CY227">
        <f>(ROUND((((S227+ROUND((ROUND(((EU227)*AV227*1),2)*BS227),2))*AT227)/100),2)+ROUND(((ROUND((ROUND(((AE227-(EU227))*AV227*1),2)*BS227),2)*AT227)/100),2))</f>
        <v>0</v>
      </c>
      <c r="CZ227">
        <f>(ROUND((((S227+ROUND((ROUND(((EU227)*AV227*1),2)*BS227),2))*AU227)/100),2)+ROUND(((ROUND((ROUND(((AE227-(EU227))*AV227*1),2)*BS227),2)*AU227)/100),2))</f>
        <v>0</v>
      </c>
      <c r="DC227" t="s">
        <v>3</v>
      </c>
      <c r="DD227" t="s">
        <v>3</v>
      </c>
      <c r="DE227" t="s">
        <v>3</v>
      </c>
      <c r="DF227" t="s">
        <v>3</v>
      </c>
      <c r="DG227" t="s">
        <v>3</v>
      </c>
      <c r="DH227" t="s">
        <v>3</v>
      </c>
      <c r="DI227" t="s">
        <v>3</v>
      </c>
      <c r="DJ227" t="s">
        <v>3</v>
      </c>
      <c r="DK227" t="s">
        <v>3</v>
      </c>
      <c r="DL227" t="s">
        <v>3</v>
      </c>
      <c r="DM227" t="s">
        <v>3</v>
      </c>
      <c r="DN227">
        <v>0</v>
      </c>
      <c r="DO227">
        <v>0</v>
      </c>
      <c r="DP227">
        <v>1</v>
      </c>
      <c r="DQ227">
        <v>1</v>
      </c>
      <c r="DU227">
        <v>1013</v>
      </c>
      <c r="DV227" t="s">
        <v>107</v>
      </c>
      <c r="DW227" t="s">
        <v>107</v>
      </c>
      <c r="DX227">
        <v>1</v>
      </c>
      <c r="DZ227" t="s">
        <v>3</v>
      </c>
      <c r="EA227" t="s">
        <v>3</v>
      </c>
      <c r="EB227" t="s">
        <v>3</v>
      </c>
      <c r="EC227" t="s">
        <v>3</v>
      </c>
      <c r="EE227">
        <v>60088211</v>
      </c>
      <c r="EF227">
        <v>202</v>
      </c>
      <c r="EG227" t="s">
        <v>108</v>
      </c>
      <c r="EH227">
        <v>0</v>
      </c>
      <c r="EI227" t="s">
        <v>3</v>
      </c>
      <c r="EJ227">
        <v>1</v>
      </c>
      <c r="EK227">
        <v>400002</v>
      </c>
      <c r="EL227" t="s">
        <v>109</v>
      </c>
      <c r="EM227" t="s">
        <v>108</v>
      </c>
      <c r="EO227" t="s">
        <v>3</v>
      </c>
      <c r="EQ227">
        <v>0</v>
      </c>
      <c r="ER227">
        <v>1342.96</v>
      </c>
      <c r="ES227">
        <v>1342.96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5</v>
      </c>
      <c r="FC227">
        <v>1</v>
      </c>
      <c r="FD227">
        <v>18</v>
      </c>
      <c r="FF227">
        <v>15610</v>
      </c>
      <c r="FQ227">
        <v>0</v>
      </c>
      <c r="FR227">
        <v>0</v>
      </c>
      <c r="FS227">
        <v>0</v>
      </c>
      <c r="FX227">
        <v>0</v>
      </c>
      <c r="FY227">
        <v>0</v>
      </c>
      <c r="GA227" t="s">
        <v>326</v>
      </c>
      <c r="GD227">
        <v>1</v>
      </c>
      <c r="GF227">
        <v>-1710461665</v>
      </c>
      <c r="GG227">
        <v>2</v>
      </c>
      <c r="GH227">
        <v>3</v>
      </c>
      <c r="GI227">
        <v>5</v>
      </c>
      <c r="GJ227">
        <v>0</v>
      </c>
      <c r="GK227">
        <v>0</v>
      </c>
      <c r="GL227">
        <f t="shared" si="266"/>
        <v>0</v>
      </c>
      <c r="GM227">
        <f t="shared" si="267"/>
        <v>597080.02</v>
      </c>
      <c r="GN227">
        <f t="shared" si="268"/>
        <v>597080.02</v>
      </c>
      <c r="GO227">
        <f t="shared" si="269"/>
        <v>0</v>
      </c>
      <c r="GP227">
        <f t="shared" si="270"/>
        <v>0</v>
      </c>
      <c r="GR227">
        <v>1</v>
      </c>
      <c r="GS227">
        <v>1</v>
      </c>
      <c r="GT227">
        <v>0</v>
      </c>
      <c r="GU227" t="s">
        <v>3</v>
      </c>
      <c r="GV227">
        <f t="shared" si="271"/>
        <v>0</v>
      </c>
      <c r="GW227">
        <v>1</v>
      </c>
      <c r="GX227">
        <f t="shared" si="272"/>
        <v>0</v>
      </c>
      <c r="HA227">
        <v>0</v>
      </c>
      <c r="HB227">
        <v>0</v>
      </c>
      <c r="HC227">
        <f t="shared" si="273"/>
        <v>0</v>
      </c>
      <c r="HE227" t="s">
        <v>111</v>
      </c>
      <c r="HF227" t="s">
        <v>28</v>
      </c>
      <c r="HM227" t="s">
        <v>3</v>
      </c>
      <c r="HN227" t="s">
        <v>3</v>
      </c>
      <c r="HO227" t="s">
        <v>3</v>
      </c>
      <c r="HP227" t="s">
        <v>3</v>
      </c>
      <c r="HQ227" t="s">
        <v>3</v>
      </c>
      <c r="HS227">
        <v>0</v>
      </c>
      <c r="IK227">
        <v>0</v>
      </c>
    </row>
    <row r="228" spans="1:255" x14ac:dyDescent="0.2">
      <c r="A228" s="2">
        <v>17</v>
      </c>
      <c r="B228" s="2">
        <v>1</v>
      </c>
      <c r="C228" s="2"/>
      <c r="D228" s="2"/>
      <c r="E228" s="2" t="s">
        <v>327</v>
      </c>
      <c r="F228" s="2" t="s">
        <v>328</v>
      </c>
      <c r="G228" s="2" t="s">
        <v>329</v>
      </c>
      <c r="H228" s="2" t="s">
        <v>31</v>
      </c>
      <c r="I228" s="2">
        <v>45</v>
      </c>
      <c r="J228" s="2">
        <v>0</v>
      </c>
      <c r="K228" s="2">
        <v>45</v>
      </c>
      <c r="L228" s="2"/>
      <c r="M228" s="2"/>
      <c r="N228" s="2"/>
      <c r="O228" s="2">
        <f t="shared" si="248"/>
        <v>19129.5</v>
      </c>
      <c r="P228" s="2">
        <f t="shared" si="249"/>
        <v>19129.5</v>
      </c>
      <c r="Q228" s="2">
        <f>(ROUND((ROUND(((ET228)*AV228*I228),2)*BB228),2)+ROUND((ROUND(((AE228-(EU228))*AV228*I228),2)*BS228),2))</f>
        <v>0</v>
      </c>
      <c r="R228" s="2">
        <f>(ROUND((ROUND(((EU228)*AV228*I228),2)*BS228),2)+ROUND((ROUND(((AE228-(EU228))*AV228*I228),2)*BS228),2))</f>
        <v>0</v>
      </c>
      <c r="S228" s="2">
        <f t="shared" si="250"/>
        <v>0</v>
      </c>
      <c r="T228" s="2">
        <f t="shared" si="251"/>
        <v>0</v>
      </c>
      <c r="U228" s="2">
        <f t="shared" si="252"/>
        <v>0</v>
      </c>
      <c r="V228" s="2">
        <f t="shared" si="253"/>
        <v>0</v>
      </c>
      <c r="W228" s="2">
        <f t="shared" si="254"/>
        <v>0</v>
      </c>
      <c r="X228" s="2">
        <f>(ROUND((((S228+ROUND((ROUND(((EU228)*AV228*I228),2)*BS228),2))*AT228)/100),2)+ROUND(((ROUND((ROUND(((AE228-(EU228))*AV228*I228),2)*BS228),2)*AT228)/100),2))</f>
        <v>0</v>
      </c>
      <c r="Y228" s="2">
        <f>(ROUND((((S228+ROUND((ROUND(((EU228)*AV228*I228),2)*BS228),2))*AU228)/100),2)+ROUND(((ROUND((ROUND(((AE228-(EU228))*AV228*I228),2)*BS228),2)*AU228)/100),2))</f>
        <v>0</v>
      </c>
      <c r="Z228" s="2"/>
      <c r="AA228" s="2">
        <v>60255014</v>
      </c>
      <c r="AB228" s="2">
        <f t="shared" si="255"/>
        <v>425.1</v>
      </c>
      <c r="AC228" s="2">
        <f t="shared" si="256"/>
        <v>425.1</v>
      </c>
      <c r="AD228" s="2">
        <f>ROUND((((ET228)-(EU228))+AE228),6)</f>
        <v>0</v>
      </c>
      <c r="AE228" s="2">
        <f t="shared" si="287"/>
        <v>0</v>
      </c>
      <c r="AF228" s="2">
        <f t="shared" si="287"/>
        <v>0</v>
      </c>
      <c r="AG228" s="2">
        <f t="shared" si="257"/>
        <v>0</v>
      </c>
      <c r="AH228" s="2">
        <f t="shared" si="288"/>
        <v>0</v>
      </c>
      <c r="AI228" s="2">
        <f t="shared" si="288"/>
        <v>0</v>
      </c>
      <c r="AJ228" s="2">
        <f t="shared" si="258"/>
        <v>0</v>
      </c>
      <c r="AK228" s="2">
        <v>425.1</v>
      </c>
      <c r="AL228" s="2">
        <v>425.1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1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3</v>
      </c>
      <c r="BI228" s="2">
        <v>1</v>
      </c>
      <c r="BJ228" s="2" t="s">
        <v>330</v>
      </c>
      <c r="BK228" s="2"/>
      <c r="BL228" s="2"/>
      <c r="BM228" s="2">
        <v>1617</v>
      </c>
      <c r="BN228" s="2">
        <v>58973374</v>
      </c>
      <c r="BO228" s="2" t="s">
        <v>3</v>
      </c>
      <c r="BP228" s="2">
        <v>0</v>
      </c>
      <c r="BQ228" s="2">
        <v>200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0</v>
      </c>
      <c r="CA228" s="2">
        <v>0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3</v>
      </c>
      <c r="CO228" s="2">
        <v>0</v>
      </c>
      <c r="CP228" s="2">
        <f t="shared" si="259"/>
        <v>19129.5</v>
      </c>
      <c r="CQ228" s="2">
        <f t="shared" si="260"/>
        <v>425.1</v>
      </c>
      <c r="CR228" s="2">
        <f>(ROUND((ROUND(((ET228)*AV228*1),2)*BB228),2)+ROUND((ROUND(((AE228-(EU228))*AV228*1),2)*BS228),2))</f>
        <v>0</v>
      </c>
      <c r="CS228" s="2">
        <f>(ROUND((ROUND(((EU228)*AV228*1),2)*BS228),2)+ROUND((ROUND(((AE228-(EU228))*AV228*1),2)*BS228),2))</f>
        <v>0</v>
      </c>
      <c r="CT228" s="2">
        <f t="shared" si="261"/>
        <v>0</v>
      </c>
      <c r="CU228" s="2">
        <f t="shared" si="262"/>
        <v>0</v>
      </c>
      <c r="CV228" s="2">
        <f t="shared" si="263"/>
        <v>0</v>
      </c>
      <c r="CW228" s="2">
        <f t="shared" si="264"/>
        <v>0</v>
      </c>
      <c r="CX228" s="2">
        <f t="shared" si="265"/>
        <v>0</v>
      </c>
      <c r="CY228" s="2">
        <f>(ROUND((((S228+ROUND((ROUND(((EU228)*AV228*1),2)*BS228),2))*AT228)/100),2)+ROUND(((ROUND((ROUND(((AE228-(EU228))*AV228*1),2)*BS228),2)*AT228)/100),2))</f>
        <v>0</v>
      </c>
      <c r="CZ228" s="2">
        <f>(ROUND((((S228+ROUND((ROUND(((EU228)*AV228*1),2)*BS228),2))*AU228)/100),2)+ROUND(((ROUND((ROUND(((AE228-(EU228))*AV228*1),2)*BS228),2)*AU228)/100),2))</f>
        <v>0</v>
      </c>
      <c r="DA228" s="2"/>
      <c r="DB228" s="2"/>
      <c r="DC228" s="2" t="s">
        <v>3</v>
      </c>
      <c r="DD228" s="2" t="s">
        <v>3</v>
      </c>
      <c r="DE228" s="2" t="s">
        <v>3</v>
      </c>
      <c r="DF228" s="2" t="s">
        <v>3</v>
      </c>
      <c r="DG228" s="2" t="s">
        <v>3</v>
      </c>
      <c r="DH228" s="2" t="s">
        <v>3</v>
      </c>
      <c r="DI228" s="2" t="s">
        <v>3</v>
      </c>
      <c r="DJ228" s="2" t="s">
        <v>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1010</v>
      </c>
      <c r="DV228" s="2" t="s">
        <v>31</v>
      </c>
      <c r="DW228" s="2" t="s">
        <v>31</v>
      </c>
      <c r="DX228" s="2">
        <v>1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60088328</v>
      </c>
      <c r="EF228" s="2">
        <v>200</v>
      </c>
      <c r="EG228" s="2" t="s">
        <v>210</v>
      </c>
      <c r="EH228" s="2">
        <v>0</v>
      </c>
      <c r="EI228" s="2" t="s">
        <v>3</v>
      </c>
      <c r="EJ228" s="2">
        <v>1</v>
      </c>
      <c r="EK228" s="2">
        <v>1617</v>
      </c>
      <c r="EL228" s="2" t="s">
        <v>211</v>
      </c>
      <c r="EM228" s="2" t="s">
        <v>212</v>
      </c>
      <c r="EN228" s="2"/>
      <c r="EO228" s="2" t="s">
        <v>3</v>
      </c>
      <c r="EP228" s="2"/>
      <c r="EQ228" s="2">
        <v>0</v>
      </c>
      <c r="ER228" s="2">
        <v>425.1</v>
      </c>
      <c r="ES228" s="2">
        <v>425.1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0</v>
      </c>
      <c r="FY228" s="2">
        <v>0</v>
      </c>
      <c r="FZ228" s="2"/>
      <c r="GA228" s="2" t="s">
        <v>3</v>
      </c>
      <c r="GB228" s="2"/>
      <c r="GC228" s="2"/>
      <c r="GD228" s="2">
        <v>1</v>
      </c>
      <c r="GE228" s="2"/>
      <c r="GF228" s="2">
        <v>1103734184</v>
      </c>
      <c r="GG228" s="2">
        <v>2</v>
      </c>
      <c r="GH228" s="2">
        <v>1</v>
      </c>
      <c r="GI228" s="2">
        <v>-2</v>
      </c>
      <c r="GJ228" s="2">
        <v>0</v>
      </c>
      <c r="GK228" s="2">
        <v>0</v>
      </c>
      <c r="GL228" s="2">
        <f t="shared" si="266"/>
        <v>0</v>
      </c>
      <c r="GM228" s="2">
        <f t="shared" si="267"/>
        <v>19129.5</v>
      </c>
      <c r="GN228" s="2">
        <f t="shared" si="268"/>
        <v>19129.5</v>
      </c>
      <c r="GO228" s="2">
        <f t="shared" si="269"/>
        <v>0</v>
      </c>
      <c r="GP228" s="2">
        <f t="shared" si="270"/>
        <v>0</v>
      </c>
      <c r="GQ228" s="2"/>
      <c r="GR228" s="2">
        <v>0</v>
      </c>
      <c r="GS228" s="2">
        <v>3</v>
      </c>
      <c r="GT228" s="2">
        <v>0</v>
      </c>
      <c r="GU228" s="2" t="s">
        <v>3</v>
      </c>
      <c r="GV228" s="2">
        <f t="shared" si="271"/>
        <v>0</v>
      </c>
      <c r="GW228" s="2">
        <v>1</v>
      </c>
      <c r="GX228" s="2">
        <f t="shared" si="272"/>
        <v>0</v>
      </c>
      <c r="GY228" s="2"/>
      <c r="GZ228" s="2"/>
      <c r="HA228" s="2">
        <v>0</v>
      </c>
      <c r="HB228" s="2">
        <v>0</v>
      </c>
      <c r="HC228" s="2">
        <f t="shared" si="273"/>
        <v>0</v>
      </c>
      <c r="HD228" s="2"/>
      <c r="HE228" s="2" t="s">
        <v>3</v>
      </c>
      <c r="HF228" s="2" t="s">
        <v>3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">
      <c r="A229">
        <v>17</v>
      </c>
      <c r="B229">
        <v>1</v>
      </c>
      <c r="E229" t="s">
        <v>327</v>
      </c>
      <c r="F229" t="s">
        <v>328</v>
      </c>
      <c r="G229" t="s">
        <v>329</v>
      </c>
      <c r="H229" t="s">
        <v>31</v>
      </c>
      <c r="I229">
        <v>45</v>
      </c>
      <c r="J229">
        <v>0</v>
      </c>
      <c r="K229">
        <v>45</v>
      </c>
      <c r="O229">
        <f t="shared" si="248"/>
        <v>199711.98</v>
      </c>
      <c r="P229">
        <f t="shared" si="249"/>
        <v>199711.98</v>
      </c>
      <c r="Q229">
        <f>(ROUND((ROUND(((ET229)*AV229*I229),2)*BB229),2)+ROUND((ROUND(((AE229-(EU229))*AV229*I229),2)*BS229),2))</f>
        <v>0</v>
      </c>
      <c r="R229">
        <f>(ROUND((ROUND(((EU229)*AV229*I229),2)*BS229),2)+ROUND((ROUND(((AE229-(EU229))*AV229*I229),2)*BS229),2))</f>
        <v>0</v>
      </c>
      <c r="S229">
        <f t="shared" si="250"/>
        <v>0</v>
      </c>
      <c r="T229">
        <f t="shared" si="251"/>
        <v>0</v>
      </c>
      <c r="U229">
        <f t="shared" si="252"/>
        <v>0</v>
      </c>
      <c r="V229">
        <f t="shared" si="253"/>
        <v>0</v>
      </c>
      <c r="W229">
        <f t="shared" si="254"/>
        <v>0</v>
      </c>
      <c r="X229">
        <f>(ROUND((((S229+ROUND((ROUND(((EU229)*AV229*I229),2)*BS229),2))*AT229)/100),2)+ROUND(((ROUND((ROUND(((AE229-(EU229))*AV229*I229),2)*BS229),2)*AT229)/100),2))</f>
        <v>0</v>
      </c>
      <c r="Y229">
        <f>(ROUND((((S229+ROUND((ROUND(((EU229)*AV229*I229),2)*BS229),2))*AU229)/100),2)+ROUND(((ROUND((ROUND(((AE229-(EU229))*AV229*I229),2)*BS229),2)*AU229)/100),2))</f>
        <v>0</v>
      </c>
      <c r="AA229">
        <v>60255011</v>
      </c>
      <c r="AB229">
        <f t="shared" si="255"/>
        <v>425.1</v>
      </c>
      <c r="AC229">
        <f t="shared" si="256"/>
        <v>425.1</v>
      </c>
      <c r="AD229">
        <f>ROUND((((ET229)-(EU229))+AE229),6)</f>
        <v>0</v>
      </c>
      <c r="AE229">
        <f t="shared" si="287"/>
        <v>0</v>
      </c>
      <c r="AF229">
        <f t="shared" si="287"/>
        <v>0</v>
      </c>
      <c r="AG229">
        <f t="shared" si="257"/>
        <v>0</v>
      </c>
      <c r="AH229">
        <f t="shared" si="288"/>
        <v>0</v>
      </c>
      <c r="AI229">
        <f t="shared" si="288"/>
        <v>0</v>
      </c>
      <c r="AJ229">
        <f t="shared" si="258"/>
        <v>0</v>
      </c>
      <c r="AK229">
        <v>425.1</v>
      </c>
      <c r="AL229">
        <v>425.1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1</v>
      </c>
      <c r="AZ229">
        <v>1</v>
      </c>
      <c r="BA229">
        <v>1</v>
      </c>
      <c r="BB229">
        <v>1</v>
      </c>
      <c r="BC229">
        <v>10.44</v>
      </c>
      <c r="BD229" t="s">
        <v>3</v>
      </c>
      <c r="BE229" t="s">
        <v>3</v>
      </c>
      <c r="BF229" t="s">
        <v>3</v>
      </c>
      <c r="BG229" t="s">
        <v>3</v>
      </c>
      <c r="BH229">
        <v>3</v>
      </c>
      <c r="BI229">
        <v>1</v>
      </c>
      <c r="BJ229" t="s">
        <v>330</v>
      </c>
      <c r="BM229">
        <v>1617</v>
      </c>
      <c r="BN229">
        <v>58973374</v>
      </c>
      <c r="BO229" t="s">
        <v>328</v>
      </c>
      <c r="BP229">
        <v>1</v>
      </c>
      <c r="BQ229">
        <v>200</v>
      </c>
      <c r="BR229">
        <v>0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 t="s">
        <v>3</v>
      </c>
      <c r="BZ229">
        <v>0</v>
      </c>
      <c r="CA229">
        <v>0</v>
      </c>
      <c r="CB229" t="s">
        <v>3</v>
      </c>
      <c r="CE229">
        <v>1566</v>
      </c>
      <c r="CF229">
        <v>0</v>
      </c>
      <c r="CG229">
        <v>0</v>
      </c>
      <c r="CM229">
        <v>0</v>
      </c>
      <c r="CN229" t="s">
        <v>3</v>
      </c>
      <c r="CO229">
        <v>0</v>
      </c>
      <c r="CP229">
        <f t="shared" si="259"/>
        <v>199711.98</v>
      </c>
      <c r="CQ229">
        <f t="shared" si="260"/>
        <v>4438.04</v>
      </c>
      <c r="CR229">
        <f>(ROUND((ROUND(((ET229)*AV229*1),2)*BB229),2)+ROUND((ROUND(((AE229-(EU229))*AV229*1),2)*BS229),2))</f>
        <v>0</v>
      </c>
      <c r="CS229">
        <f>(ROUND((ROUND(((EU229)*AV229*1),2)*BS229),2)+ROUND((ROUND(((AE229-(EU229))*AV229*1),2)*BS229),2))</f>
        <v>0</v>
      </c>
      <c r="CT229">
        <f t="shared" si="261"/>
        <v>0</v>
      </c>
      <c r="CU229">
        <f t="shared" si="262"/>
        <v>0</v>
      </c>
      <c r="CV229">
        <f t="shared" si="263"/>
        <v>0</v>
      </c>
      <c r="CW229">
        <f t="shared" si="264"/>
        <v>0</v>
      </c>
      <c r="CX229">
        <f t="shared" si="265"/>
        <v>0</v>
      </c>
      <c r="CY229">
        <f>(ROUND((((S229+ROUND((ROUND(((EU229)*AV229*1),2)*BS229),2))*AT229)/100),2)+ROUND(((ROUND((ROUND(((AE229-(EU229))*AV229*1),2)*BS229),2)*AT229)/100),2))</f>
        <v>0</v>
      </c>
      <c r="CZ229">
        <f>(ROUND((((S229+ROUND((ROUND(((EU229)*AV229*1),2)*BS229),2))*AU229)/100),2)+ROUND(((ROUND((ROUND(((AE229-(EU229))*AV229*1),2)*BS229),2)*AU229)/100),2))</f>
        <v>0</v>
      </c>
      <c r="DC229" t="s">
        <v>3</v>
      </c>
      <c r="DD229" t="s">
        <v>3</v>
      </c>
      <c r="DE229" t="s">
        <v>3</v>
      </c>
      <c r="DF229" t="s">
        <v>3</v>
      </c>
      <c r="DG229" t="s">
        <v>3</v>
      </c>
      <c r="DH229" t="s">
        <v>3</v>
      </c>
      <c r="DI229" t="s">
        <v>3</v>
      </c>
      <c r="DJ229" t="s">
        <v>3</v>
      </c>
      <c r="DK229" t="s">
        <v>3</v>
      </c>
      <c r="DL229" t="s">
        <v>3</v>
      </c>
      <c r="DM229" t="s">
        <v>3</v>
      </c>
      <c r="DN229">
        <v>0</v>
      </c>
      <c r="DO229">
        <v>0</v>
      </c>
      <c r="DP229">
        <v>1</v>
      </c>
      <c r="DQ229">
        <v>1</v>
      </c>
      <c r="DU229">
        <v>1010</v>
      </c>
      <c r="DV229" t="s">
        <v>31</v>
      </c>
      <c r="DW229" t="s">
        <v>31</v>
      </c>
      <c r="DX229">
        <v>1</v>
      </c>
      <c r="DZ229" t="s">
        <v>3</v>
      </c>
      <c r="EA229" t="s">
        <v>3</v>
      </c>
      <c r="EB229" t="s">
        <v>3</v>
      </c>
      <c r="EC229" t="s">
        <v>3</v>
      </c>
      <c r="EE229">
        <v>60088328</v>
      </c>
      <c r="EF229">
        <v>200</v>
      </c>
      <c r="EG229" t="s">
        <v>210</v>
      </c>
      <c r="EH229">
        <v>0</v>
      </c>
      <c r="EI229" t="s">
        <v>3</v>
      </c>
      <c r="EJ229">
        <v>1</v>
      </c>
      <c r="EK229">
        <v>1617</v>
      </c>
      <c r="EL229" t="s">
        <v>211</v>
      </c>
      <c r="EM229" t="s">
        <v>212</v>
      </c>
      <c r="EO229" t="s">
        <v>3</v>
      </c>
      <c r="EQ229">
        <v>0</v>
      </c>
      <c r="ER229">
        <v>425.1</v>
      </c>
      <c r="ES229">
        <v>425.1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FQ229">
        <v>0</v>
      </c>
      <c r="FR229">
        <v>0</v>
      </c>
      <c r="FS229">
        <v>0</v>
      </c>
      <c r="FX229">
        <v>0</v>
      </c>
      <c r="FY229">
        <v>0</v>
      </c>
      <c r="GA229" t="s">
        <v>3</v>
      </c>
      <c r="GD229">
        <v>1</v>
      </c>
      <c r="GF229">
        <v>1103734184</v>
      </c>
      <c r="GG229">
        <v>2</v>
      </c>
      <c r="GH229">
        <v>1</v>
      </c>
      <c r="GI229">
        <v>2</v>
      </c>
      <c r="GJ229">
        <v>0</v>
      </c>
      <c r="GK229">
        <v>0</v>
      </c>
      <c r="GL229">
        <f t="shared" si="266"/>
        <v>0</v>
      </c>
      <c r="GM229">
        <f t="shared" si="267"/>
        <v>199711.98</v>
      </c>
      <c r="GN229">
        <f t="shared" si="268"/>
        <v>199711.98</v>
      </c>
      <c r="GO229">
        <f t="shared" si="269"/>
        <v>0</v>
      </c>
      <c r="GP229">
        <f t="shared" si="270"/>
        <v>0</v>
      </c>
      <c r="GR229">
        <v>0</v>
      </c>
      <c r="GS229">
        <v>3</v>
      </c>
      <c r="GT229">
        <v>0</v>
      </c>
      <c r="GU229" t="s">
        <v>3</v>
      </c>
      <c r="GV229">
        <f t="shared" si="271"/>
        <v>0</v>
      </c>
      <c r="GW229">
        <v>1</v>
      </c>
      <c r="GX229">
        <f t="shared" si="272"/>
        <v>0</v>
      </c>
      <c r="HA229">
        <v>0</v>
      </c>
      <c r="HB229">
        <v>0</v>
      </c>
      <c r="HC229">
        <f t="shared" si="273"/>
        <v>0</v>
      </c>
      <c r="HE229" t="s">
        <v>3</v>
      </c>
      <c r="HF229" t="s">
        <v>3</v>
      </c>
      <c r="HM229" t="s">
        <v>3</v>
      </c>
      <c r="HN229" t="s">
        <v>3</v>
      </c>
      <c r="HO229" t="s">
        <v>3</v>
      </c>
      <c r="HP229" t="s">
        <v>3</v>
      </c>
      <c r="HQ229" t="s">
        <v>3</v>
      </c>
      <c r="HS229">
        <v>0</v>
      </c>
      <c r="IK229">
        <v>0</v>
      </c>
    </row>
    <row r="230" spans="1:255" x14ac:dyDescent="0.2">
      <c r="A230" s="2">
        <v>17</v>
      </c>
      <c r="B230" s="2">
        <v>1</v>
      </c>
      <c r="C230" s="2">
        <f>ROW(SmtRes!A271)</f>
        <v>271</v>
      </c>
      <c r="D230" s="2">
        <f>ROW(EtalonRes!A296)</f>
        <v>296</v>
      </c>
      <c r="E230" s="2" t="s">
        <v>331</v>
      </c>
      <c r="F230" s="2" t="s">
        <v>284</v>
      </c>
      <c r="G230" s="2" t="s">
        <v>285</v>
      </c>
      <c r="H230" s="2" t="s">
        <v>21</v>
      </c>
      <c r="I230" s="2">
        <v>4</v>
      </c>
      <c r="J230" s="2">
        <v>0</v>
      </c>
      <c r="K230" s="2">
        <v>4</v>
      </c>
      <c r="L230" s="2"/>
      <c r="M230" s="2"/>
      <c r="N230" s="2"/>
      <c r="O230" s="2">
        <f t="shared" si="248"/>
        <v>23.9</v>
      </c>
      <c r="P230" s="2">
        <f t="shared" si="249"/>
        <v>3.24</v>
      </c>
      <c r="Q230" s="2">
        <f>(ROUND((ROUND(((((ET230*1.25)*1.1))*AV230*I230),2)*BB230),2)+ROUND((ROUND(((AE230-(((EU230*1.25)*1.1)))*AV230*I230),2)*BS230),2))</f>
        <v>0</v>
      </c>
      <c r="R230" s="2">
        <f>(ROUND((ROUND(((((EU230*1.25)*1.1))*AV230*I230),2)*BS230),2)+ROUND((ROUND(((AE230-(((EU230*1.25)*1.1)))*AV230*I230),2)*BS230),2))</f>
        <v>0</v>
      </c>
      <c r="S230" s="2">
        <f t="shared" si="250"/>
        <v>20.66</v>
      </c>
      <c r="T230" s="2">
        <f t="shared" si="251"/>
        <v>0</v>
      </c>
      <c r="U230" s="2">
        <f t="shared" si="252"/>
        <v>1.5893459999999999</v>
      </c>
      <c r="V230" s="2">
        <f t="shared" si="253"/>
        <v>0</v>
      </c>
      <c r="W230" s="2">
        <f t="shared" si="254"/>
        <v>0</v>
      </c>
      <c r="X230" s="2">
        <f>(ROUND((((S230+ROUND((ROUND(((((EU230*1.25)*1.1))*AV230*I230),2)*BS230),2))*AT230)/100),2)+ROUND(((ROUND((ROUND(((AE230-(((EU230*1.25)*1.1)))*AV230*I230),2)*BS230),2)*AT230)/100),2))</f>
        <v>18.59</v>
      </c>
      <c r="Y230" s="2">
        <f>(ROUND((((S230+ROUND((ROUND(((((EU230*1.25)*1.1))*AV230*I230),2)*BS230),2))*AU230)/100),2)+ROUND(((ROUND((ROUND(((AE230-(((EU230*1.25)*1.1)))*AV230*I230),2)*BS230),2)*AU230)/100),2))</f>
        <v>9.5</v>
      </c>
      <c r="Z230" s="2"/>
      <c r="AA230" s="2">
        <v>60255014</v>
      </c>
      <c r="AB230" s="2">
        <f t="shared" si="255"/>
        <v>5.7435</v>
      </c>
      <c r="AC230" s="2">
        <f t="shared" si="256"/>
        <v>0.81</v>
      </c>
      <c r="AD230" s="2">
        <f>ROUND((((((ET230*1.25)*1.1))-(((EU230*1.25)*1.1)))+AE230),6)</f>
        <v>0</v>
      </c>
      <c r="AE230" s="2">
        <f>ROUND((((EU230*1.25)*1.1)),6)</f>
        <v>0</v>
      </c>
      <c r="AF230" s="2">
        <f>ROUND((((EV230*1.15)*1.1)),6)</f>
        <v>4.9335000000000004</v>
      </c>
      <c r="AG230" s="2">
        <f t="shared" si="257"/>
        <v>0</v>
      </c>
      <c r="AH230" s="2">
        <f>(((EW230*1.15)*1.1))</f>
        <v>0.3795</v>
      </c>
      <c r="AI230" s="2">
        <f>(((EX230*1.25)*1.1))</f>
        <v>0</v>
      </c>
      <c r="AJ230" s="2">
        <f t="shared" si="258"/>
        <v>0</v>
      </c>
      <c r="AK230" s="2">
        <v>4.71</v>
      </c>
      <c r="AL230" s="2">
        <v>0.81</v>
      </c>
      <c r="AM230" s="2">
        <v>0</v>
      </c>
      <c r="AN230" s="2">
        <v>0</v>
      </c>
      <c r="AO230" s="2">
        <v>3.9</v>
      </c>
      <c r="AP230" s="2">
        <v>0</v>
      </c>
      <c r="AQ230" s="2">
        <v>0.3</v>
      </c>
      <c r="AR230" s="2">
        <v>0</v>
      </c>
      <c r="AS230" s="2">
        <v>0</v>
      </c>
      <c r="AT230" s="2">
        <v>90</v>
      </c>
      <c r="AU230" s="2">
        <v>46</v>
      </c>
      <c r="AV230" s="2">
        <v>1.0469999999999999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0</v>
      </c>
      <c r="BI230" s="2">
        <v>2</v>
      </c>
      <c r="BJ230" s="2" t="s">
        <v>286</v>
      </c>
      <c r="BK230" s="2"/>
      <c r="BL230" s="2"/>
      <c r="BM230" s="2">
        <v>72</v>
      </c>
      <c r="BN230" s="2">
        <v>58973374</v>
      </c>
      <c r="BO230" s="2" t="s">
        <v>284</v>
      </c>
      <c r="BP230" s="2">
        <v>1</v>
      </c>
      <c r="BQ230" s="2">
        <v>40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90</v>
      </c>
      <c r="CA230" s="2">
        <v>46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625</v>
      </c>
      <c r="CO230" s="2">
        <v>0</v>
      </c>
      <c r="CP230" s="2">
        <f t="shared" si="259"/>
        <v>23.9</v>
      </c>
      <c r="CQ230" s="2">
        <f t="shared" si="260"/>
        <v>0.81</v>
      </c>
      <c r="CR230" s="2">
        <f>(ROUND((ROUND(((((ET230*1.25)*1.1))*AV230*1),2)*BB230),2)+ROUND((ROUND(((AE230-(((EU230*1.25)*1.1)))*AV230*1),2)*BS230),2))</f>
        <v>0</v>
      </c>
      <c r="CS230" s="2">
        <f>(ROUND((ROUND(((((EU230*1.25)*1.1))*AV230*1),2)*BS230),2)+ROUND((ROUND(((AE230-(((EU230*1.25)*1.1)))*AV230*1),2)*BS230),2))</f>
        <v>0</v>
      </c>
      <c r="CT230" s="2">
        <f t="shared" si="261"/>
        <v>5.17</v>
      </c>
      <c r="CU230" s="2">
        <f t="shared" si="262"/>
        <v>0</v>
      </c>
      <c r="CV230" s="2">
        <f t="shared" si="263"/>
        <v>0.39733649999999998</v>
      </c>
      <c r="CW230" s="2">
        <f t="shared" si="264"/>
        <v>0</v>
      </c>
      <c r="CX230" s="2">
        <f t="shared" si="265"/>
        <v>0</v>
      </c>
      <c r="CY230" s="2">
        <f>(ROUND((((S230+ROUND((ROUND(((((EU230*1.25)*1.1))*AV230*1),2)*BS230),2))*AT230)/100),2)+ROUND(((ROUND((ROUND(((AE230-(((EU230*1.25)*1.1)))*AV230*1),2)*BS230),2)*AT230)/100),2))</f>
        <v>18.59</v>
      </c>
      <c r="CZ230" s="2">
        <f>(ROUND((((S230+ROUND((ROUND(((((EU230*1.25)*1.1))*AV230*1),2)*BS230),2))*AU230)/100),2)+ROUND(((ROUND((ROUND(((AE230-(((EU230*1.25)*1.1)))*AV230*1),2)*BS230),2)*AU230)/100),2))</f>
        <v>9.5</v>
      </c>
      <c r="DA230" s="2"/>
      <c r="DB230" s="2">
        <v>61</v>
      </c>
      <c r="DC230" s="2" t="s">
        <v>3</v>
      </c>
      <c r="DD230" s="2" t="s">
        <v>3</v>
      </c>
      <c r="DE230" s="2" t="s">
        <v>98</v>
      </c>
      <c r="DF230" s="2" t="s">
        <v>98</v>
      </c>
      <c r="DG230" s="2" t="s">
        <v>99</v>
      </c>
      <c r="DH230" s="2" t="s">
        <v>3</v>
      </c>
      <c r="DI230" s="2" t="s">
        <v>99</v>
      </c>
      <c r="DJ230" s="2" t="s">
        <v>98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1013</v>
      </c>
      <c r="DV230" s="2" t="s">
        <v>21</v>
      </c>
      <c r="DW230" s="2" t="s">
        <v>21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60088304</v>
      </c>
      <c r="EF230" s="2">
        <v>40</v>
      </c>
      <c r="EG230" s="2" t="s">
        <v>24</v>
      </c>
      <c r="EH230" s="2">
        <v>0</v>
      </c>
      <c r="EI230" s="2" t="s">
        <v>3</v>
      </c>
      <c r="EJ230" s="2">
        <v>2</v>
      </c>
      <c r="EK230" s="2">
        <v>72</v>
      </c>
      <c r="EL230" s="2" t="s">
        <v>287</v>
      </c>
      <c r="EM230" s="2" t="s">
        <v>288</v>
      </c>
      <c r="EN230" s="2"/>
      <c r="EO230" s="2" t="s">
        <v>103</v>
      </c>
      <c r="EP230" s="2"/>
      <c r="EQ230" s="2">
        <v>0</v>
      </c>
      <c r="ER230" s="2">
        <v>4.71</v>
      </c>
      <c r="ES230" s="2">
        <v>0.81</v>
      </c>
      <c r="ET230" s="2">
        <v>0</v>
      </c>
      <c r="EU230" s="2">
        <v>0</v>
      </c>
      <c r="EV230" s="2">
        <v>3.9</v>
      </c>
      <c r="EW230" s="2">
        <v>0.3</v>
      </c>
      <c r="EX230" s="2">
        <v>0</v>
      </c>
      <c r="EY230" s="2">
        <v>0</v>
      </c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90</v>
      </c>
      <c r="FY230" s="2">
        <v>46</v>
      </c>
      <c r="FZ230" s="2"/>
      <c r="GA230" s="2" t="s">
        <v>3</v>
      </c>
      <c r="GB230" s="2"/>
      <c r="GC230" s="2"/>
      <c r="GD230" s="2">
        <v>1</v>
      </c>
      <c r="GE230" s="2"/>
      <c r="GF230" s="2">
        <v>-1494899736</v>
      </c>
      <c r="GG230" s="2">
        <v>2</v>
      </c>
      <c r="GH230" s="2">
        <v>1</v>
      </c>
      <c r="GI230" s="2">
        <v>2</v>
      </c>
      <c r="GJ230" s="2">
        <v>0</v>
      </c>
      <c r="GK230" s="2">
        <v>0</v>
      </c>
      <c r="GL230" s="2">
        <f t="shared" si="266"/>
        <v>0</v>
      </c>
      <c r="GM230" s="2">
        <f t="shared" si="267"/>
        <v>51.99</v>
      </c>
      <c r="GN230" s="2">
        <f t="shared" si="268"/>
        <v>0</v>
      </c>
      <c r="GO230" s="2">
        <f t="shared" si="269"/>
        <v>51.99</v>
      </c>
      <c r="GP230" s="2">
        <f t="shared" si="270"/>
        <v>0</v>
      </c>
      <c r="GQ230" s="2"/>
      <c r="GR230" s="2">
        <v>0</v>
      </c>
      <c r="GS230" s="2">
        <v>3</v>
      </c>
      <c r="GT230" s="2">
        <v>0</v>
      </c>
      <c r="GU230" s="2" t="s">
        <v>3</v>
      </c>
      <c r="GV230" s="2">
        <f t="shared" si="271"/>
        <v>0</v>
      </c>
      <c r="GW230" s="2">
        <v>1</v>
      </c>
      <c r="GX230" s="2">
        <f t="shared" si="272"/>
        <v>0</v>
      </c>
      <c r="GY230" s="2"/>
      <c r="GZ230" s="2"/>
      <c r="HA230" s="2">
        <v>0</v>
      </c>
      <c r="HB230" s="2">
        <v>0</v>
      </c>
      <c r="HC230" s="2">
        <f t="shared" si="273"/>
        <v>0</v>
      </c>
      <c r="HD230" s="2"/>
      <c r="HE230" s="2" t="s">
        <v>3</v>
      </c>
      <c r="HF230" s="2" t="s">
        <v>3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">
      <c r="A231">
        <v>17</v>
      </c>
      <c r="B231">
        <v>1</v>
      </c>
      <c r="C231">
        <f>ROW(SmtRes!A274)</f>
        <v>274</v>
      </c>
      <c r="D231">
        <f>ROW(EtalonRes!A300)</f>
        <v>300</v>
      </c>
      <c r="E231" t="s">
        <v>331</v>
      </c>
      <c r="F231" t="s">
        <v>284</v>
      </c>
      <c r="G231" t="s">
        <v>285</v>
      </c>
      <c r="H231" t="s">
        <v>21</v>
      </c>
      <c r="I231">
        <v>4</v>
      </c>
      <c r="J231">
        <v>0</v>
      </c>
      <c r="K231">
        <v>4</v>
      </c>
      <c r="O231">
        <f t="shared" si="248"/>
        <v>1164.5999999999999</v>
      </c>
      <c r="P231">
        <f t="shared" si="249"/>
        <v>28.51</v>
      </c>
      <c r="Q231">
        <f>(ROUND((ROUND(((((ET231*1.25)*1.1))*AV231*I231),2)*BB231),2)+ROUND((ROUND(((AE231-(((EU231*1.25)*1.1)))*AV231*I231),2)*BS231),2))</f>
        <v>0</v>
      </c>
      <c r="R231">
        <f>(ROUND((ROUND(((((EU231*1.25)*1.1))*AV231*I231),2)*BS231),2)+ROUND((ROUND(((AE231-(((EU231*1.25)*1.1)))*AV231*I231),2)*BS231),2))</f>
        <v>0</v>
      </c>
      <c r="S231">
        <f t="shared" si="250"/>
        <v>1136.0899999999999</v>
      </c>
      <c r="T231">
        <f t="shared" si="251"/>
        <v>0</v>
      </c>
      <c r="U231">
        <f t="shared" si="252"/>
        <v>1.5893459999999999</v>
      </c>
      <c r="V231">
        <f t="shared" si="253"/>
        <v>0</v>
      </c>
      <c r="W231">
        <f t="shared" si="254"/>
        <v>0</v>
      </c>
      <c r="X231">
        <f>(ROUND((((S231+ROUND((ROUND(((((EU231*1.25)*1.1))*AV231*I231),2)*BS231),2))*AT231)/100),2)+ROUND(((ROUND((ROUND(((AE231-(((EU231*1.25)*1.1)))*AV231*I231),2)*BS231),2)*AT231)/100),2))</f>
        <v>1022.48</v>
      </c>
      <c r="Y231">
        <f>(ROUND((((S231+ROUND((ROUND(((((EU231*1.25)*1.1))*AV231*I231),2)*BS231),2))*AU231)/100),2)+ROUND(((ROUND((ROUND(((AE231-(((EU231*1.25)*1.1)))*AV231*I231),2)*BS231),2)*AU231)/100),2))</f>
        <v>522.6</v>
      </c>
      <c r="AA231">
        <v>60255011</v>
      </c>
      <c r="AB231">
        <f t="shared" si="255"/>
        <v>5.7435</v>
      </c>
      <c r="AC231">
        <f t="shared" si="256"/>
        <v>0.81</v>
      </c>
      <c r="AD231">
        <f>ROUND((((((ET231*1.25)*1.1))-(((EU231*1.25)*1.1)))+AE231),6)</f>
        <v>0</v>
      </c>
      <c r="AE231">
        <f>ROUND((((EU231*1.25)*1.1)),6)</f>
        <v>0</v>
      </c>
      <c r="AF231">
        <f>ROUND((((EV231*1.15)*1.1)),6)</f>
        <v>4.9335000000000004</v>
      </c>
      <c r="AG231">
        <f t="shared" si="257"/>
        <v>0</v>
      </c>
      <c r="AH231">
        <f>(((EW231*1.15)*1.1))</f>
        <v>0.3795</v>
      </c>
      <c r="AI231">
        <f>(((EX231*1.25)*1.1))</f>
        <v>0</v>
      </c>
      <c r="AJ231">
        <f t="shared" si="258"/>
        <v>0</v>
      </c>
      <c r="AK231">
        <v>4.71</v>
      </c>
      <c r="AL231">
        <v>0.81</v>
      </c>
      <c r="AM231">
        <v>0</v>
      </c>
      <c r="AN231">
        <v>0</v>
      </c>
      <c r="AO231">
        <v>3.9</v>
      </c>
      <c r="AP231">
        <v>0</v>
      </c>
      <c r="AQ231">
        <v>0.3</v>
      </c>
      <c r="AR231">
        <v>0</v>
      </c>
      <c r="AS231">
        <v>0</v>
      </c>
      <c r="AT231">
        <v>90</v>
      </c>
      <c r="AU231">
        <v>46</v>
      </c>
      <c r="AV231">
        <v>1.0469999999999999</v>
      </c>
      <c r="AW231">
        <v>1</v>
      </c>
      <c r="AZ231">
        <v>1</v>
      </c>
      <c r="BA231">
        <v>54.99</v>
      </c>
      <c r="BB231">
        <v>1</v>
      </c>
      <c r="BC231">
        <v>8.8000000000000007</v>
      </c>
      <c r="BD231" t="s">
        <v>3</v>
      </c>
      <c r="BE231" t="s">
        <v>3</v>
      </c>
      <c r="BF231" t="s">
        <v>3</v>
      </c>
      <c r="BG231" t="s">
        <v>3</v>
      </c>
      <c r="BH231">
        <v>0</v>
      </c>
      <c r="BI231">
        <v>2</v>
      </c>
      <c r="BJ231" t="s">
        <v>286</v>
      </c>
      <c r="BM231">
        <v>72</v>
      </c>
      <c r="BN231">
        <v>58973374</v>
      </c>
      <c r="BO231" t="s">
        <v>284</v>
      </c>
      <c r="BP231">
        <v>1</v>
      </c>
      <c r="BQ231">
        <v>40</v>
      </c>
      <c r="BR231">
        <v>0</v>
      </c>
      <c r="BS231">
        <v>54.99</v>
      </c>
      <c r="BT231">
        <v>1</v>
      </c>
      <c r="BU231">
        <v>1</v>
      </c>
      <c r="BV231">
        <v>1</v>
      </c>
      <c r="BW231">
        <v>1</v>
      </c>
      <c r="BX231">
        <v>1</v>
      </c>
      <c r="BY231" t="s">
        <v>3</v>
      </c>
      <c r="BZ231">
        <v>90</v>
      </c>
      <c r="CA231">
        <v>46</v>
      </c>
      <c r="CB231" t="s">
        <v>3</v>
      </c>
      <c r="CE231">
        <v>1566</v>
      </c>
      <c r="CF231">
        <v>0</v>
      </c>
      <c r="CG231">
        <v>0</v>
      </c>
      <c r="CM231">
        <v>0</v>
      </c>
      <c r="CN231" t="s">
        <v>625</v>
      </c>
      <c r="CO231">
        <v>0</v>
      </c>
      <c r="CP231">
        <f t="shared" si="259"/>
        <v>1164.5999999999999</v>
      </c>
      <c r="CQ231">
        <f t="shared" si="260"/>
        <v>7.13</v>
      </c>
      <c r="CR231">
        <f>(ROUND((ROUND(((((ET231*1.25)*1.1))*AV231*1),2)*BB231),2)+ROUND((ROUND(((AE231-(((EU231*1.25)*1.1)))*AV231*1),2)*BS231),2))</f>
        <v>0</v>
      </c>
      <c r="CS231">
        <f>(ROUND((ROUND(((((EU231*1.25)*1.1))*AV231*1),2)*BS231),2)+ROUND((ROUND(((AE231-(((EU231*1.25)*1.1)))*AV231*1),2)*BS231),2))</f>
        <v>0</v>
      </c>
      <c r="CT231">
        <f t="shared" si="261"/>
        <v>284.3</v>
      </c>
      <c r="CU231">
        <f t="shared" si="262"/>
        <v>0</v>
      </c>
      <c r="CV231">
        <f t="shared" si="263"/>
        <v>0.39733649999999998</v>
      </c>
      <c r="CW231">
        <f t="shared" si="264"/>
        <v>0</v>
      </c>
      <c r="CX231">
        <f t="shared" si="265"/>
        <v>0</v>
      </c>
      <c r="CY231">
        <f>(ROUND((((S231+ROUND((ROUND(((((EU231*1.25)*1.1))*AV231*1),2)*BS231),2))*AT231)/100),2)+ROUND(((ROUND((ROUND(((AE231-(((EU231*1.25)*1.1)))*AV231*1),2)*BS231),2)*AT231)/100),2))</f>
        <v>1022.48</v>
      </c>
      <c r="CZ231">
        <f>(ROUND((((S231+ROUND((ROUND(((((EU231*1.25)*1.1))*AV231*1),2)*BS231),2))*AU231)/100),2)+ROUND(((ROUND((ROUND(((AE231-(((EU231*1.25)*1.1)))*AV231*1),2)*BS231),2)*AU231)/100),2))</f>
        <v>522.6</v>
      </c>
      <c r="DB231">
        <v>63</v>
      </c>
      <c r="DC231" t="s">
        <v>3</v>
      </c>
      <c r="DD231" t="s">
        <v>3</v>
      </c>
      <c r="DE231" t="s">
        <v>98</v>
      </c>
      <c r="DF231" t="s">
        <v>98</v>
      </c>
      <c r="DG231" t="s">
        <v>99</v>
      </c>
      <c r="DH231" t="s">
        <v>3</v>
      </c>
      <c r="DI231" t="s">
        <v>99</v>
      </c>
      <c r="DJ231" t="s">
        <v>98</v>
      </c>
      <c r="DK231" t="s">
        <v>3</v>
      </c>
      <c r="DL231" t="s">
        <v>3</v>
      </c>
      <c r="DM231" t="s">
        <v>3</v>
      </c>
      <c r="DN231">
        <v>0</v>
      </c>
      <c r="DO231">
        <v>0</v>
      </c>
      <c r="DP231">
        <v>1</v>
      </c>
      <c r="DQ231">
        <v>1</v>
      </c>
      <c r="DU231">
        <v>1013</v>
      </c>
      <c r="DV231" t="s">
        <v>21</v>
      </c>
      <c r="DW231" t="s">
        <v>21</v>
      </c>
      <c r="DX231">
        <v>1</v>
      </c>
      <c r="DZ231" t="s">
        <v>3</v>
      </c>
      <c r="EA231" t="s">
        <v>3</v>
      </c>
      <c r="EB231" t="s">
        <v>3</v>
      </c>
      <c r="EC231" t="s">
        <v>3</v>
      </c>
      <c r="EE231">
        <v>60088304</v>
      </c>
      <c r="EF231">
        <v>40</v>
      </c>
      <c r="EG231" t="s">
        <v>24</v>
      </c>
      <c r="EH231">
        <v>0</v>
      </c>
      <c r="EI231" t="s">
        <v>3</v>
      </c>
      <c r="EJ231">
        <v>2</v>
      </c>
      <c r="EK231">
        <v>72</v>
      </c>
      <c r="EL231" t="s">
        <v>287</v>
      </c>
      <c r="EM231" t="s">
        <v>288</v>
      </c>
      <c r="EO231" t="s">
        <v>103</v>
      </c>
      <c r="EQ231">
        <v>0</v>
      </c>
      <c r="ER231">
        <v>4.71</v>
      </c>
      <c r="ES231">
        <v>0.81</v>
      </c>
      <c r="ET231">
        <v>0</v>
      </c>
      <c r="EU231">
        <v>0</v>
      </c>
      <c r="EV231">
        <v>3.9</v>
      </c>
      <c r="EW231">
        <v>0.3</v>
      </c>
      <c r="EX231">
        <v>0</v>
      </c>
      <c r="EY231">
        <v>0</v>
      </c>
      <c r="FQ231">
        <v>0</v>
      </c>
      <c r="FR231">
        <v>0</v>
      </c>
      <c r="FS231">
        <v>0</v>
      </c>
      <c r="FX231">
        <v>90</v>
      </c>
      <c r="FY231">
        <v>46</v>
      </c>
      <c r="GA231" t="s">
        <v>3</v>
      </c>
      <c r="GD231">
        <v>1</v>
      </c>
      <c r="GF231">
        <v>-1494899736</v>
      </c>
      <c r="GG231">
        <v>2</v>
      </c>
      <c r="GH231">
        <v>1</v>
      </c>
      <c r="GI231">
        <v>2</v>
      </c>
      <c r="GJ231">
        <v>0</v>
      </c>
      <c r="GK231">
        <v>0</v>
      </c>
      <c r="GL231">
        <f t="shared" si="266"/>
        <v>0</v>
      </c>
      <c r="GM231">
        <f t="shared" si="267"/>
        <v>2709.68</v>
      </c>
      <c r="GN231">
        <f t="shared" si="268"/>
        <v>0</v>
      </c>
      <c r="GO231">
        <f t="shared" si="269"/>
        <v>2709.68</v>
      </c>
      <c r="GP231">
        <f t="shared" si="270"/>
        <v>0</v>
      </c>
      <c r="GR231">
        <v>0</v>
      </c>
      <c r="GS231">
        <v>3</v>
      </c>
      <c r="GT231">
        <v>0</v>
      </c>
      <c r="GU231" t="s">
        <v>3</v>
      </c>
      <c r="GV231">
        <f t="shared" si="271"/>
        <v>0</v>
      </c>
      <c r="GW231">
        <v>1</v>
      </c>
      <c r="GX231">
        <f t="shared" si="272"/>
        <v>0</v>
      </c>
      <c r="HA231">
        <v>0</v>
      </c>
      <c r="HB231">
        <v>0</v>
      </c>
      <c r="HC231">
        <f t="shared" si="273"/>
        <v>0</v>
      </c>
      <c r="HE231" t="s">
        <v>3</v>
      </c>
      <c r="HF231" t="s">
        <v>3</v>
      </c>
      <c r="HM231" t="s">
        <v>3</v>
      </c>
      <c r="HN231" t="s">
        <v>3</v>
      </c>
      <c r="HO231" t="s">
        <v>3</v>
      </c>
      <c r="HP231" t="s">
        <v>3</v>
      </c>
      <c r="HQ231" t="s">
        <v>3</v>
      </c>
      <c r="HS231">
        <v>0</v>
      </c>
      <c r="IK231">
        <v>0</v>
      </c>
    </row>
    <row r="232" spans="1:255" x14ac:dyDescent="0.2">
      <c r="A232" s="2">
        <v>17</v>
      </c>
      <c r="B232" s="2">
        <v>1</v>
      </c>
      <c r="C232" s="2"/>
      <c r="D232" s="2"/>
      <c r="E232" s="2" t="s">
        <v>332</v>
      </c>
      <c r="F232" s="2" t="s">
        <v>333</v>
      </c>
      <c r="G232" s="2" t="s">
        <v>334</v>
      </c>
      <c r="H232" s="2" t="s">
        <v>107</v>
      </c>
      <c r="I232" s="2">
        <v>4</v>
      </c>
      <c r="J232" s="2">
        <v>0</v>
      </c>
      <c r="K232" s="2">
        <v>4</v>
      </c>
      <c r="L232" s="2"/>
      <c r="M232" s="2"/>
      <c r="N232" s="2"/>
      <c r="O232" s="2">
        <f t="shared" si="248"/>
        <v>5785.52</v>
      </c>
      <c r="P232" s="2">
        <f t="shared" si="249"/>
        <v>5785.52</v>
      </c>
      <c r="Q232" s="2">
        <f>(ROUND((ROUND(((ET232)*AV232*I232),2)*BB232),2)+ROUND((ROUND(((AE232-(EU232))*AV232*I232),2)*BS232),2))</f>
        <v>0</v>
      </c>
      <c r="R232" s="2">
        <f>(ROUND((ROUND(((EU232)*AV232*I232),2)*BS232),2)+ROUND((ROUND(((AE232-(EU232))*AV232*I232),2)*BS232),2))</f>
        <v>0</v>
      </c>
      <c r="S232" s="2">
        <f t="shared" si="250"/>
        <v>0</v>
      </c>
      <c r="T232" s="2">
        <f t="shared" si="251"/>
        <v>0</v>
      </c>
      <c r="U232" s="2">
        <f t="shared" si="252"/>
        <v>0</v>
      </c>
      <c r="V232" s="2">
        <f t="shared" si="253"/>
        <v>0</v>
      </c>
      <c r="W232" s="2">
        <f t="shared" si="254"/>
        <v>0</v>
      </c>
      <c r="X232" s="2">
        <f>(ROUND((((S232+ROUND((ROUND(((EU232)*AV232*I232),2)*BS232),2))*AT232)/100),2)+ROUND(((ROUND((ROUND(((AE232-(EU232))*AV232*I232),2)*BS232),2)*AT232)/100),2))</f>
        <v>0</v>
      </c>
      <c r="Y232" s="2">
        <f>(ROUND((((S232+ROUND((ROUND(((EU232)*AV232*I232),2)*BS232),2))*AU232)/100),2)+ROUND(((ROUND((ROUND(((AE232-(EU232))*AV232*I232),2)*BS232),2)*AU232)/100),2))</f>
        <v>0</v>
      </c>
      <c r="Z232" s="2"/>
      <c r="AA232" s="2">
        <v>60255014</v>
      </c>
      <c r="AB232" s="2">
        <f t="shared" si="255"/>
        <v>1446.38</v>
      </c>
      <c r="AC232" s="2">
        <f t="shared" si="256"/>
        <v>1446.38</v>
      </c>
      <c r="AD232" s="2">
        <f>ROUND((((ET232)-(EU232))+AE232),6)</f>
        <v>0</v>
      </c>
      <c r="AE232" s="2">
        <f t="shared" ref="AE232:AF235" si="289">ROUND((EU232),6)</f>
        <v>0</v>
      </c>
      <c r="AF232" s="2">
        <f t="shared" si="289"/>
        <v>0</v>
      </c>
      <c r="AG232" s="2">
        <f t="shared" si="257"/>
        <v>0</v>
      </c>
      <c r="AH232" s="2">
        <f t="shared" ref="AH232:AI235" si="290">(EW232)</f>
        <v>0</v>
      </c>
      <c r="AI232" s="2">
        <f t="shared" si="290"/>
        <v>0</v>
      </c>
      <c r="AJ232" s="2">
        <f t="shared" si="258"/>
        <v>0</v>
      </c>
      <c r="AK232" s="2">
        <v>1446.3799999999999</v>
      </c>
      <c r="AL232" s="2">
        <v>1446.3799999999999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1</v>
      </c>
      <c r="BJ232" s="2" t="s">
        <v>3</v>
      </c>
      <c r="BK232" s="2"/>
      <c r="BL232" s="2"/>
      <c r="BM232" s="2">
        <v>400002</v>
      </c>
      <c r="BN232" s="2">
        <v>0</v>
      </c>
      <c r="BO232" s="2" t="s">
        <v>3</v>
      </c>
      <c r="BP232" s="2">
        <v>0</v>
      </c>
      <c r="BQ232" s="2">
        <v>202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0</v>
      </c>
      <c r="CA232" s="2">
        <v>0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59"/>
        <v>5785.52</v>
      </c>
      <c r="CQ232" s="2">
        <f t="shared" si="260"/>
        <v>1446.38</v>
      </c>
      <c r="CR232" s="2">
        <f>(ROUND((ROUND(((ET232)*AV232*1),2)*BB232),2)+ROUND((ROUND(((AE232-(EU232))*AV232*1),2)*BS232),2))</f>
        <v>0</v>
      </c>
      <c r="CS232" s="2">
        <f>(ROUND((ROUND(((EU232)*AV232*1),2)*BS232),2)+ROUND((ROUND(((AE232-(EU232))*AV232*1),2)*BS232),2))</f>
        <v>0</v>
      </c>
      <c r="CT232" s="2">
        <f t="shared" si="261"/>
        <v>0</v>
      </c>
      <c r="CU232" s="2">
        <f t="shared" si="262"/>
        <v>0</v>
      </c>
      <c r="CV232" s="2">
        <f t="shared" si="263"/>
        <v>0</v>
      </c>
      <c r="CW232" s="2">
        <f t="shared" si="264"/>
        <v>0</v>
      </c>
      <c r="CX232" s="2">
        <f t="shared" si="265"/>
        <v>0</v>
      </c>
      <c r="CY232" s="2">
        <f>(ROUND((((S232+ROUND((ROUND(((EU232)*AV232*1),2)*BS232),2))*AT232)/100),2)+ROUND(((ROUND((ROUND(((AE232-(EU232))*AV232*1),2)*BS232),2)*AT232)/100),2))</f>
        <v>0</v>
      </c>
      <c r="CZ232" s="2">
        <f>(ROUND((((S232+ROUND((ROUND(((EU232)*AV232*1),2)*BS232),2))*AU232)/100),2)+ROUND(((ROUND((ROUND(((AE232-(EU232))*AV232*1),2)*BS232),2)*AU232)/100),2))</f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1013</v>
      </c>
      <c r="DV232" s="2" t="s">
        <v>107</v>
      </c>
      <c r="DW232" s="2" t="s">
        <v>107</v>
      </c>
      <c r="DX232" s="2">
        <v>1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60088211</v>
      </c>
      <c r="EF232" s="2">
        <v>202</v>
      </c>
      <c r="EG232" s="2" t="s">
        <v>108</v>
      </c>
      <c r="EH232" s="2">
        <v>0</v>
      </c>
      <c r="EI232" s="2" t="s">
        <v>3</v>
      </c>
      <c r="EJ232" s="2">
        <v>1</v>
      </c>
      <c r="EK232" s="2">
        <v>400002</v>
      </c>
      <c r="EL232" s="2" t="s">
        <v>109</v>
      </c>
      <c r="EM232" s="2" t="s">
        <v>108</v>
      </c>
      <c r="EN232" s="2"/>
      <c r="EO232" s="2" t="s">
        <v>3</v>
      </c>
      <c r="EP232" s="2"/>
      <c r="EQ232" s="2">
        <v>0</v>
      </c>
      <c r="ER232" s="2">
        <v>0</v>
      </c>
      <c r="ES232" s="2">
        <v>1446.3799999999999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0</v>
      </c>
      <c r="FY232" s="2">
        <v>0</v>
      </c>
      <c r="FZ232" s="2"/>
      <c r="GA232" s="2" t="s">
        <v>335</v>
      </c>
      <c r="GB232" s="2"/>
      <c r="GC232" s="2"/>
      <c r="GD232" s="2">
        <v>1</v>
      </c>
      <c r="GE232" s="2"/>
      <c r="GF232" s="2">
        <v>557478018</v>
      </c>
      <c r="GG232" s="2">
        <v>2</v>
      </c>
      <c r="GH232" s="2">
        <v>4</v>
      </c>
      <c r="GI232" s="2">
        <v>-2</v>
      </c>
      <c r="GJ232" s="2">
        <v>0</v>
      </c>
      <c r="GK232" s="2">
        <v>0</v>
      </c>
      <c r="GL232" s="2">
        <f t="shared" si="266"/>
        <v>0</v>
      </c>
      <c r="GM232" s="2">
        <f t="shared" si="267"/>
        <v>5785.52</v>
      </c>
      <c r="GN232" s="2">
        <f t="shared" si="268"/>
        <v>5785.52</v>
      </c>
      <c r="GO232" s="2">
        <f t="shared" si="269"/>
        <v>0</v>
      </c>
      <c r="GP232" s="2">
        <f t="shared" si="270"/>
        <v>0</v>
      </c>
      <c r="GQ232" s="2"/>
      <c r="GR232" s="2">
        <v>0</v>
      </c>
      <c r="GS232" s="2">
        <v>2</v>
      </c>
      <c r="GT232" s="2">
        <v>0</v>
      </c>
      <c r="GU232" s="2" t="s">
        <v>3</v>
      </c>
      <c r="GV232" s="2">
        <f t="shared" si="271"/>
        <v>0</v>
      </c>
      <c r="GW232" s="2">
        <v>1</v>
      </c>
      <c r="GX232" s="2">
        <f t="shared" si="272"/>
        <v>0</v>
      </c>
      <c r="GY232" s="2"/>
      <c r="GZ232" s="2"/>
      <c r="HA232" s="2">
        <v>0</v>
      </c>
      <c r="HB232" s="2">
        <v>0</v>
      </c>
      <c r="HC232" s="2">
        <f t="shared" si="273"/>
        <v>0</v>
      </c>
      <c r="HD232" s="2"/>
      <c r="HE232" s="2" t="s">
        <v>111</v>
      </c>
      <c r="HF232" s="2" t="s">
        <v>28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">
      <c r="A233">
        <v>17</v>
      </c>
      <c r="B233">
        <v>1</v>
      </c>
      <c r="E233" t="s">
        <v>332</v>
      </c>
      <c r="F233" t="s">
        <v>333</v>
      </c>
      <c r="G233" t="s">
        <v>334</v>
      </c>
      <c r="H233" t="s">
        <v>107</v>
      </c>
      <c r="I233">
        <v>4</v>
      </c>
      <c r="J233">
        <v>0</v>
      </c>
      <c r="K233">
        <v>4</v>
      </c>
      <c r="O233">
        <f t="shared" si="248"/>
        <v>57160.94</v>
      </c>
      <c r="P233">
        <f t="shared" si="249"/>
        <v>57160.94</v>
      </c>
      <c r="Q233">
        <f>(ROUND((ROUND(((ET233)*AV233*I233),2)*BB233),2)+ROUND((ROUND(((AE233-(EU233))*AV233*I233),2)*BS233),2))</f>
        <v>0</v>
      </c>
      <c r="R233">
        <f>(ROUND((ROUND(((EU233)*AV233*I233),2)*BS233),2)+ROUND((ROUND(((AE233-(EU233))*AV233*I233),2)*BS233),2))</f>
        <v>0</v>
      </c>
      <c r="S233">
        <f t="shared" si="250"/>
        <v>0</v>
      </c>
      <c r="T233">
        <f t="shared" si="251"/>
        <v>0</v>
      </c>
      <c r="U233">
        <f t="shared" si="252"/>
        <v>0</v>
      </c>
      <c r="V233">
        <f t="shared" si="253"/>
        <v>0</v>
      </c>
      <c r="W233">
        <f t="shared" si="254"/>
        <v>0</v>
      </c>
      <c r="X233">
        <f>(ROUND((((S233+ROUND((ROUND(((EU233)*AV233*I233),2)*BS233),2))*AT233)/100),2)+ROUND(((ROUND((ROUND(((AE233-(EU233))*AV233*I233),2)*BS233),2)*AT233)/100),2))</f>
        <v>0</v>
      </c>
      <c r="Y233">
        <f>(ROUND((((S233+ROUND((ROUND(((EU233)*AV233*I233),2)*BS233),2))*AU233)/100),2)+ROUND(((ROUND((ROUND(((AE233-(EU233))*AV233*I233),2)*BS233),2)*AU233)/100),2))</f>
        <v>0</v>
      </c>
      <c r="AA233">
        <v>60255011</v>
      </c>
      <c r="AB233">
        <f t="shared" si="255"/>
        <v>1446.38</v>
      </c>
      <c r="AC233">
        <f t="shared" si="256"/>
        <v>1446.38</v>
      </c>
      <c r="AD233">
        <f>ROUND((((ET233)-(EU233))+AE233),6)</f>
        <v>0</v>
      </c>
      <c r="AE233">
        <f t="shared" si="289"/>
        <v>0</v>
      </c>
      <c r="AF233">
        <f t="shared" si="289"/>
        <v>0</v>
      </c>
      <c r="AG233">
        <f t="shared" si="257"/>
        <v>0</v>
      </c>
      <c r="AH233">
        <f t="shared" si="290"/>
        <v>0</v>
      </c>
      <c r="AI233">
        <f t="shared" si="290"/>
        <v>0</v>
      </c>
      <c r="AJ233">
        <f t="shared" si="258"/>
        <v>0</v>
      </c>
      <c r="AK233">
        <v>1446.3799999999999</v>
      </c>
      <c r="AL233">
        <v>1446.3799999999999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1</v>
      </c>
      <c r="AZ233">
        <v>1</v>
      </c>
      <c r="BA233">
        <v>1</v>
      </c>
      <c r="BB233">
        <v>1</v>
      </c>
      <c r="BC233">
        <v>9.8800000000000008</v>
      </c>
      <c r="BD233" t="s">
        <v>3</v>
      </c>
      <c r="BE233" t="s">
        <v>3</v>
      </c>
      <c r="BF233" t="s">
        <v>3</v>
      </c>
      <c r="BG233" t="s">
        <v>3</v>
      </c>
      <c r="BH233">
        <v>3</v>
      </c>
      <c r="BI233">
        <v>1</v>
      </c>
      <c r="BJ233" t="s">
        <v>3</v>
      </c>
      <c r="BM233">
        <v>400002</v>
      </c>
      <c r="BN233">
        <v>0</v>
      </c>
      <c r="BO233" t="s">
        <v>3</v>
      </c>
      <c r="BP233">
        <v>0</v>
      </c>
      <c r="BQ233">
        <v>202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 t="s">
        <v>3</v>
      </c>
      <c r="BZ233">
        <v>0</v>
      </c>
      <c r="CA233">
        <v>0</v>
      </c>
      <c r="CB233" t="s">
        <v>3</v>
      </c>
      <c r="CE233">
        <v>1566</v>
      </c>
      <c r="CF233">
        <v>0</v>
      </c>
      <c r="CG233">
        <v>0</v>
      </c>
      <c r="CM233">
        <v>0</v>
      </c>
      <c r="CN233" t="s">
        <v>3</v>
      </c>
      <c r="CO233">
        <v>0</v>
      </c>
      <c r="CP233">
        <f t="shared" si="259"/>
        <v>57160.94</v>
      </c>
      <c r="CQ233">
        <f t="shared" si="260"/>
        <v>14290.23</v>
      </c>
      <c r="CR233">
        <f>(ROUND((ROUND(((ET233)*AV233*1),2)*BB233),2)+ROUND((ROUND(((AE233-(EU233))*AV233*1),2)*BS233),2))</f>
        <v>0</v>
      </c>
      <c r="CS233">
        <f>(ROUND((ROUND(((EU233)*AV233*1),2)*BS233),2)+ROUND((ROUND(((AE233-(EU233))*AV233*1),2)*BS233),2))</f>
        <v>0</v>
      </c>
      <c r="CT233">
        <f t="shared" si="261"/>
        <v>0</v>
      </c>
      <c r="CU233">
        <f t="shared" si="262"/>
        <v>0</v>
      </c>
      <c r="CV233">
        <f t="shared" si="263"/>
        <v>0</v>
      </c>
      <c r="CW233">
        <f t="shared" si="264"/>
        <v>0</v>
      </c>
      <c r="CX233">
        <f t="shared" si="265"/>
        <v>0</v>
      </c>
      <c r="CY233">
        <f>(ROUND((((S233+ROUND((ROUND(((EU233)*AV233*1),2)*BS233),2))*AT233)/100),2)+ROUND(((ROUND((ROUND(((AE233-(EU233))*AV233*1),2)*BS233),2)*AT233)/100),2))</f>
        <v>0</v>
      </c>
      <c r="CZ233">
        <f>(ROUND((((S233+ROUND((ROUND(((EU233)*AV233*1),2)*BS233),2))*AU233)/100),2)+ROUND(((ROUND((ROUND(((AE233-(EU233))*AV233*1),2)*BS233),2)*AU233)/100),2))</f>
        <v>0</v>
      </c>
      <c r="DC233" t="s">
        <v>3</v>
      </c>
      <c r="DD233" t="s">
        <v>3</v>
      </c>
      <c r="DE233" t="s">
        <v>3</v>
      </c>
      <c r="DF233" t="s">
        <v>3</v>
      </c>
      <c r="DG233" t="s">
        <v>3</v>
      </c>
      <c r="DH233" t="s">
        <v>3</v>
      </c>
      <c r="DI233" t="s">
        <v>3</v>
      </c>
      <c r="DJ233" t="s">
        <v>3</v>
      </c>
      <c r="DK233" t="s">
        <v>3</v>
      </c>
      <c r="DL233" t="s">
        <v>3</v>
      </c>
      <c r="DM233" t="s">
        <v>3</v>
      </c>
      <c r="DN233">
        <v>0</v>
      </c>
      <c r="DO233">
        <v>0</v>
      </c>
      <c r="DP233">
        <v>1</v>
      </c>
      <c r="DQ233">
        <v>1</v>
      </c>
      <c r="DU233">
        <v>1013</v>
      </c>
      <c r="DV233" t="s">
        <v>107</v>
      </c>
      <c r="DW233" t="s">
        <v>107</v>
      </c>
      <c r="DX233">
        <v>1</v>
      </c>
      <c r="DZ233" t="s">
        <v>3</v>
      </c>
      <c r="EA233" t="s">
        <v>3</v>
      </c>
      <c r="EB233" t="s">
        <v>3</v>
      </c>
      <c r="EC233" t="s">
        <v>3</v>
      </c>
      <c r="EE233">
        <v>60088211</v>
      </c>
      <c r="EF233">
        <v>202</v>
      </c>
      <c r="EG233" t="s">
        <v>108</v>
      </c>
      <c r="EH233">
        <v>0</v>
      </c>
      <c r="EI233" t="s">
        <v>3</v>
      </c>
      <c r="EJ233">
        <v>1</v>
      </c>
      <c r="EK233">
        <v>400002</v>
      </c>
      <c r="EL233" t="s">
        <v>109</v>
      </c>
      <c r="EM233" t="s">
        <v>108</v>
      </c>
      <c r="EO233" t="s">
        <v>3</v>
      </c>
      <c r="EQ233">
        <v>0</v>
      </c>
      <c r="ER233">
        <v>1446.3799999999999</v>
      </c>
      <c r="ES233">
        <v>1446.3799999999999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5</v>
      </c>
      <c r="FC233">
        <v>1</v>
      </c>
      <c r="FD233">
        <v>18</v>
      </c>
      <c r="FF233">
        <v>16812</v>
      </c>
      <c r="FQ233">
        <v>0</v>
      </c>
      <c r="FR233">
        <v>0</v>
      </c>
      <c r="FS233">
        <v>0</v>
      </c>
      <c r="FX233">
        <v>0</v>
      </c>
      <c r="FY233">
        <v>0</v>
      </c>
      <c r="GA233" t="s">
        <v>335</v>
      </c>
      <c r="GD233">
        <v>1</v>
      </c>
      <c r="GF233">
        <v>557478018</v>
      </c>
      <c r="GG233">
        <v>2</v>
      </c>
      <c r="GH233">
        <v>3</v>
      </c>
      <c r="GI233">
        <v>5</v>
      </c>
      <c r="GJ233">
        <v>0</v>
      </c>
      <c r="GK233">
        <v>0</v>
      </c>
      <c r="GL233">
        <f t="shared" si="266"/>
        <v>0</v>
      </c>
      <c r="GM233">
        <f t="shared" si="267"/>
        <v>57160.94</v>
      </c>
      <c r="GN233">
        <f t="shared" si="268"/>
        <v>57160.94</v>
      </c>
      <c r="GO233">
        <f t="shared" si="269"/>
        <v>0</v>
      </c>
      <c r="GP233">
        <f t="shared" si="270"/>
        <v>0</v>
      </c>
      <c r="GR233">
        <v>1</v>
      </c>
      <c r="GS233">
        <v>1</v>
      </c>
      <c r="GT233">
        <v>0</v>
      </c>
      <c r="GU233" t="s">
        <v>3</v>
      </c>
      <c r="GV233">
        <f t="shared" si="271"/>
        <v>0</v>
      </c>
      <c r="GW233">
        <v>1</v>
      </c>
      <c r="GX233">
        <f t="shared" si="272"/>
        <v>0</v>
      </c>
      <c r="HA233">
        <v>0</v>
      </c>
      <c r="HB233">
        <v>0</v>
      </c>
      <c r="HC233">
        <f t="shared" si="273"/>
        <v>0</v>
      </c>
      <c r="HE233" t="s">
        <v>111</v>
      </c>
      <c r="HF233" t="s">
        <v>28</v>
      </c>
      <c r="HM233" t="s">
        <v>3</v>
      </c>
      <c r="HN233" t="s">
        <v>3</v>
      </c>
      <c r="HO233" t="s">
        <v>3</v>
      </c>
      <c r="HP233" t="s">
        <v>3</v>
      </c>
      <c r="HQ233" t="s">
        <v>3</v>
      </c>
      <c r="HS233">
        <v>0</v>
      </c>
      <c r="IK233">
        <v>0</v>
      </c>
    </row>
    <row r="234" spans="1:255" x14ac:dyDescent="0.2">
      <c r="A234" s="2">
        <v>17</v>
      </c>
      <c r="B234" s="2">
        <v>1</v>
      </c>
      <c r="C234" s="2"/>
      <c r="D234" s="2"/>
      <c r="E234" s="2" t="s">
        <v>336</v>
      </c>
      <c r="F234" s="2" t="s">
        <v>337</v>
      </c>
      <c r="G234" s="2" t="s">
        <v>338</v>
      </c>
      <c r="H234" s="2" t="s">
        <v>31</v>
      </c>
      <c r="I234" s="2">
        <v>4</v>
      </c>
      <c r="J234" s="2">
        <v>0</v>
      </c>
      <c r="K234" s="2">
        <v>4</v>
      </c>
      <c r="L234" s="2"/>
      <c r="M234" s="2"/>
      <c r="N234" s="2"/>
      <c r="O234" s="2">
        <f t="shared" si="248"/>
        <v>2040.64</v>
      </c>
      <c r="P234" s="2">
        <f t="shared" si="249"/>
        <v>2040.64</v>
      </c>
      <c r="Q234" s="2">
        <f>(ROUND((ROUND(((ET234)*AV234*I234),2)*BB234),2)+ROUND((ROUND(((AE234-(EU234))*AV234*I234),2)*BS234),2))</f>
        <v>0</v>
      </c>
      <c r="R234" s="2">
        <f>(ROUND((ROUND(((EU234)*AV234*I234),2)*BS234),2)+ROUND((ROUND(((AE234-(EU234))*AV234*I234),2)*BS234),2))</f>
        <v>0</v>
      </c>
      <c r="S234" s="2">
        <f t="shared" si="250"/>
        <v>0</v>
      </c>
      <c r="T234" s="2">
        <f t="shared" si="251"/>
        <v>0</v>
      </c>
      <c r="U234" s="2">
        <f t="shared" si="252"/>
        <v>0</v>
      </c>
      <c r="V234" s="2">
        <f t="shared" si="253"/>
        <v>0</v>
      </c>
      <c r="W234" s="2">
        <f t="shared" si="254"/>
        <v>0</v>
      </c>
      <c r="X234" s="2">
        <f>(ROUND((((S234+ROUND((ROUND(((EU234)*AV234*I234),2)*BS234),2))*AT234)/100),2)+ROUND(((ROUND((ROUND(((AE234-(EU234))*AV234*I234),2)*BS234),2)*AT234)/100),2))</f>
        <v>0</v>
      </c>
      <c r="Y234" s="2">
        <f>(ROUND((((S234+ROUND((ROUND(((EU234)*AV234*I234),2)*BS234),2))*AU234)/100),2)+ROUND(((ROUND((ROUND(((AE234-(EU234))*AV234*I234),2)*BS234),2)*AU234)/100),2))</f>
        <v>0</v>
      </c>
      <c r="Z234" s="2"/>
      <c r="AA234" s="2">
        <v>60255014</v>
      </c>
      <c r="AB234" s="2">
        <f t="shared" si="255"/>
        <v>510.16</v>
      </c>
      <c r="AC234" s="2">
        <f t="shared" si="256"/>
        <v>510.16</v>
      </c>
      <c r="AD234" s="2">
        <f>ROUND((((ET234)-(EU234))+AE234),6)</f>
        <v>0</v>
      </c>
      <c r="AE234" s="2">
        <f t="shared" si="289"/>
        <v>0</v>
      </c>
      <c r="AF234" s="2">
        <f t="shared" si="289"/>
        <v>0</v>
      </c>
      <c r="AG234" s="2">
        <f t="shared" si="257"/>
        <v>0</v>
      </c>
      <c r="AH234" s="2">
        <f t="shared" si="290"/>
        <v>0</v>
      </c>
      <c r="AI234" s="2">
        <f t="shared" si="290"/>
        <v>0</v>
      </c>
      <c r="AJ234" s="2">
        <f t="shared" si="258"/>
        <v>0</v>
      </c>
      <c r="AK234" s="2">
        <v>510.16</v>
      </c>
      <c r="AL234" s="2">
        <v>510.16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1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3</v>
      </c>
      <c r="BI234" s="2">
        <v>1</v>
      </c>
      <c r="BJ234" s="2" t="s">
        <v>339</v>
      </c>
      <c r="BK234" s="2"/>
      <c r="BL234" s="2"/>
      <c r="BM234" s="2">
        <v>1617</v>
      </c>
      <c r="BN234" s="2">
        <v>58973374</v>
      </c>
      <c r="BO234" s="2" t="s">
        <v>3</v>
      </c>
      <c r="BP234" s="2">
        <v>0</v>
      </c>
      <c r="BQ234" s="2">
        <v>200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0</v>
      </c>
      <c r="CA234" s="2">
        <v>0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3</v>
      </c>
      <c r="CO234" s="2">
        <v>0</v>
      </c>
      <c r="CP234" s="2">
        <f t="shared" si="259"/>
        <v>2040.64</v>
      </c>
      <c r="CQ234" s="2">
        <f t="shared" si="260"/>
        <v>510.16</v>
      </c>
      <c r="CR234" s="2">
        <f>(ROUND((ROUND(((ET234)*AV234*1),2)*BB234),2)+ROUND((ROUND(((AE234-(EU234))*AV234*1),2)*BS234),2))</f>
        <v>0</v>
      </c>
      <c r="CS234" s="2">
        <f>(ROUND((ROUND(((EU234)*AV234*1),2)*BS234),2)+ROUND((ROUND(((AE234-(EU234))*AV234*1),2)*BS234),2))</f>
        <v>0</v>
      </c>
      <c r="CT234" s="2">
        <f t="shared" si="261"/>
        <v>0</v>
      </c>
      <c r="CU234" s="2">
        <f t="shared" si="262"/>
        <v>0</v>
      </c>
      <c r="CV234" s="2">
        <f t="shared" si="263"/>
        <v>0</v>
      </c>
      <c r="CW234" s="2">
        <f t="shared" si="264"/>
        <v>0</v>
      </c>
      <c r="CX234" s="2">
        <f t="shared" si="265"/>
        <v>0</v>
      </c>
      <c r="CY234" s="2">
        <f>(ROUND((((S234+ROUND((ROUND(((EU234)*AV234*1),2)*BS234),2))*AT234)/100),2)+ROUND(((ROUND((ROUND(((AE234-(EU234))*AV234*1),2)*BS234),2)*AT234)/100),2))</f>
        <v>0</v>
      </c>
      <c r="CZ234" s="2">
        <f>(ROUND((((S234+ROUND((ROUND(((EU234)*AV234*1),2)*BS234),2))*AU234)/100),2)+ROUND(((ROUND((ROUND(((AE234-(EU234))*AV234*1),2)*BS234),2)*AU234)/100),2))</f>
        <v>0</v>
      </c>
      <c r="DA234" s="2"/>
      <c r="DB234" s="2"/>
      <c r="DC234" s="2" t="s">
        <v>3</v>
      </c>
      <c r="DD234" s="2" t="s">
        <v>3</v>
      </c>
      <c r="DE234" s="2" t="s">
        <v>3</v>
      </c>
      <c r="DF234" s="2" t="s">
        <v>3</v>
      </c>
      <c r="DG234" s="2" t="s">
        <v>3</v>
      </c>
      <c r="DH234" s="2" t="s">
        <v>3</v>
      </c>
      <c r="DI234" s="2" t="s">
        <v>3</v>
      </c>
      <c r="DJ234" s="2" t="s">
        <v>3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1010</v>
      </c>
      <c r="DV234" s="2" t="s">
        <v>31</v>
      </c>
      <c r="DW234" s="2" t="s">
        <v>31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60088328</v>
      </c>
      <c r="EF234" s="2">
        <v>200</v>
      </c>
      <c r="EG234" s="2" t="s">
        <v>210</v>
      </c>
      <c r="EH234" s="2">
        <v>0</v>
      </c>
      <c r="EI234" s="2" t="s">
        <v>3</v>
      </c>
      <c r="EJ234" s="2">
        <v>1</v>
      </c>
      <c r="EK234" s="2">
        <v>1617</v>
      </c>
      <c r="EL234" s="2" t="s">
        <v>211</v>
      </c>
      <c r="EM234" s="2" t="s">
        <v>212</v>
      </c>
      <c r="EN234" s="2"/>
      <c r="EO234" s="2" t="s">
        <v>3</v>
      </c>
      <c r="EP234" s="2"/>
      <c r="EQ234" s="2">
        <v>0</v>
      </c>
      <c r="ER234" s="2">
        <v>510.16</v>
      </c>
      <c r="ES234" s="2">
        <v>510.16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0</v>
      </c>
      <c r="FY234" s="2">
        <v>0</v>
      </c>
      <c r="FZ234" s="2"/>
      <c r="GA234" s="2" t="s">
        <v>3</v>
      </c>
      <c r="GB234" s="2"/>
      <c r="GC234" s="2"/>
      <c r="GD234" s="2">
        <v>1</v>
      </c>
      <c r="GE234" s="2"/>
      <c r="GF234" s="2">
        <v>-266463214</v>
      </c>
      <c r="GG234" s="2">
        <v>2</v>
      </c>
      <c r="GH234" s="2">
        <v>1</v>
      </c>
      <c r="GI234" s="2">
        <v>-2</v>
      </c>
      <c r="GJ234" s="2">
        <v>0</v>
      </c>
      <c r="GK234" s="2">
        <v>0</v>
      </c>
      <c r="GL234" s="2">
        <f t="shared" si="266"/>
        <v>0</v>
      </c>
      <c r="GM234" s="2">
        <f t="shared" si="267"/>
        <v>2040.64</v>
      </c>
      <c r="GN234" s="2">
        <f t="shared" si="268"/>
        <v>2040.64</v>
      </c>
      <c r="GO234" s="2">
        <f t="shared" si="269"/>
        <v>0</v>
      </c>
      <c r="GP234" s="2">
        <f t="shared" si="270"/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si="271"/>
        <v>0</v>
      </c>
      <c r="GW234" s="2">
        <v>1</v>
      </c>
      <c r="GX234" s="2">
        <f t="shared" si="272"/>
        <v>0</v>
      </c>
      <c r="GY234" s="2"/>
      <c r="GZ234" s="2"/>
      <c r="HA234" s="2">
        <v>0</v>
      </c>
      <c r="HB234" s="2">
        <v>0</v>
      </c>
      <c r="HC234" s="2">
        <f t="shared" si="273"/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">
      <c r="A235">
        <v>17</v>
      </c>
      <c r="B235">
        <v>1</v>
      </c>
      <c r="E235" t="s">
        <v>336</v>
      </c>
      <c r="F235" t="s">
        <v>337</v>
      </c>
      <c r="G235" t="s">
        <v>338</v>
      </c>
      <c r="H235" t="s">
        <v>31</v>
      </c>
      <c r="I235">
        <v>4</v>
      </c>
      <c r="J235">
        <v>0</v>
      </c>
      <c r="K235">
        <v>4</v>
      </c>
      <c r="O235">
        <f t="shared" si="248"/>
        <v>19508.52</v>
      </c>
      <c r="P235">
        <f t="shared" si="249"/>
        <v>19508.52</v>
      </c>
      <c r="Q235">
        <f>(ROUND((ROUND(((ET235)*AV235*I235),2)*BB235),2)+ROUND((ROUND(((AE235-(EU235))*AV235*I235),2)*BS235),2))</f>
        <v>0</v>
      </c>
      <c r="R235">
        <f>(ROUND((ROUND(((EU235)*AV235*I235),2)*BS235),2)+ROUND((ROUND(((AE235-(EU235))*AV235*I235),2)*BS235),2))</f>
        <v>0</v>
      </c>
      <c r="S235">
        <f t="shared" si="250"/>
        <v>0</v>
      </c>
      <c r="T235">
        <f t="shared" si="251"/>
        <v>0</v>
      </c>
      <c r="U235">
        <f t="shared" si="252"/>
        <v>0</v>
      </c>
      <c r="V235">
        <f t="shared" si="253"/>
        <v>0</v>
      </c>
      <c r="W235">
        <f t="shared" si="254"/>
        <v>0</v>
      </c>
      <c r="X235">
        <f>(ROUND((((S235+ROUND((ROUND(((EU235)*AV235*I235),2)*BS235),2))*AT235)/100),2)+ROUND(((ROUND((ROUND(((AE235-(EU235))*AV235*I235),2)*BS235),2)*AT235)/100),2))</f>
        <v>0</v>
      </c>
      <c r="Y235">
        <f>(ROUND((((S235+ROUND((ROUND(((EU235)*AV235*I235),2)*BS235),2))*AU235)/100),2)+ROUND(((ROUND((ROUND(((AE235-(EU235))*AV235*I235),2)*BS235),2)*AU235)/100),2))</f>
        <v>0</v>
      </c>
      <c r="AA235">
        <v>60255011</v>
      </c>
      <c r="AB235">
        <f t="shared" si="255"/>
        <v>510.16</v>
      </c>
      <c r="AC235">
        <f t="shared" si="256"/>
        <v>510.16</v>
      </c>
      <c r="AD235">
        <f>ROUND((((ET235)-(EU235))+AE235),6)</f>
        <v>0</v>
      </c>
      <c r="AE235">
        <f t="shared" si="289"/>
        <v>0</v>
      </c>
      <c r="AF235">
        <f t="shared" si="289"/>
        <v>0</v>
      </c>
      <c r="AG235">
        <f t="shared" si="257"/>
        <v>0</v>
      </c>
      <c r="AH235">
        <f t="shared" si="290"/>
        <v>0</v>
      </c>
      <c r="AI235">
        <f t="shared" si="290"/>
        <v>0</v>
      </c>
      <c r="AJ235">
        <f t="shared" si="258"/>
        <v>0</v>
      </c>
      <c r="AK235">
        <v>510.16</v>
      </c>
      <c r="AL235">
        <v>510.16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Z235">
        <v>1</v>
      </c>
      <c r="BA235">
        <v>1</v>
      </c>
      <c r="BB235">
        <v>1</v>
      </c>
      <c r="BC235">
        <v>9.56</v>
      </c>
      <c r="BD235" t="s">
        <v>3</v>
      </c>
      <c r="BE235" t="s">
        <v>3</v>
      </c>
      <c r="BF235" t="s">
        <v>3</v>
      </c>
      <c r="BG235" t="s">
        <v>3</v>
      </c>
      <c r="BH235">
        <v>3</v>
      </c>
      <c r="BI235">
        <v>1</v>
      </c>
      <c r="BJ235" t="s">
        <v>339</v>
      </c>
      <c r="BM235">
        <v>1617</v>
      </c>
      <c r="BN235">
        <v>58973374</v>
      </c>
      <c r="BO235" t="s">
        <v>337</v>
      </c>
      <c r="BP235">
        <v>1</v>
      </c>
      <c r="BQ235">
        <v>200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 t="s">
        <v>3</v>
      </c>
      <c r="BZ235">
        <v>0</v>
      </c>
      <c r="CA235">
        <v>0</v>
      </c>
      <c r="CB235" t="s">
        <v>3</v>
      </c>
      <c r="CE235">
        <v>1566</v>
      </c>
      <c r="CF235">
        <v>0</v>
      </c>
      <c r="CG235">
        <v>0</v>
      </c>
      <c r="CM235">
        <v>0</v>
      </c>
      <c r="CN235" t="s">
        <v>3</v>
      </c>
      <c r="CO235">
        <v>0</v>
      </c>
      <c r="CP235">
        <f t="shared" si="259"/>
        <v>19508.52</v>
      </c>
      <c r="CQ235">
        <f t="shared" si="260"/>
        <v>4877.13</v>
      </c>
      <c r="CR235">
        <f>(ROUND((ROUND(((ET235)*AV235*1),2)*BB235),2)+ROUND((ROUND(((AE235-(EU235))*AV235*1),2)*BS235),2))</f>
        <v>0</v>
      </c>
      <c r="CS235">
        <f>(ROUND((ROUND(((EU235)*AV235*1),2)*BS235),2)+ROUND((ROUND(((AE235-(EU235))*AV235*1),2)*BS235),2))</f>
        <v>0</v>
      </c>
      <c r="CT235">
        <f t="shared" si="261"/>
        <v>0</v>
      </c>
      <c r="CU235">
        <f t="shared" si="262"/>
        <v>0</v>
      </c>
      <c r="CV235">
        <f t="shared" si="263"/>
        <v>0</v>
      </c>
      <c r="CW235">
        <f t="shared" si="264"/>
        <v>0</v>
      </c>
      <c r="CX235">
        <f t="shared" si="265"/>
        <v>0</v>
      </c>
      <c r="CY235">
        <f>(ROUND((((S235+ROUND((ROUND(((EU235)*AV235*1),2)*BS235),2))*AT235)/100),2)+ROUND(((ROUND((ROUND(((AE235-(EU235))*AV235*1),2)*BS235),2)*AT235)/100),2))</f>
        <v>0</v>
      </c>
      <c r="CZ235">
        <f>(ROUND((((S235+ROUND((ROUND(((EU235)*AV235*1),2)*BS235),2))*AU235)/100),2)+ROUND(((ROUND((ROUND(((AE235-(EU235))*AV235*1),2)*BS235),2)*AU235)/100),2))</f>
        <v>0</v>
      </c>
      <c r="DC235" t="s">
        <v>3</v>
      </c>
      <c r="DD235" t="s">
        <v>3</v>
      </c>
      <c r="DE235" t="s">
        <v>3</v>
      </c>
      <c r="DF235" t="s">
        <v>3</v>
      </c>
      <c r="DG235" t="s">
        <v>3</v>
      </c>
      <c r="DH235" t="s">
        <v>3</v>
      </c>
      <c r="DI235" t="s">
        <v>3</v>
      </c>
      <c r="DJ235" t="s">
        <v>3</v>
      </c>
      <c r="DK235" t="s">
        <v>3</v>
      </c>
      <c r="DL235" t="s">
        <v>3</v>
      </c>
      <c r="DM235" t="s">
        <v>3</v>
      </c>
      <c r="DN235">
        <v>0</v>
      </c>
      <c r="DO235">
        <v>0</v>
      </c>
      <c r="DP235">
        <v>1</v>
      </c>
      <c r="DQ235">
        <v>1</v>
      </c>
      <c r="DU235">
        <v>1010</v>
      </c>
      <c r="DV235" t="s">
        <v>31</v>
      </c>
      <c r="DW235" t="s">
        <v>31</v>
      </c>
      <c r="DX235">
        <v>1</v>
      </c>
      <c r="DZ235" t="s">
        <v>3</v>
      </c>
      <c r="EA235" t="s">
        <v>3</v>
      </c>
      <c r="EB235" t="s">
        <v>3</v>
      </c>
      <c r="EC235" t="s">
        <v>3</v>
      </c>
      <c r="EE235">
        <v>60088328</v>
      </c>
      <c r="EF235">
        <v>200</v>
      </c>
      <c r="EG235" t="s">
        <v>210</v>
      </c>
      <c r="EH235">
        <v>0</v>
      </c>
      <c r="EI235" t="s">
        <v>3</v>
      </c>
      <c r="EJ235">
        <v>1</v>
      </c>
      <c r="EK235">
        <v>1617</v>
      </c>
      <c r="EL235" t="s">
        <v>211</v>
      </c>
      <c r="EM235" t="s">
        <v>212</v>
      </c>
      <c r="EO235" t="s">
        <v>3</v>
      </c>
      <c r="EQ235">
        <v>0</v>
      </c>
      <c r="ER235">
        <v>510.16</v>
      </c>
      <c r="ES235">
        <v>510.16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FQ235">
        <v>0</v>
      </c>
      <c r="FR235">
        <v>0</v>
      </c>
      <c r="FS235">
        <v>0</v>
      </c>
      <c r="FX235">
        <v>0</v>
      </c>
      <c r="FY235">
        <v>0</v>
      </c>
      <c r="GA235" t="s">
        <v>3</v>
      </c>
      <c r="GD235">
        <v>1</v>
      </c>
      <c r="GF235">
        <v>-266463214</v>
      </c>
      <c r="GG235">
        <v>2</v>
      </c>
      <c r="GH235">
        <v>1</v>
      </c>
      <c r="GI235">
        <v>2</v>
      </c>
      <c r="GJ235">
        <v>0</v>
      </c>
      <c r="GK235">
        <v>0</v>
      </c>
      <c r="GL235">
        <f t="shared" si="266"/>
        <v>0</v>
      </c>
      <c r="GM235">
        <f t="shared" si="267"/>
        <v>19508.52</v>
      </c>
      <c r="GN235">
        <f t="shared" si="268"/>
        <v>19508.52</v>
      </c>
      <c r="GO235">
        <f t="shared" si="269"/>
        <v>0</v>
      </c>
      <c r="GP235">
        <f t="shared" si="270"/>
        <v>0</v>
      </c>
      <c r="GR235">
        <v>0</v>
      </c>
      <c r="GS235">
        <v>3</v>
      </c>
      <c r="GT235">
        <v>0</v>
      </c>
      <c r="GU235" t="s">
        <v>3</v>
      </c>
      <c r="GV235">
        <f t="shared" si="271"/>
        <v>0</v>
      </c>
      <c r="GW235">
        <v>1</v>
      </c>
      <c r="GX235">
        <f t="shared" si="272"/>
        <v>0</v>
      </c>
      <c r="HA235">
        <v>0</v>
      </c>
      <c r="HB235">
        <v>0</v>
      </c>
      <c r="HC235">
        <f t="shared" si="273"/>
        <v>0</v>
      </c>
      <c r="HE235" t="s">
        <v>3</v>
      </c>
      <c r="HF235" t="s">
        <v>3</v>
      </c>
      <c r="HM235" t="s">
        <v>3</v>
      </c>
      <c r="HN235" t="s">
        <v>3</v>
      </c>
      <c r="HO235" t="s">
        <v>3</v>
      </c>
      <c r="HP235" t="s">
        <v>3</v>
      </c>
      <c r="HQ235" t="s">
        <v>3</v>
      </c>
      <c r="HS235">
        <v>0</v>
      </c>
      <c r="IK235">
        <v>0</v>
      </c>
    </row>
    <row r="236" spans="1:255" x14ac:dyDescent="0.2">
      <c r="A236" s="2">
        <v>17</v>
      </c>
      <c r="B236" s="2">
        <v>1</v>
      </c>
      <c r="C236" s="2">
        <f>ROW(SmtRes!A277)</f>
        <v>277</v>
      </c>
      <c r="D236" s="2">
        <f>ROW(EtalonRes!A304)</f>
        <v>304</v>
      </c>
      <c r="E236" s="2" t="s">
        <v>340</v>
      </c>
      <c r="F236" s="2" t="s">
        <v>284</v>
      </c>
      <c r="G236" s="2" t="s">
        <v>285</v>
      </c>
      <c r="H236" s="2" t="s">
        <v>21</v>
      </c>
      <c r="I236" s="2">
        <v>3</v>
      </c>
      <c r="J236" s="2">
        <v>0</v>
      </c>
      <c r="K236" s="2">
        <v>3</v>
      </c>
      <c r="L236" s="2"/>
      <c r="M236" s="2"/>
      <c r="N236" s="2"/>
      <c r="O236" s="2">
        <f t="shared" si="248"/>
        <v>17.93</v>
      </c>
      <c r="P236" s="2">
        <f t="shared" si="249"/>
        <v>2.4300000000000002</v>
      </c>
      <c r="Q236" s="2">
        <f>(ROUND((ROUND(((((ET236*1.25)*1.1))*AV236*I236),2)*BB236),2)+ROUND((ROUND(((AE236-(((EU236*1.25)*1.1)))*AV236*I236),2)*BS236),2))</f>
        <v>0</v>
      </c>
      <c r="R236" s="2">
        <f>(ROUND((ROUND(((((EU236*1.25)*1.1))*AV236*I236),2)*BS236),2)+ROUND((ROUND(((AE236-(((EU236*1.25)*1.1)))*AV236*I236),2)*BS236),2))</f>
        <v>0</v>
      </c>
      <c r="S236" s="2">
        <f t="shared" si="250"/>
        <v>15.5</v>
      </c>
      <c r="T236" s="2">
        <f t="shared" si="251"/>
        <v>0</v>
      </c>
      <c r="U236" s="2">
        <f t="shared" si="252"/>
        <v>1.1920094999999999</v>
      </c>
      <c r="V236" s="2">
        <f t="shared" si="253"/>
        <v>0</v>
      </c>
      <c r="W236" s="2">
        <f t="shared" si="254"/>
        <v>0</v>
      </c>
      <c r="X236" s="2">
        <f>(ROUND((((S236+ROUND((ROUND(((((EU236*1.25)*1.1))*AV236*I236),2)*BS236),2))*AT236)/100),2)+ROUND(((ROUND((ROUND(((AE236-(((EU236*1.25)*1.1)))*AV236*I236),2)*BS236),2)*AT236)/100),2))</f>
        <v>13.95</v>
      </c>
      <c r="Y236" s="2">
        <f>(ROUND((((S236+ROUND((ROUND(((((EU236*1.25)*1.1))*AV236*I236),2)*BS236),2))*AU236)/100),2)+ROUND(((ROUND((ROUND(((AE236-(((EU236*1.25)*1.1)))*AV236*I236),2)*BS236),2)*AU236)/100),2))</f>
        <v>7.13</v>
      </c>
      <c r="Z236" s="2"/>
      <c r="AA236" s="2">
        <v>60255014</v>
      </c>
      <c r="AB236" s="2">
        <f t="shared" si="255"/>
        <v>5.7435</v>
      </c>
      <c r="AC236" s="2">
        <f t="shared" si="256"/>
        <v>0.81</v>
      </c>
      <c r="AD236" s="2">
        <f>ROUND((((((ET236*1.25)*1.1))-(((EU236*1.25)*1.1)))+AE236),6)</f>
        <v>0</v>
      </c>
      <c r="AE236" s="2">
        <f>ROUND((((EU236*1.25)*1.1)),6)</f>
        <v>0</v>
      </c>
      <c r="AF236" s="2">
        <f>ROUND((((EV236*1.15)*1.1)),6)</f>
        <v>4.9335000000000004</v>
      </c>
      <c r="AG236" s="2">
        <f t="shared" si="257"/>
        <v>0</v>
      </c>
      <c r="AH236" s="2">
        <f>(((EW236*1.15)*1.1))</f>
        <v>0.3795</v>
      </c>
      <c r="AI236" s="2">
        <f>(((EX236*1.25)*1.1))</f>
        <v>0</v>
      </c>
      <c r="AJ236" s="2">
        <f t="shared" si="258"/>
        <v>0</v>
      </c>
      <c r="AK236" s="2">
        <v>4.71</v>
      </c>
      <c r="AL236" s="2">
        <v>0.81</v>
      </c>
      <c r="AM236" s="2">
        <v>0</v>
      </c>
      <c r="AN236" s="2">
        <v>0</v>
      </c>
      <c r="AO236" s="2">
        <v>3.9</v>
      </c>
      <c r="AP236" s="2">
        <v>0</v>
      </c>
      <c r="AQ236" s="2">
        <v>0.3</v>
      </c>
      <c r="AR236" s="2">
        <v>0</v>
      </c>
      <c r="AS236" s="2">
        <v>0</v>
      </c>
      <c r="AT236" s="2">
        <v>90</v>
      </c>
      <c r="AU236" s="2">
        <v>46</v>
      </c>
      <c r="AV236" s="2">
        <v>1.0469999999999999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0</v>
      </c>
      <c r="BI236" s="2">
        <v>2</v>
      </c>
      <c r="BJ236" s="2" t="s">
        <v>286</v>
      </c>
      <c r="BK236" s="2"/>
      <c r="BL236" s="2"/>
      <c r="BM236" s="2">
        <v>72</v>
      </c>
      <c r="BN236" s="2">
        <v>58973374</v>
      </c>
      <c r="BO236" s="2" t="s">
        <v>284</v>
      </c>
      <c r="BP236" s="2">
        <v>1</v>
      </c>
      <c r="BQ236" s="2">
        <v>40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90</v>
      </c>
      <c r="CA236" s="2">
        <v>46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625</v>
      </c>
      <c r="CO236" s="2">
        <v>0</v>
      </c>
      <c r="CP236" s="2">
        <f t="shared" si="259"/>
        <v>17.93</v>
      </c>
      <c r="CQ236" s="2">
        <f t="shared" si="260"/>
        <v>0.81</v>
      </c>
      <c r="CR236" s="2">
        <f>(ROUND((ROUND(((((ET236*1.25)*1.1))*AV236*1),2)*BB236),2)+ROUND((ROUND(((AE236-(((EU236*1.25)*1.1)))*AV236*1),2)*BS236),2))</f>
        <v>0</v>
      </c>
      <c r="CS236" s="2">
        <f>(ROUND((ROUND(((((EU236*1.25)*1.1))*AV236*1),2)*BS236),2)+ROUND((ROUND(((AE236-(((EU236*1.25)*1.1)))*AV236*1),2)*BS236),2))</f>
        <v>0</v>
      </c>
      <c r="CT236" s="2">
        <f t="shared" si="261"/>
        <v>5.17</v>
      </c>
      <c r="CU236" s="2">
        <f t="shared" si="262"/>
        <v>0</v>
      </c>
      <c r="CV236" s="2">
        <f t="shared" si="263"/>
        <v>0.39733649999999998</v>
      </c>
      <c r="CW236" s="2">
        <f t="shared" si="264"/>
        <v>0</v>
      </c>
      <c r="CX236" s="2">
        <f t="shared" si="265"/>
        <v>0</v>
      </c>
      <c r="CY236" s="2">
        <f>(ROUND((((S236+ROUND((ROUND(((((EU236*1.25)*1.1))*AV236*1),2)*BS236),2))*AT236)/100),2)+ROUND(((ROUND((ROUND(((AE236-(((EU236*1.25)*1.1)))*AV236*1),2)*BS236),2)*AT236)/100),2))</f>
        <v>13.95</v>
      </c>
      <c r="CZ236" s="2">
        <f>(ROUND((((S236+ROUND((ROUND(((((EU236*1.25)*1.1))*AV236*1),2)*BS236),2))*AU236)/100),2)+ROUND(((ROUND((ROUND(((AE236-(((EU236*1.25)*1.1)))*AV236*1),2)*BS236),2)*AU236)/100),2))</f>
        <v>7.13</v>
      </c>
      <c r="DA236" s="2"/>
      <c r="DB236" s="2">
        <v>65</v>
      </c>
      <c r="DC236" s="2" t="s">
        <v>3</v>
      </c>
      <c r="DD236" s="2" t="s">
        <v>3</v>
      </c>
      <c r="DE236" s="2" t="s">
        <v>98</v>
      </c>
      <c r="DF236" s="2" t="s">
        <v>98</v>
      </c>
      <c r="DG236" s="2" t="s">
        <v>99</v>
      </c>
      <c r="DH236" s="2" t="s">
        <v>3</v>
      </c>
      <c r="DI236" s="2" t="s">
        <v>99</v>
      </c>
      <c r="DJ236" s="2" t="s">
        <v>98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1013</v>
      </c>
      <c r="DV236" s="2" t="s">
        <v>21</v>
      </c>
      <c r="DW236" s="2" t="s">
        <v>21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60088304</v>
      </c>
      <c r="EF236" s="2">
        <v>40</v>
      </c>
      <c r="EG236" s="2" t="s">
        <v>24</v>
      </c>
      <c r="EH236" s="2">
        <v>0</v>
      </c>
      <c r="EI236" s="2" t="s">
        <v>3</v>
      </c>
      <c r="EJ236" s="2">
        <v>2</v>
      </c>
      <c r="EK236" s="2">
        <v>72</v>
      </c>
      <c r="EL236" s="2" t="s">
        <v>287</v>
      </c>
      <c r="EM236" s="2" t="s">
        <v>288</v>
      </c>
      <c r="EN236" s="2"/>
      <c r="EO236" s="2" t="s">
        <v>103</v>
      </c>
      <c r="EP236" s="2"/>
      <c r="EQ236" s="2">
        <v>0</v>
      </c>
      <c r="ER236" s="2">
        <v>4.71</v>
      </c>
      <c r="ES236" s="2">
        <v>0.81</v>
      </c>
      <c r="ET236" s="2">
        <v>0</v>
      </c>
      <c r="EU236" s="2">
        <v>0</v>
      </c>
      <c r="EV236" s="2">
        <v>3.9</v>
      </c>
      <c r="EW236" s="2">
        <v>0.3</v>
      </c>
      <c r="EX236" s="2">
        <v>0</v>
      </c>
      <c r="EY236" s="2">
        <v>0</v>
      </c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90</v>
      </c>
      <c r="FY236" s="2">
        <v>46</v>
      </c>
      <c r="FZ236" s="2"/>
      <c r="GA236" s="2" t="s">
        <v>3</v>
      </c>
      <c r="GB236" s="2"/>
      <c r="GC236" s="2"/>
      <c r="GD236" s="2">
        <v>1</v>
      </c>
      <c r="GE236" s="2"/>
      <c r="GF236" s="2">
        <v>-1494899736</v>
      </c>
      <c r="GG236" s="2">
        <v>2</v>
      </c>
      <c r="GH236" s="2">
        <v>1</v>
      </c>
      <c r="GI236" s="2">
        <v>2</v>
      </c>
      <c r="GJ236" s="2">
        <v>0</v>
      </c>
      <c r="GK236" s="2">
        <v>0</v>
      </c>
      <c r="GL236" s="2">
        <f t="shared" si="266"/>
        <v>0</v>
      </c>
      <c r="GM236" s="2">
        <f t="shared" si="267"/>
        <v>39.01</v>
      </c>
      <c r="GN236" s="2">
        <f t="shared" si="268"/>
        <v>0</v>
      </c>
      <c r="GO236" s="2">
        <f t="shared" si="269"/>
        <v>39.01</v>
      </c>
      <c r="GP236" s="2">
        <f t="shared" si="270"/>
        <v>0</v>
      </c>
      <c r="GQ236" s="2"/>
      <c r="GR236" s="2">
        <v>0</v>
      </c>
      <c r="GS236" s="2">
        <v>3</v>
      </c>
      <c r="GT236" s="2">
        <v>0</v>
      </c>
      <c r="GU236" s="2" t="s">
        <v>3</v>
      </c>
      <c r="GV236" s="2">
        <f t="shared" si="271"/>
        <v>0</v>
      </c>
      <c r="GW236" s="2">
        <v>1</v>
      </c>
      <c r="GX236" s="2">
        <f t="shared" si="272"/>
        <v>0</v>
      </c>
      <c r="GY236" s="2"/>
      <c r="GZ236" s="2"/>
      <c r="HA236" s="2">
        <v>0</v>
      </c>
      <c r="HB236" s="2">
        <v>0</v>
      </c>
      <c r="HC236" s="2">
        <f t="shared" si="273"/>
        <v>0</v>
      </c>
      <c r="HD236" s="2"/>
      <c r="HE236" s="2" t="s">
        <v>3</v>
      </c>
      <c r="HF236" s="2" t="s">
        <v>3</v>
      </c>
      <c r="HG236" s="2"/>
      <c r="HH236" s="2"/>
      <c r="HI236" s="2"/>
      <c r="HJ236" s="2"/>
      <c r="HK236" s="2"/>
      <c r="HL236" s="2"/>
      <c r="HM236" s="2" t="s">
        <v>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">
      <c r="A237">
        <v>17</v>
      </c>
      <c r="B237">
        <v>1</v>
      </c>
      <c r="C237">
        <f>ROW(SmtRes!A280)</f>
        <v>280</v>
      </c>
      <c r="D237">
        <f>ROW(EtalonRes!A308)</f>
        <v>308</v>
      </c>
      <c r="E237" t="s">
        <v>340</v>
      </c>
      <c r="F237" t="s">
        <v>284</v>
      </c>
      <c r="G237" t="s">
        <v>285</v>
      </c>
      <c r="H237" t="s">
        <v>21</v>
      </c>
      <c r="I237">
        <v>3</v>
      </c>
      <c r="J237">
        <v>0</v>
      </c>
      <c r="K237">
        <v>3</v>
      </c>
      <c r="O237">
        <f t="shared" si="248"/>
        <v>873.73</v>
      </c>
      <c r="P237">
        <f t="shared" si="249"/>
        <v>21.38</v>
      </c>
      <c r="Q237">
        <f>(ROUND((ROUND(((((ET237*1.25)*1.1))*AV237*I237),2)*BB237),2)+ROUND((ROUND(((AE237-(((EU237*1.25)*1.1)))*AV237*I237),2)*BS237),2))</f>
        <v>0</v>
      </c>
      <c r="R237">
        <f>(ROUND((ROUND(((((EU237*1.25)*1.1))*AV237*I237),2)*BS237),2)+ROUND((ROUND(((AE237-(((EU237*1.25)*1.1)))*AV237*I237),2)*BS237),2))</f>
        <v>0</v>
      </c>
      <c r="S237">
        <f t="shared" si="250"/>
        <v>852.35</v>
      </c>
      <c r="T237">
        <f t="shared" si="251"/>
        <v>0</v>
      </c>
      <c r="U237">
        <f t="shared" si="252"/>
        <v>1.1920094999999999</v>
      </c>
      <c r="V237">
        <f t="shared" si="253"/>
        <v>0</v>
      </c>
      <c r="W237">
        <f t="shared" si="254"/>
        <v>0</v>
      </c>
      <c r="X237">
        <f>(ROUND((((S237+ROUND((ROUND(((((EU237*1.25)*1.1))*AV237*I237),2)*BS237),2))*AT237)/100),2)+ROUND(((ROUND((ROUND(((AE237-(((EU237*1.25)*1.1)))*AV237*I237),2)*BS237),2)*AT237)/100),2))</f>
        <v>767.12</v>
      </c>
      <c r="Y237">
        <f>(ROUND((((S237+ROUND((ROUND(((((EU237*1.25)*1.1))*AV237*I237),2)*BS237),2))*AU237)/100),2)+ROUND(((ROUND((ROUND(((AE237-(((EU237*1.25)*1.1)))*AV237*I237),2)*BS237),2)*AU237)/100),2))</f>
        <v>392.08</v>
      </c>
      <c r="AA237">
        <v>60255011</v>
      </c>
      <c r="AB237">
        <f t="shared" si="255"/>
        <v>5.7435</v>
      </c>
      <c r="AC237">
        <f t="shared" si="256"/>
        <v>0.81</v>
      </c>
      <c r="AD237">
        <f>ROUND((((((ET237*1.25)*1.1))-(((EU237*1.25)*1.1)))+AE237),6)</f>
        <v>0</v>
      </c>
      <c r="AE237">
        <f>ROUND((((EU237*1.25)*1.1)),6)</f>
        <v>0</v>
      </c>
      <c r="AF237">
        <f>ROUND((((EV237*1.15)*1.1)),6)</f>
        <v>4.9335000000000004</v>
      </c>
      <c r="AG237">
        <f t="shared" si="257"/>
        <v>0</v>
      </c>
      <c r="AH237">
        <f>(((EW237*1.15)*1.1))</f>
        <v>0.3795</v>
      </c>
      <c r="AI237">
        <f>(((EX237*1.25)*1.1))</f>
        <v>0</v>
      </c>
      <c r="AJ237">
        <f t="shared" si="258"/>
        <v>0</v>
      </c>
      <c r="AK237">
        <v>4.71</v>
      </c>
      <c r="AL237">
        <v>0.81</v>
      </c>
      <c r="AM237">
        <v>0</v>
      </c>
      <c r="AN237">
        <v>0</v>
      </c>
      <c r="AO237">
        <v>3.9</v>
      </c>
      <c r="AP237">
        <v>0</v>
      </c>
      <c r="AQ237">
        <v>0.3</v>
      </c>
      <c r="AR237">
        <v>0</v>
      </c>
      <c r="AS237">
        <v>0</v>
      </c>
      <c r="AT237">
        <v>90</v>
      </c>
      <c r="AU237">
        <v>46</v>
      </c>
      <c r="AV237">
        <v>1.0469999999999999</v>
      </c>
      <c r="AW237">
        <v>1</v>
      </c>
      <c r="AZ237">
        <v>1</v>
      </c>
      <c r="BA237">
        <v>54.99</v>
      </c>
      <c r="BB237">
        <v>1</v>
      </c>
      <c r="BC237">
        <v>8.8000000000000007</v>
      </c>
      <c r="BD237" t="s">
        <v>3</v>
      </c>
      <c r="BE237" t="s">
        <v>3</v>
      </c>
      <c r="BF237" t="s">
        <v>3</v>
      </c>
      <c r="BG237" t="s">
        <v>3</v>
      </c>
      <c r="BH237">
        <v>0</v>
      </c>
      <c r="BI237">
        <v>2</v>
      </c>
      <c r="BJ237" t="s">
        <v>286</v>
      </c>
      <c r="BM237">
        <v>72</v>
      </c>
      <c r="BN237">
        <v>58973374</v>
      </c>
      <c r="BO237" t="s">
        <v>284</v>
      </c>
      <c r="BP237">
        <v>1</v>
      </c>
      <c r="BQ237">
        <v>40</v>
      </c>
      <c r="BR237">
        <v>0</v>
      </c>
      <c r="BS237">
        <v>54.99</v>
      </c>
      <c r="BT237">
        <v>1</v>
      </c>
      <c r="BU237">
        <v>1</v>
      </c>
      <c r="BV237">
        <v>1</v>
      </c>
      <c r="BW237">
        <v>1</v>
      </c>
      <c r="BX237">
        <v>1</v>
      </c>
      <c r="BY237" t="s">
        <v>3</v>
      </c>
      <c r="BZ237">
        <v>90</v>
      </c>
      <c r="CA237">
        <v>46</v>
      </c>
      <c r="CB237" t="s">
        <v>3</v>
      </c>
      <c r="CE237">
        <v>1566</v>
      </c>
      <c r="CF237">
        <v>0</v>
      </c>
      <c r="CG237">
        <v>0</v>
      </c>
      <c r="CM237">
        <v>0</v>
      </c>
      <c r="CN237" t="s">
        <v>625</v>
      </c>
      <c r="CO237">
        <v>0</v>
      </c>
      <c r="CP237">
        <f t="shared" si="259"/>
        <v>873.73</v>
      </c>
      <c r="CQ237">
        <f t="shared" si="260"/>
        <v>7.13</v>
      </c>
      <c r="CR237">
        <f>(ROUND((ROUND(((((ET237*1.25)*1.1))*AV237*1),2)*BB237),2)+ROUND((ROUND(((AE237-(((EU237*1.25)*1.1)))*AV237*1),2)*BS237),2))</f>
        <v>0</v>
      </c>
      <c r="CS237">
        <f>(ROUND((ROUND(((((EU237*1.25)*1.1))*AV237*1),2)*BS237),2)+ROUND((ROUND(((AE237-(((EU237*1.25)*1.1)))*AV237*1),2)*BS237),2))</f>
        <v>0</v>
      </c>
      <c r="CT237">
        <f t="shared" si="261"/>
        <v>284.3</v>
      </c>
      <c r="CU237">
        <f t="shared" si="262"/>
        <v>0</v>
      </c>
      <c r="CV237">
        <f t="shared" si="263"/>
        <v>0.39733649999999998</v>
      </c>
      <c r="CW237">
        <f t="shared" si="264"/>
        <v>0</v>
      </c>
      <c r="CX237">
        <f t="shared" si="265"/>
        <v>0</v>
      </c>
      <c r="CY237">
        <f>(ROUND((((S237+ROUND((ROUND(((((EU237*1.25)*1.1))*AV237*1),2)*BS237),2))*AT237)/100),2)+ROUND(((ROUND((ROUND(((AE237-(((EU237*1.25)*1.1)))*AV237*1),2)*BS237),2)*AT237)/100),2))</f>
        <v>767.12</v>
      </c>
      <c r="CZ237">
        <f>(ROUND((((S237+ROUND((ROUND(((((EU237*1.25)*1.1))*AV237*1),2)*BS237),2))*AU237)/100),2)+ROUND(((ROUND((ROUND(((AE237-(((EU237*1.25)*1.1)))*AV237*1),2)*BS237),2)*AU237)/100),2))</f>
        <v>392.08</v>
      </c>
      <c r="DB237">
        <v>67</v>
      </c>
      <c r="DC237" t="s">
        <v>3</v>
      </c>
      <c r="DD237" t="s">
        <v>3</v>
      </c>
      <c r="DE237" t="s">
        <v>98</v>
      </c>
      <c r="DF237" t="s">
        <v>98</v>
      </c>
      <c r="DG237" t="s">
        <v>99</v>
      </c>
      <c r="DH237" t="s">
        <v>3</v>
      </c>
      <c r="DI237" t="s">
        <v>99</v>
      </c>
      <c r="DJ237" t="s">
        <v>98</v>
      </c>
      <c r="DK237" t="s">
        <v>3</v>
      </c>
      <c r="DL237" t="s">
        <v>3</v>
      </c>
      <c r="DM237" t="s">
        <v>3</v>
      </c>
      <c r="DN237">
        <v>0</v>
      </c>
      <c r="DO237">
        <v>0</v>
      </c>
      <c r="DP237">
        <v>1</v>
      </c>
      <c r="DQ237">
        <v>1</v>
      </c>
      <c r="DU237">
        <v>1013</v>
      </c>
      <c r="DV237" t="s">
        <v>21</v>
      </c>
      <c r="DW237" t="s">
        <v>21</v>
      </c>
      <c r="DX237">
        <v>1</v>
      </c>
      <c r="DZ237" t="s">
        <v>3</v>
      </c>
      <c r="EA237" t="s">
        <v>3</v>
      </c>
      <c r="EB237" t="s">
        <v>3</v>
      </c>
      <c r="EC237" t="s">
        <v>3</v>
      </c>
      <c r="EE237">
        <v>60088304</v>
      </c>
      <c r="EF237">
        <v>40</v>
      </c>
      <c r="EG237" t="s">
        <v>24</v>
      </c>
      <c r="EH237">
        <v>0</v>
      </c>
      <c r="EI237" t="s">
        <v>3</v>
      </c>
      <c r="EJ237">
        <v>2</v>
      </c>
      <c r="EK237">
        <v>72</v>
      </c>
      <c r="EL237" t="s">
        <v>287</v>
      </c>
      <c r="EM237" t="s">
        <v>288</v>
      </c>
      <c r="EO237" t="s">
        <v>103</v>
      </c>
      <c r="EQ237">
        <v>0</v>
      </c>
      <c r="ER237">
        <v>4.71</v>
      </c>
      <c r="ES237">
        <v>0.81</v>
      </c>
      <c r="ET237">
        <v>0</v>
      </c>
      <c r="EU237">
        <v>0</v>
      </c>
      <c r="EV237">
        <v>3.9</v>
      </c>
      <c r="EW237">
        <v>0.3</v>
      </c>
      <c r="EX237">
        <v>0</v>
      </c>
      <c r="EY237">
        <v>0</v>
      </c>
      <c r="FQ237">
        <v>0</v>
      </c>
      <c r="FR237">
        <v>0</v>
      </c>
      <c r="FS237">
        <v>0</v>
      </c>
      <c r="FX237">
        <v>90</v>
      </c>
      <c r="FY237">
        <v>46</v>
      </c>
      <c r="GA237" t="s">
        <v>3</v>
      </c>
      <c r="GD237">
        <v>1</v>
      </c>
      <c r="GF237">
        <v>-1494899736</v>
      </c>
      <c r="GG237">
        <v>2</v>
      </c>
      <c r="GH237">
        <v>1</v>
      </c>
      <c r="GI237">
        <v>2</v>
      </c>
      <c r="GJ237">
        <v>0</v>
      </c>
      <c r="GK237">
        <v>0</v>
      </c>
      <c r="GL237">
        <f t="shared" si="266"/>
        <v>0</v>
      </c>
      <c r="GM237">
        <f t="shared" si="267"/>
        <v>2032.93</v>
      </c>
      <c r="GN237">
        <f t="shared" si="268"/>
        <v>0</v>
      </c>
      <c r="GO237">
        <f t="shared" si="269"/>
        <v>2032.93</v>
      </c>
      <c r="GP237">
        <f t="shared" si="270"/>
        <v>0</v>
      </c>
      <c r="GR237">
        <v>0</v>
      </c>
      <c r="GS237">
        <v>3</v>
      </c>
      <c r="GT237">
        <v>0</v>
      </c>
      <c r="GU237" t="s">
        <v>3</v>
      </c>
      <c r="GV237">
        <f t="shared" si="271"/>
        <v>0</v>
      </c>
      <c r="GW237">
        <v>1</v>
      </c>
      <c r="GX237">
        <f t="shared" si="272"/>
        <v>0</v>
      </c>
      <c r="HA237">
        <v>0</v>
      </c>
      <c r="HB237">
        <v>0</v>
      </c>
      <c r="HC237">
        <f t="shared" si="273"/>
        <v>0</v>
      </c>
      <c r="HE237" t="s">
        <v>3</v>
      </c>
      <c r="HF237" t="s">
        <v>3</v>
      </c>
      <c r="HM237" t="s">
        <v>3</v>
      </c>
      <c r="HN237" t="s">
        <v>3</v>
      </c>
      <c r="HO237" t="s">
        <v>3</v>
      </c>
      <c r="HP237" t="s">
        <v>3</v>
      </c>
      <c r="HQ237" t="s">
        <v>3</v>
      </c>
      <c r="HS237">
        <v>0</v>
      </c>
      <c r="IK237">
        <v>0</v>
      </c>
    </row>
    <row r="238" spans="1:255" x14ac:dyDescent="0.2">
      <c r="A238" s="2">
        <v>17</v>
      </c>
      <c r="B238" s="2">
        <v>1</v>
      </c>
      <c r="C238" s="2"/>
      <c r="D238" s="2"/>
      <c r="E238" s="2" t="s">
        <v>3</v>
      </c>
      <c r="F238" s="2" t="s">
        <v>341</v>
      </c>
      <c r="G238" s="2" t="s">
        <v>342</v>
      </c>
      <c r="H238" s="2" t="s">
        <v>107</v>
      </c>
      <c r="I238" s="2">
        <v>3</v>
      </c>
      <c r="J238" s="2">
        <v>0</v>
      </c>
      <c r="K238" s="2">
        <v>3</v>
      </c>
      <c r="L238" s="2"/>
      <c r="M238" s="2"/>
      <c r="N238" s="2"/>
      <c r="O238" s="2">
        <f t="shared" si="248"/>
        <v>5190.0600000000004</v>
      </c>
      <c r="P238" s="2">
        <f t="shared" si="249"/>
        <v>5190.0600000000004</v>
      </c>
      <c r="Q238" s="2">
        <f>(ROUND((ROUND(((ET238)*AV238*I238),2)*BB238),2)+ROUND((ROUND(((AE238-(EU238))*AV238*I238),2)*BS238),2))</f>
        <v>0</v>
      </c>
      <c r="R238" s="2">
        <f>(ROUND((ROUND(((EU238)*AV238*I238),2)*BS238),2)+ROUND((ROUND(((AE238-(EU238))*AV238*I238),2)*BS238),2))</f>
        <v>0</v>
      </c>
      <c r="S238" s="2">
        <f t="shared" si="250"/>
        <v>0</v>
      </c>
      <c r="T238" s="2">
        <f t="shared" si="251"/>
        <v>0</v>
      </c>
      <c r="U238" s="2">
        <f t="shared" si="252"/>
        <v>0</v>
      </c>
      <c r="V238" s="2">
        <f t="shared" si="253"/>
        <v>0</v>
      </c>
      <c r="W238" s="2">
        <f t="shared" si="254"/>
        <v>0</v>
      </c>
      <c r="X238" s="2">
        <f>(ROUND((((S238+ROUND((ROUND(((EU238)*AV238*I238),2)*BS238),2))*AT238)/100),2)+ROUND(((ROUND((ROUND(((AE238-(EU238))*AV238*I238),2)*BS238),2)*AT238)/100),2))</f>
        <v>0</v>
      </c>
      <c r="Y238" s="2">
        <f>(ROUND((((S238+ROUND((ROUND(((EU238)*AV238*I238),2)*BS238),2))*AU238)/100),2)+ROUND(((ROUND((ROUND(((AE238-(EU238))*AV238*I238),2)*BS238),2)*AU238)/100),2))</f>
        <v>0</v>
      </c>
      <c r="Z238" s="2"/>
      <c r="AA238" s="2">
        <v>-1</v>
      </c>
      <c r="AB238" s="2">
        <f t="shared" si="255"/>
        <v>1730.02</v>
      </c>
      <c r="AC238" s="2">
        <f t="shared" si="256"/>
        <v>1730.02</v>
      </c>
      <c r="AD238" s="2">
        <f>ROUND((((ET238)-(EU238))+AE238),6)</f>
        <v>0</v>
      </c>
      <c r="AE238" s="2">
        <f t="shared" ref="AE238:AF241" si="291">ROUND((EU238),6)</f>
        <v>0</v>
      </c>
      <c r="AF238" s="2">
        <f t="shared" si="291"/>
        <v>0</v>
      </c>
      <c r="AG238" s="2">
        <f t="shared" si="257"/>
        <v>0</v>
      </c>
      <c r="AH238" s="2">
        <f t="shared" ref="AH238:AI241" si="292">(EW238)</f>
        <v>0</v>
      </c>
      <c r="AI238" s="2">
        <f t="shared" si="292"/>
        <v>0</v>
      </c>
      <c r="AJ238" s="2">
        <f t="shared" si="258"/>
        <v>0</v>
      </c>
      <c r="AK238" s="2">
        <v>1730.02</v>
      </c>
      <c r="AL238" s="2">
        <v>1730.02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</v>
      </c>
      <c r="BK238" s="2"/>
      <c r="BL238" s="2"/>
      <c r="BM238" s="2">
        <v>400002</v>
      </c>
      <c r="BN238" s="2">
        <v>0</v>
      </c>
      <c r="BO238" s="2" t="s">
        <v>3</v>
      </c>
      <c r="BP238" s="2">
        <v>0</v>
      </c>
      <c r="BQ238" s="2">
        <v>202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0</v>
      </c>
      <c r="CA238" s="2">
        <v>0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3</v>
      </c>
      <c r="CO238" s="2">
        <v>0</v>
      </c>
      <c r="CP238" s="2">
        <f t="shared" si="259"/>
        <v>5190.0600000000004</v>
      </c>
      <c r="CQ238" s="2">
        <f t="shared" si="260"/>
        <v>1730.02</v>
      </c>
      <c r="CR238" s="2">
        <f>(ROUND((ROUND(((ET238)*AV238*1),2)*BB238),2)+ROUND((ROUND(((AE238-(EU238))*AV238*1),2)*BS238),2))</f>
        <v>0</v>
      </c>
      <c r="CS238" s="2">
        <f>(ROUND((ROUND(((EU238)*AV238*1),2)*BS238),2)+ROUND((ROUND(((AE238-(EU238))*AV238*1),2)*BS238),2))</f>
        <v>0</v>
      </c>
      <c r="CT238" s="2">
        <f t="shared" si="261"/>
        <v>0</v>
      </c>
      <c r="CU238" s="2">
        <f t="shared" si="262"/>
        <v>0</v>
      </c>
      <c r="CV238" s="2">
        <f t="shared" si="263"/>
        <v>0</v>
      </c>
      <c r="CW238" s="2">
        <f t="shared" si="264"/>
        <v>0</v>
      </c>
      <c r="CX238" s="2">
        <f t="shared" si="265"/>
        <v>0</v>
      </c>
      <c r="CY238" s="2">
        <f>(ROUND((((S238+ROUND((ROUND(((EU238)*AV238*1),2)*BS238),2))*AT238)/100),2)+ROUND(((ROUND((ROUND(((AE238-(EU238))*AV238*1),2)*BS238),2)*AT238)/100),2))</f>
        <v>0</v>
      </c>
      <c r="CZ238" s="2">
        <f>(ROUND((((S238+ROUND((ROUND(((EU238)*AV238*1),2)*BS238),2))*AU238)/100),2)+ROUND(((ROUND((ROUND(((AE238-(EU238))*AV238*1),2)*BS238),2)*AU238)/100),2))</f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1013</v>
      </c>
      <c r="DV238" s="2" t="s">
        <v>107</v>
      </c>
      <c r="DW238" s="2" t="s">
        <v>107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60088211</v>
      </c>
      <c r="EF238" s="2">
        <v>202</v>
      </c>
      <c r="EG238" s="2" t="s">
        <v>108</v>
      </c>
      <c r="EH238" s="2">
        <v>0</v>
      </c>
      <c r="EI238" s="2" t="s">
        <v>3</v>
      </c>
      <c r="EJ238" s="2">
        <v>1</v>
      </c>
      <c r="EK238" s="2">
        <v>400002</v>
      </c>
      <c r="EL238" s="2" t="s">
        <v>109</v>
      </c>
      <c r="EM238" s="2" t="s">
        <v>108</v>
      </c>
      <c r="EN238" s="2"/>
      <c r="EO238" s="2" t="s">
        <v>3</v>
      </c>
      <c r="EP238" s="2"/>
      <c r="EQ238" s="2">
        <v>1024</v>
      </c>
      <c r="ER238" s="2">
        <v>0</v>
      </c>
      <c r="ES238" s="2">
        <v>1730.02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0</v>
      </c>
      <c r="FY238" s="2">
        <v>0</v>
      </c>
      <c r="FZ238" s="2"/>
      <c r="GA238" s="2" t="s">
        <v>343</v>
      </c>
      <c r="GB238" s="2"/>
      <c r="GC238" s="2"/>
      <c r="GD238" s="2">
        <v>1</v>
      </c>
      <c r="GE238" s="2"/>
      <c r="GF238" s="2">
        <v>-982018589</v>
      </c>
      <c r="GG238" s="2">
        <v>2</v>
      </c>
      <c r="GH238" s="2">
        <v>4</v>
      </c>
      <c r="GI238" s="2">
        <v>-2</v>
      </c>
      <c r="GJ238" s="2">
        <v>0</v>
      </c>
      <c r="GK238" s="2">
        <v>0</v>
      </c>
      <c r="GL238" s="2">
        <f t="shared" si="266"/>
        <v>0</v>
      </c>
      <c r="GM238" s="2">
        <f t="shared" si="267"/>
        <v>5190.0600000000004</v>
      </c>
      <c r="GN238" s="2">
        <f t="shared" si="268"/>
        <v>5190.0600000000004</v>
      </c>
      <c r="GO238" s="2">
        <f t="shared" si="269"/>
        <v>0</v>
      </c>
      <c r="GP238" s="2">
        <f t="shared" si="270"/>
        <v>0</v>
      </c>
      <c r="GQ238" s="2"/>
      <c r="GR238" s="2">
        <v>0</v>
      </c>
      <c r="GS238" s="2">
        <v>2</v>
      </c>
      <c r="GT238" s="2">
        <v>0</v>
      </c>
      <c r="GU238" s="2" t="s">
        <v>3</v>
      </c>
      <c r="GV238" s="2">
        <f t="shared" si="271"/>
        <v>0</v>
      </c>
      <c r="GW238" s="2">
        <v>1</v>
      </c>
      <c r="GX238" s="2">
        <f t="shared" si="272"/>
        <v>0</v>
      </c>
      <c r="GY238" s="2"/>
      <c r="GZ238" s="2"/>
      <c r="HA238" s="2">
        <v>0</v>
      </c>
      <c r="HB238" s="2">
        <v>0</v>
      </c>
      <c r="HC238" s="2">
        <f t="shared" si="273"/>
        <v>0</v>
      </c>
      <c r="HD238" s="2"/>
      <c r="HE238" s="2" t="s">
        <v>111</v>
      </c>
      <c r="HF238" s="2" t="s">
        <v>28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>
        <v>17</v>
      </c>
      <c r="B239">
        <v>1</v>
      </c>
      <c r="E239" t="s">
        <v>3</v>
      </c>
      <c r="F239" t="s">
        <v>341</v>
      </c>
      <c r="G239" t="s">
        <v>342</v>
      </c>
      <c r="H239" t="s">
        <v>107</v>
      </c>
      <c r="I239">
        <v>3</v>
      </c>
      <c r="J239">
        <v>0</v>
      </c>
      <c r="K239">
        <v>3</v>
      </c>
      <c r="O239">
        <f t="shared" si="248"/>
        <v>51277.79</v>
      </c>
      <c r="P239">
        <f t="shared" si="249"/>
        <v>51277.79</v>
      </c>
      <c r="Q239">
        <f>(ROUND((ROUND(((ET239)*AV239*I239),2)*BB239),2)+ROUND((ROUND(((AE239-(EU239))*AV239*I239),2)*BS239),2))</f>
        <v>0</v>
      </c>
      <c r="R239">
        <f>(ROUND((ROUND(((EU239)*AV239*I239),2)*BS239),2)+ROUND((ROUND(((AE239-(EU239))*AV239*I239),2)*BS239),2))</f>
        <v>0</v>
      </c>
      <c r="S239">
        <f t="shared" si="250"/>
        <v>0</v>
      </c>
      <c r="T239">
        <f t="shared" si="251"/>
        <v>0</v>
      </c>
      <c r="U239">
        <f t="shared" si="252"/>
        <v>0</v>
      </c>
      <c r="V239">
        <f t="shared" si="253"/>
        <v>0</v>
      </c>
      <c r="W239">
        <f t="shared" si="254"/>
        <v>0</v>
      </c>
      <c r="X239">
        <f>(ROUND((((S239+ROUND((ROUND(((EU239)*AV239*I239),2)*BS239),2))*AT239)/100),2)+ROUND(((ROUND((ROUND(((AE239-(EU239))*AV239*I239),2)*BS239),2)*AT239)/100),2))</f>
        <v>0</v>
      </c>
      <c r="Y239">
        <f>(ROUND((((S239+ROUND((ROUND(((EU239)*AV239*I239),2)*BS239),2))*AU239)/100),2)+ROUND(((ROUND((ROUND(((AE239-(EU239))*AV239*I239),2)*BS239),2)*AU239)/100),2))</f>
        <v>0</v>
      </c>
      <c r="AA239">
        <v>-1</v>
      </c>
      <c r="AB239">
        <f t="shared" si="255"/>
        <v>1730.02</v>
      </c>
      <c r="AC239">
        <f t="shared" si="256"/>
        <v>1730.02</v>
      </c>
      <c r="AD239">
        <f>ROUND((((ET239)-(EU239))+AE239),6)</f>
        <v>0</v>
      </c>
      <c r="AE239">
        <f t="shared" si="291"/>
        <v>0</v>
      </c>
      <c r="AF239">
        <f t="shared" si="291"/>
        <v>0</v>
      </c>
      <c r="AG239">
        <f t="shared" si="257"/>
        <v>0</v>
      </c>
      <c r="AH239">
        <f t="shared" si="292"/>
        <v>0</v>
      </c>
      <c r="AI239">
        <f t="shared" si="292"/>
        <v>0</v>
      </c>
      <c r="AJ239">
        <f t="shared" si="258"/>
        <v>0</v>
      </c>
      <c r="AK239">
        <v>1730.02</v>
      </c>
      <c r="AL239">
        <v>1730.02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1</v>
      </c>
      <c r="AZ239">
        <v>1</v>
      </c>
      <c r="BA239">
        <v>1</v>
      </c>
      <c r="BB239">
        <v>1</v>
      </c>
      <c r="BC239">
        <v>9.8800000000000008</v>
      </c>
      <c r="BD239" t="s">
        <v>3</v>
      </c>
      <c r="BE239" t="s">
        <v>3</v>
      </c>
      <c r="BF239" t="s">
        <v>3</v>
      </c>
      <c r="BG239" t="s">
        <v>3</v>
      </c>
      <c r="BH239">
        <v>3</v>
      </c>
      <c r="BI239">
        <v>1</v>
      </c>
      <c r="BJ239" t="s">
        <v>3</v>
      </c>
      <c r="BM239">
        <v>400002</v>
      </c>
      <c r="BN239">
        <v>0</v>
      </c>
      <c r="BO239" t="s">
        <v>3</v>
      </c>
      <c r="BP239">
        <v>0</v>
      </c>
      <c r="BQ239">
        <v>202</v>
      </c>
      <c r="BR239">
        <v>0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 t="s">
        <v>3</v>
      </c>
      <c r="BZ239">
        <v>0</v>
      </c>
      <c r="CA239">
        <v>0</v>
      </c>
      <c r="CB239" t="s">
        <v>3</v>
      </c>
      <c r="CE239">
        <v>1566</v>
      </c>
      <c r="CF239">
        <v>0</v>
      </c>
      <c r="CG239">
        <v>0</v>
      </c>
      <c r="CM239">
        <v>0</v>
      </c>
      <c r="CN239" t="s">
        <v>3</v>
      </c>
      <c r="CO239">
        <v>0</v>
      </c>
      <c r="CP239">
        <f t="shared" si="259"/>
        <v>51277.79</v>
      </c>
      <c r="CQ239">
        <f t="shared" si="260"/>
        <v>17092.599999999999</v>
      </c>
      <c r="CR239">
        <f>(ROUND((ROUND(((ET239)*AV239*1),2)*BB239),2)+ROUND((ROUND(((AE239-(EU239))*AV239*1),2)*BS239),2))</f>
        <v>0</v>
      </c>
      <c r="CS239">
        <f>(ROUND((ROUND(((EU239)*AV239*1),2)*BS239),2)+ROUND((ROUND(((AE239-(EU239))*AV239*1),2)*BS239),2))</f>
        <v>0</v>
      </c>
      <c r="CT239">
        <f t="shared" si="261"/>
        <v>0</v>
      </c>
      <c r="CU239">
        <f t="shared" si="262"/>
        <v>0</v>
      </c>
      <c r="CV239">
        <f t="shared" si="263"/>
        <v>0</v>
      </c>
      <c r="CW239">
        <f t="shared" si="264"/>
        <v>0</v>
      </c>
      <c r="CX239">
        <f t="shared" si="265"/>
        <v>0</v>
      </c>
      <c r="CY239">
        <f>(ROUND((((S239+ROUND((ROUND(((EU239)*AV239*1),2)*BS239),2))*AT239)/100),2)+ROUND(((ROUND((ROUND(((AE239-(EU239))*AV239*1),2)*BS239),2)*AT239)/100),2))</f>
        <v>0</v>
      </c>
      <c r="CZ239">
        <f>(ROUND((((S239+ROUND((ROUND(((EU239)*AV239*1),2)*BS239),2))*AU239)/100),2)+ROUND(((ROUND((ROUND(((AE239-(EU239))*AV239*1),2)*BS239),2)*AU239)/100),2))</f>
        <v>0</v>
      </c>
      <c r="DC239" t="s">
        <v>3</v>
      </c>
      <c r="DD239" t="s">
        <v>3</v>
      </c>
      <c r="DE239" t="s">
        <v>3</v>
      </c>
      <c r="DF239" t="s">
        <v>3</v>
      </c>
      <c r="DG239" t="s">
        <v>3</v>
      </c>
      <c r="DH239" t="s">
        <v>3</v>
      </c>
      <c r="DI239" t="s">
        <v>3</v>
      </c>
      <c r="DJ239" t="s">
        <v>3</v>
      </c>
      <c r="DK239" t="s">
        <v>3</v>
      </c>
      <c r="DL239" t="s">
        <v>3</v>
      </c>
      <c r="DM239" t="s">
        <v>3</v>
      </c>
      <c r="DN239">
        <v>0</v>
      </c>
      <c r="DO239">
        <v>0</v>
      </c>
      <c r="DP239">
        <v>1</v>
      </c>
      <c r="DQ239">
        <v>1</v>
      </c>
      <c r="DU239">
        <v>1013</v>
      </c>
      <c r="DV239" t="s">
        <v>107</v>
      </c>
      <c r="DW239" t="s">
        <v>107</v>
      </c>
      <c r="DX239">
        <v>1</v>
      </c>
      <c r="DZ239" t="s">
        <v>3</v>
      </c>
      <c r="EA239" t="s">
        <v>3</v>
      </c>
      <c r="EB239" t="s">
        <v>3</v>
      </c>
      <c r="EC239" t="s">
        <v>3</v>
      </c>
      <c r="EE239">
        <v>60088211</v>
      </c>
      <c r="EF239">
        <v>202</v>
      </c>
      <c r="EG239" t="s">
        <v>108</v>
      </c>
      <c r="EH239">
        <v>0</v>
      </c>
      <c r="EI239" t="s">
        <v>3</v>
      </c>
      <c r="EJ239">
        <v>1</v>
      </c>
      <c r="EK239">
        <v>400002</v>
      </c>
      <c r="EL239" t="s">
        <v>109</v>
      </c>
      <c r="EM239" t="s">
        <v>108</v>
      </c>
      <c r="EO239" t="s">
        <v>3</v>
      </c>
      <c r="EQ239">
        <v>1024</v>
      </c>
      <c r="ER239">
        <v>1730.02</v>
      </c>
      <c r="ES239">
        <v>1730.02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5</v>
      </c>
      <c r="FC239">
        <v>1</v>
      </c>
      <c r="FD239">
        <v>18</v>
      </c>
      <c r="FF239">
        <v>20109</v>
      </c>
      <c r="FQ239">
        <v>0</v>
      </c>
      <c r="FR239">
        <v>0</v>
      </c>
      <c r="FS239">
        <v>0</v>
      </c>
      <c r="FX239">
        <v>0</v>
      </c>
      <c r="FY239">
        <v>0</v>
      </c>
      <c r="GA239" t="s">
        <v>343</v>
      </c>
      <c r="GD239">
        <v>1</v>
      </c>
      <c r="GF239">
        <v>-982018589</v>
      </c>
      <c r="GG239">
        <v>2</v>
      </c>
      <c r="GH239">
        <v>3</v>
      </c>
      <c r="GI239">
        <v>5</v>
      </c>
      <c r="GJ239">
        <v>0</v>
      </c>
      <c r="GK239">
        <v>0</v>
      </c>
      <c r="GL239">
        <f t="shared" si="266"/>
        <v>0</v>
      </c>
      <c r="GM239">
        <f t="shared" si="267"/>
        <v>51277.79</v>
      </c>
      <c r="GN239">
        <f t="shared" si="268"/>
        <v>51277.79</v>
      </c>
      <c r="GO239">
        <f t="shared" si="269"/>
        <v>0</v>
      </c>
      <c r="GP239">
        <f t="shared" si="270"/>
        <v>0</v>
      </c>
      <c r="GR239">
        <v>1</v>
      </c>
      <c r="GS239">
        <v>1</v>
      </c>
      <c r="GT239">
        <v>0</v>
      </c>
      <c r="GU239" t="s">
        <v>3</v>
      </c>
      <c r="GV239">
        <f t="shared" si="271"/>
        <v>0</v>
      </c>
      <c r="GW239">
        <v>1</v>
      </c>
      <c r="GX239">
        <f t="shared" si="272"/>
        <v>0</v>
      </c>
      <c r="HA239">
        <v>0</v>
      </c>
      <c r="HB239">
        <v>0</v>
      </c>
      <c r="HC239">
        <f t="shared" si="273"/>
        <v>0</v>
      </c>
      <c r="HE239" t="s">
        <v>111</v>
      </c>
      <c r="HF239" t="s">
        <v>28</v>
      </c>
      <c r="HM239" t="s">
        <v>3</v>
      </c>
      <c r="HN239" t="s">
        <v>3</v>
      </c>
      <c r="HO239" t="s">
        <v>3</v>
      </c>
      <c r="HP239" t="s">
        <v>3</v>
      </c>
      <c r="HQ239" t="s">
        <v>3</v>
      </c>
      <c r="HS239">
        <v>0</v>
      </c>
      <c r="IK239">
        <v>0</v>
      </c>
    </row>
    <row r="240" spans="1:255" x14ac:dyDescent="0.2">
      <c r="A240" s="2">
        <v>17</v>
      </c>
      <c r="B240" s="2">
        <v>1</v>
      </c>
      <c r="C240" s="2"/>
      <c r="D240" s="2"/>
      <c r="E240" s="2" t="s">
        <v>344</v>
      </c>
      <c r="F240" s="2" t="s">
        <v>345</v>
      </c>
      <c r="G240" s="2" t="s">
        <v>346</v>
      </c>
      <c r="H240" s="2" t="s">
        <v>31</v>
      </c>
      <c r="I240" s="2">
        <v>3</v>
      </c>
      <c r="J240" s="2">
        <v>0</v>
      </c>
      <c r="K240" s="2">
        <v>3</v>
      </c>
      <c r="L240" s="2"/>
      <c r="M240" s="2"/>
      <c r="N240" s="2"/>
      <c r="O240" s="2">
        <f t="shared" si="248"/>
        <v>2123.52</v>
      </c>
      <c r="P240" s="2">
        <f t="shared" si="249"/>
        <v>2123.52</v>
      </c>
      <c r="Q240" s="2">
        <f>(ROUND((ROUND(((ET240)*AV240*I240),2)*BB240),2)+ROUND((ROUND(((AE240-(EU240))*AV240*I240),2)*BS240),2))</f>
        <v>0</v>
      </c>
      <c r="R240" s="2">
        <f>(ROUND((ROUND(((EU240)*AV240*I240),2)*BS240),2)+ROUND((ROUND(((AE240-(EU240))*AV240*I240),2)*BS240),2))</f>
        <v>0</v>
      </c>
      <c r="S240" s="2">
        <f t="shared" si="250"/>
        <v>0</v>
      </c>
      <c r="T240" s="2">
        <f t="shared" si="251"/>
        <v>0</v>
      </c>
      <c r="U240" s="2">
        <f t="shared" si="252"/>
        <v>0</v>
      </c>
      <c r="V240" s="2">
        <f t="shared" si="253"/>
        <v>0</v>
      </c>
      <c r="W240" s="2">
        <f t="shared" si="254"/>
        <v>0</v>
      </c>
      <c r="X240" s="2">
        <f>(ROUND((((S240+ROUND((ROUND(((EU240)*AV240*I240),2)*BS240),2))*AT240)/100),2)+ROUND(((ROUND((ROUND(((AE240-(EU240))*AV240*I240),2)*BS240),2)*AT240)/100),2))</f>
        <v>0</v>
      </c>
      <c r="Y240" s="2">
        <f>(ROUND((((S240+ROUND((ROUND(((EU240)*AV240*I240),2)*BS240),2))*AU240)/100),2)+ROUND(((ROUND((ROUND(((AE240-(EU240))*AV240*I240),2)*BS240),2)*AU240)/100),2))</f>
        <v>0</v>
      </c>
      <c r="Z240" s="2"/>
      <c r="AA240" s="2">
        <v>60255014</v>
      </c>
      <c r="AB240" s="2">
        <f t="shared" si="255"/>
        <v>707.84</v>
      </c>
      <c r="AC240" s="2">
        <f t="shared" si="256"/>
        <v>707.84</v>
      </c>
      <c r="AD240" s="2">
        <f>ROUND((((ET240)-(EU240))+AE240),6)</f>
        <v>0</v>
      </c>
      <c r="AE240" s="2">
        <f t="shared" si="291"/>
        <v>0</v>
      </c>
      <c r="AF240" s="2">
        <f t="shared" si="291"/>
        <v>0</v>
      </c>
      <c r="AG240" s="2">
        <f t="shared" si="257"/>
        <v>0</v>
      </c>
      <c r="AH240" s="2">
        <f t="shared" si="292"/>
        <v>0</v>
      </c>
      <c r="AI240" s="2">
        <f t="shared" si="292"/>
        <v>0</v>
      </c>
      <c r="AJ240" s="2">
        <f t="shared" si="258"/>
        <v>0</v>
      </c>
      <c r="AK240" s="2">
        <v>707.84</v>
      </c>
      <c r="AL240" s="2">
        <v>707.84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1</v>
      </c>
      <c r="BJ240" s="2" t="s">
        <v>347</v>
      </c>
      <c r="BK240" s="2"/>
      <c r="BL240" s="2"/>
      <c r="BM240" s="2">
        <v>1617</v>
      </c>
      <c r="BN240" s="2">
        <v>58973374</v>
      </c>
      <c r="BO240" s="2" t="s">
        <v>3</v>
      </c>
      <c r="BP240" s="2">
        <v>0</v>
      </c>
      <c r="BQ240" s="2">
        <v>200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0</v>
      </c>
      <c r="CA240" s="2">
        <v>0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3</v>
      </c>
      <c r="CO240" s="2">
        <v>0</v>
      </c>
      <c r="CP240" s="2">
        <f t="shared" si="259"/>
        <v>2123.52</v>
      </c>
      <c r="CQ240" s="2">
        <f t="shared" si="260"/>
        <v>707.84</v>
      </c>
      <c r="CR240" s="2">
        <f>(ROUND((ROUND(((ET240)*AV240*1),2)*BB240),2)+ROUND((ROUND(((AE240-(EU240))*AV240*1),2)*BS240),2))</f>
        <v>0</v>
      </c>
      <c r="CS240" s="2">
        <f>(ROUND((ROUND(((EU240)*AV240*1),2)*BS240),2)+ROUND((ROUND(((AE240-(EU240))*AV240*1),2)*BS240),2))</f>
        <v>0</v>
      </c>
      <c r="CT240" s="2">
        <f t="shared" si="261"/>
        <v>0</v>
      </c>
      <c r="CU240" s="2">
        <f t="shared" si="262"/>
        <v>0</v>
      </c>
      <c r="CV240" s="2">
        <f t="shared" si="263"/>
        <v>0</v>
      </c>
      <c r="CW240" s="2">
        <f t="shared" si="264"/>
        <v>0</v>
      </c>
      <c r="CX240" s="2">
        <f t="shared" si="265"/>
        <v>0</v>
      </c>
      <c r="CY240" s="2">
        <f>(ROUND((((S240+ROUND((ROUND(((EU240)*AV240*1),2)*BS240),2))*AT240)/100),2)+ROUND(((ROUND((ROUND(((AE240-(EU240))*AV240*1),2)*BS240),2)*AT240)/100),2))</f>
        <v>0</v>
      </c>
      <c r="CZ240" s="2">
        <f>(ROUND((((S240+ROUND((ROUND(((EU240)*AV240*1),2)*BS240),2))*AU240)/100),2)+ROUND(((ROUND((ROUND(((AE240-(EU240))*AV240*1),2)*BS240),2)*AU240)/100),2))</f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31</v>
      </c>
      <c r="DW240" s="2" t="s">
        <v>31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60088328</v>
      </c>
      <c r="EF240" s="2">
        <v>200</v>
      </c>
      <c r="EG240" s="2" t="s">
        <v>210</v>
      </c>
      <c r="EH240" s="2">
        <v>0</v>
      </c>
      <c r="EI240" s="2" t="s">
        <v>3</v>
      </c>
      <c r="EJ240" s="2">
        <v>1</v>
      </c>
      <c r="EK240" s="2">
        <v>1617</v>
      </c>
      <c r="EL240" s="2" t="s">
        <v>211</v>
      </c>
      <c r="EM240" s="2" t="s">
        <v>212</v>
      </c>
      <c r="EN240" s="2"/>
      <c r="EO240" s="2" t="s">
        <v>3</v>
      </c>
      <c r="EP240" s="2"/>
      <c r="EQ240" s="2">
        <v>0</v>
      </c>
      <c r="ER240" s="2">
        <v>707.84</v>
      </c>
      <c r="ES240" s="2">
        <v>707.84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0</v>
      </c>
      <c r="FY240" s="2">
        <v>0</v>
      </c>
      <c r="FZ240" s="2"/>
      <c r="GA240" s="2" t="s">
        <v>3</v>
      </c>
      <c r="GB240" s="2"/>
      <c r="GC240" s="2"/>
      <c r="GD240" s="2">
        <v>1</v>
      </c>
      <c r="GE240" s="2"/>
      <c r="GF240" s="2">
        <v>-368491357</v>
      </c>
      <c r="GG240" s="2">
        <v>2</v>
      </c>
      <c r="GH240" s="2">
        <v>1</v>
      </c>
      <c r="GI240" s="2">
        <v>-2</v>
      </c>
      <c r="GJ240" s="2">
        <v>0</v>
      </c>
      <c r="GK240" s="2">
        <v>0</v>
      </c>
      <c r="GL240" s="2">
        <f t="shared" si="266"/>
        <v>0</v>
      </c>
      <c r="GM240" s="2">
        <f t="shared" si="267"/>
        <v>2123.52</v>
      </c>
      <c r="GN240" s="2">
        <f t="shared" si="268"/>
        <v>2123.52</v>
      </c>
      <c r="GO240" s="2">
        <f t="shared" si="269"/>
        <v>0</v>
      </c>
      <c r="GP240" s="2">
        <f t="shared" si="270"/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si="271"/>
        <v>0</v>
      </c>
      <c r="GW240" s="2">
        <v>1</v>
      </c>
      <c r="GX240" s="2">
        <f t="shared" si="272"/>
        <v>0</v>
      </c>
      <c r="GY240" s="2"/>
      <c r="GZ240" s="2"/>
      <c r="HA240" s="2">
        <v>0</v>
      </c>
      <c r="HB240" s="2">
        <v>0</v>
      </c>
      <c r="HC240" s="2">
        <f t="shared" si="273"/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>
        <v>17</v>
      </c>
      <c r="B241">
        <v>1</v>
      </c>
      <c r="E241" t="s">
        <v>344</v>
      </c>
      <c r="F241" t="s">
        <v>345</v>
      </c>
      <c r="G241" t="s">
        <v>346</v>
      </c>
      <c r="H241" t="s">
        <v>31</v>
      </c>
      <c r="I241">
        <v>3</v>
      </c>
      <c r="J241">
        <v>0</v>
      </c>
      <c r="K241">
        <v>3</v>
      </c>
      <c r="O241">
        <f t="shared" si="248"/>
        <v>20640.61</v>
      </c>
      <c r="P241">
        <f t="shared" si="249"/>
        <v>20640.61</v>
      </c>
      <c r="Q241">
        <f>(ROUND((ROUND(((ET241)*AV241*I241),2)*BB241),2)+ROUND((ROUND(((AE241-(EU241))*AV241*I241),2)*BS241),2))</f>
        <v>0</v>
      </c>
      <c r="R241">
        <f>(ROUND((ROUND(((EU241)*AV241*I241),2)*BS241),2)+ROUND((ROUND(((AE241-(EU241))*AV241*I241),2)*BS241),2))</f>
        <v>0</v>
      </c>
      <c r="S241">
        <f t="shared" si="250"/>
        <v>0</v>
      </c>
      <c r="T241">
        <f t="shared" si="251"/>
        <v>0</v>
      </c>
      <c r="U241">
        <f t="shared" si="252"/>
        <v>0</v>
      </c>
      <c r="V241">
        <f t="shared" si="253"/>
        <v>0</v>
      </c>
      <c r="W241">
        <f t="shared" si="254"/>
        <v>0</v>
      </c>
      <c r="X241">
        <f>(ROUND((((S241+ROUND((ROUND(((EU241)*AV241*I241),2)*BS241),2))*AT241)/100),2)+ROUND(((ROUND((ROUND(((AE241-(EU241))*AV241*I241),2)*BS241),2)*AT241)/100),2))</f>
        <v>0</v>
      </c>
      <c r="Y241">
        <f>(ROUND((((S241+ROUND((ROUND(((EU241)*AV241*I241),2)*BS241),2))*AU241)/100),2)+ROUND(((ROUND((ROUND(((AE241-(EU241))*AV241*I241),2)*BS241),2)*AU241)/100),2))</f>
        <v>0</v>
      </c>
      <c r="AA241">
        <v>60255011</v>
      </c>
      <c r="AB241">
        <f t="shared" si="255"/>
        <v>707.84</v>
      </c>
      <c r="AC241">
        <f t="shared" si="256"/>
        <v>707.84</v>
      </c>
      <c r="AD241">
        <f>ROUND((((ET241)-(EU241))+AE241),6)</f>
        <v>0</v>
      </c>
      <c r="AE241">
        <f t="shared" si="291"/>
        <v>0</v>
      </c>
      <c r="AF241">
        <f t="shared" si="291"/>
        <v>0</v>
      </c>
      <c r="AG241">
        <f t="shared" si="257"/>
        <v>0</v>
      </c>
      <c r="AH241">
        <f t="shared" si="292"/>
        <v>0</v>
      </c>
      <c r="AI241">
        <f t="shared" si="292"/>
        <v>0</v>
      </c>
      <c r="AJ241">
        <f t="shared" si="258"/>
        <v>0</v>
      </c>
      <c r="AK241">
        <v>707.84</v>
      </c>
      <c r="AL241">
        <v>707.84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1</v>
      </c>
      <c r="AZ241">
        <v>1</v>
      </c>
      <c r="BA241">
        <v>1</v>
      </c>
      <c r="BB241">
        <v>1</v>
      </c>
      <c r="BC241">
        <v>9.7200000000000006</v>
      </c>
      <c r="BD241" t="s">
        <v>3</v>
      </c>
      <c r="BE241" t="s">
        <v>3</v>
      </c>
      <c r="BF241" t="s">
        <v>3</v>
      </c>
      <c r="BG241" t="s">
        <v>3</v>
      </c>
      <c r="BH241">
        <v>3</v>
      </c>
      <c r="BI241">
        <v>1</v>
      </c>
      <c r="BJ241" t="s">
        <v>347</v>
      </c>
      <c r="BM241">
        <v>1617</v>
      </c>
      <c r="BN241">
        <v>58973374</v>
      </c>
      <c r="BO241" t="s">
        <v>345</v>
      </c>
      <c r="BP241">
        <v>1</v>
      </c>
      <c r="BQ241">
        <v>200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 t="s">
        <v>3</v>
      </c>
      <c r="BZ241">
        <v>0</v>
      </c>
      <c r="CA241">
        <v>0</v>
      </c>
      <c r="CB241" t="s">
        <v>3</v>
      </c>
      <c r="CE241">
        <v>1566</v>
      </c>
      <c r="CF241">
        <v>0</v>
      </c>
      <c r="CG241">
        <v>0</v>
      </c>
      <c r="CM241">
        <v>0</v>
      </c>
      <c r="CN241" t="s">
        <v>3</v>
      </c>
      <c r="CO241">
        <v>0</v>
      </c>
      <c r="CP241">
        <f t="shared" si="259"/>
        <v>20640.61</v>
      </c>
      <c r="CQ241">
        <f t="shared" si="260"/>
        <v>6880.2</v>
      </c>
      <c r="CR241">
        <f>(ROUND((ROUND(((ET241)*AV241*1),2)*BB241),2)+ROUND((ROUND(((AE241-(EU241))*AV241*1),2)*BS241),2))</f>
        <v>0</v>
      </c>
      <c r="CS241">
        <f>(ROUND((ROUND(((EU241)*AV241*1),2)*BS241),2)+ROUND((ROUND(((AE241-(EU241))*AV241*1),2)*BS241),2))</f>
        <v>0</v>
      </c>
      <c r="CT241">
        <f t="shared" si="261"/>
        <v>0</v>
      </c>
      <c r="CU241">
        <f t="shared" si="262"/>
        <v>0</v>
      </c>
      <c r="CV241">
        <f t="shared" si="263"/>
        <v>0</v>
      </c>
      <c r="CW241">
        <f t="shared" si="264"/>
        <v>0</v>
      </c>
      <c r="CX241">
        <f t="shared" si="265"/>
        <v>0</v>
      </c>
      <c r="CY241">
        <f>(ROUND((((S241+ROUND((ROUND(((EU241)*AV241*1),2)*BS241),2))*AT241)/100),2)+ROUND(((ROUND((ROUND(((AE241-(EU241))*AV241*1),2)*BS241),2)*AT241)/100),2))</f>
        <v>0</v>
      </c>
      <c r="CZ241">
        <f>(ROUND((((S241+ROUND((ROUND(((EU241)*AV241*1),2)*BS241),2))*AU241)/100),2)+ROUND(((ROUND((ROUND(((AE241-(EU241))*AV241*1),2)*BS241),2)*AU241)/100),2))</f>
        <v>0</v>
      </c>
      <c r="DC241" t="s">
        <v>3</v>
      </c>
      <c r="DD241" t="s">
        <v>3</v>
      </c>
      <c r="DE241" t="s">
        <v>3</v>
      </c>
      <c r="DF241" t="s">
        <v>3</v>
      </c>
      <c r="DG241" t="s">
        <v>3</v>
      </c>
      <c r="DH241" t="s">
        <v>3</v>
      </c>
      <c r="DI241" t="s">
        <v>3</v>
      </c>
      <c r="DJ241" t="s">
        <v>3</v>
      </c>
      <c r="DK241" t="s">
        <v>3</v>
      </c>
      <c r="DL241" t="s">
        <v>3</v>
      </c>
      <c r="DM241" t="s">
        <v>3</v>
      </c>
      <c r="DN241">
        <v>0</v>
      </c>
      <c r="DO241">
        <v>0</v>
      </c>
      <c r="DP241">
        <v>1</v>
      </c>
      <c r="DQ241">
        <v>1</v>
      </c>
      <c r="DU241">
        <v>1010</v>
      </c>
      <c r="DV241" t="s">
        <v>31</v>
      </c>
      <c r="DW241" t="s">
        <v>31</v>
      </c>
      <c r="DX241">
        <v>1</v>
      </c>
      <c r="DZ241" t="s">
        <v>3</v>
      </c>
      <c r="EA241" t="s">
        <v>3</v>
      </c>
      <c r="EB241" t="s">
        <v>3</v>
      </c>
      <c r="EC241" t="s">
        <v>3</v>
      </c>
      <c r="EE241">
        <v>60088328</v>
      </c>
      <c r="EF241">
        <v>200</v>
      </c>
      <c r="EG241" t="s">
        <v>210</v>
      </c>
      <c r="EH241">
        <v>0</v>
      </c>
      <c r="EI241" t="s">
        <v>3</v>
      </c>
      <c r="EJ241">
        <v>1</v>
      </c>
      <c r="EK241">
        <v>1617</v>
      </c>
      <c r="EL241" t="s">
        <v>211</v>
      </c>
      <c r="EM241" t="s">
        <v>212</v>
      </c>
      <c r="EO241" t="s">
        <v>3</v>
      </c>
      <c r="EQ241">
        <v>0</v>
      </c>
      <c r="ER241">
        <v>707.84</v>
      </c>
      <c r="ES241">
        <v>707.84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FQ241">
        <v>0</v>
      </c>
      <c r="FR241">
        <v>0</v>
      </c>
      <c r="FS241">
        <v>0</v>
      </c>
      <c r="FX241">
        <v>0</v>
      </c>
      <c r="FY241">
        <v>0</v>
      </c>
      <c r="GA241" t="s">
        <v>3</v>
      </c>
      <c r="GD241">
        <v>1</v>
      </c>
      <c r="GF241">
        <v>-368491357</v>
      </c>
      <c r="GG241">
        <v>2</v>
      </c>
      <c r="GH241">
        <v>1</v>
      </c>
      <c r="GI241">
        <v>2</v>
      </c>
      <c r="GJ241">
        <v>0</v>
      </c>
      <c r="GK241">
        <v>0</v>
      </c>
      <c r="GL241">
        <f t="shared" si="266"/>
        <v>0</v>
      </c>
      <c r="GM241">
        <f t="shared" si="267"/>
        <v>20640.61</v>
      </c>
      <c r="GN241">
        <f t="shared" si="268"/>
        <v>20640.61</v>
      </c>
      <c r="GO241">
        <f t="shared" si="269"/>
        <v>0</v>
      </c>
      <c r="GP241">
        <f t="shared" si="270"/>
        <v>0</v>
      </c>
      <c r="GR241">
        <v>0</v>
      </c>
      <c r="GS241">
        <v>3</v>
      </c>
      <c r="GT241">
        <v>0</v>
      </c>
      <c r="GU241" t="s">
        <v>3</v>
      </c>
      <c r="GV241">
        <f t="shared" si="271"/>
        <v>0</v>
      </c>
      <c r="GW241">
        <v>1</v>
      </c>
      <c r="GX241">
        <f t="shared" si="272"/>
        <v>0</v>
      </c>
      <c r="HA241">
        <v>0</v>
      </c>
      <c r="HB241">
        <v>0</v>
      </c>
      <c r="HC241">
        <f t="shared" si="273"/>
        <v>0</v>
      </c>
      <c r="HE241" t="s">
        <v>3</v>
      </c>
      <c r="HF241" t="s">
        <v>3</v>
      </c>
      <c r="HM241" t="s">
        <v>3</v>
      </c>
      <c r="HN241" t="s">
        <v>3</v>
      </c>
      <c r="HO241" t="s">
        <v>3</v>
      </c>
      <c r="HP241" t="s">
        <v>3</v>
      </c>
      <c r="HQ241" t="s">
        <v>3</v>
      </c>
      <c r="HS241">
        <v>0</v>
      </c>
      <c r="IK241">
        <v>0</v>
      </c>
    </row>
    <row r="242" spans="1:255" x14ac:dyDescent="0.2">
      <c r="A242" s="2">
        <v>19</v>
      </c>
      <c r="B242" s="2">
        <v>1</v>
      </c>
      <c r="C242" s="2"/>
      <c r="D242" s="2"/>
      <c r="E242" s="2"/>
      <c r="F242" s="2" t="s">
        <v>3</v>
      </c>
      <c r="G242" s="2" t="s">
        <v>348</v>
      </c>
      <c r="H242" s="2" t="s">
        <v>3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>
        <v>1</v>
      </c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2">
        <v>17</v>
      </c>
      <c r="B243" s="2">
        <v>1</v>
      </c>
      <c r="C243" s="2">
        <f>ROW(SmtRes!A286)</f>
        <v>286</v>
      </c>
      <c r="D243" s="2">
        <f>ROW(EtalonRes!A315)</f>
        <v>315</v>
      </c>
      <c r="E243" s="2" t="s">
        <v>349</v>
      </c>
      <c r="F243" s="2" t="s">
        <v>350</v>
      </c>
      <c r="G243" s="2" t="s">
        <v>351</v>
      </c>
      <c r="H243" s="2" t="s">
        <v>352</v>
      </c>
      <c r="I243" s="2">
        <f>ROUND(1/10,9)</f>
        <v>0.1</v>
      </c>
      <c r="J243" s="2">
        <v>0</v>
      </c>
      <c r="K243" s="2">
        <f>ROUND(1/10,9)</f>
        <v>0.1</v>
      </c>
      <c r="L243" s="2"/>
      <c r="M243" s="2"/>
      <c r="N243" s="2"/>
      <c r="O243" s="2">
        <f t="shared" ref="O243:O248" si="293">ROUND(CP243,2)</f>
        <v>26.3</v>
      </c>
      <c r="P243" s="2">
        <f t="shared" ref="P243:P248" si="294">ROUND((ROUND((AC243*AW243*I243),2)*BC243),2)</f>
        <v>16.27</v>
      </c>
      <c r="Q243" s="2">
        <f>(ROUND((ROUND(((((ET243*1.25)*1.1))*AV243*I243),2)*BB243),2)+ROUND((ROUND(((AE243-(((EU243*1.25)*1.1)))*AV243*I243),2)*BS243),2))</f>
        <v>0.44</v>
      </c>
      <c r="R243" s="2">
        <f>(ROUND((ROUND(((((EU243*1.25)*1.1))*AV243*I243),2)*BS243),2)+ROUND((ROUND(((AE243-(((EU243*1.25)*1.1)))*AV243*I243),2)*BS243),2))</f>
        <v>0.04</v>
      </c>
      <c r="S243" s="2">
        <f t="shared" ref="S243:S248" si="295">ROUND((ROUND((AF243*AV243*I243),2)*BA243),2)</f>
        <v>9.59</v>
      </c>
      <c r="T243" s="2">
        <f t="shared" ref="T243:T248" si="296">ROUND(CU243*I243,2)</f>
        <v>0</v>
      </c>
      <c r="U243" s="2">
        <f t="shared" ref="U243:U248" si="297">CV243*I243</f>
        <v>0.80985300000000005</v>
      </c>
      <c r="V243" s="2">
        <f t="shared" ref="V243:V248" si="298">CW243*I243</f>
        <v>0</v>
      </c>
      <c r="W243" s="2">
        <f t="shared" ref="W243:W248" si="299">ROUND(CX243*I243,2)</f>
        <v>0</v>
      </c>
      <c r="X243" s="2">
        <f>(ROUND((((S243+ROUND((ROUND(((((EU243*1.25)*1.1))*AV243*I243),2)*BS243),2))*AT243)/100),2)+ROUND(((ROUND((ROUND(((AE243-(((EU243*1.25)*1.1)))*AV243*I243),2)*BS243),2)*AT243)/100),2))</f>
        <v>10.5</v>
      </c>
      <c r="Y243" s="2">
        <f>(ROUND((((S243+ROUND((ROUND(((((EU243*1.25)*1.1))*AV243*I243),2)*BS243),2))*AU243)/100),2)+ROUND(((ROUND((ROUND(((AE243-(((EU243*1.25)*1.1)))*AV243*I243),2)*BS243),2)*AU243)/100),2))</f>
        <v>5.87</v>
      </c>
      <c r="Z243" s="2"/>
      <c r="AA243" s="2">
        <v>60255014</v>
      </c>
      <c r="AB243" s="2">
        <f t="shared" ref="AB243:AB248" si="300">ROUND((AC243+AD243+AF243),6)</f>
        <v>256.71075000000002</v>
      </c>
      <c r="AC243" s="2">
        <f t="shared" ref="AC243:AC248" si="301">ROUND((ES243),6)</f>
        <v>162.68</v>
      </c>
      <c r="AD243" s="2">
        <f>ROUND((((((ET243*1.25)*1.1))-(((EU243*1.25)*1.1)))+AE243),6)</f>
        <v>4.1524999999999999</v>
      </c>
      <c r="AE243" s="2">
        <f>ROUND((((EU243*1.25)*1.1)),6)</f>
        <v>0.34375</v>
      </c>
      <c r="AF243" s="2">
        <f>ROUND((((EV243*1.15)*1.1)),6)</f>
        <v>89.878249999999994</v>
      </c>
      <c r="AG243" s="2">
        <f t="shared" ref="AG243:AG248" si="302">ROUND((AP243),6)</f>
        <v>0</v>
      </c>
      <c r="AH243" s="2">
        <f>(((EW243*1.15)*1.1))</f>
        <v>7.59</v>
      </c>
      <c r="AI243" s="2">
        <f>(((EX243*1.25)*1.1))</f>
        <v>0</v>
      </c>
      <c r="AJ243" s="2">
        <f t="shared" ref="AJ243:AJ248" si="303">(AS243)</f>
        <v>0</v>
      </c>
      <c r="AK243" s="2">
        <v>236.75</v>
      </c>
      <c r="AL243" s="2">
        <v>162.68</v>
      </c>
      <c r="AM243" s="2">
        <v>3.02</v>
      </c>
      <c r="AN243" s="2">
        <v>0.25</v>
      </c>
      <c r="AO243" s="2">
        <v>71.05</v>
      </c>
      <c r="AP243" s="2">
        <v>0</v>
      </c>
      <c r="AQ243" s="2">
        <v>6</v>
      </c>
      <c r="AR243" s="2">
        <v>0</v>
      </c>
      <c r="AS243" s="2">
        <v>0</v>
      </c>
      <c r="AT243" s="2">
        <v>109</v>
      </c>
      <c r="AU243" s="2">
        <v>61</v>
      </c>
      <c r="AV243" s="2">
        <v>1.0669999999999999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0</v>
      </c>
      <c r="BI243" s="2">
        <v>1</v>
      </c>
      <c r="BJ243" s="2" t="s">
        <v>353</v>
      </c>
      <c r="BK243" s="2"/>
      <c r="BL243" s="2"/>
      <c r="BM243" s="2">
        <v>21</v>
      </c>
      <c r="BN243" s="2">
        <v>58973374</v>
      </c>
      <c r="BO243" s="2" t="s">
        <v>350</v>
      </c>
      <c r="BP243" s="2">
        <v>1</v>
      </c>
      <c r="BQ243" s="2">
        <v>30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109</v>
      </c>
      <c r="CA243" s="2">
        <v>61</v>
      </c>
      <c r="CB243" s="2" t="s">
        <v>3</v>
      </c>
      <c r="CC243" s="2"/>
      <c r="CD243" s="2"/>
      <c r="CE243" s="2">
        <v>1566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628</v>
      </c>
      <c r="CO243" s="2">
        <v>0</v>
      </c>
      <c r="CP243" s="2">
        <f t="shared" ref="CP243:CP248" si="304">(P243+Q243+S243)</f>
        <v>26.3</v>
      </c>
      <c r="CQ243" s="2">
        <f t="shared" ref="CQ243:CQ248" si="305">ROUND((ROUND((AC243*AW243*1),2)*BC243),2)</f>
        <v>162.68</v>
      </c>
      <c r="CR243" s="2">
        <f>(ROUND((ROUND(((((ET243*1.25)*1.1))*AV243*1),2)*BB243),2)+ROUND((ROUND(((AE243-(((EU243*1.25)*1.1)))*AV243*1),2)*BS243),2))</f>
        <v>4.43</v>
      </c>
      <c r="CS243" s="2">
        <f>(ROUND((ROUND(((((EU243*1.25)*1.1))*AV243*1),2)*BS243),2)+ROUND((ROUND(((AE243-(((EU243*1.25)*1.1)))*AV243*1),2)*BS243),2))</f>
        <v>0.37</v>
      </c>
      <c r="CT243" s="2">
        <f t="shared" ref="CT243:CT248" si="306">ROUND((ROUND((AF243*AV243*1),2)*BA243),2)</f>
        <v>95.9</v>
      </c>
      <c r="CU243" s="2">
        <f t="shared" ref="CU243:CU248" si="307">AG243</f>
        <v>0</v>
      </c>
      <c r="CV243" s="2">
        <f t="shared" ref="CV243:CV248" si="308">(AH243*AV243)</f>
        <v>8.0985300000000002</v>
      </c>
      <c r="CW243" s="2">
        <f t="shared" ref="CW243:CX248" si="309">AI243</f>
        <v>0</v>
      </c>
      <c r="CX243" s="2">
        <f t="shared" si="309"/>
        <v>0</v>
      </c>
      <c r="CY243" s="2">
        <f>(ROUND((((S243+ROUND((ROUND(((((EU243*1.25)*1.1))*AV243*1),2)*BS243),2))*AT243)/100),2)+ROUND(((ROUND((ROUND(((AE243-(((EU243*1.25)*1.1)))*AV243*1),2)*BS243),2)*AT243)/100),2))</f>
        <v>10.86</v>
      </c>
      <c r="CZ243" s="2">
        <f>(ROUND((((S243+ROUND((ROUND(((((EU243*1.25)*1.1))*AV243*1),2)*BS243),2))*AU243)/100),2)+ROUND(((ROUND((ROUND(((AE243-(((EU243*1.25)*1.1)))*AV243*1),2)*BS243),2)*AU243)/100),2))</f>
        <v>6.08</v>
      </c>
      <c r="DA243" s="2"/>
      <c r="DB243" s="2">
        <v>69</v>
      </c>
      <c r="DC243" s="2" t="s">
        <v>3</v>
      </c>
      <c r="DD243" s="2" t="s">
        <v>3</v>
      </c>
      <c r="DE243" s="2" t="s">
        <v>354</v>
      </c>
      <c r="DF243" s="2" t="s">
        <v>354</v>
      </c>
      <c r="DG243" s="2" t="s">
        <v>355</v>
      </c>
      <c r="DH243" s="2" t="s">
        <v>3</v>
      </c>
      <c r="DI243" s="2" t="s">
        <v>355</v>
      </c>
      <c r="DJ243" s="2" t="s">
        <v>354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1010</v>
      </c>
      <c r="DV243" s="2" t="s">
        <v>352</v>
      </c>
      <c r="DW243" s="2" t="s">
        <v>352</v>
      </c>
      <c r="DX243" s="2">
        <v>10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60088252</v>
      </c>
      <c r="EF243" s="2">
        <v>30</v>
      </c>
      <c r="EG243" s="2" t="s">
        <v>100</v>
      </c>
      <c r="EH243" s="2">
        <v>0</v>
      </c>
      <c r="EI243" s="2" t="s">
        <v>3</v>
      </c>
      <c r="EJ243" s="2">
        <v>1</v>
      </c>
      <c r="EK243" s="2">
        <v>21</v>
      </c>
      <c r="EL243" s="2" t="s">
        <v>356</v>
      </c>
      <c r="EM243" s="2" t="s">
        <v>357</v>
      </c>
      <c r="EN243" s="2"/>
      <c r="EO243" s="2" t="s">
        <v>358</v>
      </c>
      <c r="EP243" s="2"/>
      <c r="EQ243" s="2">
        <v>0</v>
      </c>
      <c r="ER243" s="2">
        <v>236.75</v>
      </c>
      <c r="ES243" s="2">
        <v>162.68</v>
      </c>
      <c r="ET243" s="2">
        <v>3.02</v>
      </c>
      <c r="EU243" s="2">
        <v>0.25</v>
      </c>
      <c r="EV243" s="2">
        <v>71.05</v>
      </c>
      <c r="EW243" s="2">
        <v>6</v>
      </c>
      <c r="EX243" s="2">
        <v>0</v>
      </c>
      <c r="EY243" s="2">
        <v>0</v>
      </c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v>0</v>
      </c>
      <c r="FS243" s="2">
        <v>0</v>
      </c>
      <c r="FT243" s="2"/>
      <c r="FU243" s="2"/>
      <c r="FV243" s="2"/>
      <c r="FW243" s="2"/>
      <c r="FX243" s="2">
        <v>109</v>
      </c>
      <c r="FY243" s="2">
        <v>61</v>
      </c>
      <c r="FZ243" s="2"/>
      <c r="GA243" s="2" t="s">
        <v>3</v>
      </c>
      <c r="GB243" s="2"/>
      <c r="GC243" s="2"/>
      <c r="GD243" s="2">
        <v>1</v>
      </c>
      <c r="GE243" s="2"/>
      <c r="GF243" s="2">
        <v>-808056714</v>
      </c>
      <c r="GG243" s="2">
        <v>2</v>
      </c>
      <c r="GH243" s="2">
        <v>1</v>
      </c>
      <c r="GI243" s="2">
        <v>2</v>
      </c>
      <c r="GJ243" s="2">
        <v>0</v>
      </c>
      <c r="GK243" s="2">
        <v>0</v>
      </c>
      <c r="GL243" s="2">
        <f t="shared" ref="GL243:GL248" si="310">ROUND(IF(AND(BH243=3,BI243=3,FS243&lt;&gt;0),P243,0),2)</f>
        <v>0</v>
      </c>
      <c r="GM243" s="2">
        <f t="shared" ref="GM243:GM248" si="311">ROUND(O243+X243+Y243,2)+GX243</f>
        <v>42.67</v>
      </c>
      <c r="GN243" s="2">
        <f t="shared" ref="GN243:GN248" si="312">IF(OR(BI243=0,BI243=1),GM243-GX243,0)</f>
        <v>42.67</v>
      </c>
      <c r="GO243" s="2">
        <f t="shared" ref="GO243:GO248" si="313">IF(BI243=2,GM243-GX243,0)</f>
        <v>0</v>
      </c>
      <c r="GP243" s="2">
        <f t="shared" ref="GP243:GP248" si="314">IF(BI243=4,GM243-GX243,0)</f>
        <v>0</v>
      </c>
      <c r="GQ243" s="2"/>
      <c r="GR243" s="2">
        <v>0</v>
      </c>
      <c r="GS243" s="2">
        <v>3</v>
      </c>
      <c r="GT243" s="2">
        <v>0</v>
      </c>
      <c r="GU243" s="2" t="s">
        <v>3</v>
      </c>
      <c r="GV243" s="2">
        <f t="shared" ref="GV243:GV248" si="315">ROUND((GT243),6)</f>
        <v>0</v>
      </c>
      <c r="GW243" s="2">
        <v>1</v>
      </c>
      <c r="GX243" s="2">
        <f t="shared" ref="GX243:GX248" si="316">ROUND(HC243*I243,2)</f>
        <v>0</v>
      </c>
      <c r="GY243" s="2"/>
      <c r="GZ243" s="2"/>
      <c r="HA243" s="2">
        <v>0</v>
      </c>
      <c r="HB243" s="2">
        <v>0</v>
      </c>
      <c r="HC243" s="2">
        <f t="shared" ref="HC243:HC248" si="317">GV243*GW243</f>
        <v>0</v>
      </c>
      <c r="HD243" s="2"/>
      <c r="HE243" s="2" t="s">
        <v>3</v>
      </c>
      <c r="HF243" s="2" t="s">
        <v>3</v>
      </c>
      <c r="HG243" s="2"/>
      <c r="HH243" s="2"/>
      <c r="HI243" s="2"/>
      <c r="HJ243" s="2"/>
      <c r="HK243" s="2"/>
      <c r="HL243" s="2"/>
      <c r="HM243" s="2" t="s">
        <v>3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">
      <c r="A244">
        <v>17</v>
      </c>
      <c r="B244">
        <v>1</v>
      </c>
      <c r="C244">
        <f>ROW(SmtRes!A292)</f>
        <v>292</v>
      </c>
      <c r="D244">
        <f>ROW(EtalonRes!A322)</f>
        <v>322</v>
      </c>
      <c r="E244" t="s">
        <v>349</v>
      </c>
      <c r="F244" t="s">
        <v>350</v>
      </c>
      <c r="G244" t="s">
        <v>351</v>
      </c>
      <c r="H244" t="s">
        <v>352</v>
      </c>
      <c r="I244">
        <f>ROUND(1/10,9)</f>
        <v>0.1</v>
      </c>
      <c r="J244">
        <v>0</v>
      </c>
      <c r="K244">
        <f>ROUND(1/10,9)</f>
        <v>0.1</v>
      </c>
      <c r="O244">
        <f t="shared" si="293"/>
        <v>647.87</v>
      </c>
      <c r="P244">
        <f t="shared" si="294"/>
        <v>114.87</v>
      </c>
      <c r="Q244">
        <f>(ROUND((ROUND(((((ET244*1.25)*1.1))*AV244*I244),2)*BB244),2)+ROUND((ROUND(((AE244-(((EU244*1.25)*1.1)))*AV244*I244),2)*BS244),2))</f>
        <v>5.65</v>
      </c>
      <c r="R244">
        <f>(ROUND((ROUND(((((EU244*1.25)*1.1))*AV244*I244),2)*BS244),2)+ROUND((ROUND(((AE244-(((EU244*1.25)*1.1)))*AV244*I244),2)*BS244),2))</f>
        <v>2.2000000000000002</v>
      </c>
      <c r="S244">
        <f t="shared" si="295"/>
        <v>527.35</v>
      </c>
      <c r="T244">
        <f t="shared" si="296"/>
        <v>0</v>
      </c>
      <c r="U244">
        <f t="shared" si="297"/>
        <v>0.80985300000000005</v>
      </c>
      <c r="V244">
        <f t="shared" si="298"/>
        <v>0</v>
      </c>
      <c r="W244">
        <f t="shared" si="299"/>
        <v>0</v>
      </c>
      <c r="X244">
        <f>(ROUND((((S244+ROUND((ROUND(((((EU244*1.25)*1.1))*AV244*I244),2)*BS244),2))*AT244)/100),2)+ROUND(((ROUND((ROUND(((AE244-(((EU244*1.25)*1.1)))*AV244*I244),2)*BS244),2)*AT244)/100),2))</f>
        <v>577.21</v>
      </c>
      <c r="Y244">
        <f>(ROUND((((S244+ROUND((ROUND(((((EU244*1.25)*1.1))*AV244*I244),2)*BS244),2))*AU244)/100),2)+ROUND(((ROUND((ROUND(((AE244-(((EU244*1.25)*1.1)))*AV244*I244),2)*BS244),2)*AU244)/100),2))</f>
        <v>323.02999999999997</v>
      </c>
      <c r="AA244">
        <v>60255011</v>
      </c>
      <c r="AB244">
        <f t="shared" si="300"/>
        <v>256.71075000000002</v>
      </c>
      <c r="AC244">
        <f t="shared" si="301"/>
        <v>162.68</v>
      </c>
      <c r="AD244">
        <f>ROUND((((((ET244*1.25)*1.1))-(((EU244*1.25)*1.1)))+AE244),6)</f>
        <v>4.1524999999999999</v>
      </c>
      <c r="AE244">
        <f>ROUND((((EU244*1.25)*1.1)),6)</f>
        <v>0.34375</v>
      </c>
      <c r="AF244">
        <f>ROUND((((EV244*1.15)*1.1)),6)</f>
        <v>89.878249999999994</v>
      </c>
      <c r="AG244">
        <f t="shared" si="302"/>
        <v>0</v>
      </c>
      <c r="AH244">
        <f>(((EW244*1.15)*1.1))</f>
        <v>7.59</v>
      </c>
      <c r="AI244">
        <f>(((EX244*1.25)*1.1))</f>
        <v>0</v>
      </c>
      <c r="AJ244">
        <f t="shared" si="303"/>
        <v>0</v>
      </c>
      <c r="AK244">
        <v>236.75</v>
      </c>
      <c r="AL244">
        <v>162.68</v>
      </c>
      <c r="AM244">
        <v>3.02</v>
      </c>
      <c r="AN244">
        <v>0.25</v>
      </c>
      <c r="AO244">
        <v>71.05</v>
      </c>
      <c r="AP244">
        <v>0</v>
      </c>
      <c r="AQ244">
        <v>6</v>
      </c>
      <c r="AR244">
        <v>0</v>
      </c>
      <c r="AS244">
        <v>0</v>
      </c>
      <c r="AT244">
        <v>109</v>
      </c>
      <c r="AU244">
        <v>61</v>
      </c>
      <c r="AV244">
        <v>1.0669999999999999</v>
      </c>
      <c r="AW244">
        <v>1</v>
      </c>
      <c r="AZ244">
        <v>1</v>
      </c>
      <c r="BA244">
        <v>54.99</v>
      </c>
      <c r="BB244">
        <v>12.84</v>
      </c>
      <c r="BC244">
        <v>7.06</v>
      </c>
      <c r="BD244" t="s">
        <v>3</v>
      </c>
      <c r="BE244" t="s">
        <v>3</v>
      </c>
      <c r="BF244" t="s">
        <v>3</v>
      </c>
      <c r="BG244" t="s">
        <v>3</v>
      </c>
      <c r="BH244">
        <v>0</v>
      </c>
      <c r="BI244">
        <v>1</v>
      </c>
      <c r="BJ244" t="s">
        <v>353</v>
      </c>
      <c r="BM244">
        <v>21</v>
      </c>
      <c r="BN244">
        <v>58973374</v>
      </c>
      <c r="BO244" t="s">
        <v>350</v>
      </c>
      <c r="BP244">
        <v>1</v>
      </c>
      <c r="BQ244">
        <v>30</v>
      </c>
      <c r="BR244">
        <v>0</v>
      </c>
      <c r="BS244">
        <v>54.99</v>
      </c>
      <c r="BT244">
        <v>1</v>
      </c>
      <c r="BU244">
        <v>1</v>
      </c>
      <c r="BV244">
        <v>1</v>
      </c>
      <c r="BW244">
        <v>1</v>
      </c>
      <c r="BX244">
        <v>1</v>
      </c>
      <c r="BY244" t="s">
        <v>3</v>
      </c>
      <c r="BZ244">
        <v>109</v>
      </c>
      <c r="CA244">
        <v>61</v>
      </c>
      <c r="CB244" t="s">
        <v>3</v>
      </c>
      <c r="CE244">
        <v>1566</v>
      </c>
      <c r="CF244">
        <v>0</v>
      </c>
      <c r="CG244">
        <v>0</v>
      </c>
      <c r="CM244">
        <v>0</v>
      </c>
      <c r="CN244" t="s">
        <v>628</v>
      </c>
      <c r="CO244">
        <v>0</v>
      </c>
      <c r="CP244">
        <f t="shared" si="304"/>
        <v>647.87</v>
      </c>
      <c r="CQ244">
        <f t="shared" si="305"/>
        <v>1148.52</v>
      </c>
      <c r="CR244">
        <f>(ROUND((ROUND(((((ET244*1.25)*1.1))*AV244*1),2)*BB244),2)+ROUND((ROUND(((AE244-(((EU244*1.25)*1.1)))*AV244*1),2)*BS244),2))</f>
        <v>56.88</v>
      </c>
      <c r="CS244">
        <f>(ROUND((ROUND(((((EU244*1.25)*1.1))*AV244*1),2)*BS244),2)+ROUND((ROUND(((AE244-(((EU244*1.25)*1.1)))*AV244*1),2)*BS244),2))</f>
        <v>20.350000000000001</v>
      </c>
      <c r="CT244">
        <f t="shared" si="306"/>
        <v>5273.54</v>
      </c>
      <c r="CU244">
        <f t="shared" si="307"/>
        <v>0</v>
      </c>
      <c r="CV244">
        <f t="shared" si="308"/>
        <v>8.0985300000000002</v>
      </c>
      <c r="CW244">
        <f t="shared" si="309"/>
        <v>0</v>
      </c>
      <c r="CX244">
        <f t="shared" si="309"/>
        <v>0</v>
      </c>
      <c r="CY244">
        <f>(ROUND((((S244+ROUND((ROUND(((((EU244*1.25)*1.1))*AV244*1),2)*BS244),2))*AT244)/100),2)+ROUND(((ROUND((ROUND(((AE244-(((EU244*1.25)*1.1)))*AV244*1),2)*BS244),2)*AT244)/100),2))</f>
        <v>596.99</v>
      </c>
      <c r="CZ244">
        <f>(ROUND((((S244+ROUND((ROUND(((((EU244*1.25)*1.1))*AV244*1),2)*BS244),2))*AU244)/100),2)+ROUND(((ROUND((ROUND(((AE244-(((EU244*1.25)*1.1)))*AV244*1),2)*BS244),2)*AU244)/100),2))</f>
        <v>334.1</v>
      </c>
      <c r="DB244">
        <v>71</v>
      </c>
      <c r="DC244" t="s">
        <v>3</v>
      </c>
      <c r="DD244" t="s">
        <v>3</v>
      </c>
      <c r="DE244" t="s">
        <v>354</v>
      </c>
      <c r="DF244" t="s">
        <v>354</v>
      </c>
      <c r="DG244" t="s">
        <v>355</v>
      </c>
      <c r="DH244" t="s">
        <v>3</v>
      </c>
      <c r="DI244" t="s">
        <v>355</v>
      </c>
      <c r="DJ244" t="s">
        <v>354</v>
      </c>
      <c r="DK244" t="s">
        <v>3</v>
      </c>
      <c r="DL244" t="s">
        <v>3</v>
      </c>
      <c r="DM244" t="s">
        <v>3</v>
      </c>
      <c r="DN244">
        <v>0</v>
      </c>
      <c r="DO244">
        <v>0</v>
      </c>
      <c r="DP244">
        <v>1</v>
      </c>
      <c r="DQ244">
        <v>1</v>
      </c>
      <c r="DU244">
        <v>1010</v>
      </c>
      <c r="DV244" t="s">
        <v>352</v>
      </c>
      <c r="DW244" t="s">
        <v>352</v>
      </c>
      <c r="DX244">
        <v>10</v>
      </c>
      <c r="DZ244" t="s">
        <v>3</v>
      </c>
      <c r="EA244" t="s">
        <v>3</v>
      </c>
      <c r="EB244" t="s">
        <v>3</v>
      </c>
      <c r="EC244" t="s">
        <v>3</v>
      </c>
      <c r="EE244">
        <v>60088252</v>
      </c>
      <c r="EF244">
        <v>30</v>
      </c>
      <c r="EG244" t="s">
        <v>100</v>
      </c>
      <c r="EH244">
        <v>0</v>
      </c>
      <c r="EI244" t="s">
        <v>3</v>
      </c>
      <c r="EJ244">
        <v>1</v>
      </c>
      <c r="EK244">
        <v>21</v>
      </c>
      <c r="EL244" t="s">
        <v>356</v>
      </c>
      <c r="EM244" t="s">
        <v>357</v>
      </c>
      <c r="EO244" t="s">
        <v>358</v>
      </c>
      <c r="EQ244">
        <v>0</v>
      </c>
      <c r="ER244">
        <v>236.75</v>
      </c>
      <c r="ES244">
        <v>162.68</v>
      </c>
      <c r="ET244">
        <v>3.02</v>
      </c>
      <c r="EU244">
        <v>0.25</v>
      </c>
      <c r="EV244">
        <v>71.05</v>
      </c>
      <c r="EW244">
        <v>6</v>
      </c>
      <c r="EX244">
        <v>0</v>
      </c>
      <c r="EY244">
        <v>0</v>
      </c>
      <c r="FQ244">
        <v>0</v>
      </c>
      <c r="FR244">
        <v>0</v>
      </c>
      <c r="FS244">
        <v>0</v>
      </c>
      <c r="FX244">
        <v>109</v>
      </c>
      <c r="FY244">
        <v>61</v>
      </c>
      <c r="GA244" t="s">
        <v>3</v>
      </c>
      <c r="GD244">
        <v>1</v>
      </c>
      <c r="GF244">
        <v>-808056714</v>
      </c>
      <c r="GG244">
        <v>2</v>
      </c>
      <c r="GH244">
        <v>1</v>
      </c>
      <c r="GI244">
        <v>2</v>
      </c>
      <c r="GJ244">
        <v>0</v>
      </c>
      <c r="GK244">
        <v>0</v>
      </c>
      <c r="GL244">
        <f t="shared" si="310"/>
        <v>0</v>
      </c>
      <c r="GM244">
        <f t="shared" si="311"/>
        <v>1548.11</v>
      </c>
      <c r="GN244">
        <f t="shared" si="312"/>
        <v>1548.11</v>
      </c>
      <c r="GO244">
        <f t="shared" si="313"/>
        <v>0</v>
      </c>
      <c r="GP244">
        <f t="shared" si="314"/>
        <v>0</v>
      </c>
      <c r="GR244">
        <v>0</v>
      </c>
      <c r="GS244">
        <v>3</v>
      </c>
      <c r="GT244">
        <v>0</v>
      </c>
      <c r="GU244" t="s">
        <v>3</v>
      </c>
      <c r="GV244">
        <f t="shared" si="315"/>
        <v>0</v>
      </c>
      <c r="GW244">
        <v>1</v>
      </c>
      <c r="GX244">
        <f t="shared" si="316"/>
        <v>0</v>
      </c>
      <c r="HA244">
        <v>0</v>
      </c>
      <c r="HB244">
        <v>0</v>
      </c>
      <c r="HC244">
        <f t="shared" si="317"/>
        <v>0</v>
      </c>
      <c r="HE244" t="s">
        <v>3</v>
      </c>
      <c r="HF244" t="s">
        <v>3</v>
      </c>
      <c r="HM244" t="s">
        <v>3</v>
      </c>
      <c r="HN244" t="s">
        <v>3</v>
      </c>
      <c r="HO244" t="s">
        <v>3</v>
      </c>
      <c r="HP244" t="s">
        <v>3</v>
      </c>
      <c r="HQ244" t="s">
        <v>3</v>
      </c>
      <c r="HS244">
        <v>0</v>
      </c>
      <c r="IK244">
        <v>0</v>
      </c>
    </row>
    <row r="245" spans="1:255" x14ac:dyDescent="0.2">
      <c r="A245" s="2">
        <v>17</v>
      </c>
      <c r="B245" s="2">
        <v>1</v>
      </c>
      <c r="C245" s="2">
        <f>ROW(SmtRes!A293)</f>
        <v>293</v>
      </c>
      <c r="D245" s="2">
        <f>ROW(EtalonRes!A323)</f>
        <v>323</v>
      </c>
      <c r="E245" s="2" t="s">
        <v>359</v>
      </c>
      <c r="F245" s="2" t="s">
        <v>360</v>
      </c>
      <c r="G245" s="2" t="s">
        <v>361</v>
      </c>
      <c r="H245" s="2" t="s">
        <v>352</v>
      </c>
      <c r="I245" s="2">
        <f>ROUND(1/100,9)</f>
        <v>0.01</v>
      </c>
      <c r="J245" s="2">
        <v>0</v>
      </c>
      <c r="K245" s="2">
        <f>ROUND(1/100,9)</f>
        <v>0.01</v>
      </c>
      <c r="L245" s="2"/>
      <c r="M245" s="2"/>
      <c r="N245" s="2"/>
      <c r="O245" s="2">
        <f t="shared" si="293"/>
        <v>0.14000000000000001</v>
      </c>
      <c r="P245" s="2">
        <f t="shared" si="294"/>
        <v>0</v>
      </c>
      <c r="Q245" s="2">
        <f>(ROUND((ROUND(((((ET245*1.25)*1.1))*AV245*I245),2)*BB245),2)+ROUND((ROUND(((AE245-(((EU245*1.25)*1.1)))*AV245*I245),2)*BS245),2))</f>
        <v>0</v>
      </c>
      <c r="R245" s="2">
        <f>(ROUND((ROUND(((((EU245*1.25)*1.1))*AV245*I245),2)*BS245),2)+ROUND((ROUND(((AE245-(((EU245*1.25)*1.1)))*AV245*I245),2)*BS245),2))</f>
        <v>0</v>
      </c>
      <c r="S245" s="2">
        <f t="shared" si="295"/>
        <v>0.14000000000000001</v>
      </c>
      <c r="T245" s="2">
        <f t="shared" si="296"/>
        <v>0</v>
      </c>
      <c r="U245" s="2">
        <f t="shared" si="297"/>
        <v>1.2147795000000001E-2</v>
      </c>
      <c r="V245" s="2">
        <f t="shared" si="298"/>
        <v>0</v>
      </c>
      <c r="W245" s="2">
        <f t="shared" si="299"/>
        <v>0</v>
      </c>
      <c r="X245" s="2">
        <f>(ROUND((((S245+ROUND((ROUND(((((EU245*1.25)*1.1))*AV245*I245),2)*BS245),2))*AT245)/100),2)+ROUND(((ROUND((ROUND(((AE245-(((EU245*1.25)*1.1)))*AV245*I245),2)*BS245),2)*AT245)/100),2))</f>
        <v>0.15</v>
      </c>
      <c r="Y245" s="2">
        <f>(ROUND((((S245+ROUND((ROUND(((((EU245*1.25)*1.1))*AV245*I245),2)*BS245),2))*AU245)/100),2)+ROUND(((ROUND((ROUND(((AE245-(((EU245*1.25)*1.1)))*AV245*I245),2)*BS245),2)*AU245)/100),2))</f>
        <v>0.09</v>
      </c>
      <c r="Z245" s="2"/>
      <c r="AA245" s="2">
        <v>60255014</v>
      </c>
      <c r="AB245" s="2">
        <f t="shared" si="300"/>
        <v>13.3331</v>
      </c>
      <c r="AC245" s="2">
        <f t="shared" si="301"/>
        <v>0</v>
      </c>
      <c r="AD245" s="2">
        <f>ROUND((((((ET245*1.25)*1.1))-(((EU245*1.25)*1.1)))+AE245),6)</f>
        <v>0</v>
      </c>
      <c r="AE245" s="2">
        <f>ROUND((((EU245*1.25)*1.1)),6)</f>
        <v>0</v>
      </c>
      <c r="AF245" s="2">
        <f>ROUND((((EV245*1.15)*1.1)),6)</f>
        <v>13.3331</v>
      </c>
      <c r="AG245" s="2">
        <f t="shared" si="302"/>
        <v>0</v>
      </c>
      <c r="AH245" s="2">
        <f>(((EW245*1.15)*1.1))</f>
        <v>1.1385000000000001</v>
      </c>
      <c r="AI245" s="2">
        <f>(((EX245*1.25)*1.1))</f>
        <v>0</v>
      </c>
      <c r="AJ245" s="2">
        <f t="shared" si="303"/>
        <v>0</v>
      </c>
      <c r="AK245" s="2">
        <v>10.54</v>
      </c>
      <c r="AL245" s="2">
        <v>0</v>
      </c>
      <c r="AM245" s="2">
        <v>0</v>
      </c>
      <c r="AN245" s="2">
        <v>0</v>
      </c>
      <c r="AO245" s="2">
        <v>10.54</v>
      </c>
      <c r="AP245" s="2">
        <v>0</v>
      </c>
      <c r="AQ245" s="2">
        <v>0.9</v>
      </c>
      <c r="AR245" s="2">
        <v>0</v>
      </c>
      <c r="AS245" s="2">
        <v>0</v>
      </c>
      <c r="AT245" s="2">
        <v>109</v>
      </c>
      <c r="AU245" s="2">
        <v>61</v>
      </c>
      <c r="AV245" s="2">
        <v>1.0669999999999999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0</v>
      </c>
      <c r="BI245" s="2">
        <v>1</v>
      </c>
      <c r="BJ245" s="2" t="s">
        <v>362</v>
      </c>
      <c r="BK245" s="2"/>
      <c r="BL245" s="2"/>
      <c r="BM245" s="2">
        <v>21</v>
      </c>
      <c r="BN245" s="2">
        <v>58973374</v>
      </c>
      <c r="BO245" s="2" t="s">
        <v>360</v>
      </c>
      <c r="BP245" s="2">
        <v>1</v>
      </c>
      <c r="BQ245" s="2">
        <v>30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109</v>
      </c>
      <c r="CA245" s="2">
        <v>61</v>
      </c>
      <c r="CB245" s="2" t="s">
        <v>3</v>
      </c>
      <c r="CC245" s="2"/>
      <c r="CD245" s="2"/>
      <c r="CE245" s="2">
        <v>1566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625</v>
      </c>
      <c r="CO245" s="2">
        <v>0</v>
      </c>
      <c r="CP245" s="2">
        <f t="shared" si="304"/>
        <v>0.14000000000000001</v>
      </c>
      <c r="CQ245" s="2">
        <f t="shared" si="305"/>
        <v>0</v>
      </c>
      <c r="CR245" s="2">
        <f>(ROUND((ROUND(((((ET245*1.25)*1.1))*AV245*1),2)*BB245),2)+ROUND((ROUND(((AE245-(((EU245*1.25)*1.1)))*AV245*1),2)*BS245),2))</f>
        <v>0</v>
      </c>
      <c r="CS245" s="2">
        <f>(ROUND((ROUND(((((EU245*1.25)*1.1))*AV245*1),2)*BS245),2)+ROUND((ROUND(((AE245-(((EU245*1.25)*1.1)))*AV245*1),2)*BS245),2))</f>
        <v>0</v>
      </c>
      <c r="CT245" s="2">
        <f t="shared" si="306"/>
        <v>14.23</v>
      </c>
      <c r="CU245" s="2">
        <f t="shared" si="307"/>
        <v>0</v>
      </c>
      <c r="CV245" s="2">
        <f t="shared" si="308"/>
        <v>1.2147795000000001</v>
      </c>
      <c r="CW245" s="2">
        <f t="shared" si="309"/>
        <v>0</v>
      </c>
      <c r="CX245" s="2">
        <f t="shared" si="309"/>
        <v>0</v>
      </c>
      <c r="CY245" s="2">
        <f>(ROUND((((S245+ROUND((ROUND(((((EU245*1.25)*1.1))*AV245*1),2)*BS245),2))*AT245)/100),2)+ROUND(((ROUND((ROUND(((AE245-(((EU245*1.25)*1.1)))*AV245*1),2)*BS245),2)*AT245)/100),2))</f>
        <v>0.15</v>
      </c>
      <c r="CZ245" s="2">
        <f>(ROUND((((S245+ROUND((ROUND(((((EU245*1.25)*1.1))*AV245*1),2)*BS245),2))*AU245)/100),2)+ROUND(((ROUND((ROUND(((AE245-(((EU245*1.25)*1.1)))*AV245*1),2)*BS245),2)*AU245)/100),2))</f>
        <v>0.09</v>
      </c>
      <c r="DA245" s="2"/>
      <c r="DB245" s="2">
        <v>73</v>
      </c>
      <c r="DC245" s="2" t="s">
        <v>3</v>
      </c>
      <c r="DD245" s="2" t="s">
        <v>3</v>
      </c>
      <c r="DE245" s="2" t="s">
        <v>98</v>
      </c>
      <c r="DF245" s="2" t="s">
        <v>98</v>
      </c>
      <c r="DG245" s="2" t="s">
        <v>99</v>
      </c>
      <c r="DH245" s="2" t="s">
        <v>3</v>
      </c>
      <c r="DI245" s="2" t="s">
        <v>99</v>
      </c>
      <c r="DJ245" s="2" t="s">
        <v>98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1010</v>
      </c>
      <c r="DV245" s="2" t="s">
        <v>352</v>
      </c>
      <c r="DW245" s="2" t="s">
        <v>352</v>
      </c>
      <c r="DX245" s="2">
        <v>10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60088252</v>
      </c>
      <c r="EF245" s="2">
        <v>30</v>
      </c>
      <c r="EG245" s="2" t="s">
        <v>100</v>
      </c>
      <c r="EH245" s="2">
        <v>0</v>
      </c>
      <c r="EI245" s="2" t="s">
        <v>3</v>
      </c>
      <c r="EJ245" s="2">
        <v>1</v>
      </c>
      <c r="EK245" s="2">
        <v>21</v>
      </c>
      <c r="EL245" s="2" t="s">
        <v>356</v>
      </c>
      <c r="EM245" s="2" t="s">
        <v>357</v>
      </c>
      <c r="EN245" s="2"/>
      <c r="EO245" s="2" t="s">
        <v>103</v>
      </c>
      <c r="EP245" s="2"/>
      <c r="EQ245" s="2">
        <v>0</v>
      </c>
      <c r="ER245" s="2">
        <v>10.54</v>
      </c>
      <c r="ES245" s="2">
        <v>0</v>
      </c>
      <c r="ET245" s="2">
        <v>0</v>
      </c>
      <c r="EU245" s="2">
        <v>0</v>
      </c>
      <c r="EV245" s="2">
        <v>10.54</v>
      </c>
      <c r="EW245" s="2">
        <v>0.9</v>
      </c>
      <c r="EX245" s="2">
        <v>0</v>
      </c>
      <c r="EY245" s="2">
        <v>0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v>0</v>
      </c>
      <c r="FS245" s="2">
        <v>0</v>
      </c>
      <c r="FT245" s="2"/>
      <c r="FU245" s="2"/>
      <c r="FV245" s="2"/>
      <c r="FW245" s="2"/>
      <c r="FX245" s="2">
        <v>109</v>
      </c>
      <c r="FY245" s="2">
        <v>61</v>
      </c>
      <c r="FZ245" s="2"/>
      <c r="GA245" s="2" t="s">
        <v>3</v>
      </c>
      <c r="GB245" s="2"/>
      <c r="GC245" s="2"/>
      <c r="GD245" s="2">
        <v>1</v>
      </c>
      <c r="GE245" s="2"/>
      <c r="GF245" s="2">
        <v>1111193515</v>
      </c>
      <c r="GG245" s="2">
        <v>2</v>
      </c>
      <c r="GH245" s="2">
        <v>1</v>
      </c>
      <c r="GI245" s="2">
        <v>2</v>
      </c>
      <c r="GJ245" s="2">
        <v>0</v>
      </c>
      <c r="GK245" s="2">
        <v>0</v>
      </c>
      <c r="GL245" s="2">
        <f t="shared" si="310"/>
        <v>0</v>
      </c>
      <c r="GM245" s="2">
        <f t="shared" si="311"/>
        <v>0.38</v>
      </c>
      <c r="GN245" s="2">
        <f t="shared" si="312"/>
        <v>0.38</v>
      </c>
      <c r="GO245" s="2">
        <f t="shared" si="313"/>
        <v>0</v>
      </c>
      <c r="GP245" s="2">
        <f t="shared" si="314"/>
        <v>0</v>
      </c>
      <c r="GQ245" s="2"/>
      <c r="GR245" s="2">
        <v>0</v>
      </c>
      <c r="GS245" s="2">
        <v>3</v>
      </c>
      <c r="GT245" s="2">
        <v>0</v>
      </c>
      <c r="GU245" s="2" t="s">
        <v>3</v>
      </c>
      <c r="GV245" s="2">
        <f t="shared" si="315"/>
        <v>0</v>
      </c>
      <c r="GW245" s="2">
        <v>1</v>
      </c>
      <c r="GX245" s="2">
        <f t="shared" si="316"/>
        <v>0</v>
      </c>
      <c r="GY245" s="2"/>
      <c r="GZ245" s="2"/>
      <c r="HA245" s="2">
        <v>0</v>
      </c>
      <c r="HB245" s="2">
        <v>0</v>
      </c>
      <c r="HC245" s="2">
        <f t="shared" si="317"/>
        <v>0</v>
      </c>
      <c r="HD245" s="2"/>
      <c r="HE245" s="2" t="s">
        <v>3</v>
      </c>
      <c r="HF245" s="2" t="s">
        <v>3</v>
      </c>
      <c r="HG245" s="2"/>
      <c r="HH245" s="2"/>
      <c r="HI245" s="2"/>
      <c r="HJ245" s="2"/>
      <c r="HK245" s="2"/>
      <c r="HL245" s="2"/>
      <c r="HM245" s="2" t="s">
        <v>3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">
      <c r="A246">
        <v>17</v>
      </c>
      <c r="B246">
        <v>1</v>
      </c>
      <c r="C246">
        <f>ROW(SmtRes!A294)</f>
        <v>294</v>
      </c>
      <c r="D246">
        <f>ROW(EtalonRes!A324)</f>
        <v>324</v>
      </c>
      <c r="E246" t="s">
        <v>359</v>
      </c>
      <c r="F246" t="s">
        <v>360</v>
      </c>
      <c r="G246" t="s">
        <v>361</v>
      </c>
      <c r="H246" t="s">
        <v>352</v>
      </c>
      <c r="I246">
        <f>ROUND(1/100,9)</f>
        <v>0.01</v>
      </c>
      <c r="J246">
        <v>0</v>
      </c>
      <c r="K246">
        <f>ROUND(1/100,9)</f>
        <v>0.01</v>
      </c>
      <c r="O246">
        <f t="shared" si="293"/>
        <v>7.7</v>
      </c>
      <c r="P246">
        <f t="shared" si="294"/>
        <v>0</v>
      </c>
      <c r="Q246">
        <f>(ROUND((ROUND(((((ET246*1.25)*1.1))*AV246*I246),2)*BB246),2)+ROUND((ROUND(((AE246-(((EU246*1.25)*1.1)))*AV246*I246),2)*BS246),2))</f>
        <v>0</v>
      </c>
      <c r="R246">
        <f>(ROUND((ROUND(((((EU246*1.25)*1.1))*AV246*I246),2)*BS246),2)+ROUND((ROUND(((AE246-(((EU246*1.25)*1.1)))*AV246*I246),2)*BS246),2))</f>
        <v>0</v>
      </c>
      <c r="S246">
        <f t="shared" si="295"/>
        <v>7.7</v>
      </c>
      <c r="T246">
        <f t="shared" si="296"/>
        <v>0</v>
      </c>
      <c r="U246">
        <f t="shared" si="297"/>
        <v>1.2147795000000001E-2</v>
      </c>
      <c r="V246">
        <f t="shared" si="298"/>
        <v>0</v>
      </c>
      <c r="W246">
        <f t="shared" si="299"/>
        <v>0</v>
      </c>
      <c r="X246">
        <f>(ROUND((((S246+ROUND((ROUND(((((EU246*1.25)*1.1))*AV246*I246),2)*BS246),2))*AT246)/100),2)+ROUND(((ROUND((ROUND(((AE246-(((EU246*1.25)*1.1)))*AV246*I246),2)*BS246),2)*AT246)/100),2))</f>
        <v>8.39</v>
      </c>
      <c r="Y246">
        <f>(ROUND((((S246+ROUND((ROUND(((((EU246*1.25)*1.1))*AV246*I246),2)*BS246),2))*AU246)/100),2)+ROUND(((ROUND((ROUND(((AE246-(((EU246*1.25)*1.1)))*AV246*I246),2)*BS246),2)*AU246)/100),2))</f>
        <v>4.7</v>
      </c>
      <c r="AA246">
        <v>60255011</v>
      </c>
      <c r="AB246">
        <f t="shared" si="300"/>
        <v>13.3331</v>
      </c>
      <c r="AC246">
        <f t="shared" si="301"/>
        <v>0</v>
      </c>
      <c r="AD246">
        <f>ROUND((((((ET246*1.25)*1.1))-(((EU246*1.25)*1.1)))+AE246),6)</f>
        <v>0</v>
      </c>
      <c r="AE246">
        <f>ROUND((((EU246*1.25)*1.1)),6)</f>
        <v>0</v>
      </c>
      <c r="AF246">
        <f>ROUND((((EV246*1.15)*1.1)),6)</f>
        <v>13.3331</v>
      </c>
      <c r="AG246">
        <f t="shared" si="302"/>
        <v>0</v>
      </c>
      <c r="AH246">
        <f>(((EW246*1.15)*1.1))</f>
        <v>1.1385000000000001</v>
      </c>
      <c r="AI246">
        <f>(((EX246*1.25)*1.1))</f>
        <v>0</v>
      </c>
      <c r="AJ246">
        <f t="shared" si="303"/>
        <v>0</v>
      </c>
      <c r="AK246">
        <v>10.54</v>
      </c>
      <c r="AL246">
        <v>0</v>
      </c>
      <c r="AM246">
        <v>0</v>
      </c>
      <c r="AN246">
        <v>0</v>
      </c>
      <c r="AO246">
        <v>10.54</v>
      </c>
      <c r="AP246">
        <v>0</v>
      </c>
      <c r="AQ246">
        <v>0.9</v>
      </c>
      <c r="AR246">
        <v>0</v>
      </c>
      <c r="AS246">
        <v>0</v>
      </c>
      <c r="AT246">
        <v>109</v>
      </c>
      <c r="AU246">
        <v>61</v>
      </c>
      <c r="AV246">
        <v>1.0669999999999999</v>
      </c>
      <c r="AW246">
        <v>1</v>
      </c>
      <c r="AZ246">
        <v>1</v>
      </c>
      <c r="BA246">
        <v>54.99</v>
      </c>
      <c r="BB246">
        <v>1</v>
      </c>
      <c r="BC246">
        <v>1</v>
      </c>
      <c r="BD246" t="s">
        <v>3</v>
      </c>
      <c r="BE246" t="s">
        <v>3</v>
      </c>
      <c r="BF246" t="s">
        <v>3</v>
      </c>
      <c r="BG246" t="s">
        <v>3</v>
      </c>
      <c r="BH246">
        <v>0</v>
      </c>
      <c r="BI246">
        <v>1</v>
      </c>
      <c r="BJ246" t="s">
        <v>362</v>
      </c>
      <c r="BM246">
        <v>21</v>
      </c>
      <c r="BN246">
        <v>58973374</v>
      </c>
      <c r="BO246" t="s">
        <v>360</v>
      </c>
      <c r="BP246">
        <v>1</v>
      </c>
      <c r="BQ246">
        <v>30</v>
      </c>
      <c r="BR246">
        <v>0</v>
      </c>
      <c r="BS246">
        <v>54.99</v>
      </c>
      <c r="BT246">
        <v>1</v>
      </c>
      <c r="BU246">
        <v>1</v>
      </c>
      <c r="BV246">
        <v>1</v>
      </c>
      <c r="BW246">
        <v>1</v>
      </c>
      <c r="BX246">
        <v>1</v>
      </c>
      <c r="BY246" t="s">
        <v>3</v>
      </c>
      <c r="BZ246">
        <v>109</v>
      </c>
      <c r="CA246">
        <v>61</v>
      </c>
      <c r="CB246" t="s">
        <v>3</v>
      </c>
      <c r="CE246">
        <v>1566</v>
      </c>
      <c r="CF246">
        <v>0</v>
      </c>
      <c r="CG246">
        <v>0</v>
      </c>
      <c r="CM246">
        <v>0</v>
      </c>
      <c r="CN246" t="s">
        <v>625</v>
      </c>
      <c r="CO246">
        <v>0</v>
      </c>
      <c r="CP246">
        <f t="shared" si="304"/>
        <v>7.7</v>
      </c>
      <c r="CQ246">
        <f t="shared" si="305"/>
        <v>0</v>
      </c>
      <c r="CR246">
        <f>(ROUND((ROUND(((((ET246*1.25)*1.1))*AV246*1),2)*BB246),2)+ROUND((ROUND(((AE246-(((EU246*1.25)*1.1)))*AV246*1),2)*BS246),2))</f>
        <v>0</v>
      </c>
      <c r="CS246">
        <f>(ROUND((ROUND(((((EU246*1.25)*1.1))*AV246*1),2)*BS246),2)+ROUND((ROUND(((AE246-(((EU246*1.25)*1.1)))*AV246*1),2)*BS246),2))</f>
        <v>0</v>
      </c>
      <c r="CT246">
        <f t="shared" si="306"/>
        <v>782.51</v>
      </c>
      <c r="CU246">
        <f t="shared" si="307"/>
        <v>0</v>
      </c>
      <c r="CV246">
        <f t="shared" si="308"/>
        <v>1.2147795000000001</v>
      </c>
      <c r="CW246">
        <f t="shared" si="309"/>
        <v>0</v>
      </c>
      <c r="CX246">
        <f t="shared" si="309"/>
        <v>0</v>
      </c>
      <c r="CY246">
        <f>(ROUND((((S246+ROUND((ROUND(((((EU246*1.25)*1.1))*AV246*1),2)*BS246),2))*AT246)/100),2)+ROUND(((ROUND((ROUND(((AE246-(((EU246*1.25)*1.1)))*AV246*1),2)*BS246),2)*AT246)/100),2))</f>
        <v>8.39</v>
      </c>
      <c r="CZ246">
        <f>(ROUND((((S246+ROUND((ROUND(((((EU246*1.25)*1.1))*AV246*1),2)*BS246),2))*AU246)/100),2)+ROUND(((ROUND((ROUND(((AE246-(((EU246*1.25)*1.1)))*AV246*1),2)*BS246),2)*AU246)/100),2))</f>
        <v>4.7</v>
      </c>
      <c r="DB246">
        <v>75</v>
      </c>
      <c r="DC246" t="s">
        <v>3</v>
      </c>
      <c r="DD246" t="s">
        <v>3</v>
      </c>
      <c r="DE246" t="s">
        <v>98</v>
      </c>
      <c r="DF246" t="s">
        <v>98</v>
      </c>
      <c r="DG246" t="s">
        <v>99</v>
      </c>
      <c r="DH246" t="s">
        <v>3</v>
      </c>
      <c r="DI246" t="s">
        <v>99</v>
      </c>
      <c r="DJ246" t="s">
        <v>98</v>
      </c>
      <c r="DK246" t="s">
        <v>3</v>
      </c>
      <c r="DL246" t="s">
        <v>3</v>
      </c>
      <c r="DM246" t="s">
        <v>3</v>
      </c>
      <c r="DN246">
        <v>0</v>
      </c>
      <c r="DO246">
        <v>0</v>
      </c>
      <c r="DP246">
        <v>1</v>
      </c>
      <c r="DQ246">
        <v>1</v>
      </c>
      <c r="DU246">
        <v>1010</v>
      </c>
      <c r="DV246" t="s">
        <v>352</v>
      </c>
      <c r="DW246" t="s">
        <v>352</v>
      </c>
      <c r="DX246">
        <v>10</v>
      </c>
      <c r="DZ246" t="s">
        <v>3</v>
      </c>
      <c r="EA246" t="s">
        <v>3</v>
      </c>
      <c r="EB246" t="s">
        <v>3</v>
      </c>
      <c r="EC246" t="s">
        <v>3</v>
      </c>
      <c r="EE246">
        <v>60088252</v>
      </c>
      <c r="EF246">
        <v>30</v>
      </c>
      <c r="EG246" t="s">
        <v>100</v>
      </c>
      <c r="EH246">
        <v>0</v>
      </c>
      <c r="EI246" t="s">
        <v>3</v>
      </c>
      <c r="EJ246">
        <v>1</v>
      </c>
      <c r="EK246">
        <v>21</v>
      </c>
      <c r="EL246" t="s">
        <v>356</v>
      </c>
      <c r="EM246" t="s">
        <v>357</v>
      </c>
      <c r="EO246" t="s">
        <v>103</v>
      </c>
      <c r="EQ246">
        <v>0</v>
      </c>
      <c r="ER246">
        <v>10.54</v>
      </c>
      <c r="ES246">
        <v>0</v>
      </c>
      <c r="ET246">
        <v>0</v>
      </c>
      <c r="EU246">
        <v>0</v>
      </c>
      <c r="EV246">
        <v>10.54</v>
      </c>
      <c r="EW246">
        <v>0.9</v>
      </c>
      <c r="EX246">
        <v>0</v>
      </c>
      <c r="EY246">
        <v>0</v>
      </c>
      <c r="FQ246">
        <v>0</v>
      </c>
      <c r="FR246">
        <v>0</v>
      </c>
      <c r="FS246">
        <v>0</v>
      </c>
      <c r="FX246">
        <v>109</v>
      </c>
      <c r="FY246">
        <v>61</v>
      </c>
      <c r="GA246" t="s">
        <v>3</v>
      </c>
      <c r="GD246">
        <v>1</v>
      </c>
      <c r="GF246">
        <v>1111193515</v>
      </c>
      <c r="GG246">
        <v>2</v>
      </c>
      <c r="GH246">
        <v>1</v>
      </c>
      <c r="GI246">
        <v>2</v>
      </c>
      <c r="GJ246">
        <v>0</v>
      </c>
      <c r="GK246">
        <v>0</v>
      </c>
      <c r="GL246">
        <f t="shared" si="310"/>
        <v>0</v>
      </c>
      <c r="GM246">
        <f t="shared" si="311"/>
        <v>20.79</v>
      </c>
      <c r="GN246">
        <f t="shared" si="312"/>
        <v>20.79</v>
      </c>
      <c r="GO246">
        <f t="shared" si="313"/>
        <v>0</v>
      </c>
      <c r="GP246">
        <f t="shared" si="314"/>
        <v>0</v>
      </c>
      <c r="GR246">
        <v>0</v>
      </c>
      <c r="GS246">
        <v>3</v>
      </c>
      <c r="GT246">
        <v>0</v>
      </c>
      <c r="GU246" t="s">
        <v>3</v>
      </c>
      <c r="GV246">
        <f t="shared" si="315"/>
        <v>0</v>
      </c>
      <c r="GW246">
        <v>1</v>
      </c>
      <c r="GX246">
        <f t="shared" si="316"/>
        <v>0</v>
      </c>
      <c r="HA246">
        <v>0</v>
      </c>
      <c r="HB246">
        <v>0</v>
      </c>
      <c r="HC246">
        <f t="shared" si="317"/>
        <v>0</v>
      </c>
      <c r="HE246" t="s">
        <v>3</v>
      </c>
      <c r="HF246" t="s">
        <v>3</v>
      </c>
      <c r="HM246" t="s">
        <v>3</v>
      </c>
      <c r="HN246" t="s">
        <v>3</v>
      </c>
      <c r="HO246" t="s">
        <v>3</v>
      </c>
      <c r="HP246" t="s">
        <v>3</v>
      </c>
      <c r="HQ246" t="s">
        <v>3</v>
      </c>
      <c r="HS246">
        <v>0</v>
      </c>
      <c r="IK246">
        <v>0</v>
      </c>
    </row>
    <row r="247" spans="1:255" x14ac:dyDescent="0.2">
      <c r="A247" s="2">
        <v>17</v>
      </c>
      <c r="B247" s="2">
        <v>1</v>
      </c>
      <c r="C247" s="2"/>
      <c r="D247" s="2"/>
      <c r="E247" s="2" t="s">
        <v>363</v>
      </c>
      <c r="F247" s="2" t="s">
        <v>364</v>
      </c>
      <c r="G247" s="2" t="s">
        <v>365</v>
      </c>
      <c r="H247" s="2" t="s">
        <v>107</v>
      </c>
      <c r="I247" s="2">
        <v>1</v>
      </c>
      <c r="J247" s="2">
        <v>0</v>
      </c>
      <c r="K247" s="2">
        <v>1</v>
      </c>
      <c r="L247" s="2"/>
      <c r="M247" s="2"/>
      <c r="N247" s="2"/>
      <c r="O247" s="2">
        <f t="shared" si="293"/>
        <v>1245.9100000000001</v>
      </c>
      <c r="P247" s="2">
        <f t="shared" si="294"/>
        <v>1245.9100000000001</v>
      </c>
      <c r="Q247" s="2">
        <f>(ROUND((ROUND(((ET247)*AV247*I247),2)*BB247),2)+ROUND((ROUND(((AE247-(EU247))*AV247*I247),2)*BS247),2))</f>
        <v>0</v>
      </c>
      <c r="R247" s="2">
        <f>(ROUND((ROUND(((EU247)*AV247*I247),2)*BS247),2)+ROUND((ROUND(((AE247-(EU247))*AV247*I247),2)*BS247),2))</f>
        <v>0</v>
      </c>
      <c r="S247" s="2">
        <f t="shared" si="295"/>
        <v>0</v>
      </c>
      <c r="T247" s="2">
        <f t="shared" si="296"/>
        <v>0</v>
      </c>
      <c r="U247" s="2">
        <f t="shared" si="297"/>
        <v>0</v>
      </c>
      <c r="V247" s="2">
        <f t="shared" si="298"/>
        <v>0</v>
      </c>
      <c r="W247" s="2">
        <f t="shared" si="299"/>
        <v>0</v>
      </c>
      <c r="X247" s="2">
        <f>(ROUND((((S247+ROUND((ROUND(((EU247)*AV247*I247),2)*BS247),2))*AT247)/100),2)+ROUND(((ROUND((ROUND(((AE247-(EU247))*AV247*I247),2)*BS247),2)*AT247)/100),2))</f>
        <v>0</v>
      </c>
      <c r="Y247" s="2">
        <f>(ROUND((((S247+ROUND((ROUND(((EU247)*AV247*I247),2)*BS247),2))*AU247)/100),2)+ROUND(((ROUND((ROUND(((AE247-(EU247))*AV247*I247),2)*BS247),2)*AU247)/100),2))</f>
        <v>0</v>
      </c>
      <c r="Z247" s="2"/>
      <c r="AA247" s="2">
        <v>60255014</v>
      </c>
      <c r="AB247" s="2">
        <f t="shared" si="300"/>
        <v>1245.9100000000001</v>
      </c>
      <c r="AC247" s="2">
        <f t="shared" si="301"/>
        <v>1245.9100000000001</v>
      </c>
      <c r="AD247" s="2">
        <f>ROUND((((ET247)-(EU247))+AE247),6)</f>
        <v>0</v>
      </c>
      <c r="AE247" s="2">
        <f>ROUND((EU247),6)</f>
        <v>0</v>
      </c>
      <c r="AF247" s="2">
        <f>ROUND((EV247),6)</f>
        <v>0</v>
      </c>
      <c r="AG247" s="2">
        <f t="shared" si="302"/>
        <v>0</v>
      </c>
      <c r="AH247" s="2">
        <f>(EW247)</f>
        <v>0</v>
      </c>
      <c r="AI247" s="2">
        <f>(EX247)</f>
        <v>0</v>
      </c>
      <c r="AJ247" s="2">
        <f t="shared" si="303"/>
        <v>0</v>
      </c>
      <c r="AK247" s="2">
        <v>1245.9100000000001</v>
      </c>
      <c r="AL247" s="2">
        <v>1245.9100000000001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1</v>
      </c>
      <c r="AW247" s="2">
        <v>1</v>
      </c>
      <c r="AX247" s="2"/>
      <c r="AY247" s="2"/>
      <c r="AZ247" s="2">
        <v>1</v>
      </c>
      <c r="BA247" s="2">
        <v>1</v>
      </c>
      <c r="BB247" s="2">
        <v>1</v>
      </c>
      <c r="BC247" s="2">
        <v>1</v>
      </c>
      <c r="BD247" s="2" t="s">
        <v>3</v>
      </c>
      <c r="BE247" s="2" t="s">
        <v>3</v>
      </c>
      <c r="BF247" s="2" t="s">
        <v>3</v>
      </c>
      <c r="BG247" s="2" t="s">
        <v>3</v>
      </c>
      <c r="BH247" s="2">
        <v>3</v>
      </c>
      <c r="BI247" s="2">
        <v>1</v>
      </c>
      <c r="BJ247" s="2" t="s">
        <v>3</v>
      </c>
      <c r="BK247" s="2"/>
      <c r="BL247" s="2"/>
      <c r="BM247" s="2">
        <v>400002</v>
      </c>
      <c r="BN247" s="2">
        <v>0</v>
      </c>
      <c r="BO247" s="2" t="s">
        <v>3</v>
      </c>
      <c r="BP247" s="2">
        <v>0</v>
      </c>
      <c r="BQ247" s="2">
        <v>202</v>
      </c>
      <c r="BR247" s="2">
        <v>0</v>
      </c>
      <c r="BS247" s="2">
        <v>1</v>
      </c>
      <c r="BT247" s="2">
        <v>1</v>
      </c>
      <c r="BU247" s="2">
        <v>1</v>
      </c>
      <c r="BV247" s="2">
        <v>1</v>
      </c>
      <c r="BW247" s="2">
        <v>1</v>
      </c>
      <c r="BX247" s="2">
        <v>1</v>
      </c>
      <c r="BY247" s="2" t="s">
        <v>3</v>
      </c>
      <c r="BZ247" s="2">
        <v>0</v>
      </c>
      <c r="CA247" s="2">
        <v>0</v>
      </c>
      <c r="CB247" s="2" t="s">
        <v>3</v>
      </c>
      <c r="CC247" s="2"/>
      <c r="CD247" s="2"/>
      <c r="CE247" s="2">
        <v>1566</v>
      </c>
      <c r="CF247" s="2">
        <v>0</v>
      </c>
      <c r="CG247" s="2">
        <v>0</v>
      </c>
      <c r="CH247" s="2"/>
      <c r="CI247" s="2"/>
      <c r="CJ247" s="2"/>
      <c r="CK247" s="2"/>
      <c r="CL247" s="2"/>
      <c r="CM247" s="2">
        <v>0</v>
      </c>
      <c r="CN247" s="2" t="s">
        <v>3</v>
      </c>
      <c r="CO247" s="2">
        <v>0</v>
      </c>
      <c r="CP247" s="2">
        <f t="shared" si="304"/>
        <v>1245.9100000000001</v>
      </c>
      <c r="CQ247" s="2">
        <f t="shared" si="305"/>
        <v>1245.9100000000001</v>
      </c>
      <c r="CR247" s="2">
        <f>(ROUND((ROUND(((ET247)*AV247*1),2)*BB247),2)+ROUND((ROUND(((AE247-(EU247))*AV247*1),2)*BS247),2))</f>
        <v>0</v>
      </c>
      <c r="CS247" s="2">
        <f>(ROUND((ROUND(((EU247)*AV247*1),2)*BS247),2)+ROUND((ROUND(((AE247-(EU247))*AV247*1),2)*BS247),2))</f>
        <v>0</v>
      </c>
      <c r="CT247" s="2">
        <f t="shared" si="306"/>
        <v>0</v>
      </c>
      <c r="CU247" s="2">
        <f t="shared" si="307"/>
        <v>0</v>
      </c>
      <c r="CV247" s="2">
        <f t="shared" si="308"/>
        <v>0</v>
      </c>
      <c r="CW247" s="2">
        <f t="shared" si="309"/>
        <v>0</v>
      </c>
      <c r="CX247" s="2">
        <f t="shared" si="309"/>
        <v>0</v>
      </c>
      <c r="CY247" s="2">
        <f>(ROUND((((S247+ROUND((ROUND(((EU247)*AV247*1),2)*BS247),2))*AT247)/100),2)+ROUND(((ROUND((ROUND(((AE247-(EU247))*AV247*1),2)*BS247),2)*AT247)/100),2))</f>
        <v>0</v>
      </c>
      <c r="CZ247" s="2">
        <f>(ROUND((((S247+ROUND((ROUND(((EU247)*AV247*1),2)*BS247),2))*AU247)/100),2)+ROUND(((ROUND((ROUND(((AE247-(EU247))*AV247*1),2)*BS247),2)*AU247)/100),2))</f>
        <v>0</v>
      </c>
      <c r="DA247" s="2"/>
      <c r="DB247" s="2"/>
      <c r="DC247" s="2" t="s">
        <v>3</v>
      </c>
      <c r="DD247" s="2" t="s">
        <v>3</v>
      </c>
      <c r="DE247" s="2" t="s">
        <v>3</v>
      </c>
      <c r="DF247" s="2" t="s">
        <v>3</v>
      </c>
      <c r="DG247" s="2" t="s">
        <v>3</v>
      </c>
      <c r="DH247" s="2" t="s">
        <v>3</v>
      </c>
      <c r="DI247" s="2" t="s">
        <v>3</v>
      </c>
      <c r="DJ247" s="2" t="s">
        <v>3</v>
      </c>
      <c r="DK247" s="2" t="s">
        <v>3</v>
      </c>
      <c r="DL247" s="2" t="s">
        <v>3</v>
      </c>
      <c r="DM247" s="2" t="s">
        <v>3</v>
      </c>
      <c r="DN247" s="2">
        <v>0</v>
      </c>
      <c r="DO247" s="2">
        <v>0</v>
      </c>
      <c r="DP247" s="2">
        <v>1</v>
      </c>
      <c r="DQ247" s="2">
        <v>1</v>
      </c>
      <c r="DR247" s="2"/>
      <c r="DS247" s="2"/>
      <c r="DT247" s="2"/>
      <c r="DU247" s="2">
        <v>1013</v>
      </c>
      <c r="DV247" s="2" t="s">
        <v>107</v>
      </c>
      <c r="DW247" s="2" t="s">
        <v>107</v>
      </c>
      <c r="DX247" s="2">
        <v>1</v>
      </c>
      <c r="DY247" s="2"/>
      <c r="DZ247" s="2" t="s">
        <v>3</v>
      </c>
      <c r="EA247" s="2" t="s">
        <v>3</v>
      </c>
      <c r="EB247" s="2" t="s">
        <v>3</v>
      </c>
      <c r="EC247" s="2" t="s">
        <v>3</v>
      </c>
      <c r="ED247" s="2"/>
      <c r="EE247" s="2">
        <v>60088211</v>
      </c>
      <c r="EF247" s="2">
        <v>202</v>
      </c>
      <c r="EG247" s="2" t="s">
        <v>108</v>
      </c>
      <c r="EH247" s="2">
        <v>0</v>
      </c>
      <c r="EI247" s="2" t="s">
        <v>3</v>
      </c>
      <c r="EJ247" s="2">
        <v>1</v>
      </c>
      <c r="EK247" s="2">
        <v>400002</v>
      </c>
      <c r="EL247" s="2" t="s">
        <v>109</v>
      </c>
      <c r="EM247" s="2" t="s">
        <v>108</v>
      </c>
      <c r="EN247" s="2"/>
      <c r="EO247" s="2" t="s">
        <v>3</v>
      </c>
      <c r="EP247" s="2"/>
      <c r="EQ247" s="2">
        <v>0</v>
      </c>
      <c r="ER247" s="2">
        <v>0</v>
      </c>
      <c r="ES247" s="2">
        <v>1245.9100000000001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>
        <v>0</v>
      </c>
      <c r="FR247" s="2">
        <v>0</v>
      </c>
      <c r="FS247" s="2">
        <v>0</v>
      </c>
      <c r="FT247" s="2"/>
      <c r="FU247" s="2"/>
      <c r="FV247" s="2"/>
      <c r="FW247" s="2"/>
      <c r="FX247" s="2">
        <v>0</v>
      </c>
      <c r="FY247" s="2">
        <v>0</v>
      </c>
      <c r="FZ247" s="2"/>
      <c r="GA247" s="2" t="s">
        <v>366</v>
      </c>
      <c r="GB247" s="2"/>
      <c r="GC247" s="2"/>
      <c r="GD247" s="2">
        <v>1</v>
      </c>
      <c r="GE247" s="2"/>
      <c r="GF247" s="2">
        <v>-1802163537</v>
      </c>
      <c r="GG247" s="2">
        <v>2</v>
      </c>
      <c r="GH247" s="2">
        <v>4</v>
      </c>
      <c r="GI247" s="2">
        <v>-2</v>
      </c>
      <c r="GJ247" s="2">
        <v>0</v>
      </c>
      <c r="GK247" s="2">
        <v>0</v>
      </c>
      <c r="GL247" s="2">
        <f t="shared" si="310"/>
        <v>0</v>
      </c>
      <c r="GM247" s="2">
        <f t="shared" si="311"/>
        <v>1245.9100000000001</v>
      </c>
      <c r="GN247" s="2">
        <f t="shared" si="312"/>
        <v>1245.9100000000001</v>
      </c>
      <c r="GO247" s="2">
        <f t="shared" si="313"/>
        <v>0</v>
      </c>
      <c r="GP247" s="2">
        <f t="shared" si="314"/>
        <v>0</v>
      </c>
      <c r="GQ247" s="2"/>
      <c r="GR247" s="2">
        <v>0</v>
      </c>
      <c r="GS247" s="2">
        <v>2</v>
      </c>
      <c r="GT247" s="2">
        <v>0</v>
      </c>
      <c r="GU247" s="2" t="s">
        <v>3</v>
      </c>
      <c r="GV247" s="2">
        <f t="shared" si="315"/>
        <v>0</v>
      </c>
      <c r="GW247" s="2">
        <v>1</v>
      </c>
      <c r="GX247" s="2">
        <f t="shared" si="316"/>
        <v>0</v>
      </c>
      <c r="GY247" s="2"/>
      <c r="GZ247" s="2"/>
      <c r="HA247" s="2">
        <v>0</v>
      </c>
      <c r="HB247" s="2">
        <v>0</v>
      </c>
      <c r="HC247" s="2">
        <f t="shared" si="317"/>
        <v>0</v>
      </c>
      <c r="HD247" s="2"/>
      <c r="HE247" s="2" t="s">
        <v>111</v>
      </c>
      <c r="HF247" s="2" t="s">
        <v>28</v>
      </c>
      <c r="HG247" s="2"/>
      <c r="HH247" s="2"/>
      <c r="HI247" s="2"/>
      <c r="HJ247" s="2"/>
      <c r="HK247" s="2"/>
      <c r="HL247" s="2"/>
      <c r="HM247" s="2" t="s">
        <v>3</v>
      </c>
      <c r="HN247" s="2" t="s">
        <v>3</v>
      </c>
      <c r="HO247" s="2" t="s">
        <v>3</v>
      </c>
      <c r="HP247" s="2" t="s">
        <v>3</v>
      </c>
      <c r="HQ247" s="2" t="s">
        <v>3</v>
      </c>
      <c r="HR247" s="2"/>
      <c r="HS247" s="2">
        <v>0</v>
      </c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>
        <v>0</v>
      </c>
      <c r="IL247" s="2"/>
      <c r="IM247" s="2"/>
      <c r="IN247" s="2"/>
      <c r="IO247" s="2"/>
      <c r="IP247" s="2"/>
      <c r="IQ247" s="2"/>
      <c r="IR247" s="2"/>
      <c r="IS247" s="2"/>
      <c r="IT247" s="2"/>
      <c r="IU247" s="2"/>
    </row>
    <row r="248" spans="1:255" x14ac:dyDescent="0.2">
      <c r="A248">
        <v>17</v>
      </c>
      <c r="B248">
        <v>1</v>
      </c>
      <c r="E248" t="s">
        <v>363</v>
      </c>
      <c r="F248" t="s">
        <v>364</v>
      </c>
      <c r="G248" t="s">
        <v>365</v>
      </c>
      <c r="H248" t="s">
        <v>107</v>
      </c>
      <c r="I248">
        <v>1</v>
      </c>
      <c r="J248">
        <v>0</v>
      </c>
      <c r="K248">
        <v>1</v>
      </c>
      <c r="O248">
        <f t="shared" si="293"/>
        <v>12309.59</v>
      </c>
      <c r="P248">
        <f t="shared" si="294"/>
        <v>12309.59</v>
      </c>
      <c r="Q248">
        <f>(ROUND((ROUND(((ET248)*AV248*I248),2)*BB248),2)+ROUND((ROUND(((AE248-(EU248))*AV248*I248),2)*BS248),2))</f>
        <v>0</v>
      </c>
      <c r="R248">
        <f>(ROUND((ROUND(((EU248)*AV248*I248),2)*BS248),2)+ROUND((ROUND(((AE248-(EU248))*AV248*I248),2)*BS248),2))</f>
        <v>0</v>
      </c>
      <c r="S248">
        <f t="shared" si="295"/>
        <v>0</v>
      </c>
      <c r="T248">
        <f t="shared" si="296"/>
        <v>0</v>
      </c>
      <c r="U248">
        <f t="shared" si="297"/>
        <v>0</v>
      </c>
      <c r="V248">
        <f t="shared" si="298"/>
        <v>0</v>
      </c>
      <c r="W248">
        <f t="shared" si="299"/>
        <v>0</v>
      </c>
      <c r="X248">
        <f>(ROUND((((S248+ROUND((ROUND(((EU248)*AV248*I248),2)*BS248),2))*AT248)/100),2)+ROUND(((ROUND((ROUND(((AE248-(EU248))*AV248*I248),2)*BS248),2)*AT248)/100),2))</f>
        <v>0</v>
      </c>
      <c r="Y248">
        <f>(ROUND((((S248+ROUND((ROUND(((EU248)*AV248*I248),2)*BS248),2))*AU248)/100),2)+ROUND(((ROUND((ROUND(((AE248-(EU248))*AV248*I248),2)*BS248),2)*AU248)/100),2))</f>
        <v>0</v>
      </c>
      <c r="AA248">
        <v>60255011</v>
      </c>
      <c r="AB248">
        <f t="shared" si="300"/>
        <v>1245.9100000000001</v>
      </c>
      <c r="AC248">
        <f t="shared" si="301"/>
        <v>1245.9100000000001</v>
      </c>
      <c r="AD248">
        <f>ROUND((((ET248)-(EU248))+AE248),6)</f>
        <v>0</v>
      </c>
      <c r="AE248">
        <f>ROUND((EU248),6)</f>
        <v>0</v>
      </c>
      <c r="AF248">
        <f>ROUND((EV248),6)</f>
        <v>0</v>
      </c>
      <c r="AG248">
        <f t="shared" si="302"/>
        <v>0</v>
      </c>
      <c r="AH248">
        <f>(EW248)</f>
        <v>0</v>
      </c>
      <c r="AI248">
        <f>(EX248)</f>
        <v>0</v>
      </c>
      <c r="AJ248">
        <f t="shared" si="303"/>
        <v>0</v>
      </c>
      <c r="AK248">
        <v>1245.9100000000001</v>
      </c>
      <c r="AL248">
        <v>1245.9100000000001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Z248">
        <v>1</v>
      </c>
      <c r="BA248">
        <v>1</v>
      </c>
      <c r="BB248">
        <v>1</v>
      </c>
      <c r="BC248">
        <v>9.8800000000000008</v>
      </c>
      <c r="BD248" t="s">
        <v>3</v>
      </c>
      <c r="BE248" t="s">
        <v>3</v>
      </c>
      <c r="BF248" t="s">
        <v>3</v>
      </c>
      <c r="BG248" t="s">
        <v>3</v>
      </c>
      <c r="BH248">
        <v>3</v>
      </c>
      <c r="BI248">
        <v>1</v>
      </c>
      <c r="BJ248" t="s">
        <v>3</v>
      </c>
      <c r="BM248">
        <v>400002</v>
      </c>
      <c r="BN248">
        <v>0</v>
      </c>
      <c r="BO248" t="s">
        <v>3</v>
      </c>
      <c r="BP248">
        <v>0</v>
      </c>
      <c r="BQ248">
        <v>202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 t="s">
        <v>3</v>
      </c>
      <c r="BZ248">
        <v>0</v>
      </c>
      <c r="CA248">
        <v>0</v>
      </c>
      <c r="CB248" t="s">
        <v>3</v>
      </c>
      <c r="CE248">
        <v>1566</v>
      </c>
      <c r="CF248">
        <v>0</v>
      </c>
      <c r="CG248">
        <v>0</v>
      </c>
      <c r="CM248">
        <v>0</v>
      </c>
      <c r="CN248" t="s">
        <v>3</v>
      </c>
      <c r="CO248">
        <v>0</v>
      </c>
      <c r="CP248">
        <f t="shared" si="304"/>
        <v>12309.59</v>
      </c>
      <c r="CQ248">
        <f t="shared" si="305"/>
        <v>12309.59</v>
      </c>
      <c r="CR248">
        <f>(ROUND((ROUND(((ET248)*AV248*1),2)*BB248),2)+ROUND((ROUND(((AE248-(EU248))*AV248*1),2)*BS248),2))</f>
        <v>0</v>
      </c>
      <c r="CS248">
        <f>(ROUND((ROUND(((EU248)*AV248*1),2)*BS248),2)+ROUND((ROUND(((AE248-(EU248))*AV248*1),2)*BS248),2))</f>
        <v>0</v>
      </c>
      <c r="CT248">
        <f t="shared" si="306"/>
        <v>0</v>
      </c>
      <c r="CU248">
        <f t="shared" si="307"/>
        <v>0</v>
      </c>
      <c r="CV248">
        <f t="shared" si="308"/>
        <v>0</v>
      </c>
      <c r="CW248">
        <f t="shared" si="309"/>
        <v>0</v>
      </c>
      <c r="CX248">
        <f t="shared" si="309"/>
        <v>0</v>
      </c>
      <c r="CY248">
        <f>(ROUND((((S248+ROUND((ROUND(((EU248)*AV248*1),2)*BS248),2))*AT248)/100),2)+ROUND(((ROUND((ROUND(((AE248-(EU248))*AV248*1),2)*BS248),2)*AT248)/100),2))</f>
        <v>0</v>
      </c>
      <c r="CZ248">
        <f>(ROUND((((S248+ROUND((ROUND(((EU248)*AV248*1),2)*BS248),2))*AU248)/100),2)+ROUND(((ROUND((ROUND(((AE248-(EU248))*AV248*1),2)*BS248),2)*AU248)/100),2))</f>
        <v>0</v>
      </c>
      <c r="DC248" t="s">
        <v>3</v>
      </c>
      <c r="DD248" t="s">
        <v>3</v>
      </c>
      <c r="DE248" t="s">
        <v>3</v>
      </c>
      <c r="DF248" t="s">
        <v>3</v>
      </c>
      <c r="DG248" t="s">
        <v>3</v>
      </c>
      <c r="DH248" t="s">
        <v>3</v>
      </c>
      <c r="DI248" t="s">
        <v>3</v>
      </c>
      <c r="DJ248" t="s">
        <v>3</v>
      </c>
      <c r="DK248" t="s">
        <v>3</v>
      </c>
      <c r="DL248" t="s">
        <v>3</v>
      </c>
      <c r="DM248" t="s">
        <v>3</v>
      </c>
      <c r="DN248">
        <v>0</v>
      </c>
      <c r="DO248">
        <v>0</v>
      </c>
      <c r="DP248">
        <v>1</v>
      </c>
      <c r="DQ248">
        <v>1</v>
      </c>
      <c r="DU248">
        <v>1013</v>
      </c>
      <c r="DV248" t="s">
        <v>107</v>
      </c>
      <c r="DW248" t="s">
        <v>107</v>
      </c>
      <c r="DX248">
        <v>1</v>
      </c>
      <c r="DZ248" t="s">
        <v>3</v>
      </c>
      <c r="EA248" t="s">
        <v>3</v>
      </c>
      <c r="EB248" t="s">
        <v>3</v>
      </c>
      <c r="EC248" t="s">
        <v>3</v>
      </c>
      <c r="EE248">
        <v>60088211</v>
      </c>
      <c r="EF248">
        <v>202</v>
      </c>
      <c r="EG248" t="s">
        <v>108</v>
      </c>
      <c r="EH248">
        <v>0</v>
      </c>
      <c r="EI248" t="s">
        <v>3</v>
      </c>
      <c r="EJ248">
        <v>1</v>
      </c>
      <c r="EK248">
        <v>400002</v>
      </c>
      <c r="EL248" t="s">
        <v>109</v>
      </c>
      <c r="EM248" t="s">
        <v>108</v>
      </c>
      <c r="EO248" t="s">
        <v>3</v>
      </c>
      <c r="EQ248">
        <v>0</v>
      </c>
      <c r="ER248">
        <v>1245.9100000000001</v>
      </c>
      <c r="ES248">
        <v>1245.9100000000001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5</v>
      </c>
      <c r="FC248">
        <v>1</v>
      </c>
      <c r="FD248">
        <v>18</v>
      </c>
      <c r="FF248">
        <v>14481.86</v>
      </c>
      <c r="FQ248">
        <v>0</v>
      </c>
      <c r="FR248">
        <v>0</v>
      </c>
      <c r="FS248">
        <v>0</v>
      </c>
      <c r="FX248">
        <v>0</v>
      </c>
      <c r="FY248">
        <v>0</v>
      </c>
      <c r="GA248" t="s">
        <v>366</v>
      </c>
      <c r="GD248">
        <v>1</v>
      </c>
      <c r="GF248">
        <v>-1802163537</v>
      </c>
      <c r="GG248">
        <v>2</v>
      </c>
      <c r="GH248">
        <v>3</v>
      </c>
      <c r="GI248">
        <v>5</v>
      </c>
      <c r="GJ248">
        <v>0</v>
      </c>
      <c r="GK248">
        <v>0</v>
      </c>
      <c r="GL248">
        <f t="shared" si="310"/>
        <v>0</v>
      </c>
      <c r="GM248">
        <f t="shared" si="311"/>
        <v>12309.59</v>
      </c>
      <c r="GN248">
        <f t="shared" si="312"/>
        <v>12309.59</v>
      </c>
      <c r="GO248">
        <f t="shared" si="313"/>
        <v>0</v>
      </c>
      <c r="GP248">
        <f t="shared" si="314"/>
        <v>0</v>
      </c>
      <c r="GR248">
        <v>1</v>
      </c>
      <c r="GS248">
        <v>1</v>
      </c>
      <c r="GT248">
        <v>0</v>
      </c>
      <c r="GU248" t="s">
        <v>3</v>
      </c>
      <c r="GV248">
        <f t="shared" si="315"/>
        <v>0</v>
      </c>
      <c r="GW248">
        <v>1</v>
      </c>
      <c r="GX248">
        <f t="shared" si="316"/>
        <v>0</v>
      </c>
      <c r="HA248">
        <v>0</v>
      </c>
      <c r="HB248">
        <v>0</v>
      </c>
      <c r="HC248">
        <f t="shared" si="317"/>
        <v>0</v>
      </c>
      <c r="HE248" t="s">
        <v>111</v>
      </c>
      <c r="HF248" t="s">
        <v>28</v>
      </c>
      <c r="HM248" t="s">
        <v>3</v>
      </c>
      <c r="HN248" t="s">
        <v>3</v>
      </c>
      <c r="HO248" t="s">
        <v>3</v>
      </c>
      <c r="HP248" t="s">
        <v>3</v>
      </c>
      <c r="HQ248" t="s">
        <v>3</v>
      </c>
      <c r="HS248">
        <v>0</v>
      </c>
      <c r="IK248">
        <v>0</v>
      </c>
    </row>
    <row r="250" spans="1:255" x14ac:dyDescent="0.2">
      <c r="A250" s="3">
        <v>51</v>
      </c>
      <c r="B250" s="3">
        <f>B206</f>
        <v>1</v>
      </c>
      <c r="C250" s="3">
        <f>A206</f>
        <v>4</v>
      </c>
      <c r="D250" s="3">
        <f>ROW(A206)</f>
        <v>206</v>
      </c>
      <c r="E250" s="3"/>
      <c r="F250" s="3" t="str">
        <f>IF(F206&lt;&gt;"",F206,"")</f>
        <v/>
      </c>
      <c r="G250" s="3" t="str">
        <f>IF(G206&lt;&gt;"",G206,"")</f>
        <v>Арматура трубопроводная</v>
      </c>
      <c r="H250" s="3">
        <v>0</v>
      </c>
      <c r="I250" s="3"/>
      <c r="J250" s="3"/>
      <c r="K250" s="3"/>
      <c r="L250" s="3"/>
      <c r="M250" s="3"/>
      <c r="N250" s="3"/>
      <c r="O250" s="3">
        <f t="shared" ref="O250:T250" si="318">ROUND(AB250,2)</f>
        <v>102799.9</v>
      </c>
      <c r="P250" s="3">
        <f t="shared" si="318"/>
        <v>102478.48</v>
      </c>
      <c r="Q250" s="3">
        <f t="shared" si="318"/>
        <v>0.44</v>
      </c>
      <c r="R250" s="3">
        <f t="shared" si="318"/>
        <v>0.04</v>
      </c>
      <c r="S250" s="3">
        <f t="shared" si="318"/>
        <v>320.98</v>
      </c>
      <c r="T250" s="3">
        <f t="shared" si="318"/>
        <v>0</v>
      </c>
      <c r="U250" s="3">
        <f>AH250</f>
        <v>24.722910795000001</v>
      </c>
      <c r="V250" s="3">
        <f>AI250</f>
        <v>0</v>
      </c>
      <c r="W250" s="3">
        <f>ROUND(AJ250,2)</f>
        <v>0</v>
      </c>
      <c r="X250" s="3">
        <f>ROUND(AK250,2)</f>
        <v>298.88</v>
      </c>
      <c r="Y250" s="3">
        <f>ROUND(AL250,2)</f>
        <v>155.53</v>
      </c>
      <c r="Z250" s="3"/>
      <c r="AA250" s="3"/>
      <c r="AB250" s="3">
        <f>ROUND(SUMIF(AA210:AA248,"=60255014",O210:O248),2)</f>
        <v>102799.9</v>
      </c>
      <c r="AC250" s="3">
        <f>ROUND(SUMIF(AA210:AA248,"=60255014",P210:P248),2)</f>
        <v>102478.48</v>
      </c>
      <c r="AD250" s="3">
        <f>ROUND(SUMIF(AA210:AA248,"=60255014",Q210:Q248),2)</f>
        <v>0.44</v>
      </c>
      <c r="AE250" s="3">
        <f>ROUND(SUMIF(AA210:AA248,"=60255014",R210:R248),2)</f>
        <v>0.04</v>
      </c>
      <c r="AF250" s="3">
        <f>ROUND(SUMIF(AA210:AA248,"=60255014",S210:S248),2)</f>
        <v>320.98</v>
      </c>
      <c r="AG250" s="3">
        <f>ROUND(SUMIF(AA210:AA248,"=60255014",T210:T248),2)</f>
        <v>0</v>
      </c>
      <c r="AH250" s="3">
        <f>SUMIF(AA210:AA248,"=60255014",U210:U248)</f>
        <v>24.722910795000001</v>
      </c>
      <c r="AI250" s="3">
        <f>SUMIF(AA210:AA248,"=60255014",V210:V248)</f>
        <v>0</v>
      </c>
      <c r="AJ250" s="3">
        <f>ROUND(SUMIF(AA210:AA248,"=60255014",W210:W248),2)</f>
        <v>0</v>
      </c>
      <c r="AK250" s="3">
        <f>ROUND(SUMIF(AA210:AA248,"=60255014",X210:X248),2)</f>
        <v>298.88</v>
      </c>
      <c r="AL250" s="3">
        <f>ROUND(SUMIF(AA210:AA248,"=60255014",Y210:Y248),2)</f>
        <v>155.53</v>
      </c>
      <c r="AM250" s="3"/>
      <c r="AN250" s="3"/>
      <c r="AO250" s="3">
        <f t="shared" ref="AO250:BD250" si="319">ROUND(BX250,2)</f>
        <v>0</v>
      </c>
      <c r="AP250" s="3">
        <f t="shared" si="319"/>
        <v>0</v>
      </c>
      <c r="AQ250" s="3">
        <f t="shared" si="319"/>
        <v>0</v>
      </c>
      <c r="AR250" s="3">
        <f t="shared" si="319"/>
        <v>103254.31</v>
      </c>
      <c r="AS250" s="3">
        <f t="shared" si="319"/>
        <v>102578.3</v>
      </c>
      <c r="AT250" s="3">
        <f t="shared" si="319"/>
        <v>676.01</v>
      </c>
      <c r="AU250" s="3">
        <f t="shared" si="319"/>
        <v>0</v>
      </c>
      <c r="AV250" s="3">
        <f t="shared" si="319"/>
        <v>102478.48</v>
      </c>
      <c r="AW250" s="3">
        <f t="shared" si="319"/>
        <v>102478.48</v>
      </c>
      <c r="AX250" s="3">
        <f t="shared" si="319"/>
        <v>0</v>
      </c>
      <c r="AY250" s="3">
        <f t="shared" si="319"/>
        <v>102478.48</v>
      </c>
      <c r="AZ250" s="3">
        <f t="shared" si="319"/>
        <v>0</v>
      </c>
      <c r="BA250" s="3">
        <f t="shared" si="319"/>
        <v>0</v>
      </c>
      <c r="BB250" s="3">
        <f t="shared" si="319"/>
        <v>0</v>
      </c>
      <c r="BC250" s="3">
        <f t="shared" si="319"/>
        <v>0</v>
      </c>
      <c r="BD250" s="3">
        <f t="shared" si="319"/>
        <v>0</v>
      </c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>
        <f>ROUND(SUMIF(AA210:AA248,"=60255014",FQ210:FQ248),2)</f>
        <v>0</v>
      </c>
      <c r="BY250" s="3">
        <f>ROUND(SUMIF(AA210:AA248,"=60255014",FR210:FR248),2)</f>
        <v>0</v>
      </c>
      <c r="BZ250" s="3">
        <f>ROUND(SUMIF(AA210:AA248,"=60255014",GL210:GL248),2)</f>
        <v>0</v>
      </c>
      <c r="CA250" s="3">
        <f>ROUND(SUMIF(AA210:AA248,"=60255014",GM210:GM248),2)</f>
        <v>103254.31</v>
      </c>
      <c r="CB250" s="3">
        <f>ROUND(SUMIF(AA210:AA248,"=60255014",GN210:GN248),2)</f>
        <v>102578.3</v>
      </c>
      <c r="CC250" s="3">
        <f>ROUND(SUMIF(AA210:AA248,"=60255014",GO210:GO248),2)</f>
        <v>676.01</v>
      </c>
      <c r="CD250" s="3">
        <f>ROUND(SUMIF(AA210:AA248,"=60255014",GP210:GP248),2)</f>
        <v>0</v>
      </c>
      <c r="CE250" s="3">
        <f>AC250-BX250</f>
        <v>102478.48</v>
      </c>
      <c r="CF250" s="3">
        <f>AC250-BY250</f>
        <v>102478.48</v>
      </c>
      <c r="CG250" s="3">
        <f>BX250-BZ250</f>
        <v>0</v>
      </c>
      <c r="CH250" s="3">
        <f>AC250-BX250-BY250+BZ250</f>
        <v>102478.48</v>
      </c>
      <c r="CI250" s="3">
        <f>BY250-BZ250</f>
        <v>0</v>
      </c>
      <c r="CJ250" s="3">
        <f>ROUND(SUMIF(AA210:AA248,"=60255014",GX210:GX248),2)</f>
        <v>0</v>
      </c>
      <c r="CK250" s="3">
        <f>ROUND(SUMIF(AA210:AA248,"=60255014",GY210:GY248),2)</f>
        <v>0</v>
      </c>
      <c r="CL250" s="3">
        <f>ROUND(SUMIF(AA210:AA248,"=60255014",GZ210:GZ248),2)</f>
        <v>0</v>
      </c>
      <c r="CM250" s="3">
        <f>ROUND(SUMIF(AA210:AA248,"=60255014",HD210:HD248),2)</f>
        <v>0</v>
      </c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4">
        <f t="shared" ref="DG250:DL250" si="320">ROUND(DT250,2)</f>
        <v>1129004.6399999999</v>
      </c>
      <c r="DH250" s="4">
        <f t="shared" si="320"/>
        <v>1111348.3</v>
      </c>
      <c r="DI250" s="4">
        <f t="shared" si="320"/>
        <v>5.65</v>
      </c>
      <c r="DJ250" s="4">
        <f t="shared" si="320"/>
        <v>2.2000000000000002</v>
      </c>
      <c r="DK250" s="4">
        <f t="shared" si="320"/>
        <v>17650.689999999999</v>
      </c>
      <c r="DL250" s="4">
        <f t="shared" si="320"/>
        <v>0</v>
      </c>
      <c r="DM250" s="4">
        <f>DZ250</f>
        <v>24.722910795000001</v>
      </c>
      <c r="DN250" s="4">
        <f>EA250</f>
        <v>0</v>
      </c>
      <c r="DO250" s="4">
        <f>ROUND(EB250,2)</f>
        <v>0</v>
      </c>
      <c r="DP250" s="4">
        <f>ROUND(EC250,2)</f>
        <v>16435.29</v>
      </c>
      <c r="DQ250" s="4">
        <f>ROUND(ED250,2)</f>
        <v>8552.7199999999993</v>
      </c>
      <c r="DR250" s="4"/>
      <c r="DS250" s="4"/>
      <c r="DT250" s="4">
        <f>ROUND(SUMIF(AA210:AA248,"=60255011",O210:O248),2)</f>
        <v>1129004.6399999999</v>
      </c>
      <c r="DU250" s="4">
        <f>ROUND(SUMIF(AA210:AA248,"=60255011",P210:P248),2)</f>
        <v>1111348.3</v>
      </c>
      <c r="DV250" s="4">
        <f>ROUND(SUMIF(AA210:AA248,"=60255011",Q210:Q248),2)</f>
        <v>5.65</v>
      </c>
      <c r="DW250" s="4">
        <f>ROUND(SUMIF(AA210:AA248,"=60255011",R210:R248),2)</f>
        <v>2.2000000000000002</v>
      </c>
      <c r="DX250" s="4">
        <f>ROUND(SUMIF(AA210:AA248,"=60255011",S210:S248),2)</f>
        <v>17650.689999999999</v>
      </c>
      <c r="DY250" s="4">
        <f>ROUND(SUMIF(AA210:AA248,"=60255011",T210:T248),2)</f>
        <v>0</v>
      </c>
      <c r="DZ250" s="4">
        <f>SUMIF(AA210:AA248,"=60255011",U210:U248)</f>
        <v>24.722910795000001</v>
      </c>
      <c r="EA250" s="4">
        <f>SUMIF(AA210:AA248,"=60255011",V210:V248)</f>
        <v>0</v>
      </c>
      <c r="EB250" s="4">
        <f>ROUND(SUMIF(AA210:AA248,"=60255011",W210:W248),2)</f>
        <v>0</v>
      </c>
      <c r="EC250" s="4">
        <f>ROUND(SUMIF(AA210:AA248,"=60255011",X210:X248),2)</f>
        <v>16435.29</v>
      </c>
      <c r="ED250" s="4">
        <f>ROUND(SUMIF(AA210:AA248,"=60255011",Y210:Y248),2)</f>
        <v>8552.7199999999993</v>
      </c>
      <c r="EE250" s="4"/>
      <c r="EF250" s="4"/>
      <c r="EG250" s="4">
        <f t="shared" ref="EG250:EV250" si="321">ROUND(FP250,2)</f>
        <v>0</v>
      </c>
      <c r="EH250" s="4">
        <f t="shared" si="321"/>
        <v>0</v>
      </c>
      <c r="EI250" s="4">
        <f t="shared" si="321"/>
        <v>0</v>
      </c>
      <c r="EJ250" s="4">
        <f t="shared" si="321"/>
        <v>1153992.6499999999</v>
      </c>
      <c r="EK250" s="4">
        <f t="shared" si="321"/>
        <v>1118764.05</v>
      </c>
      <c r="EL250" s="4">
        <f t="shared" si="321"/>
        <v>35228.6</v>
      </c>
      <c r="EM250" s="4">
        <f t="shared" si="321"/>
        <v>0</v>
      </c>
      <c r="EN250" s="4">
        <f t="shared" si="321"/>
        <v>1111348.3</v>
      </c>
      <c r="EO250" s="4">
        <f t="shared" si="321"/>
        <v>1111348.3</v>
      </c>
      <c r="EP250" s="4">
        <f t="shared" si="321"/>
        <v>0</v>
      </c>
      <c r="EQ250" s="4">
        <f t="shared" si="321"/>
        <v>1111348.3</v>
      </c>
      <c r="ER250" s="4">
        <f t="shared" si="321"/>
        <v>0</v>
      </c>
      <c r="ES250" s="4">
        <f t="shared" si="321"/>
        <v>0</v>
      </c>
      <c r="ET250" s="4">
        <f t="shared" si="321"/>
        <v>0</v>
      </c>
      <c r="EU250" s="4">
        <f t="shared" si="321"/>
        <v>0</v>
      </c>
      <c r="EV250" s="4">
        <f t="shared" si="321"/>
        <v>0</v>
      </c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>
        <f>ROUND(SUMIF(AA210:AA248,"=60255011",FQ210:FQ248),2)</f>
        <v>0</v>
      </c>
      <c r="FQ250" s="4">
        <f>ROUND(SUMIF(AA210:AA248,"=60255011",FR210:FR248),2)</f>
        <v>0</v>
      </c>
      <c r="FR250" s="4">
        <f>ROUND(SUMIF(AA210:AA248,"=60255011",GL210:GL248),2)</f>
        <v>0</v>
      </c>
      <c r="FS250" s="4">
        <f>ROUND(SUMIF(AA210:AA248,"=60255011",GM210:GM248),2)</f>
        <v>1153992.6499999999</v>
      </c>
      <c r="FT250" s="4">
        <f>ROUND(SUMIF(AA210:AA248,"=60255011",GN210:GN248),2)</f>
        <v>1118764.05</v>
      </c>
      <c r="FU250" s="4">
        <f>ROUND(SUMIF(AA210:AA248,"=60255011",GO210:GO248),2)</f>
        <v>35228.6</v>
      </c>
      <c r="FV250" s="4">
        <f>ROUND(SUMIF(AA210:AA248,"=60255011",GP210:GP248),2)</f>
        <v>0</v>
      </c>
      <c r="FW250" s="4">
        <f>DU250-FP250</f>
        <v>1111348.3</v>
      </c>
      <c r="FX250" s="4">
        <f>DU250-FQ250</f>
        <v>1111348.3</v>
      </c>
      <c r="FY250" s="4">
        <f>FP250-FR250</f>
        <v>0</v>
      </c>
      <c r="FZ250" s="4">
        <f>DU250-FP250-FQ250+FR250</f>
        <v>1111348.3</v>
      </c>
      <c r="GA250" s="4">
        <f>FQ250-FR250</f>
        <v>0</v>
      </c>
      <c r="GB250" s="4">
        <f>ROUND(SUMIF(AA210:AA248,"=60255011",GX210:GX248),2)</f>
        <v>0</v>
      </c>
      <c r="GC250" s="4">
        <f>ROUND(SUMIF(AA210:AA248,"=60255011",GY210:GY248),2)</f>
        <v>0</v>
      </c>
      <c r="GD250" s="4">
        <f>ROUND(SUMIF(AA210:AA248,"=60255011",GZ210:GZ248),2)</f>
        <v>0</v>
      </c>
      <c r="GE250" s="4">
        <f>ROUND(SUMIF(AA210:AA248,"=60255011",HD210:HD248),2)</f>
        <v>0</v>
      </c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>
        <v>0</v>
      </c>
    </row>
    <row r="252" spans="1:255" x14ac:dyDescent="0.2">
      <c r="A252" s="5">
        <v>50</v>
      </c>
      <c r="B252" s="5">
        <v>0</v>
      </c>
      <c r="C252" s="5">
        <v>0</v>
      </c>
      <c r="D252" s="5">
        <v>1</v>
      </c>
      <c r="E252" s="5">
        <v>201</v>
      </c>
      <c r="F252" s="5">
        <f>ROUND(Source!O250,O252)</f>
        <v>102799.9</v>
      </c>
      <c r="G252" s="5" t="s">
        <v>38</v>
      </c>
      <c r="H252" s="5" t="s">
        <v>39</v>
      </c>
      <c r="I252" s="5"/>
      <c r="J252" s="5"/>
      <c r="K252" s="5">
        <v>201</v>
      </c>
      <c r="L252" s="5">
        <v>1</v>
      </c>
      <c r="M252" s="5">
        <v>3</v>
      </c>
      <c r="N252" s="5" t="s">
        <v>3</v>
      </c>
      <c r="O252" s="5">
        <v>2</v>
      </c>
      <c r="P252" s="5">
        <f>ROUND(Source!DG250,O252)</f>
        <v>1129004.6399999999</v>
      </c>
      <c r="Q252" s="5"/>
      <c r="R252" s="5"/>
      <c r="S252" s="5"/>
      <c r="T252" s="5"/>
      <c r="U252" s="5"/>
      <c r="V252" s="5"/>
      <c r="W252" s="5">
        <v>102799.9</v>
      </c>
      <c r="X252" s="5">
        <v>1</v>
      </c>
      <c r="Y252" s="5">
        <v>102799.9</v>
      </c>
      <c r="Z252" s="5">
        <v>1129004.6399999999</v>
      </c>
      <c r="AA252" s="5">
        <v>1</v>
      </c>
      <c r="AB252" s="5">
        <v>1129004.6399999999</v>
      </c>
    </row>
    <row r="253" spans="1:255" x14ac:dyDescent="0.2">
      <c r="A253" s="5">
        <v>50</v>
      </c>
      <c r="B253" s="5">
        <v>0</v>
      </c>
      <c r="C253" s="5">
        <v>0</v>
      </c>
      <c r="D253" s="5">
        <v>1</v>
      </c>
      <c r="E253" s="5">
        <v>202</v>
      </c>
      <c r="F253" s="5">
        <f>ROUND(Source!P250,O253)</f>
        <v>102478.48</v>
      </c>
      <c r="G253" s="5" t="s">
        <v>40</v>
      </c>
      <c r="H253" s="5" t="s">
        <v>41</v>
      </c>
      <c r="I253" s="5"/>
      <c r="J253" s="5"/>
      <c r="K253" s="5">
        <v>202</v>
      </c>
      <c r="L253" s="5">
        <v>2</v>
      </c>
      <c r="M253" s="5">
        <v>3</v>
      </c>
      <c r="N253" s="5" t="s">
        <v>3</v>
      </c>
      <c r="O253" s="5">
        <v>2</v>
      </c>
      <c r="P253" s="5">
        <f>ROUND(Source!DH250,O253)</f>
        <v>1111348.3</v>
      </c>
      <c r="Q253" s="5"/>
      <c r="R253" s="5"/>
      <c r="S253" s="5"/>
      <c r="T253" s="5"/>
      <c r="U253" s="5"/>
      <c r="V253" s="5"/>
      <c r="W253" s="5">
        <v>102478.48</v>
      </c>
      <c r="X253" s="5">
        <v>1</v>
      </c>
      <c r="Y253" s="5">
        <v>102478.48</v>
      </c>
      <c r="Z253" s="5">
        <v>1111348.3</v>
      </c>
      <c r="AA253" s="5">
        <v>1</v>
      </c>
      <c r="AB253" s="5">
        <v>1111348.3</v>
      </c>
    </row>
    <row r="254" spans="1:255" x14ac:dyDescent="0.2">
      <c r="A254" s="5">
        <v>50</v>
      </c>
      <c r="B254" s="5">
        <v>0</v>
      </c>
      <c r="C254" s="5">
        <v>0</v>
      </c>
      <c r="D254" s="5">
        <v>1</v>
      </c>
      <c r="E254" s="5">
        <v>222</v>
      </c>
      <c r="F254" s="5">
        <f>ROUND(Source!AO250,O254)</f>
        <v>0</v>
      </c>
      <c r="G254" s="5" t="s">
        <v>42</v>
      </c>
      <c r="H254" s="5" t="s">
        <v>43</v>
      </c>
      <c r="I254" s="5"/>
      <c r="J254" s="5"/>
      <c r="K254" s="5">
        <v>222</v>
      </c>
      <c r="L254" s="5">
        <v>3</v>
      </c>
      <c r="M254" s="5">
        <v>3</v>
      </c>
      <c r="N254" s="5" t="s">
        <v>3</v>
      </c>
      <c r="O254" s="5">
        <v>2</v>
      </c>
      <c r="P254" s="5">
        <f>ROUND(Source!EG250,O254)</f>
        <v>0</v>
      </c>
      <c r="Q254" s="5"/>
      <c r="R254" s="5"/>
      <c r="S254" s="5"/>
      <c r="T254" s="5"/>
      <c r="U254" s="5"/>
      <c r="V254" s="5"/>
      <c r="W254" s="5">
        <v>0</v>
      </c>
      <c r="X254" s="5">
        <v>1</v>
      </c>
      <c r="Y254" s="5">
        <v>0</v>
      </c>
      <c r="Z254" s="5">
        <v>0</v>
      </c>
      <c r="AA254" s="5">
        <v>1</v>
      </c>
      <c r="AB254" s="5">
        <v>0</v>
      </c>
    </row>
    <row r="255" spans="1:255" x14ac:dyDescent="0.2">
      <c r="A255" s="5">
        <v>50</v>
      </c>
      <c r="B255" s="5">
        <v>0</v>
      </c>
      <c r="C255" s="5">
        <v>0</v>
      </c>
      <c r="D255" s="5">
        <v>1</v>
      </c>
      <c r="E255" s="5">
        <v>225</v>
      </c>
      <c r="F255" s="5">
        <f>ROUND(Source!AV250,O255)</f>
        <v>102478.48</v>
      </c>
      <c r="G255" s="5" t="s">
        <v>44</v>
      </c>
      <c r="H255" s="5" t="s">
        <v>45</v>
      </c>
      <c r="I255" s="5"/>
      <c r="J255" s="5"/>
      <c r="K255" s="5">
        <v>225</v>
      </c>
      <c r="L255" s="5">
        <v>4</v>
      </c>
      <c r="M255" s="5">
        <v>3</v>
      </c>
      <c r="N255" s="5" t="s">
        <v>3</v>
      </c>
      <c r="O255" s="5">
        <v>2</v>
      </c>
      <c r="P255" s="5">
        <f>ROUND(Source!EN250,O255)</f>
        <v>1111348.3</v>
      </c>
      <c r="Q255" s="5"/>
      <c r="R255" s="5"/>
      <c r="S255" s="5"/>
      <c r="T255" s="5"/>
      <c r="U255" s="5"/>
      <c r="V255" s="5"/>
      <c r="W255" s="5">
        <v>102478.48</v>
      </c>
      <c r="X255" s="5">
        <v>1</v>
      </c>
      <c r="Y255" s="5">
        <v>102478.48</v>
      </c>
      <c r="Z255" s="5">
        <v>1111348.3</v>
      </c>
      <c r="AA255" s="5">
        <v>1</v>
      </c>
      <c r="AB255" s="5">
        <v>1111348.3</v>
      </c>
    </row>
    <row r="256" spans="1:255" x14ac:dyDescent="0.2">
      <c r="A256" s="5">
        <v>50</v>
      </c>
      <c r="B256" s="5">
        <v>0</v>
      </c>
      <c r="C256" s="5">
        <v>0</v>
      </c>
      <c r="D256" s="5">
        <v>1</v>
      </c>
      <c r="E256" s="5">
        <v>226</v>
      </c>
      <c r="F256" s="5">
        <f>ROUND(Source!AW250,O256)</f>
        <v>102478.48</v>
      </c>
      <c r="G256" s="5" t="s">
        <v>46</v>
      </c>
      <c r="H256" s="5" t="s">
        <v>47</v>
      </c>
      <c r="I256" s="5"/>
      <c r="J256" s="5"/>
      <c r="K256" s="5">
        <v>226</v>
      </c>
      <c r="L256" s="5">
        <v>5</v>
      </c>
      <c r="M256" s="5">
        <v>3</v>
      </c>
      <c r="N256" s="5" t="s">
        <v>3</v>
      </c>
      <c r="O256" s="5">
        <v>2</v>
      </c>
      <c r="P256" s="5">
        <f>ROUND(Source!EO250,O256)</f>
        <v>1111348.3</v>
      </c>
      <c r="Q256" s="5"/>
      <c r="R256" s="5"/>
      <c r="S256" s="5"/>
      <c r="T256" s="5"/>
      <c r="U256" s="5"/>
      <c r="V256" s="5"/>
      <c r="W256" s="5">
        <v>102478.48</v>
      </c>
      <c r="X256" s="5">
        <v>1</v>
      </c>
      <c r="Y256" s="5">
        <v>102478.48</v>
      </c>
      <c r="Z256" s="5">
        <v>1111348.3</v>
      </c>
      <c r="AA256" s="5">
        <v>1</v>
      </c>
      <c r="AB256" s="5">
        <v>1111348.3</v>
      </c>
    </row>
    <row r="257" spans="1:28" x14ac:dyDescent="0.2">
      <c r="A257" s="5">
        <v>50</v>
      </c>
      <c r="B257" s="5">
        <v>0</v>
      </c>
      <c r="C257" s="5">
        <v>0</v>
      </c>
      <c r="D257" s="5">
        <v>1</v>
      </c>
      <c r="E257" s="5">
        <v>227</v>
      </c>
      <c r="F257" s="5">
        <f>ROUND(Source!AX250,O257)</f>
        <v>0</v>
      </c>
      <c r="G257" s="5" t="s">
        <v>48</v>
      </c>
      <c r="H257" s="5" t="s">
        <v>49</v>
      </c>
      <c r="I257" s="5"/>
      <c r="J257" s="5"/>
      <c r="K257" s="5">
        <v>227</v>
      </c>
      <c r="L257" s="5">
        <v>6</v>
      </c>
      <c r="M257" s="5">
        <v>3</v>
      </c>
      <c r="N257" s="5" t="s">
        <v>3</v>
      </c>
      <c r="O257" s="5">
        <v>2</v>
      </c>
      <c r="P257" s="5">
        <f>ROUND(Source!EP250,O257)</f>
        <v>0</v>
      </c>
      <c r="Q257" s="5"/>
      <c r="R257" s="5"/>
      <c r="S257" s="5"/>
      <c r="T257" s="5"/>
      <c r="U257" s="5"/>
      <c r="V257" s="5"/>
      <c r="W257" s="5">
        <v>0</v>
      </c>
      <c r="X257" s="5">
        <v>1</v>
      </c>
      <c r="Y257" s="5">
        <v>0</v>
      </c>
      <c r="Z257" s="5">
        <v>0</v>
      </c>
      <c r="AA257" s="5">
        <v>1</v>
      </c>
      <c r="AB257" s="5">
        <v>0</v>
      </c>
    </row>
    <row r="258" spans="1:28" x14ac:dyDescent="0.2">
      <c r="A258" s="5">
        <v>50</v>
      </c>
      <c r="B258" s="5">
        <v>0</v>
      </c>
      <c r="C258" s="5">
        <v>0</v>
      </c>
      <c r="D258" s="5">
        <v>1</v>
      </c>
      <c r="E258" s="5">
        <v>228</v>
      </c>
      <c r="F258" s="5">
        <f>ROUND(Source!AY250,O258)</f>
        <v>102478.48</v>
      </c>
      <c r="G258" s="5" t="s">
        <v>50</v>
      </c>
      <c r="H258" s="5" t="s">
        <v>51</v>
      </c>
      <c r="I258" s="5"/>
      <c r="J258" s="5"/>
      <c r="K258" s="5">
        <v>228</v>
      </c>
      <c r="L258" s="5">
        <v>7</v>
      </c>
      <c r="M258" s="5">
        <v>3</v>
      </c>
      <c r="N258" s="5" t="s">
        <v>3</v>
      </c>
      <c r="O258" s="5">
        <v>2</v>
      </c>
      <c r="P258" s="5">
        <f>ROUND(Source!EQ250,O258)</f>
        <v>1111348.3</v>
      </c>
      <c r="Q258" s="5"/>
      <c r="R258" s="5"/>
      <c r="S258" s="5"/>
      <c r="T258" s="5"/>
      <c r="U258" s="5"/>
      <c r="V258" s="5"/>
      <c r="W258" s="5">
        <v>102478.48</v>
      </c>
      <c r="X258" s="5">
        <v>1</v>
      </c>
      <c r="Y258" s="5">
        <v>102478.48</v>
      </c>
      <c r="Z258" s="5">
        <v>1111348.3</v>
      </c>
      <c r="AA258" s="5">
        <v>1</v>
      </c>
      <c r="AB258" s="5">
        <v>1111348.3</v>
      </c>
    </row>
    <row r="259" spans="1:28" x14ac:dyDescent="0.2">
      <c r="A259" s="5">
        <v>50</v>
      </c>
      <c r="B259" s="5">
        <v>0</v>
      </c>
      <c r="C259" s="5">
        <v>0</v>
      </c>
      <c r="D259" s="5">
        <v>1</v>
      </c>
      <c r="E259" s="5">
        <v>216</v>
      </c>
      <c r="F259" s="5">
        <f>ROUND(Source!AP250,O259)</f>
        <v>0</v>
      </c>
      <c r="G259" s="5" t="s">
        <v>52</v>
      </c>
      <c r="H259" s="5" t="s">
        <v>53</v>
      </c>
      <c r="I259" s="5"/>
      <c r="J259" s="5"/>
      <c r="K259" s="5">
        <v>216</v>
      </c>
      <c r="L259" s="5">
        <v>8</v>
      </c>
      <c r="M259" s="5">
        <v>3</v>
      </c>
      <c r="N259" s="5" t="s">
        <v>3</v>
      </c>
      <c r="O259" s="5">
        <v>2</v>
      </c>
      <c r="P259" s="5">
        <f>ROUND(Source!EH250,O259)</f>
        <v>0</v>
      </c>
      <c r="Q259" s="5"/>
      <c r="R259" s="5"/>
      <c r="S259" s="5"/>
      <c r="T259" s="5"/>
      <c r="U259" s="5"/>
      <c r="V259" s="5"/>
      <c r="W259" s="5">
        <v>0</v>
      </c>
      <c r="X259" s="5">
        <v>1</v>
      </c>
      <c r="Y259" s="5">
        <v>0</v>
      </c>
      <c r="Z259" s="5">
        <v>0</v>
      </c>
      <c r="AA259" s="5">
        <v>1</v>
      </c>
      <c r="AB259" s="5">
        <v>0</v>
      </c>
    </row>
    <row r="260" spans="1:28" x14ac:dyDescent="0.2">
      <c r="A260" s="5">
        <v>50</v>
      </c>
      <c r="B260" s="5">
        <v>0</v>
      </c>
      <c r="C260" s="5">
        <v>0</v>
      </c>
      <c r="D260" s="5">
        <v>1</v>
      </c>
      <c r="E260" s="5">
        <v>223</v>
      </c>
      <c r="F260" s="5">
        <f>ROUND(Source!AQ250,O260)</f>
        <v>0</v>
      </c>
      <c r="G260" s="5" t="s">
        <v>54</v>
      </c>
      <c r="H260" s="5" t="s">
        <v>55</v>
      </c>
      <c r="I260" s="5"/>
      <c r="J260" s="5"/>
      <c r="K260" s="5">
        <v>223</v>
      </c>
      <c r="L260" s="5">
        <v>9</v>
      </c>
      <c r="M260" s="5">
        <v>3</v>
      </c>
      <c r="N260" s="5" t="s">
        <v>3</v>
      </c>
      <c r="O260" s="5">
        <v>2</v>
      </c>
      <c r="P260" s="5">
        <f>ROUND(Source!EI250,O260)</f>
        <v>0</v>
      </c>
      <c r="Q260" s="5"/>
      <c r="R260" s="5"/>
      <c r="S260" s="5"/>
      <c r="T260" s="5"/>
      <c r="U260" s="5"/>
      <c r="V260" s="5"/>
      <c r="W260" s="5">
        <v>0</v>
      </c>
      <c r="X260" s="5">
        <v>1</v>
      </c>
      <c r="Y260" s="5">
        <v>0</v>
      </c>
      <c r="Z260" s="5">
        <v>0</v>
      </c>
      <c r="AA260" s="5">
        <v>1</v>
      </c>
      <c r="AB260" s="5">
        <v>0</v>
      </c>
    </row>
    <row r="261" spans="1:28" x14ac:dyDescent="0.2">
      <c r="A261" s="5">
        <v>50</v>
      </c>
      <c r="B261" s="5">
        <v>0</v>
      </c>
      <c r="C261" s="5">
        <v>0</v>
      </c>
      <c r="D261" s="5">
        <v>1</v>
      </c>
      <c r="E261" s="5">
        <v>229</v>
      </c>
      <c r="F261" s="5">
        <f>ROUND(Source!AZ250,O261)</f>
        <v>0</v>
      </c>
      <c r="G261" s="5" t="s">
        <v>56</v>
      </c>
      <c r="H261" s="5" t="s">
        <v>57</v>
      </c>
      <c r="I261" s="5"/>
      <c r="J261" s="5"/>
      <c r="K261" s="5">
        <v>229</v>
      </c>
      <c r="L261" s="5">
        <v>10</v>
      </c>
      <c r="M261" s="5">
        <v>3</v>
      </c>
      <c r="N261" s="5" t="s">
        <v>3</v>
      </c>
      <c r="O261" s="5">
        <v>2</v>
      </c>
      <c r="P261" s="5">
        <f>ROUND(Source!ER250,O261)</f>
        <v>0</v>
      </c>
      <c r="Q261" s="5"/>
      <c r="R261" s="5"/>
      <c r="S261" s="5"/>
      <c r="T261" s="5"/>
      <c r="U261" s="5"/>
      <c r="V261" s="5"/>
      <c r="W261" s="5">
        <v>0</v>
      </c>
      <c r="X261" s="5">
        <v>1</v>
      </c>
      <c r="Y261" s="5">
        <v>0</v>
      </c>
      <c r="Z261" s="5">
        <v>0</v>
      </c>
      <c r="AA261" s="5">
        <v>1</v>
      </c>
      <c r="AB261" s="5">
        <v>0</v>
      </c>
    </row>
    <row r="262" spans="1:28" x14ac:dyDescent="0.2">
      <c r="A262" s="5">
        <v>50</v>
      </c>
      <c r="B262" s="5">
        <v>0</v>
      </c>
      <c r="C262" s="5">
        <v>0</v>
      </c>
      <c r="D262" s="5">
        <v>1</v>
      </c>
      <c r="E262" s="5">
        <v>203</v>
      </c>
      <c r="F262" s="5">
        <f>ROUND(Source!Q250,O262)</f>
        <v>0.44</v>
      </c>
      <c r="G262" s="5" t="s">
        <v>58</v>
      </c>
      <c r="H262" s="5" t="s">
        <v>59</v>
      </c>
      <c r="I262" s="5"/>
      <c r="J262" s="5"/>
      <c r="K262" s="5">
        <v>203</v>
      </c>
      <c r="L262" s="5">
        <v>11</v>
      </c>
      <c r="M262" s="5">
        <v>3</v>
      </c>
      <c r="N262" s="5" t="s">
        <v>3</v>
      </c>
      <c r="O262" s="5">
        <v>2</v>
      </c>
      <c r="P262" s="5">
        <f>ROUND(Source!DI250,O262)</f>
        <v>5.65</v>
      </c>
      <c r="Q262" s="5"/>
      <c r="R262" s="5"/>
      <c r="S262" s="5"/>
      <c r="T262" s="5"/>
      <c r="U262" s="5"/>
      <c r="V262" s="5"/>
      <c r="W262" s="5">
        <v>0.44</v>
      </c>
      <c r="X262" s="5">
        <v>1</v>
      </c>
      <c r="Y262" s="5">
        <v>0.44</v>
      </c>
      <c r="Z262" s="5">
        <v>5.65</v>
      </c>
      <c r="AA262" s="5">
        <v>1</v>
      </c>
      <c r="AB262" s="5">
        <v>5.65</v>
      </c>
    </row>
    <row r="263" spans="1:28" x14ac:dyDescent="0.2">
      <c r="A263" s="5">
        <v>50</v>
      </c>
      <c r="B263" s="5">
        <v>0</v>
      </c>
      <c r="C263" s="5">
        <v>0</v>
      </c>
      <c r="D263" s="5">
        <v>1</v>
      </c>
      <c r="E263" s="5">
        <v>231</v>
      </c>
      <c r="F263" s="5">
        <f>ROUND(Source!BB250,O263)</f>
        <v>0</v>
      </c>
      <c r="G263" s="5" t="s">
        <v>60</v>
      </c>
      <c r="H263" s="5" t="s">
        <v>61</v>
      </c>
      <c r="I263" s="5"/>
      <c r="J263" s="5"/>
      <c r="K263" s="5">
        <v>231</v>
      </c>
      <c r="L263" s="5">
        <v>12</v>
      </c>
      <c r="M263" s="5">
        <v>3</v>
      </c>
      <c r="N263" s="5" t="s">
        <v>3</v>
      </c>
      <c r="O263" s="5">
        <v>2</v>
      </c>
      <c r="P263" s="5">
        <f>ROUND(Source!ET250,O263)</f>
        <v>0</v>
      </c>
      <c r="Q263" s="5"/>
      <c r="R263" s="5"/>
      <c r="S263" s="5"/>
      <c r="T263" s="5"/>
      <c r="U263" s="5"/>
      <c r="V263" s="5"/>
      <c r="W263" s="5">
        <v>0</v>
      </c>
      <c r="X263" s="5">
        <v>1</v>
      </c>
      <c r="Y263" s="5">
        <v>0</v>
      </c>
      <c r="Z263" s="5">
        <v>0</v>
      </c>
      <c r="AA263" s="5">
        <v>1</v>
      </c>
      <c r="AB263" s="5">
        <v>0</v>
      </c>
    </row>
    <row r="264" spans="1:28" x14ac:dyDescent="0.2">
      <c r="A264" s="5">
        <v>50</v>
      </c>
      <c r="B264" s="5">
        <v>0</v>
      </c>
      <c r="C264" s="5">
        <v>0</v>
      </c>
      <c r="D264" s="5">
        <v>1</v>
      </c>
      <c r="E264" s="5">
        <v>204</v>
      </c>
      <c r="F264" s="5">
        <f>ROUND(Source!R250,O264)</f>
        <v>0.04</v>
      </c>
      <c r="G264" s="5" t="s">
        <v>62</v>
      </c>
      <c r="H264" s="5" t="s">
        <v>63</v>
      </c>
      <c r="I264" s="5"/>
      <c r="J264" s="5"/>
      <c r="K264" s="5">
        <v>204</v>
      </c>
      <c r="L264" s="5">
        <v>13</v>
      </c>
      <c r="M264" s="5">
        <v>3</v>
      </c>
      <c r="N264" s="5" t="s">
        <v>3</v>
      </c>
      <c r="O264" s="5">
        <v>2</v>
      </c>
      <c r="P264" s="5">
        <f>ROUND(Source!DJ250,O264)</f>
        <v>2.2000000000000002</v>
      </c>
      <c r="Q264" s="5"/>
      <c r="R264" s="5"/>
      <c r="S264" s="5"/>
      <c r="T264" s="5"/>
      <c r="U264" s="5"/>
      <c r="V264" s="5"/>
      <c r="W264" s="5">
        <v>0.04</v>
      </c>
      <c r="X264" s="5">
        <v>1</v>
      </c>
      <c r="Y264" s="5">
        <v>0.04</v>
      </c>
      <c r="Z264" s="5">
        <v>2.2000000000000002</v>
      </c>
      <c r="AA264" s="5">
        <v>1</v>
      </c>
      <c r="AB264" s="5">
        <v>2.2000000000000002</v>
      </c>
    </row>
    <row r="265" spans="1:28" x14ac:dyDescent="0.2">
      <c r="A265" s="5">
        <v>50</v>
      </c>
      <c r="B265" s="5">
        <v>0</v>
      </c>
      <c r="C265" s="5">
        <v>0</v>
      </c>
      <c r="D265" s="5">
        <v>1</v>
      </c>
      <c r="E265" s="5">
        <v>205</v>
      </c>
      <c r="F265" s="5">
        <f>ROUND(Source!S250,O265)</f>
        <v>320.98</v>
      </c>
      <c r="G265" s="5" t="s">
        <v>64</v>
      </c>
      <c r="H265" s="5" t="s">
        <v>65</v>
      </c>
      <c r="I265" s="5"/>
      <c r="J265" s="5"/>
      <c r="K265" s="5">
        <v>205</v>
      </c>
      <c r="L265" s="5">
        <v>14</v>
      </c>
      <c r="M265" s="5">
        <v>3</v>
      </c>
      <c r="N265" s="5" t="s">
        <v>3</v>
      </c>
      <c r="O265" s="5">
        <v>2</v>
      </c>
      <c r="P265" s="5">
        <f>ROUND(Source!DK250,O265)</f>
        <v>17650.689999999999</v>
      </c>
      <c r="Q265" s="5"/>
      <c r="R265" s="5"/>
      <c r="S265" s="5"/>
      <c r="T265" s="5"/>
      <c r="U265" s="5"/>
      <c r="V265" s="5"/>
      <c r="W265" s="5">
        <v>320.98</v>
      </c>
      <c r="X265" s="5">
        <v>1</v>
      </c>
      <c r="Y265" s="5">
        <v>320.98</v>
      </c>
      <c r="Z265" s="5">
        <v>17650.689999999999</v>
      </c>
      <c r="AA265" s="5">
        <v>1</v>
      </c>
      <c r="AB265" s="5">
        <v>17650.689999999999</v>
      </c>
    </row>
    <row r="266" spans="1:28" x14ac:dyDescent="0.2">
      <c r="A266" s="5">
        <v>50</v>
      </c>
      <c r="B266" s="5">
        <v>0</v>
      </c>
      <c r="C266" s="5">
        <v>0</v>
      </c>
      <c r="D266" s="5">
        <v>1</v>
      </c>
      <c r="E266" s="5">
        <v>232</v>
      </c>
      <c r="F266" s="5">
        <f>ROUND(Source!BC250,O266)</f>
        <v>0</v>
      </c>
      <c r="G266" s="5" t="s">
        <v>66</v>
      </c>
      <c r="H266" s="5" t="s">
        <v>67</v>
      </c>
      <c r="I266" s="5"/>
      <c r="J266" s="5"/>
      <c r="K266" s="5">
        <v>232</v>
      </c>
      <c r="L266" s="5">
        <v>15</v>
      </c>
      <c r="M266" s="5">
        <v>3</v>
      </c>
      <c r="N266" s="5" t="s">
        <v>3</v>
      </c>
      <c r="O266" s="5">
        <v>2</v>
      </c>
      <c r="P266" s="5">
        <f>ROUND(Source!EU250,O266)</f>
        <v>0</v>
      </c>
      <c r="Q266" s="5"/>
      <c r="R266" s="5"/>
      <c r="S266" s="5"/>
      <c r="T266" s="5"/>
      <c r="U266" s="5"/>
      <c r="V266" s="5"/>
      <c r="W266" s="5">
        <v>0</v>
      </c>
      <c r="X266" s="5">
        <v>1</v>
      </c>
      <c r="Y266" s="5">
        <v>0</v>
      </c>
      <c r="Z266" s="5">
        <v>0</v>
      </c>
      <c r="AA266" s="5">
        <v>1</v>
      </c>
      <c r="AB266" s="5">
        <v>0</v>
      </c>
    </row>
    <row r="267" spans="1:28" x14ac:dyDescent="0.2">
      <c r="A267" s="5">
        <v>50</v>
      </c>
      <c r="B267" s="5">
        <v>0</v>
      </c>
      <c r="C267" s="5">
        <v>0</v>
      </c>
      <c r="D267" s="5">
        <v>1</v>
      </c>
      <c r="E267" s="5">
        <v>214</v>
      </c>
      <c r="F267" s="5">
        <f>ROUND(Source!AS250,O267)</f>
        <v>102578.3</v>
      </c>
      <c r="G267" s="5" t="s">
        <v>68</v>
      </c>
      <c r="H267" s="5" t="s">
        <v>69</v>
      </c>
      <c r="I267" s="5"/>
      <c r="J267" s="5"/>
      <c r="K267" s="5">
        <v>214</v>
      </c>
      <c r="L267" s="5">
        <v>16</v>
      </c>
      <c r="M267" s="5">
        <v>3</v>
      </c>
      <c r="N267" s="5" t="s">
        <v>3</v>
      </c>
      <c r="O267" s="5">
        <v>2</v>
      </c>
      <c r="P267" s="5">
        <f>ROUND(Source!EK250,O267)</f>
        <v>1118764.05</v>
      </c>
      <c r="Q267" s="5"/>
      <c r="R267" s="5"/>
      <c r="S267" s="5"/>
      <c r="T267" s="5"/>
      <c r="U267" s="5"/>
      <c r="V267" s="5"/>
      <c r="W267" s="5">
        <v>102578.3</v>
      </c>
      <c r="X267" s="5">
        <v>1</v>
      </c>
      <c r="Y267" s="5">
        <v>102578.3</v>
      </c>
      <c r="Z267" s="5">
        <v>1118764.05</v>
      </c>
      <c r="AA267" s="5">
        <v>1</v>
      </c>
      <c r="AB267" s="5">
        <v>1118764.05</v>
      </c>
    </row>
    <row r="268" spans="1:28" x14ac:dyDescent="0.2">
      <c r="A268" s="5">
        <v>50</v>
      </c>
      <c r="B268" s="5">
        <v>0</v>
      </c>
      <c r="C268" s="5">
        <v>0</v>
      </c>
      <c r="D268" s="5">
        <v>1</v>
      </c>
      <c r="E268" s="5">
        <v>215</v>
      </c>
      <c r="F268" s="5">
        <f>ROUND(Source!AT250,O268)</f>
        <v>676.01</v>
      </c>
      <c r="G268" s="5" t="s">
        <v>70</v>
      </c>
      <c r="H268" s="5" t="s">
        <v>71</v>
      </c>
      <c r="I268" s="5"/>
      <c r="J268" s="5"/>
      <c r="K268" s="5">
        <v>215</v>
      </c>
      <c r="L268" s="5">
        <v>17</v>
      </c>
      <c r="M268" s="5">
        <v>3</v>
      </c>
      <c r="N268" s="5" t="s">
        <v>3</v>
      </c>
      <c r="O268" s="5">
        <v>2</v>
      </c>
      <c r="P268" s="5">
        <f>ROUND(Source!EL250,O268)</f>
        <v>35228.6</v>
      </c>
      <c r="Q268" s="5"/>
      <c r="R268" s="5"/>
      <c r="S268" s="5"/>
      <c r="T268" s="5"/>
      <c r="U268" s="5"/>
      <c r="V268" s="5"/>
      <c r="W268" s="5">
        <v>676.01</v>
      </c>
      <c r="X268" s="5">
        <v>1</v>
      </c>
      <c r="Y268" s="5">
        <v>676.01</v>
      </c>
      <c r="Z268" s="5">
        <v>35228.6</v>
      </c>
      <c r="AA268" s="5">
        <v>1</v>
      </c>
      <c r="AB268" s="5">
        <v>35228.6</v>
      </c>
    </row>
    <row r="269" spans="1:28" x14ac:dyDescent="0.2">
      <c r="A269" s="5">
        <v>50</v>
      </c>
      <c r="B269" s="5">
        <v>0</v>
      </c>
      <c r="C269" s="5">
        <v>0</v>
      </c>
      <c r="D269" s="5">
        <v>1</v>
      </c>
      <c r="E269" s="5">
        <v>217</v>
      </c>
      <c r="F269" s="5">
        <f>ROUND(Source!AU250,O269)</f>
        <v>0</v>
      </c>
      <c r="G269" s="5" t="s">
        <v>72</v>
      </c>
      <c r="H269" s="5" t="s">
        <v>73</v>
      </c>
      <c r="I269" s="5"/>
      <c r="J269" s="5"/>
      <c r="K269" s="5">
        <v>217</v>
      </c>
      <c r="L269" s="5">
        <v>18</v>
      </c>
      <c r="M269" s="5">
        <v>3</v>
      </c>
      <c r="N269" s="5" t="s">
        <v>3</v>
      </c>
      <c r="O269" s="5">
        <v>2</v>
      </c>
      <c r="P269" s="5">
        <f>ROUND(Source!EM250,O269)</f>
        <v>0</v>
      </c>
      <c r="Q269" s="5"/>
      <c r="R269" s="5"/>
      <c r="S269" s="5"/>
      <c r="T269" s="5"/>
      <c r="U269" s="5"/>
      <c r="V269" s="5"/>
      <c r="W269" s="5">
        <v>0</v>
      </c>
      <c r="X269" s="5">
        <v>1</v>
      </c>
      <c r="Y269" s="5">
        <v>0</v>
      </c>
      <c r="Z269" s="5">
        <v>0</v>
      </c>
      <c r="AA269" s="5">
        <v>1</v>
      </c>
      <c r="AB269" s="5">
        <v>0</v>
      </c>
    </row>
    <row r="270" spans="1:28" x14ac:dyDescent="0.2">
      <c r="A270" s="5">
        <v>50</v>
      </c>
      <c r="B270" s="5">
        <v>0</v>
      </c>
      <c r="C270" s="5">
        <v>0</v>
      </c>
      <c r="D270" s="5">
        <v>1</v>
      </c>
      <c r="E270" s="5">
        <v>230</v>
      </c>
      <c r="F270" s="5">
        <f>ROUND(Source!BA250,O270)</f>
        <v>0</v>
      </c>
      <c r="G270" s="5" t="s">
        <v>74</v>
      </c>
      <c r="H270" s="5" t="s">
        <v>75</v>
      </c>
      <c r="I270" s="5"/>
      <c r="J270" s="5"/>
      <c r="K270" s="5">
        <v>230</v>
      </c>
      <c r="L270" s="5">
        <v>19</v>
      </c>
      <c r="M270" s="5">
        <v>3</v>
      </c>
      <c r="N270" s="5" t="s">
        <v>3</v>
      </c>
      <c r="O270" s="5">
        <v>2</v>
      </c>
      <c r="P270" s="5">
        <f>ROUND(Source!ES250,O270)</f>
        <v>0</v>
      </c>
      <c r="Q270" s="5"/>
      <c r="R270" s="5"/>
      <c r="S270" s="5"/>
      <c r="T270" s="5"/>
      <c r="U270" s="5"/>
      <c r="V270" s="5"/>
      <c r="W270" s="5">
        <v>0</v>
      </c>
      <c r="X270" s="5">
        <v>1</v>
      </c>
      <c r="Y270" s="5">
        <v>0</v>
      </c>
      <c r="Z270" s="5">
        <v>0</v>
      </c>
      <c r="AA270" s="5">
        <v>1</v>
      </c>
      <c r="AB270" s="5">
        <v>0</v>
      </c>
    </row>
    <row r="271" spans="1:28" x14ac:dyDescent="0.2">
      <c r="A271" s="5">
        <v>50</v>
      </c>
      <c r="B271" s="5">
        <v>0</v>
      </c>
      <c r="C271" s="5">
        <v>0</v>
      </c>
      <c r="D271" s="5">
        <v>1</v>
      </c>
      <c r="E271" s="5">
        <v>206</v>
      </c>
      <c r="F271" s="5">
        <f>ROUND(Source!T250,O271)</f>
        <v>0</v>
      </c>
      <c r="G271" s="5" t="s">
        <v>76</v>
      </c>
      <c r="H271" s="5" t="s">
        <v>77</v>
      </c>
      <c r="I271" s="5"/>
      <c r="J271" s="5"/>
      <c r="K271" s="5">
        <v>206</v>
      </c>
      <c r="L271" s="5">
        <v>20</v>
      </c>
      <c r="M271" s="5">
        <v>3</v>
      </c>
      <c r="N271" s="5" t="s">
        <v>3</v>
      </c>
      <c r="O271" s="5">
        <v>2</v>
      </c>
      <c r="P271" s="5">
        <f>ROUND(Source!DL250,O271)</f>
        <v>0</v>
      </c>
      <c r="Q271" s="5"/>
      <c r="R271" s="5"/>
      <c r="S271" s="5"/>
      <c r="T271" s="5"/>
      <c r="U271" s="5"/>
      <c r="V271" s="5"/>
      <c r="W271" s="5">
        <v>0</v>
      </c>
      <c r="X271" s="5">
        <v>1</v>
      </c>
      <c r="Y271" s="5">
        <v>0</v>
      </c>
      <c r="Z271" s="5">
        <v>0</v>
      </c>
      <c r="AA271" s="5">
        <v>1</v>
      </c>
      <c r="AB271" s="5">
        <v>0</v>
      </c>
    </row>
    <row r="272" spans="1:28" x14ac:dyDescent="0.2">
      <c r="A272" s="5">
        <v>50</v>
      </c>
      <c r="B272" s="5">
        <v>0</v>
      </c>
      <c r="C272" s="5">
        <v>0</v>
      </c>
      <c r="D272" s="5">
        <v>1</v>
      </c>
      <c r="E272" s="5">
        <v>207</v>
      </c>
      <c r="F272" s="5">
        <f>Source!U250</f>
        <v>24.722910795000001</v>
      </c>
      <c r="G272" s="5" t="s">
        <v>78</v>
      </c>
      <c r="H272" s="5" t="s">
        <v>79</v>
      </c>
      <c r="I272" s="5"/>
      <c r="J272" s="5"/>
      <c r="K272" s="5">
        <v>207</v>
      </c>
      <c r="L272" s="5">
        <v>21</v>
      </c>
      <c r="M272" s="5">
        <v>3</v>
      </c>
      <c r="N272" s="5" t="s">
        <v>3</v>
      </c>
      <c r="O272" s="5">
        <v>-1</v>
      </c>
      <c r="P272" s="5">
        <f>Source!DM250</f>
        <v>24.722910795000001</v>
      </c>
      <c r="Q272" s="5"/>
      <c r="R272" s="5"/>
      <c r="S272" s="5"/>
      <c r="T272" s="5"/>
      <c r="U272" s="5"/>
      <c r="V272" s="5"/>
      <c r="W272" s="5">
        <v>24.722910795000004</v>
      </c>
      <c r="X272" s="5">
        <v>1</v>
      </c>
      <c r="Y272" s="5">
        <v>24.722910795000004</v>
      </c>
      <c r="Z272" s="5">
        <v>24.722910795000004</v>
      </c>
      <c r="AA272" s="5">
        <v>1</v>
      </c>
      <c r="AB272" s="5">
        <v>24.722910795000004</v>
      </c>
    </row>
    <row r="273" spans="1:255" x14ac:dyDescent="0.2">
      <c r="A273" s="5">
        <v>50</v>
      </c>
      <c r="B273" s="5">
        <v>0</v>
      </c>
      <c r="C273" s="5">
        <v>0</v>
      </c>
      <c r="D273" s="5">
        <v>1</v>
      </c>
      <c r="E273" s="5">
        <v>208</v>
      </c>
      <c r="F273" s="5">
        <f>Source!V250</f>
        <v>0</v>
      </c>
      <c r="G273" s="5" t="s">
        <v>80</v>
      </c>
      <c r="H273" s="5" t="s">
        <v>81</v>
      </c>
      <c r="I273" s="5"/>
      <c r="J273" s="5"/>
      <c r="K273" s="5">
        <v>208</v>
      </c>
      <c r="L273" s="5">
        <v>22</v>
      </c>
      <c r="M273" s="5">
        <v>3</v>
      </c>
      <c r="N273" s="5" t="s">
        <v>3</v>
      </c>
      <c r="O273" s="5">
        <v>-1</v>
      </c>
      <c r="P273" s="5">
        <f>Source!DN250</f>
        <v>0</v>
      </c>
      <c r="Q273" s="5"/>
      <c r="R273" s="5"/>
      <c r="S273" s="5"/>
      <c r="T273" s="5"/>
      <c r="U273" s="5"/>
      <c r="V273" s="5"/>
      <c r="W273" s="5">
        <v>0</v>
      </c>
      <c r="X273" s="5">
        <v>1</v>
      </c>
      <c r="Y273" s="5">
        <v>0</v>
      </c>
      <c r="Z273" s="5">
        <v>0</v>
      </c>
      <c r="AA273" s="5">
        <v>1</v>
      </c>
      <c r="AB273" s="5">
        <v>0</v>
      </c>
    </row>
    <row r="274" spans="1:255" x14ac:dyDescent="0.2">
      <c r="A274" s="5">
        <v>50</v>
      </c>
      <c r="B274" s="5">
        <v>0</v>
      </c>
      <c r="C274" s="5">
        <v>0</v>
      </c>
      <c r="D274" s="5">
        <v>1</v>
      </c>
      <c r="E274" s="5">
        <v>209</v>
      </c>
      <c r="F274" s="5">
        <f>ROUND(Source!W250,O274)</f>
        <v>0</v>
      </c>
      <c r="G274" s="5" t="s">
        <v>82</v>
      </c>
      <c r="H274" s="5" t="s">
        <v>83</v>
      </c>
      <c r="I274" s="5"/>
      <c r="J274" s="5"/>
      <c r="K274" s="5">
        <v>209</v>
      </c>
      <c r="L274" s="5">
        <v>23</v>
      </c>
      <c r="M274" s="5">
        <v>3</v>
      </c>
      <c r="N274" s="5" t="s">
        <v>3</v>
      </c>
      <c r="O274" s="5">
        <v>2</v>
      </c>
      <c r="P274" s="5">
        <f>ROUND(Source!DO250,O274)</f>
        <v>0</v>
      </c>
      <c r="Q274" s="5"/>
      <c r="R274" s="5"/>
      <c r="S274" s="5"/>
      <c r="T274" s="5"/>
      <c r="U274" s="5"/>
      <c r="V274" s="5"/>
      <c r="W274" s="5">
        <v>0</v>
      </c>
      <c r="X274" s="5">
        <v>1</v>
      </c>
      <c r="Y274" s="5">
        <v>0</v>
      </c>
      <c r="Z274" s="5">
        <v>0</v>
      </c>
      <c r="AA274" s="5">
        <v>1</v>
      </c>
      <c r="AB274" s="5">
        <v>0</v>
      </c>
    </row>
    <row r="275" spans="1:255" x14ac:dyDescent="0.2">
      <c r="A275" s="5">
        <v>50</v>
      </c>
      <c r="B275" s="5">
        <v>0</v>
      </c>
      <c r="C275" s="5">
        <v>0</v>
      </c>
      <c r="D275" s="5">
        <v>1</v>
      </c>
      <c r="E275" s="5">
        <v>233</v>
      </c>
      <c r="F275" s="5">
        <f>ROUND(Source!BD250,O275)</f>
        <v>0</v>
      </c>
      <c r="G275" s="5" t="s">
        <v>84</v>
      </c>
      <c r="H275" s="5" t="s">
        <v>85</v>
      </c>
      <c r="I275" s="5"/>
      <c r="J275" s="5"/>
      <c r="K275" s="5">
        <v>233</v>
      </c>
      <c r="L275" s="5">
        <v>24</v>
      </c>
      <c r="M275" s="5">
        <v>3</v>
      </c>
      <c r="N275" s="5" t="s">
        <v>3</v>
      </c>
      <c r="O275" s="5">
        <v>2</v>
      </c>
      <c r="P275" s="5">
        <f>ROUND(Source!EV250,O275)</f>
        <v>0</v>
      </c>
      <c r="Q275" s="5"/>
      <c r="R275" s="5"/>
      <c r="S275" s="5"/>
      <c r="T275" s="5"/>
      <c r="U275" s="5"/>
      <c r="V275" s="5"/>
      <c r="W275" s="5">
        <v>0</v>
      </c>
      <c r="X275" s="5">
        <v>1</v>
      </c>
      <c r="Y275" s="5">
        <v>0</v>
      </c>
      <c r="Z275" s="5">
        <v>0</v>
      </c>
      <c r="AA275" s="5">
        <v>1</v>
      </c>
      <c r="AB275" s="5">
        <v>0</v>
      </c>
    </row>
    <row r="276" spans="1:255" x14ac:dyDescent="0.2">
      <c r="A276" s="5">
        <v>50</v>
      </c>
      <c r="B276" s="5">
        <v>0</v>
      </c>
      <c r="C276" s="5">
        <v>0</v>
      </c>
      <c r="D276" s="5">
        <v>1</v>
      </c>
      <c r="E276" s="5">
        <v>210</v>
      </c>
      <c r="F276" s="5">
        <f>ROUND(Source!X250,O276)</f>
        <v>298.88</v>
      </c>
      <c r="G276" s="5" t="s">
        <v>86</v>
      </c>
      <c r="H276" s="5" t="s">
        <v>87</v>
      </c>
      <c r="I276" s="5"/>
      <c r="J276" s="5"/>
      <c r="K276" s="5">
        <v>210</v>
      </c>
      <c r="L276" s="5">
        <v>25</v>
      </c>
      <c r="M276" s="5">
        <v>3</v>
      </c>
      <c r="N276" s="5" t="s">
        <v>3</v>
      </c>
      <c r="O276" s="5">
        <v>2</v>
      </c>
      <c r="P276" s="5">
        <f>ROUND(Source!DP250,O276)</f>
        <v>16435.29</v>
      </c>
      <c r="Q276" s="5"/>
      <c r="R276" s="5"/>
      <c r="S276" s="5"/>
      <c r="T276" s="5"/>
      <c r="U276" s="5"/>
      <c r="V276" s="5"/>
      <c r="W276" s="5">
        <v>298.88</v>
      </c>
      <c r="X276" s="5">
        <v>1</v>
      </c>
      <c r="Y276" s="5">
        <v>298.88</v>
      </c>
      <c r="Z276" s="5">
        <v>16435.29</v>
      </c>
      <c r="AA276" s="5">
        <v>1</v>
      </c>
      <c r="AB276" s="5">
        <v>16435.29</v>
      </c>
    </row>
    <row r="277" spans="1:255" x14ac:dyDescent="0.2">
      <c r="A277" s="5">
        <v>50</v>
      </c>
      <c r="B277" s="5">
        <v>0</v>
      </c>
      <c r="C277" s="5">
        <v>0</v>
      </c>
      <c r="D277" s="5">
        <v>1</v>
      </c>
      <c r="E277" s="5">
        <v>211</v>
      </c>
      <c r="F277" s="5">
        <f>ROUND(Source!Y250,O277)</f>
        <v>155.53</v>
      </c>
      <c r="G277" s="5" t="s">
        <v>88</v>
      </c>
      <c r="H277" s="5" t="s">
        <v>89</v>
      </c>
      <c r="I277" s="5"/>
      <c r="J277" s="5"/>
      <c r="K277" s="5">
        <v>211</v>
      </c>
      <c r="L277" s="5">
        <v>26</v>
      </c>
      <c r="M277" s="5">
        <v>3</v>
      </c>
      <c r="N277" s="5" t="s">
        <v>3</v>
      </c>
      <c r="O277" s="5">
        <v>2</v>
      </c>
      <c r="P277" s="5">
        <f>ROUND(Source!DQ250,O277)</f>
        <v>8552.7199999999993</v>
      </c>
      <c r="Q277" s="5"/>
      <c r="R277" s="5"/>
      <c r="S277" s="5"/>
      <c r="T277" s="5"/>
      <c r="U277" s="5"/>
      <c r="V277" s="5"/>
      <c r="W277" s="5">
        <v>155.53</v>
      </c>
      <c r="X277" s="5">
        <v>1</v>
      </c>
      <c r="Y277" s="5">
        <v>155.53</v>
      </c>
      <c r="Z277" s="5">
        <v>8552.7199999999993</v>
      </c>
      <c r="AA277" s="5">
        <v>1</v>
      </c>
      <c r="AB277" s="5">
        <v>8552.7199999999993</v>
      </c>
    </row>
    <row r="278" spans="1:255" x14ac:dyDescent="0.2">
      <c r="A278" s="5">
        <v>50</v>
      </c>
      <c r="B278" s="5">
        <v>0</v>
      </c>
      <c r="C278" s="5">
        <v>0</v>
      </c>
      <c r="D278" s="5">
        <v>1</v>
      </c>
      <c r="E278" s="5">
        <v>224</v>
      </c>
      <c r="F278" s="5">
        <f>ROUND(Source!AR250,O278)</f>
        <v>103254.31</v>
      </c>
      <c r="G278" s="5" t="s">
        <v>90</v>
      </c>
      <c r="H278" s="5" t="s">
        <v>91</v>
      </c>
      <c r="I278" s="5"/>
      <c r="J278" s="5"/>
      <c r="K278" s="5">
        <v>224</v>
      </c>
      <c r="L278" s="5">
        <v>27</v>
      </c>
      <c r="M278" s="5">
        <v>3</v>
      </c>
      <c r="N278" s="5" t="s">
        <v>3</v>
      </c>
      <c r="O278" s="5">
        <v>2</v>
      </c>
      <c r="P278" s="5">
        <f>ROUND(Source!EJ250,O278)</f>
        <v>1153992.6499999999</v>
      </c>
      <c r="Q278" s="5"/>
      <c r="R278" s="5"/>
      <c r="S278" s="5"/>
      <c r="T278" s="5"/>
      <c r="U278" s="5"/>
      <c r="V278" s="5"/>
      <c r="W278" s="5">
        <v>103254.31</v>
      </c>
      <c r="X278" s="5">
        <v>1</v>
      </c>
      <c r="Y278" s="5">
        <v>103254.31</v>
      </c>
      <c r="Z278" s="5">
        <v>1153992.6499999999</v>
      </c>
      <c r="AA278" s="5">
        <v>1</v>
      </c>
      <c r="AB278" s="5">
        <v>1153992.6499999999</v>
      </c>
    </row>
    <row r="280" spans="1:255" x14ac:dyDescent="0.2">
      <c r="A280" s="1">
        <v>4</v>
      </c>
      <c r="B280" s="1">
        <v>1</v>
      </c>
      <c r="C280" s="1"/>
      <c r="D280" s="1">
        <f>ROW(A313)</f>
        <v>313</v>
      </c>
      <c r="E280" s="1"/>
      <c r="F280" s="1" t="s">
        <v>3</v>
      </c>
      <c r="G280" s="1" t="s">
        <v>367</v>
      </c>
      <c r="H280" s="1" t="s">
        <v>3</v>
      </c>
      <c r="I280" s="1">
        <v>0</v>
      </c>
      <c r="J280" s="1"/>
      <c r="K280" s="1">
        <v>-1</v>
      </c>
      <c r="L280" s="1"/>
      <c r="M280" s="1" t="s">
        <v>3</v>
      </c>
      <c r="N280" s="1"/>
      <c r="O280" s="1"/>
      <c r="P280" s="1"/>
      <c r="Q280" s="1"/>
      <c r="R280" s="1"/>
      <c r="S280" s="1">
        <v>0</v>
      </c>
      <c r="T280" s="1">
        <v>0</v>
      </c>
      <c r="U280" s="1" t="s">
        <v>3</v>
      </c>
      <c r="V280" s="1">
        <v>0</v>
      </c>
      <c r="W280" s="1"/>
      <c r="X280" s="1"/>
      <c r="Y280" s="1"/>
      <c r="Z280" s="1"/>
      <c r="AA280" s="1"/>
      <c r="AB280" s="1" t="s">
        <v>3</v>
      </c>
      <c r="AC280" s="1" t="s">
        <v>3</v>
      </c>
      <c r="AD280" s="1" t="s">
        <v>3</v>
      </c>
      <c r="AE280" s="1" t="s">
        <v>3</v>
      </c>
      <c r="AF280" s="1" t="s">
        <v>3</v>
      </c>
      <c r="AG280" s="1" t="s">
        <v>3</v>
      </c>
      <c r="AH280" s="1"/>
      <c r="AI280" s="1"/>
      <c r="AJ280" s="1"/>
      <c r="AK280" s="1"/>
      <c r="AL280" s="1"/>
      <c r="AM280" s="1"/>
      <c r="AN280" s="1"/>
      <c r="AO280" s="1"/>
      <c r="AP280" s="1" t="s">
        <v>3</v>
      </c>
      <c r="AQ280" s="1" t="s">
        <v>3</v>
      </c>
      <c r="AR280" s="1" t="s">
        <v>3</v>
      </c>
      <c r="AS280" s="1"/>
      <c r="AT280" s="1"/>
      <c r="AU280" s="1"/>
      <c r="AV280" s="1"/>
      <c r="AW280" s="1"/>
      <c r="AX280" s="1"/>
      <c r="AY280" s="1"/>
      <c r="AZ280" s="1" t="s">
        <v>3</v>
      </c>
      <c r="BA280" s="1"/>
      <c r="BB280" s="1" t="s">
        <v>3</v>
      </c>
      <c r="BC280" s="1" t="s">
        <v>3</v>
      </c>
      <c r="BD280" s="1" t="s">
        <v>3</v>
      </c>
      <c r="BE280" s="1" t="s">
        <v>3</v>
      </c>
      <c r="BF280" s="1" t="s">
        <v>3</v>
      </c>
      <c r="BG280" s="1" t="s">
        <v>3</v>
      </c>
      <c r="BH280" s="1" t="s">
        <v>3</v>
      </c>
      <c r="BI280" s="1" t="s">
        <v>3</v>
      </c>
      <c r="BJ280" s="1" t="s">
        <v>3</v>
      </c>
      <c r="BK280" s="1" t="s">
        <v>3</v>
      </c>
      <c r="BL280" s="1" t="s">
        <v>3</v>
      </c>
      <c r="BM280" s="1" t="s">
        <v>3</v>
      </c>
      <c r="BN280" s="1" t="s">
        <v>3</v>
      </c>
      <c r="BO280" s="1" t="s">
        <v>3</v>
      </c>
      <c r="BP280" s="1" t="s">
        <v>3</v>
      </c>
      <c r="BQ280" s="1"/>
      <c r="BR280" s="1"/>
      <c r="BS280" s="1"/>
      <c r="BT280" s="1"/>
      <c r="BU280" s="1"/>
      <c r="BV280" s="1"/>
      <c r="BW280" s="1"/>
      <c r="BX280" s="1">
        <v>0</v>
      </c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>
        <v>0</v>
      </c>
    </row>
    <row r="282" spans="1:255" x14ac:dyDescent="0.2">
      <c r="A282" s="3">
        <v>52</v>
      </c>
      <c r="B282" s="3">
        <f t="shared" ref="B282:G282" si="322">B313</f>
        <v>1</v>
      </c>
      <c r="C282" s="3">
        <f t="shared" si="322"/>
        <v>4</v>
      </c>
      <c r="D282" s="3">
        <f t="shared" si="322"/>
        <v>280</v>
      </c>
      <c r="E282" s="3">
        <f t="shared" si="322"/>
        <v>0</v>
      </c>
      <c r="F282" s="3" t="str">
        <f t="shared" si="322"/>
        <v/>
      </c>
      <c r="G282" s="3" t="str">
        <f t="shared" si="322"/>
        <v>Трубы стальные</v>
      </c>
      <c r="H282" s="3"/>
      <c r="I282" s="3"/>
      <c r="J282" s="3"/>
      <c r="K282" s="3"/>
      <c r="L282" s="3"/>
      <c r="M282" s="3"/>
      <c r="N282" s="3"/>
      <c r="O282" s="3">
        <f t="shared" ref="O282:AT282" si="323">O313</f>
        <v>170315.59</v>
      </c>
      <c r="P282" s="3">
        <f t="shared" si="323"/>
        <v>143852.88</v>
      </c>
      <c r="Q282" s="3">
        <f t="shared" si="323"/>
        <v>2916.71</v>
      </c>
      <c r="R282" s="3">
        <f t="shared" si="323"/>
        <v>389.66</v>
      </c>
      <c r="S282" s="3">
        <f t="shared" si="323"/>
        <v>23546</v>
      </c>
      <c r="T282" s="3">
        <f t="shared" si="323"/>
        <v>0</v>
      </c>
      <c r="U282" s="3">
        <f t="shared" si="323"/>
        <v>1882.6112789000001</v>
      </c>
      <c r="V282" s="3">
        <f t="shared" si="323"/>
        <v>0</v>
      </c>
      <c r="W282" s="3">
        <f t="shared" si="323"/>
        <v>0</v>
      </c>
      <c r="X282" s="3">
        <f t="shared" si="323"/>
        <v>26089.87</v>
      </c>
      <c r="Y282" s="3">
        <f t="shared" si="323"/>
        <v>14600.75</v>
      </c>
      <c r="Z282" s="3">
        <f t="shared" si="323"/>
        <v>0</v>
      </c>
      <c r="AA282" s="3">
        <f t="shared" si="323"/>
        <v>0</v>
      </c>
      <c r="AB282" s="3">
        <f t="shared" si="323"/>
        <v>170315.59</v>
      </c>
      <c r="AC282" s="3">
        <f t="shared" si="323"/>
        <v>143852.88</v>
      </c>
      <c r="AD282" s="3">
        <f t="shared" si="323"/>
        <v>2916.71</v>
      </c>
      <c r="AE282" s="3">
        <f t="shared" si="323"/>
        <v>389.66</v>
      </c>
      <c r="AF282" s="3">
        <f t="shared" si="323"/>
        <v>23546</v>
      </c>
      <c r="AG282" s="3">
        <f t="shared" si="323"/>
        <v>0</v>
      </c>
      <c r="AH282" s="3">
        <f t="shared" si="323"/>
        <v>1882.6112789000001</v>
      </c>
      <c r="AI282" s="3">
        <f t="shared" si="323"/>
        <v>0</v>
      </c>
      <c r="AJ282" s="3">
        <f t="shared" si="323"/>
        <v>0</v>
      </c>
      <c r="AK282" s="3">
        <f t="shared" si="323"/>
        <v>26089.87</v>
      </c>
      <c r="AL282" s="3">
        <f t="shared" si="323"/>
        <v>14600.75</v>
      </c>
      <c r="AM282" s="3">
        <f t="shared" si="323"/>
        <v>0</v>
      </c>
      <c r="AN282" s="3">
        <f t="shared" si="323"/>
        <v>0</v>
      </c>
      <c r="AO282" s="3">
        <f t="shared" si="323"/>
        <v>0</v>
      </c>
      <c r="AP282" s="3">
        <f t="shared" si="323"/>
        <v>0</v>
      </c>
      <c r="AQ282" s="3">
        <f t="shared" si="323"/>
        <v>0</v>
      </c>
      <c r="AR282" s="3">
        <f t="shared" si="323"/>
        <v>211006.21</v>
      </c>
      <c r="AS282" s="3">
        <f t="shared" si="323"/>
        <v>211006.21</v>
      </c>
      <c r="AT282" s="3">
        <f t="shared" si="323"/>
        <v>0</v>
      </c>
      <c r="AU282" s="3">
        <f t="shared" ref="AU282:BZ282" si="324">AU313</f>
        <v>0</v>
      </c>
      <c r="AV282" s="3">
        <f t="shared" si="324"/>
        <v>143852.88</v>
      </c>
      <c r="AW282" s="3">
        <f t="shared" si="324"/>
        <v>143852.88</v>
      </c>
      <c r="AX282" s="3">
        <f t="shared" si="324"/>
        <v>0</v>
      </c>
      <c r="AY282" s="3">
        <f t="shared" si="324"/>
        <v>143852.88</v>
      </c>
      <c r="AZ282" s="3">
        <f t="shared" si="324"/>
        <v>0</v>
      </c>
      <c r="BA282" s="3">
        <f t="shared" si="324"/>
        <v>0</v>
      </c>
      <c r="BB282" s="3">
        <f t="shared" si="324"/>
        <v>0</v>
      </c>
      <c r="BC282" s="3">
        <f t="shared" si="324"/>
        <v>0</v>
      </c>
      <c r="BD282" s="3">
        <f t="shared" si="324"/>
        <v>0</v>
      </c>
      <c r="BE282" s="3">
        <f t="shared" si="324"/>
        <v>0</v>
      </c>
      <c r="BF282" s="3">
        <f t="shared" si="324"/>
        <v>0</v>
      </c>
      <c r="BG282" s="3">
        <f t="shared" si="324"/>
        <v>0</v>
      </c>
      <c r="BH282" s="3">
        <f t="shared" si="324"/>
        <v>0</v>
      </c>
      <c r="BI282" s="3">
        <f t="shared" si="324"/>
        <v>0</v>
      </c>
      <c r="BJ282" s="3">
        <f t="shared" si="324"/>
        <v>0</v>
      </c>
      <c r="BK282" s="3">
        <f t="shared" si="324"/>
        <v>0</v>
      </c>
      <c r="BL282" s="3">
        <f t="shared" si="324"/>
        <v>0</v>
      </c>
      <c r="BM282" s="3">
        <f t="shared" si="324"/>
        <v>0</v>
      </c>
      <c r="BN282" s="3">
        <f t="shared" si="324"/>
        <v>0</v>
      </c>
      <c r="BO282" s="3">
        <f t="shared" si="324"/>
        <v>0</v>
      </c>
      <c r="BP282" s="3">
        <f t="shared" si="324"/>
        <v>0</v>
      </c>
      <c r="BQ282" s="3">
        <f t="shared" si="324"/>
        <v>0</v>
      </c>
      <c r="BR282" s="3">
        <f t="shared" si="324"/>
        <v>0</v>
      </c>
      <c r="BS282" s="3">
        <f t="shared" si="324"/>
        <v>0</v>
      </c>
      <c r="BT282" s="3">
        <f t="shared" si="324"/>
        <v>0</v>
      </c>
      <c r="BU282" s="3">
        <f t="shared" si="324"/>
        <v>0</v>
      </c>
      <c r="BV282" s="3">
        <f t="shared" si="324"/>
        <v>0</v>
      </c>
      <c r="BW282" s="3">
        <f t="shared" si="324"/>
        <v>0</v>
      </c>
      <c r="BX282" s="3">
        <f t="shared" si="324"/>
        <v>0</v>
      </c>
      <c r="BY282" s="3">
        <f t="shared" si="324"/>
        <v>0</v>
      </c>
      <c r="BZ282" s="3">
        <f t="shared" si="324"/>
        <v>0</v>
      </c>
      <c r="CA282" s="3">
        <f t="shared" ref="CA282:DF282" si="325">CA313</f>
        <v>211006.21</v>
      </c>
      <c r="CB282" s="3">
        <f t="shared" si="325"/>
        <v>211006.21</v>
      </c>
      <c r="CC282" s="3">
        <f t="shared" si="325"/>
        <v>0</v>
      </c>
      <c r="CD282" s="3">
        <f t="shared" si="325"/>
        <v>0</v>
      </c>
      <c r="CE282" s="3">
        <f t="shared" si="325"/>
        <v>143852.88</v>
      </c>
      <c r="CF282" s="3">
        <f t="shared" si="325"/>
        <v>143852.88</v>
      </c>
      <c r="CG282" s="3">
        <f t="shared" si="325"/>
        <v>0</v>
      </c>
      <c r="CH282" s="3">
        <f t="shared" si="325"/>
        <v>143852.88</v>
      </c>
      <c r="CI282" s="3">
        <f t="shared" si="325"/>
        <v>0</v>
      </c>
      <c r="CJ282" s="3">
        <f t="shared" si="325"/>
        <v>0</v>
      </c>
      <c r="CK282" s="3">
        <f t="shared" si="325"/>
        <v>0</v>
      </c>
      <c r="CL282" s="3">
        <f t="shared" si="325"/>
        <v>0</v>
      </c>
      <c r="CM282" s="3">
        <f t="shared" si="325"/>
        <v>0</v>
      </c>
      <c r="CN282" s="3">
        <f t="shared" si="325"/>
        <v>0</v>
      </c>
      <c r="CO282" s="3">
        <f t="shared" si="325"/>
        <v>0</v>
      </c>
      <c r="CP282" s="3">
        <f t="shared" si="325"/>
        <v>0</v>
      </c>
      <c r="CQ282" s="3">
        <f t="shared" si="325"/>
        <v>0</v>
      </c>
      <c r="CR282" s="3">
        <f t="shared" si="325"/>
        <v>0</v>
      </c>
      <c r="CS282" s="3">
        <f t="shared" si="325"/>
        <v>0</v>
      </c>
      <c r="CT282" s="3">
        <f t="shared" si="325"/>
        <v>0</v>
      </c>
      <c r="CU282" s="3">
        <f t="shared" si="325"/>
        <v>0</v>
      </c>
      <c r="CV282" s="3">
        <f t="shared" si="325"/>
        <v>0</v>
      </c>
      <c r="CW282" s="3">
        <f t="shared" si="325"/>
        <v>0</v>
      </c>
      <c r="CX282" s="3">
        <f t="shared" si="325"/>
        <v>0</v>
      </c>
      <c r="CY282" s="3">
        <f t="shared" si="325"/>
        <v>0</v>
      </c>
      <c r="CZ282" s="3">
        <f t="shared" si="325"/>
        <v>0</v>
      </c>
      <c r="DA282" s="3">
        <f t="shared" si="325"/>
        <v>0</v>
      </c>
      <c r="DB282" s="3">
        <f t="shared" si="325"/>
        <v>0</v>
      </c>
      <c r="DC282" s="3">
        <f t="shared" si="325"/>
        <v>0</v>
      </c>
      <c r="DD282" s="3">
        <f t="shared" si="325"/>
        <v>0</v>
      </c>
      <c r="DE282" s="3">
        <f t="shared" si="325"/>
        <v>0</v>
      </c>
      <c r="DF282" s="3">
        <f t="shared" si="325"/>
        <v>0</v>
      </c>
      <c r="DG282" s="4">
        <f t="shared" ref="DG282:EL282" si="326">DG313</f>
        <v>3126632.85</v>
      </c>
      <c r="DH282" s="4">
        <f t="shared" si="326"/>
        <v>1786685.75</v>
      </c>
      <c r="DI282" s="4">
        <f t="shared" si="326"/>
        <v>45152.56</v>
      </c>
      <c r="DJ282" s="4">
        <f t="shared" si="326"/>
        <v>21427.42</v>
      </c>
      <c r="DK282" s="4">
        <f t="shared" si="326"/>
        <v>1294794.54</v>
      </c>
      <c r="DL282" s="4">
        <f t="shared" si="326"/>
        <v>0</v>
      </c>
      <c r="DM282" s="4">
        <f t="shared" si="326"/>
        <v>1882.6112789000001</v>
      </c>
      <c r="DN282" s="4">
        <f t="shared" si="326"/>
        <v>0</v>
      </c>
      <c r="DO282" s="4">
        <f t="shared" si="326"/>
        <v>0</v>
      </c>
      <c r="DP282" s="4">
        <f t="shared" si="326"/>
        <v>1434681.93</v>
      </c>
      <c r="DQ282" s="4">
        <f t="shared" si="326"/>
        <v>802895.39</v>
      </c>
      <c r="DR282" s="4">
        <f t="shared" si="326"/>
        <v>0</v>
      </c>
      <c r="DS282" s="4">
        <f t="shared" si="326"/>
        <v>0</v>
      </c>
      <c r="DT282" s="4">
        <f t="shared" si="326"/>
        <v>3126632.85</v>
      </c>
      <c r="DU282" s="4">
        <f t="shared" si="326"/>
        <v>1786685.75</v>
      </c>
      <c r="DV282" s="4">
        <f t="shared" si="326"/>
        <v>45152.56</v>
      </c>
      <c r="DW282" s="4">
        <f t="shared" si="326"/>
        <v>21427.42</v>
      </c>
      <c r="DX282" s="4">
        <f t="shared" si="326"/>
        <v>1294794.54</v>
      </c>
      <c r="DY282" s="4">
        <f t="shared" si="326"/>
        <v>0</v>
      </c>
      <c r="DZ282" s="4">
        <f t="shared" si="326"/>
        <v>1882.6112789000001</v>
      </c>
      <c r="EA282" s="4">
        <f t="shared" si="326"/>
        <v>0</v>
      </c>
      <c r="EB282" s="4">
        <f t="shared" si="326"/>
        <v>0</v>
      </c>
      <c r="EC282" s="4">
        <f t="shared" si="326"/>
        <v>1434681.93</v>
      </c>
      <c r="ED282" s="4">
        <f t="shared" si="326"/>
        <v>802895.39</v>
      </c>
      <c r="EE282" s="4">
        <f t="shared" si="326"/>
        <v>0</v>
      </c>
      <c r="EF282" s="4">
        <f t="shared" si="326"/>
        <v>0</v>
      </c>
      <c r="EG282" s="4">
        <f t="shared" si="326"/>
        <v>0</v>
      </c>
      <c r="EH282" s="4">
        <f t="shared" si="326"/>
        <v>0</v>
      </c>
      <c r="EI282" s="4">
        <f t="shared" si="326"/>
        <v>0</v>
      </c>
      <c r="EJ282" s="4">
        <f t="shared" si="326"/>
        <v>5364210.17</v>
      </c>
      <c r="EK282" s="4">
        <f t="shared" si="326"/>
        <v>5364210.17</v>
      </c>
      <c r="EL282" s="4">
        <f t="shared" si="326"/>
        <v>0</v>
      </c>
      <c r="EM282" s="4">
        <f t="shared" ref="EM282:FR282" si="327">EM313</f>
        <v>0</v>
      </c>
      <c r="EN282" s="4">
        <f t="shared" si="327"/>
        <v>1786685.75</v>
      </c>
      <c r="EO282" s="4">
        <f t="shared" si="327"/>
        <v>1786685.75</v>
      </c>
      <c r="EP282" s="4">
        <f t="shared" si="327"/>
        <v>0</v>
      </c>
      <c r="EQ282" s="4">
        <f t="shared" si="327"/>
        <v>1786685.75</v>
      </c>
      <c r="ER282" s="4">
        <f t="shared" si="327"/>
        <v>0</v>
      </c>
      <c r="ES282" s="4">
        <f t="shared" si="327"/>
        <v>0</v>
      </c>
      <c r="ET282" s="4">
        <f t="shared" si="327"/>
        <v>0</v>
      </c>
      <c r="EU282" s="4">
        <f t="shared" si="327"/>
        <v>0</v>
      </c>
      <c r="EV282" s="4">
        <f t="shared" si="327"/>
        <v>0</v>
      </c>
      <c r="EW282" s="4">
        <f t="shared" si="327"/>
        <v>0</v>
      </c>
      <c r="EX282" s="4">
        <f t="shared" si="327"/>
        <v>0</v>
      </c>
      <c r="EY282" s="4">
        <f t="shared" si="327"/>
        <v>0</v>
      </c>
      <c r="EZ282" s="4">
        <f t="shared" si="327"/>
        <v>0</v>
      </c>
      <c r="FA282" s="4">
        <f t="shared" si="327"/>
        <v>0</v>
      </c>
      <c r="FB282" s="4">
        <f t="shared" si="327"/>
        <v>0</v>
      </c>
      <c r="FC282" s="4">
        <f t="shared" si="327"/>
        <v>0</v>
      </c>
      <c r="FD282" s="4">
        <f t="shared" si="327"/>
        <v>0</v>
      </c>
      <c r="FE282" s="4">
        <f t="shared" si="327"/>
        <v>0</v>
      </c>
      <c r="FF282" s="4">
        <f t="shared" si="327"/>
        <v>0</v>
      </c>
      <c r="FG282" s="4">
        <f t="shared" si="327"/>
        <v>0</v>
      </c>
      <c r="FH282" s="4">
        <f t="shared" si="327"/>
        <v>0</v>
      </c>
      <c r="FI282" s="4">
        <f t="shared" si="327"/>
        <v>0</v>
      </c>
      <c r="FJ282" s="4">
        <f t="shared" si="327"/>
        <v>0</v>
      </c>
      <c r="FK282" s="4">
        <f t="shared" si="327"/>
        <v>0</v>
      </c>
      <c r="FL282" s="4">
        <f t="shared" si="327"/>
        <v>0</v>
      </c>
      <c r="FM282" s="4">
        <f t="shared" si="327"/>
        <v>0</v>
      </c>
      <c r="FN282" s="4">
        <f t="shared" si="327"/>
        <v>0</v>
      </c>
      <c r="FO282" s="4">
        <f t="shared" si="327"/>
        <v>0</v>
      </c>
      <c r="FP282" s="4">
        <f t="shared" si="327"/>
        <v>0</v>
      </c>
      <c r="FQ282" s="4">
        <f t="shared" si="327"/>
        <v>0</v>
      </c>
      <c r="FR282" s="4">
        <f t="shared" si="327"/>
        <v>0</v>
      </c>
      <c r="FS282" s="4">
        <f t="shared" ref="FS282:GX282" si="328">FS313</f>
        <v>5364210.17</v>
      </c>
      <c r="FT282" s="4">
        <f t="shared" si="328"/>
        <v>5364210.17</v>
      </c>
      <c r="FU282" s="4">
        <f t="shared" si="328"/>
        <v>0</v>
      </c>
      <c r="FV282" s="4">
        <f t="shared" si="328"/>
        <v>0</v>
      </c>
      <c r="FW282" s="4">
        <f t="shared" si="328"/>
        <v>1786685.75</v>
      </c>
      <c r="FX282" s="4">
        <f t="shared" si="328"/>
        <v>1786685.75</v>
      </c>
      <c r="FY282" s="4">
        <f t="shared" si="328"/>
        <v>0</v>
      </c>
      <c r="FZ282" s="4">
        <f t="shared" si="328"/>
        <v>1786685.75</v>
      </c>
      <c r="GA282" s="4">
        <f t="shared" si="328"/>
        <v>0</v>
      </c>
      <c r="GB282" s="4">
        <f t="shared" si="328"/>
        <v>0</v>
      </c>
      <c r="GC282" s="4">
        <f t="shared" si="328"/>
        <v>0</v>
      </c>
      <c r="GD282" s="4">
        <f t="shared" si="328"/>
        <v>0</v>
      </c>
      <c r="GE282" s="4">
        <f t="shared" si="328"/>
        <v>0</v>
      </c>
      <c r="GF282" s="4">
        <f t="shared" si="328"/>
        <v>0</v>
      </c>
      <c r="GG282" s="4">
        <f t="shared" si="328"/>
        <v>0</v>
      </c>
      <c r="GH282" s="4">
        <f t="shared" si="328"/>
        <v>0</v>
      </c>
      <c r="GI282" s="4">
        <f t="shared" si="328"/>
        <v>0</v>
      </c>
      <c r="GJ282" s="4">
        <f t="shared" si="328"/>
        <v>0</v>
      </c>
      <c r="GK282" s="4">
        <f t="shared" si="328"/>
        <v>0</v>
      </c>
      <c r="GL282" s="4">
        <f t="shared" si="328"/>
        <v>0</v>
      </c>
      <c r="GM282" s="4">
        <f t="shared" si="328"/>
        <v>0</v>
      </c>
      <c r="GN282" s="4">
        <f t="shared" si="328"/>
        <v>0</v>
      </c>
      <c r="GO282" s="4">
        <f t="shared" si="328"/>
        <v>0</v>
      </c>
      <c r="GP282" s="4">
        <f t="shared" si="328"/>
        <v>0</v>
      </c>
      <c r="GQ282" s="4">
        <f t="shared" si="328"/>
        <v>0</v>
      </c>
      <c r="GR282" s="4">
        <f t="shared" si="328"/>
        <v>0</v>
      </c>
      <c r="GS282" s="4">
        <f t="shared" si="328"/>
        <v>0</v>
      </c>
      <c r="GT282" s="4">
        <f t="shared" si="328"/>
        <v>0</v>
      </c>
      <c r="GU282" s="4">
        <f t="shared" si="328"/>
        <v>0</v>
      </c>
      <c r="GV282" s="4">
        <f t="shared" si="328"/>
        <v>0</v>
      </c>
      <c r="GW282" s="4">
        <f t="shared" si="328"/>
        <v>0</v>
      </c>
      <c r="GX282" s="4">
        <f t="shared" si="328"/>
        <v>0</v>
      </c>
    </row>
    <row r="284" spans="1:255" x14ac:dyDescent="0.2">
      <c r="A284" s="2">
        <v>17</v>
      </c>
      <c r="B284" s="2">
        <v>1</v>
      </c>
      <c r="C284" s="2">
        <f>ROW(SmtRes!A307)</f>
        <v>307</v>
      </c>
      <c r="D284" s="2">
        <f>ROW(EtalonRes!A339)</f>
        <v>339</v>
      </c>
      <c r="E284" s="2" t="s">
        <v>368</v>
      </c>
      <c r="F284" s="2" t="s">
        <v>369</v>
      </c>
      <c r="G284" s="2" t="s">
        <v>370</v>
      </c>
      <c r="H284" s="2" t="s">
        <v>371</v>
      </c>
      <c r="I284" s="2">
        <f>ROUND(3400/100,9)</f>
        <v>34</v>
      </c>
      <c r="J284" s="2">
        <v>0</v>
      </c>
      <c r="K284" s="2">
        <f>ROUND(3400/100,9)</f>
        <v>34</v>
      </c>
      <c r="L284" s="2"/>
      <c r="M284" s="2"/>
      <c r="N284" s="2"/>
      <c r="O284" s="2">
        <f t="shared" ref="O284:O311" si="329">ROUND(CP284,2)</f>
        <v>20209.849999999999</v>
      </c>
      <c r="P284" s="2">
        <f t="shared" ref="P284:P311" si="330">ROUND((ROUND((AC284*AW284*I284),2)*BC284),2)</f>
        <v>1093.78</v>
      </c>
      <c r="Q284" s="2">
        <f>(ROUND((ROUND(((((ET284*1.25)*1.1))*AV284*I284),2)*BB284),2)+ROUND((ROUND(((AE284-(((EU284*1.25)*1.1)))*AV284*I284),2)*BS284),2))</f>
        <v>2092.56</v>
      </c>
      <c r="R284" s="2">
        <f>(ROUND((ROUND(((((EU284*1.25)*1.1))*AV284*I284),2)*BS284),2)+ROUND((ROUND(((AE284-(((EU284*1.25)*1.1)))*AV284*I284),2)*BS284),2))</f>
        <v>279.33999999999997</v>
      </c>
      <c r="S284" s="2">
        <f t="shared" ref="S284:S311" si="331">ROUND((ROUND((AF284*AV284*I284),2)*BA284),2)</f>
        <v>17023.509999999998</v>
      </c>
      <c r="T284" s="2">
        <f t="shared" ref="T284:T311" si="332">ROUND(CU284*I284,2)</f>
        <v>0</v>
      </c>
      <c r="U284" s="2">
        <f t="shared" ref="U284:U311" si="333">CV284*I284</f>
        <v>1362.9825989999999</v>
      </c>
      <c r="V284" s="2">
        <f t="shared" ref="V284:V311" si="334">CW284*I284</f>
        <v>0</v>
      </c>
      <c r="W284" s="2">
        <f t="shared" ref="W284:W311" si="335">ROUND(CX284*I284,2)</f>
        <v>0</v>
      </c>
      <c r="X284" s="2">
        <f>(ROUND((((S284+ROUND((ROUND(((((EU284*1.25)*1.1))*AV284*I284),2)*BS284),2))*AT284)/100),2)+ROUND(((ROUND((ROUND(((AE284-(((EU284*1.25)*1.1)))*AV284*I284),2)*BS284),2)*AT284)/100),2))</f>
        <v>18860.11</v>
      </c>
      <c r="Y284" s="2">
        <f>(ROUND((((S284+ROUND((ROUND(((((EU284*1.25)*1.1))*AV284*I284),2)*BS284),2))*AU284)/100),2)+ROUND(((ROUND((ROUND(((AE284-(((EU284*1.25)*1.1)))*AV284*I284),2)*BS284),2)*AU284)/100),2))</f>
        <v>10554.74</v>
      </c>
      <c r="Z284" s="2"/>
      <c r="AA284" s="2">
        <v>60255014</v>
      </c>
      <c r="AB284" s="2">
        <f t="shared" ref="AB284:AB311" si="336">ROUND((AC284+AD284+AF284),6)</f>
        <v>559.10299999999995</v>
      </c>
      <c r="AC284" s="2">
        <f t="shared" ref="AC284:AC311" si="337">ROUND((ES284),6)</f>
        <v>32.17</v>
      </c>
      <c r="AD284" s="2">
        <f>ROUND((((((ET284*1.25)*1.1))-(((EU284*1.25)*1.1)))+AE284),6)</f>
        <v>57.681249999999999</v>
      </c>
      <c r="AE284" s="2">
        <f>ROUND((((EU284*1.25)*1.1)),6)</f>
        <v>7.7</v>
      </c>
      <c r="AF284" s="2">
        <f>ROUND((((EV284*1.15)*1.1)),6)</f>
        <v>469.25175000000002</v>
      </c>
      <c r="AG284" s="2">
        <f t="shared" ref="AG284:AG311" si="338">ROUND((AP284),6)</f>
        <v>0</v>
      </c>
      <c r="AH284" s="2">
        <f>(((EW284*1.15)*1.1))</f>
        <v>37.570499999999996</v>
      </c>
      <c r="AI284" s="2">
        <f>(((EX284*1.25)*1.1))</f>
        <v>0</v>
      </c>
      <c r="AJ284" s="2">
        <f t="shared" ref="AJ284:AJ311" si="339">(AS284)</f>
        <v>0</v>
      </c>
      <c r="AK284" s="2">
        <v>445.07</v>
      </c>
      <c r="AL284" s="2">
        <v>32.17</v>
      </c>
      <c r="AM284" s="2">
        <v>41.95</v>
      </c>
      <c r="AN284" s="2">
        <v>5.6</v>
      </c>
      <c r="AO284" s="2">
        <v>370.95</v>
      </c>
      <c r="AP284" s="2">
        <v>0</v>
      </c>
      <c r="AQ284" s="2">
        <v>29.7</v>
      </c>
      <c r="AR284" s="2">
        <v>0</v>
      </c>
      <c r="AS284" s="2">
        <v>0</v>
      </c>
      <c r="AT284" s="2">
        <v>109</v>
      </c>
      <c r="AU284" s="2">
        <v>61</v>
      </c>
      <c r="AV284" s="2">
        <v>1.0669999999999999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0</v>
      </c>
      <c r="BI284" s="2">
        <v>1</v>
      </c>
      <c r="BJ284" s="2" t="s">
        <v>372</v>
      </c>
      <c r="BK284" s="2"/>
      <c r="BL284" s="2"/>
      <c r="BM284" s="2">
        <v>21</v>
      </c>
      <c r="BN284" s="2">
        <v>58973374</v>
      </c>
      <c r="BO284" s="2" t="s">
        <v>369</v>
      </c>
      <c r="BP284" s="2">
        <v>1</v>
      </c>
      <c r="BQ284" s="2">
        <v>30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109</v>
      </c>
      <c r="CA284" s="2">
        <v>61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625</v>
      </c>
      <c r="CO284" s="2">
        <v>0</v>
      </c>
      <c r="CP284" s="2">
        <f t="shared" ref="CP284:CP311" si="340">(P284+Q284+S284)</f>
        <v>20209.849999999999</v>
      </c>
      <c r="CQ284" s="2">
        <f t="shared" ref="CQ284:CQ311" si="341">ROUND((ROUND((AC284*AW284*1),2)*BC284),2)</f>
        <v>32.17</v>
      </c>
      <c r="CR284" s="2">
        <f>(ROUND((ROUND(((((ET284*1.25)*1.1))*AV284*1),2)*BB284),2)+ROUND((ROUND(((AE284-(((EU284*1.25)*1.1)))*AV284*1),2)*BS284),2))</f>
        <v>61.55</v>
      </c>
      <c r="CS284" s="2">
        <f>(ROUND((ROUND(((((EU284*1.25)*1.1))*AV284*1),2)*BS284),2)+ROUND((ROUND(((AE284-(((EU284*1.25)*1.1)))*AV284*1),2)*BS284),2))</f>
        <v>8.2200000000000006</v>
      </c>
      <c r="CT284" s="2">
        <f t="shared" ref="CT284:CT311" si="342">ROUND((ROUND((AF284*AV284*1),2)*BA284),2)</f>
        <v>500.69</v>
      </c>
      <c r="CU284" s="2">
        <f t="shared" ref="CU284:CU311" si="343">AG284</f>
        <v>0</v>
      </c>
      <c r="CV284" s="2">
        <f t="shared" ref="CV284:CV311" si="344">(AH284*AV284)</f>
        <v>40.087723499999996</v>
      </c>
      <c r="CW284" s="2">
        <f t="shared" ref="CW284:CW311" si="345">AI284</f>
        <v>0</v>
      </c>
      <c r="CX284" s="2">
        <f t="shared" ref="CX284:CX311" si="346">AJ284</f>
        <v>0</v>
      </c>
      <c r="CY284" s="2">
        <f>(ROUND((((S284+ROUND((ROUND(((((EU284*1.25)*1.1))*AV284*1),2)*BS284),2))*AT284)/100),2)+ROUND(((ROUND((ROUND(((AE284-(((EU284*1.25)*1.1)))*AV284*1),2)*BS284),2)*AT284)/100),2))</f>
        <v>18564.59</v>
      </c>
      <c r="CZ284" s="2">
        <f>(ROUND((((S284+ROUND((ROUND(((((EU284*1.25)*1.1))*AV284*1),2)*BS284),2))*AU284)/100),2)+ROUND(((ROUND((ROUND(((AE284-(((EU284*1.25)*1.1)))*AV284*1),2)*BS284),2)*AU284)/100),2))</f>
        <v>10389.36</v>
      </c>
      <c r="DA284" s="2"/>
      <c r="DB284" s="2">
        <v>77</v>
      </c>
      <c r="DC284" s="2" t="s">
        <v>3</v>
      </c>
      <c r="DD284" s="2" t="s">
        <v>3</v>
      </c>
      <c r="DE284" s="2" t="s">
        <v>98</v>
      </c>
      <c r="DF284" s="2" t="s">
        <v>98</v>
      </c>
      <c r="DG284" s="2" t="s">
        <v>99</v>
      </c>
      <c r="DH284" s="2" t="s">
        <v>3</v>
      </c>
      <c r="DI284" s="2" t="s">
        <v>99</v>
      </c>
      <c r="DJ284" s="2" t="s">
        <v>98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1013</v>
      </c>
      <c r="DV284" s="2" t="s">
        <v>371</v>
      </c>
      <c r="DW284" s="2" t="s">
        <v>371</v>
      </c>
      <c r="DX284" s="2">
        <v>1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60088252</v>
      </c>
      <c r="EF284" s="2">
        <v>30</v>
      </c>
      <c r="EG284" s="2" t="s">
        <v>100</v>
      </c>
      <c r="EH284" s="2">
        <v>0</v>
      </c>
      <c r="EI284" s="2" t="s">
        <v>3</v>
      </c>
      <c r="EJ284" s="2">
        <v>1</v>
      </c>
      <c r="EK284" s="2">
        <v>21</v>
      </c>
      <c r="EL284" s="2" t="s">
        <v>356</v>
      </c>
      <c r="EM284" s="2" t="s">
        <v>357</v>
      </c>
      <c r="EN284" s="2"/>
      <c r="EO284" s="2" t="s">
        <v>103</v>
      </c>
      <c r="EP284" s="2"/>
      <c r="EQ284" s="2">
        <v>0</v>
      </c>
      <c r="ER284" s="2">
        <v>445.07</v>
      </c>
      <c r="ES284" s="2">
        <v>32.17</v>
      </c>
      <c r="ET284" s="2">
        <v>41.95</v>
      </c>
      <c r="EU284" s="2">
        <v>5.6</v>
      </c>
      <c r="EV284" s="2">
        <v>370.95</v>
      </c>
      <c r="EW284" s="2">
        <v>29.7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109</v>
      </c>
      <c r="FY284" s="2">
        <v>61</v>
      </c>
      <c r="FZ284" s="2"/>
      <c r="GA284" s="2" t="s">
        <v>3</v>
      </c>
      <c r="GB284" s="2"/>
      <c r="GC284" s="2"/>
      <c r="GD284" s="2">
        <v>1</v>
      </c>
      <c r="GE284" s="2"/>
      <c r="GF284" s="2">
        <v>-1842812557</v>
      </c>
      <c r="GG284" s="2">
        <v>2</v>
      </c>
      <c r="GH284" s="2">
        <v>1</v>
      </c>
      <c r="GI284" s="2">
        <v>2</v>
      </c>
      <c r="GJ284" s="2">
        <v>0</v>
      </c>
      <c r="GK284" s="2">
        <v>0</v>
      </c>
      <c r="GL284" s="2">
        <f t="shared" ref="GL284:GL311" si="347">ROUND(IF(AND(BH284=3,BI284=3,FS284&lt;&gt;0),P284,0),2)</f>
        <v>0</v>
      </c>
      <c r="GM284" s="2">
        <f t="shared" ref="GM284:GM311" si="348">ROUND(O284+X284+Y284,2)+GX284</f>
        <v>49624.7</v>
      </c>
      <c r="GN284" s="2">
        <f t="shared" ref="GN284:GN311" si="349">IF(OR(BI284=0,BI284=1),GM284-GX284,0)</f>
        <v>49624.7</v>
      </c>
      <c r="GO284" s="2">
        <f t="shared" ref="GO284:GO311" si="350">IF(BI284=2,GM284-GX284,0)</f>
        <v>0</v>
      </c>
      <c r="GP284" s="2">
        <f t="shared" ref="GP284:GP311" si="351">IF(BI284=4,GM284-GX284,0)</f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ref="GV284:GV311" si="352">ROUND((GT284),6)</f>
        <v>0</v>
      </c>
      <c r="GW284" s="2">
        <v>1</v>
      </c>
      <c r="GX284" s="2">
        <f t="shared" ref="GX284:GX311" si="353">ROUND(HC284*I284,2)</f>
        <v>0</v>
      </c>
      <c r="GY284" s="2"/>
      <c r="GZ284" s="2"/>
      <c r="HA284" s="2">
        <v>0</v>
      </c>
      <c r="HB284" s="2">
        <v>0</v>
      </c>
      <c r="HC284" s="2">
        <f t="shared" ref="HC284:HC311" si="354">GV284*GW284</f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>
        <v>17</v>
      </c>
      <c r="B285">
        <v>1</v>
      </c>
      <c r="C285">
        <f>ROW(SmtRes!A320)</f>
        <v>320</v>
      </c>
      <c r="D285">
        <f>ROW(EtalonRes!A354)</f>
        <v>354</v>
      </c>
      <c r="E285" t="s">
        <v>368</v>
      </c>
      <c r="F285" t="s">
        <v>369</v>
      </c>
      <c r="G285" t="s">
        <v>370</v>
      </c>
      <c r="H285" t="s">
        <v>371</v>
      </c>
      <c r="I285">
        <f>ROUND(3400/100,9)</f>
        <v>34</v>
      </c>
      <c r="J285">
        <v>0</v>
      </c>
      <c r="K285">
        <f>ROUND(3400/100,9)</f>
        <v>34</v>
      </c>
      <c r="O285">
        <f t="shared" si="329"/>
        <v>976303.35</v>
      </c>
      <c r="P285">
        <f t="shared" si="330"/>
        <v>7787.71</v>
      </c>
      <c r="Q285">
        <f>(ROUND((ROUND(((((ET285*1.25)*1.1))*AV285*I285),2)*BB285),2)+ROUND((ROUND(((AE285-(((EU285*1.25)*1.1)))*AV285*I285),2)*BS285),2))</f>
        <v>32392.83</v>
      </c>
      <c r="R285">
        <f>(ROUND((ROUND(((((EU285*1.25)*1.1))*AV285*I285),2)*BS285),2)+ROUND((ROUND(((AE285-(((EU285*1.25)*1.1)))*AV285*I285),2)*BS285),2))</f>
        <v>15360.91</v>
      </c>
      <c r="S285">
        <f t="shared" si="331"/>
        <v>936122.81</v>
      </c>
      <c r="T285">
        <f t="shared" si="332"/>
        <v>0</v>
      </c>
      <c r="U285">
        <f t="shared" si="333"/>
        <v>1362.9825989999999</v>
      </c>
      <c r="V285">
        <f t="shared" si="334"/>
        <v>0</v>
      </c>
      <c r="W285">
        <f t="shared" si="335"/>
        <v>0</v>
      </c>
      <c r="X285">
        <f>(ROUND((((S285+ROUND((ROUND(((((EU285*1.25)*1.1))*AV285*I285),2)*BS285),2))*AT285)/100),2)+ROUND(((ROUND((ROUND(((AE285-(((EU285*1.25)*1.1)))*AV285*I285),2)*BS285),2)*AT285)/100),2))</f>
        <v>1037117.25</v>
      </c>
      <c r="Y285">
        <f>(ROUND((((S285+ROUND((ROUND(((((EU285*1.25)*1.1))*AV285*I285),2)*BS285),2))*AU285)/100),2)+ROUND(((ROUND((ROUND(((AE285-(((EU285*1.25)*1.1)))*AV285*I285),2)*BS285),2)*AU285)/100),2))</f>
        <v>580405.06999999995</v>
      </c>
      <c r="AA285">
        <v>60255011</v>
      </c>
      <c r="AB285">
        <f t="shared" si="336"/>
        <v>559.10299999999995</v>
      </c>
      <c r="AC285">
        <f t="shared" si="337"/>
        <v>32.17</v>
      </c>
      <c r="AD285">
        <f>ROUND((((((ET285*1.25)*1.1))-(((EU285*1.25)*1.1)))+AE285),6)</f>
        <v>57.681249999999999</v>
      </c>
      <c r="AE285">
        <f>ROUND((((EU285*1.25)*1.1)),6)</f>
        <v>7.7</v>
      </c>
      <c r="AF285">
        <f>ROUND((((EV285*1.15)*1.1)),6)</f>
        <v>469.25175000000002</v>
      </c>
      <c r="AG285">
        <f t="shared" si="338"/>
        <v>0</v>
      </c>
      <c r="AH285">
        <f>(((EW285*1.15)*1.1))</f>
        <v>37.570499999999996</v>
      </c>
      <c r="AI285">
        <f>(((EX285*1.25)*1.1))</f>
        <v>0</v>
      </c>
      <c r="AJ285">
        <f t="shared" si="339"/>
        <v>0</v>
      </c>
      <c r="AK285">
        <v>445.07</v>
      </c>
      <c r="AL285">
        <v>32.17</v>
      </c>
      <c r="AM285">
        <v>41.95</v>
      </c>
      <c r="AN285">
        <v>5.6</v>
      </c>
      <c r="AO285">
        <v>370.95</v>
      </c>
      <c r="AP285">
        <v>0</v>
      </c>
      <c r="AQ285">
        <v>29.7</v>
      </c>
      <c r="AR285">
        <v>0</v>
      </c>
      <c r="AS285">
        <v>0</v>
      </c>
      <c r="AT285">
        <v>109</v>
      </c>
      <c r="AU285">
        <v>61</v>
      </c>
      <c r="AV285">
        <v>1.0669999999999999</v>
      </c>
      <c r="AW285">
        <v>1</v>
      </c>
      <c r="AZ285">
        <v>1</v>
      </c>
      <c r="BA285">
        <v>54.99</v>
      </c>
      <c r="BB285">
        <v>15.48</v>
      </c>
      <c r="BC285">
        <v>7.12</v>
      </c>
      <c r="BD285" t="s">
        <v>3</v>
      </c>
      <c r="BE285" t="s">
        <v>3</v>
      </c>
      <c r="BF285" t="s">
        <v>3</v>
      </c>
      <c r="BG285" t="s">
        <v>3</v>
      </c>
      <c r="BH285">
        <v>0</v>
      </c>
      <c r="BI285">
        <v>1</v>
      </c>
      <c r="BJ285" t="s">
        <v>372</v>
      </c>
      <c r="BM285">
        <v>21</v>
      </c>
      <c r="BN285">
        <v>58973374</v>
      </c>
      <c r="BO285" t="s">
        <v>369</v>
      </c>
      <c r="BP285">
        <v>1</v>
      </c>
      <c r="BQ285">
        <v>30</v>
      </c>
      <c r="BR285">
        <v>0</v>
      </c>
      <c r="BS285">
        <v>54.99</v>
      </c>
      <c r="BT285">
        <v>1</v>
      </c>
      <c r="BU285">
        <v>1</v>
      </c>
      <c r="BV285">
        <v>1</v>
      </c>
      <c r="BW285">
        <v>1</v>
      </c>
      <c r="BX285">
        <v>1</v>
      </c>
      <c r="BY285" t="s">
        <v>3</v>
      </c>
      <c r="BZ285">
        <v>109</v>
      </c>
      <c r="CA285">
        <v>61</v>
      </c>
      <c r="CB285" t="s">
        <v>3</v>
      </c>
      <c r="CE285">
        <v>1566</v>
      </c>
      <c r="CF285">
        <v>0</v>
      </c>
      <c r="CG285">
        <v>0</v>
      </c>
      <c r="CM285">
        <v>0</v>
      </c>
      <c r="CN285" t="s">
        <v>625</v>
      </c>
      <c r="CO285">
        <v>0</v>
      </c>
      <c r="CP285">
        <f t="shared" si="340"/>
        <v>976303.35000000009</v>
      </c>
      <c r="CQ285">
        <f t="shared" si="341"/>
        <v>229.05</v>
      </c>
      <c r="CR285">
        <f>(ROUND((ROUND(((((ET285*1.25)*1.1))*AV285*1),2)*BB285),2)+ROUND((ROUND(((AE285-(((EU285*1.25)*1.1)))*AV285*1),2)*BS285),2))</f>
        <v>952.79</v>
      </c>
      <c r="CS285">
        <f>(ROUND((ROUND(((((EU285*1.25)*1.1))*AV285*1),2)*BS285),2)+ROUND((ROUND(((AE285-(((EU285*1.25)*1.1)))*AV285*1),2)*BS285),2))</f>
        <v>452.02</v>
      </c>
      <c r="CT285">
        <f t="shared" si="342"/>
        <v>27532.94</v>
      </c>
      <c r="CU285">
        <f t="shared" si="343"/>
        <v>0</v>
      </c>
      <c r="CV285">
        <f t="shared" si="344"/>
        <v>40.087723499999996</v>
      </c>
      <c r="CW285">
        <f t="shared" si="345"/>
        <v>0</v>
      </c>
      <c r="CX285">
        <f t="shared" si="346"/>
        <v>0</v>
      </c>
      <c r="CY285">
        <f>(ROUND((((S285+ROUND((ROUND(((((EU285*1.25)*1.1))*AV285*1),2)*BS285),2))*AT285)/100),2)+ROUND(((ROUND((ROUND(((AE285-(((EU285*1.25)*1.1)))*AV285*1),2)*BS285),2)*AT285)/100),2))</f>
        <v>1020866.5600000001</v>
      </c>
      <c r="CZ285">
        <f>(ROUND((((S285+ROUND((ROUND(((((EU285*1.25)*1.1))*AV285*1),2)*BS285),2))*AU285)/100),2)+ROUND(((ROUND((ROUND(((AE285-(((EU285*1.25)*1.1)))*AV285*1),2)*BS285),2)*AU285)/100),2))</f>
        <v>571310.65</v>
      </c>
      <c r="DB285">
        <v>79</v>
      </c>
      <c r="DC285" t="s">
        <v>3</v>
      </c>
      <c r="DD285" t="s">
        <v>3</v>
      </c>
      <c r="DE285" t="s">
        <v>98</v>
      </c>
      <c r="DF285" t="s">
        <v>98</v>
      </c>
      <c r="DG285" t="s">
        <v>99</v>
      </c>
      <c r="DH285" t="s">
        <v>3</v>
      </c>
      <c r="DI285" t="s">
        <v>99</v>
      </c>
      <c r="DJ285" t="s">
        <v>98</v>
      </c>
      <c r="DK285" t="s">
        <v>3</v>
      </c>
      <c r="DL285" t="s">
        <v>3</v>
      </c>
      <c r="DM285" t="s">
        <v>3</v>
      </c>
      <c r="DN285">
        <v>0</v>
      </c>
      <c r="DO285">
        <v>0</v>
      </c>
      <c r="DP285">
        <v>1</v>
      </c>
      <c r="DQ285">
        <v>1</v>
      </c>
      <c r="DU285">
        <v>1013</v>
      </c>
      <c r="DV285" t="s">
        <v>371</v>
      </c>
      <c r="DW285" t="s">
        <v>371</v>
      </c>
      <c r="DX285">
        <v>1</v>
      </c>
      <c r="DZ285" t="s">
        <v>3</v>
      </c>
      <c r="EA285" t="s">
        <v>3</v>
      </c>
      <c r="EB285" t="s">
        <v>3</v>
      </c>
      <c r="EC285" t="s">
        <v>3</v>
      </c>
      <c r="EE285">
        <v>60088252</v>
      </c>
      <c r="EF285">
        <v>30</v>
      </c>
      <c r="EG285" t="s">
        <v>100</v>
      </c>
      <c r="EH285">
        <v>0</v>
      </c>
      <c r="EI285" t="s">
        <v>3</v>
      </c>
      <c r="EJ285">
        <v>1</v>
      </c>
      <c r="EK285">
        <v>21</v>
      </c>
      <c r="EL285" t="s">
        <v>356</v>
      </c>
      <c r="EM285" t="s">
        <v>357</v>
      </c>
      <c r="EO285" t="s">
        <v>103</v>
      </c>
      <c r="EQ285">
        <v>0</v>
      </c>
      <c r="ER285">
        <v>445.07</v>
      </c>
      <c r="ES285">
        <v>32.17</v>
      </c>
      <c r="ET285">
        <v>41.95</v>
      </c>
      <c r="EU285">
        <v>5.6</v>
      </c>
      <c r="EV285">
        <v>370.95</v>
      </c>
      <c r="EW285">
        <v>29.7</v>
      </c>
      <c r="EX285">
        <v>0</v>
      </c>
      <c r="EY285">
        <v>0</v>
      </c>
      <c r="FQ285">
        <v>0</v>
      </c>
      <c r="FR285">
        <v>0</v>
      </c>
      <c r="FS285">
        <v>0</v>
      </c>
      <c r="FX285">
        <v>109</v>
      </c>
      <c r="FY285">
        <v>61</v>
      </c>
      <c r="GA285" t="s">
        <v>3</v>
      </c>
      <c r="GD285">
        <v>1</v>
      </c>
      <c r="GF285">
        <v>-1842812557</v>
      </c>
      <c r="GG285">
        <v>2</v>
      </c>
      <c r="GH285">
        <v>1</v>
      </c>
      <c r="GI285">
        <v>2</v>
      </c>
      <c r="GJ285">
        <v>0</v>
      </c>
      <c r="GK285">
        <v>0</v>
      </c>
      <c r="GL285">
        <f t="shared" si="347"/>
        <v>0</v>
      </c>
      <c r="GM285">
        <f t="shared" si="348"/>
        <v>2593825.67</v>
      </c>
      <c r="GN285">
        <f t="shared" si="349"/>
        <v>2593825.67</v>
      </c>
      <c r="GO285">
        <f t="shared" si="350"/>
        <v>0</v>
      </c>
      <c r="GP285">
        <f t="shared" si="351"/>
        <v>0</v>
      </c>
      <c r="GR285">
        <v>0</v>
      </c>
      <c r="GS285">
        <v>3</v>
      </c>
      <c r="GT285">
        <v>0</v>
      </c>
      <c r="GU285" t="s">
        <v>3</v>
      </c>
      <c r="GV285">
        <f t="shared" si="352"/>
        <v>0</v>
      </c>
      <c r="GW285">
        <v>1</v>
      </c>
      <c r="GX285">
        <f t="shared" si="353"/>
        <v>0</v>
      </c>
      <c r="HA285">
        <v>0</v>
      </c>
      <c r="HB285">
        <v>0</v>
      </c>
      <c r="HC285">
        <f t="shared" si="354"/>
        <v>0</v>
      </c>
      <c r="HE285" t="s">
        <v>3</v>
      </c>
      <c r="HF285" t="s">
        <v>3</v>
      </c>
      <c r="HM285" t="s">
        <v>3</v>
      </c>
      <c r="HN285" t="s">
        <v>3</v>
      </c>
      <c r="HO285" t="s">
        <v>3</v>
      </c>
      <c r="HP285" t="s">
        <v>3</v>
      </c>
      <c r="HQ285" t="s">
        <v>3</v>
      </c>
      <c r="HS285">
        <v>0</v>
      </c>
      <c r="IK285">
        <v>0</v>
      </c>
    </row>
    <row r="286" spans="1:255" x14ac:dyDescent="0.2">
      <c r="A286" s="2">
        <v>18</v>
      </c>
      <c r="B286" s="2">
        <v>1</v>
      </c>
      <c r="C286" s="2">
        <v>307</v>
      </c>
      <c r="D286" s="2"/>
      <c r="E286" s="2" t="s">
        <v>373</v>
      </c>
      <c r="F286" s="2" t="s">
        <v>374</v>
      </c>
      <c r="G286" s="2" t="s">
        <v>375</v>
      </c>
      <c r="H286" s="2" t="s">
        <v>376</v>
      </c>
      <c r="I286" s="2">
        <f>I284*J286</f>
        <v>3400</v>
      </c>
      <c r="J286" s="2">
        <v>100</v>
      </c>
      <c r="K286" s="2">
        <v>100</v>
      </c>
      <c r="L286" s="2"/>
      <c r="M286" s="2"/>
      <c r="N286" s="2"/>
      <c r="O286" s="2">
        <f t="shared" si="329"/>
        <v>102476</v>
      </c>
      <c r="P286" s="2">
        <f t="shared" si="330"/>
        <v>102476</v>
      </c>
      <c r="Q286" s="2">
        <f>(ROUND((ROUND(((ET286)*AV286*I286),2)*BB286),2)+ROUND((ROUND(((AE286-(EU286))*AV286*I286),2)*BS286),2))</f>
        <v>0</v>
      </c>
      <c r="R286" s="2">
        <f>(ROUND((ROUND(((EU286)*AV286*I286),2)*BS286),2)+ROUND((ROUND(((AE286-(EU286))*AV286*I286),2)*BS286),2))</f>
        <v>0</v>
      </c>
      <c r="S286" s="2">
        <f t="shared" si="331"/>
        <v>0</v>
      </c>
      <c r="T286" s="2">
        <f t="shared" si="332"/>
        <v>0</v>
      </c>
      <c r="U286" s="2">
        <f t="shared" si="333"/>
        <v>0</v>
      </c>
      <c r="V286" s="2">
        <f t="shared" si="334"/>
        <v>0</v>
      </c>
      <c r="W286" s="2">
        <f t="shared" si="335"/>
        <v>0</v>
      </c>
      <c r="X286" s="2">
        <f>(ROUND((((S286+ROUND((ROUND(((EU286)*AV286*I286),2)*BS286),2))*AT286)/100),2)+ROUND(((ROUND((ROUND(((AE286-(EU286))*AV286*I286),2)*BS286),2)*AT286)/100),2))</f>
        <v>0</v>
      </c>
      <c r="Y286" s="2">
        <f>(ROUND((((S286+ROUND((ROUND(((EU286)*AV286*I286),2)*BS286),2))*AU286)/100),2)+ROUND(((ROUND((ROUND(((AE286-(EU286))*AV286*I286),2)*BS286),2)*AU286)/100),2))</f>
        <v>0</v>
      </c>
      <c r="Z286" s="2"/>
      <c r="AA286" s="2">
        <v>60255014</v>
      </c>
      <c r="AB286" s="2">
        <f t="shared" si="336"/>
        <v>30.14</v>
      </c>
      <c r="AC286" s="2">
        <f t="shared" si="337"/>
        <v>30.14</v>
      </c>
      <c r="AD286" s="2">
        <f>ROUND((((ET286)-(EU286))+AE286),6)</f>
        <v>0</v>
      </c>
      <c r="AE286" s="2">
        <f>ROUND((EU286),6)</f>
        <v>0</v>
      </c>
      <c r="AF286" s="2">
        <f>ROUND((EV286),6)</f>
        <v>0</v>
      </c>
      <c r="AG286" s="2">
        <f t="shared" si="338"/>
        <v>0</v>
      </c>
      <c r="AH286" s="2">
        <f>(EW286)</f>
        <v>0</v>
      </c>
      <c r="AI286" s="2">
        <f>(EX286)</f>
        <v>0</v>
      </c>
      <c r="AJ286" s="2">
        <f t="shared" si="339"/>
        <v>0</v>
      </c>
      <c r="AK286" s="2">
        <v>30.14</v>
      </c>
      <c r="AL286" s="2">
        <v>30.14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109</v>
      </c>
      <c r="AU286" s="2">
        <v>61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1</v>
      </c>
      <c r="BJ286" s="2" t="s">
        <v>377</v>
      </c>
      <c r="BK286" s="2"/>
      <c r="BL286" s="2"/>
      <c r="BM286" s="2">
        <v>21</v>
      </c>
      <c r="BN286" s="2">
        <v>58973374</v>
      </c>
      <c r="BO286" s="2" t="s">
        <v>3</v>
      </c>
      <c r="BP286" s="2">
        <v>0</v>
      </c>
      <c r="BQ286" s="2">
        <v>30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109</v>
      </c>
      <c r="CA286" s="2">
        <v>61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3</v>
      </c>
      <c r="CO286" s="2">
        <v>0</v>
      </c>
      <c r="CP286" s="2">
        <f t="shared" si="340"/>
        <v>102476</v>
      </c>
      <c r="CQ286" s="2">
        <f t="shared" si="341"/>
        <v>30.14</v>
      </c>
      <c r="CR286" s="2">
        <f>(ROUND((ROUND(((ET286)*AV286*1),2)*BB286),2)+ROUND((ROUND(((AE286-(EU286))*AV286*1),2)*BS286),2))</f>
        <v>0</v>
      </c>
      <c r="CS286" s="2">
        <f>(ROUND((ROUND(((EU286)*AV286*1),2)*BS286),2)+ROUND((ROUND(((AE286-(EU286))*AV286*1),2)*BS286),2))</f>
        <v>0</v>
      </c>
      <c r="CT286" s="2">
        <f t="shared" si="342"/>
        <v>0</v>
      </c>
      <c r="CU286" s="2">
        <f t="shared" si="343"/>
        <v>0</v>
      </c>
      <c r="CV286" s="2">
        <f t="shared" si="344"/>
        <v>0</v>
      </c>
      <c r="CW286" s="2">
        <f t="shared" si="345"/>
        <v>0</v>
      </c>
      <c r="CX286" s="2">
        <f t="shared" si="346"/>
        <v>0</v>
      </c>
      <c r="CY286" s="2">
        <f>(ROUND((((S286+ROUND((ROUND(((EU286)*AV286*1),2)*BS286),2))*AT286)/100),2)+ROUND(((ROUND((ROUND(((AE286-(EU286))*AV286*1),2)*BS286),2)*AT286)/100),2))</f>
        <v>0</v>
      </c>
      <c r="CZ286" s="2">
        <f>(ROUND((((S286+ROUND((ROUND(((EU286)*AV286*1),2)*BS286),2))*AU286)/100),2)+ROUND(((ROUND((ROUND(((AE286-(EU286))*AV286*1),2)*BS286),2)*AU286)/100),2))</f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1003</v>
      </c>
      <c r="DV286" s="2" t="s">
        <v>376</v>
      </c>
      <c r="DW286" s="2" t="s">
        <v>376</v>
      </c>
      <c r="DX286" s="2">
        <v>1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60088252</v>
      </c>
      <c r="EF286" s="2">
        <v>30</v>
      </c>
      <c r="EG286" s="2" t="s">
        <v>100</v>
      </c>
      <c r="EH286" s="2">
        <v>0</v>
      </c>
      <c r="EI286" s="2" t="s">
        <v>3</v>
      </c>
      <c r="EJ286" s="2">
        <v>1</v>
      </c>
      <c r="EK286" s="2">
        <v>21</v>
      </c>
      <c r="EL286" s="2" t="s">
        <v>356</v>
      </c>
      <c r="EM286" s="2" t="s">
        <v>357</v>
      </c>
      <c r="EN286" s="2"/>
      <c r="EO286" s="2" t="s">
        <v>3</v>
      </c>
      <c r="EP286" s="2"/>
      <c r="EQ286" s="2">
        <v>0</v>
      </c>
      <c r="ER286" s="2">
        <v>30.14</v>
      </c>
      <c r="ES286" s="2">
        <v>30.14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109</v>
      </c>
      <c r="FY286" s="2">
        <v>61</v>
      </c>
      <c r="FZ286" s="2"/>
      <c r="GA286" s="2" t="s">
        <v>3</v>
      </c>
      <c r="GB286" s="2"/>
      <c r="GC286" s="2"/>
      <c r="GD286" s="2">
        <v>1</v>
      </c>
      <c r="GE286" s="2"/>
      <c r="GF286" s="2">
        <v>1317022629</v>
      </c>
      <c r="GG286" s="2">
        <v>2</v>
      </c>
      <c r="GH286" s="2">
        <v>1</v>
      </c>
      <c r="GI286" s="2">
        <v>-2</v>
      </c>
      <c r="GJ286" s="2">
        <v>0</v>
      </c>
      <c r="GK286" s="2">
        <v>0</v>
      </c>
      <c r="GL286" s="2">
        <f t="shared" si="347"/>
        <v>0</v>
      </c>
      <c r="GM286" s="2">
        <f t="shared" si="348"/>
        <v>102476</v>
      </c>
      <c r="GN286" s="2">
        <f t="shared" si="349"/>
        <v>102476</v>
      </c>
      <c r="GO286" s="2">
        <f t="shared" si="350"/>
        <v>0</v>
      </c>
      <c r="GP286" s="2">
        <f t="shared" si="351"/>
        <v>0</v>
      </c>
      <c r="GQ286" s="2"/>
      <c r="GR286" s="2">
        <v>0</v>
      </c>
      <c r="GS286" s="2">
        <v>3</v>
      </c>
      <c r="GT286" s="2">
        <v>0</v>
      </c>
      <c r="GU286" s="2" t="s">
        <v>3</v>
      </c>
      <c r="GV286" s="2">
        <f t="shared" si="352"/>
        <v>0</v>
      </c>
      <c r="GW286" s="2">
        <v>1</v>
      </c>
      <c r="GX286" s="2">
        <f t="shared" si="353"/>
        <v>0</v>
      </c>
      <c r="GY286" s="2"/>
      <c r="GZ286" s="2"/>
      <c r="HA286" s="2">
        <v>0</v>
      </c>
      <c r="HB286" s="2">
        <v>0</v>
      </c>
      <c r="HC286" s="2">
        <f t="shared" si="354"/>
        <v>0</v>
      </c>
      <c r="HD286" s="2"/>
      <c r="HE286" s="2" t="s">
        <v>3</v>
      </c>
      <c r="HF286" s="2" t="s">
        <v>3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>
        <v>18</v>
      </c>
      <c r="B287">
        <v>1</v>
      </c>
      <c r="C287">
        <v>320</v>
      </c>
      <c r="E287" t="s">
        <v>373</v>
      </c>
      <c r="F287" t="s">
        <v>374</v>
      </c>
      <c r="G287" t="s">
        <v>375</v>
      </c>
      <c r="H287" t="s">
        <v>376</v>
      </c>
      <c r="I287">
        <f>I285*J287</f>
        <v>3400</v>
      </c>
      <c r="J287">
        <v>100</v>
      </c>
      <c r="K287">
        <v>100</v>
      </c>
      <c r="O287">
        <f t="shared" si="329"/>
        <v>1153879.76</v>
      </c>
      <c r="P287">
        <f t="shared" si="330"/>
        <v>1153879.76</v>
      </c>
      <c r="Q287">
        <f>(ROUND((ROUND(((ET287)*AV287*I287),2)*BB287),2)+ROUND((ROUND(((AE287-(EU287))*AV287*I287),2)*BS287),2))</f>
        <v>0</v>
      </c>
      <c r="R287">
        <f>(ROUND((ROUND(((EU287)*AV287*I287),2)*BS287),2)+ROUND((ROUND(((AE287-(EU287))*AV287*I287),2)*BS287),2))</f>
        <v>0</v>
      </c>
      <c r="S287">
        <f t="shared" si="331"/>
        <v>0</v>
      </c>
      <c r="T287">
        <f t="shared" si="332"/>
        <v>0</v>
      </c>
      <c r="U287">
        <f t="shared" si="333"/>
        <v>0</v>
      </c>
      <c r="V287">
        <f t="shared" si="334"/>
        <v>0</v>
      </c>
      <c r="W287">
        <f t="shared" si="335"/>
        <v>0</v>
      </c>
      <c r="X287">
        <f>(ROUND((((S287+ROUND((ROUND(((EU287)*AV287*I287),2)*BS287),2))*AT287)/100),2)+ROUND(((ROUND((ROUND(((AE287-(EU287))*AV287*I287),2)*BS287),2)*AT287)/100),2))</f>
        <v>0</v>
      </c>
      <c r="Y287">
        <f>(ROUND((((S287+ROUND((ROUND(((EU287)*AV287*I287),2)*BS287),2))*AU287)/100),2)+ROUND(((ROUND((ROUND(((AE287-(EU287))*AV287*I287),2)*BS287),2)*AU287)/100),2))</f>
        <v>0</v>
      </c>
      <c r="AA287">
        <v>60255011</v>
      </c>
      <c r="AB287">
        <f t="shared" si="336"/>
        <v>30.14</v>
      </c>
      <c r="AC287">
        <f t="shared" si="337"/>
        <v>30.14</v>
      </c>
      <c r="AD287">
        <f>ROUND((((ET287)-(EU287))+AE287),6)</f>
        <v>0</v>
      </c>
      <c r="AE287">
        <f>ROUND((EU287),6)</f>
        <v>0</v>
      </c>
      <c r="AF287">
        <f>ROUND((EV287),6)</f>
        <v>0</v>
      </c>
      <c r="AG287">
        <f t="shared" si="338"/>
        <v>0</v>
      </c>
      <c r="AH287">
        <f>(EW287)</f>
        <v>0</v>
      </c>
      <c r="AI287">
        <f>(EX287)</f>
        <v>0</v>
      </c>
      <c r="AJ287">
        <f t="shared" si="339"/>
        <v>0</v>
      </c>
      <c r="AK287">
        <v>30.14</v>
      </c>
      <c r="AL287">
        <v>30.14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109</v>
      </c>
      <c r="AU287">
        <v>61</v>
      </c>
      <c r="AV287">
        <v>1</v>
      </c>
      <c r="AW287">
        <v>1</v>
      </c>
      <c r="AZ287">
        <v>1</v>
      </c>
      <c r="BA287">
        <v>1</v>
      </c>
      <c r="BB287">
        <v>1</v>
      </c>
      <c r="BC287">
        <v>11.26</v>
      </c>
      <c r="BD287" t="s">
        <v>3</v>
      </c>
      <c r="BE287" t="s">
        <v>3</v>
      </c>
      <c r="BF287" t="s">
        <v>3</v>
      </c>
      <c r="BG287" t="s">
        <v>3</v>
      </c>
      <c r="BH287">
        <v>3</v>
      </c>
      <c r="BI287">
        <v>1</v>
      </c>
      <c r="BJ287" t="s">
        <v>377</v>
      </c>
      <c r="BM287">
        <v>21</v>
      </c>
      <c r="BN287">
        <v>58973374</v>
      </c>
      <c r="BO287" t="s">
        <v>374</v>
      </c>
      <c r="BP287">
        <v>1</v>
      </c>
      <c r="BQ287">
        <v>30</v>
      </c>
      <c r="BR287">
        <v>0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 t="s">
        <v>3</v>
      </c>
      <c r="BZ287">
        <v>109</v>
      </c>
      <c r="CA287">
        <v>61</v>
      </c>
      <c r="CB287" t="s">
        <v>3</v>
      </c>
      <c r="CE287">
        <v>1566</v>
      </c>
      <c r="CF287">
        <v>0</v>
      </c>
      <c r="CG287">
        <v>0</v>
      </c>
      <c r="CM287">
        <v>0</v>
      </c>
      <c r="CN287" t="s">
        <v>3</v>
      </c>
      <c r="CO287">
        <v>0</v>
      </c>
      <c r="CP287">
        <f t="shared" si="340"/>
        <v>1153879.76</v>
      </c>
      <c r="CQ287">
        <f t="shared" si="341"/>
        <v>339.38</v>
      </c>
      <c r="CR287">
        <f>(ROUND((ROUND(((ET287)*AV287*1),2)*BB287),2)+ROUND((ROUND(((AE287-(EU287))*AV287*1),2)*BS287),2))</f>
        <v>0</v>
      </c>
      <c r="CS287">
        <f>(ROUND((ROUND(((EU287)*AV287*1),2)*BS287),2)+ROUND((ROUND(((AE287-(EU287))*AV287*1),2)*BS287),2))</f>
        <v>0</v>
      </c>
      <c r="CT287">
        <f t="shared" si="342"/>
        <v>0</v>
      </c>
      <c r="CU287">
        <f t="shared" si="343"/>
        <v>0</v>
      </c>
      <c r="CV287">
        <f t="shared" si="344"/>
        <v>0</v>
      </c>
      <c r="CW287">
        <f t="shared" si="345"/>
        <v>0</v>
      </c>
      <c r="CX287">
        <f t="shared" si="346"/>
        <v>0</v>
      </c>
      <c r="CY287">
        <f>(ROUND((((S287+ROUND((ROUND(((EU287)*AV287*1),2)*BS287),2))*AT287)/100),2)+ROUND(((ROUND((ROUND(((AE287-(EU287))*AV287*1),2)*BS287),2)*AT287)/100),2))</f>
        <v>0</v>
      </c>
      <c r="CZ287">
        <f>(ROUND((((S287+ROUND((ROUND(((EU287)*AV287*1),2)*BS287),2))*AU287)/100),2)+ROUND(((ROUND((ROUND(((AE287-(EU287))*AV287*1),2)*BS287),2)*AU287)/100),2))</f>
        <v>0</v>
      </c>
      <c r="DC287" t="s">
        <v>3</v>
      </c>
      <c r="DD287" t="s">
        <v>3</v>
      </c>
      <c r="DE287" t="s">
        <v>3</v>
      </c>
      <c r="DF287" t="s">
        <v>3</v>
      </c>
      <c r="DG287" t="s">
        <v>3</v>
      </c>
      <c r="DH287" t="s">
        <v>3</v>
      </c>
      <c r="DI287" t="s">
        <v>3</v>
      </c>
      <c r="DJ287" t="s">
        <v>3</v>
      </c>
      <c r="DK287" t="s">
        <v>3</v>
      </c>
      <c r="DL287" t="s">
        <v>3</v>
      </c>
      <c r="DM287" t="s">
        <v>3</v>
      </c>
      <c r="DN287">
        <v>0</v>
      </c>
      <c r="DO287">
        <v>0</v>
      </c>
      <c r="DP287">
        <v>1</v>
      </c>
      <c r="DQ287">
        <v>1</v>
      </c>
      <c r="DU287">
        <v>1003</v>
      </c>
      <c r="DV287" t="s">
        <v>376</v>
      </c>
      <c r="DW287" t="s">
        <v>376</v>
      </c>
      <c r="DX287">
        <v>1</v>
      </c>
      <c r="DZ287" t="s">
        <v>3</v>
      </c>
      <c r="EA287" t="s">
        <v>3</v>
      </c>
      <c r="EB287" t="s">
        <v>3</v>
      </c>
      <c r="EC287" t="s">
        <v>3</v>
      </c>
      <c r="EE287">
        <v>60088252</v>
      </c>
      <c r="EF287">
        <v>30</v>
      </c>
      <c r="EG287" t="s">
        <v>100</v>
      </c>
      <c r="EH287">
        <v>0</v>
      </c>
      <c r="EI287" t="s">
        <v>3</v>
      </c>
      <c r="EJ287">
        <v>1</v>
      </c>
      <c r="EK287">
        <v>21</v>
      </c>
      <c r="EL287" t="s">
        <v>356</v>
      </c>
      <c r="EM287" t="s">
        <v>357</v>
      </c>
      <c r="EO287" t="s">
        <v>3</v>
      </c>
      <c r="EQ287">
        <v>0</v>
      </c>
      <c r="ER287">
        <v>30.14</v>
      </c>
      <c r="ES287">
        <v>30.14</v>
      </c>
      <c r="ET287">
        <v>0</v>
      </c>
      <c r="EU287">
        <v>0</v>
      </c>
      <c r="EV287">
        <v>0</v>
      </c>
      <c r="EW287">
        <v>0</v>
      </c>
      <c r="EX287">
        <v>0</v>
      </c>
      <c r="FQ287">
        <v>0</v>
      </c>
      <c r="FR287">
        <v>0</v>
      </c>
      <c r="FS287">
        <v>0</v>
      </c>
      <c r="FX287">
        <v>109</v>
      </c>
      <c r="FY287">
        <v>61</v>
      </c>
      <c r="GA287" t="s">
        <v>3</v>
      </c>
      <c r="GD287">
        <v>1</v>
      </c>
      <c r="GF287">
        <v>1317022629</v>
      </c>
      <c r="GG287">
        <v>2</v>
      </c>
      <c r="GH287">
        <v>1</v>
      </c>
      <c r="GI287">
        <v>2</v>
      </c>
      <c r="GJ287">
        <v>0</v>
      </c>
      <c r="GK287">
        <v>0</v>
      </c>
      <c r="GL287">
        <f t="shared" si="347"/>
        <v>0</v>
      </c>
      <c r="GM287">
        <f t="shared" si="348"/>
        <v>1153879.76</v>
      </c>
      <c r="GN287">
        <f t="shared" si="349"/>
        <v>1153879.76</v>
      </c>
      <c r="GO287">
        <f t="shared" si="350"/>
        <v>0</v>
      </c>
      <c r="GP287">
        <f t="shared" si="351"/>
        <v>0</v>
      </c>
      <c r="GR287">
        <v>0</v>
      </c>
      <c r="GS287">
        <v>3</v>
      </c>
      <c r="GT287">
        <v>0</v>
      </c>
      <c r="GU287" t="s">
        <v>3</v>
      </c>
      <c r="GV287">
        <f t="shared" si="352"/>
        <v>0</v>
      </c>
      <c r="GW287">
        <v>1</v>
      </c>
      <c r="GX287">
        <f t="shared" si="353"/>
        <v>0</v>
      </c>
      <c r="HA287">
        <v>0</v>
      </c>
      <c r="HB287">
        <v>0</v>
      </c>
      <c r="HC287">
        <f t="shared" si="354"/>
        <v>0</v>
      </c>
      <c r="HE287" t="s">
        <v>3</v>
      </c>
      <c r="HF287" t="s">
        <v>3</v>
      </c>
      <c r="HM287" t="s">
        <v>3</v>
      </c>
      <c r="HN287" t="s">
        <v>3</v>
      </c>
      <c r="HO287" t="s">
        <v>3</v>
      </c>
      <c r="HP287" t="s">
        <v>3</v>
      </c>
      <c r="HQ287" t="s">
        <v>3</v>
      </c>
      <c r="HS287">
        <v>0</v>
      </c>
      <c r="IK287">
        <v>0</v>
      </c>
    </row>
    <row r="288" spans="1:255" x14ac:dyDescent="0.2">
      <c r="A288" s="2">
        <v>17</v>
      </c>
      <c r="B288" s="2">
        <v>1</v>
      </c>
      <c r="C288" s="2">
        <f>ROW(SmtRes!A333)</f>
        <v>333</v>
      </c>
      <c r="D288" s="2">
        <f>ROW(EtalonRes!A369)</f>
        <v>369</v>
      </c>
      <c r="E288" s="2" t="s">
        <v>378</v>
      </c>
      <c r="F288" s="2" t="s">
        <v>379</v>
      </c>
      <c r="G288" s="2" t="s">
        <v>380</v>
      </c>
      <c r="H288" s="2" t="s">
        <v>371</v>
      </c>
      <c r="I288" s="2">
        <f>ROUND(600/100,9)</f>
        <v>6</v>
      </c>
      <c r="J288" s="2">
        <v>0</v>
      </c>
      <c r="K288" s="2">
        <f>ROUND(600/100,9)</f>
        <v>6</v>
      </c>
      <c r="L288" s="2"/>
      <c r="M288" s="2"/>
      <c r="N288" s="2"/>
      <c r="O288" s="2">
        <f t="shared" si="329"/>
        <v>3568.49</v>
      </c>
      <c r="P288" s="2">
        <f t="shared" si="330"/>
        <v>195.06</v>
      </c>
      <c r="Q288" s="2">
        <f>(ROUND((ROUND(((((ET288*1.25)*1.1))*AV288*I288),2)*BB288),2)+ROUND((ROUND(((AE288-(((EU288*1.25)*1.1)))*AV288*I288),2)*BS288),2))</f>
        <v>369.28</v>
      </c>
      <c r="R288" s="2">
        <f>(ROUND((ROUND(((((EU288*1.25)*1.1))*AV288*I288),2)*BS288),2)+ROUND((ROUND(((AE288-(((EU288*1.25)*1.1)))*AV288*I288),2)*BS288),2))</f>
        <v>49.3</v>
      </c>
      <c r="S288" s="2">
        <f t="shared" si="331"/>
        <v>3004.15</v>
      </c>
      <c r="T288" s="2">
        <f t="shared" si="332"/>
        <v>0</v>
      </c>
      <c r="U288" s="2">
        <f t="shared" si="333"/>
        <v>240.52634099999997</v>
      </c>
      <c r="V288" s="2">
        <f t="shared" si="334"/>
        <v>0</v>
      </c>
      <c r="W288" s="2">
        <f t="shared" si="335"/>
        <v>0</v>
      </c>
      <c r="X288" s="2">
        <f>(ROUND((((S288+ROUND((ROUND(((((EU288*1.25)*1.1))*AV288*I288),2)*BS288),2))*AT288)/100),2)+ROUND(((ROUND((ROUND(((AE288-(((EU288*1.25)*1.1)))*AV288*I288),2)*BS288),2)*AT288)/100),2))</f>
        <v>3328.26</v>
      </c>
      <c r="Y288" s="2">
        <f>(ROUND((((S288+ROUND((ROUND(((((EU288*1.25)*1.1))*AV288*I288),2)*BS288),2))*AU288)/100),2)+ROUND(((ROUND((ROUND(((AE288-(((EU288*1.25)*1.1)))*AV288*I288),2)*BS288),2)*AU288)/100),2))</f>
        <v>1862.6</v>
      </c>
      <c r="Z288" s="2"/>
      <c r="AA288" s="2">
        <v>60255014</v>
      </c>
      <c r="AB288" s="2">
        <f t="shared" si="336"/>
        <v>559.44299999999998</v>
      </c>
      <c r="AC288" s="2">
        <f t="shared" si="337"/>
        <v>32.51</v>
      </c>
      <c r="AD288" s="2">
        <f>ROUND((((((ET288*1.25)*1.1))-(((EU288*1.25)*1.1)))+AE288),6)</f>
        <v>57.681249999999999</v>
      </c>
      <c r="AE288" s="2">
        <f>ROUND((((EU288*1.25)*1.1)),6)</f>
        <v>7.7</v>
      </c>
      <c r="AF288" s="2">
        <f>ROUND((((EV288*1.15)*1.1)),6)</f>
        <v>469.25175000000002</v>
      </c>
      <c r="AG288" s="2">
        <f t="shared" si="338"/>
        <v>0</v>
      </c>
      <c r="AH288" s="2">
        <f>(((EW288*1.15)*1.1))</f>
        <v>37.570499999999996</v>
      </c>
      <c r="AI288" s="2">
        <f>(((EX288*1.25)*1.1))</f>
        <v>0</v>
      </c>
      <c r="AJ288" s="2">
        <f t="shared" si="339"/>
        <v>0</v>
      </c>
      <c r="AK288" s="2">
        <v>445.41</v>
      </c>
      <c r="AL288" s="2">
        <v>32.51</v>
      </c>
      <c r="AM288" s="2">
        <v>41.95</v>
      </c>
      <c r="AN288" s="2">
        <v>5.6</v>
      </c>
      <c r="AO288" s="2">
        <v>370.95</v>
      </c>
      <c r="AP288" s="2">
        <v>0</v>
      </c>
      <c r="AQ288" s="2">
        <v>29.7</v>
      </c>
      <c r="AR288" s="2">
        <v>0</v>
      </c>
      <c r="AS288" s="2">
        <v>0</v>
      </c>
      <c r="AT288" s="2">
        <v>109</v>
      </c>
      <c r="AU288" s="2">
        <v>61</v>
      </c>
      <c r="AV288" s="2">
        <v>1.0669999999999999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0</v>
      </c>
      <c r="BI288" s="2">
        <v>1</v>
      </c>
      <c r="BJ288" s="2" t="s">
        <v>381</v>
      </c>
      <c r="BK288" s="2"/>
      <c r="BL288" s="2"/>
      <c r="BM288" s="2">
        <v>21</v>
      </c>
      <c r="BN288" s="2">
        <v>58973374</v>
      </c>
      <c r="BO288" s="2" t="s">
        <v>379</v>
      </c>
      <c r="BP288" s="2">
        <v>1</v>
      </c>
      <c r="BQ288" s="2">
        <v>30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109</v>
      </c>
      <c r="CA288" s="2">
        <v>61</v>
      </c>
      <c r="CB288" s="2" t="s">
        <v>3</v>
      </c>
      <c r="CC288" s="2"/>
      <c r="CD288" s="2"/>
      <c r="CE288" s="2">
        <v>1566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625</v>
      </c>
      <c r="CO288" s="2">
        <v>0</v>
      </c>
      <c r="CP288" s="2">
        <f t="shared" si="340"/>
        <v>3568.49</v>
      </c>
      <c r="CQ288" s="2">
        <f t="shared" si="341"/>
        <v>32.51</v>
      </c>
      <c r="CR288" s="2">
        <f>(ROUND((ROUND(((((ET288*1.25)*1.1))*AV288*1),2)*BB288),2)+ROUND((ROUND(((AE288-(((EU288*1.25)*1.1)))*AV288*1),2)*BS288),2))</f>
        <v>61.55</v>
      </c>
      <c r="CS288" s="2">
        <f>(ROUND((ROUND(((((EU288*1.25)*1.1))*AV288*1),2)*BS288),2)+ROUND((ROUND(((AE288-(((EU288*1.25)*1.1)))*AV288*1),2)*BS288),2))</f>
        <v>8.2200000000000006</v>
      </c>
      <c r="CT288" s="2">
        <f t="shared" si="342"/>
        <v>500.69</v>
      </c>
      <c r="CU288" s="2">
        <f t="shared" si="343"/>
        <v>0</v>
      </c>
      <c r="CV288" s="2">
        <f t="shared" si="344"/>
        <v>40.087723499999996</v>
      </c>
      <c r="CW288" s="2">
        <f t="shared" si="345"/>
        <v>0</v>
      </c>
      <c r="CX288" s="2">
        <f t="shared" si="346"/>
        <v>0</v>
      </c>
      <c r="CY288" s="2">
        <f>(ROUND((((S288+ROUND((ROUND(((((EU288*1.25)*1.1))*AV288*1),2)*BS288),2))*AT288)/100),2)+ROUND(((ROUND((ROUND(((AE288-(((EU288*1.25)*1.1)))*AV288*1),2)*BS288),2)*AT288)/100),2))</f>
        <v>3283.48</v>
      </c>
      <c r="CZ288" s="2">
        <f>(ROUND((((S288+ROUND((ROUND(((((EU288*1.25)*1.1))*AV288*1),2)*BS288),2))*AU288)/100),2)+ROUND(((ROUND((ROUND(((AE288-(((EU288*1.25)*1.1)))*AV288*1),2)*BS288),2)*AU288)/100),2))</f>
        <v>1837.55</v>
      </c>
      <c r="DA288" s="2"/>
      <c r="DB288" s="2">
        <v>81</v>
      </c>
      <c r="DC288" s="2" t="s">
        <v>3</v>
      </c>
      <c r="DD288" s="2" t="s">
        <v>3</v>
      </c>
      <c r="DE288" s="2" t="s">
        <v>98</v>
      </c>
      <c r="DF288" s="2" t="s">
        <v>98</v>
      </c>
      <c r="DG288" s="2" t="s">
        <v>99</v>
      </c>
      <c r="DH288" s="2" t="s">
        <v>3</v>
      </c>
      <c r="DI288" s="2" t="s">
        <v>99</v>
      </c>
      <c r="DJ288" s="2" t="s">
        <v>98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1013</v>
      </c>
      <c r="DV288" s="2" t="s">
        <v>371</v>
      </c>
      <c r="DW288" s="2" t="s">
        <v>371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60088252</v>
      </c>
      <c r="EF288" s="2">
        <v>30</v>
      </c>
      <c r="EG288" s="2" t="s">
        <v>100</v>
      </c>
      <c r="EH288" s="2">
        <v>0</v>
      </c>
      <c r="EI288" s="2" t="s">
        <v>3</v>
      </c>
      <c r="EJ288" s="2">
        <v>1</v>
      </c>
      <c r="EK288" s="2">
        <v>21</v>
      </c>
      <c r="EL288" s="2" t="s">
        <v>356</v>
      </c>
      <c r="EM288" s="2" t="s">
        <v>357</v>
      </c>
      <c r="EN288" s="2"/>
      <c r="EO288" s="2" t="s">
        <v>103</v>
      </c>
      <c r="EP288" s="2"/>
      <c r="EQ288" s="2">
        <v>0</v>
      </c>
      <c r="ER288" s="2">
        <v>445.41</v>
      </c>
      <c r="ES288" s="2">
        <v>32.51</v>
      </c>
      <c r="ET288" s="2">
        <v>41.95</v>
      </c>
      <c r="EU288" s="2">
        <v>5.6</v>
      </c>
      <c r="EV288" s="2">
        <v>370.95</v>
      </c>
      <c r="EW288" s="2">
        <v>29.7</v>
      </c>
      <c r="EX288" s="2">
        <v>0</v>
      </c>
      <c r="EY288" s="2">
        <v>0</v>
      </c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109</v>
      </c>
      <c r="FY288" s="2">
        <v>61</v>
      </c>
      <c r="FZ288" s="2"/>
      <c r="GA288" s="2" t="s">
        <v>3</v>
      </c>
      <c r="GB288" s="2"/>
      <c r="GC288" s="2"/>
      <c r="GD288" s="2">
        <v>1</v>
      </c>
      <c r="GE288" s="2"/>
      <c r="GF288" s="2">
        <v>-1578341688</v>
      </c>
      <c r="GG288" s="2">
        <v>2</v>
      </c>
      <c r="GH288" s="2">
        <v>1</v>
      </c>
      <c r="GI288" s="2">
        <v>2</v>
      </c>
      <c r="GJ288" s="2">
        <v>0</v>
      </c>
      <c r="GK288" s="2">
        <v>0</v>
      </c>
      <c r="GL288" s="2">
        <f t="shared" si="347"/>
        <v>0</v>
      </c>
      <c r="GM288" s="2">
        <f t="shared" si="348"/>
        <v>8759.35</v>
      </c>
      <c r="GN288" s="2">
        <f t="shared" si="349"/>
        <v>8759.35</v>
      </c>
      <c r="GO288" s="2">
        <f t="shared" si="350"/>
        <v>0</v>
      </c>
      <c r="GP288" s="2">
        <f t="shared" si="351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352"/>
        <v>0</v>
      </c>
      <c r="GW288" s="2">
        <v>1</v>
      </c>
      <c r="GX288" s="2">
        <f t="shared" si="353"/>
        <v>0</v>
      </c>
      <c r="GY288" s="2"/>
      <c r="GZ288" s="2"/>
      <c r="HA288" s="2">
        <v>0</v>
      </c>
      <c r="HB288" s="2">
        <v>0</v>
      </c>
      <c r="HC288" s="2">
        <f t="shared" si="354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3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">
      <c r="A289">
        <v>17</v>
      </c>
      <c r="B289">
        <v>1</v>
      </c>
      <c r="C289">
        <f>ROW(SmtRes!A346)</f>
        <v>346</v>
      </c>
      <c r="D289">
        <f>ROW(EtalonRes!A384)</f>
        <v>384</v>
      </c>
      <c r="E289" t="s">
        <v>378</v>
      </c>
      <c r="F289" t="s">
        <v>379</v>
      </c>
      <c r="G289" t="s">
        <v>380</v>
      </c>
      <c r="H289" t="s">
        <v>371</v>
      </c>
      <c r="I289">
        <f>ROUND(600/100,9)</f>
        <v>6</v>
      </c>
      <c r="J289">
        <v>0</v>
      </c>
      <c r="K289">
        <f>ROUND(600/100,9)</f>
        <v>6</v>
      </c>
      <c r="O289">
        <f t="shared" si="329"/>
        <v>172303.49</v>
      </c>
      <c r="P289">
        <f t="shared" si="330"/>
        <v>1388.83</v>
      </c>
      <c r="Q289">
        <f>(ROUND((ROUND(((((ET289*1.25)*1.1))*AV289*I289),2)*BB289),2)+ROUND((ROUND(((AE289-(((EU289*1.25)*1.1)))*AV289*I289),2)*BS289),2))</f>
        <v>5716.45</v>
      </c>
      <c r="R289">
        <f>(ROUND((ROUND(((((EU289*1.25)*1.1))*AV289*I289),2)*BS289),2)+ROUND((ROUND(((AE289-(((EU289*1.25)*1.1)))*AV289*I289),2)*BS289),2))</f>
        <v>2711.01</v>
      </c>
      <c r="S289">
        <f t="shared" si="331"/>
        <v>165198.21</v>
      </c>
      <c r="T289">
        <f t="shared" si="332"/>
        <v>0</v>
      </c>
      <c r="U289">
        <f t="shared" si="333"/>
        <v>240.52634099999997</v>
      </c>
      <c r="V289">
        <f t="shared" si="334"/>
        <v>0</v>
      </c>
      <c r="W289">
        <f t="shared" si="335"/>
        <v>0</v>
      </c>
      <c r="X289">
        <f>(ROUND((((S289+ROUND((ROUND(((((EU289*1.25)*1.1))*AV289*I289),2)*BS289),2))*AT289)/100),2)+ROUND(((ROUND((ROUND(((AE289-(((EU289*1.25)*1.1)))*AV289*I289),2)*BS289),2)*AT289)/100),2))</f>
        <v>183021.05</v>
      </c>
      <c r="Y289">
        <f>(ROUND((((S289+ROUND((ROUND(((((EU289*1.25)*1.1))*AV289*I289),2)*BS289),2))*AU289)/100),2)+ROUND(((ROUND((ROUND(((AE289-(((EU289*1.25)*1.1)))*AV289*I289),2)*BS289),2)*AU289)/100),2))</f>
        <v>102424.62</v>
      </c>
      <c r="AA289">
        <v>60255011</v>
      </c>
      <c r="AB289">
        <f t="shared" si="336"/>
        <v>559.44299999999998</v>
      </c>
      <c r="AC289">
        <f t="shared" si="337"/>
        <v>32.51</v>
      </c>
      <c r="AD289">
        <f>ROUND((((((ET289*1.25)*1.1))-(((EU289*1.25)*1.1)))+AE289),6)</f>
        <v>57.681249999999999</v>
      </c>
      <c r="AE289">
        <f>ROUND((((EU289*1.25)*1.1)),6)</f>
        <v>7.7</v>
      </c>
      <c r="AF289">
        <f>ROUND((((EV289*1.15)*1.1)),6)</f>
        <v>469.25175000000002</v>
      </c>
      <c r="AG289">
        <f t="shared" si="338"/>
        <v>0</v>
      </c>
      <c r="AH289">
        <f>(((EW289*1.15)*1.1))</f>
        <v>37.570499999999996</v>
      </c>
      <c r="AI289">
        <f>(((EX289*1.25)*1.1))</f>
        <v>0</v>
      </c>
      <c r="AJ289">
        <f t="shared" si="339"/>
        <v>0</v>
      </c>
      <c r="AK289">
        <v>445.41</v>
      </c>
      <c r="AL289">
        <v>32.51</v>
      </c>
      <c r="AM289">
        <v>41.95</v>
      </c>
      <c r="AN289">
        <v>5.6</v>
      </c>
      <c r="AO289">
        <v>370.95</v>
      </c>
      <c r="AP289">
        <v>0</v>
      </c>
      <c r="AQ289">
        <v>29.7</v>
      </c>
      <c r="AR289">
        <v>0</v>
      </c>
      <c r="AS289">
        <v>0</v>
      </c>
      <c r="AT289">
        <v>109</v>
      </c>
      <c r="AU289">
        <v>61</v>
      </c>
      <c r="AV289">
        <v>1.0669999999999999</v>
      </c>
      <c r="AW289">
        <v>1</v>
      </c>
      <c r="AZ289">
        <v>1</v>
      </c>
      <c r="BA289">
        <v>54.99</v>
      </c>
      <c r="BB289">
        <v>15.48</v>
      </c>
      <c r="BC289">
        <v>7.12</v>
      </c>
      <c r="BD289" t="s">
        <v>3</v>
      </c>
      <c r="BE289" t="s">
        <v>3</v>
      </c>
      <c r="BF289" t="s">
        <v>3</v>
      </c>
      <c r="BG289" t="s">
        <v>3</v>
      </c>
      <c r="BH289">
        <v>0</v>
      </c>
      <c r="BI289">
        <v>1</v>
      </c>
      <c r="BJ289" t="s">
        <v>381</v>
      </c>
      <c r="BM289">
        <v>21</v>
      </c>
      <c r="BN289">
        <v>58973374</v>
      </c>
      <c r="BO289" t="s">
        <v>379</v>
      </c>
      <c r="BP289">
        <v>1</v>
      </c>
      <c r="BQ289">
        <v>30</v>
      </c>
      <c r="BR289">
        <v>0</v>
      </c>
      <c r="BS289">
        <v>54.99</v>
      </c>
      <c r="BT289">
        <v>1</v>
      </c>
      <c r="BU289">
        <v>1</v>
      </c>
      <c r="BV289">
        <v>1</v>
      </c>
      <c r="BW289">
        <v>1</v>
      </c>
      <c r="BX289">
        <v>1</v>
      </c>
      <c r="BY289" t="s">
        <v>3</v>
      </c>
      <c r="BZ289">
        <v>109</v>
      </c>
      <c r="CA289">
        <v>61</v>
      </c>
      <c r="CB289" t="s">
        <v>3</v>
      </c>
      <c r="CE289">
        <v>1566</v>
      </c>
      <c r="CF289">
        <v>0</v>
      </c>
      <c r="CG289">
        <v>0</v>
      </c>
      <c r="CM289">
        <v>0</v>
      </c>
      <c r="CN289" t="s">
        <v>625</v>
      </c>
      <c r="CO289">
        <v>0</v>
      </c>
      <c r="CP289">
        <f t="shared" si="340"/>
        <v>172303.49</v>
      </c>
      <c r="CQ289">
        <f t="shared" si="341"/>
        <v>231.47</v>
      </c>
      <c r="CR289">
        <f>(ROUND((ROUND(((((ET289*1.25)*1.1))*AV289*1),2)*BB289),2)+ROUND((ROUND(((AE289-(((EU289*1.25)*1.1)))*AV289*1),2)*BS289),2))</f>
        <v>952.79</v>
      </c>
      <c r="CS289">
        <f>(ROUND((ROUND(((((EU289*1.25)*1.1))*AV289*1),2)*BS289),2)+ROUND((ROUND(((AE289-(((EU289*1.25)*1.1)))*AV289*1),2)*BS289),2))</f>
        <v>452.02</v>
      </c>
      <c r="CT289">
        <f t="shared" si="342"/>
        <v>27532.94</v>
      </c>
      <c r="CU289">
        <f t="shared" si="343"/>
        <v>0</v>
      </c>
      <c r="CV289">
        <f t="shared" si="344"/>
        <v>40.087723499999996</v>
      </c>
      <c r="CW289">
        <f t="shared" si="345"/>
        <v>0</v>
      </c>
      <c r="CX289">
        <f t="shared" si="346"/>
        <v>0</v>
      </c>
      <c r="CY289">
        <f>(ROUND((((S289+ROUND((ROUND(((((EU289*1.25)*1.1))*AV289*1),2)*BS289),2))*AT289)/100),2)+ROUND(((ROUND((ROUND(((AE289-(((EU289*1.25)*1.1)))*AV289*1),2)*BS289),2)*AT289)/100),2))</f>
        <v>180558.75</v>
      </c>
      <c r="CZ289">
        <f>(ROUND((((S289+ROUND((ROUND(((((EU289*1.25)*1.1))*AV289*1),2)*BS289),2))*AU289)/100),2)+ROUND(((ROUND((ROUND(((AE289-(((EU289*1.25)*1.1)))*AV289*1),2)*BS289),2)*AU289)/100),2))</f>
        <v>101046.64</v>
      </c>
      <c r="DB289">
        <v>83</v>
      </c>
      <c r="DC289" t="s">
        <v>3</v>
      </c>
      <c r="DD289" t="s">
        <v>3</v>
      </c>
      <c r="DE289" t="s">
        <v>98</v>
      </c>
      <c r="DF289" t="s">
        <v>98</v>
      </c>
      <c r="DG289" t="s">
        <v>99</v>
      </c>
      <c r="DH289" t="s">
        <v>3</v>
      </c>
      <c r="DI289" t="s">
        <v>99</v>
      </c>
      <c r="DJ289" t="s">
        <v>98</v>
      </c>
      <c r="DK289" t="s">
        <v>3</v>
      </c>
      <c r="DL289" t="s">
        <v>3</v>
      </c>
      <c r="DM289" t="s">
        <v>3</v>
      </c>
      <c r="DN289">
        <v>0</v>
      </c>
      <c r="DO289">
        <v>0</v>
      </c>
      <c r="DP289">
        <v>1</v>
      </c>
      <c r="DQ289">
        <v>1</v>
      </c>
      <c r="DU289">
        <v>1013</v>
      </c>
      <c r="DV289" t="s">
        <v>371</v>
      </c>
      <c r="DW289" t="s">
        <v>371</v>
      </c>
      <c r="DX289">
        <v>1</v>
      </c>
      <c r="DZ289" t="s">
        <v>3</v>
      </c>
      <c r="EA289" t="s">
        <v>3</v>
      </c>
      <c r="EB289" t="s">
        <v>3</v>
      </c>
      <c r="EC289" t="s">
        <v>3</v>
      </c>
      <c r="EE289">
        <v>60088252</v>
      </c>
      <c r="EF289">
        <v>30</v>
      </c>
      <c r="EG289" t="s">
        <v>100</v>
      </c>
      <c r="EH289">
        <v>0</v>
      </c>
      <c r="EI289" t="s">
        <v>3</v>
      </c>
      <c r="EJ289">
        <v>1</v>
      </c>
      <c r="EK289">
        <v>21</v>
      </c>
      <c r="EL289" t="s">
        <v>356</v>
      </c>
      <c r="EM289" t="s">
        <v>357</v>
      </c>
      <c r="EO289" t="s">
        <v>103</v>
      </c>
      <c r="EQ289">
        <v>0</v>
      </c>
      <c r="ER289">
        <v>445.41</v>
      </c>
      <c r="ES289">
        <v>32.51</v>
      </c>
      <c r="ET289">
        <v>41.95</v>
      </c>
      <c r="EU289">
        <v>5.6</v>
      </c>
      <c r="EV289">
        <v>370.95</v>
      </c>
      <c r="EW289">
        <v>29.7</v>
      </c>
      <c r="EX289">
        <v>0</v>
      </c>
      <c r="EY289">
        <v>0</v>
      </c>
      <c r="FQ289">
        <v>0</v>
      </c>
      <c r="FR289">
        <v>0</v>
      </c>
      <c r="FS289">
        <v>0</v>
      </c>
      <c r="FX289">
        <v>109</v>
      </c>
      <c r="FY289">
        <v>61</v>
      </c>
      <c r="GA289" t="s">
        <v>3</v>
      </c>
      <c r="GD289">
        <v>1</v>
      </c>
      <c r="GF289">
        <v>-1578341688</v>
      </c>
      <c r="GG289">
        <v>2</v>
      </c>
      <c r="GH289">
        <v>1</v>
      </c>
      <c r="GI289">
        <v>2</v>
      </c>
      <c r="GJ289">
        <v>0</v>
      </c>
      <c r="GK289">
        <v>0</v>
      </c>
      <c r="GL289">
        <f t="shared" si="347"/>
        <v>0</v>
      </c>
      <c r="GM289">
        <f t="shared" si="348"/>
        <v>457749.16</v>
      </c>
      <c r="GN289">
        <f t="shared" si="349"/>
        <v>457749.16</v>
      </c>
      <c r="GO289">
        <f t="shared" si="350"/>
        <v>0</v>
      </c>
      <c r="GP289">
        <f t="shared" si="351"/>
        <v>0</v>
      </c>
      <c r="GR289">
        <v>0</v>
      </c>
      <c r="GS289">
        <v>3</v>
      </c>
      <c r="GT289">
        <v>0</v>
      </c>
      <c r="GU289" t="s">
        <v>3</v>
      </c>
      <c r="GV289">
        <f t="shared" si="352"/>
        <v>0</v>
      </c>
      <c r="GW289">
        <v>1</v>
      </c>
      <c r="GX289">
        <f t="shared" si="353"/>
        <v>0</v>
      </c>
      <c r="HA289">
        <v>0</v>
      </c>
      <c r="HB289">
        <v>0</v>
      </c>
      <c r="HC289">
        <f t="shared" si="354"/>
        <v>0</v>
      </c>
      <c r="HE289" t="s">
        <v>3</v>
      </c>
      <c r="HF289" t="s">
        <v>3</v>
      </c>
      <c r="HM289" t="s">
        <v>3</v>
      </c>
      <c r="HN289" t="s">
        <v>3</v>
      </c>
      <c r="HO289" t="s">
        <v>3</v>
      </c>
      <c r="HP289" t="s">
        <v>3</v>
      </c>
      <c r="HQ289" t="s">
        <v>3</v>
      </c>
      <c r="HS289">
        <v>0</v>
      </c>
      <c r="IK289">
        <v>0</v>
      </c>
    </row>
    <row r="290" spans="1:255" x14ac:dyDescent="0.2">
      <c r="A290" s="2">
        <v>18</v>
      </c>
      <c r="B290" s="2">
        <v>1</v>
      </c>
      <c r="C290" s="2">
        <v>333</v>
      </c>
      <c r="D290" s="2"/>
      <c r="E290" s="2" t="s">
        <v>382</v>
      </c>
      <c r="F290" s="2" t="s">
        <v>383</v>
      </c>
      <c r="G290" s="2" t="s">
        <v>384</v>
      </c>
      <c r="H290" s="2" t="s">
        <v>376</v>
      </c>
      <c r="I290" s="2">
        <f>I288*J290</f>
        <v>600</v>
      </c>
      <c r="J290" s="2">
        <v>100</v>
      </c>
      <c r="K290" s="2">
        <v>100</v>
      </c>
      <c r="L290" s="2"/>
      <c r="M290" s="2"/>
      <c r="N290" s="2"/>
      <c r="O290" s="2">
        <f t="shared" si="329"/>
        <v>18786</v>
      </c>
      <c r="P290" s="2">
        <f t="shared" si="330"/>
        <v>18786</v>
      </c>
      <c r="Q290" s="2">
        <f>(ROUND((ROUND(((ET290)*AV290*I290),2)*BB290),2)+ROUND((ROUND(((AE290-(EU290))*AV290*I290),2)*BS290),2))</f>
        <v>0</v>
      </c>
      <c r="R290" s="2">
        <f>(ROUND((ROUND(((EU290)*AV290*I290),2)*BS290),2)+ROUND((ROUND(((AE290-(EU290))*AV290*I290),2)*BS290),2))</f>
        <v>0</v>
      </c>
      <c r="S290" s="2">
        <f t="shared" si="331"/>
        <v>0</v>
      </c>
      <c r="T290" s="2">
        <f t="shared" si="332"/>
        <v>0</v>
      </c>
      <c r="U290" s="2">
        <f t="shared" si="333"/>
        <v>0</v>
      </c>
      <c r="V290" s="2">
        <f t="shared" si="334"/>
        <v>0</v>
      </c>
      <c r="W290" s="2">
        <f t="shared" si="335"/>
        <v>0</v>
      </c>
      <c r="X290" s="2">
        <f>(ROUND((((S290+ROUND((ROUND(((EU290)*AV290*I290),2)*BS290),2))*AT290)/100),2)+ROUND(((ROUND((ROUND(((AE290-(EU290))*AV290*I290),2)*BS290),2)*AT290)/100),2))</f>
        <v>0</v>
      </c>
      <c r="Y290" s="2">
        <f>(ROUND((((S290+ROUND((ROUND(((EU290)*AV290*I290),2)*BS290),2))*AU290)/100),2)+ROUND(((ROUND((ROUND(((AE290-(EU290))*AV290*I290),2)*BS290),2)*AU290)/100),2))</f>
        <v>0</v>
      </c>
      <c r="Z290" s="2"/>
      <c r="AA290" s="2">
        <v>60255014</v>
      </c>
      <c r="AB290" s="2">
        <f t="shared" si="336"/>
        <v>31.31</v>
      </c>
      <c r="AC290" s="2">
        <f t="shared" si="337"/>
        <v>31.31</v>
      </c>
      <c r="AD290" s="2">
        <f>ROUND((((ET290)-(EU290))+AE290),6)</f>
        <v>0</v>
      </c>
      <c r="AE290" s="2">
        <f>ROUND((EU290),6)</f>
        <v>0</v>
      </c>
      <c r="AF290" s="2">
        <f>ROUND((EV290),6)</f>
        <v>0</v>
      </c>
      <c r="AG290" s="2">
        <f t="shared" si="338"/>
        <v>0</v>
      </c>
      <c r="AH290" s="2">
        <f>(EW290)</f>
        <v>0</v>
      </c>
      <c r="AI290" s="2">
        <f>(EX290)</f>
        <v>0</v>
      </c>
      <c r="AJ290" s="2">
        <f t="shared" si="339"/>
        <v>0</v>
      </c>
      <c r="AK290" s="2">
        <v>31.31</v>
      </c>
      <c r="AL290" s="2">
        <v>31.31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109</v>
      </c>
      <c r="AU290" s="2">
        <v>61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1</v>
      </c>
      <c r="BJ290" s="2" t="s">
        <v>385</v>
      </c>
      <c r="BK290" s="2"/>
      <c r="BL290" s="2"/>
      <c r="BM290" s="2">
        <v>21</v>
      </c>
      <c r="BN290" s="2">
        <v>58973374</v>
      </c>
      <c r="BO290" s="2" t="s">
        <v>3</v>
      </c>
      <c r="BP290" s="2">
        <v>0</v>
      </c>
      <c r="BQ290" s="2">
        <v>30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109</v>
      </c>
      <c r="CA290" s="2">
        <v>61</v>
      </c>
      <c r="CB290" s="2" t="s">
        <v>3</v>
      </c>
      <c r="CC290" s="2"/>
      <c r="CD290" s="2"/>
      <c r="CE290" s="2">
        <v>1566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3</v>
      </c>
      <c r="CO290" s="2">
        <v>0</v>
      </c>
      <c r="CP290" s="2">
        <f t="shared" si="340"/>
        <v>18786</v>
      </c>
      <c r="CQ290" s="2">
        <f t="shared" si="341"/>
        <v>31.31</v>
      </c>
      <c r="CR290" s="2">
        <f>(ROUND((ROUND(((ET290)*AV290*1),2)*BB290),2)+ROUND((ROUND(((AE290-(EU290))*AV290*1),2)*BS290),2))</f>
        <v>0</v>
      </c>
      <c r="CS290" s="2">
        <f>(ROUND((ROUND(((EU290)*AV290*1),2)*BS290),2)+ROUND((ROUND(((AE290-(EU290))*AV290*1),2)*BS290),2))</f>
        <v>0</v>
      </c>
      <c r="CT290" s="2">
        <f t="shared" si="342"/>
        <v>0</v>
      </c>
      <c r="CU290" s="2">
        <f t="shared" si="343"/>
        <v>0</v>
      </c>
      <c r="CV290" s="2">
        <f t="shared" si="344"/>
        <v>0</v>
      </c>
      <c r="CW290" s="2">
        <f t="shared" si="345"/>
        <v>0</v>
      </c>
      <c r="CX290" s="2">
        <f t="shared" si="346"/>
        <v>0</v>
      </c>
      <c r="CY290" s="2">
        <f>(ROUND((((S290+ROUND((ROUND(((EU290)*AV290*1),2)*BS290),2))*AT290)/100),2)+ROUND(((ROUND((ROUND(((AE290-(EU290))*AV290*1),2)*BS290),2)*AT290)/100),2))</f>
        <v>0</v>
      </c>
      <c r="CZ290" s="2">
        <f>(ROUND((((S290+ROUND((ROUND(((EU290)*AV290*1),2)*BS290),2))*AU290)/100),2)+ROUND(((ROUND((ROUND(((AE290-(EU290))*AV290*1),2)*BS290),2)*AU290)/100),2))</f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1003</v>
      </c>
      <c r="DV290" s="2" t="s">
        <v>376</v>
      </c>
      <c r="DW290" s="2" t="s">
        <v>376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60088252</v>
      </c>
      <c r="EF290" s="2">
        <v>30</v>
      </c>
      <c r="EG290" s="2" t="s">
        <v>100</v>
      </c>
      <c r="EH290" s="2">
        <v>0</v>
      </c>
      <c r="EI290" s="2" t="s">
        <v>3</v>
      </c>
      <c r="EJ290" s="2">
        <v>1</v>
      </c>
      <c r="EK290" s="2">
        <v>21</v>
      </c>
      <c r="EL290" s="2" t="s">
        <v>356</v>
      </c>
      <c r="EM290" s="2" t="s">
        <v>357</v>
      </c>
      <c r="EN290" s="2"/>
      <c r="EO290" s="2" t="s">
        <v>3</v>
      </c>
      <c r="EP290" s="2"/>
      <c r="EQ290" s="2">
        <v>0</v>
      </c>
      <c r="ER290" s="2">
        <v>31.31</v>
      </c>
      <c r="ES290" s="2">
        <v>31.31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109</v>
      </c>
      <c r="FY290" s="2">
        <v>61</v>
      </c>
      <c r="FZ290" s="2"/>
      <c r="GA290" s="2" t="s">
        <v>3</v>
      </c>
      <c r="GB290" s="2"/>
      <c r="GC290" s="2"/>
      <c r="GD290" s="2">
        <v>1</v>
      </c>
      <c r="GE290" s="2"/>
      <c r="GF290" s="2">
        <v>2031406630</v>
      </c>
      <c r="GG290" s="2">
        <v>2</v>
      </c>
      <c r="GH290" s="2">
        <v>1</v>
      </c>
      <c r="GI290" s="2">
        <v>-2</v>
      </c>
      <c r="GJ290" s="2">
        <v>0</v>
      </c>
      <c r="GK290" s="2">
        <v>0</v>
      </c>
      <c r="GL290" s="2">
        <f t="shared" si="347"/>
        <v>0</v>
      </c>
      <c r="GM290" s="2">
        <f t="shared" si="348"/>
        <v>18786</v>
      </c>
      <c r="GN290" s="2">
        <f t="shared" si="349"/>
        <v>18786</v>
      </c>
      <c r="GO290" s="2">
        <f t="shared" si="350"/>
        <v>0</v>
      </c>
      <c r="GP290" s="2">
        <f t="shared" si="351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52"/>
        <v>0</v>
      </c>
      <c r="GW290" s="2">
        <v>1</v>
      </c>
      <c r="GX290" s="2">
        <f t="shared" si="353"/>
        <v>0</v>
      </c>
      <c r="GY290" s="2"/>
      <c r="GZ290" s="2"/>
      <c r="HA290" s="2">
        <v>0</v>
      </c>
      <c r="HB290" s="2">
        <v>0</v>
      </c>
      <c r="HC290" s="2">
        <f t="shared" si="354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3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">
      <c r="A291">
        <v>18</v>
      </c>
      <c r="B291">
        <v>1</v>
      </c>
      <c r="C291">
        <v>346</v>
      </c>
      <c r="E291" t="s">
        <v>382</v>
      </c>
      <c r="F291" t="s">
        <v>383</v>
      </c>
      <c r="G291" t="s">
        <v>384</v>
      </c>
      <c r="H291" t="s">
        <v>376</v>
      </c>
      <c r="I291">
        <f>I289*J291</f>
        <v>600</v>
      </c>
      <c r="J291">
        <v>100</v>
      </c>
      <c r="K291">
        <v>100</v>
      </c>
      <c r="O291">
        <f t="shared" si="329"/>
        <v>219984.06</v>
      </c>
      <c r="P291">
        <f t="shared" si="330"/>
        <v>219984.06</v>
      </c>
      <c r="Q291">
        <f>(ROUND((ROUND(((ET291)*AV291*I291),2)*BB291),2)+ROUND((ROUND(((AE291-(EU291))*AV291*I291),2)*BS291),2))</f>
        <v>0</v>
      </c>
      <c r="R291">
        <f>(ROUND((ROUND(((EU291)*AV291*I291),2)*BS291),2)+ROUND((ROUND(((AE291-(EU291))*AV291*I291),2)*BS291),2))</f>
        <v>0</v>
      </c>
      <c r="S291">
        <f t="shared" si="331"/>
        <v>0</v>
      </c>
      <c r="T291">
        <f t="shared" si="332"/>
        <v>0</v>
      </c>
      <c r="U291">
        <f t="shared" si="333"/>
        <v>0</v>
      </c>
      <c r="V291">
        <f t="shared" si="334"/>
        <v>0</v>
      </c>
      <c r="W291">
        <f t="shared" si="335"/>
        <v>0</v>
      </c>
      <c r="X291">
        <f>(ROUND((((S291+ROUND((ROUND(((EU291)*AV291*I291),2)*BS291),2))*AT291)/100),2)+ROUND(((ROUND((ROUND(((AE291-(EU291))*AV291*I291),2)*BS291),2)*AT291)/100),2))</f>
        <v>0</v>
      </c>
      <c r="Y291">
        <f>(ROUND((((S291+ROUND((ROUND(((EU291)*AV291*I291),2)*BS291),2))*AU291)/100),2)+ROUND(((ROUND((ROUND(((AE291-(EU291))*AV291*I291),2)*BS291),2)*AU291)/100),2))</f>
        <v>0</v>
      </c>
      <c r="AA291">
        <v>60255011</v>
      </c>
      <c r="AB291">
        <f t="shared" si="336"/>
        <v>31.31</v>
      </c>
      <c r="AC291">
        <f t="shared" si="337"/>
        <v>31.31</v>
      </c>
      <c r="AD291">
        <f>ROUND((((ET291)-(EU291))+AE291),6)</f>
        <v>0</v>
      </c>
      <c r="AE291">
        <f>ROUND((EU291),6)</f>
        <v>0</v>
      </c>
      <c r="AF291">
        <f>ROUND((EV291),6)</f>
        <v>0</v>
      </c>
      <c r="AG291">
        <f t="shared" si="338"/>
        <v>0</v>
      </c>
      <c r="AH291">
        <f>(EW291)</f>
        <v>0</v>
      </c>
      <c r="AI291">
        <f>(EX291)</f>
        <v>0</v>
      </c>
      <c r="AJ291">
        <f t="shared" si="339"/>
        <v>0</v>
      </c>
      <c r="AK291">
        <v>31.31</v>
      </c>
      <c r="AL291">
        <v>31.31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109</v>
      </c>
      <c r="AU291">
        <v>61</v>
      </c>
      <c r="AV291">
        <v>1</v>
      </c>
      <c r="AW291">
        <v>1</v>
      </c>
      <c r="AZ291">
        <v>1</v>
      </c>
      <c r="BA291">
        <v>1</v>
      </c>
      <c r="BB291">
        <v>1</v>
      </c>
      <c r="BC291">
        <v>11.71</v>
      </c>
      <c r="BD291" t="s">
        <v>3</v>
      </c>
      <c r="BE291" t="s">
        <v>3</v>
      </c>
      <c r="BF291" t="s">
        <v>3</v>
      </c>
      <c r="BG291" t="s">
        <v>3</v>
      </c>
      <c r="BH291">
        <v>3</v>
      </c>
      <c r="BI291">
        <v>1</v>
      </c>
      <c r="BJ291" t="s">
        <v>385</v>
      </c>
      <c r="BM291">
        <v>21</v>
      </c>
      <c r="BN291">
        <v>58973374</v>
      </c>
      <c r="BO291" t="s">
        <v>383</v>
      </c>
      <c r="BP291">
        <v>1</v>
      </c>
      <c r="BQ291">
        <v>30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 t="s">
        <v>3</v>
      </c>
      <c r="BZ291">
        <v>109</v>
      </c>
      <c r="CA291">
        <v>61</v>
      </c>
      <c r="CB291" t="s">
        <v>3</v>
      </c>
      <c r="CE291">
        <v>1566</v>
      </c>
      <c r="CF291">
        <v>0</v>
      </c>
      <c r="CG291">
        <v>0</v>
      </c>
      <c r="CM291">
        <v>0</v>
      </c>
      <c r="CN291" t="s">
        <v>3</v>
      </c>
      <c r="CO291">
        <v>0</v>
      </c>
      <c r="CP291">
        <f t="shared" si="340"/>
        <v>219984.06</v>
      </c>
      <c r="CQ291">
        <f t="shared" si="341"/>
        <v>366.64</v>
      </c>
      <c r="CR291">
        <f>(ROUND((ROUND(((ET291)*AV291*1),2)*BB291),2)+ROUND((ROUND(((AE291-(EU291))*AV291*1),2)*BS291),2))</f>
        <v>0</v>
      </c>
      <c r="CS291">
        <f>(ROUND((ROUND(((EU291)*AV291*1),2)*BS291),2)+ROUND((ROUND(((AE291-(EU291))*AV291*1),2)*BS291),2))</f>
        <v>0</v>
      </c>
      <c r="CT291">
        <f t="shared" si="342"/>
        <v>0</v>
      </c>
      <c r="CU291">
        <f t="shared" si="343"/>
        <v>0</v>
      </c>
      <c r="CV291">
        <f t="shared" si="344"/>
        <v>0</v>
      </c>
      <c r="CW291">
        <f t="shared" si="345"/>
        <v>0</v>
      </c>
      <c r="CX291">
        <f t="shared" si="346"/>
        <v>0</v>
      </c>
      <c r="CY291">
        <f>(ROUND((((S291+ROUND((ROUND(((EU291)*AV291*1),2)*BS291),2))*AT291)/100),2)+ROUND(((ROUND((ROUND(((AE291-(EU291))*AV291*1),2)*BS291),2)*AT291)/100),2))</f>
        <v>0</v>
      </c>
      <c r="CZ291">
        <f>(ROUND((((S291+ROUND((ROUND(((EU291)*AV291*1),2)*BS291),2))*AU291)/100),2)+ROUND(((ROUND((ROUND(((AE291-(EU291))*AV291*1),2)*BS291),2)*AU291)/100),2))</f>
        <v>0</v>
      </c>
      <c r="DC291" t="s">
        <v>3</v>
      </c>
      <c r="DD291" t="s">
        <v>3</v>
      </c>
      <c r="DE291" t="s">
        <v>3</v>
      </c>
      <c r="DF291" t="s">
        <v>3</v>
      </c>
      <c r="DG291" t="s">
        <v>3</v>
      </c>
      <c r="DH291" t="s">
        <v>3</v>
      </c>
      <c r="DI291" t="s">
        <v>3</v>
      </c>
      <c r="DJ291" t="s">
        <v>3</v>
      </c>
      <c r="DK291" t="s">
        <v>3</v>
      </c>
      <c r="DL291" t="s">
        <v>3</v>
      </c>
      <c r="DM291" t="s">
        <v>3</v>
      </c>
      <c r="DN291">
        <v>0</v>
      </c>
      <c r="DO291">
        <v>0</v>
      </c>
      <c r="DP291">
        <v>1</v>
      </c>
      <c r="DQ291">
        <v>1</v>
      </c>
      <c r="DU291">
        <v>1003</v>
      </c>
      <c r="DV291" t="s">
        <v>376</v>
      </c>
      <c r="DW291" t="s">
        <v>376</v>
      </c>
      <c r="DX291">
        <v>1</v>
      </c>
      <c r="DZ291" t="s">
        <v>3</v>
      </c>
      <c r="EA291" t="s">
        <v>3</v>
      </c>
      <c r="EB291" t="s">
        <v>3</v>
      </c>
      <c r="EC291" t="s">
        <v>3</v>
      </c>
      <c r="EE291">
        <v>60088252</v>
      </c>
      <c r="EF291">
        <v>30</v>
      </c>
      <c r="EG291" t="s">
        <v>100</v>
      </c>
      <c r="EH291">
        <v>0</v>
      </c>
      <c r="EI291" t="s">
        <v>3</v>
      </c>
      <c r="EJ291">
        <v>1</v>
      </c>
      <c r="EK291">
        <v>21</v>
      </c>
      <c r="EL291" t="s">
        <v>356</v>
      </c>
      <c r="EM291" t="s">
        <v>357</v>
      </c>
      <c r="EO291" t="s">
        <v>3</v>
      </c>
      <c r="EQ291">
        <v>0</v>
      </c>
      <c r="ER291">
        <v>31.31</v>
      </c>
      <c r="ES291">
        <v>31.31</v>
      </c>
      <c r="ET291">
        <v>0</v>
      </c>
      <c r="EU291">
        <v>0</v>
      </c>
      <c r="EV291">
        <v>0</v>
      </c>
      <c r="EW291">
        <v>0</v>
      </c>
      <c r="EX291">
        <v>0</v>
      </c>
      <c r="FQ291">
        <v>0</v>
      </c>
      <c r="FR291">
        <v>0</v>
      </c>
      <c r="FS291">
        <v>0</v>
      </c>
      <c r="FX291">
        <v>109</v>
      </c>
      <c r="FY291">
        <v>61</v>
      </c>
      <c r="GA291" t="s">
        <v>3</v>
      </c>
      <c r="GD291">
        <v>1</v>
      </c>
      <c r="GF291">
        <v>2031406630</v>
      </c>
      <c r="GG291">
        <v>2</v>
      </c>
      <c r="GH291">
        <v>1</v>
      </c>
      <c r="GI291">
        <v>2</v>
      </c>
      <c r="GJ291">
        <v>0</v>
      </c>
      <c r="GK291">
        <v>0</v>
      </c>
      <c r="GL291">
        <f t="shared" si="347"/>
        <v>0</v>
      </c>
      <c r="GM291">
        <f t="shared" si="348"/>
        <v>219984.06</v>
      </c>
      <c r="GN291">
        <f t="shared" si="349"/>
        <v>219984.06</v>
      </c>
      <c r="GO291">
        <f t="shared" si="350"/>
        <v>0</v>
      </c>
      <c r="GP291">
        <f t="shared" si="351"/>
        <v>0</v>
      </c>
      <c r="GR291">
        <v>0</v>
      </c>
      <c r="GS291">
        <v>3</v>
      </c>
      <c r="GT291">
        <v>0</v>
      </c>
      <c r="GU291" t="s">
        <v>3</v>
      </c>
      <c r="GV291">
        <f t="shared" si="352"/>
        <v>0</v>
      </c>
      <c r="GW291">
        <v>1</v>
      </c>
      <c r="GX291">
        <f t="shared" si="353"/>
        <v>0</v>
      </c>
      <c r="HA291">
        <v>0</v>
      </c>
      <c r="HB291">
        <v>0</v>
      </c>
      <c r="HC291">
        <f t="shared" si="354"/>
        <v>0</v>
      </c>
      <c r="HE291" t="s">
        <v>3</v>
      </c>
      <c r="HF291" t="s">
        <v>3</v>
      </c>
      <c r="HM291" t="s">
        <v>3</v>
      </c>
      <c r="HN291" t="s">
        <v>3</v>
      </c>
      <c r="HO291" t="s">
        <v>3</v>
      </c>
      <c r="HP291" t="s">
        <v>3</v>
      </c>
      <c r="HQ291" t="s">
        <v>3</v>
      </c>
      <c r="HS291">
        <v>0</v>
      </c>
      <c r="IK291">
        <v>0</v>
      </c>
    </row>
    <row r="292" spans="1:255" x14ac:dyDescent="0.2">
      <c r="A292" s="2">
        <v>17</v>
      </c>
      <c r="B292" s="2">
        <v>1</v>
      </c>
      <c r="C292" s="2">
        <f>ROW(SmtRes!A359)</f>
        <v>359</v>
      </c>
      <c r="D292" s="2">
        <f>ROW(EtalonRes!A399)</f>
        <v>399</v>
      </c>
      <c r="E292" s="2" t="s">
        <v>386</v>
      </c>
      <c r="F292" s="2" t="s">
        <v>387</v>
      </c>
      <c r="G292" s="2" t="s">
        <v>388</v>
      </c>
      <c r="H292" s="2" t="s">
        <v>371</v>
      </c>
      <c r="I292" s="2">
        <f>ROUND(110/100,9)</f>
        <v>1.1000000000000001</v>
      </c>
      <c r="J292" s="2">
        <v>0</v>
      </c>
      <c r="K292" s="2">
        <f>ROUND(110/100,9)</f>
        <v>1.1000000000000001</v>
      </c>
      <c r="L292" s="2"/>
      <c r="M292" s="2"/>
      <c r="N292" s="2"/>
      <c r="O292" s="2">
        <f t="shared" si="329"/>
        <v>654.72</v>
      </c>
      <c r="P292" s="2">
        <f t="shared" si="330"/>
        <v>36.26</v>
      </c>
      <c r="Q292" s="2">
        <f>(ROUND((ROUND(((((ET292*1.25)*1.1))*AV292*I292),2)*BB292),2)+ROUND((ROUND(((AE292-(((EU292*1.25)*1.1)))*AV292*I292),2)*BS292),2))</f>
        <v>67.7</v>
      </c>
      <c r="R292" s="2">
        <f>(ROUND((ROUND(((((EU292*1.25)*1.1))*AV292*I292),2)*BS292),2)+ROUND((ROUND(((AE292-(((EU292*1.25)*1.1)))*AV292*I292),2)*BS292),2))</f>
        <v>9.0399999999999991</v>
      </c>
      <c r="S292" s="2">
        <f t="shared" si="331"/>
        <v>550.76</v>
      </c>
      <c r="T292" s="2">
        <f t="shared" si="332"/>
        <v>0</v>
      </c>
      <c r="U292" s="2">
        <f t="shared" si="333"/>
        <v>44.096495849999997</v>
      </c>
      <c r="V292" s="2">
        <f t="shared" si="334"/>
        <v>0</v>
      </c>
      <c r="W292" s="2">
        <f t="shared" si="335"/>
        <v>0</v>
      </c>
      <c r="X292" s="2">
        <f>(ROUND((((S292+ROUND((ROUND(((((EU292*1.25)*1.1))*AV292*I292),2)*BS292),2))*AT292)/100),2)+ROUND(((ROUND((ROUND(((AE292-(((EU292*1.25)*1.1)))*AV292*I292),2)*BS292),2)*AT292)/100),2))</f>
        <v>610.17999999999995</v>
      </c>
      <c r="Y292" s="2">
        <f>(ROUND((((S292+ROUND((ROUND(((((EU292*1.25)*1.1))*AV292*I292),2)*BS292),2))*AU292)/100),2)+ROUND(((ROUND((ROUND(((AE292-(((EU292*1.25)*1.1)))*AV292*I292),2)*BS292),2)*AU292)/100),2))</f>
        <v>341.48</v>
      </c>
      <c r="Z292" s="2"/>
      <c r="AA292" s="2">
        <v>60255014</v>
      </c>
      <c r="AB292" s="2">
        <f t="shared" si="336"/>
        <v>559.89300000000003</v>
      </c>
      <c r="AC292" s="2">
        <f t="shared" si="337"/>
        <v>32.96</v>
      </c>
      <c r="AD292" s="2">
        <f>ROUND((((((ET292*1.25)*1.1))-(((EU292*1.25)*1.1)))+AE292),6)</f>
        <v>57.681249999999999</v>
      </c>
      <c r="AE292" s="2">
        <f>ROUND((((EU292*1.25)*1.1)),6)</f>
        <v>7.7</v>
      </c>
      <c r="AF292" s="2">
        <f>ROUND((((EV292*1.15)*1.1)),6)</f>
        <v>469.25175000000002</v>
      </c>
      <c r="AG292" s="2">
        <f t="shared" si="338"/>
        <v>0</v>
      </c>
      <c r="AH292" s="2">
        <f>(((EW292*1.15)*1.1))</f>
        <v>37.570499999999996</v>
      </c>
      <c r="AI292" s="2">
        <f>(((EX292*1.25)*1.1))</f>
        <v>0</v>
      </c>
      <c r="AJ292" s="2">
        <f t="shared" si="339"/>
        <v>0</v>
      </c>
      <c r="AK292" s="2">
        <v>445.86</v>
      </c>
      <c r="AL292" s="2">
        <v>32.96</v>
      </c>
      <c r="AM292" s="2">
        <v>41.95</v>
      </c>
      <c r="AN292" s="2">
        <v>5.6</v>
      </c>
      <c r="AO292" s="2">
        <v>370.95</v>
      </c>
      <c r="AP292" s="2">
        <v>0</v>
      </c>
      <c r="AQ292" s="2">
        <v>29.7</v>
      </c>
      <c r="AR292" s="2">
        <v>0</v>
      </c>
      <c r="AS292" s="2">
        <v>0</v>
      </c>
      <c r="AT292" s="2">
        <v>109</v>
      </c>
      <c r="AU292" s="2">
        <v>61</v>
      </c>
      <c r="AV292" s="2">
        <v>1.0669999999999999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0</v>
      </c>
      <c r="BI292" s="2">
        <v>1</v>
      </c>
      <c r="BJ292" s="2" t="s">
        <v>389</v>
      </c>
      <c r="BK292" s="2"/>
      <c r="BL292" s="2"/>
      <c r="BM292" s="2">
        <v>21</v>
      </c>
      <c r="BN292" s="2">
        <v>58973374</v>
      </c>
      <c r="BO292" s="2" t="s">
        <v>387</v>
      </c>
      <c r="BP292" s="2">
        <v>1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625</v>
      </c>
      <c r="CO292" s="2">
        <v>0</v>
      </c>
      <c r="CP292" s="2">
        <f t="shared" si="340"/>
        <v>654.72</v>
      </c>
      <c r="CQ292" s="2">
        <f t="shared" si="341"/>
        <v>32.96</v>
      </c>
      <c r="CR292" s="2">
        <f>(ROUND((ROUND(((((ET292*1.25)*1.1))*AV292*1),2)*BB292),2)+ROUND((ROUND(((AE292-(((EU292*1.25)*1.1)))*AV292*1),2)*BS292),2))</f>
        <v>61.55</v>
      </c>
      <c r="CS292" s="2">
        <f>(ROUND((ROUND(((((EU292*1.25)*1.1))*AV292*1),2)*BS292),2)+ROUND((ROUND(((AE292-(((EU292*1.25)*1.1)))*AV292*1),2)*BS292),2))</f>
        <v>8.2200000000000006</v>
      </c>
      <c r="CT292" s="2">
        <f t="shared" si="342"/>
        <v>500.69</v>
      </c>
      <c r="CU292" s="2">
        <f t="shared" si="343"/>
        <v>0</v>
      </c>
      <c r="CV292" s="2">
        <f t="shared" si="344"/>
        <v>40.087723499999996</v>
      </c>
      <c r="CW292" s="2">
        <f t="shared" si="345"/>
        <v>0</v>
      </c>
      <c r="CX292" s="2">
        <f t="shared" si="346"/>
        <v>0</v>
      </c>
      <c r="CY292" s="2">
        <f>(ROUND((((S292+ROUND((ROUND(((((EU292*1.25)*1.1))*AV292*1),2)*BS292),2))*AT292)/100),2)+ROUND(((ROUND((ROUND(((AE292-(((EU292*1.25)*1.1)))*AV292*1),2)*BS292),2)*AT292)/100),2))</f>
        <v>609.29</v>
      </c>
      <c r="CZ292" s="2">
        <f>(ROUND((((S292+ROUND((ROUND(((((EU292*1.25)*1.1))*AV292*1),2)*BS292),2))*AU292)/100),2)+ROUND(((ROUND((ROUND(((AE292-(((EU292*1.25)*1.1)))*AV292*1),2)*BS292),2)*AU292)/100),2))</f>
        <v>340.98</v>
      </c>
      <c r="DA292" s="2"/>
      <c r="DB292" s="2">
        <v>85</v>
      </c>
      <c r="DC292" s="2" t="s">
        <v>3</v>
      </c>
      <c r="DD292" s="2" t="s">
        <v>3</v>
      </c>
      <c r="DE292" s="2" t="s">
        <v>98</v>
      </c>
      <c r="DF292" s="2" t="s">
        <v>98</v>
      </c>
      <c r="DG292" s="2" t="s">
        <v>99</v>
      </c>
      <c r="DH292" s="2" t="s">
        <v>3</v>
      </c>
      <c r="DI292" s="2" t="s">
        <v>99</v>
      </c>
      <c r="DJ292" s="2" t="s">
        <v>98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1013</v>
      </c>
      <c r="DV292" s="2" t="s">
        <v>371</v>
      </c>
      <c r="DW292" s="2" t="s">
        <v>371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60088252</v>
      </c>
      <c r="EF292" s="2">
        <v>30</v>
      </c>
      <c r="EG292" s="2" t="s">
        <v>100</v>
      </c>
      <c r="EH292" s="2">
        <v>0</v>
      </c>
      <c r="EI292" s="2" t="s">
        <v>3</v>
      </c>
      <c r="EJ292" s="2">
        <v>1</v>
      </c>
      <c r="EK292" s="2">
        <v>21</v>
      </c>
      <c r="EL292" s="2" t="s">
        <v>356</v>
      </c>
      <c r="EM292" s="2" t="s">
        <v>357</v>
      </c>
      <c r="EN292" s="2"/>
      <c r="EO292" s="2" t="s">
        <v>103</v>
      </c>
      <c r="EP292" s="2"/>
      <c r="EQ292" s="2">
        <v>0</v>
      </c>
      <c r="ER292" s="2">
        <v>445.86</v>
      </c>
      <c r="ES292" s="2">
        <v>32.96</v>
      </c>
      <c r="ET292" s="2">
        <v>41.95</v>
      </c>
      <c r="EU292" s="2">
        <v>5.6</v>
      </c>
      <c r="EV292" s="2">
        <v>370.95</v>
      </c>
      <c r="EW292" s="2">
        <v>29.7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-139667909</v>
      </c>
      <c r="GG292" s="2">
        <v>2</v>
      </c>
      <c r="GH292" s="2">
        <v>1</v>
      </c>
      <c r="GI292" s="2">
        <v>2</v>
      </c>
      <c r="GJ292" s="2">
        <v>0</v>
      </c>
      <c r="GK292" s="2">
        <v>0</v>
      </c>
      <c r="GL292" s="2">
        <f t="shared" si="347"/>
        <v>0</v>
      </c>
      <c r="GM292" s="2">
        <f t="shared" si="348"/>
        <v>1606.38</v>
      </c>
      <c r="GN292" s="2">
        <f t="shared" si="349"/>
        <v>1606.38</v>
      </c>
      <c r="GO292" s="2">
        <f t="shared" si="350"/>
        <v>0</v>
      </c>
      <c r="GP292" s="2">
        <f t="shared" si="351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352"/>
        <v>0</v>
      </c>
      <c r="GW292" s="2">
        <v>1</v>
      </c>
      <c r="GX292" s="2">
        <f t="shared" si="353"/>
        <v>0</v>
      </c>
      <c r="GY292" s="2"/>
      <c r="GZ292" s="2"/>
      <c r="HA292" s="2">
        <v>0</v>
      </c>
      <c r="HB292" s="2">
        <v>0</v>
      </c>
      <c r="HC292" s="2">
        <f t="shared" si="354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>
        <v>17</v>
      </c>
      <c r="B293">
        <v>1</v>
      </c>
      <c r="C293">
        <f>ROW(SmtRes!A372)</f>
        <v>372</v>
      </c>
      <c r="D293">
        <f>ROW(EtalonRes!A414)</f>
        <v>414</v>
      </c>
      <c r="E293" t="s">
        <v>386</v>
      </c>
      <c r="F293" t="s">
        <v>387</v>
      </c>
      <c r="G293" t="s">
        <v>388</v>
      </c>
      <c r="H293" t="s">
        <v>371</v>
      </c>
      <c r="I293">
        <f>ROUND(110/100,9)</f>
        <v>1.1000000000000001</v>
      </c>
      <c r="J293">
        <v>0</v>
      </c>
      <c r="K293">
        <f>ROUND(110/100,9)</f>
        <v>1.1000000000000001</v>
      </c>
      <c r="O293">
        <f t="shared" si="329"/>
        <v>31592.82</v>
      </c>
      <c r="P293">
        <f t="shared" si="330"/>
        <v>258.52999999999997</v>
      </c>
      <c r="Q293">
        <f>(ROUND((ROUND(((((ET293*1.25)*1.1))*AV293*I293),2)*BB293),2)+ROUND((ROUND(((AE293-(((EU293*1.25)*1.1)))*AV293*I293),2)*BS293),2))</f>
        <v>1048</v>
      </c>
      <c r="R293">
        <f>(ROUND((ROUND(((((EU293*1.25)*1.1))*AV293*I293),2)*BS293),2)+ROUND((ROUND(((AE293-(((EU293*1.25)*1.1)))*AV293*I293),2)*BS293),2))</f>
        <v>497.11</v>
      </c>
      <c r="S293">
        <f t="shared" si="331"/>
        <v>30286.29</v>
      </c>
      <c r="T293">
        <f t="shared" si="332"/>
        <v>0</v>
      </c>
      <c r="U293">
        <f t="shared" si="333"/>
        <v>44.096495849999997</v>
      </c>
      <c r="V293">
        <f t="shared" si="334"/>
        <v>0</v>
      </c>
      <c r="W293">
        <f t="shared" si="335"/>
        <v>0</v>
      </c>
      <c r="X293">
        <f>(ROUND((((S293+ROUND((ROUND(((((EU293*1.25)*1.1))*AV293*I293),2)*BS293),2))*AT293)/100),2)+ROUND(((ROUND((ROUND(((AE293-(((EU293*1.25)*1.1)))*AV293*I293),2)*BS293),2)*AT293)/100),2))</f>
        <v>33553.910000000003</v>
      </c>
      <c r="Y293">
        <f>(ROUND((((S293+ROUND((ROUND(((((EU293*1.25)*1.1))*AV293*I293),2)*BS293),2))*AU293)/100),2)+ROUND(((ROUND((ROUND(((AE293-(((EU293*1.25)*1.1)))*AV293*I293),2)*BS293),2)*AU293)/100),2))</f>
        <v>18777.87</v>
      </c>
      <c r="AA293">
        <v>60255011</v>
      </c>
      <c r="AB293">
        <f t="shared" si="336"/>
        <v>559.89300000000003</v>
      </c>
      <c r="AC293">
        <f t="shared" si="337"/>
        <v>32.96</v>
      </c>
      <c r="AD293">
        <f>ROUND((((((ET293*1.25)*1.1))-(((EU293*1.25)*1.1)))+AE293),6)</f>
        <v>57.681249999999999</v>
      </c>
      <c r="AE293">
        <f>ROUND((((EU293*1.25)*1.1)),6)</f>
        <v>7.7</v>
      </c>
      <c r="AF293">
        <f>ROUND((((EV293*1.15)*1.1)),6)</f>
        <v>469.25175000000002</v>
      </c>
      <c r="AG293">
        <f t="shared" si="338"/>
        <v>0</v>
      </c>
      <c r="AH293">
        <f>(((EW293*1.15)*1.1))</f>
        <v>37.570499999999996</v>
      </c>
      <c r="AI293">
        <f>(((EX293*1.25)*1.1))</f>
        <v>0</v>
      </c>
      <c r="AJ293">
        <f t="shared" si="339"/>
        <v>0</v>
      </c>
      <c r="AK293">
        <v>445.86</v>
      </c>
      <c r="AL293">
        <v>32.96</v>
      </c>
      <c r="AM293">
        <v>41.95</v>
      </c>
      <c r="AN293">
        <v>5.6</v>
      </c>
      <c r="AO293">
        <v>370.95</v>
      </c>
      <c r="AP293">
        <v>0</v>
      </c>
      <c r="AQ293">
        <v>29.7</v>
      </c>
      <c r="AR293">
        <v>0</v>
      </c>
      <c r="AS293">
        <v>0</v>
      </c>
      <c r="AT293">
        <v>109</v>
      </c>
      <c r="AU293">
        <v>61</v>
      </c>
      <c r="AV293">
        <v>1.0669999999999999</v>
      </c>
      <c r="AW293">
        <v>1</v>
      </c>
      <c r="AZ293">
        <v>1</v>
      </c>
      <c r="BA293">
        <v>54.99</v>
      </c>
      <c r="BB293">
        <v>15.48</v>
      </c>
      <c r="BC293">
        <v>7.13</v>
      </c>
      <c r="BD293" t="s">
        <v>3</v>
      </c>
      <c r="BE293" t="s">
        <v>3</v>
      </c>
      <c r="BF293" t="s">
        <v>3</v>
      </c>
      <c r="BG293" t="s">
        <v>3</v>
      </c>
      <c r="BH293">
        <v>0</v>
      </c>
      <c r="BI293">
        <v>1</v>
      </c>
      <c r="BJ293" t="s">
        <v>389</v>
      </c>
      <c r="BM293">
        <v>21</v>
      </c>
      <c r="BN293">
        <v>58973374</v>
      </c>
      <c r="BO293" t="s">
        <v>387</v>
      </c>
      <c r="BP293">
        <v>1</v>
      </c>
      <c r="BQ293">
        <v>30</v>
      </c>
      <c r="BR293">
        <v>0</v>
      </c>
      <c r="BS293">
        <v>54.99</v>
      </c>
      <c r="BT293">
        <v>1</v>
      </c>
      <c r="BU293">
        <v>1</v>
      </c>
      <c r="BV293">
        <v>1</v>
      </c>
      <c r="BW293">
        <v>1</v>
      </c>
      <c r="BX293">
        <v>1</v>
      </c>
      <c r="BY293" t="s">
        <v>3</v>
      </c>
      <c r="BZ293">
        <v>109</v>
      </c>
      <c r="CA293">
        <v>61</v>
      </c>
      <c r="CB293" t="s">
        <v>3</v>
      </c>
      <c r="CE293">
        <v>1566</v>
      </c>
      <c r="CF293">
        <v>0</v>
      </c>
      <c r="CG293">
        <v>0</v>
      </c>
      <c r="CM293">
        <v>0</v>
      </c>
      <c r="CN293" t="s">
        <v>625</v>
      </c>
      <c r="CO293">
        <v>0</v>
      </c>
      <c r="CP293">
        <f t="shared" si="340"/>
        <v>31592.82</v>
      </c>
      <c r="CQ293">
        <f t="shared" si="341"/>
        <v>235</v>
      </c>
      <c r="CR293">
        <f>(ROUND((ROUND(((((ET293*1.25)*1.1))*AV293*1),2)*BB293),2)+ROUND((ROUND(((AE293-(((EU293*1.25)*1.1)))*AV293*1),2)*BS293),2))</f>
        <v>952.79</v>
      </c>
      <c r="CS293">
        <f>(ROUND((ROUND(((((EU293*1.25)*1.1))*AV293*1),2)*BS293),2)+ROUND((ROUND(((AE293-(((EU293*1.25)*1.1)))*AV293*1),2)*BS293),2))</f>
        <v>452.02</v>
      </c>
      <c r="CT293">
        <f t="shared" si="342"/>
        <v>27532.94</v>
      </c>
      <c r="CU293">
        <f t="shared" si="343"/>
        <v>0</v>
      </c>
      <c r="CV293">
        <f t="shared" si="344"/>
        <v>40.087723499999996</v>
      </c>
      <c r="CW293">
        <f t="shared" si="345"/>
        <v>0</v>
      </c>
      <c r="CX293">
        <f t="shared" si="346"/>
        <v>0</v>
      </c>
      <c r="CY293">
        <f>(ROUND((((S293+ROUND((ROUND(((((EU293*1.25)*1.1))*AV293*1),2)*BS293),2))*AT293)/100),2)+ROUND(((ROUND((ROUND(((AE293-(((EU293*1.25)*1.1)))*AV293*1),2)*BS293),2)*AT293)/100),2))</f>
        <v>33504.76</v>
      </c>
      <c r="CZ293">
        <f>(ROUND((((S293+ROUND((ROUND(((((EU293*1.25)*1.1))*AV293*1),2)*BS293),2))*AU293)/100),2)+ROUND(((ROUND((ROUND(((AE293-(((EU293*1.25)*1.1)))*AV293*1),2)*BS293),2)*AU293)/100),2))</f>
        <v>18750.37</v>
      </c>
      <c r="DB293">
        <v>87</v>
      </c>
      <c r="DC293" t="s">
        <v>3</v>
      </c>
      <c r="DD293" t="s">
        <v>3</v>
      </c>
      <c r="DE293" t="s">
        <v>98</v>
      </c>
      <c r="DF293" t="s">
        <v>98</v>
      </c>
      <c r="DG293" t="s">
        <v>99</v>
      </c>
      <c r="DH293" t="s">
        <v>3</v>
      </c>
      <c r="DI293" t="s">
        <v>99</v>
      </c>
      <c r="DJ293" t="s">
        <v>98</v>
      </c>
      <c r="DK293" t="s">
        <v>3</v>
      </c>
      <c r="DL293" t="s">
        <v>3</v>
      </c>
      <c r="DM293" t="s">
        <v>3</v>
      </c>
      <c r="DN293">
        <v>0</v>
      </c>
      <c r="DO293">
        <v>0</v>
      </c>
      <c r="DP293">
        <v>1</v>
      </c>
      <c r="DQ293">
        <v>1</v>
      </c>
      <c r="DU293">
        <v>1013</v>
      </c>
      <c r="DV293" t="s">
        <v>371</v>
      </c>
      <c r="DW293" t="s">
        <v>371</v>
      </c>
      <c r="DX293">
        <v>1</v>
      </c>
      <c r="DZ293" t="s">
        <v>3</v>
      </c>
      <c r="EA293" t="s">
        <v>3</v>
      </c>
      <c r="EB293" t="s">
        <v>3</v>
      </c>
      <c r="EC293" t="s">
        <v>3</v>
      </c>
      <c r="EE293">
        <v>60088252</v>
      </c>
      <c r="EF293">
        <v>30</v>
      </c>
      <c r="EG293" t="s">
        <v>100</v>
      </c>
      <c r="EH293">
        <v>0</v>
      </c>
      <c r="EI293" t="s">
        <v>3</v>
      </c>
      <c r="EJ293">
        <v>1</v>
      </c>
      <c r="EK293">
        <v>21</v>
      </c>
      <c r="EL293" t="s">
        <v>356</v>
      </c>
      <c r="EM293" t="s">
        <v>357</v>
      </c>
      <c r="EO293" t="s">
        <v>103</v>
      </c>
      <c r="EQ293">
        <v>0</v>
      </c>
      <c r="ER293">
        <v>445.86</v>
      </c>
      <c r="ES293">
        <v>32.96</v>
      </c>
      <c r="ET293">
        <v>41.95</v>
      </c>
      <c r="EU293">
        <v>5.6</v>
      </c>
      <c r="EV293">
        <v>370.95</v>
      </c>
      <c r="EW293">
        <v>29.7</v>
      </c>
      <c r="EX293">
        <v>0</v>
      </c>
      <c r="EY293">
        <v>0</v>
      </c>
      <c r="FQ293">
        <v>0</v>
      </c>
      <c r="FR293">
        <v>0</v>
      </c>
      <c r="FS293">
        <v>0</v>
      </c>
      <c r="FX293">
        <v>109</v>
      </c>
      <c r="FY293">
        <v>61</v>
      </c>
      <c r="GA293" t="s">
        <v>3</v>
      </c>
      <c r="GD293">
        <v>1</v>
      </c>
      <c r="GF293">
        <v>-139667909</v>
      </c>
      <c r="GG293">
        <v>2</v>
      </c>
      <c r="GH293">
        <v>1</v>
      </c>
      <c r="GI293">
        <v>2</v>
      </c>
      <c r="GJ293">
        <v>0</v>
      </c>
      <c r="GK293">
        <v>0</v>
      </c>
      <c r="GL293">
        <f t="shared" si="347"/>
        <v>0</v>
      </c>
      <c r="GM293">
        <f t="shared" si="348"/>
        <v>83924.6</v>
      </c>
      <c r="GN293">
        <f t="shared" si="349"/>
        <v>83924.6</v>
      </c>
      <c r="GO293">
        <f t="shared" si="350"/>
        <v>0</v>
      </c>
      <c r="GP293">
        <f t="shared" si="351"/>
        <v>0</v>
      </c>
      <c r="GR293">
        <v>0</v>
      </c>
      <c r="GS293">
        <v>3</v>
      </c>
      <c r="GT293">
        <v>0</v>
      </c>
      <c r="GU293" t="s">
        <v>3</v>
      </c>
      <c r="GV293">
        <f t="shared" si="352"/>
        <v>0</v>
      </c>
      <c r="GW293">
        <v>1</v>
      </c>
      <c r="GX293">
        <f t="shared" si="353"/>
        <v>0</v>
      </c>
      <c r="HA293">
        <v>0</v>
      </c>
      <c r="HB293">
        <v>0</v>
      </c>
      <c r="HC293">
        <f t="shared" si="354"/>
        <v>0</v>
      </c>
      <c r="HE293" t="s">
        <v>3</v>
      </c>
      <c r="HF293" t="s">
        <v>3</v>
      </c>
      <c r="HM293" t="s">
        <v>3</v>
      </c>
      <c r="HN293" t="s">
        <v>3</v>
      </c>
      <c r="HO293" t="s">
        <v>3</v>
      </c>
      <c r="HP293" t="s">
        <v>3</v>
      </c>
      <c r="HQ293" t="s">
        <v>3</v>
      </c>
      <c r="HS293">
        <v>0</v>
      </c>
      <c r="IK293">
        <v>0</v>
      </c>
    </row>
    <row r="294" spans="1:255" x14ac:dyDescent="0.2">
      <c r="A294" s="2">
        <v>18</v>
      </c>
      <c r="B294" s="2">
        <v>1</v>
      </c>
      <c r="C294" s="2">
        <v>359</v>
      </c>
      <c r="D294" s="2"/>
      <c r="E294" s="2" t="s">
        <v>390</v>
      </c>
      <c r="F294" s="2" t="s">
        <v>391</v>
      </c>
      <c r="G294" s="2" t="s">
        <v>392</v>
      </c>
      <c r="H294" s="2" t="s">
        <v>376</v>
      </c>
      <c r="I294" s="2">
        <f>I292*J294</f>
        <v>110</v>
      </c>
      <c r="J294" s="2">
        <v>99.999999999999986</v>
      </c>
      <c r="K294" s="2">
        <v>100</v>
      </c>
      <c r="L294" s="2"/>
      <c r="M294" s="2"/>
      <c r="N294" s="2"/>
      <c r="O294" s="2">
        <f t="shared" si="329"/>
        <v>3490.3</v>
      </c>
      <c r="P294" s="2">
        <f t="shared" si="330"/>
        <v>3490.3</v>
      </c>
      <c r="Q294" s="2">
        <f>(ROUND((ROUND(((ET294)*AV294*I294),2)*BB294),2)+ROUND((ROUND(((AE294-(EU294))*AV294*I294),2)*BS294),2))</f>
        <v>0</v>
      </c>
      <c r="R294" s="2">
        <f>(ROUND((ROUND(((EU294)*AV294*I294),2)*BS294),2)+ROUND((ROUND(((AE294-(EU294))*AV294*I294),2)*BS294),2))</f>
        <v>0</v>
      </c>
      <c r="S294" s="2">
        <f t="shared" si="331"/>
        <v>0</v>
      </c>
      <c r="T294" s="2">
        <f t="shared" si="332"/>
        <v>0</v>
      </c>
      <c r="U294" s="2">
        <f t="shared" si="333"/>
        <v>0</v>
      </c>
      <c r="V294" s="2">
        <f t="shared" si="334"/>
        <v>0</v>
      </c>
      <c r="W294" s="2">
        <f t="shared" si="335"/>
        <v>0</v>
      </c>
      <c r="X294" s="2">
        <f>(ROUND((((S294+ROUND((ROUND(((EU294)*AV294*I294),2)*BS294),2))*AT294)/100),2)+ROUND(((ROUND((ROUND(((AE294-(EU294))*AV294*I294),2)*BS294),2)*AT294)/100),2))</f>
        <v>0</v>
      </c>
      <c r="Y294" s="2">
        <f>(ROUND((((S294+ROUND((ROUND(((EU294)*AV294*I294),2)*BS294),2))*AU294)/100),2)+ROUND(((ROUND((ROUND(((AE294-(EU294))*AV294*I294),2)*BS294),2)*AU294)/100),2))</f>
        <v>0</v>
      </c>
      <c r="Z294" s="2"/>
      <c r="AA294" s="2">
        <v>60255014</v>
      </c>
      <c r="AB294" s="2">
        <f t="shared" si="336"/>
        <v>31.73</v>
      </c>
      <c r="AC294" s="2">
        <f t="shared" si="337"/>
        <v>31.73</v>
      </c>
      <c r="AD294" s="2">
        <f>ROUND((((ET294)-(EU294))+AE294),6)</f>
        <v>0</v>
      </c>
      <c r="AE294" s="2">
        <f>ROUND((EU294),6)</f>
        <v>0</v>
      </c>
      <c r="AF294" s="2">
        <f>ROUND((EV294),6)</f>
        <v>0</v>
      </c>
      <c r="AG294" s="2">
        <f t="shared" si="338"/>
        <v>0</v>
      </c>
      <c r="AH294" s="2">
        <f>(EW294)</f>
        <v>0</v>
      </c>
      <c r="AI294" s="2">
        <f>(EX294)</f>
        <v>0</v>
      </c>
      <c r="AJ294" s="2">
        <f t="shared" si="339"/>
        <v>0</v>
      </c>
      <c r="AK294" s="2">
        <v>31.73</v>
      </c>
      <c r="AL294" s="2">
        <v>31.73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109</v>
      </c>
      <c r="AU294" s="2">
        <v>61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1</v>
      </c>
      <c r="BJ294" s="2" t="s">
        <v>393</v>
      </c>
      <c r="BK294" s="2"/>
      <c r="BL294" s="2"/>
      <c r="BM294" s="2">
        <v>21</v>
      </c>
      <c r="BN294" s="2">
        <v>58973374</v>
      </c>
      <c r="BO294" s="2" t="s">
        <v>3</v>
      </c>
      <c r="BP294" s="2">
        <v>0</v>
      </c>
      <c r="BQ294" s="2">
        <v>30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109</v>
      </c>
      <c r="CA294" s="2">
        <v>61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3</v>
      </c>
      <c r="CO294" s="2">
        <v>0</v>
      </c>
      <c r="CP294" s="2">
        <f t="shared" si="340"/>
        <v>3490.3</v>
      </c>
      <c r="CQ294" s="2">
        <f t="shared" si="341"/>
        <v>31.73</v>
      </c>
      <c r="CR294" s="2">
        <f>(ROUND((ROUND(((ET294)*AV294*1),2)*BB294),2)+ROUND((ROUND(((AE294-(EU294))*AV294*1),2)*BS294),2))</f>
        <v>0</v>
      </c>
      <c r="CS294" s="2">
        <f>(ROUND((ROUND(((EU294)*AV294*1),2)*BS294),2)+ROUND((ROUND(((AE294-(EU294))*AV294*1),2)*BS294),2))</f>
        <v>0</v>
      </c>
      <c r="CT294" s="2">
        <f t="shared" si="342"/>
        <v>0</v>
      </c>
      <c r="CU294" s="2">
        <f t="shared" si="343"/>
        <v>0</v>
      </c>
      <c r="CV294" s="2">
        <f t="shared" si="344"/>
        <v>0</v>
      </c>
      <c r="CW294" s="2">
        <f t="shared" si="345"/>
        <v>0</v>
      </c>
      <c r="CX294" s="2">
        <f t="shared" si="346"/>
        <v>0</v>
      </c>
      <c r="CY294" s="2">
        <f>(ROUND((((S294+ROUND((ROUND(((EU294)*AV294*1),2)*BS294),2))*AT294)/100),2)+ROUND(((ROUND((ROUND(((AE294-(EU294))*AV294*1),2)*BS294),2)*AT294)/100),2))</f>
        <v>0</v>
      </c>
      <c r="CZ294" s="2">
        <f>(ROUND((((S294+ROUND((ROUND(((EU294)*AV294*1),2)*BS294),2))*AU294)/100),2)+ROUND(((ROUND((ROUND(((AE294-(EU294))*AV294*1),2)*BS294),2)*AU294)/100),2))</f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1003</v>
      </c>
      <c r="DV294" s="2" t="s">
        <v>376</v>
      </c>
      <c r="DW294" s="2" t="s">
        <v>376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60088252</v>
      </c>
      <c r="EF294" s="2">
        <v>30</v>
      </c>
      <c r="EG294" s="2" t="s">
        <v>100</v>
      </c>
      <c r="EH294" s="2">
        <v>0</v>
      </c>
      <c r="EI294" s="2" t="s">
        <v>3</v>
      </c>
      <c r="EJ294" s="2">
        <v>1</v>
      </c>
      <c r="EK294" s="2">
        <v>21</v>
      </c>
      <c r="EL294" s="2" t="s">
        <v>356</v>
      </c>
      <c r="EM294" s="2" t="s">
        <v>357</v>
      </c>
      <c r="EN294" s="2"/>
      <c r="EO294" s="2" t="s">
        <v>3</v>
      </c>
      <c r="EP294" s="2"/>
      <c r="EQ294" s="2">
        <v>0</v>
      </c>
      <c r="ER294" s="2">
        <v>31.73</v>
      </c>
      <c r="ES294" s="2">
        <v>31.73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109</v>
      </c>
      <c r="FY294" s="2">
        <v>61</v>
      </c>
      <c r="FZ294" s="2"/>
      <c r="GA294" s="2" t="s">
        <v>3</v>
      </c>
      <c r="GB294" s="2"/>
      <c r="GC294" s="2"/>
      <c r="GD294" s="2">
        <v>1</v>
      </c>
      <c r="GE294" s="2"/>
      <c r="GF294" s="2">
        <v>-1819578337</v>
      </c>
      <c r="GG294" s="2">
        <v>2</v>
      </c>
      <c r="GH294" s="2">
        <v>1</v>
      </c>
      <c r="GI294" s="2">
        <v>-2</v>
      </c>
      <c r="GJ294" s="2">
        <v>0</v>
      </c>
      <c r="GK294" s="2">
        <v>0</v>
      </c>
      <c r="GL294" s="2">
        <f t="shared" si="347"/>
        <v>0</v>
      </c>
      <c r="GM294" s="2">
        <f t="shared" si="348"/>
        <v>3490.3</v>
      </c>
      <c r="GN294" s="2">
        <f t="shared" si="349"/>
        <v>3490.3</v>
      </c>
      <c r="GO294" s="2">
        <f t="shared" si="350"/>
        <v>0</v>
      </c>
      <c r="GP294" s="2">
        <f t="shared" si="351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352"/>
        <v>0</v>
      </c>
      <c r="GW294" s="2">
        <v>1</v>
      </c>
      <c r="GX294" s="2">
        <f t="shared" si="353"/>
        <v>0</v>
      </c>
      <c r="GY294" s="2"/>
      <c r="GZ294" s="2"/>
      <c r="HA294" s="2">
        <v>0</v>
      </c>
      <c r="HB294" s="2">
        <v>0</v>
      </c>
      <c r="HC294" s="2">
        <f t="shared" si="354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>
        <v>18</v>
      </c>
      <c r="B295">
        <v>1</v>
      </c>
      <c r="C295">
        <v>372</v>
      </c>
      <c r="E295" t="s">
        <v>390</v>
      </c>
      <c r="F295" t="s">
        <v>391</v>
      </c>
      <c r="G295" t="s">
        <v>392</v>
      </c>
      <c r="H295" t="s">
        <v>376</v>
      </c>
      <c r="I295">
        <f>I293*J295</f>
        <v>110</v>
      </c>
      <c r="J295">
        <v>99.999999999999986</v>
      </c>
      <c r="K295">
        <v>100</v>
      </c>
      <c r="O295">
        <f t="shared" si="329"/>
        <v>50504.639999999999</v>
      </c>
      <c r="P295">
        <f t="shared" si="330"/>
        <v>50504.639999999999</v>
      </c>
      <c r="Q295">
        <f>(ROUND((ROUND(((ET295)*AV295*I295),2)*BB295),2)+ROUND((ROUND(((AE295-(EU295))*AV295*I295),2)*BS295),2))</f>
        <v>0</v>
      </c>
      <c r="R295">
        <f>(ROUND((ROUND(((EU295)*AV295*I295),2)*BS295),2)+ROUND((ROUND(((AE295-(EU295))*AV295*I295),2)*BS295),2))</f>
        <v>0</v>
      </c>
      <c r="S295">
        <f t="shared" si="331"/>
        <v>0</v>
      </c>
      <c r="T295">
        <f t="shared" si="332"/>
        <v>0</v>
      </c>
      <c r="U295">
        <f t="shared" si="333"/>
        <v>0</v>
      </c>
      <c r="V295">
        <f t="shared" si="334"/>
        <v>0</v>
      </c>
      <c r="W295">
        <f t="shared" si="335"/>
        <v>0</v>
      </c>
      <c r="X295">
        <f>(ROUND((((S295+ROUND((ROUND(((EU295)*AV295*I295),2)*BS295),2))*AT295)/100),2)+ROUND(((ROUND((ROUND(((AE295-(EU295))*AV295*I295),2)*BS295),2)*AT295)/100),2))</f>
        <v>0</v>
      </c>
      <c r="Y295">
        <f>(ROUND((((S295+ROUND((ROUND(((EU295)*AV295*I295),2)*BS295),2))*AU295)/100),2)+ROUND(((ROUND((ROUND(((AE295-(EU295))*AV295*I295),2)*BS295),2)*AU295)/100),2))</f>
        <v>0</v>
      </c>
      <c r="AA295">
        <v>60255011</v>
      </c>
      <c r="AB295">
        <f t="shared" si="336"/>
        <v>31.73</v>
      </c>
      <c r="AC295">
        <f t="shared" si="337"/>
        <v>31.73</v>
      </c>
      <c r="AD295">
        <f>ROUND((((ET295)-(EU295))+AE295),6)</f>
        <v>0</v>
      </c>
      <c r="AE295">
        <f>ROUND((EU295),6)</f>
        <v>0</v>
      </c>
      <c r="AF295">
        <f>ROUND((EV295),6)</f>
        <v>0</v>
      </c>
      <c r="AG295">
        <f t="shared" si="338"/>
        <v>0</v>
      </c>
      <c r="AH295">
        <f>(EW295)</f>
        <v>0</v>
      </c>
      <c r="AI295">
        <f>(EX295)</f>
        <v>0</v>
      </c>
      <c r="AJ295">
        <f t="shared" si="339"/>
        <v>0</v>
      </c>
      <c r="AK295">
        <v>31.73</v>
      </c>
      <c r="AL295">
        <v>31.73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109</v>
      </c>
      <c r="AU295">
        <v>61</v>
      </c>
      <c r="AV295">
        <v>1</v>
      </c>
      <c r="AW295">
        <v>1</v>
      </c>
      <c r="AZ295">
        <v>1</v>
      </c>
      <c r="BA295">
        <v>1</v>
      </c>
      <c r="BB295">
        <v>1</v>
      </c>
      <c r="BC295">
        <v>14.47</v>
      </c>
      <c r="BD295" t="s">
        <v>3</v>
      </c>
      <c r="BE295" t="s">
        <v>3</v>
      </c>
      <c r="BF295" t="s">
        <v>3</v>
      </c>
      <c r="BG295" t="s">
        <v>3</v>
      </c>
      <c r="BH295">
        <v>3</v>
      </c>
      <c r="BI295">
        <v>1</v>
      </c>
      <c r="BJ295" t="s">
        <v>393</v>
      </c>
      <c r="BM295">
        <v>21</v>
      </c>
      <c r="BN295">
        <v>58973374</v>
      </c>
      <c r="BO295" t="s">
        <v>391</v>
      </c>
      <c r="BP295">
        <v>1</v>
      </c>
      <c r="BQ295">
        <v>30</v>
      </c>
      <c r="BR295">
        <v>0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 t="s">
        <v>3</v>
      </c>
      <c r="BZ295">
        <v>109</v>
      </c>
      <c r="CA295">
        <v>61</v>
      </c>
      <c r="CB295" t="s">
        <v>3</v>
      </c>
      <c r="CE295">
        <v>1566</v>
      </c>
      <c r="CF295">
        <v>0</v>
      </c>
      <c r="CG295">
        <v>0</v>
      </c>
      <c r="CM295">
        <v>0</v>
      </c>
      <c r="CN295" t="s">
        <v>3</v>
      </c>
      <c r="CO295">
        <v>0</v>
      </c>
      <c r="CP295">
        <f t="shared" si="340"/>
        <v>50504.639999999999</v>
      </c>
      <c r="CQ295">
        <f t="shared" si="341"/>
        <v>459.13</v>
      </c>
      <c r="CR295">
        <f>(ROUND((ROUND(((ET295)*AV295*1),2)*BB295),2)+ROUND((ROUND(((AE295-(EU295))*AV295*1),2)*BS295),2))</f>
        <v>0</v>
      </c>
      <c r="CS295">
        <f>(ROUND((ROUND(((EU295)*AV295*1),2)*BS295),2)+ROUND((ROUND(((AE295-(EU295))*AV295*1),2)*BS295),2))</f>
        <v>0</v>
      </c>
      <c r="CT295">
        <f t="shared" si="342"/>
        <v>0</v>
      </c>
      <c r="CU295">
        <f t="shared" si="343"/>
        <v>0</v>
      </c>
      <c r="CV295">
        <f t="shared" si="344"/>
        <v>0</v>
      </c>
      <c r="CW295">
        <f t="shared" si="345"/>
        <v>0</v>
      </c>
      <c r="CX295">
        <f t="shared" si="346"/>
        <v>0</v>
      </c>
      <c r="CY295">
        <f>(ROUND((((S295+ROUND((ROUND(((EU295)*AV295*1),2)*BS295),2))*AT295)/100),2)+ROUND(((ROUND((ROUND(((AE295-(EU295))*AV295*1),2)*BS295),2)*AT295)/100),2))</f>
        <v>0</v>
      </c>
      <c r="CZ295">
        <f>(ROUND((((S295+ROUND((ROUND(((EU295)*AV295*1),2)*BS295),2))*AU295)/100),2)+ROUND(((ROUND((ROUND(((AE295-(EU295))*AV295*1),2)*BS295),2)*AU295)/100),2))</f>
        <v>0</v>
      </c>
      <c r="DC295" t="s">
        <v>3</v>
      </c>
      <c r="DD295" t="s">
        <v>3</v>
      </c>
      <c r="DE295" t="s">
        <v>3</v>
      </c>
      <c r="DF295" t="s">
        <v>3</v>
      </c>
      <c r="DG295" t="s">
        <v>3</v>
      </c>
      <c r="DH295" t="s">
        <v>3</v>
      </c>
      <c r="DI295" t="s">
        <v>3</v>
      </c>
      <c r="DJ295" t="s">
        <v>3</v>
      </c>
      <c r="DK295" t="s">
        <v>3</v>
      </c>
      <c r="DL295" t="s">
        <v>3</v>
      </c>
      <c r="DM295" t="s">
        <v>3</v>
      </c>
      <c r="DN295">
        <v>0</v>
      </c>
      <c r="DO295">
        <v>0</v>
      </c>
      <c r="DP295">
        <v>1</v>
      </c>
      <c r="DQ295">
        <v>1</v>
      </c>
      <c r="DU295">
        <v>1003</v>
      </c>
      <c r="DV295" t="s">
        <v>376</v>
      </c>
      <c r="DW295" t="s">
        <v>376</v>
      </c>
      <c r="DX295">
        <v>1</v>
      </c>
      <c r="DZ295" t="s">
        <v>3</v>
      </c>
      <c r="EA295" t="s">
        <v>3</v>
      </c>
      <c r="EB295" t="s">
        <v>3</v>
      </c>
      <c r="EC295" t="s">
        <v>3</v>
      </c>
      <c r="EE295">
        <v>60088252</v>
      </c>
      <c r="EF295">
        <v>30</v>
      </c>
      <c r="EG295" t="s">
        <v>100</v>
      </c>
      <c r="EH295">
        <v>0</v>
      </c>
      <c r="EI295" t="s">
        <v>3</v>
      </c>
      <c r="EJ295">
        <v>1</v>
      </c>
      <c r="EK295">
        <v>21</v>
      </c>
      <c r="EL295" t="s">
        <v>356</v>
      </c>
      <c r="EM295" t="s">
        <v>357</v>
      </c>
      <c r="EO295" t="s">
        <v>3</v>
      </c>
      <c r="EQ295">
        <v>0</v>
      </c>
      <c r="ER295">
        <v>31.73</v>
      </c>
      <c r="ES295">
        <v>31.73</v>
      </c>
      <c r="ET295">
        <v>0</v>
      </c>
      <c r="EU295">
        <v>0</v>
      </c>
      <c r="EV295">
        <v>0</v>
      </c>
      <c r="EW295">
        <v>0</v>
      </c>
      <c r="EX295">
        <v>0</v>
      </c>
      <c r="FQ295">
        <v>0</v>
      </c>
      <c r="FR295">
        <v>0</v>
      </c>
      <c r="FS295">
        <v>0</v>
      </c>
      <c r="FX295">
        <v>109</v>
      </c>
      <c r="FY295">
        <v>61</v>
      </c>
      <c r="GA295" t="s">
        <v>3</v>
      </c>
      <c r="GD295">
        <v>1</v>
      </c>
      <c r="GF295">
        <v>-1819578337</v>
      </c>
      <c r="GG295">
        <v>2</v>
      </c>
      <c r="GH295">
        <v>1</v>
      </c>
      <c r="GI295">
        <v>2</v>
      </c>
      <c r="GJ295">
        <v>0</v>
      </c>
      <c r="GK295">
        <v>0</v>
      </c>
      <c r="GL295">
        <f t="shared" si="347"/>
        <v>0</v>
      </c>
      <c r="GM295">
        <f t="shared" si="348"/>
        <v>50504.639999999999</v>
      </c>
      <c r="GN295">
        <f t="shared" si="349"/>
        <v>50504.639999999999</v>
      </c>
      <c r="GO295">
        <f t="shared" si="350"/>
        <v>0</v>
      </c>
      <c r="GP295">
        <f t="shared" si="351"/>
        <v>0</v>
      </c>
      <c r="GR295">
        <v>0</v>
      </c>
      <c r="GS295">
        <v>3</v>
      </c>
      <c r="GT295">
        <v>0</v>
      </c>
      <c r="GU295" t="s">
        <v>3</v>
      </c>
      <c r="GV295">
        <f t="shared" si="352"/>
        <v>0</v>
      </c>
      <c r="GW295">
        <v>1</v>
      </c>
      <c r="GX295">
        <f t="shared" si="353"/>
        <v>0</v>
      </c>
      <c r="HA295">
        <v>0</v>
      </c>
      <c r="HB295">
        <v>0</v>
      </c>
      <c r="HC295">
        <f t="shared" si="354"/>
        <v>0</v>
      </c>
      <c r="HE295" t="s">
        <v>3</v>
      </c>
      <c r="HF295" t="s">
        <v>3</v>
      </c>
      <c r="HM295" t="s">
        <v>3</v>
      </c>
      <c r="HN295" t="s">
        <v>3</v>
      </c>
      <c r="HO295" t="s">
        <v>3</v>
      </c>
      <c r="HP295" t="s">
        <v>3</v>
      </c>
      <c r="HQ295" t="s">
        <v>3</v>
      </c>
      <c r="HS295">
        <v>0</v>
      </c>
      <c r="IK295">
        <v>0</v>
      </c>
    </row>
    <row r="296" spans="1:255" x14ac:dyDescent="0.2">
      <c r="A296" s="2">
        <v>17</v>
      </c>
      <c r="B296" s="2">
        <v>1</v>
      </c>
      <c r="C296" s="2">
        <f>ROW(SmtRes!A385)</f>
        <v>385</v>
      </c>
      <c r="D296" s="2">
        <f>ROW(EtalonRes!A429)</f>
        <v>429</v>
      </c>
      <c r="E296" s="2" t="s">
        <v>394</v>
      </c>
      <c r="F296" s="2" t="s">
        <v>395</v>
      </c>
      <c r="G296" s="2" t="s">
        <v>396</v>
      </c>
      <c r="H296" s="2" t="s">
        <v>371</v>
      </c>
      <c r="I296" s="2">
        <f>ROUND(200/100,9)</f>
        <v>2</v>
      </c>
      <c r="J296" s="2">
        <v>0</v>
      </c>
      <c r="K296" s="2">
        <f>ROUND(200/100,9)</f>
        <v>2</v>
      </c>
      <c r="L296" s="2"/>
      <c r="M296" s="2"/>
      <c r="N296" s="2"/>
      <c r="O296" s="2">
        <f t="shared" si="329"/>
        <v>1191.95</v>
      </c>
      <c r="P296" s="2">
        <f t="shared" si="330"/>
        <v>67.48</v>
      </c>
      <c r="Q296" s="2">
        <f>(ROUND((ROUND(((((ET296*1.25)*1.1))*AV296*I296),2)*BB296),2)+ROUND((ROUND(((AE296-(((EU296*1.25)*1.1)))*AV296*I296),2)*BS296),2))</f>
        <v>123.09</v>
      </c>
      <c r="R296" s="2">
        <f>(ROUND((ROUND(((((EU296*1.25)*1.1))*AV296*I296),2)*BS296),2)+ROUND((ROUND(((AE296-(((EU296*1.25)*1.1)))*AV296*I296),2)*BS296),2))</f>
        <v>16.43</v>
      </c>
      <c r="S296" s="2">
        <f t="shared" si="331"/>
        <v>1001.38</v>
      </c>
      <c r="T296" s="2">
        <f t="shared" si="332"/>
        <v>0</v>
      </c>
      <c r="U296" s="2">
        <f t="shared" si="333"/>
        <v>80.175446999999991</v>
      </c>
      <c r="V296" s="2">
        <f t="shared" si="334"/>
        <v>0</v>
      </c>
      <c r="W296" s="2">
        <f t="shared" si="335"/>
        <v>0</v>
      </c>
      <c r="X296" s="2">
        <f>(ROUND((((S296+ROUND((ROUND(((((EU296*1.25)*1.1))*AV296*I296),2)*BS296),2))*AT296)/100),2)+ROUND(((ROUND((ROUND(((AE296-(((EU296*1.25)*1.1)))*AV296*I296),2)*BS296),2)*AT296)/100),2))</f>
        <v>1109.4100000000001</v>
      </c>
      <c r="Y296" s="2">
        <f>(ROUND((((S296+ROUND((ROUND(((((EU296*1.25)*1.1))*AV296*I296),2)*BS296),2))*AU296)/100),2)+ROUND(((ROUND((ROUND(((AE296-(((EU296*1.25)*1.1)))*AV296*I296),2)*BS296),2)*AU296)/100),2))</f>
        <v>620.86</v>
      </c>
      <c r="Z296" s="2"/>
      <c r="AA296" s="2">
        <v>60255014</v>
      </c>
      <c r="AB296" s="2">
        <f t="shared" si="336"/>
        <v>560.673</v>
      </c>
      <c r="AC296" s="2">
        <f t="shared" si="337"/>
        <v>33.74</v>
      </c>
      <c r="AD296" s="2">
        <f>ROUND((((((ET296*1.25)*1.1))-(((EU296*1.25)*1.1)))+AE296),6)</f>
        <v>57.681249999999999</v>
      </c>
      <c r="AE296" s="2">
        <f>ROUND((((EU296*1.25)*1.1)),6)</f>
        <v>7.7</v>
      </c>
      <c r="AF296" s="2">
        <f>ROUND((((EV296*1.15)*1.1)),6)</f>
        <v>469.25175000000002</v>
      </c>
      <c r="AG296" s="2">
        <f t="shared" si="338"/>
        <v>0</v>
      </c>
      <c r="AH296" s="2">
        <f>(((EW296*1.15)*1.1))</f>
        <v>37.570499999999996</v>
      </c>
      <c r="AI296" s="2">
        <f>(((EX296*1.25)*1.1))</f>
        <v>0</v>
      </c>
      <c r="AJ296" s="2">
        <f t="shared" si="339"/>
        <v>0</v>
      </c>
      <c r="AK296" s="2">
        <v>446.64</v>
      </c>
      <c r="AL296" s="2">
        <v>33.74</v>
      </c>
      <c r="AM296" s="2">
        <v>41.95</v>
      </c>
      <c r="AN296" s="2">
        <v>5.6</v>
      </c>
      <c r="AO296" s="2">
        <v>370.95</v>
      </c>
      <c r="AP296" s="2">
        <v>0</v>
      </c>
      <c r="AQ296" s="2">
        <v>29.7</v>
      </c>
      <c r="AR296" s="2">
        <v>0</v>
      </c>
      <c r="AS296" s="2">
        <v>0</v>
      </c>
      <c r="AT296" s="2">
        <v>109</v>
      </c>
      <c r="AU296" s="2">
        <v>61</v>
      </c>
      <c r="AV296" s="2">
        <v>1.0669999999999999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0</v>
      </c>
      <c r="BI296" s="2">
        <v>1</v>
      </c>
      <c r="BJ296" s="2" t="s">
        <v>397</v>
      </c>
      <c r="BK296" s="2"/>
      <c r="BL296" s="2"/>
      <c r="BM296" s="2">
        <v>21</v>
      </c>
      <c r="BN296" s="2">
        <v>58973374</v>
      </c>
      <c r="BO296" s="2" t="s">
        <v>395</v>
      </c>
      <c r="BP296" s="2">
        <v>1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625</v>
      </c>
      <c r="CO296" s="2">
        <v>0</v>
      </c>
      <c r="CP296" s="2">
        <f t="shared" si="340"/>
        <v>1191.95</v>
      </c>
      <c r="CQ296" s="2">
        <f t="shared" si="341"/>
        <v>33.74</v>
      </c>
      <c r="CR296" s="2">
        <f>(ROUND((ROUND(((((ET296*1.25)*1.1))*AV296*1),2)*BB296),2)+ROUND((ROUND(((AE296-(((EU296*1.25)*1.1)))*AV296*1),2)*BS296),2))</f>
        <v>61.55</v>
      </c>
      <c r="CS296" s="2">
        <f>(ROUND((ROUND(((((EU296*1.25)*1.1))*AV296*1),2)*BS296),2)+ROUND((ROUND(((AE296-(((EU296*1.25)*1.1)))*AV296*1),2)*BS296),2))</f>
        <v>8.2200000000000006</v>
      </c>
      <c r="CT296" s="2">
        <f t="shared" si="342"/>
        <v>500.69</v>
      </c>
      <c r="CU296" s="2">
        <f t="shared" si="343"/>
        <v>0</v>
      </c>
      <c r="CV296" s="2">
        <f t="shared" si="344"/>
        <v>40.087723499999996</v>
      </c>
      <c r="CW296" s="2">
        <f t="shared" si="345"/>
        <v>0</v>
      </c>
      <c r="CX296" s="2">
        <f t="shared" si="346"/>
        <v>0</v>
      </c>
      <c r="CY296" s="2">
        <f>(ROUND((((S296+ROUND((ROUND(((((EU296*1.25)*1.1))*AV296*1),2)*BS296),2))*AT296)/100),2)+ROUND(((ROUND((ROUND(((AE296-(((EU296*1.25)*1.1)))*AV296*1),2)*BS296),2)*AT296)/100),2))</f>
        <v>1100.46</v>
      </c>
      <c r="CZ296" s="2">
        <f>(ROUND((((S296+ROUND((ROUND(((((EU296*1.25)*1.1))*AV296*1),2)*BS296),2))*AU296)/100),2)+ROUND(((ROUND((ROUND(((AE296-(((EU296*1.25)*1.1)))*AV296*1),2)*BS296),2)*AU296)/100),2))</f>
        <v>615.86</v>
      </c>
      <c r="DA296" s="2"/>
      <c r="DB296" s="2">
        <v>89</v>
      </c>
      <c r="DC296" s="2" t="s">
        <v>3</v>
      </c>
      <c r="DD296" s="2" t="s">
        <v>3</v>
      </c>
      <c r="DE296" s="2" t="s">
        <v>98</v>
      </c>
      <c r="DF296" s="2" t="s">
        <v>98</v>
      </c>
      <c r="DG296" s="2" t="s">
        <v>99</v>
      </c>
      <c r="DH296" s="2" t="s">
        <v>3</v>
      </c>
      <c r="DI296" s="2" t="s">
        <v>99</v>
      </c>
      <c r="DJ296" s="2" t="s">
        <v>98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1013</v>
      </c>
      <c r="DV296" s="2" t="s">
        <v>371</v>
      </c>
      <c r="DW296" s="2" t="s">
        <v>371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60088252</v>
      </c>
      <c r="EF296" s="2">
        <v>30</v>
      </c>
      <c r="EG296" s="2" t="s">
        <v>100</v>
      </c>
      <c r="EH296" s="2">
        <v>0</v>
      </c>
      <c r="EI296" s="2" t="s">
        <v>3</v>
      </c>
      <c r="EJ296" s="2">
        <v>1</v>
      </c>
      <c r="EK296" s="2">
        <v>21</v>
      </c>
      <c r="EL296" s="2" t="s">
        <v>356</v>
      </c>
      <c r="EM296" s="2" t="s">
        <v>357</v>
      </c>
      <c r="EN296" s="2"/>
      <c r="EO296" s="2" t="s">
        <v>103</v>
      </c>
      <c r="EP296" s="2"/>
      <c r="EQ296" s="2">
        <v>0</v>
      </c>
      <c r="ER296" s="2">
        <v>446.64</v>
      </c>
      <c r="ES296" s="2">
        <v>33.74</v>
      </c>
      <c r="ET296" s="2">
        <v>41.95</v>
      </c>
      <c r="EU296" s="2">
        <v>5.6</v>
      </c>
      <c r="EV296" s="2">
        <v>370.95</v>
      </c>
      <c r="EW296" s="2">
        <v>29.7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-167028587</v>
      </c>
      <c r="GG296" s="2">
        <v>2</v>
      </c>
      <c r="GH296" s="2">
        <v>1</v>
      </c>
      <c r="GI296" s="2">
        <v>2</v>
      </c>
      <c r="GJ296" s="2">
        <v>0</v>
      </c>
      <c r="GK296" s="2">
        <v>0</v>
      </c>
      <c r="GL296" s="2">
        <f t="shared" si="347"/>
        <v>0</v>
      </c>
      <c r="GM296" s="2">
        <f t="shared" si="348"/>
        <v>2922.22</v>
      </c>
      <c r="GN296" s="2">
        <f t="shared" si="349"/>
        <v>2922.22</v>
      </c>
      <c r="GO296" s="2">
        <f t="shared" si="350"/>
        <v>0</v>
      </c>
      <c r="GP296" s="2">
        <f t="shared" si="351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52"/>
        <v>0</v>
      </c>
      <c r="GW296" s="2">
        <v>1</v>
      </c>
      <c r="GX296" s="2">
        <f t="shared" si="353"/>
        <v>0</v>
      </c>
      <c r="GY296" s="2"/>
      <c r="GZ296" s="2"/>
      <c r="HA296" s="2">
        <v>0</v>
      </c>
      <c r="HB296" s="2">
        <v>0</v>
      </c>
      <c r="HC296" s="2">
        <f t="shared" si="354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>
        <v>17</v>
      </c>
      <c r="B297">
        <v>1</v>
      </c>
      <c r="C297">
        <f>ROW(SmtRes!A398)</f>
        <v>398</v>
      </c>
      <c r="D297">
        <f>ROW(EtalonRes!A444)</f>
        <v>444</v>
      </c>
      <c r="E297" t="s">
        <v>394</v>
      </c>
      <c r="F297" t="s">
        <v>395</v>
      </c>
      <c r="G297" t="s">
        <v>396</v>
      </c>
      <c r="H297" t="s">
        <v>371</v>
      </c>
      <c r="I297">
        <f>ROUND(200/100,9)</f>
        <v>2</v>
      </c>
      <c r="J297">
        <v>0</v>
      </c>
      <c r="K297">
        <f>ROUND(200/100,9)</f>
        <v>2</v>
      </c>
      <c r="O297">
        <f t="shared" si="329"/>
        <v>57453.8</v>
      </c>
      <c r="P297">
        <f t="shared" si="330"/>
        <v>482.48</v>
      </c>
      <c r="Q297">
        <f>(ROUND((ROUND(((((ET297*1.25)*1.1))*AV297*I297),2)*BB297),2)+ROUND((ROUND(((AE297-(((EU297*1.25)*1.1)))*AV297*I297),2)*BS297),2))</f>
        <v>1905.43</v>
      </c>
      <c r="R297">
        <f>(ROUND((ROUND(((((EU297*1.25)*1.1))*AV297*I297),2)*BS297),2)+ROUND((ROUND(((AE297-(((EU297*1.25)*1.1)))*AV297*I297),2)*BS297),2))</f>
        <v>903.49</v>
      </c>
      <c r="S297">
        <f t="shared" si="331"/>
        <v>55065.89</v>
      </c>
      <c r="T297">
        <f t="shared" si="332"/>
        <v>0</v>
      </c>
      <c r="U297">
        <f t="shared" si="333"/>
        <v>80.175446999999991</v>
      </c>
      <c r="V297">
        <f t="shared" si="334"/>
        <v>0</v>
      </c>
      <c r="W297">
        <f t="shared" si="335"/>
        <v>0</v>
      </c>
      <c r="X297">
        <f>(ROUND((((S297+ROUND((ROUND(((((EU297*1.25)*1.1))*AV297*I297),2)*BS297),2))*AT297)/100),2)+ROUND(((ROUND((ROUND(((AE297-(((EU297*1.25)*1.1)))*AV297*I297),2)*BS297),2)*AT297)/100),2))</f>
        <v>61006.62</v>
      </c>
      <c r="Y297">
        <f>(ROUND((((S297+ROUND((ROUND(((((EU297*1.25)*1.1))*AV297*I297),2)*BS297),2))*AU297)/100),2)+ROUND(((ROUND((ROUND(((AE297-(((EU297*1.25)*1.1)))*AV297*I297),2)*BS297),2)*AU297)/100),2))</f>
        <v>34141.32</v>
      </c>
      <c r="AA297">
        <v>60255011</v>
      </c>
      <c r="AB297">
        <f t="shared" si="336"/>
        <v>560.673</v>
      </c>
      <c r="AC297">
        <f t="shared" si="337"/>
        <v>33.74</v>
      </c>
      <c r="AD297">
        <f>ROUND((((((ET297*1.25)*1.1))-(((EU297*1.25)*1.1)))+AE297),6)</f>
        <v>57.681249999999999</v>
      </c>
      <c r="AE297">
        <f>ROUND((((EU297*1.25)*1.1)),6)</f>
        <v>7.7</v>
      </c>
      <c r="AF297">
        <f>ROUND((((EV297*1.15)*1.1)),6)</f>
        <v>469.25175000000002</v>
      </c>
      <c r="AG297">
        <f t="shared" si="338"/>
        <v>0</v>
      </c>
      <c r="AH297">
        <f>(((EW297*1.15)*1.1))</f>
        <v>37.570499999999996</v>
      </c>
      <c r="AI297">
        <f>(((EX297*1.25)*1.1))</f>
        <v>0</v>
      </c>
      <c r="AJ297">
        <f t="shared" si="339"/>
        <v>0</v>
      </c>
      <c r="AK297">
        <v>446.64</v>
      </c>
      <c r="AL297">
        <v>33.74</v>
      </c>
      <c r="AM297">
        <v>41.95</v>
      </c>
      <c r="AN297">
        <v>5.6</v>
      </c>
      <c r="AO297">
        <v>370.95</v>
      </c>
      <c r="AP297">
        <v>0</v>
      </c>
      <c r="AQ297">
        <v>29.7</v>
      </c>
      <c r="AR297">
        <v>0</v>
      </c>
      <c r="AS297">
        <v>0</v>
      </c>
      <c r="AT297">
        <v>109</v>
      </c>
      <c r="AU297">
        <v>61</v>
      </c>
      <c r="AV297">
        <v>1.0669999999999999</v>
      </c>
      <c r="AW297">
        <v>1</v>
      </c>
      <c r="AZ297">
        <v>1</v>
      </c>
      <c r="BA297">
        <v>54.99</v>
      </c>
      <c r="BB297">
        <v>15.48</v>
      </c>
      <c r="BC297">
        <v>7.15</v>
      </c>
      <c r="BD297" t="s">
        <v>3</v>
      </c>
      <c r="BE297" t="s">
        <v>3</v>
      </c>
      <c r="BF297" t="s">
        <v>3</v>
      </c>
      <c r="BG297" t="s">
        <v>3</v>
      </c>
      <c r="BH297">
        <v>0</v>
      </c>
      <c r="BI297">
        <v>1</v>
      </c>
      <c r="BJ297" t="s">
        <v>397</v>
      </c>
      <c r="BM297">
        <v>21</v>
      </c>
      <c r="BN297">
        <v>58973374</v>
      </c>
      <c r="BO297" t="s">
        <v>395</v>
      </c>
      <c r="BP297">
        <v>1</v>
      </c>
      <c r="BQ297">
        <v>30</v>
      </c>
      <c r="BR297">
        <v>0</v>
      </c>
      <c r="BS297">
        <v>54.99</v>
      </c>
      <c r="BT297">
        <v>1</v>
      </c>
      <c r="BU297">
        <v>1</v>
      </c>
      <c r="BV297">
        <v>1</v>
      </c>
      <c r="BW297">
        <v>1</v>
      </c>
      <c r="BX297">
        <v>1</v>
      </c>
      <c r="BY297" t="s">
        <v>3</v>
      </c>
      <c r="BZ297">
        <v>109</v>
      </c>
      <c r="CA297">
        <v>61</v>
      </c>
      <c r="CB297" t="s">
        <v>3</v>
      </c>
      <c r="CE297">
        <v>1566</v>
      </c>
      <c r="CF297">
        <v>0</v>
      </c>
      <c r="CG297">
        <v>0</v>
      </c>
      <c r="CM297">
        <v>0</v>
      </c>
      <c r="CN297" t="s">
        <v>625</v>
      </c>
      <c r="CO297">
        <v>0</v>
      </c>
      <c r="CP297">
        <f t="shared" si="340"/>
        <v>57453.8</v>
      </c>
      <c r="CQ297">
        <f t="shared" si="341"/>
        <v>241.24</v>
      </c>
      <c r="CR297">
        <f>(ROUND((ROUND(((((ET297*1.25)*1.1))*AV297*1),2)*BB297),2)+ROUND((ROUND(((AE297-(((EU297*1.25)*1.1)))*AV297*1),2)*BS297),2))</f>
        <v>952.79</v>
      </c>
      <c r="CS297">
        <f>(ROUND((ROUND(((((EU297*1.25)*1.1))*AV297*1),2)*BS297),2)+ROUND((ROUND(((AE297-(((EU297*1.25)*1.1)))*AV297*1),2)*BS297),2))</f>
        <v>452.02</v>
      </c>
      <c r="CT297">
        <f t="shared" si="342"/>
        <v>27532.94</v>
      </c>
      <c r="CU297">
        <f t="shared" si="343"/>
        <v>0</v>
      </c>
      <c r="CV297">
        <f t="shared" si="344"/>
        <v>40.087723499999996</v>
      </c>
      <c r="CW297">
        <f t="shared" si="345"/>
        <v>0</v>
      </c>
      <c r="CX297">
        <f t="shared" si="346"/>
        <v>0</v>
      </c>
      <c r="CY297">
        <f>(ROUND((((S297+ROUND((ROUND(((((EU297*1.25)*1.1))*AV297*1),2)*BS297),2))*AT297)/100),2)+ROUND(((ROUND((ROUND(((AE297-(((EU297*1.25)*1.1)))*AV297*1),2)*BS297),2)*AT297)/100),2))</f>
        <v>60514.52</v>
      </c>
      <c r="CZ297">
        <f>(ROUND((((S297+ROUND((ROUND(((((EU297*1.25)*1.1))*AV297*1),2)*BS297),2))*AU297)/100),2)+ROUND(((ROUND((ROUND(((AE297-(((EU297*1.25)*1.1)))*AV297*1),2)*BS297),2)*AU297)/100),2))</f>
        <v>33865.93</v>
      </c>
      <c r="DB297">
        <v>91</v>
      </c>
      <c r="DC297" t="s">
        <v>3</v>
      </c>
      <c r="DD297" t="s">
        <v>3</v>
      </c>
      <c r="DE297" t="s">
        <v>98</v>
      </c>
      <c r="DF297" t="s">
        <v>98</v>
      </c>
      <c r="DG297" t="s">
        <v>99</v>
      </c>
      <c r="DH297" t="s">
        <v>3</v>
      </c>
      <c r="DI297" t="s">
        <v>99</v>
      </c>
      <c r="DJ297" t="s">
        <v>98</v>
      </c>
      <c r="DK297" t="s">
        <v>3</v>
      </c>
      <c r="DL297" t="s">
        <v>3</v>
      </c>
      <c r="DM297" t="s">
        <v>3</v>
      </c>
      <c r="DN297">
        <v>0</v>
      </c>
      <c r="DO297">
        <v>0</v>
      </c>
      <c r="DP297">
        <v>1</v>
      </c>
      <c r="DQ297">
        <v>1</v>
      </c>
      <c r="DU297">
        <v>1013</v>
      </c>
      <c r="DV297" t="s">
        <v>371</v>
      </c>
      <c r="DW297" t="s">
        <v>371</v>
      </c>
      <c r="DX297">
        <v>1</v>
      </c>
      <c r="DZ297" t="s">
        <v>3</v>
      </c>
      <c r="EA297" t="s">
        <v>3</v>
      </c>
      <c r="EB297" t="s">
        <v>3</v>
      </c>
      <c r="EC297" t="s">
        <v>3</v>
      </c>
      <c r="EE297">
        <v>60088252</v>
      </c>
      <c r="EF297">
        <v>30</v>
      </c>
      <c r="EG297" t="s">
        <v>100</v>
      </c>
      <c r="EH297">
        <v>0</v>
      </c>
      <c r="EI297" t="s">
        <v>3</v>
      </c>
      <c r="EJ297">
        <v>1</v>
      </c>
      <c r="EK297">
        <v>21</v>
      </c>
      <c r="EL297" t="s">
        <v>356</v>
      </c>
      <c r="EM297" t="s">
        <v>357</v>
      </c>
      <c r="EO297" t="s">
        <v>103</v>
      </c>
      <c r="EQ297">
        <v>0</v>
      </c>
      <c r="ER297">
        <v>446.64</v>
      </c>
      <c r="ES297">
        <v>33.74</v>
      </c>
      <c r="ET297">
        <v>41.95</v>
      </c>
      <c r="EU297">
        <v>5.6</v>
      </c>
      <c r="EV297">
        <v>370.95</v>
      </c>
      <c r="EW297">
        <v>29.7</v>
      </c>
      <c r="EX297">
        <v>0</v>
      </c>
      <c r="EY297">
        <v>0</v>
      </c>
      <c r="FQ297">
        <v>0</v>
      </c>
      <c r="FR297">
        <v>0</v>
      </c>
      <c r="FS297">
        <v>0</v>
      </c>
      <c r="FX297">
        <v>109</v>
      </c>
      <c r="FY297">
        <v>61</v>
      </c>
      <c r="GA297" t="s">
        <v>3</v>
      </c>
      <c r="GD297">
        <v>1</v>
      </c>
      <c r="GF297">
        <v>-167028587</v>
      </c>
      <c r="GG297">
        <v>2</v>
      </c>
      <c r="GH297">
        <v>1</v>
      </c>
      <c r="GI297">
        <v>2</v>
      </c>
      <c r="GJ297">
        <v>0</v>
      </c>
      <c r="GK297">
        <v>0</v>
      </c>
      <c r="GL297">
        <f t="shared" si="347"/>
        <v>0</v>
      </c>
      <c r="GM297">
        <f t="shared" si="348"/>
        <v>152601.74</v>
      </c>
      <c r="GN297">
        <f t="shared" si="349"/>
        <v>152601.74</v>
      </c>
      <c r="GO297">
        <f t="shared" si="350"/>
        <v>0</v>
      </c>
      <c r="GP297">
        <f t="shared" si="351"/>
        <v>0</v>
      </c>
      <c r="GR297">
        <v>0</v>
      </c>
      <c r="GS297">
        <v>3</v>
      </c>
      <c r="GT297">
        <v>0</v>
      </c>
      <c r="GU297" t="s">
        <v>3</v>
      </c>
      <c r="GV297">
        <f t="shared" si="352"/>
        <v>0</v>
      </c>
      <c r="GW297">
        <v>1</v>
      </c>
      <c r="GX297">
        <f t="shared" si="353"/>
        <v>0</v>
      </c>
      <c r="HA297">
        <v>0</v>
      </c>
      <c r="HB297">
        <v>0</v>
      </c>
      <c r="HC297">
        <f t="shared" si="354"/>
        <v>0</v>
      </c>
      <c r="HE297" t="s">
        <v>3</v>
      </c>
      <c r="HF297" t="s">
        <v>3</v>
      </c>
      <c r="HM297" t="s">
        <v>3</v>
      </c>
      <c r="HN297" t="s">
        <v>3</v>
      </c>
      <c r="HO297" t="s">
        <v>3</v>
      </c>
      <c r="HP297" t="s">
        <v>3</v>
      </c>
      <c r="HQ297" t="s">
        <v>3</v>
      </c>
      <c r="HS297">
        <v>0</v>
      </c>
      <c r="IK297">
        <v>0</v>
      </c>
    </row>
    <row r="298" spans="1:255" x14ac:dyDescent="0.2">
      <c r="A298" s="2">
        <v>18</v>
      </c>
      <c r="B298" s="2">
        <v>1</v>
      </c>
      <c r="C298" s="2">
        <v>385</v>
      </c>
      <c r="D298" s="2"/>
      <c r="E298" s="2" t="s">
        <v>398</v>
      </c>
      <c r="F298" s="2" t="s">
        <v>399</v>
      </c>
      <c r="G298" s="2" t="s">
        <v>400</v>
      </c>
      <c r="H298" s="2" t="s">
        <v>376</v>
      </c>
      <c r="I298" s="2">
        <f>I296*J298</f>
        <v>200</v>
      </c>
      <c r="J298" s="2">
        <v>100</v>
      </c>
      <c r="K298" s="2">
        <v>100</v>
      </c>
      <c r="L298" s="2"/>
      <c r="M298" s="2"/>
      <c r="N298" s="2"/>
      <c r="O298" s="2">
        <f t="shared" si="329"/>
        <v>6658</v>
      </c>
      <c r="P298" s="2">
        <f t="shared" si="330"/>
        <v>6658</v>
      </c>
      <c r="Q298" s="2">
        <f>(ROUND((ROUND(((ET298)*AV298*I298),2)*BB298),2)+ROUND((ROUND(((AE298-(EU298))*AV298*I298),2)*BS298),2))</f>
        <v>0</v>
      </c>
      <c r="R298" s="2">
        <f>(ROUND((ROUND(((EU298)*AV298*I298),2)*BS298),2)+ROUND((ROUND(((AE298-(EU298))*AV298*I298),2)*BS298),2))</f>
        <v>0</v>
      </c>
      <c r="S298" s="2">
        <f t="shared" si="331"/>
        <v>0</v>
      </c>
      <c r="T298" s="2">
        <f t="shared" si="332"/>
        <v>0</v>
      </c>
      <c r="U298" s="2">
        <f t="shared" si="333"/>
        <v>0</v>
      </c>
      <c r="V298" s="2">
        <f t="shared" si="334"/>
        <v>0</v>
      </c>
      <c r="W298" s="2">
        <f t="shared" si="335"/>
        <v>0</v>
      </c>
      <c r="X298" s="2">
        <f>(ROUND((((S298+ROUND((ROUND(((EU298)*AV298*I298),2)*BS298),2))*AT298)/100),2)+ROUND(((ROUND((ROUND(((AE298-(EU298))*AV298*I298),2)*BS298),2)*AT298)/100),2))</f>
        <v>0</v>
      </c>
      <c r="Y298" s="2">
        <f>(ROUND((((S298+ROUND((ROUND(((EU298)*AV298*I298),2)*BS298),2))*AU298)/100),2)+ROUND(((ROUND((ROUND(((AE298-(EU298))*AV298*I298),2)*BS298),2)*AU298)/100),2))</f>
        <v>0</v>
      </c>
      <c r="Z298" s="2"/>
      <c r="AA298" s="2">
        <v>60255014</v>
      </c>
      <c r="AB298" s="2">
        <f t="shared" si="336"/>
        <v>33.29</v>
      </c>
      <c r="AC298" s="2">
        <f t="shared" si="337"/>
        <v>33.29</v>
      </c>
      <c r="AD298" s="2">
        <f>ROUND((((ET298)-(EU298))+AE298),6)</f>
        <v>0</v>
      </c>
      <c r="AE298" s="2">
        <f>ROUND((EU298),6)</f>
        <v>0</v>
      </c>
      <c r="AF298" s="2">
        <f>ROUND((EV298),6)</f>
        <v>0</v>
      </c>
      <c r="AG298" s="2">
        <f t="shared" si="338"/>
        <v>0</v>
      </c>
      <c r="AH298" s="2">
        <f>(EW298)</f>
        <v>0</v>
      </c>
      <c r="AI298" s="2">
        <f>(EX298)</f>
        <v>0</v>
      </c>
      <c r="AJ298" s="2">
        <f t="shared" si="339"/>
        <v>0</v>
      </c>
      <c r="AK298" s="2">
        <v>33.29</v>
      </c>
      <c r="AL298" s="2">
        <v>33.29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109</v>
      </c>
      <c r="AU298" s="2">
        <v>61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1</v>
      </c>
      <c r="BJ298" s="2" t="s">
        <v>401</v>
      </c>
      <c r="BK298" s="2"/>
      <c r="BL298" s="2"/>
      <c r="BM298" s="2">
        <v>21</v>
      </c>
      <c r="BN298" s="2">
        <v>58973374</v>
      </c>
      <c r="BO298" s="2" t="s">
        <v>3</v>
      </c>
      <c r="BP298" s="2">
        <v>0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109</v>
      </c>
      <c r="CA298" s="2">
        <v>61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3</v>
      </c>
      <c r="CO298" s="2">
        <v>0</v>
      </c>
      <c r="CP298" s="2">
        <f t="shared" si="340"/>
        <v>6658</v>
      </c>
      <c r="CQ298" s="2">
        <f t="shared" si="341"/>
        <v>33.29</v>
      </c>
      <c r="CR298" s="2">
        <f>(ROUND((ROUND(((ET298)*AV298*1),2)*BB298),2)+ROUND((ROUND(((AE298-(EU298))*AV298*1),2)*BS298),2))</f>
        <v>0</v>
      </c>
      <c r="CS298" s="2">
        <f>(ROUND((ROUND(((EU298)*AV298*1),2)*BS298),2)+ROUND((ROUND(((AE298-(EU298))*AV298*1),2)*BS298),2))</f>
        <v>0</v>
      </c>
      <c r="CT298" s="2">
        <f t="shared" si="342"/>
        <v>0</v>
      </c>
      <c r="CU298" s="2">
        <f t="shared" si="343"/>
        <v>0</v>
      </c>
      <c r="CV298" s="2">
        <f t="shared" si="344"/>
        <v>0</v>
      </c>
      <c r="CW298" s="2">
        <f t="shared" si="345"/>
        <v>0</v>
      </c>
      <c r="CX298" s="2">
        <f t="shared" si="346"/>
        <v>0</v>
      </c>
      <c r="CY298" s="2">
        <f>(ROUND((((S298+ROUND((ROUND(((EU298)*AV298*1),2)*BS298),2))*AT298)/100),2)+ROUND(((ROUND((ROUND(((AE298-(EU298))*AV298*1),2)*BS298),2)*AT298)/100),2))</f>
        <v>0</v>
      </c>
      <c r="CZ298" s="2">
        <f>(ROUND((((S298+ROUND((ROUND(((EU298)*AV298*1),2)*BS298),2))*AU298)/100),2)+ROUND(((ROUND((ROUND(((AE298-(EU298))*AV298*1),2)*BS298),2)*AU298)/100),2))</f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1003</v>
      </c>
      <c r="DV298" s="2" t="s">
        <v>376</v>
      </c>
      <c r="DW298" s="2" t="s">
        <v>376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60088252</v>
      </c>
      <c r="EF298" s="2">
        <v>30</v>
      </c>
      <c r="EG298" s="2" t="s">
        <v>100</v>
      </c>
      <c r="EH298" s="2">
        <v>0</v>
      </c>
      <c r="EI298" s="2" t="s">
        <v>3</v>
      </c>
      <c r="EJ298" s="2">
        <v>1</v>
      </c>
      <c r="EK298" s="2">
        <v>21</v>
      </c>
      <c r="EL298" s="2" t="s">
        <v>356</v>
      </c>
      <c r="EM298" s="2" t="s">
        <v>357</v>
      </c>
      <c r="EN298" s="2"/>
      <c r="EO298" s="2" t="s">
        <v>3</v>
      </c>
      <c r="EP298" s="2"/>
      <c r="EQ298" s="2">
        <v>0</v>
      </c>
      <c r="ER298" s="2">
        <v>33.29</v>
      </c>
      <c r="ES298" s="2">
        <v>33.29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109</v>
      </c>
      <c r="FY298" s="2">
        <v>61</v>
      </c>
      <c r="FZ298" s="2"/>
      <c r="GA298" s="2" t="s">
        <v>3</v>
      </c>
      <c r="GB298" s="2"/>
      <c r="GC298" s="2"/>
      <c r="GD298" s="2">
        <v>1</v>
      </c>
      <c r="GE298" s="2"/>
      <c r="GF298" s="2">
        <v>-809242828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si="347"/>
        <v>0</v>
      </c>
      <c r="GM298" s="2">
        <f t="shared" si="348"/>
        <v>6658</v>
      </c>
      <c r="GN298" s="2">
        <f t="shared" si="349"/>
        <v>6658</v>
      </c>
      <c r="GO298" s="2">
        <f t="shared" si="350"/>
        <v>0</v>
      </c>
      <c r="GP298" s="2">
        <f t="shared" si="351"/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si="352"/>
        <v>0</v>
      </c>
      <c r="GW298" s="2">
        <v>1</v>
      </c>
      <c r="GX298" s="2">
        <f t="shared" si="353"/>
        <v>0</v>
      </c>
      <c r="GY298" s="2"/>
      <c r="GZ298" s="2"/>
      <c r="HA298" s="2">
        <v>0</v>
      </c>
      <c r="HB298" s="2">
        <v>0</v>
      </c>
      <c r="HC298" s="2">
        <f t="shared" si="354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>
        <v>18</v>
      </c>
      <c r="B299">
        <v>1</v>
      </c>
      <c r="C299">
        <v>398</v>
      </c>
      <c r="E299" t="s">
        <v>398</v>
      </c>
      <c r="F299" t="s">
        <v>399</v>
      </c>
      <c r="G299" t="s">
        <v>400</v>
      </c>
      <c r="H299" t="s">
        <v>376</v>
      </c>
      <c r="I299">
        <f>I297*J299</f>
        <v>200</v>
      </c>
      <c r="J299">
        <v>100</v>
      </c>
      <c r="K299">
        <v>100</v>
      </c>
      <c r="O299">
        <f t="shared" si="329"/>
        <v>109723.84</v>
      </c>
      <c r="P299">
        <f t="shared" si="330"/>
        <v>109723.84</v>
      </c>
      <c r="Q299">
        <f>(ROUND((ROUND(((ET299)*AV299*I299),2)*BB299),2)+ROUND((ROUND(((AE299-(EU299))*AV299*I299),2)*BS299),2))</f>
        <v>0</v>
      </c>
      <c r="R299">
        <f>(ROUND((ROUND(((EU299)*AV299*I299),2)*BS299),2)+ROUND((ROUND(((AE299-(EU299))*AV299*I299),2)*BS299),2))</f>
        <v>0</v>
      </c>
      <c r="S299">
        <f t="shared" si="331"/>
        <v>0</v>
      </c>
      <c r="T299">
        <f t="shared" si="332"/>
        <v>0</v>
      </c>
      <c r="U299">
        <f t="shared" si="333"/>
        <v>0</v>
      </c>
      <c r="V299">
        <f t="shared" si="334"/>
        <v>0</v>
      </c>
      <c r="W299">
        <f t="shared" si="335"/>
        <v>0</v>
      </c>
      <c r="X299">
        <f>(ROUND((((S299+ROUND((ROUND(((EU299)*AV299*I299),2)*BS299),2))*AT299)/100),2)+ROUND(((ROUND((ROUND(((AE299-(EU299))*AV299*I299),2)*BS299),2)*AT299)/100),2))</f>
        <v>0</v>
      </c>
      <c r="Y299">
        <f>(ROUND((((S299+ROUND((ROUND(((EU299)*AV299*I299),2)*BS299),2))*AU299)/100),2)+ROUND(((ROUND((ROUND(((AE299-(EU299))*AV299*I299),2)*BS299),2)*AU299)/100),2))</f>
        <v>0</v>
      </c>
      <c r="AA299">
        <v>60255011</v>
      </c>
      <c r="AB299">
        <f t="shared" si="336"/>
        <v>33.29</v>
      </c>
      <c r="AC299">
        <f t="shared" si="337"/>
        <v>33.29</v>
      </c>
      <c r="AD299">
        <f>ROUND((((ET299)-(EU299))+AE299),6)</f>
        <v>0</v>
      </c>
      <c r="AE299">
        <f>ROUND((EU299),6)</f>
        <v>0</v>
      </c>
      <c r="AF299">
        <f>ROUND((EV299),6)</f>
        <v>0</v>
      </c>
      <c r="AG299">
        <f t="shared" si="338"/>
        <v>0</v>
      </c>
      <c r="AH299">
        <f>(EW299)</f>
        <v>0</v>
      </c>
      <c r="AI299">
        <f>(EX299)</f>
        <v>0</v>
      </c>
      <c r="AJ299">
        <f t="shared" si="339"/>
        <v>0</v>
      </c>
      <c r="AK299">
        <v>33.29</v>
      </c>
      <c r="AL299">
        <v>33.29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109</v>
      </c>
      <c r="AU299">
        <v>61</v>
      </c>
      <c r="AV299">
        <v>1</v>
      </c>
      <c r="AW299">
        <v>1</v>
      </c>
      <c r="AZ299">
        <v>1</v>
      </c>
      <c r="BA299">
        <v>1</v>
      </c>
      <c r="BB299">
        <v>1</v>
      </c>
      <c r="BC299">
        <v>16.48</v>
      </c>
      <c r="BD299" t="s">
        <v>3</v>
      </c>
      <c r="BE299" t="s">
        <v>3</v>
      </c>
      <c r="BF299" t="s">
        <v>3</v>
      </c>
      <c r="BG299" t="s">
        <v>3</v>
      </c>
      <c r="BH299">
        <v>3</v>
      </c>
      <c r="BI299">
        <v>1</v>
      </c>
      <c r="BJ299" t="s">
        <v>401</v>
      </c>
      <c r="BM299">
        <v>21</v>
      </c>
      <c r="BN299">
        <v>58973374</v>
      </c>
      <c r="BO299" t="s">
        <v>399</v>
      </c>
      <c r="BP299">
        <v>1</v>
      </c>
      <c r="BQ299">
        <v>30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 t="s">
        <v>3</v>
      </c>
      <c r="BZ299">
        <v>109</v>
      </c>
      <c r="CA299">
        <v>61</v>
      </c>
      <c r="CB299" t="s">
        <v>3</v>
      </c>
      <c r="CE299">
        <v>1566</v>
      </c>
      <c r="CF299">
        <v>0</v>
      </c>
      <c r="CG299">
        <v>0</v>
      </c>
      <c r="CM299">
        <v>0</v>
      </c>
      <c r="CN299" t="s">
        <v>3</v>
      </c>
      <c r="CO299">
        <v>0</v>
      </c>
      <c r="CP299">
        <f t="shared" si="340"/>
        <v>109723.84</v>
      </c>
      <c r="CQ299">
        <f t="shared" si="341"/>
        <v>548.62</v>
      </c>
      <c r="CR299">
        <f>(ROUND((ROUND(((ET299)*AV299*1),2)*BB299),2)+ROUND((ROUND(((AE299-(EU299))*AV299*1),2)*BS299),2))</f>
        <v>0</v>
      </c>
      <c r="CS299">
        <f>(ROUND((ROUND(((EU299)*AV299*1),2)*BS299),2)+ROUND((ROUND(((AE299-(EU299))*AV299*1),2)*BS299),2))</f>
        <v>0</v>
      </c>
      <c r="CT299">
        <f t="shared" si="342"/>
        <v>0</v>
      </c>
      <c r="CU299">
        <f t="shared" si="343"/>
        <v>0</v>
      </c>
      <c r="CV299">
        <f t="shared" si="344"/>
        <v>0</v>
      </c>
      <c r="CW299">
        <f t="shared" si="345"/>
        <v>0</v>
      </c>
      <c r="CX299">
        <f t="shared" si="346"/>
        <v>0</v>
      </c>
      <c r="CY299">
        <f>(ROUND((((S299+ROUND((ROUND(((EU299)*AV299*1),2)*BS299),2))*AT299)/100),2)+ROUND(((ROUND((ROUND(((AE299-(EU299))*AV299*1),2)*BS299),2)*AT299)/100),2))</f>
        <v>0</v>
      </c>
      <c r="CZ299">
        <f>(ROUND((((S299+ROUND((ROUND(((EU299)*AV299*1),2)*BS299),2))*AU299)/100),2)+ROUND(((ROUND((ROUND(((AE299-(EU299))*AV299*1),2)*BS299),2)*AU299)/100),2))</f>
        <v>0</v>
      </c>
      <c r="DC299" t="s">
        <v>3</v>
      </c>
      <c r="DD299" t="s">
        <v>3</v>
      </c>
      <c r="DE299" t="s">
        <v>3</v>
      </c>
      <c r="DF299" t="s">
        <v>3</v>
      </c>
      <c r="DG299" t="s">
        <v>3</v>
      </c>
      <c r="DH299" t="s">
        <v>3</v>
      </c>
      <c r="DI299" t="s">
        <v>3</v>
      </c>
      <c r="DJ299" t="s">
        <v>3</v>
      </c>
      <c r="DK299" t="s">
        <v>3</v>
      </c>
      <c r="DL299" t="s">
        <v>3</v>
      </c>
      <c r="DM299" t="s">
        <v>3</v>
      </c>
      <c r="DN299">
        <v>0</v>
      </c>
      <c r="DO299">
        <v>0</v>
      </c>
      <c r="DP299">
        <v>1</v>
      </c>
      <c r="DQ299">
        <v>1</v>
      </c>
      <c r="DU299">
        <v>1003</v>
      </c>
      <c r="DV299" t="s">
        <v>376</v>
      </c>
      <c r="DW299" t="s">
        <v>376</v>
      </c>
      <c r="DX299">
        <v>1</v>
      </c>
      <c r="DZ299" t="s">
        <v>3</v>
      </c>
      <c r="EA299" t="s">
        <v>3</v>
      </c>
      <c r="EB299" t="s">
        <v>3</v>
      </c>
      <c r="EC299" t="s">
        <v>3</v>
      </c>
      <c r="EE299">
        <v>60088252</v>
      </c>
      <c r="EF299">
        <v>30</v>
      </c>
      <c r="EG299" t="s">
        <v>100</v>
      </c>
      <c r="EH299">
        <v>0</v>
      </c>
      <c r="EI299" t="s">
        <v>3</v>
      </c>
      <c r="EJ299">
        <v>1</v>
      </c>
      <c r="EK299">
        <v>21</v>
      </c>
      <c r="EL299" t="s">
        <v>356</v>
      </c>
      <c r="EM299" t="s">
        <v>357</v>
      </c>
      <c r="EO299" t="s">
        <v>3</v>
      </c>
      <c r="EQ299">
        <v>0</v>
      </c>
      <c r="ER299">
        <v>33.29</v>
      </c>
      <c r="ES299">
        <v>33.29</v>
      </c>
      <c r="ET299">
        <v>0</v>
      </c>
      <c r="EU299">
        <v>0</v>
      </c>
      <c r="EV299">
        <v>0</v>
      </c>
      <c r="EW299">
        <v>0</v>
      </c>
      <c r="EX299">
        <v>0</v>
      </c>
      <c r="FQ299">
        <v>0</v>
      </c>
      <c r="FR299">
        <v>0</v>
      </c>
      <c r="FS299">
        <v>0</v>
      </c>
      <c r="FX299">
        <v>109</v>
      </c>
      <c r="FY299">
        <v>61</v>
      </c>
      <c r="GA299" t="s">
        <v>3</v>
      </c>
      <c r="GD299">
        <v>1</v>
      </c>
      <c r="GF299">
        <v>-809242828</v>
      </c>
      <c r="GG299">
        <v>2</v>
      </c>
      <c r="GH299">
        <v>1</v>
      </c>
      <c r="GI299">
        <v>2</v>
      </c>
      <c r="GJ299">
        <v>0</v>
      </c>
      <c r="GK299">
        <v>0</v>
      </c>
      <c r="GL299">
        <f t="shared" si="347"/>
        <v>0</v>
      </c>
      <c r="GM299">
        <f t="shared" si="348"/>
        <v>109723.84</v>
      </c>
      <c r="GN299">
        <f t="shared" si="349"/>
        <v>109723.84</v>
      </c>
      <c r="GO299">
        <f t="shared" si="350"/>
        <v>0</v>
      </c>
      <c r="GP299">
        <f t="shared" si="351"/>
        <v>0</v>
      </c>
      <c r="GR299">
        <v>0</v>
      </c>
      <c r="GS299">
        <v>3</v>
      </c>
      <c r="GT299">
        <v>0</v>
      </c>
      <c r="GU299" t="s">
        <v>3</v>
      </c>
      <c r="GV299">
        <f t="shared" si="352"/>
        <v>0</v>
      </c>
      <c r="GW299">
        <v>1</v>
      </c>
      <c r="GX299">
        <f t="shared" si="353"/>
        <v>0</v>
      </c>
      <c r="HA299">
        <v>0</v>
      </c>
      <c r="HB299">
        <v>0</v>
      </c>
      <c r="HC299">
        <f t="shared" si="354"/>
        <v>0</v>
      </c>
      <c r="HE299" t="s">
        <v>3</v>
      </c>
      <c r="HF299" t="s">
        <v>3</v>
      </c>
      <c r="HM299" t="s">
        <v>3</v>
      </c>
      <c r="HN299" t="s">
        <v>3</v>
      </c>
      <c r="HO299" t="s">
        <v>3</v>
      </c>
      <c r="HP299" t="s">
        <v>3</v>
      </c>
      <c r="HQ299" t="s">
        <v>3</v>
      </c>
      <c r="HS299">
        <v>0</v>
      </c>
      <c r="IK299">
        <v>0</v>
      </c>
    </row>
    <row r="300" spans="1:255" x14ac:dyDescent="0.2">
      <c r="A300" s="2">
        <v>17</v>
      </c>
      <c r="B300" s="2">
        <v>1</v>
      </c>
      <c r="C300" s="2">
        <f>ROW(SmtRes!A411)</f>
        <v>411</v>
      </c>
      <c r="D300" s="2">
        <f>ROW(EtalonRes!A459)</f>
        <v>459</v>
      </c>
      <c r="E300" s="2" t="s">
        <v>402</v>
      </c>
      <c r="F300" s="2" t="s">
        <v>403</v>
      </c>
      <c r="G300" s="2" t="s">
        <v>404</v>
      </c>
      <c r="H300" s="2" t="s">
        <v>371</v>
      </c>
      <c r="I300" s="2">
        <f>ROUND(100/100,9)</f>
        <v>1</v>
      </c>
      <c r="J300" s="2">
        <v>0</v>
      </c>
      <c r="K300" s="2">
        <f>ROUND(100/100,9)</f>
        <v>1</v>
      </c>
      <c r="L300" s="2"/>
      <c r="M300" s="2"/>
      <c r="N300" s="2"/>
      <c r="O300" s="2">
        <f t="shared" si="329"/>
        <v>597.16</v>
      </c>
      <c r="P300" s="2">
        <f t="shared" si="330"/>
        <v>34.92</v>
      </c>
      <c r="Q300" s="2">
        <f>(ROUND((ROUND(((((ET300*1.25)*1.1))*AV300*I300),2)*BB300),2)+ROUND((ROUND(((AE300-(((EU300*1.25)*1.1)))*AV300*I300),2)*BS300),2))</f>
        <v>61.55</v>
      </c>
      <c r="R300" s="2">
        <f>(ROUND((ROUND(((((EU300*1.25)*1.1))*AV300*I300),2)*BS300),2)+ROUND((ROUND(((AE300-(((EU300*1.25)*1.1)))*AV300*I300),2)*BS300),2))</f>
        <v>8.2200000000000006</v>
      </c>
      <c r="S300" s="2">
        <f t="shared" si="331"/>
        <v>500.69</v>
      </c>
      <c r="T300" s="2">
        <f t="shared" si="332"/>
        <v>0</v>
      </c>
      <c r="U300" s="2">
        <f t="shared" si="333"/>
        <v>40.087723499999996</v>
      </c>
      <c r="V300" s="2">
        <f t="shared" si="334"/>
        <v>0</v>
      </c>
      <c r="W300" s="2">
        <f t="shared" si="335"/>
        <v>0</v>
      </c>
      <c r="X300" s="2">
        <f>(ROUND((((S300+ROUND((ROUND(((((EU300*1.25)*1.1))*AV300*I300),2)*BS300),2))*AT300)/100),2)+ROUND(((ROUND((ROUND(((AE300-(((EU300*1.25)*1.1)))*AV300*I300),2)*BS300),2)*AT300)/100),2))</f>
        <v>554.71</v>
      </c>
      <c r="Y300" s="2">
        <f>(ROUND((((S300+ROUND((ROUND(((((EU300*1.25)*1.1))*AV300*I300),2)*BS300),2))*AU300)/100),2)+ROUND(((ROUND((ROUND(((AE300-(((EU300*1.25)*1.1)))*AV300*I300),2)*BS300),2)*AU300)/100),2))</f>
        <v>310.44</v>
      </c>
      <c r="Z300" s="2"/>
      <c r="AA300" s="2">
        <v>60255014</v>
      </c>
      <c r="AB300" s="2">
        <f t="shared" si="336"/>
        <v>561.85299999999995</v>
      </c>
      <c r="AC300" s="2">
        <f t="shared" si="337"/>
        <v>34.92</v>
      </c>
      <c r="AD300" s="2">
        <f>ROUND((((((ET300*1.25)*1.1))-(((EU300*1.25)*1.1)))+AE300),6)</f>
        <v>57.681249999999999</v>
      </c>
      <c r="AE300" s="2">
        <f>ROUND((((EU300*1.25)*1.1)),6)</f>
        <v>7.7</v>
      </c>
      <c r="AF300" s="2">
        <f>ROUND((((EV300*1.15)*1.1)),6)</f>
        <v>469.25175000000002</v>
      </c>
      <c r="AG300" s="2">
        <f t="shared" si="338"/>
        <v>0</v>
      </c>
      <c r="AH300" s="2">
        <f>(((EW300*1.15)*1.1))</f>
        <v>37.570499999999996</v>
      </c>
      <c r="AI300" s="2">
        <f>(((EX300*1.25)*1.1))</f>
        <v>0</v>
      </c>
      <c r="AJ300" s="2">
        <f t="shared" si="339"/>
        <v>0</v>
      </c>
      <c r="AK300" s="2">
        <v>447.82</v>
      </c>
      <c r="AL300" s="2">
        <v>34.92</v>
      </c>
      <c r="AM300" s="2">
        <v>41.95</v>
      </c>
      <c r="AN300" s="2">
        <v>5.6</v>
      </c>
      <c r="AO300" s="2">
        <v>370.95</v>
      </c>
      <c r="AP300" s="2">
        <v>0</v>
      </c>
      <c r="AQ300" s="2">
        <v>29.7</v>
      </c>
      <c r="AR300" s="2">
        <v>0</v>
      </c>
      <c r="AS300" s="2">
        <v>0</v>
      </c>
      <c r="AT300" s="2">
        <v>109</v>
      </c>
      <c r="AU300" s="2">
        <v>61</v>
      </c>
      <c r="AV300" s="2">
        <v>1.0669999999999999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0</v>
      </c>
      <c r="BI300" s="2">
        <v>1</v>
      </c>
      <c r="BJ300" s="2" t="s">
        <v>405</v>
      </c>
      <c r="BK300" s="2"/>
      <c r="BL300" s="2"/>
      <c r="BM300" s="2">
        <v>21</v>
      </c>
      <c r="BN300" s="2">
        <v>58973374</v>
      </c>
      <c r="BO300" s="2" t="s">
        <v>403</v>
      </c>
      <c r="BP300" s="2">
        <v>1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625</v>
      </c>
      <c r="CO300" s="2">
        <v>0</v>
      </c>
      <c r="CP300" s="2">
        <f t="shared" si="340"/>
        <v>597.16</v>
      </c>
      <c r="CQ300" s="2">
        <f t="shared" si="341"/>
        <v>34.92</v>
      </c>
      <c r="CR300" s="2">
        <f>(ROUND((ROUND(((((ET300*1.25)*1.1))*AV300*1),2)*BB300),2)+ROUND((ROUND(((AE300-(((EU300*1.25)*1.1)))*AV300*1),2)*BS300),2))</f>
        <v>61.55</v>
      </c>
      <c r="CS300" s="2">
        <f>(ROUND((ROUND(((((EU300*1.25)*1.1))*AV300*1),2)*BS300),2)+ROUND((ROUND(((AE300-(((EU300*1.25)*1.1)))*AV300*1),2)*BS300),2))</f>
        <v>8.2200000000000006</v>
      </c>
      <c r="CT300" s="2">
        <f t="shared" si="342"/>
        <v>500.69</v>
      </c>
      <c r="CU300" s="2">
        <f t="shared" si="343"/>
        <v>0</v>
      </c>
      <c r="CV300" s="2">
        <f t="shared" si="344"/>
        <v>40.087723499999996</v>
      </c>
      <c r="CW300" s="2">
        <f t="shared" si="345"/>
        <v>0</v>
      </c>
      <c r="CX300" s="2">
        <f t="shared" si="346"/>
        <v>0</v>
      </c>
      <c r="CY300" s="2">
        <f>(ROUND((((S300+ROUND((ROUND(((((EU300*1.25)*1.1))*AV300*1),2)*BS300),2))*AT300)/100),2)+ROUND(((ROUND((ROUND(((AE300-(((EU300*1.25)*1.1)))*AV300*1),2)*BS300),2)*AT300)/100),2))</f>
        <v>554.71</v>
      </c>
      <c r="CZ300" s="2">
        <f>(ROUND((((S300+ROUND((ROUND(((((EU300*1.25)*1.1))*AV300*1),2)*BS300),2))*AU300)/100),2)+ROUND(((ROUND((ROUND(((AE300-(((EU300*1.25)*1.1)))*AV300*1),2)*BS300),2)*AU300)/100),2))</f>
        <v>310.44</v>
      </c>
      <c r="DA300" s="2"/>
      <c r="DB300" s="2">
        <v>93</v>
      </c>
      <c r="DC300" s="2" t="s">
        <v>3</v>
      </c>
      <c r="DD300" s="2" t="s">
        <v>3</v>
      </c>
      <c r="DE300" s="2" t="s">
        <v>98</v>
      </c>
      <c r="DF300" s="2" t="s">
        <v>98</v>
      </c>
      <c r="DG300" s="2" t="s">
        <v>99</v>
      </c>
      <c r="DH300" s="2" t="s">
        <v>3</v>
      </c>
      <c r="DI300" s="2" t="s">
        <v>99</v>
      </c>
      <c r="DJ300" s="2" t="s">
        <v>98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1013</v>
      </c>
      <c r="DV300" s="2" t="s">
        <v>371</v>
      </c>
      <c r="DW300" s="2" t="s">
        <v>371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60088252</v>
      </c>
      <c r="EF300" s="2">
        <v>30</v>
      </c>
      <c r="EG300" s="2" t="s">
        <v>100</v>
      </c>
      <c r="EH300" s="2">
        <v>0</v>
      </c>
      <c r="EI300" s="2" t="s">
        <v>3</v>
      </c>
      <c r="EJ300" s="2">
        <v>1</v>
      </c>
      <c r="EK300" s="2">
        <v>21</v>
      </c>
      <c r="EL300" s="2" t="s">
        <v>356</v>
      </c>
      <c r="EM300" s="2" t="s">
        <v>357</v>
      </c>
      <c r="EN300" s="2"/>
      <c r="EO300" s="2" t="s">
        <v>103</v>
      </c>
      <c r="EP300" s="2"/>
      <c r="EQ300" s="2">
        <v>0</v>
      </c>
      <c r="ER300" s="2">
        <v>447.82</v>
      </c>
      <c r="ES300" s="2">
        <v>34.92</v>
      </c>
      <c r="ET300" s="2">
        <v>41.95</v>
      </c>
      <c r="EU300" s="2">
        <v>5.6</v>
      </c>
      <c r="EV300" s="2">
        <v>370.95</v>
      </c>
      <c r="EW300" s="2">
        <v>29.7</v>
      </c>
      <c r="EX300" s="2">
        <v>0</v>
      </c>
      <c r="EY300" s="2">
        <v>0</v>
      </c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738242177</v>
      </c>
      <c r="GG300" s="2">
        <v>2</v>
      </c>
      <c r="GH300" s="2">
        <v>1</v>
      </c>
      <c r="GI300" s="2">
        <v>2</v>
      </c>
      <c r="GJ300" s="2">
        <v>0</v>
      </c>
      <c r="GK300" s="2">
        <v>0</v>
      </c>
      <c r="GL300" s="2">
        <f t="shared" si="347"/>
        <v>0</v>
      </c>
      <c r="GM300" s="2">
        <f t="shared" si="348"/>
        <v>1462.31</v>
      </c>
      <c r="GN300" s="2">
        <f t="shared" si="349"/>
        <v>1462.31</v>
      </c>
      <c r="GO300" s="2">
        <f t="shared" si="350"/>
        <v>0</v>
      </c>
      <c r="GP300" s="2">
        <f t="shared" si="351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352"/>
        <v>0</v>
      </c>
      <c r="GW300" s="2">
        <v>1</v>
      </c>
      <c r="GX300" s="2">
        <f t="shared" si="353"/>
        <v>0</v>
      </c>
      <c r="GY300" s="2"/>
      <c r="GZ300" s="2"/>
      <c r="HA300" s="2">
        <v>0</v>
      </c>
      <c r="HB300" s="2">
        <v>0</v>
      </c>
      <c r="HC300" s="2">
        <f t="shared" si="354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>
        <v>17</v>
      </c>
      <c r="B301">
        <v>1</v>
      </c>
      <c r="C301">
        <f>ROW(SmtRes!A424)</f>
        <v>424</v>
      </c>
      <c r="D301">
        <f>ROW(EtalonRes!A474)</f>
        <v>474</v>
      </c>
      <c r="E301" t="s">
        <v>402</v>
      </c>
      <c r="F301" t="s">
        <v>403</v>
      </c>
      <c r="G301" t="s">
        <v>404</v>
      </c>
      <c r="H301" t="s">
        <v>371</v>
      </c>
      <c r="I301">
        <f>ROUND(100/100,9)</f>
        <v>1</v>
      </c>
      <c r="J301">
        <v>0</v>
      </c>
      <c r="K301">
        <f>ROUND(100/100,9)</f>
        <v>1</v>
      </c>
      <c r="O301">
        <f t="shared" si="329"/>
        <v>28736.11</v>
      </c>
      <c r="P301">
        <f t="shared" si="330"/>
        <v>250.38</v>
      </c>
      <c r="Q301">
        <f>(ROUND((ROUND(((((ET301*1.25)*1.1))*AV301*I301),2)*BB301),2)+ROUND((ROUND(((AE301-(((EU301*1.25)*1.1)))*AV301*I301),2)*BS301),2))</f>
        <v>952.79</v>
      </c>
      <c r="R301">
        <f>(ROUND((ROUND(((((EU301*1.25)*1.1))*AV301*I301),2)*BS301),2)+ROUND((ROUND(((AE301-(((EU301*1.25)*1.1)))*AV301*I301),2)*BS301),2))</f>
        <v>452.02</v>
      </c>
      <c r="S301">
        <f t="shared" si="331"/>
        <v>27532.94</v>
      </c>
      <c r="T301">
        <f t="shared" si="332"/>
        <v>0</v>
      </c>
      <c r="U301">
        <f t="shared" si="333"/>
        <v>40.087723499999996</v>
      </c>
      <c r="V301">
        <f t="shared" si="334"/>
        <v>0</v>
      </c>
      <c r="W301">
        <f t="shared" si="335"/>
        <v>0</v>
      </c>
      <c r="X301">
        <f>(ROUND((((S301+ROUND((ROUND(((((EU301*1.25)*1.1))*AV301*I301),2)*BS301),2))*AT301)/100),2)+ROUND(((ROUND((ROUND(((AE301-(((EU301*1.25)*1.1)))*AV301*I301),2)*BS301),2)*AT301)/100),2))</f>
        <v>30503.61</v>
      </c>
      <c r="Y301">
        <f>(ROUND((((S301+ROUND((ROUND(((((EU301*1.25)*1.1))*AV301*I301),2)*BS301),2))*AU301)/100),2)+ROUND(((ROUND((ROUND(((AE301-(((EU301*1.25)*1.1)))*AV301*I301),2)*BS301),2)*AU301)/100),2))</f>
        <v>17070.830000000002</v>
      </c>
      <c r="AA301">
        <v>60255011</v>
      </c>
      <c r="AB301">
        <f t="shared" si="336"/>
        <v>561.85299999999995</v>
      </c>
      <c r="AC301">
        <f t="shared" si="337"/>
        <v>34.92</v>
      </c>
      <c r="AD301">
        <f>ROUND((((((ET301*1.25)*1.1))-(((EU301*1.25)*1.1)))+AE301),6)</f>
        <v>57.681249999999999</v>
      </c>
      <c r="AE301">
        <f>ROUND((((EU301*1.25)*1.1)),6)</f>
        <v>7.7</v>
      </c>
      <c r="AF301">
        <f>ROUND((((EV301*1.15)*1.1)),6)</f>
        <v>469.25175000000002</v>
      </c>
      <c r="AG301">
        <f t="shared" si="338"/>
        <v>0</v>
      </c>
      <c r="AH301">
        <f>(((EW301*1.15)*1.1))</f>
        <v>37.570499999999996</v>
      </c>
      <c r="AI301">
        <f>(((EX301*1.25)*1.1))</f>
        <v>0</v>
      </c>
      <c r="AJ301">
        <f t="shared" si="339"/>
        <v>0</v>
      </c>
      <c r="AK301">
        <v>447.82</v>
      </c>
      <c r="AL301">
        <v>34.92</v>
      </c>
      <c r="AM301">
        <v>41.95</v>
      </c>
      <c r="AN301">
        <v>5.6</v>
      </c>
      <c r="AO301">
        <v>370.95</v>
      </c>
      <c r="AP301">
        <v>0</v>
      </c>
      <c r="AQ301">
        <v>29.7</v>
      </c>
      <c r="AR301">
        <v>0</v>
      </c>
      <c r="AS301">
        <v>0</v>
      </c>
      <c r="AT301">
        <v>109</v>
      </c>
      <c r="AU301">
        <v>61</v>
      </c>
      <c r="AV301">
        <v>1.0669999999999999</v>
      </c>
      <c r="AW301">
        <v>1</v>
      </c>
      <c r="AZ301">
        <v>1</v>
      </c>
      <c r="BA301">
        <v>54.99</v>
      </c>
      <c r="BB301">
        <v>15.48</v>
      </c>
      <c r="BC301">
        <v>7.17</v>
      </c>
      <c r="BD301" t="s">
        <v>3</v>
      </c>
      <c r="BE301" t="s">
        <v>3</v>
      </c>
      <c r="BF301" t="s">
        <v>3</v>
      </c>
      <c r="BG301" t="s">
        <v>3</v>
      </c>
      <c r="BH301">
        <v>0</v>
      </c>
      <c r="BI301">
        <v>1</v>
      </c>
      <c r="BJ301" t="s">
        <v>405</v>
      </c>
      <c r="BM301">
        <v>21</v>
      </c>
      <c r="BN301">
        <v>58973374</v>
      </c>
      <c r="BO301" t="s">
        <v>403</v>
      </c>
      <c r="BP301">
        <v>1</v>
      </c>
      <c r="BQ301">
        <v>30</v>
      </c>
      <c r="BR301">
        <v>0</v>
      </c>
      <c r="BS301">
        <v>54.99</v>
      </c>
      <c r="BT301">
        <v>1</v>
      </c>
      <c r="BU301">
        <v>1</v>
      </c>
      <c r="BV301">
        <v>1</v>
      </c>
      <c r="BW301">
        <v>1</v>
      </c>
      <c r="BX301">
        <v>1</v>
      </c>
      <c r="BY301" t="s">
        <v>3</v>
      </c>
      <c r="BZ301">
        <v>109</v>
      </c>
      <c r="CA301">
        <v>61</v>
      </c>
      <c r="CB301" t="s">
        <v>3</v>
      </c>
      <c r="CE301">
        <v>1566</v>
      </c>
      <c r="CF301">
        <v>0</v>
      </c>
      <c r="CG301">
        <v>0</v>
      </c>
      <c r="CM301">
        <v>0</v>
      </c>
      <c r="CN301" t="s">
        <v>625</v>
      </c>
      <c r="CO301">
        <v>0</v>
      </c>
      <c r="CP301">
        <f t="shared" si="340"/>
        <v>28736.11</v>
      </c>
      <c r="CQ301">
        <f t="shared" si="341"/>
        <v>250.38</v>
      </c>
      <c r="CR301">
        <f>(ROUND((ROUND(((((ET301*1.25)*1.1))*AV301*1),2)*BB301),2)+ROUND((ROUND(((AE301-(((EU301*1.25)*1.1)))*AV301*1),2)*BS301),2))</f>
        <v>952.79</v>
      </c>
      <c r="CS301">
        <f>(ROUND((ROUND(((((EU301*1.25)*1.1))*AV301*1),2)*BS301),2)+ROUND((ROUND(((AE301-(((EU301*1.25)*1.1)))*AV301*1),2)*BS301),2))</f>
        <v>452.02</v>
      </c>
      <c r="CT301">
        <f t="shared" si="342"/>
        <v>27532.94</v>
      </c>
      <c r="CU301">
        <f t="shared" si="343"/>
        <v>0</v>
      </c>
      <c r="CV301">
        <f t="shared" si="344"/>
        <v>40.087723499999996</v>
      </c>
      <c r="CW301">
        <f t="shared" si="345"/>
        <v>0</v>
      </c>
      <c r="CX301">
        <f t="shared" si="346"/>
        <v>0</v>
      </c>
      <c r="CY301">
        <f>(ROUND((((S301+ROUND((ROUND(((((EU301*1.25)*1.1))*AV301*1),2)*BS301),2))*AT301)/100),2)+ROUND(((ROUND((ROUND(((AE301-(((EU301*1.25)*1.1)))*AV301*1),2)*BS301),2)*AT301)/100),2))</f>
        <v>30503.61</v>
      </c>
      <c r="CZ301">
        <f>(ROUND((((S301+ROUND((ROUND(((((EU301*1.25)*1.1))*AV301*1),2)*BS301),2))*AU301)/100),2)+ROUND(((ROUND((ROUND(((AE301-(((EU301*1.25)*1.1)))*AV301*1),2)*BS301),2)*AU301)/100),2))</f>
        <v>17070.830000000002</v>
      </c>
      <c r="DB301">
        <v>95</v>
      </c>
      <c r="DC301" t="s">
        <v>3</v>
      </c>
      <c r="DD301" t="s">
        <v>3</v>
      </c>
      <c r="DE301" t="s">
        <v>98</v>
      </c>
      <c r="DF301" t="s">
        <v>98</v>
      </c>
      <c r="DG301" t="s">
        <v>99</v>
      </c>
      <c r="DH301" t="s">
        <v>3</v>
      </c>
      <c r="DI301" t="s">
        <v>99</v>
      </c>
      <c r="DJ301" t="s">
        <v>98</v>
      </c>
      <c r="DK301" t="s">
        <v>3</v>
      </c>
      <c r="DL301" t="s">
        <v>3</v>
      </c>
      <c r="DM301" t="s">
        <v>3</v>
      </c>
      <c r="DN301">
        <v>0</v>
      </c>
      <c r="DO301">
        <v>0</v>
      </c>
      <c r="DP301">
        <v>1</v>
      </c>
      <c r="DQ301">
        <v>1</v>
      </c>
      <c r="DU301">
        <v>1013</v>
      </c>
      <c r="DV301" t="s">
        <v>371</v>
      </c>
      <c r="DW301" t="s">
        <v>371</v>
      </c>
      <c r="DX301">
        <v>1</v>
      </c>
      <c r="DZ301" t="s">
        <v>3</v>
      </c>
      <c r="EA301" t="s">
        <v>3</v>
      </c>
      <c r="EB301" t="s">
        <v>3</v>
      </c>
      <c r="EC301" t="s">
        <v>3</v>
      </c>
      <c r="EE301">
        <v>60088252</v>
      </c>
      <c r="EF301">
        <v>30</v>
      </c>
      <c r="EG301" t="s">
        <v>100</v>
      </c>
      <c r="EH301">
        <v>0</v>
      </c>
      <c r="EI301" t="s">
        <v>3</v>
      </c>
      <c r="EJ301">
        <v>1</v>
      </c>
      <c r="EK301">
        <v>21</v>
      </c>
      <c r="EL301" t="s">
        <v>356</v>
      </c>
      <c r="EM301" t="s">
        <v>357</v>
      </c>
      <c r="EO301" t="s">
        <v>103</v>
      </c>
      <c r="EQ301">
        <v>0</v>
      </c>
      <c r="ER301">
        <v>447.82</v>
      </c>
      <c r="ES301">
        <v>34.92</v>
      </c>
      <c r="ET301">
        <v>41.95</v>
      </c>
      <c r="EU301">
        <v>5.6</v>
      </c>
      <c r="EV301">
        <v>370.95</v>
      </c>
      <c r="EW301">
        <v>29.7</v>
      </c>
      <c r="EX301">
        <v>0</v>
      </c>
      <c r="EY301">
        <v>0</v>
      </c>
      <c r="FQ301">
        <v>0</v>
      </c>
      <c r="FR301">
        <v>0</v>
      </c>
      <c r="FS301">
        <v>0</v>
      </c>
      <c r="FX301">
        <v>109</v>
      </c>
      <c r="FY301">
        <v>61</v>
      </c>
      <c r="GA301" t="s">
        <v>3</v>
      </c>
      <c r="GD301">
        <v>1</v>
      </c>
      <c r="GF301">
        <v>738242177</v>
      </c>
      <c r="GG301">
        <v>2</v>
      </c>
      <c r="GH301">
        <v>1</v>
      </c>
      <c r="GI301">
        <v>2</v>
      </c>
      <c r="GJ301">
        <v>0</v>
      </c>
      <c r="GK301">
        <v>0</v>
      </c>
      <c r="GL301">
        <f t="shared" si="347"/>
        <v>0</v>
      </c>
      <c r="GM301">
        <f t="shared" si="348"/>
        <v>76310.55</v>
      </c>
      <c r="GN301">
        <f t="shared" si="349"/>
        <v>76310.55</v>
      </c>
      <c r="GO301">
        <f t="shared" si="350"/>
        <v>0</v>
      </c>
      <c r="GP301">
        <f t="shared" si="351"/>
        <v>0</v>
      </c>
      <c r="GR301">
        <v>0</v>
      </c>
      <c r="GS301">
        <v>3</v>
      </c>
      <c r="GT301">
        <v>0</v>
      </c>
      <c r="GU301" t="s">
        <v>3</v>
      </c>
      <c r="GV301">
        <f t="shared" si="352"/>
        <v>0</v>
      </c>
      <c r="GW301">
        <v>1</v>
      </c>
      <c r="GX301">
        <f t="shared" si="353"/>
        <v>0</v>
      </c>
      <c r="HA301">
        <v>0</v>
      </c>
      <c r="HB301">
        <v>0</v>
      </c>
      <c r="HC301">
        <f t="shared" si="354"/>
        <v>0</v>
      </c>
      <c r="HE301" t="s">
        <v>3</v>
      </c>
      <c r="HF301" t="s">
        <v>3</v>
      </c>
      <c r="HM301" t="s">
        <v>3</v>
      </c>
      <c r="HN301" t="s">
        <v>3</v>
      </c>
      <c r="HO301" t="s">
        <v>3</v>
      </c>
      <c r="HP301" t="s">
        <v>3</v>
      </c>
      <c r="HQ301" t="s">
        <v>3</v>
      </c>
      <c r="HS301">
        <v>0</v>
      </c>
      <c r="IK301">
        <v>0</v>
      </c>
    </row>
    <row r="302" spans="1:255" x14ac:dyDescent="0.2">
      <c r="A302" s="2">
        <v>18</v>
      </c>
      <c r="B302" s="2">
        <v>1</v>
      </c>
      <c r="C302" s="2">
        <v>411</v>
      </c>
      <c r="D302" s="2"/>
      <c r="E302" s="2" t="s">
        <v>406</v>
      </c>
      <c r="F302" s="2" t="s">
        <v>407</v>
      </c>
      <c r="G302" s="2" t="s">
        <v>408</v>
      </c>
      <c r="H302" s="2" t="s">
        <v>376</v>
      </c>
      <c r="I302" s="2">
        <f>I300*J302</f>
        <v>100</v>
      </c>
      <c r="J302" s="2">
        <v>100</v>
      </c>
      <c r="K302" s="2">
        <v>100</v>
      </c>
      <c r="L302" s="2"/>
      <c r="M302" s="2"/>
      <c r="N302" s="2"/>
      <c r="O302" s="2">
        <f t="shared" si="329"/>
        <v>3598</v>
      </c>
      <c r="P302" s="2">
        <f t="shared" si="330"/>
        <v>3598</v>
      </c>
      <c r="Q302" s="2">
        <f>(ROUND((ROUND(((ET302)*AV302*I302),2)*BB302),2)+ROUND((ROUND(((AE302-(EU302))*AV302*I302),2)*BS302),2))</f>
        <v>0</v>
      </c>
      <c r="R302" s="2">
        <f>(ROUND((ROUND(((EU302)*AV302*I302),2)*BS302),2)+ROUND((ROUND(((AE302-(EU302))*AV302*I302),2)*BS302),2))</f>
        <v>0</v>
      </c>
      <c r="S302" s="2">
        <f t="shared" si="331"/>
        <v>0</v>
      </c>
      <c r="T302" s="2">
        <f t="shared" si="332"/>
        <v>0</v>
      </c>
      <c r="U302" s="2">
        <f t="shared" si="333"/>
        <v>0</v>
      </c>
      <c r="V302" s="2">
        <f t="shared" si="334"/>
        <v>0</v>
      </c>
      <c r="W302" s="2">
        <f t="shared" si="335"/>
        <v>0</v>
      </c>
      <c r="X302" s="2">
        <f>(ROUND((((S302+ROUND((ROUND(((EU302)*AV302*I302),2)*BS302),2))*AT302)/100),2)+ROUND(((ROUND((ROUND(((AE302-(EU302))*AV302*I302),2)*BS302),2)*AT302)/100),2))</f>
        <v>0</v>
      </c>
      <c r="Y302" s="2">
        <f>(ROUND((((S302+ROUND((ROUND(((EU302)*AV302*I302),2)*BS302),2))*AU302)/100),2)+ROUND(((ROUND((ROUND(((AE302-(EU302))*AV302*I302),2)*BS302),2)*AU302)/100),2))</f>
        <v>0</v>
      </c>
      <c r="Z302" s="2"/>
      <c r="AA302" s="2">
        <v>60255014</v>
      </c>
      <c r="AB302" s="2">
        <f t="shared" si="336"/>
        <v>35.979999999999997</v>
      </c>
      <c r="AC302" s="2">
        <f t="shared" si="337"/>
        <v>35.979999999999997</v>
      </c>
      <c r="AD302" s="2">
        <f>ROUND((((ET302)-(EU302))+AE302),6)</f>
        <v>0</v>
      </c>
      <c r="AE302" s="2">
        <f>ROUND((EU302),6)</f>
        <v>0</v>
      </c>
      <c r="AF302" s="2">
        <f>ROUND((EV302),6)</f>
        <v>0</v>
      </c>
      <c r="AG302" s="2">
        <f t="shared" si="338"/>
        <v>0</v>
      </c>
      <c r="AH302" s="2">
        <f>(EW302)</f>
        <v>0</v>
      </c>
      <c r="AI302" s="2">
        <f>(EX302)</f>
        <v>0</v>
      </c>
      <c r="AJ302" s="2">
        <f t="shared" si="339"/>
        <v>0</v>
      </c>
      <c r="AK302" s="2">
        <v>35.979999999999997</v>
      </c>
      <c r="AL302" s="2">
        <v>35.979999999999997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109</v>
      </c>
      <c r="AU302" s="2">
        <v>61</v>
      </c>
      <c r="AV302" s="2">
        <v>1</v>
      </c>
      <c r="AW302" s="2">
        <v>1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3</v>
      </c>
      <c r="BI302" s="2">
        <v>1</v>
      </c>
      <c r="BJ302" s="2" t="s">
        <v>409</v>
      </c>
      <c r="BK302" s="2"/>
      <c r="BL302" s="2"/>
      <c r="BM302" s="2">
        <v>21</v>
      </c>
      <c r="BN302" s="2">
        <v>58973374</v>
      </c>
      <c r="BO302" s="2" t="s">
        <v>3</v>
      </c>
      <c r="BP302" s="2">
        <v>0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109</v>
      </c>
      <c r="CA302" s="2">
        <v>61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3</v>
      </c>
      <c r="CO302" s="2">
        <v>0</v>
      </c>
      <c r="CP302" s="2">
        <f t="shared" si="340"/>
        <v>3598</v>
      </c>
      <c r="CQ302" s="2">
        <f t="shared" si="341"/>
        <v>35.979999999999997</v>
      </c>
      <c r="CR302" s="2">
        <f>(ROUND((ROUND(((ET302)*AV302*1),2)*BB302),2)+ROUND((ROUND(((AE302-(EU302))*AV302*1),2)*BS302),2))</f>
        <v>0</v>
      </c>
      <c r="CS302" s="2">
        <f>(ROUND((ROUND(((EU302)*AV302*1),2)*BS302),2)+ROUND((ROUND(((AE302-(EU302))*AV302*1),2)*BS302),2))</f>
        <v>0</v>
      </c>
      <c r="CT302" s="2">
        <f t="shared" si="342"/>
        <v>0</v>
      </c>
      <c r="CU302" s="2">
        <f t="shared" si="343"/>
        <v>0</v>
      </c>
      <c r="CV302" s="2">
        <f t="shared" si="344"/>
        <v>0</v>
      </c>
      <c r="CW302" s="2">
        <f t="shared" si="345"/>
        <v>0</v>
      </c>
      <c r="CX302" s="2">
        <f t="shared" si="346"/>
        <v>0</v>
      </c>
      <c r="CY302" s="2">
        <f>(ROUND((((S302+ROUND((ROUND(((EU302)*AV302*1),2)*BS302),2))*AT302)/100),2)+ROUND(((ROUND((ROUND(((AE302-(EU302))*AV302*1),2)*BS302),2)*AT302)/100),2))</f>
        <v>0</v>
      </c>
      <c r="CZ302" s="2">
        <f>(ROUND((((S302+ROUND((ROUND(((EU302)*AV302*1),2)*BS302),2))*AU302)/100),2)+ROUND(((ROUND((ROUND(((AE302-(EU302))*AV302*1),2)*BS302),2)*AU302)/100),2))</f>
        <v>0</v>
      </c>
      <c r="DA302" s="2"/>
      <c r="DB302" s="2"/>
      <c r="DC302" s="2" t="s">
        <v>3</v>
      </c>
      <c r="DD302" s="2" t="s">
        <v>3</v>
      </c>
      <c r="DE302" s="2" t="s">
        <v>3</v>
      </c>
      <c r="DF302" s="2" t="s">
        <v>3</v>
      </c>
      <c r="DG302" s="2" t="s">
        <v>3</v>
      </c>
      <c r="DH302" s="2" t="s">
        <v>3</v>
      </c>
      <c r="DI302" s="2" t="s">
        <v>3</v>
      </c>
      <c r="DJ302" s="2" t="s">
        <v>3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1003</v>
      </c>
      <c r="DV302" s="2" t="s">
        <v>376</v>
      </c>
      <c r="DW302" s="2" t="s">
        <v>376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60088252</v>
      </c>
      <c r="EF302" s="2">
        <v>30</v>
      </c>
      <c r="EG302" s="2" t="s">
        <v>100</v>
      </c>
      <c r="EH302" s="2">
        <v>0</v>
      </c>
      <c r="EI302" s="2" t="s">
        <v>3</v>
      </c>
      <c r="EJ302" s="2">
        <v>1</v>
      </c>
      <c r="EK302" s="2">
        <v>21</v>
      </c>
      <c r="EL302" s="2" t="s">
        <v>356</v>
      </c>
      <c r="EM302" s="2" t="s">
        <v>357</v>
      </c>
      <c r="EN302" s="2"/>
      <c r="EO302" s="2" t="s">
        <v>3</v>
      </c>
      <c r="EP302" s="2"/>
      <c r="EQ302" s="2">
        <v>0</v>
      </c>
      <c r="ER302" s="2">
        <v>35.979999999999997</v>
      </c>
      <c r="ES302" s="2">
        <v>35.979999999999997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109</v>
      </c>
      <c r="FY302" s="2">
        <v>61</v>
      </c>
      <c r="FZ302" s="2"/>
      <c r="GA302" s="2" t="s">
        <v>3</v>
      </c>
      <c r="GB302" s="2"/>
      <c r="GC302" s="2"/>
      <c r="GD302" s="2">
        <v>1</v>
      </c>
      <c r="GE302" s="2"/>
      <c r="GF302" s="2">
        <v>962967429</v>
      </c>
      <c r="GG302" s="2">
        <v>2</v>
      </c>
      <c r="GH302" s="2">
        <v>1</v>
      </c>
      <c r="GI302" s="2">
        <v>-2</v>
      </c>
      <c r="GJ302" s="2">
        <v>0</v>
      </c>
      <c r="GK302" s="2">
        <v>0</v>
      </c>
      <c r="GL302" s="2">
        <f t="shared" si="347"/>
        <v>0</v>
      </c>
      <c r="GM302" s="2">
        <f t="shared" si="348"/>
        <v>3598</v>
      </c>
      <c r="GN302" s="2">
        <f t="shared" si="349"/>
        <v>3598</v>
      </c>
      <c r="GO302" s="2">
        <f t="shared" si="350"/>
        <v>0</v>
      </c>
      <c r="GP302" s="2">
        <f t="shared" si="351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352"/>
        <v>0</v>
      </c>
      <c r="GW302" s="2">
        <v>1</v>
      </c>
      <c r="GX302" s="2">
        <f t="shared" si="353"/>
        <v>0</v>
      </c>
      <c r="GY302" s="2"/>
      <c r="GZ302" s="2"/>
      <c r="HA302" s="2">
        <v>0</v>
      </c>
      <c r="HB302" s="2">
        <v>0</v>
      </c>
      <c r="HC302" s="2">
        <f t="shared" si="354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>
        <v>18</v>
      </c>
      <c r="B303">
        <v>1</v>
      </c>
      <c r="C303">
        <v>424</v>
      </c>
      <c r="E303" t="s">
        <v>406</v>
      </c>
      <c r="F303" t="s">
        <v>407</v>
      </c>
      <c r="G303" t="s">
        <v>408</v>
      </c>
      <c r="H303" t="s">
        <v>376</v>
      </c>
      <c r="I303">
        <f>I301*J303</f>
        <v>100</v>
      </c>
      <c r="J303">
        <v>100</v>
      </c>
      <c r="K303">
        <v>100</v>
      </c>
      <c r="O303">
        <f t="shared" si="329"/>
        <v>87971.1</v>
      </c>
      <c r="P303">
        <f t="shared" si="330"/>
        <v>87971.1</v>
      </c>
      <c r="Q303">
        <f>(ROUND((ROUND(((ET303)*AV303*I303),2)*BB303),2)+ROUND((ROUND(((AE303-(EU303))*AV303*I303),2)*BS303),2))</f>
        <v>0</v>
      </c>
      <c r="R303">
        <f>(ROUND((ROUND(((EU303)*AV303*I303),2)*BS303),2)+ROUND((ROUND(((AE303-(EU303))*AV303*I303),2)*BS303),2))</f>
        <v>0</v>
      </c>
      <c r="S303">
        <f t="shared" si="331"/>
        <v>0</v>
      </c>
      <c r="T303">
        <f t="shared" si="332"/>
        <v>0</v>
      </c>
      <c r="U303">
        <f t="shared" si="333"/>
        <v>0</v>
      </c>
      <c r="V303">
        <f t="shared" si="334"/>
        <v>0</v>
      </c>
      <c r="W303">
        <f t="shared" si="335"/>
        <v>0</v>
      </c>
      <c r="X303">
        <f>(ROUND((((S303+ROUND((ROUND(((EU303)*AV303*I303),2)*BS303),2))*AT303)/100),2)+ROUND(((ROUND((ROUND(((AE303-(EU303))*AV303*I303),2)*BS303),2)*AT303)/100),2))</f>
        <v>0</v>
      </c>
      <c r="Y303">
        <f>(ROUND((((S303+ROUND((ROUND(((EU303)*AV303*I303),2)*BS303),2))*AU303)/100),2)+ROUND(((ROUND((ROUND(((AE303-(EU303))*AV303*I303),2)*BS303),2)*AU303)/100),2))</f>
        <v>0</v>
      </c>
      <c r="AA303">
        <v>60255011</v>
      </c>
      <c r="AB303">
        <f t="shared" si="336"/>
        <v>35.979999999999997</v>
      </c>
      <c r="AC303">
        <f t="shared" si="337"/>
        <v>35.979999999999997</v>
      </c>
      <c r="AD303">
        <f>ROUND((((ET303)-(EU303))+AE303),6)</f>
        <v>0</v>
      </c>
      <c r="AE303">
        <f>ROUND((EU303),6)</f>
        <v>0</v>
      </c>
      <c r="AF303">
        <f>ROUND((EV303),6)</f>
        <v>0</v>
      </c>
      <c r="AG303">
        <f t="shared" si="338"/>
        <v>0</v>
      </c>
      <c r="AH303">
        <f>(EW303)</f>
        <v>0</v>
      </c>
      <c r="AI303">
        <f>(EX303)</f>
        <v>0</v>
      </c>
      <c r="AJ303">
        <f t="shared" si="339"/>
        <v>0</v>
      </c>
      <c r="AK303">
        <v>35.979999999999997</v>
      </c>
      <c r="AL303">
        <v>35.979999999999997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109</v>
      </c>
      <c r="AU303">
        <v>61</v>
      </c>
      <c r="AV303">
        <v>1</v>
      </c>
      <c r="AW303">
        <v>1</v>
      </c>
      <c r="AZ303">
        <v>1</v>
      </c>
      <c r="BA303">
        <v>1</v>
      </c>
      <c r="BB303">
        <v>1</v>
      </c>
      <c r="BC303">
        <v>24.45</v>
      </c>
      <c r="BD303" t="s">
        <v>3</v>
      </c>
      <c r="BE303" t="s">
        <v>3</v>
      </c>
      <c r="BF303" t="s">
        <v>3</v>
      </c>
      <c r="BG303" t="s">
        <v>3</v>
      </c>
      <c r="BH303">
        <v>3</v>
      </c>
      <c r="BI303">
        <v>1</v>
      </c>
      <c r="BJ303" t="s">
        <v>409</v>
      </c>
      <c r="BM303">
        <v>21</v>
      </c>
      <c r="BN303">
        <v>58973374</v>
      </c>
      <c r="BO303" t="s">
        <v>407</v>
      </c>
      <c r="BP303">
        <v>1</v>
      </c>
      <c r="BQ303">
        <v>30</v>
      </c>
      <c r="BR303">
        <v>0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 t="s">
        <v>3</v>
      </c>
      <c r="BZ303">
        <v>109</v>
      </c>
      <c r="CA303">
        <v>61</v>
      </c>
      <c r="CB303" t="s">
        <v>3</v>
      </c>
      <c r="CE303">
        <v>1566</v>
      </c>
      <c r="CF303">
        <v>0</v>
      </c>
      <c r="CG303">
        <v>0</v>
      </c>
      <c r="CM303">
        <v>0</v>
      </c>
      <c r="CN303" t="s">
        <v>3</v>
      </c>
      <c r="CO303">
        <v>0</v>
      </c>
      <c r="CP303">
        <f t="shared" si="340"/>
        <v>87971.1</v>
      </c>
      <c r="CQ303">
        <f t="shared" si="341"/>
        <v>879.71</v>
      </c>
      <c r="CR303">
        <f>(ROUND((ROUND(((ET303)*AV303*1),2)*BB303),2)+ROUND((ROUND(((AE303-(EU303))*AV303*1),2)*BS303),2))</f>
        <v>0</v>
      </c>
      <c r="CS303">
        <f>(ROUND((ROUND(((EU303)*AV303*1),2)*BS303),2)+ROUND((ROUND(((AE303-(EU303))*AV303*1),2)*BS303),2))</f>
        <v>0</v>
      </c>
      <c r="CT303">
        <f t="shared" si="342"/>
        <v>0</v>
      </c>
      <c r="CU303">
        <f t="shared" si="343"/>
        <v>0</v>
      </c>
      <c r="CV303">
        <f t="shared" si="344"/>
        <v>0</v>
      </c>
      <c r="CW303">
        <f t="shared" si="345"/>
        <v>0</v>
      </c>
      <c r="CX303">
        <f t="shared" si="346"/>
        <v>0</v>
      </c>
      <c r="CY303">
        <f>(ROUND((((S303+ROUND((ROUND(((EU303)*AV303*1),2)*BS303),2))*AT303)/100),2)+ROUND(((ROUND((ROUND(((AE303-(EU303))*AV303*1),2)*BS303),2)*AT303)/100),2))</f>
        <v>0</v>
      </c>
      <c r="CZ303">
        <f>(ROUND((((S303+ROUND((ROUND(((EU303)*AV303*1),2)*BS303),2))*AU303)/100),2)+ROUND(((ROUND((ROUND(((AE303-(EU303))*AV303*1),2)*BS303),2)*AU303)/100),2))</f>
        <v>0</v>
      </c>
      <c r="DC303" t="s">
        <v>3</v>
      </c>
      <c r="DD303" t="s">
        <v>3</v>
      </c>
      <c r="DE303" t="s">
        <v>3</v>
      </c>
      <c r="DF303" t="s">
        <v>3</v>
      </c>
      <c r="DG303" t="s">
        <v>3</v>
      </c>
      <c r="DH303" t="s">
        <v>3</v>
      </c>
      <c r="DI303" t="s">
        <v>3</v>
      </c>
      <c r="DJ303" t="s">
        <v>3</v>
      </c>
      <c r="DK303" t="s">
        <v>3</v>
      </c>
      <c r="DL303" t="s">
        <v>3</v>
      </c>
      <c r="DM303" t="s">
        <v>3</v>
      </c>
      <c r="DN303">
        <v>0</v>
      </c>
      <c r="DO303">
        <v>0</v>
      </c>
      <c r="DP303">
        <v>1</v>
      </c>
      <c r="DQ303">
        <v>1</v>
      </c>
      <c r="DU303">
        <v>1003</v>
      </c>
      <c r="DV303" t="s">
        <v>376</v>
      </c>
      <c r="DW303" t="s">
        <v>376</v>
      </c>
      <c r="DX303">
        <v>1</v>
      </c>
      <c r="DZ303" t="s">
        <v>3</v>
      </c>
      <c r="EA303" t="s">
        <v>3</v>
      </c>
      <c r="EB303" t="s">
        <v>3</v>
      </c>
      <c r="EC303" t="s">
        <v>3</v>
      </c>
      <c r="EE303">
        <v>60088252</v>
      </c>
      <c r="EF303">
        <v>30</v>
      </c>
      <c r="EG303" t="s">
        <v>100</v>
      </c>
      <c r="EH303">
        <v>0</v>
      </c>
      <c r="EI303" t="s">
        <v>3</v>
      </c>
      <c r="EJ303">
        <v>1</v>
      </c>
      <c r="EK303">
        <v>21</v>
      </c>
      <c r="EL303" t="s">
        <v>356</v>
      </c>
      <c r="EM303" t="s">
        <v>357</v>
      </c>
      <c r="EO303" t="s">
        <v>3</v>
      </c>
      <c r="EQ303">
        <v>0</v>
      </c>
      <c r="ER303">
        <v>35.979999999999997</v>
      </c>
      <c r="ES303">
        <v>35.979999999999997</v>
      </c>
      <c r="ET303">
        <v>0</v>
      </c>
      <c r="EU303">
        <v>0</v>
      </c>
      <c r="EV303">
        <v>0</v>
      </c>
      <c r="EW303">
        <v>0</v>
      </c>
      <c r="EX303">
        <v>0</v>
      </c>
      <c r="FQ303">
        <v>0</v>
      </c>
      <c r="FR303">
        <v>0</v>
      </c>
      <c r="FS303">
        <v>0</v>
      </c>
      <c r="FX303">
        <v>109</v>
      </c>
      <c r="FY303">
        <v>61</v>
      </c>
      <c r="GA303" t="s">
        <v>3</v>
      </c>
      <c r="GD303">
        <v>1</v>
      </c>
      <c r="GF303">
        <v>962967429</v>
      </c>
      <c r="GG303">
        <v>2</v>
      </c>
      <c r="GH303">
        <v>1</v>
      </c>
      <c r="GI303">
        <v>2</v>
      </c>
      <c r="GJ303">
        <v>0</v>
      </c>
      <c r="GK303">
        <v>0</v>
      </c>
      <c r="GL303">
        <f t="shared" si="347"/>
        <v>0</v>
      </c>
      <c r="GM303">
        <f t="shared" si="348"/>
        <v>87971.1</v>
      </c>
      <c r="GN303">
        <f t="shared" si="349"/>
        <v>87971.1</v>
      </c>
      <c r="GO303">
        <f t="shared" si="350"/>
        <v>0</v>
      </c>
      <c r="GP303">
        <f t="shared" si="351"/>
        <v>0</v>
      </c>
      <c r="GR303">
        <v>0</v>
      </c>
      <c r="GS303">
        <v>3</v>
      </c>
      <c r="GT303">
        <v>0</v>
      </c>
      <c r="GU303" t="s">
        <v>3</v>
      </c>
      <c r="GV303">
        <f t="shared" si="352"/>
        <v>0</v>
      </c>
      <c r="GW303">
        <v>1</v>
      </c>
      <c r="GX303">
        <f t="shared" si="353"/>
        <v>0</v>
      </c>
      <c r="HA303">
        <v>0</v>
      </c>
      <c r="HB303">
        <v>0</v>
      </c>
      <c r="HC303">
        <f t="shared" si="354"/>
        <v>0</v>
      </c>
      <c r="HE303" t="s">
        <v>3</v>
      </c>
      <c r="HF303" t="s">
        <v>3</v>
      </c>
      <c r="HM303" t="s">
        <v>3</v>
      </c>
      <c r="HN303" t="s">
        <v>3</v>
      </c>
      <c r="HO303" t="s">
        <v>3</v>
      </c>
      <c r="HP303" t="s">
        <v>3</v>
      </c>
      <c r="HQ303" t="s">
        <v>3</v>
      </c>
      <c r="HS303">
        <v>0</v>
      </c>
      <c r="IK303">
        <v>0</v>
      </c>
    </row>
    <row r="304" spans="1:255" x14ac:dyDescent="0.2">
      <c r="A304" s="2">
        <v>17</v>
      </c>
      <c r="B304" s="2">
        <v>1</v>
      </c>
      <c r="C304" s="2">
        <f>ROW(SmtRes!A435)</f>
        <v>435</v>
      </c>
      <c r="D304" s="2">
        <f>ROW(EtalonRes!A486)</f>
        <v>486</v>
      </c>
      <c r="E304" s="2" t="s">
        <v>410</v>
      </c>
      <c r="F304" s="2" t="s">
        <v>411</v>
      </c>
      <c r="G304" s="2" t="s">
        <v>412</v>
      </c>
      <c r="H304" s="2" t="s">
        <v>371</v>
      </c>
      <c r="I304" s="2">
        <f>ROUND(130/100,9)</f>
        <v>1.3</v>
      </c>
      <c r="J304" s="2">
        <v>0</v>
      </c>
      <c r="K304" s="2">
        <f>ROUND(130/100,9)</f>
        <v>1.3</v>
      </c>
      <c r="L304" s="2"/>
      <c r="M304" s="2"/>
      <c r="N304" s="2"/>
      <c r="O304" s="2">
        <f t="shared" si="329"/>
        <v>1456.92</v>
      </c>
      <c r="P304" s="2">
        <f t="shared" si="330"/>
        <v>43.24</v>
      </c>
      <c r="Q304" s="2">
        <f>(ROUND((ROUND(((((ET304*1.25)*1.1))*AV304*I304),2)*BB304),2)+ROUND((ROUND(((AE304-(((EU304*1.25)*1.1)))*AV304*I304),2)*BS304),2))</f>
        <v>171.65</v>
      </c>
      <c r="R304" s="2">
        <f>(ROUND((ROUND(((((EU304*1.25)*1.1))*AV304*I304),2)*BS304),2)+ROUND((ROUND(((AE304-(((EU304*1.25)*1.1)))*AV304*I304),2)*BS304),2))</f>
        <v>23.19</v>
      </c>
      <c r="S304" s="2">
        <f t="shared" si="331"/>
        <v>1242.03</v>
      </c>
      <c r="T304" s="2">
        <f t="shared" si="332"/>
        <v>0</v>
      </c>
      <c r="U304" s="2">
        <f t="shared" si="333"/>
        <v>97.033886949999982</v>
      </c>
      <c r="V304" s="2">
        <f t="shared" si="334"/>
        <v>0</v>
      </c>
      <c r="W304" s="2">
        <f t="shared" si="335"/>
        <v>0</v>
      </c>
      <c r="X304" s="2">
        <f>(ROUND((((S304+ROUND((ROUND(((((EU304*1.25)*1.1))*AV304*I304),2)*BS304),2))*AT304)/100),2)+ROUND(((ROUND((ROUND(((AE304-(((EU304*1.25)*1.1)))*AV304*I304),2)*BS304),2)*AT304)/100),2))</f>
        <v>1379.09</v>
      </c>
      <c r="Y304" s="2">
        <f>(ROUND((((S304+ROUND((ROUND(((((EU304*1.25)*1.1))*AV304*I304),2)*BS304),2))*AU304)/100),2)+ROUND(((ROUND((ROUND(((AE304-(((EU304*1.25)*1.1)))*AV304*I304),2)*BS304),2)*AU304)/100),2))</f>
        <v>771.78</v>
      </c>
      <c r="Z304" s="2"/>
      <c r="AA304" s="2">
        <v>60255014</v>
      </c>
      <c r="AB304" s="2">
        <f t="shared" si="336"/>
        <v>1052.4276</v>
      </c>
      <c r="AC304" s="2">
        <f t="shared" si="337"/>
        <v>33.26</v>
      </c>
      <c r="AD304" s="2">
        <f>ROUND((((((ET304*1.25)*1.1))-(((EU304*1.25)*1.1)))+AE304),6)</f>
        <v>123.75</v>
      </c>
      <c r="AE304" s="2">
        <f>ROUND((((EU304*1.25)*1.1)),6)</f>
        <v>16.72</v>
      </c>
      <c r="AF304" s="2">
        <f>ROUND((((EV304*1.15)*1.1)),6)</f>
        <v>895.41759999999999</v>
      </c>
      <c r="AG304" s="2">
        <f t="shared" si="338"/>
        <v>0</v>
      </c>
      <c r="AH304" s="2">
        <f>(((EW304*1.15)*1.1))</f>
        <v>69.954499999999996</v>
      </c>
      <c r="AI304" s="2">
        <f>(((EX304*1.25)*1.1))</f>
        <v>0</v>
      </c>
      <c r="AJ304" s="2">
        <f t="shared" si="339"/>
        <v>0</v>
      </c>
      <c r="AK304" s="2">
        <v>831.1</v>
      </c>
      <c r="AL304" s="2">
        <v>33.26</v>
      </c>
      <c r="AM304" s="2">
        <v>90</v>
      </c>
      <c r="AN304" s="2">
        <v>12.16</v>
      </c>
      <c r="AO304" s="2">
        <v>707.84</v>
      </c>
      <c r="AP304" s="2">
        <v>0</v>
      </c>
      <c r="AQ304" s="2">
        <v>55.3</v>
      </c>
      <c r="AR304" s="2">
        <v>0</v>
      </c>
      <c r="AS304" s="2">
        <v>0</v>
      </c>
      <c r="AT304" s="2">
        <v>109</v>
      </c>
      <c r="AU304" s="2">
        <v>61</v>
      </c>
      <c r="AV304" s="2">
        <v>1.0669999999999999</v>
      </c>
      <c r="AW304" s="2">
        <v>1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0</v>
      </c>
      <c r="BI304" s="2">
        <v>1</v>
      </c>
      <c r="BJ304" s="2" t="s">
        <v>413</v>
      </c>
      <c r="BK304" s="2"/>
      <c r="BL304" s="2"/>
      <c r="BM304" s="2">
        <v>21</v>
      </c>
      <c r="BN304" s="2">
        <v>58973374</v>
      </c>
      <c r="BO304" s="2" t="s">
        <v>411</v>
      </c>
      <c r="BP304" s="2">
        <v>1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109</v>
      </c>
      <c r="CA304" s="2">
        <v>61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625</v>
      </c>
      <c r="CO304" s="2">
        <v>0</v>
      </c>
      <c r="CP304" s="2">
        <f t="shared" si="340"/>
        <v>1456.92</v>
      </c>
      <c r="CQ304" s="2">
        <f t="shared" si="341"/>
        <v>33.26</v>
      </c>
      <c r="CR304" s="2">
        <f>(ROUND((ROUND(((((ET304*1.25)*1.1))*AV304*1),2)*BB304),2)+ROUND((ROUND(((AE304-(((EU304*1.25)*1.1)))*AV304*1),2)*BS304),2))</f>
        <v>132.04</v>
      </c>
      <c r="CS304" s="2">
        <f>(ROUND((ROUND(((((EU304*1.25)*1.1))*AV304*1),2)*BS304),2)+ROUND((ROUND(((AE304-(((EU304*1.25)*1.1)))*AV304*1),2)*BS304),2))</f>
        <v>17.84</v>
      </c>
      <c r="CT304" s="2">
        <f t="shared" si="342"/>
        <v>955.41</v>
      </c>
      <c r="CU304" s="2">
        <f t="shared" si="343"/>
        <v>0</v>
      </c>
      <c r="CV304" s="2">
        <f t="shared" si="344"/>
        <v>74.641451499999988</v>
      </c>
      <c r="CW304" s="2">
        <f t="shared" si="345"/>
        <v>0</v>
      </c>
      <c r="CX304" s="2">
        <f t="shared" si="346"/>
        <v>0</v>
      </c>
      <c r="CY304" s="2">
        <f>(ROUND((((S304+ROUND((ROUND(((((EU304*1.25)*1.1))*AV304*1),2)*BS304),2))*AT304)/100),2)+ROUND(((ROUND((ROUND(((AE304-(((EU304*1.25)*1.1)))*AV304*1),2)*BS304),2)*AT304)/100),2))</f>
        <v>1373.26</v>
      </c>
      <c r="CZ304" s="2">
        <f>(ROUND((((S304+ROUND((ROUND(((((EU304*1.25)*1.1))*AV304*1),2)*BS304),2))*AU304)/100),2)+ROUND(((ROUND((ROUND(((AE304-(((EU304*1.25)*1.1)))*AV304*1),2)*BS304),2)*AU304)/100),2))</f>
        <v>768.52</v>
      </c>
      <c r="DA304" s="2"/>
      <c r="DB304" s="2">
        <v>97</v>
      </c>
      <c r="DC304" s="2" t="s">
        <v>3</v>
      </c>
      <c r="DD304" s="2" t="s">
        <v>3</v>
      </c>
      <c r="DE304" s="2" t="s">
        <v>98</v>
      </c>
      <c r="DF304" s="2" t="s">
        <v>98</v>
      </c>
      <c r="DG304" s="2" t="s">
        <v>99</v>
      </c>
      <c r="DH304" s="2" t="s">
        <v>3</v>
      </c>
      <c r="DI304" s="2" t="s">
        <v>99</v>
      </c>
      <c r="DJ304" s="2" t="s">
        <v>98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1013</v>
      </c>
      <c r="DV304" s="2" t="s">
        <v>371</v>
      </c>
      <c r="DW304" s="2" t="s">
        <v>371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60088252</v>
      </c>
      <c r="EF304" s="2">
        <v>30</v>
      </c>
      <c r="EG304" s="2" t="s">
        <v>100</v>
      </c>
      <c r="EH304" s="2">
        <v>0</v>
      </c>
      <c r="EI304" s="2" t="s">
        <v>3</v>
      </c>
      <c r="EJ304" s="2">
        <v>1</v>
      </c>
      <c r="EK304" s="2">
        <v>21</v>
      </c>
      <c r="EL304" s="2" t="s">
        <v>356</v>
      </c>
      <c r="EM304" s="2" t="s">
        <v>357</v>
      </c>
      <c r="EN304" s="2"/>
      <c r="EO304" s="2" t="s">
        <v>103</v>
      </c>
      <c r="EP304" s="2"/>
      <c r="EQ304" s="2">
        <v>0</v>
      </c>
      <c r="ER304" s="2">
        <v>831.1</v>
      </c>
      <c r="ES304" s="2">
        <v>33.26</v>
      </c>
      <c r="ET304" s="2">
        <v>90</v>
      </c>
      <c r="EU304" s="2">
        <v>12.16</v>
      </c>
      <c r="EV304" s="2">
        <v>707.84</v>
      </c>
      <c r="EW304" s="2">
        <v>55.3</v>
      </c>
      <c r="EX304" s="2">
        <v>0</v>
      </c>
      <c r="EY304" s="2">
        <v>0</v>
      </c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109</v>
      </c>
      <c r="FY304" s="2">
        <v>61</v>
      </c>
      <c r="FZ304" s="2"/>
      <c r="GA304" s="2" t="s">
        <v>3</v>
      </c>
      <c r="GB304" s="2"/>
      <c r="GC304" s="2"/>
      <c r="GD304" s="2">
        <v>1</v>
      </c>
      <c r="GE304" s="2"/>
      <c r="GF304" s="2">
        <v>-2138888817</v>
      </c>
      <c r="GG304" s="2">
        <v>2</v>
      </c>
      <c r="GH304" s="2">
        <v>1</v>
      </c>
      <c r="GI304" s="2">
        <v>2</v>
      </c>
      <c r="GJ304" s="2">
        <v>0</v>
      </c>
      <c r="GK304" s="2">
        <v>0</v>
      </c>
      <c r="GL304" s="2">
        <f t="shared" si="347"/>
        <v>0</v>
      </c>
      <c r="GM304" s="2">
        <f t="shared" si="348"/>
        <v>3607.79</v>
      </c>
      <c r="GN304" s="2">
        <f t="shared" si="349"/>
        <v>3607.79</v>
      </c>
      <c r="GO304" s="2">
        <f t="shared" si="350"/>
        <v>0</v>
      </c>
      <c r="GP304" s="2">
        <f t="shared" si="351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352"/>
        <v>0</v>
      </c>
      <c r="GW304" s="2">
        <v>1</v>
      </c>
      <c r="GX304" s="2">
        <f t="shared" si="353"/>
        <v>0</v>
      </c>
      <c r="GY304" s="2"/>
      <c r="GZ304" s="2"/>
      <c r="HA304" s="2">
        <v>0</v>
      </c>
      <c r="HB304" s="2">
        <v>0</v>
      </c>
      <c r="HC304" s="2">
        <f t="shared" si="354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>
        <v>17</v>
      </c>
      <c r="B305">
        <v>1</v>
      </c>
      <c r="C305">
        <f>ROW(SmtRes!A446)</f>
        <v>446</v>
      </c>
      <c r="D305">
        <f>ROW(EtalonRes!A498)</f>
        <v>498</v>
      </c>
      <c r="E305" t="s">
        <v>410</v>
      </c>
      <c r="F305" t="s">
        <v>411</v>
      </c>
      <c r="G305" t="s">
        <v>412</v>
      </c>
      <c r="H305" t="s">
        <v>371</v>
      </c>
      <c r="I305">
        <f>ROUND(130/100,9)</f>
        <v>1.3</v>
      </c>
      <c r="J305">
        <v>0</v>
      </c>
      <c r="K305">
        <f>ROUND(130/100,9)</f>
        <v>1.3</v>
      </c>
      <c r="O305">
        <f t="shared" si="329"/>
        <v>71459.66</v>
      </c>
      <c r="P305">
        <f t="shared" si="330"/>
        <v>499.85</v>
      </c>
      <c r="Q305">
        <f>(ROUND((ROUND(((((ET305*1.25)*1.1))*AV305*I305),2)*BB305),2)+ROUND((ROUND(((AE305-(((EU305*1.25)*1.1)))*AV305*I305),2)*BS305),2))</f>
        <v>2660.58</v>
      </c>
      <c r="R305">
        <f>(ROUND((ROUND(((((EU305*1.25)*1.1))*AV305*I305),2)*BS305),2)+ROUND((ROUND(((AE305-(((EU305*1.25)*1.1)))*AV305*I305),2)*BS305),2))</f>
        <v>1275.22</v>
      </c>
      <c r="S305">
        <f t="shared" si="331"/>
        <v>68299.23</v>
      </c>
      <c r="T305">
        <f t="shared" si="332"/>
        <v>0</v>
      </c>
      <c r="U305">
        <f t="shared" si="333"/>
        <v>97.033886949999982</v>
      </c>
      <c r="V305">
        <f t="shared" si="334"/>
        <v>0</v>
      </c>
      <c r="W305">
        <f t="shared" si="335"/>
        <v>0</v>
      </c>
      <c r="X305">
        <f>(ROUND((((S305+ROUND((ROUND(((((EU305*1.25)*1.1))*AV305*I305),2)*BS305),2))*AT305)/100),2)+ROUND(((ROUND((ROUND(((AE305-(((EU305*1.25)*1.1)))*AV305*I305),2)*BS305),2)*AT305)/100),2))</f>
        <v>75836.149999999994</v>
      </c>
      <c r="Y305">
        <f>(ROUND((((S305+ROUND((ROUND(((((EU305*1.25)*1.1))*AV305*I305),2)*BS305),2))*AU305)/100),2)+ROUND(((ROUND((ROUND(((AE305-(((EU305*1.25)*1.1)))*AV305*I305),2)*BS305),2)*AU305)/100),2))</f>
        <v>42440.41</v>
      </c>
      <c r="AA305">
        <v>60255011</v>
      </c>
      <c r="AB305">
        <f t="shared" si="336"/>
        <v>1052.4276</v>
      </c>
      <c r="AC305">
        <f t="shared" si="337"/>
        <v>33.26</v>
      </c>
      <c r="AD305">
        <f>ROUND((((((ET305*1.25)*1.1))-(((EU305*1.25)*1.1)))+AE305),6)</f>
        <v>123.75</v>
      </c>
      <c r="AE305">
        <f>ROUND((((EU305*1.25)*1.1)),6)</f>
        <v>16.72</v>
      </c>
      <c r="AF305">
        <f>ROUND((((EV305*1.15)*1.1)),6)</f>
        <v>895.41759999999999</v>
      </c>
      <c r="AG305">
        <f t="shared" si="338"/>
        <v>0</v>
      </c>
      <c r="AH305">
        <f>(((EW305*1.15)*1.1))</f>
        <v>69.954499999999996</v>
      </c>
      <c r="AI305">
        <f>(((EX305*1.25)*1.1))</f>
        <v>0</v>
      </c>
      <c r="AJ305">
        <f t="shared" si="339"/>
        <v>0</v>
      </c>
      <c r="AK305">
        <v>831.1</v>
      </c>
      <c r="AL305">
        <v>33.26</v>
      </c>
      <c r="AM305">
        <v>90</v>
      </c>
      <c r="AN305">
        <v>12.16</v>
      </c>
      <c r="AO305">
        <v>707.84</v>
      </c>
      <c r="AP305">
        <v>0</v>
      </c>
      <c r="AQ305">
        <v>55.3</v>
      </c>
      <c r="AR305">
        <v>0</v>
      </c>
      <c r="AS305">
        <v>0</v>
      </c>
      <c r="AT305">
        <v>109</v>
      </c>
      <c r="AU305">
        <v>61</v>
      </c>
      <c r="AV305">
        <v>1.0669999999999999</v>
      </c>
      <c r="AW305">
        <v>1</v>
      </c>
      <c r="AZ305">
        <v>1</v>
      </c>
      <c r="BA305">
        <v>54.99</v>
      </c>
      <c r="BB305">
        <v>15.5</v>
      </c>
      <c r="BC305">
        <v>11.56</v>
      </c>
      <c r="BD305" t="s">
        <v>3</v>
      </c>
      <c r="BE305" t="s">
        <v>3</v>
      </c>
      <c r="BF305" t="s">
        <v>3</v>
      </c>
      <c r="BG305" t="s">
        <v>3</v>
      </c>
      <c r="BH305">
        <v>0</v>
      </c>
      <c r="BI305">
        <v>1</v>
      </c>
      <c r="BJ305" t="s">
        <v>413</v>
      </c>
      <c r="BM305">
        <v>21</v>
      </c>
      <c r="BN305">
        <v>58973374</v>
      </c>
      <c r="BO305" t="s">
        <v>411</v>
      </c>
      <c r="BP305">
        <v>1</v>
      </c>
      <c r="BQ305">
        <v>30</v>
      </c>
      <c r="BR305">
        <v>0</v>
      </c>
      <c r="BS305">
        <v>54.99</v>
      </c>
      <c r="BT305">
        <v>1</v>
      </c>
      <c r="BU305">
        <v>1</v>
      </c>
      <c r="BV305">
        <v>1</v>
      </c>
      <c r="BW305">
        <v>1</v>
      </c>
      <c r="BX305">
        <v>1</v>
      </c>
      <c r="BY305" t="s">
        <v>3</v>
      </c>
      <c r="BZ305">
        <v>109</v>
      </c>
      <c r="CA305">
        <v>61</v>
      </c>
      <c r="CB305" t="s">
        <v>3</v>
      </c>
      <c r="CE305">
        <v>1566</v>
      </c>
      <c r="CF305">
        <v>0</v>
      </c>
      <c r="CG305">
        <v>0</v>
      </c>
      <c r="CM305">
        <v>0</v>
      </c>
      <c r="CN305" t="s">
        <v>625</v>
      </c>
      <c r="CO305">
        <v>0</v>
      </c>
      <c r="CP305">
        <f t="shared" si="340"/>
        <v>71459.659999999989</v>
      </c>
      <c r="CQ305">
        <f t="shared" si="341"/>
        <v>384.49</v>
      </c>
      <c r="CR305">
        <f>(ROUND((ROUND(((((ET305*1.25)*1.1))*AV305*1),2)*BB305),2)+ROUND((ROUND(((AE305-(((EU305*1.25)*1.1)))*AV305*1),2)*BS305),2))</f>
        <v>2046.62</v>
      </c>
      <c r="CS305">
        <f>(ROUND((ROUND(((((EU305*1.25)*1.1))*AV305*1),2)*BS305),2)+ROUND((ROUND(((AE305-(((EU305*1.25)*1.1)))*AV305*1),2)*BS305),2))</f>
        <v>981.02</v>
      </c>
      <c r="CT305">
        <f t="shared" si="342"/>
        <v>52538</v>
      </c>
      <c r="CU305">
        <f t="shared" si="343"/>
        <v>0</v>
      </c>
      <c r="CV305">
        <f t="shared" si="344"/>
        <v>74.641451499999988</v>
      </c>
      <c r="CW305">
        <f t="shared" si="345"/>
        <v>0</v>
      </c>
      <c r="CX305">
        <f t="shared" si="346"/>
        <v>0</v>
      </c>
      <c r="CY305">
        <f>(ROUND((((S305+ROUND((ROUND(((((EU305*1.25)*1.1))*AV305*1),2)*BS305),2))*AT305)/100),2)+ROUND(((ROUND((ROUND(((AE305-(((EU305*1.25)*1.1)))*AV305*1),2)*BS305),2)*AT305)/100),2))</f>
        <v>75515.47</v>
      </c>
      <c r="CZ305">
        <f>(ROUND((((S305+ROUND((ROUND(((((EU305*1.25)*1.1))*AV305*1),2)*BS305),2))*AU305)/100),2)+ROUND(((ROUND((ROUND(((AE305-(((EU305*1.25)*1.1)))*AV305*1),2)*BS305),2)*AU305)/100),2))</f>
        <v>42260.95</v>
      </c>
      <c r="DB305">
        <v>99</v>
      </c>
      <c r="DC305" t="s">
        <v>3</v>
      </c>
      <c r="DD305" t="s">
        <v>3</v>
      </c>
      <c r="DE305" t="s">
        <v>98</v>
      </c>
      <c r="DF305" t="s">
        <v>98</v>
      </c>
      <c r="DG305" t="s">
        <v>99</v>
      </c>
      <c r="DH305" t="s">
        <v>3</v>
      </c>
      <c r="DI305" t="s">
        <v>99</v>
      </c>
      <c r="DJ305" t="s">
        <v>98</v>
      </c>
      <c r="DK305" t="s">
        <v>3</v>
      </c>
      <c r="DL305" t="s">
        <v>3</v>
      </c>
      <c r="DM305" t="s">
        <v>3</v>
      </c>
      <c r="DN305">
        <v>0</v>
      </c>
      <c r="DO305">
        <v>0</v>
      </c>
      <c r="DP305">
        <v>1</v>
      </c>
      <c r="DQ305">
        <v>1</v>
      </c>
      <c r="DU305">
        <v>1013</v>
      </c>
      <c r="DV305" t="s">
        <v>371</v>
      </c>
      <c r="DW305" t="s">
        <v>371</v>
      </c>
      <c r="DX305">
        <v>1</v>
      </c>
      <c r="DZ305" t="s">
        <v>3</v>
      </c>
      <c r="EA305" t="s">
        <v>3</v>
      </c>
      <c r="EB305" t="s">
        <v>3</v>
      </c>
      <c r="EC305" t="s">
        <v>3</v>
      </c>
      <c r="EE305">
        <v>60088252</v>
      </c>
      <c r="EF305">
        <v>30</v>
      </c>
      <c r="EG305" t="s">
        <v>100</v>
      </c>
      <c r="EH305">
        <v>0</v>
      </c>
      <c r="EI305" t="s">
        <v>3</v>
      </c>
      <c r="EJ305">
        <v>1</v>
      </c>
      <c r="EK305">
        <v>21</v>
      </c>
      <c r="EL305" t="s">
        <v>356</v>
      </c>
      <c r="EM305" t="s">
        <v>357</v>
      </c>
      <c r="EO305" t="s">
        <v>103</v>
      </c>
      <c r="EQ305">
        <v>0</v>
      </c>
      <c r="ER305">
        <v>831.1</v>
      </c>
      <c r="ES305">
        <v>33.26</v>
      </c>
      <c r="ET305">
        <v>90</v>
      </c>
      <c r="EU305">
        <v>12.16</v>
      </c>
      <c r="EV305">
        <v>707.84</v>
      </c>
      <c r="EW305">
        <v>55.3</v>
      </c>
      <c r="EX305">
        <v>0</v>
      </c>
      <c r="EY305">
        <v>0</v>
      </c>
      <c r="FQ305">
        <v>0</v>
      </c>
      <c r="FR305">
        <v>0</v>
      </c>
      <c r="FS305">
        <v>0</v>
      </c>
      <c r="FX305">
        <v>109</v>
      </c>
      <c r="FY305">
        <v>61</v>
      </c>
      <c r="GA305" t="s">
        <v>3</v>
      </c>
      <c r="GD305">
        <v>1</v>
      </c>
      <c r="GF305">
        <v>-2138888817</v>
      </c>
      <c r="GG305">
        <v>2</v>
      </c>
      <c r="GH305">
        <v>1</v>
      </c>
      <c r="GI305">
        <v>2</v>
      </c>
      <c r="GJ305">
        <v>0</v>
      </c>
      <c r="GK305">
        <v>0</v>
      </c>
      <c r="GL305">
        <f t="shared" si="347"/>
        <v>0</v>
      </c>
      <c r="GM305">
        <f t="shared" si="348"/>
        <v>189736.22</v>
      </c>
      <c r="GN305">
        <f t="shared" si="349"/>
        <v>189736.22</v>
      </c>
      <c r="GO305">
        <f t="shared" si="350"/>
        <v>0</v>
      </c>
      <c r="GP305">
        <f t="shared" si="351"/>
        <v>0</v>
      </c>
      <c r="GR305">
        <v>0</v>
      </c>
      <c r="GS305">
        <v>3</v>
      </c>
      <c r="GT305">
        <v>0</v>
      </c>
      <c r="GU305" t="s">
        <v>3</v>
      </c>
      <c r="GV305">
        <f t="shared" si="352"/>
        <v>0</v>
      </c>
      <c r="GW305">
        <v>1</v>
      </c>
      <c r="GX305">
        <f t="shared" si="353"/>
        <v>0</v>
      </c>
      <c r="HA305">
        <v>0</v>
      </c>
      <c r="HB305">
        <v>0</v>
      </c>
      <c r="HC305">
        <f t="shared" si="354"/>
        <v>0</v>
      </c>
      <c r="HE305" t="s">
        <v>3</v>
      </c>
      <c r="HF305" t="s">
        <v>3</v>
      </c>
      <c r="HM305" t="s">
        <v>3</v>
      </c>
      <c r="HN305" t="s">
        <v>3</v>
      </c>
      <c r="HO305" t="s">
        <v>3</v>
      </c>
      <c r="HP305" t="s">
        <v>3</v>
      </c>
      <c r="HQ305" t="s">
        <v>3</v>
      </c>
      <c r="HS305">
        <v>0</v>
      </c>
      <c r="IK305">
        <v>0</v>
      </c>
    </row>
    <row r="306" spans="1:255" x14ac:dyDescent="0.2">
      <c r="A306" s="2">
        <v>18</v>
      </c>
      <c r="B306" s="2">
        <v>1</v>
      </c>
      <c r="C306" s="2">
        <v>434</v>
      </c>
      <c r="D306" s="2"/>
      <c r="E306" s="2" t="s">
        <v>414</v>
      </c>
      <c r="F306" s="2" t="s">
        <v>415</v>
      </c>
      <c r="G306" s="2" t="s">
        <v>416</v>
      </c>
      <c r="H306" s="2" t="s">
        <v>376</v>
      </c>
      <c r="I306" s="2">
        <f>I304*J306</f>
        <v>130</v>
      </c>
      <c r="J306" s="2">
        <v>100</v>
      </c>
      <c r="K306" s="2">
        <v>100</v>
      </c>
      <c r="L306" s="2"/>
      <c r="M306" s="2"/>
      <c r="N306" s="2"/>
      <c r="O306" s="2">
        <f t="shared" si="329"/>
        <v>5783.7</v>
      </c>
      <c r="P306" s="2">
        <f t="shared" si="330"/>
        <v>5783.7</v>
      </c>
      <c r="Q306" s="2">
        <f>(ROUND((ROUND(((ET306)*AV306*I306),2)*BB306),2)+ROUND((ROUND(((AE306-(EU306))*AV306*I306),2)*BS306),2))</f>
        <v>0</v>
      </c>
      <c r="R306" s="2">
        <f>(ROUND((ROUND(((EU306)*AV306*I306),2)*BS306),2)+ROUND((ROUND(((AE306-(EU306))*AV306*I306),2)*BS306),2))</f>
        <v>0</v>
      </c>
      <c r="S306" s="2">
        <f t="shared" si="331"/>
        <v>0</v>
      </c>
      <c r="T306" s="2">
        <f t="shared" si="332"/>
        <v>0</v>
      </c>
      <c r="U306" s="2">
        <f t="shared" si="333"/>
        <v>0</v>
      </c>
      <c r="V306" s="2">
        <f t="shared" si="334"/>
        <v>0</v>
      </c>
      <c r="W306" s="2">
        <f t="shared" si="335"/>
        <v>0</v>
      </c>
      <c r="X306" s="2">
        <f>(ROUND((((S306+ROUND((ROUND(((EU306)*AV306*I306),2)*BS306),2))*AT306)/100),2)+ROUND(((ROUND((ROUND(((AE306-(EU306))*AV306*I306),2)*BS306),2)*AT306)/100),2))</f>
        <v>0</v>
      </c>
      <c r="Y306" s="2">
        <f>(ROUND((((S306+ROUND((ROUND(((EU306)*AV306*I306),2)*BS306),2))*AU306)/100),2)+ROUND(((ROUND((ROUND(((AE306-(EU306))*AV306*I306),2)*BS306),2)*AU306)/100),2))</f>
        <v>0</v>
      </c>
      <c r="Z306" s="2"/>
      <c r="AA306" s="2">
        <v>60255014</v>
      </c>
      <c r="AB306" s="2">
        <f t="shared" si="336"/>
        <v>44.49</v>
      </c>
      <c r="AC306" s="2">
        <f t="shared" si="337"/>
        <v>44.49</v>
      </c>
      <c r="AD306" s="2">
        <f>ROUND((((ET306)-(EU306))+AE306),6)</f>
        <v>0</v>
      </c>
      <c r="AE306" s="2">
        <f>ROUND((EU306),6)</f>
        <v>0</v>
      </c>
      <c r="AF306" s="2">
        <f>ROUND((EV306),6)</f>
        <v>0</v>
      </c>
      <c r="AG306" s="2">
        <f t="shared" si="338"/>
        <v>0</v>
      </c>
      <c r="AH306" s="2">
        <f>(EW306)</f>
        <v>0</v>
      </c>
      <c r="AI306" s="2">
        <f>(EX306)</f>
        <v>0</v>
      </c>
      <c r="AJ306" s="2">
        <f t="shared" si="339"/>
        <v>0</v>
      </c>
      <c r="AK306" s="2">
        <v>44.49</v>
      </c>
      <c r="AL306" s="2">
        <v>44.49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109</v>
      </c>
      <c r="AU306" s="2">
        <v>61</v>
      </c>
      <c r="AV306" s="2">
        <v>1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1</v>
      </c>
      <c r="BJ306" s="2" t="s">
        <v>417</v>
      </c>
      <c r="BK306" s="2"/>
      <c r="BL306" s="2"/>
      <c r="BM306" s="2">
        <v>21</v>
      </c>
      <c r="BN306" s="2">
        <v>58973374</v>
      </c>
      <c r="BO306" s="2" t="s">
        <v>3</v>
      </c>
      <c r="BP306" s="2">
        <v>0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109</v>
      </c>
      <c r="CA306" s="2">
        <v>61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3</v>
      </c>
      <c r="CO306" s="2">
        <v>0</v>
      </c>
      <c r="CP306" s="2">
        <f t="shared" si="340"/>
        <v>5783.7</v>
      </c>
      <c r="CQ306" s="2">
        <f t="shared" si="341"/>
        <v>44.49</v>
      </c>
      <c r="CR306" s="2">
        <f>(ROUND((ROUND(((ET306)*AV306*1),2)*BB306),2)+ROUND((ROUND(((AE306-(EU306))*AV306*1),2)*BS306),2))</f>
        <v>0</v>
      </c>
      <c r="CS306" s="2">
        <f>(ROUND((ROUND(((EU306)*AV306*1),2)*BS306),2)+ROUND((ROUND(((AE306-(EU306))*AV306*1),2)*BS306),2))</f>
        <v>0</v>
      </c>
      <c r="CT306" s="2">
        <f t="shared" si="342"/>
        <v>0</v>
      </c>
      <c r="CU306" s="2">
        <f t="shared" si="343"/>
        <v>0</v>
      </c>
      <c r="CV306" s="2">
        <f t="shared" si="344"/>
        <v>0</v>
      </c>
      <c r="CW306" s="2">
        <f t="shared" si="345"/>
        <v>0</v>
      </c>
      <c r="CX306" s="2">
        <f t="shared" si="346"/>
        <v>0</v>
      </c>
      <c r="CY306" s="2">
        <f>(ROUND((((S306+ROUND((ROUND(((EU306)*AV306*1),2)*BS306),2))*AT306)/100),2)+ROUND(((ROUND((ROUND(((AE306-(EU306))*AV306*1),2)*BS306),2)*AT306)/100),2))</f>
        <v>0</v>
      </c>
      <c r="CZ306" s="2">
        <f>(ROUND((((S306+ROUND((ROUND(((EU306)*AV306*1),2)*BS306),2))*AU306)/100),2)+ROUND(((ROUND((ROUND(((AE306-(EU306))*AV306*1),2)*BS306),2)*AU306)/100),2))</f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1003</v>
      </c>
      <c r="DV306" s="2" t="s">
        <v>376</v>
      </c>
      <c r="DW306" s="2" t="s">
        <v>376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60088252</v>
      </c>
      <c r="EF306" s="2">
        <v>30</v>
      </c>
      <c r="EG306" s="2" t="s">
        <v>100</v>
      </c>
      <c r="EH306" s="2">
        <v>0</v>
      </c>
      <c r="EI306" s="2" t="s">
        <v>3</v>
      </c>
      <c r="EJ306" s="2">
        <v>1</v>
      </c>
      <c r="EK306" s="2">
        <v>21</v>
      </c>
      <c r="EL306" s="2" t="s">
        <v>356</v>
      </c>
      <c r="EM306" s="2" t="s">
        <v>357</v>
      </c>
      <c r="EN306" s="2"/>
      <c r="EO306" s="2" t="s">
        <v>3</v>
      </c>
      <c r="EP306" s="2"/>
      <c r="EQ306" s="2">
        <v>0</v>
      </c>
      <c r="ER306" s="2">
        <v>44.49</v>
      </c>
      <c r="ES306" s="2">
        <v>44.49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109</v>
      </c>
      <c r="FY306" s="2">
        <v>61</v>
      </c>
      <c r="FZ306" s="2"/>
      <c r="GA306" s="2" t="s">
        <v>3</v>
      </c>
      <c r="GB306" s="2"/>
      <c r="GC306" s="2"/>
      <c r="GD306" s="2">
        <v>1</v>
      </c>
      <c r="GE306" s="2"/>
      <c r="GF306" s="2">
        <v>1003589215</v>
      </c>
      <c r="GG306" s="2">
        <v>2</v>
      </c>
      <c r="GH306" s="2">
        <v>1</v>
      </c>
      <c r="GI306" s="2">
        <v>-2</v>
      </c>
      <c r="GJ306" s="2">
        <v>0</v>
      </c>
      <c r="GK306" s="2">
        <v>0</v>
      </c>
      <c r="GL306" s="2">
        <f t="shared" si="347"/>
        <v>0</v>
      </c>
      <c r="GM306" s="2">
        <f t="shared" si="348"/>
        <v>5783.7</v>
      </c>
      <c r="GN306" s="2">
        <f t="shared" si="349"/>
        <v>5783.7</v>
      </c>
      <c r="GO306" s="2">
        <f t="shared" si="350"/>
        <v>0</v>
      </c>
      <c r="GP306" s="2">
        <f t="shared" si="351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352"/>
        <v>0</v>
      </c>
      <c r="GW306" s="2">
        <v>1</v>
      </c>
      <c r="GX306" s="2">
        <f t="shared" si="353"/>
        <v>0</v>
      </c>
      <c r="GY306" s="2"/>
      <c r="GZ306" s="2"/>
      <c r="HA306" s="2">
        <v>0</v>
      </c>
      <c r="HB306" s="2">
        <v>0</v>
      </c>
      <c r="HC306" s="2">
        <f t="shared" si="354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>
        <v>18</v>
      </c>
      <c r="B307">
        <v>1</v>
      </c>
      <c r="C307">
        <v>445</v>
      </c>
      <c r="E307" t="s">
        <v>414</v>
      </c>
      <c r="F307" t="s">
        <v>415</v>
      </c>
      <c r="G307" t="s">
        <v>416</v>
      </c>
      <c r="H307" t="s">
        <v>376</v>
      </c>
      <c r="I307">
        <f>I305*J307</f>
        <v>130</v>
      </c>
      <c r="J307">
        <v>100</v>
      </c>
      <c r="K307">
        <v>100</v>
      </c>
      <c r="O307">
        <f t="shared" si="329"/>
        <v>118392.34</v>
      </c>
      <c r="P307">
        <f t="shared" si="330"/>
        <v>118392.34</v>
      </c>
      <c r="Q307">
        <f>(ROUND((ROUND(((ET307)*AV307*I307),2)*BB307),2)+ROUND((ROUND(((AE307-(EU307))*AV307*I307),2)*BS307),2))</f>
        <v>0</v>
      </c>
      <c r="R307">
        <f>(ROUND((ROUND(((EU307)*AV307*I307),2)*BS307),2)+ROUND((ROUND(((AE307-(EU307))*AV307*I307),2)*BS307),2))</f>
        <v>0</v>
      </c>
      <c r="S307">
        <f t="shared" si="331"/>
        <v>0</v>
      </c>
      <c r="T307">
        <f t="shared" si="332"/>
        <v>0</v>
      </c>
      <c r="U307">
        <f t="shared" si="333"/>
        <v>0</v>
      </c>
      <c r="V307">
        <f t="shared" si="334"/>
        <v>0</v>
      </c>
      <c r="W307">
        <f t="shared" si="335"/>
        <v>0</v>
      </c>
      <c r="X307">
        <f>(ROUND((((S307+ROUND((ROUND(((EU307)*AV307*I307),2)*BS307),2))*AT307)/100),2)+ROUND(((ROUND((ROUND(((AE307-(EU307))*AV307*I307),2)*BS307),2)*AT307)/100),2))</f>
        <v>0</v>
      </c>
      <c r="Y307">
        <f>(ROUND((((S307+ROUND((ROUND(((EU307)*AV307*I307),2)*BS307),2))*AU307)/100),2)+ROUND(((ROUND((ROUND(((AE307-(EU307))*AV307*I307),2)*BS307),2)*AU307)/100),2))</f>
        <v>0</v>
      </c>
      <c r="AA307">
        <v>60255011</v>
      </c>
      <c r="AB307">
        <f t="shared" si="336"/>
        <v>44.49</v>
      </c>
      <c r="AC307">
        <f t="shared" si="337"/>
        <v>44.49</v>
      </c>
      <c r="AD307">
        <f>ROUND((((ET307)-(EU307))+AE307),6)</f>
        <v>0</v>
      </c>
      <c r="AE307">
        <f>ROUND((EU307),6)</f>
        <v>0</v>
      </c>
      <c r="AF307">
        <f>ROUND((EV307),6)</f>
        <v>0</v>
      </c>
      <c r="AG307">
        <f t="shared" si="338"/>
        <v>0</v>
      </c>
      <c r="AH307">
        <f>(EW307)</f>
        <v>0</v>
      </c>
      <c r="AI307">
        <f>(EX307)</f>
        <v>0</v>
      </c>
      <c r="AJ307">
        <f t="shared" si="339"/>
        <v>0</v>
      </c>
      <c r="AK307">
        <v>44.49</v>
      </c>
      <c r="AL307">
        <v>44.49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109</v>
      </c>
      <c r="AU307">
        <v>61</v>
      </c>
      <c r="AV307">
        <v>1</v>
      </c>
      <c r="AW307">
        <v>1</v>
      </c>
      <c r="AZ307">
        <v>1</v>
      </c>
      <c r="BA307">
        <v>1</v>
      </c>
      <c r="BB307">
        <v>1</v>
      </c>
      <c r="BC307">
        <v>20.47</v>
      </c>
      <c r="BD307" t="s">
        <v>3</v>
      </c>
      <c r="BE307" t="s">
        <v>3</v>
      </c>
      <c r="BF307" t="s">
        <v>3</v>
      </c>
      <c r="BG307" t="s">
        <v>3</v>
      </c>
      <c r="BH307">
        <v>3</v>
      </c>
      <c r="BI307">
        <v>1</v>
      </c>
      <c r="BJ307" t="s">
        <v>417</v>
      </c>
      <c r="BM307">
        <v>21</v>
      </c>
      <c r="BN307">
        <v>58973374</v>
      </c>
      <c r="BO307" t="s">
        <v>415</v>
      </c>
      <c r="BP307">
        <v>1</v>
      </c>
      <c r="BQ307">
        <v>30</v>
      </c>
      <c r="BR307">
        <v>0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 t="s">
        <v>3</v>
      </c>
      <c r="BZ307">
        <v>109</v>
      </c>
      <c r="CA307">
        <v>61</v>
      </c>
      <c r="CB307" t="s">
        <v>3</v>
      </c>
      <c r="CE307">
        <v>1566</v>
      </c>
      <c r="CF307">
        <v>0</v>
      </c>
      <c r="CG307">
        <v>0</v>
      </c>
      <c r="CM307">
        <v>0</v>
      </c>
      <c r="CN307" t="s">
        <v>3</v>
      </c>
      <c r="CO307">
        <v>0</v>
      </c>
      <c r="CP307">
        <f t="shared" si="340"/>
        <v>118392.34</v>
      </c>
      <c r="CQ307">
        <f t="shared" si="341"/>
        <v>910.71</v>
      </c>
      <c r="CR307">
        <f>(ROUND((ROUND(((ET307)*AV307*1),2)*BB307),2)+ROUND((ROUND(((AE307-(EU307))*AV307*1),2)*BS307),2))</f>
        <v>0</v>
      </c>
      <c r="CS307">
        <f>(ROUND((ROUND(((EU307)*AV307*1),2)*BS307),2)+ROUND((ROUND(((AE307-(EU307))*AV307*1),2)*BS307),2))</f>
        <v>0</v>
      </c>
      <c r="CT307">
        <f t="shared" si="342"/>
        <v>0</v>
      </c>
      <c r="CU307">
        <f t="shared" si="343"/>
        <v>0</v>
      </c>
      <c r="CV307">
        <f t="shared" si="344"/>
        <v>0</v>
      </c>
      <c r="CW307">
        <f t="shared" si="345"/>
        <v>0</v>
      </c>
      <c r="CX307">
        <f t="shared" si="346"/>
        <v>0</v>
      </c>
      <c r="CY307">
        <f>(ROUND((((S307+ROUND((ROUND(((EU307)*AV307*1),2)*BS307),2))*AT307)/100),2)+ROUND(((ROUND((ROUND(((AE307-(EU307))*AV307*1),2)*BS307),2)*AT307)/100),2))</f>
        <v>0</v>
      </c>
      <c r="CZ307">
        <f>(ROUND((((S307+ROUND((ROUND(((EU307)*AV307*1),2)*BS307),2))*AU307)/100),2)+ROUND(((ROUND((ROUND(((AE307-(EU307))*AV307*1),2)*BS307),2)*AU307)/100),2))</f>
        <v>0</v>
      </c>
      <c r="DC307" t="s">
        <v>3</v>
      </c>
      <c r="DD307" t="s">
        <v>3</v>
      </c>
      <c r="DE307" t="s">
        <v>3</v>
      </c>
      <c r="DF307" t="s">
        <v>3</v>
      </c>
      <c r="DG307" t="s">
        <v>3</v>
      </c>
      <c r="DH307" t="s">
        <v>3</v>
      </c>
      <c r="DI307" t="s">
        <v>3</v>
      </c>
      <c r="DJ307" t="s">
        <v>3</v>
      </c>
      <c r="DK307" t="s">
        <v>3</v>
      </c>
      <c r="DL307" t="s">
        <v>3</v>
      </c>
      <c r="DM307" t="s">
        <v>3</v>
      </c>
      <c r="DN307">
        <v>0</v>
      </c>
      <c r="DO307">
        <v>0</v>
      </c>
      <c r="DP307">
        <v>1</v>
      </c>
      <c r="DQ307">
        <v>1</v>
      </c>
      <c r="DU307">
        <v>1003</v>
      </c>
      <c r="DV307" t="s">
        <v>376</v>
      </c>
      <c r="DW307" t="s">
        <v>376</v>
      </c>
      <c r="DX307">
        <v>1</v>
      </c>
      <c r="DZ307" t="s">
        <v>3</v>
      </c>
      <c r="EA307" t="s">
        <v>3</v>
      </c>
      <c r="EB307" t="s">
        <v>3</v>
      </c>
      <c r="EC307" t="s">
        <v>3</v>
      </c>
      <c r="EE307">
        <v>60088252</v>
      </c>
      <c r="EF307">
        <v>30</v>
      </c>
      <c r="EG307" t="s">
        <v>100</v>
      </c>
      <c r="EH307">
        <v>0</v>
      </c>
      <c r="EI307" t="s">
        <v>3</v>
      </c>
      <c r="EJ307">
        <v>1</v>
      </c>
      <c r="EK307">
        <v>21</v>
      </c>
      <c r="EL307" t="s">
        <v>356</v>
      </c>
      <c r="EM307" t="s">
        <v>357</v>
      </c>
      <c r="EO307" t="s">
        <v>3</v>
      </c>
      <c r="EQ307">
        <v>0</v>
      </c>
      <c r="ER307">
        <v>44.49</v>
      </c>
      <c r="ES307">
        <v>44.49</v>
      </c>
      <c r="ET307">
        <v>0</v>
      </c>
      <c r="EU307">
        <v>0</v>
      </c>
      <c r="EV307">
        <v>0</v>
      </c>
      <c r="EW307">
        <v>0</v>
      </c>
      <c r="EX307">
        <v>0</v>
      </c>
      <c r="FQ307">
        <v>0</v>
      </c>
      <c r="FR307">
        <v>0</v>
      </c>
      <c r="FS307">
        <v>0</v>
      </c>
      <c r="FX307">
        <v>109</v>
      </c>
      <c r="FY307">
        <v>61</v>
      </c>
      <c r="GA307" t="s">
        <v>3</v>
      </c>
      <c r="GD307">
        <v>1</v>
      </c>
      <c r="GF307">
        <v>1003589215</v>
      </c>
      <c r="GG307">
        <v>2</v>
      </c>
      <c r="GH307">
        <v>1</v>
      </c>
      <c r="GI307">
        <v>2</v>
      </c>
      <c r="GJ307">
        <v>0</v>
      </c>
      <c r="GK307">
        <v>0</v>
      </c>
      <c r="GL307">
        <f t="shared" si="347"/>
        <v>0</v>
      </c>
      <c r="GM307">
        <f t="shared" si="348"/>
        <v>118392.34</v>
      </c>
      <c r="GN307">
        <f t="shared" si="349"/>
        <v>118392.34</v>
      </c>
      <c r="GO307">
        <f t="shared" si="350"/>
        <v>0</v>
      </c>
      <c r="GP307">
        <f t="shared" si="351"/>
        <v>0</v>
      </c>
      <c r="GR307">
        <v>0</v>
      </c>
      <c r="GS307">
        <v>3</v>
      </c>
      <c r="GT307">
        <v>0</v>
      </c>
      <c r="GU307" t="s">
        <v>3</v>
      </c>
      <c r="GV307">
        <f t="shared" si="352"/>
        <v>0</v>
      </c>
      <c r="GW307">
        <v>1</v>
      </c>
      <c r="GX307">
        <f t="shared" si="353"/>
        <v>0</v>
      </c>
      <c r="HA307">
        <v>0</v>
      </c>
      <c r="HB307">
        <v>0</v>
      </c>
      <c r="HC307">
        <f t="shared" si="354"/>
        <v>0</v>
      </c>
      <c r="HE307" t="s">
        <v>3</v>
      </c>
      <c r="HF307" t="s">
        <v>3</v>
      </c>
      <c r="HM307" t="s">
        <v>3</v>
      </c>
      <c r="HN307" t="s">
        <v>3</v>
      </c>
      <c r="HO307" t="s">
        <v>3</v>
      </c>
      <c r="HP307" t="s">
        <v>3</v>
      </c>
      <c r="HQ307" t="s">
        <v>3</v>
      </c>
      <c r="HS307">
        <v>0</v>
      </c>
      <c r="IK307">
        <v>0</v>
      </c>
    </row>
    <row r="308" spans="1:255" x14ac:dyDescent="0.2">
      <c r="A308" s="2">
        <v>17</v>
      </c>
      <c r="B308" s="2">
        <v>1</v>
      </c>
      <c r="C308" s="2">
        <f>ROW(SmtRes!A457)</f>
        <v>457</v>
      </c>
      <c r="D308" s="2">
        <f>ROW(EtalonRes!A510)</f>
        <v>510</v>
      </c>
      <c r="E308" s="2" t="s">
        <v>418</v>
      </c>
      <c r="F308" s="2" t="s">
        <v>419</v>
      </c>
      <c r="G308" s="2" t="s">
        <v>420</v>
      </c>
      <c r="H308" s="2" t="s">
        <v>371</v>
      </c>
      <c r="I308" s="2">
        <f>ROUND(20/100,9)</f>
        <v>0.2</v>
      </c>
      <c r="J308" s="2">
        <v>0</v>
      </c>
      <c r="K308" s="2">
        <f>ROUND(20/100,9)</f>
        <v>0.2</v>
      </c>
      <c r="L308" s="2"/>
      <c r="M308" s="2"/>
      <c r="N308" s="2"/>
      <c r="O308" s="2">
        <f t="shared" si="329"/>
        <v>263.7</v>
      </c>
      <c r="P308" s="2">
        <f t="shared" si="330"/>
        <v>9.34</v>
      </c>
      <c r="Q308" s="2">
        <f>(ROUND((ROUND(((((ET308*1.25)*1.1))*AV308*I308),2)*BB308),2)+ROUND((ROUND(((AE308-(((EU308*1.25)*1.1)))*AV308*I308),2)*BS308),2))</f>
        <v>30.88</v>
      </c>
      <c r="R308" s="2">
        <f>(ROUND((ROUND(((((EU308*1.25)*1.1))*AV308*I308),2)*BS308),2)+ROUND((ROUND(((AE308-(((EU308*1.25)*1.1)))*AV308*I308),2)*BS308),2))</f>
        <v>4.1399999999999997</v>
      </c>
      <c r="S308" s="2">
        <f t="shared" si="331"/>
        <v>223.48</v>
      </c>
      <c r="T308" s="2">
        <f t="shared" si="332"/>
        <v>0</v>
      </c>
      <c r="U308" s="2">
        <f t="shared" si="333"/>
        <v>17.708785599999999</v>
      </c>
      <c r="V308" s="2">
        <f t="shared" si="334"/>
        <v>0</v>
      </c>
      <c r="W308" s="2">
        <f t="shared" si="335"/>
        <v>0</v>
      </c>
      <c r="X308" s="2">
        <f>(ROUND((((S308+ROUND((ROUND(((((EU308*1.25)*1.1))*AV308*I308),2)*BS308),2))*AT308)/100),2)+ROUND(((ROUND((ROUND(((AE308-(((EU308*1.25)*1.1)))*AV308*I308),2)*BS308),2)*AT308)/100),2))</f>
        <v>248.11</v>
      </c>
      <c r="Y308" s="2">
        <f>(ROUND((((S308+ROUND((ROUND(((((EU308*1.25)*1.1))*AV308*I308),2)*BS308),2))*AU308)/100),2)+ROUND(((ROUND((ROUND(((AE308-(((EU308*1.25)*1.1)))*AV308*I308),2)*BS308),2)*AU308)/100),2))</f>
        <v>138.85</v>
      </c>
      <c r="Z308" s="2"/>
      <c r="AA308" s="2">
        <v>60255014</v>
      </c>
      <c r="AB308" s="2">
        <f t="shared" si="336"/>
        <v>1238.6742999999999</v>
      </c>
      <c r="AC308" s="2">
        <f t="shared" si="337"/>
        <v>46.7</v>
      </c>
      <c r="AD308" s="2">
        <f>ROUND((((((ET308*1.25)*1.1))-(((EU308*1.25)*1.1)))+AE308),6)</f>
        <v>144.71875</v>
      </c>
      <c r="AE308" s="2">
        <f>ROUND((((EU308*1.25)*1.1)),6)</f>
        <v>19.387499999999999</v>
      </c>
      <c r="AF308" s="2">
        <f>ROUND((((EV308*1.15)*1.1)),6)</f>
        <v>1047.2555500000001</v>
      </c>
      <c r="AG308" s="2">
        <f t="shared" si="338"/>
        <v>0</v>
      </c>
      <c r="AH308" s="2">
        <f>(((EW308*1.15)*1.1))</f>
        <v>82.983999999999995</v>
      </c>
      <c r="AI308" s="2">
        <f>(((EX308*1.25)*1.1))</f>
        <v>0</v>
      </c>
      <c r="AJ308" s="2">
        <f t="shared" si="339"/>
        <v>0</v>
      </c>
      <c r="AK308" s="2">
        <v>979.82</v>
      </c>
      <c r="AL308" s="2">
        <v>46.7</v>
      </c>
      <c r="AM308" s="2">
        <v>105.25</v>
      </c>
      <c r="AN308" s="2">
        <v>14.1</v>
      </c>
      <c r="AO308" s="2">
        <v>827.87</v>
      </c>
      <c r="AP308" s="2">
        <v>0</v>
      </c>
      <c r="AQ308" s="2">
        <v>65.599999999999994</v>
      </c>
      <c r="AR308" s="2">
        <v>0</v>
      </c>
      <c r="AS308" s="2">
        <v>0</v>
      </c>
      <c r="AT308" s="2">
        <v>109</v>
      </c>
      <c r="AU308" s="2">
        <v>61</v>
      </c>
      <c r="AV308" s="2">
        <v>1.0669999999999999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0</v>
      </c>
      <c r="BI308" s="2">
        <v>1</v>
      </c>
      <c r="BJ308" s="2" t="s">
        <v>421</v>
      </c>
      <c r="BK308" s="2"/>
      <c r="BL308" s="2"/>
      <c r="BM308" s="2">
        <v>21</v>
      </c>
      <c r="BN308" s="2">
        <v>58973374</v>
      </c>
      <c r="BO308" s="2" t="s">
        <v>419</v>
      </c>
      <c r="BP308" s="2">
        <v>1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109</v>
      </c>
      <c r="CA308" s="2">
        <v>61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625</v>
      </c>
      <c r="CO308" s="2">
        <v>0</v>
      </c>
      <c r="CP308" s="2">
        <f t="shared" si="340"/>
        <v>263.7</v>
      </c>
      <c r="CQ308" s="2">
        <f t="shared" si="341"/>
        <v>46.7</v>
      </c>
      <c r="CR308" s="2">
        <f>(ROUND((ROUND(((((ET308*1.25)*1.1))*AV308*1),2)*BB308),2)+ROUND((ROUND(((AE308-(((EU308*1.25)*1.1)))*AV308*1),2)*BS308),2))</f>
        <v>154.41</v>
      </c>
      <c r="CS308" s="2">
        <f>(ROUND((ROUND(((((EU308*1.25)*1.1))*AV308*1),2)*BS308),2)+ROUND((ROUND(((AE308-(((EU308*1.25)*1.1)))*AV308*1),2)*BS308),2))</f>
        <v>20.69</v>
      </c>
      <c r="CT308" s="2">
        <f t="shared" si="342"/>
        <v>1117.42</v>
      </c>
      <c r="CU308" s="2">
        <f t="shared" si="343"/>
        <v>0</v>
      </c>
      <c r="CV308" s="2">
        <f t="shared" si="344"/>
        <v>88.543927999999994</v>
      </c>
      <c r="CW308" s="2">
        <f t="shared" si="345"/>
        <v>0</v>
      </c>
      <c r="CX308" s="2">
        <f t="shared" si="346"/>
        <v>0</v>
      </c>
      <c r="CY308" s="2">
        <f>(ROUND((((S308+ROUND((ROUND(((((EU308*1.25)*1.1))*AV308*1),2)*BS308),2))*AT308)/100),2)+ROUND(((ROUND((ROUND(((AE308-(((EU308*1.25)*1.1)))*AV308*1),2)*BS308),2)*AT308)/100),2))</f>
        <v>266.14999999999998</v>
      </c>
      <c r="CZ308" s="2">
        <f>(ROUND((((S308+ROUND((ROUND(((((EU308*1.25)*1.1))*AV308*1),2)*BS308),2))*AU308)/100),2)+ROUND(((ROUND((ROUND(((AE308-(((EU308*1.25)*1.1)))*AV308*1),2)*BS308),2)*AU308)/100),2))</f>
        <v>148.94</v>
      </c>
      <c r="DA308" s="2"/>
      <c r="DB308" s="2">
        <v>101</v>
      </c>
      <c r="DC308" s="2" t="s">
        <v>3</v>
      </c>
      <c r="DD308" s="2" t="s">
        <v>3</v>
      </c>
      <c r="DE308" s="2" t="s">
        <v>98</v>
      </c>
      <c r="DF308" s="2" t="s">
        <v>98</v>
      </c>
      <c r="DG308" s="2" t="s">
        <v>99</v>
      </c>
      <c r="DH308" s="2" t="s">
        <v>3</v>
      </c>
      <c r="DI308" s="2" t="s">
        <v>99</v>
      </c>
      <c r="DJ308" s="2" t="s">
        <v>98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1013</v>
      </c>
      <c r="DV308" s="2" t="s">
        <v>371</v>
      </c>
      <c r="DW308" s="2" t="s">
        <v>371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60088252</v>
      </c>
      <c r="EF308" s="2">
        <v>30</v>
      </c>
      <c r="EG308" s="2" t="s">
        <v>100</v>
      </c>
      <c r="EH308" s="2">
        <v>0</v>
      </c>
      <c r="EI308" s="2" t="s">
        <v>3</v>
      </c>
      <c r="EJ308" s="2">
        <v>1</v>
      </c>
      <c r="EK308" s="2">
        <v>21</v>
      </c>
      <c r="EL308" s="2" t="s">
        <v>356</v>
      </c>
      <c r="EM308" s="2" t="s">
        <v>357</v>
      </c>
      <c r="EN308" s="2"/>
      <c r="EO308" s="2" t="s">
        <v>103</v>
      </c>
      <c r="EP308" s="2"/>
      <c r="EQ308" s="2">
        <v>0</v>
      </c>
      <c r="ER308" s="2">
        <v>979.82</v>
      </c>
      <c r="ES308" s="2">
        <v>46.7</v>
      </c>
      <c r="ET308" s="2">
        <v>105.25</v>
      </c>
      <c r="EU308" s="2">
        <v>14.1</v>
      </c>
      <c r="EV308" s="2">
        <v>827.87</v>
      </c>
      <c r="EW308" s="2">
        <v>65.599999999999994</v>
      </c>
      <c r="EX308" s="2">
        <v>0</v>
      </c>
      <c r="EY308" s="2">
        <v>0</v>
      </c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109</v>
      </c>
      <c r="FY308" s="2">
        <v>61</v>
      </c>
      <c r="FZ308" s="2"/>
      <c r="GA308" s="2" t="s">
        <v>3</v>
      </c>
      <c r="GB308" s="2"/>
      <c r="GC308" s="2"/>
      <c r="GD308" s="2">
        <v>1</v>
      </c>
      <c r="GE308" s="2"/>
      <c r="GF308" s="2">
        <v>207262791</v>
      </c>
      <c r="GG308" s="2">
        <v>2</v>
      </c>
      <c r="GH308" s="2">
        <v>1</v>
      </c>
      <c r="GI308" s="2">
        <v>2</v>
      </c>
      <c r="GJ308" s="2">
        <v>0</v>
      </c>
      <c r="GK308" s="2">
        <v>0</v>
      </c>
      <c r="GL308" s="2">
        <f t="shared" si="347"/>
        <v>0</v>
      </c>
      <c r="GM308" s="2">
        <f t="shared" si="348"/>
        <v>650.66</v>
      </c>
      <c r="GN308" s="2">
        <f t="shared" si="349"/>
        <v>650.66</v>
      </c>
      <c r="GO308" s="2">
        <f t="shared" si="350"/>
        <v>0</v>
      </c>
      <c r="GP308" s="2">
        <f t="shared" si="351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352"/>
        <v>0</v>
      </c>
      <c r="GW308" s="2">
        <v>1</v>
      </c>
      <c r="GX308" s="2">
        <f t="shared" si="353"/>
        <v>0</v>
      </c>
      <c r="GY308" s="2"/>
      <c r="GZ308" s="2"/>
      <c r="HA308" s="2">
        <v>0</v>
      </c>
      <c r="HB308" s="2">
        <v>0</v>
      </c>
      <c r="HC308" s="2">
        <f t="shared" si="354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>
        <v>17</v>
      </c>
      <c r="B309">
        <v>1</v>
      </c>
      <c r="C309">
        <f>ROW(SmtRes!A468)</f>
        <v>468</v>
      </c>
      <c r="D309">
        <f>ROW(EtalonRes!A522)</f>
        <v>522</v>
      </c>
      <c r="E309" t="s">
        <v>418</v>
      </c>
      <c r="F309" t="s">
        <v>419</v>
      </c>
      <c r="G309" t="s">
        <v>420</v>
      </c>
      <c r="H309" t="s">
        <v>371</v>
      </c>
      <c r="I309">
        <f>ROUND(20/100,9)</f>
        <v>0.2</v>
      </c>
      <c r="J309">
        <v>0</v>
      </c>
      <c r="K309">
        <f>ROUND(20/100,9)</f>
        <v>0.2</v>
      </c>
      <c r="O309">
        <f t="shared" si="329"/>
        <v>12870.54</v>
      </c>
      <c r="P309">
        <f t="shared" si="330"/>
        <v>104.89</v>
      </c>
      <c r="Q309">
        <f>(ROUND((ROUND(((((ET309*1.25)*1.1))*AV309*I309),2)*BB309),2)+ROUND((ROUND(((AE309-(((EU309*1.25)*1.1)))*AV309*I309),2)*BS309),2))</f>
        <v>476.48</v>
      </c>
      <c r="R309">
        <f>(ROUND((ROUND(((((EU309*1.25)*1.1))*AV309*I309),2)*BS309),2)+ROUND((ROUND(((AE309-(((EU309*1.25)*1.1)))*AV309*I309),2)*BS309),2))</f>
        <v>227.66</v>
      </c>
      <c r="S309">
        <f t="shared" si="331"/>
        <v>12289.17</v>
      </c>
      <c r="T309">
        <f t="shared" si="332"/>
        <v>0</v>
      </c>
      <c r="U309">
        <f t="shared" si="333"/>
        <v>17.708785599999999</v>
      </c>
      <c r="V309">
        <f t="shared" si="334"/>
        <v>0</v>
      </c>
      <c r="W309">
        <f t="shared" si="335"/>
        <v>0</v>
      </c>
      <c r="X309">
        <f>(ROUND((((S309+ROUND((ROUND(((((EU309*1.25)*1.1))*AV309*I309),2)*BS309),2))*AT309)/100),2)+ROUND(((ROUND((ROUND(((AE309-(((EU309*1.25)*1.1)))*AV309*I309),2)*BS309),2)*AT309)/100),2))</f>
        <v>13643.34</v>
      </c>
      <c r="Y309">
        <f>(ROUND((((S309+ROUND((ROUND(((((EU309*1.25)*1.1))*AV309*I309),2)*BS309),2))*AU309)/100),2)+ROUND(((ROUND((ROUND(((AE309-(((EU309*1.25)*1.1)))*AV309*I309),2)*BS309),2)*AU309)/100),2))</f>
        <v>7635.27</v>
      </c>
      <c r="AA309">
        <v>60255011</v>
      </c>
      <c r="AB309">
        <f t="shared" si="336"/>
        <v>1238.6742999999999</v>
      </c>
      <c r="AC309">
        <f t="shared" si="337"/>
        <v>46.7</v>
      </c>
      <c r="AD309">
        <f>ROUND((((((ET309*1.25)*1.1))-(((EU309*1.25)*1.1)))+AE309),6)</f>
        <v>144.71875</v>
      </c>
      <c r="AE309">
        <f>ROUND((((EU309*1.25)*1.1)),6)</f>
        <v>19.387499999999999</v>
      </c>
      <c r="AF309">
        <f>ROUND((((EV309*1.15)*1.1)),6)</f>
        <v>1047.2555500000001</v>
      </c>
      <c r="AG309">
        <f t="shared" si="338"/>
        <v>0</v>
      </c>
      <c r="AH309">
        <f>(((EW309*1.15)*1.1))</f>
        <v>82.983999999999995</v>
      </c>
      <c r="AI309">
        <f>(((EX309*1.25)*1.1))</f>
        <v>0</v>
      </c>
      <c r="AJ309">
        <f t="shared" si="339"/>
        <v>0</v>
      </c>
      <c r="AK309">
        <v>979.82</v>
      </c>
      <c r="AL309">
        <v>46.7</v>
      </c>
      <c r="AM309">
        <v>105.25</v>
      </c>
      <c r="AN309">
        <v>14.1</v>
      </c>
      <c r="AO309">
        <v>827.87</v>
      </c>
      <c r="AP309">
        <v>0</v>
      </c>
      <c r="AQ309">
        <v>65.599999999999994</v>
      </c>
      <c r="AR309">
        <v>0</v>
      </c>
      <c r="AS309">
        <v>0</v>
      </c>
      <c r="AT309">
        <v>109</v>
      </c>
      <c r="AU309">
        <v>61</v>
      </c>
      <c r="AV309">
        <v>1.0669999999999999</v>
      </c>
      <c r="AW309">
        <v>1</v>
      </c>
      <c r="AZ309">
        <v>1</v>
      </c>
      <c r="BA309">
        <v>54.99</v>
      </c>
      <c r="BB309">
        <v>15.43</v>
      </c>
      <c r="BC309">
        <v>11.23</v>
      </c>
      <c r="BD309" t="s">
        <v>3</v>
      </c>
      <c r="BE309" t="s">
        <v>3</v>
      </c>
      <c r="BF309" t="s">
        <v>3</v>
      </c>
      <c r="BG309" t="s">
        <v>3</v>
      </c>
      <c r="BH309">
        <v>0</v>
      </c>
      <c r="BI309">
        <v>1</v>
      </c>
      <c r="BJ309" t="s">
        <v>421</v>
      </c>
      <c r="BM309">
        <v>21</v>
      </c>
      <c r="BN309">
        <v>58973374</v>
      </c>
      <c r="BO309" t="s">
        <v>419</v>
      </c>
      <c r="BP309">
        <v>1</v>
      </c>
      <c r="BQ309">
        <v>30</v>
      </c>
      <c r="BR309">
        <v>0</v>
      </c>
      <c r="BS309">
        <v>54.99</v>
      </c>
      <c r="BT309">
        <v>1</v>
      </c>
      <c r="BU309">
        <v>1</v>
      </c>
      <c r="BV309">
        <v>1</v>
      </c>
      <c r="BW309">
        <v>1</v>
      </c>
      <c r="BX309">
        <v>1</v>
      </c>
      <c r="BY309" t="s">
        <v>3</v>
      </c>
      <c r="BZ309">
        <v>109</v>
      </c>
      <c r="CA309">
        <v>61</v>
      </c>
      <c r="CB309" t="s">
        <v>3</v>
      </c>
      <c r="CE309">
        <v>1566</v>
      </c>
      <c r="CF309">
        <v>0</v>
      </c>
      <c r="CG309">
        <v>0</v>
      </c>
      <c r="CM309">
        <v>0</v>
      </c>
      <c r="CN309" t="s">
        <v>625</v>
      </c>
      <c r="CO309">
        <v>0</v>
      </c>
      <c r="CP309">
        <f t="shared" si="340"/>
        <v>12870.54</v>
      </c>
      <c r="CQ309">
        <f t="shared" si="341"/>
        <v>524.44000000000005</v>
      </c>
      <c r="CR309">
        <f>(ROUND((ROUND(((((ET309*1.25)*1.1))*AV309*1),2)*BB309),2)+ROUND((ROUND(((AE309-(((EU309*1.25)*1.1)))*AV309*1),2)*BS309),2))</f>
        <v>2382.5500000000002</v>
      </c>
      <c r="CS309">
        <f>(ROUND((ROUND(((((EU309*1.25)*1.1))*AV309*1),2)*BS309),2)+ROUND((ROUND(((AE309-(((EU309*1.25)*1.1)))*AV309*1),2)*BS309),2))</f>
        <v>1137.74</v>
      </c>
      <c r="CT309">
        <f t="shared" si="342"/>
        <v>61446.93</v>
      </c>
      <c r="CU309">
        <f t="shared" si="343"/>
        <v>0</v>
      </c>
      <c r="CV309">
        <f t="shared" si="344"/>
        <v>88.543927999999994</v>
      </c>
      <c r="CW309">
        <f t="shared" si="345"/>
        <v>0</v>
      </c>
      <c r="CX309">
        <f t="shared" si="346"/>
        <v>0</v>
      </c>
      <c r="CY309">
        <f>(ROUND((((S309+ROUND((ROUND(((((EU309*1.25)*1.1))*AV309*1),2)*BS309),2))*AT309)/100),2)+ROUND(((ROUND((ROUND(((AE309-(((EU309*1.25)*1.1)))*AV309*1),2)*BS309),2)*AT309)/100),2))</f>
        <v>14635.33</v>
      </c>
      <c r="CZ309">
        <f>(ROUND((((S309+ROUND((ROUND(((((EU309*1.25)*1.1))*AV309*1),2)*BS309),2))*AU309)/100),2)+ROUND(((ROUND((ROUND(((AE309-(((EU309*1.25)*1.1)))*AV309*1),2)*BS309),2)*AU309)/100),2))</f>
        <v>8190.42</v>
      </c>
      <c r="DB309">
        <v>103</v>
      </c>
      <c r="DC309" t="s">
        <v>3</v>
      </c>
      <c r="DD309" t="s">
        <v>3</v>
      </c>
      <c r="DE309" t="s">
        <v>98</v>
      </c>
      <c r="DF309" t="s">
        <v>98</v>
      </c>
      <c r="DG309" t="s">
        <v>99</v>
      </c>
      <c r="DH309" t="s">
        <v>3</v>
      </c>
      <c r="DI309" t="s">
        <v>99</v>
      </c>
      <c r="DJ309" t="s">
        <v>98</v>
      </c>
      <c r="DK309" t="s">
        <v>3</v>
      </c>
      <c r="DL309" t="s">
        <v>3</v>
      </c>
      <c r="DM309" t="s">
        <v>3</v>
      </c>
      <c r="DN309">
        <v>0</v>
      </c>
      <c r="DO309">
        <v>0</v>
      </c>
      <c r="DP309">
        <v>1</v>
      </c>
      <c r="DQ309">
        <v>1</v>
      </c>
      <c r="DU309">
        <v>1013</v>
      </c>
      <c r="DV309" t="s">
        <v>371</v>
      </c>
      <c r="DW309" t="s">
        <v>371</v>
      </c>
      <c r="DX309">
        <v>1</v>
      </c>
      <c r="DZ309" t="s">
        <v>3</v>
      </c>
      <c r="EA309" t="s">
        <v>3</v>
      </c>
      <c r="EB309" t="s">
        <v>3</v>
      </c>
      <c r="EC309" t="s">
        <v>3</v>
      </c>
      <c r="EE309">
        <v>60088252</v>
      </c>
      <c r="EF309">
        <v>30</v>
      </c>
      <c r="EG309" t="s">
        <v>100</v>
      </c>
      <c r="EH309">
        <v>0</v>
      </c>
      <c r="EI309" t="s">
        <v>3</v>
      </c>
      <c r="EJ309">
        <v>1</v>
      </c>
      <c r="EK309">
        <v>21</v>
      </c>
      <c r="EL309" t="s">
        <v>356</v>
      </c>
      <c r="EM309" t="s">
        <v>357</v>
      </c>
      <c r="EO309" t="s">
        <v>103</v>
      </c>
      <c r="EQ309">
        <v>0</v>
      </c>
      <c r="ER309">
        <v>979.82</v>
      </c>
      <c r="ES309">
        <v>46.7</v>
      </c>
      <c r="ET309">
        <v>105.25</v>
      </c>
      <c r="EU309">
        <v>14.1</v>
      </c>
      <c r="EV309">
        <v>827.87</v>
      </c>
      <c r="EW309">
        <v>65.599999999999994</v>
      </c>
      <c r="EX309">
        <v>0</v>
      </c>
      <c r="EY309">
        <v>0</v>
      </c>
      <c r="FQ309">
        <v>0</v>
      </c>
      <c r="FR309">
        <v>0</v>
      </c>
      <c r="FS309">
        <v>0</v>
      </c>
      <c r="FX309">
        <v>109</v>
      </c>
      <c r="FY309">
        <v>61</v>
      </c>
      <c r="GA309" t="s">
        <v>3</v>
      </c>
      <c r="GD309">
        <v>1</v>
      </c>
      <c r="GF309">
        <v>207262791</v>
      </c>
      <c r="GG309">
        <v>2</v>
      </c>
      <c r="GH309">
        <v>1</v>
      </c>
      <c r="GI309">
        <v>2</v>
      </c>
      <c r="GJ309">
        <v>0</v>
      </c>
      <c r="GK309">
        <v>0</v>
      </c>
      <c r="GL309">
        <f t="shared" si="347"/>
        <v>0</v>
      </c>
      <c r="GM309">
        <f t="shared" si="348"/>
        <v>34149.15</v>
      </c>
      <c r="GN309">
        <f t="shared" si="349"/>
        <v>34149.15</v>
      </c>
      <c r="GO309">
        <f t="shared" si="350"/>
        <v>0</v>
      </c>
      <c r="GP309">
        <f t="shared" si="351"/>
        <v>0</v>
      </c>
      <c r="GR309">
        <v>0</v>
      </c>
      <c r="GS309">
        <v>3</v>
      </c>
      <c r="GT309">
        <v>0</v>
      </c>
      <c r="GU309" t="s">
        <v>3</v>
      </c>
      <c r="GV309">
        <f t="shared" si="352"/>
        <v>0</v>
      </c>
      <c r="GW309">
        <v>1</v>
      </c>
      <c r="GX309">
        <f t="shared" si="353"/>
        <v>0</v>
      </c>
      <c r="HA309">
        <v>0</v>
      </c>
      <c r="HB309">
        <v>0</v>
      </c>
      <c r="HC309">
        <f t="shared" si="354"/>
        <v>0</v>
      </c>
      <c r="HE309" t="s">
        <v>3</v>
      </c>
      <c r="HF309" t="s">
        <v>3</v>
      </c>
      <c r="HM309" t="s">
        <v>3</v>
      </c>
      <c r="HN309" t="s">
        <v>3</v>
      </c>
      <c r="HO309" t="s">
        <v>3</v>
      </c>
      <c r="HP309" t="s">
        <v>3</v>
      </c>
      <c r="HQ309" t="s">
        <v>3</v>
      </c>
      <c r="HS309">
        <v>0</v>
      </c>
      <c r="IK309">
        <v>0</v>
      </c>
    </row>
    <row r="310" spans="1:255" x14ac:dyDescent="0.2">
      <c r="A310" s="2">
        <v>18</v>
      </c>
      <c r="B310" s="2">
        <v>1</v>
      </c>
      <c r="C310" s="2">
        <v>456</v>
      </c>
      <c r="D310" s="2"/>
      <c r="E310" s="2" t="s">
        <v>422</v>
      </c>
      <c r="F310" s="2" t="s">
        <v>423</v>
      </c>
      <c r="G310" s="2" t="s">
        <v>424</v>
      </c>
      <c r="H310" s="2" t="s">
        <v>376</v>
      </c>
      <c r="I310" s="2">
        <f>I308*J310</f>
        <v>20</v>
      </c>
      <c r="J310" s="2">
        <v>100</v>
      </c>
      <c r="K310" s="2">
        <v>100</v>
      </c>
      <c r="L310" s="2"/>
      <c r="M310" s="2"/>
      <c r="N310" s="2"/>
      <c r="O310" s="2">
        <f t="shared" si="329"/>
        <v>1580.8</v>
      </c>
      <c r="P310" s="2">
        <f t="shared" si="330"/>
        <v>1580.8</v>
      </c>
      <c r="Q310" s="2">
        <f>(ROUND((ROUND(((ET310)*AV310*I310),2)*BB310),2)+ROUND((ROUND(((AE310-(EU310))*AV310*I310),2)*BS310),2))</f>
        <v>0</v>
      </c>
      <c r="R310" s="2">
        <f>(ROUND((ROUND(((EU310)*AV310*I310),2)*BS310),2)+ROUND((ROUND(((AE310-(EU310))*AV310*I310),2)*BS310),2))</f>
        <v>0</v>
      </c>
      <c r="S310" s="2">
        <f t="shared" si="331"/>
        <v>0</v>
      </c>
      <c r="T310" s="2">
        <f t="shared" si="332"/>
        <v>0</v>
      </c>
      <c r="U310" s="2">
        <f t="shared" si="333"/>
        <v>0</v>
      </c>
      <c r="V310" s="2">
        <f t="shared" si="334"/>
        <v>0</v>
      </c>
      <c r="W310" s="2">
        <f t="shared" si="335"/>
        <v>0</v>
      </c>
      <c r="X310" s="2">
        <f>(ROUND((((S310+ROUND((ROUND(((EU310)*AV310*I310),2)*BS310),2))*AT310)/100),2)+ROUND(((ROUND((ROUND(((AE310-(EU310))*AV310*I310),2)*BS310),2)*AT310)/100),2))</f>
        <v>0</v>
      </c>
      <c r="Y310" s="2">
        <f>(ROUND((((S310+ROUND((ROUND(((EU310)*AV310*I310),2)*BS310),2))*AU310)/100),2)+ROUND(((ROUND((ROUND(((AE310-(EU310))*AV310*I310),2)*BS310),2)*AU310)/100),2))</f>
        <v>0</v>
      </c>
      <c r="Z310" s="2"/>
      <c r="AA310" s="2">
        <v>60255014</v>
      </c>
      <c r="AB310" s="2">
        <f t="shared" si="336"/>
        <v>79.040000000000006</v>
      </c>
      <c r="AC310" s="2">
        <f t="shared" si="337"/>
        <v>79.040000000000006</v>
      </c>
      <c r="AD310" s="2">
        <f>ROUND((((ET310)-(EU310))+AE310),6)</f>
        <v>0</v>
      </c>
      <c r="AE310" s="2">
        <f>ROUND((EU310),6)</f>
        <v>0</v>
      </c>
      <c r="AF310" s="2">
        <f>ROUND((EV310),6)</f>
        <v>0</v>
      </c>
      <c r="AG310" s="2">
        <f t="shared" si="338"/>
        <v>0</v>
      </c>
      <c r="AH310" s="2">
        <f>(EW310)</f>
        <v>0</v>
      </c>
      <c r="AI310" s="2">
        <f>(EX310)</f>
        <v>0</v>
      </c>
      <c r="AJ310" s="2">
        <f t="shared" si="339"/>
        <v>0</v>
      </c>
      <c r="AK310" s="2">
        <v>79.040000000000006</v>
      </c>
      <c r="AL310" s="2">
        <v>79.040000000000006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109</v>
      </c>
      <c r="AU310" s="2">
        <v>61</v>
      </c>
      <c r="AV310" s="2">
        <v>1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1</v>
      </c>
      <c r="BJ310" s="2" t="s">
        <v>425</v>
      </c>
      <c r="BK310" s="2"/>
      <c r="BL310" s="2"/>
      <c r="BM310" s="2">
        <v>21</v>
      </c>
      <c r="BN310" s="2">
        <v>58973374</v>
      </c>
      <c r="BO310" s="2" t="s">
        <v>3</v>
      </c>
      <c r="BP310" s="2">
        <v>0</v>
      </c>
      <c r="BQ310" s="2">
        <v>30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109</v>
      </c>
      <c r="CA310" s="2">
        <v>61</v>
      </c>
      <c r="CB310" s="2" t="s">
        <v>3</v>
      </c>
      <c r="CC310" s="2"/>
      <c r="CD310" s="2"/>
      <c r="CE310" s="2">
        <v>1566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3</v>
      </c>
      <c r="CO310" s="2">
        <v>0</v>
      </c>
      <c r="CP310" s="2">
        <f t="shared" si="340"/>
        <v>1580.8</v>
      </c>
      <c r="CQ310" s="2">
        <f t="shared" si="341"/>
        <v>79.040000000000006</v>
      </c>
      <c r="CR310" s="2">
        <f>(ROUND((ROUND(((ET310)*AV310*1),2)*BB310),2)+ROUND((ROUND(((AE310-(EU310))*AV310*1),2)*BS310),2))</f>
        <v>0</v>
      </c>
      <c r="CS310" s="2">
        <f>(ROUND((ROUND(((EU310)*AV310*1),2)*BS310),2)+ROUND((ROUND(((AE310-(EU310))*AV310*1),2)*BS310),2))</f>
        <v>0</v>
      </c>
      <c r="CT310" s="2">
        <f t="shared" si="342"/>
        <v>0</v>
      </c>
      <c r="CU310" s="2">
        <f t="shared" si="343"/>
        <v>0</v>
      </c>
      <c r="CV310" s="2">
        <f t="shared" si="344"/>
        <v>0</v>
      </c>
      <c r="CW310" s="2">
        <f t="shared" si="345"/>
        <v>0</v>
      </c>
      <c r="CX310" s="2">
        <f t="shared" si="346"/>
        <v>0</v>
      </c>
      <c r="CY310" s="2">
        <f>(ROUND((((S310+ROUND((ROUND(((EU310)*AV310*1),2)*BS310),2))*AT310)/100),2)+ROUND(((ROUND((ROUND(((AE310-(EU310))*AV310*1),2)*BS310),2)*AT310)/100),2))</f>
        <v>0</v>
      </c>
      <c r="CZ310" s="2">
        <f>(ROUND((((S310+ROUND((ROUND(((EU310)*AV310*1),2)*BS310),2))*AU310)/100),2)+ROUND(((ROUND((ROUND(((AE310-(EU310))*AV310*1),2)*BS310),2)*AU310)/100),2))</f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1003</v>
      </c>
      <c r="DV310" s="2" t="s">
        <v>376</v>
      </c>
      <c r="DW310" s="2" t="s">
        <v>376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60088252</v>
      </c>
      <c r="EF310" s="2">
        <v>30</v>
      </c>
      <c r="EG310" s="2" t="s">
        <v>100</v>
      </c>
      <c r="EH310" s="2">
        <v>0</v>
      </c>
      <c r="EI310" s="2" t="s">
        <v>3</v>
      </c>
      <c r="EJ310" s="2">
        <v>1</v>
      </c>
      <c r="EK310" s="2">
        <v>21</v>
      </c>
      <c r="EL310" s="2" t="s">
        <v>356</v>
      </c>
      <c r="EM310" s="2" t="s">
        <v>357</v>
      </c>
      <c r="EN310" s="2"/>
      <c r="EO310" s="2" t="s">
        <v>3</v>
      </c>
      <c r="EP310" s="2"/>
      <c r="EQ310" s="2">
        <v>0</v>
      </c>
      <c r="ER310" s="2">
        <v>79.040000000000006</v>
      </c>
      <c r="ES310" s="2">
        <v>79.040000000000006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109</v>
      </c>
      <c r="FY310" s="2">
        <v>61</v>
      </c>
      <c r="FZ310" s="2"/>
      <c r="GA310" s="2" t="s">
        <v>3</v>
      </c>
      <c r="GB310" s="2"/>
      <c r="GC310" s="2"/>
      <c r="GD310" s="2">
        <v>1</v>
      </c>
      <c r="GE310" s="2"/>
      <c r="GF310" s="2">
        <v>-1700544993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347"/>
        <v>0</v>
      </c>
      <c r="GM310" s="2">
        <f t="shared" si="348"/>
        <v>1580.8</v>
      </c>
      <c r="GN310" s="2">
        <f t="shared" si="349"/>
        <v>1580.8</v>
      </c>
      <c r="GO310" s="2">
        <f t="shared" si="350"/>
        <v>0</v>
      </c>
      <c r="GP310" s="2">
        <f t="shared" si="351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352"/>
        <v>0</v>
      </c>
      <c r="GW310" s="2">
        <v>1</v>
      </c>
      <c r="GX310" s="2">
        <f t="shared" si="353"/>
        <v>0</v>
      </c>
      <c r="GY310" s="2"/>
      <c r="GZ310" s="2"/>
      <c r="HA310" s="2">
        <v>0</v>
      </c>
      <c r="HB310" s="2">
        <v>0</v>
      </c>
      <c r="HC310" s="2">
        <f t="shared" si="354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3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>
        <v>18</v>
      </c>
      <c r="B311">
        <v>1</v>
      </c>
      <c r="C311">
        <v>467</v>
      </c>
      <c r="E311" t="s">
        <v>422</v>
      </c>
      <c r="F311" t="s">
        <v>423</v>
      </c>
      <c r="G311" t="s">
        <v>424</v>
      </c>
      <c r="H311" t="s">
        <v>376</v>
      </c>
      <c r="I311">
        <f>I309*J311</f>
        <v>20</v>
      </c>
      <c r="J311">
        <v>100</v>
      </c>
      <c r="K311">
        <v>100</v>
      </c>
      <c r="O311">
        <f t="shared" si="329"/>
        <v>35457.339999999997</v>
      </c>
      <c r="P311">
        <f t="shared" si="330"/>
        <v>35457.339999999997</v>
      </c>
      <c r="Q311">
        <f>(ROUND((ROUND(((ET311)*AV311*I311),2)*BB311),2)+ROUND((ROUND(((AE311-(EU311))*AV311*I311),2)*BS311),2))</f>
        <v>0</v>
      </c>
      <c r="R311">
        <f>(ROUND((ROUND(((EU311)*AV311*I311),2)*BS311),2)+ROUND((ROUND(((AE311-(EU311))*AV311*I311),2)*BS311),2))</f>
        <v>0</v>
      </c>
      <c r="S311">
        <f t="shared" si="331"/>
        <v>0</v>
      </c>
      <c r="T311">
        <f t="shared" si="332"/>
        <v>0</v>
      </c>
      <c r="U311">
        <f t="shared" si="333"/>
        <v>0</v>
      </c>
      <c r="V311">
        <f t="shared" si="334"/>
        <v>0</v>
      </c>
      <c r="W311">
        <f t="shared" si="335"/>
        <v>0</v>
      </c>
      <c r="X311">
        <f>(ROUND((((S311+ROUND((ROUND(((EU311)*AV311*I311),2)*BS311),2))*AT311)/100),2)+ROUND(((ROUND((ROUND(((AE311-(EU311))*AV311*I311),2)*BS311),2)*AT311)/100),2))</f>
        <v>0</v>
      </c>
      <c r="Y311">
        <f>(ROUND((((S311+ROUND((ROUND(((EU311)*AV311*I311),2)*BS311),2))*AU311)/100),2)+ROUND(((ROUND((ROUND(((AE311-(EU311))*AV311*I311),2)*BS311),2)*AU311)/100),2))</f>
        <v>0</v>
      </c>
      <c r="AA311">
        <v>60255011</v>
      </c>
      <c r="AB311">
        <f t="shared" si="336"/>
        <v>79.040000000000006</v>
      </c>
      <c r="AC311">
        <f t="shared" si="337"/>
        <v>79.040000000000006</v>
      </c>
      <c r="AD311">
        <f>ROUND((((ET311)-(EU311))+AE311),6)</f>
        <v>0</v>
      </c>
      <c r="AE311">
        <f>ROUND((EU311),6)</f>
        <v>0</v>
      </c>
      <c r="AF311">
        <f>ROUND((EV311),6)</f>
        <v>0</v>
      </c>
      <c r="AG311">
        <f t="shared" si="338"/>
        <v>0</v>
      </c>
      <c r="AH311">
        <f>(EW311)</f>
        <v>0</v>
      </c>
      <c r="AI311">
        <f>(EX311)</f>
        <v>0</v>
      </c>
      <c r="AJ311">
        <f t="shared" si="339"/>
        <v>0</v>
      </c>
      <c r="AK311">
        <v>79.040000000000006</v>
      </c>
      <c r="AL311">
        <v>79.040000000000006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109</v>
      </c>
      <c r="AU311">
        <v>61</v>
      </c>
      <c r="AV311">
        <v>1</v>
      </c>
      <c r="AW311">
        <v>1</v>
      </c>
      <c r="AZ311">
        <v>1</v>
      </c>
      <c r="BA311">
        <v>1</v>
      </c>
      <c r="BB311">
        <v>1</v>
      </c>
      <c r="BC311">
        <v>22.43</v>
      </c>
      <c r="BD311" t="s">
        <v>3</v>
      </c>
      <c r="BE311" t="s">
        <v>3</v>
      </c>
      <c r="BF311" t="s">
        <v>3</v>
      </c>
      <c r="BG311" t="s">
        <v>3</v>
      </c>
      <c r="BH311">
        <v>3</v>
      </c>
      <c r="BI311">
        <v>1</v>
      </c>
      <c r="BJ311" t="s">
        <v>425</v>
      </c>
      <c r="BM311">
        <v>21</v>
      </c>
      <c r="BN311">
        <v>58973374</v>
      </c>
      <c r="BO311" t="s">
        <v>423</v>
      </c>
      <c r="BP311">
        <v>1</v>
      </c>
      <c r="BQ311">
        <v>30</v>
      </c>
      <c r="BR311">
        <v>0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 t="s">
        <v>3</v>
      </c>
      <c r="BZ311">
        <v>109</v>
      </c>
      <c r="CA311">
        <v>61</v>
      </c>
      <c r="CB311" t="s">
        <v>3</v>
      </c>
      <c r="CE311">
        <v>1566</v>
      </c>
      <c r="CF311">
        <v>0</v>
      </c>
      <c r="CG311">
        <v>0</v>
      </c>
      <c r="CM311">
        <v>0</v>
      </c>
      <c r="CN311" t="s">
        <v>3</v>
      </c>
      <c r="CO311">
        <v>0</v>
      </c>
      <c r="CP311">
        <f t="shared" si="340"/>
        <v>35457.339999999997</v>
      </c>
      <c r="CQ311">
        <f t="shared" si="341"/>
        <v>1772.87</v>
      </c>
      <c r="CR311">
        <f>(ROUND((ROUND(((ET311)*AV311*1),2)*BB311),2)+ROUND((ROUND(((AE311-(EU311))*AV311*1),2)*BS311),2))</f>
        <v>0</v>
      </c>
      <c r="CS311">
        <f>(ROUND((ROUND(((EU311)*AV311*1),2)*BS311),2)+ROUND((ROUND(((AE311-(EU311))*AV311*1),2)*BS311),2))</f>
        <v>0</v>
      </c>
      <c r="CT311">
        <f t="shared" si="342"/>
        <v>0</v>
      </c>
      <c r="CU311">
        <f t="shared" si="343"/>
        <v>0</v>
      </c>
      <c r="CV311">
        <f t="shared" si="344"/>
        <v>0</v>
      </c>
      <c r="CW311">
        <f t="shared" si="345"/>
        <v>0</v>
      </c>
      <c r="CX311">
        <f t="shared" si="346"/>
        <v>0</v>
      </c>
      <c r="CY311">
        <f>(ROUND((((S311+ROUND((ROUND(((EU311)*AV311*1),2)*BS311),2))*AT311)/100),2)+ROUND(((ROUND((ROUND(((AE311-(EU311))*AV311*1),2)*BS311),2)*AT311)/100),2))</f>
        <v>0</v>
      </c>
      <c r="CZ311">
        <f>(ROUND((((S311+ROUND((ROUND(((EU311)*AV311*1),2)*BS311),2))*AU311)/100),2)+ROUND(((ROUND((ROUND(((AE311-(EU311))*AV311*1),2)*BS311),2)*AU311)/100),2))</f>
        <v>0</v>
      </c>
      <c r="DC311" t="s">
        <v>3</v>
      </c>
      <c r="DD311" t="s">
        <v>3</v>
      </c>
      <c r="DE311" t="s">
        <v>3</v>
      </c>
      <c r="DF311" t="s">
        <v>3</v>
      </c>
      <c r="DG311" t="s">
        <v>3</v>
      </c>
      <c r="DH311" t="s">
        <v>3</v>
      </c>
      <c r="DI311" t="s">
        <v>3</v>
      </c>
      <c r="DJ311" t="s">
        <v>3</v>
      </c>
      <c r="DK311" t="s">
        <v>3</v>
      </c>
      <c r="DL311" t="s">
        <v>3</v>
      </c>
      <c r="DM311" t="s">
        <v>3</v>
      </c>
      <c r="DN311">
        <v>0</v>
      </c>
      <c r="DO311">
        <v>0</v>
      </c>
      <c r="DP311">
        <v>1</v>
      </c>
      <c r="DQ311">
        <v>1</v>
      </c>
      <c r="DU311">
        <v>1003</v>
      </c>
      <c r="DV311" t="s">
        <v>376</v>
      </c>
      <c r="DW311" t="s">
        <v>376</v>
      </c>
      <c r="DX311">
        <v>1</v>
      </c>
      <c r="DZ311" t="s">
        <v>3</v>
      </c>
      <c r="EA311" t="s">
        <v>3</v>
      </c>
      <c r="EB311" t="s">
        <v>3</v>
      </c>
      <c r="EC311" t="s">
        <v>3</v>
      </c>
      <c r="EE311">
        <v>60088252</v>
      </c>
      <c r="EF311">
        <v>30</v>
      </c>
      <c r="EG311" t="s">
        <v>100</v>
      </c>
      <c r="EH311">
        <v>0</v>
      </c>
      <c r="EI311" t="s">
        <v>3</v>
      </c>
      <c r="EJ311">
        <v>1</v>
      </c>
      <c r="EK311">
        <v>21</v>
      </c>
      <c r="EL311" t="s">
        <v>356</v>
      </c>
      <c r="EM311" t="s">
        <v>357</v>
      </c>
      <c r="EO311" t="s">
        <v>3</v>
      </c>
      <c r="EQ311">
        <v>0</v>
      </c>
      <c r="ER311">
        <v>79.040000000000006</v>
      </c>
      <c r="ES311">
        <v>79.040000000000006</v>
      </c>
      <c r="ET311">
        <v>0</v>
      </c>
      <c r="EU311">
        <v>0</v>
      </c>
      <c r="EV311">
        <v>0</v>
      </c>
      <c r="EW311">
        <v>0</v>
      </c>
      <c r="EX311">
        <v>0</v>
      </c>
      <c r="FQ311">
        <v>0</v>
      </c>
      <c r="FR311">
        <v>0</v>
      </c>
      <c r="FS311">
        <v>0</v>
      </c>
      <c r="FX311">
        <v>109</v>
      </c>
      <c r="FY311">
        <v>61</v>
      </c>
      <c r="GA311" t="s">
        <v>3</v>
      </c>
      <c r="GD311">
        <v>1</v>
      </c>
      <c r="GF311">
        <v>-1700544993</v>
      </c>
      <c r="GG311">
        <v>2</v>
      </c>
      <c r="GH311">
        <v>1</v>
      </c>
      <c r="GI311">
        <v>2</v>
      </c>
      <c r="GJ311">
        <v>0</v>
      </c>
      <c r="GK311">
        <v>0</v>
      </c>
      <c r="GL311">
        <f t="shared" si="347"/>
        <v>0</v>
      </c>
      <c r="GM311">
        <f t="shared" si="348"/>
        <v>35457.339999999997</v>
      </c>
      <c r="GN311">
        <f t="shared" si="349"/>
        <v>35457.339999999997</v>
      </c>
      <c r="GO311">
        <f t="shared" si="350"/>
        <v>0</v>
      </c>
      <c r="GP311">
        <f t="shared" si="351"/>
        <v>0</v>
      </c>
      <c r="GR311">
        <v>0</v>
      </c>
      <c r="GS311">
        <v>3</v>
      </c>
      <c r="GT311">
        <v>0</v>
      </c>
      <c r="GU311" t="s">
        <v>3</v>
      </c>
      <c r="GV311">
        <f t="shared" si="352"/>
        <v>0</v>
      </c>
      <c r="GW311">
        <v>1</v>
      </c>
      <c r="GX311">
        <f t="shared" si="353"/>
        <v>0</v>
      </c>
      <c r="HA311">
        <v>0</v>
      </c>
      <c r="HB311">
        <v>0</v>
      </c>
      <c r="HC311">
        <f t="shared" si="354"/>
        <v>0</v>
      </c>
      <c r="HE311" t="s">
        <v>3</v>
      </c>
      <c r="HF311" t="s">
        <v>3</v>
      </c>
      <c r="HM311" t="s">
        <v>3</v>
      </c>
      <c r="HN311" t="s">
        <v>3</v>
      </c>
      <c r="HO311" t="s">
        <v>3</v>
      </c>
      <c r="HP311" t="s">
        <v>3</v>
      </c>
      <c r="HQ311" t="s">
        <v>3</v>
      </c>
      <c r="HS311">
        <v>0</v>
      </c>
      <c r="IK311">
        <v>0</v>
      </c>
    </row>
    <row r="313" spans="1:255" x14ac:dyDescent="0.2">
      <c r="A313" s="3">
        <v>51</v>
      </c>
      <c r="B313" s="3">
        <f>B280</f>
        <v>1</v>
      </c>
      <c r="C313" s="3">
        <f>A280</f>
        <v>4</v>
      </c>
      <c r="D313" s="3">
        <f>ROW(A280)</f>
        <v>280</v>
      </c>
      <c r="E313" s="3"/>
      <c r="F313" s="3" t="str">
        <f>IF(F280&lt;&gt;"",F280,"")</f>
        <v/>
      </c>
      <c r="G313" s="3" t="str">
        <f>IF(G280&lt;&gt;"",G280,"")</f>
        <v>Трубы стальные</v>
      </c>
      <c r="H313" s="3">
        <v>0</v>
      </c>
      <c r="I313" s="3"/>
      <c r="J313" s="3"/>
      <c r="K313" s="3"/>
      <c r="L313" s="3"/>
      <c r="M313" s="3"/>
      <c r="N313" s="3"/>
      <c r="O313" s="3">
        <f t="shared" ref="O313:T313" si="355">ROUND(AB313,2)</f>
        <v>170315.59</v>
      </c>
      <c r="P313" s="3">
        <f t="shared" si="355"/>
        <v>143852.88</v>
      </c>
      <c r="Q313" s="3">
        <f t="shared" si="355"/>
        <v>2916.71</v>
      </c>
      <c r="R313" s="3">
        <f t="shared" si="355"/>
        <v>389.66</v>
      </c>
      <c r="S313" s="3">
        <f t="shared" si="355"/>
        <v>23546</v>
      </c>
      <c r="T313" s="3">
        <f t="shared" si="355"/>
        <v>0</v>
      </c>
      <c r="U313" s="3">
        <f>AH313</f>
        <v>1882.6112789000001</v>
      </c>
      <c r="V313" s="3">
        <f>AI313</f>
        <v>0</v>
      </c>
      <c r="W313" s="3">
        <f>ROUND(AJ313,2)</f>
        <v>0</v>
      </c>
      <c r="X313" s="3">
        <f>ROUND(AK313,2)</f>
        <v>26089.87</v>
      </c>
      <c r="Y313" s="3">
        <f>ROUND(AL313,2)</f>
        <v>14600.75</v>
      </c>
      <c r="Z313" s="3"/>
      <c r="AA313" s="3"/>
      <c r="AB313" s="3">
        <f>ROUND(SUMIF(AA284:AA311,"=60255014",O284:O311),2)</f>
        <v>170315.59</v>
      </c>
      <c r="AC313" s="3">
        <f>ROUND(SUMIF(AA284:AA311,"=60255014",P284:P311),2)</f>
        <v>143852.88</v>
      </c>
      <c r="AD313" s="3">
        <f>ROUND(SUMIF(AA284:AA311,"=60255014",Q284:Q311),2)</f>
        <v>2916.71</v>
      </c>
      <c r="AE313" s="3">
        <f>ROUND(SUMIF(AA284:AA311,"=60255014",R284:R311),2)</f>
        <v>389.66</v>
      </c>
      <c r="AF313" s="3">
        <f>ROUND(SUMIF(AA284:AA311,"=60255014",S284:S311),2)</f>
        <v>23546</v>
      </c>
      <c r="AG313" s="3">
        <f>ROUND(SUMIF(AA284:AA311,"=60255014",T284:T311),2)</f>
        <v>0</v>
      </c>
      <c r="AH313" s="3">
        <f>SUMIF(AA284:AA311,"=60255014",U284:U311)</f>
        <v>1882.6112789000001</v>
      </c>
      <c r="AI313" s="3">
        <f>SUMIF(AA284:AA311,"=60255014",V284:V311)</f>
        <v>0</v>
      </c>
      <c r="AJ313" s="3">
        <f>ROUND(SUMIF(AA284:AA311,"=60255014",W284:W311),2)</f>
        <v>0</v>
      </c>
      <c r="AK313" s="3">
        <f>ROUND(SUMIF(AA284:AA311,"=60255014",X284:X311),2)</f>
        <v>26089.87</v>
      </c>
      <c r="AL313" s="3">
        <f>ROUND(SUMIF(AA284:AA311,"=60255014",Y284:Y311),2)</f>
        <v>14600.75</v>
      </c>
      <c r="AM313" s="3"/>
      <c r="AN313" s="3"/>
      <c r="AO313" s="3">
        <f t="shared" ref="AO313:BD313" si="356">ROUND(BX313,2)</f>
        <v>0</v>
      </c>
      <c r="AP313" s="3">
        <f t="shared" si="356"/>
        <v>0</v>
      </c>
      <c r="AQ313" s="3">
        <f t="shared" si="356"/>
        <v>0</v>
      </c>
      <c r="AR313" s="3">
        <f t="shared" si="356"/>
        <v>211006.21</v>
      </c>
      <c r="AS313" s="3">
        <f t="shared" si="356"/>
        <v>211006.21</v>
      </c>
      <c r="AT313" s="3">
        <f t="shared" si="356"/>
        <v>0</v>
      </c>
      <c r="AU313" s="3">
        <f t="shared" si="356"/>
        <v>0</v>
      </c>
      <c r="AV313" s="3">
        <f t="shared" si="356"/>
        <v>143852.88</v>
      </c>
      <c r="AW313" s="3">
        <f t="shared" si="356"/>
        <v>143852.88</v>
      </c>
      <c r="AX313" s="3">
        <f t="shared" si="356"/>
        <v>0</v>
      </c>
      <c r="AY313" s="3">
        <f t="shared" si="356"/>
        <v>143852.88</v>
      </c>
      <c r="AZ313" s="3">
        <f t="shared" si="356"/>
        <v>0</v>
      </c>
      <c r="BA313" s="3">
        <f t="shared" si="356"/>
        <v>0</v>
      </c>
      <c r="BB313" s="3">
        <f t="shared" si="356"/>
        <v>0</v>
      </c>
      <c r="BC313" s="3">
        <f t="shared" si="356"/>
        <v>0</v>
      </c>
      <c r="BD313" s="3">
        <f t="shared" si="356"/>
        <v>0</v>
      </c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>
        <f>ROUND(SUMIF(AA284:AA311,"=60255014",FQ284:FQ311),2)</f>
        <v>0</v>
      </c>
      <c r="BY313" s="3">
        <f>ROUND(SUMIF(AA284:AA311,"=60255014",FR284:FR311),2)</f>
        <v>0</v>
      </c>
      <c r="BZ313" s="3">
        <f>ROUND(SUMIF(AA284:AA311,"=60255014",GL284:GL311),2)</f>
        <v>0</v>
      </c>
      <c r="CA313" s="3">
        <f>ROUND(SUMIF(AA284:AA311,"=60255014",GM284:GM311),2)</f>
        <v>211006.21</v>
      </c>
      <c r="CB313" s="3">
        <f>ROUND(SUMIF(AA284:AA311,"=60255014",GN284:GN311),2)</f>
        <v>211006.21</v>
      </c>
      <c r="CC313" s="3">
        <f>ROUND(SUMIF(AA284:AA311,"=60255014",GO284:GO311),2)</f>
        <v>0</v>
      </c>
      <c r="CD313" s="3">
        <f>ROUND(SUMIF(AA284:AA311,"=60255014",GP284:GP311),2)</f>
        <v>0</v>
      </c>
      <c r="CE313" s="3">
        <f>AC313-BX313</f>
        <v>143852.88</v>
      </c>
      <c r="CF313" s="3">
        <f>AC313-BY313</f>
        <v>143852.88</v>
      </c>
      <c r="CG313" s="3">
        <f>BX313-BZ313</f>
        <v>0</v>
      </c>
      <c r="CH313" s="3">
        <f>AC313-BX313-BY313+BZ313</f>
        <v>143852.88</v>
      </c>
      <c r="CI313" s="3">
        <f>BY313-BZ313</f>
        <v>0</v>
      </c>
      <c r="CJ313" s="3">
        <f>ROUND(SUMIF(AA284:AA311,"=60255014",GX284:GX311),2)</f>
        <v>0</v>
      </c>
      <c r="CK313" s="3">
        <f>ROUND(SUMIF(AA284:AA311,"=60255014",GY284:GY311),2)</f>
        <v>0</v>
      </c>
      <c r="CL313" s="3">
        <f>ROUND(SUMIF(AA284:AA311,"=60255014",GZ284:GZ311),2)</f>
        <v>0</v>
      </c>
      <c r="CM313" s="3">
        <f>ROUND(SUMIF(AA284:AA311,"=60255014",HD284:HD311),2)</f>
        <v>0</v>
      </c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4">
        <f t="shared" ref="DG313:DL313" si="357">ROUND(DT313,2)</f>
        <v>3126632.85</v>
      </c>
      <c r="DH313" s="4">
        <f t="shared" si="357"/>
        <v>1786685.75</v>
      </c>
      <c r="DI313" s="4">
        <f t="shared" si="357"/>
        <v>45152.56</v>
      </c>
      <c r="DJ313" s="4">
        <f t="shared" si="357"/>
        <v>21427.42</v>
      </c>
      <c r="DK313" s="4">
        <f t="shared" si="357"/>
        <v>1294794.54</v>
      </c>
      <c r="DL313" s="4">
        <f t="shared" si="357"/>
        <v>0</v>
      </c>
      <c r="DM313" s="4">
        <f>DZ313</f>
        <v>1882.6112789000001</v>
      </c>
      <c r="DN313" s="4">
        <f>EA313</f>
        <v>0</v>
      </c>
      <c r="DO313" s="4">
        <f>ROUND(EB313,2)</f>
        <v>0</v>
      </c>
      <c r="DP313" s="4">
        <f>ROUND(EC313,2)</f>
        <v>1434681.93</v>
      </c>
      <c r="DQ313" s="4">
        <f>ROUND(ED313,2)</f>
        <v>802895.39</v>
      </c>
      <c r="DR313" s="4"/>
      <c r="DS313" s="4"/>
      <c r="DT313" s="4">
        <f>ROUND(SUMIF(AA284:AA311,"=60255011",O284:O311),2)</f>
        <v>3126632.85</v>
      </c>
      <c r="DU313" s="4">
        <f>ROUND(SUMIF(AA284:AA311,"=60255011",P284:P311),2)</f>
        <v>1786685.75</v>
      </c>
      <c r="DV313" s="4">
        <f>ROUND(SUMIF(AA284:AA311,"=60255011",Q284:Q311),2)</f>
        <v>45152.56</v>
      </c>
      <c r="DW313" s="4">
        <f>ROUND(SUMIF(AA284:AA311,"=60255011",R284:R311),2)</f>
        <v>21427.42</v>
      </c>
      <c r="DX313" s="4">
        <f>ROUND(SUMIF(AA284:AA311,"=60255011",S284:S311),2)</f>
        <v>1294794.54</v>
      </c>
      <c r="DY313" s="4">
        <f>ROUND(SUMIF(AA284:AA311,"=60255011",T284:T311),2)</f>
        <v>0</v>
      </c>
      <c r="DZ313" s="4">
        <f>SUMIF(AA284:AA311,"=60255011",U284:U311)</f>
        <v>1882.6112789000001</v>
      </c>
      <c r="EA313" s="4">
        <f>SUMIF(AA284:AA311,"=60255011",V284:V311)</f>
        <v>0</v>
      </c>
      <c r="EB313" s="4">
        <f>ROUND(SUMIF(AA284:AA311,"=60255011",W284:W311),2)</f>
        <v>0</v>
      </c>
      <c r="EC313" s="4">
        <f>ROUND(SUMIF(AA284:AA311,"=60255011",X284:X311),2)</f>
        <v>1434681.93</v>
      </c>
      <c r="ED313" s="4">
        <f>ROUND(SUMIF(AA284:AA311,"=60255011",Y284:Y311),2)</f>
        <v>802895.39</v>
      </c>
      <c r="EE313" s="4"/>
      <c r="EF313" s="4"/>
      <c r="EG313" s="4">
        <f t="shared" ref="EG313:EV313" si="358">ROUND(FP313,2)</f>
        <v>0</v>
      </c>
      <c r="EH313" s="4">
        <f t="shared" si="358"/>
        <v>0</v>
      </c>
      <c r="EI313" s="4">
        <f t="shared" si="358"/>
        <v>0</v>
      </c>
      <c r="EJ313" s="4">
        <f t="shared" si="358"/>
        <v>5364210.17</v>
      </c>
      <c r="EK313" s="4">
        <f t="shared" si="358"/>
        <v>5364210.17</v>
      </c>
      <c r="EL313" s="4">
        <f t="shared" si="358"/>
        <v>0</v>
      </c>
      <c r="EM313" s="4">
        <f t="shared" si="358"/>
        <v>0</v>
      </c>
      <c r="EN313" s="4">
        <f t="shared" si="358"/>
        <v>1786685.75</v>
      </c>
      <c r="EO313" s="4">
        <f t="shared" si="358"/>
        <v>1786685.75</v>
      </c>
      <c r="EP313" s="4">
        <f t="shared" si="358"/>
        <v>0</v>
      </c>
      <c r="EQ313" s="4">
        <f t="shared" si="358"/>
        <v>1786685.75</v>
      </c>
      <c r="ER313" s="4">
        <f t="shared" si="358"/>
        <v>0</v>
      </c>
      <c r="ES313" s="4">
        <f t="shared" si="358"/>
        <v>0</v>
      </c>
      <c r="ET313" s="4">
        <f t="shared" si="358"/>
        <v>0</v>
      </c>
      <c r="EU313" s="4">
        <f t="shared" si="358"/>
        <v>0</v>
      </c>
      <c r="EV313" s="4">
        <f t="shared" si="358"/>
        <v>0</v>
      </c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>
        <f>ROUND(SUMIF(AA284:AA311,"=60255011",FQ284:FQ311),2)</f>
        <v>0</v>
      </c>
      <c r="FQ313" s="4">
        <f>ROUND(SUMIF(AA284:AA311,"=60255011",FR284:FR311),2)</f>
        <v>0</v>
      </c>
      <c r="FR313" s="4">
        <f>ROUND(SUMIF(AA284:AA311,"=60255011",GL284:GL311),2)</f>
        <v>0</v>
      </c>
      <c r="FS313" s="4">
        <f>ROUND(SUMIF(AA284:AA311,"=60255011",GM284:GM311),2)</f>
        <v>5364210.17</v>
      </c>
      <c r="FT313" s="4">
        <f>ROUND(SUMIF(AA284:AA311,"=60255011",GN284:GN311),2)</f>
        <v>5364210.17</v>
      </c>
      <c r="FU313" s="4">
        <f>ROUND(SUMIF(AA284:AA311,"=60255011",GO284:GO311),2)</f>
        <v>0</v>
      </c>
      <c r="FV313" s="4">
        <f>ROUND(SUMIF(AA284:AA311,"=60255011",GP284:GP311),2)</f>
        <v>0</v>
      </c>
      <c r="FW313" s="4">
        <f>DU313-FP313</f>
        <v>1786685.75</v>
      </c>
      <c r="FX313" s="4">
        <f>DU313-FQ313</f>
        <v>1786685.75</v>
      </c>
      <c r="FY313" s="4">
        <f>FP313-FR313</f>
        <v>0</v>
      </c>
      <c r="FZ313" s="4">
        <f>DU313-FP313-FQ313+FR313</f>
        <v>1786685.75</v>
      </c>
      <c r="GA313" s="4">
        <f>FQ313-FR313</f>
        <v>0</v>
      </c>
      <c r="GB313" s="4">
        <f>ROUND(SUMIF(AA284:AA311,"=60255011",GX284:GX311),2)</f>
        <v>0</v>
      </c>
      <c r="GC313" s="4">
        <f>ROUND(SUMIF(AA284:AA311,"=60255011",GY284:GY311),2)</f>
        <v>0</v>
      </c>
      <c r="GD313" s="4">
        <f>ROUND(SUMIF(AA284:AA311,"=60255011",GZ284:GZ311),2)</f>
        <v>0</v>
      </c>
      <c r="GE313" s="4">
        <f>ROUND(SUMIF(AA284:AA311,"=60255011",HD284:HD311),2)</f>
        <v>0</v>
      </c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>
        <v>0</v>
      </c>
    </row>
    <row r="315" spans="1:255" x14ac:dyDescent="0.2">
      <c r="A315" s="5">
        <v>50</v>
      </c>
      <c r="B315" s="5">
        <v>0</v>
      </c>
      <c r="C315" s="5">
        <v>0</v>
      </c>
      <c r="D315" s="5">
        <v>1</v>
      </c>
      <c r="E315" s="5">
        <v>201</v>
      </c>
      <c r="F315" s="5">
        <f>ROUND(Source!O313,O315)</f>
        <v>170315.59</v>
      </c>
      <c r="G315" s="5" t="s">
        <v>38</v>
      </c>
      <c r="H315" s="5" t="s">
        <v>39</v>
      </c>
      <c r="I315" s="5"/>
      <c r="J315" s="5"/>
      <c r="K315" s="5">
        <v>201</v>
      </c>
      <c r="L315" s="5">
        <v>1</v>
      </c>
      <c r="M315" s="5">
        <v>3</v>
      </c>
      <c r="N315" s="5" t="s">
        <v>3</v>
      </c>
      <c r="O315" s="5">
        <v>2</v>
      </c>
      <c r="P315" s="5">
        <f>ROUND(Source!DG313,O315)</f>
        <v>3126632.85</v>
      </c>
      <c r="Q315" s="5"/>
      <c r="R315" s="5"/>
      <c r="S315" s="5"/>
      <c r="T315" s="5"/>
      <c r="U315" s="5"/>
      <c r="V315" s="5"/>
      <c r="W315" s="5">
        <v>170315.59</v>
      </c>
      <c r="X315" s="5">
        <v>1</v>
      </c>
      <c r="Y315" s="5">
        <v>170315.59</v>
      </c>
      <c r="Z315" s="5">
        <v>3126632.85</v>
      </c>
      <c r="AA315" s="5">
        <v>1</v>
      </c>
      <c r="AB315" s="5">
        <v>3126632.85</v>
      </c>
    </row>
    <row r="316" spans="1:255" x14ac:dyDescent="0.2">
      <c r="A316" s="5">
        <v>50</v>
      </c>
      <c r="B316" s="5">
        <v>0</v>
      </c>
      <c r="C316" s="5">
        <v>0</v>
      </c>
      <c r="D316" s="5">
        <v>1</v>
      </c>
      <c r="E316" s="5">
        <v>202</v>
      </c>
      <c r="F316" s="5">
        <f>ROUND(Source!P313,O316)</f>
        <v>143852.88</v>
      </c>
      <c r="G316" s="5" t="s">
        <v>40</v>
      </c>
      <c r="H316" s="5" t="s">
        <v>41</v>
      </c>
      <c r="I316" s="5"/>
      <c r="J316" s="5"/>
      <c r="K316" s="5">
        <v>202</v>
      </c>
      <c r="L316" s="5">
        <v>2</v>
      </c>
      <c r="M316" s="5">
        <v>3</v>
      </c>
      <c r="N316" s="5" t="s">
        <v>3</v>
      </c>
      <c r="O316" s="5">
        <v>2</v>
      </c>
      <c r="P316" s="5">
        <f>ROUND(Source!DH313,O316)</f>
        <v>1786685.75</v>
      </c>
      <c r="Q316" s="5"/>
      <c r="R316" s="5"/>
      <c r="S316" s="5"/>
      <c r="T316" s="5"/>
      <c r="U316" s="5"/>
      <c r="V316" s="5"/>
      <c r="W316" s="5">
        <v>143852.88</v>
      </c>
      <c r="X316" s="5">
        <v>1</v>
      </c>
      <c r="Y316" s="5">
        <v>143852.88</v>
      </c>
      <c r="Z316" s="5">
        <v>1786685.75</v>
      </c>
      <c r="AA316" s="5">
        <v>1</v>
      </c>
      <c r="AB316" s="5">
        <v>1786685.75</v>
      </c>
    </row>
    <row r="317" spans="1:255" x14ac:dyDescent="0.2">
      <c r="A317" s="5">
        <v>50</v>
      </c>
      <c r="B317" s="5">
        <v>0</v>
      </c>
      <c r="C317" s="5">
        <v>0</v>
      </c>
      <c r="D317" s="5">
        <v>1</v>
      </c>
      <c r="E317" s="5">
        <v>222</v>
      </c>
      <c r="F317" s="5">
        <f>ROUND(Source!AO313,O317)</f>
        <v>0</v>
      </c>
      <c r="G317" s="5" t="s">
        <v>42</v>
      </c>
      <c r="H317" s="5" t="s">
        <v>43</v>
      </c>
      <c r="I317" s="5"/>
      <c r="J317" s="5"/>
      <c r="K317" s="5">
        <v>222</v>
      </c>
      <c r="L317" s="5">
        <v>3</v>
      </c>
      <c r="M317" s="5">
        <v>3</v>
      </c>
      <c r="N317" s="5" t="s">
        <v>3</v>
      </c>
      <c r="O317" s="5">
        <v>2</v>
      </c>
      <c r="P317" s="5">
        <f>ROUND(Source!EG313,O317)</f>
        <v>0</v>
      </c>
      <c r="Q317" s="5"/>
      <c r="R317" s="5"/>
      <c r="S317" s="5"/>
      <c r="T317" s="5"/>
      <c r="U317" s="5"/>
      <c r="V317" s="5"/>
      <c r="W317" s="5">
        <v>0</v>
      </c>
      <c r="X317" s="5">
        <v>1</v>
      </c>
      <c r="Y317" s="5">
        <v>0</v>
      </c>
      <c r="Z317" s="5">
        <v>0</v>
      </c>
      <c r="AA317" s="5">
        <v>1</v>
      </c>
      <c r="AB317" s="5">
        <v>0</v>
      </c>
    </row>
    <row r="318" spans="1:255" x14ac:dyDescent="0.2">
      <c r="A318" s="5">
        <v>50</v>
      </c>
      <c r="B318" s="5">
        <v>0</v>
      </c>
      <c r="C318" s="5">
        <v>0</v>
      </c>
      <c r="D318" s="5">
        <v>1</v>
      </c>
      <c r="E318" s="5">
        <v>225</v>
      </c>
      <c r="F318" s="5">
        <f>ROUND(Source!AV313,O318)</f>
        <v>143852.88</v>
      </c>
      <c r="G318" s="5" t="s">
        <v>44</v>
      </c>
      <c r="H318" s="5" t="s">
        <v>45</v>
      </c>
      <c r="I318" s="5"/>
      <c r="J318" s="5"/>
      <c r="K318" s="5">
        <v>225</v>
      </c>
      <c r="L318" s="5">
        <v>4</v>
      </c>
      <c r="M318" s="5">
        <v>3</v>
      </c>
      <c r="N318" s="5" t="s">
        <v>3</v>
      </c>
      <c r="O318" s="5">
        <v>2</v>
      </c>
      <c r="P318" s="5">
        <f>ROUND(Source!EN313,O318)</f>
        <v>1786685.75</v>
      </c>
      <c r="Q318" s="5"/>
      <c r="R318" s="5"/>
      <c r="S318" s="5"/>
      <c r="T318" s="5"/>
      <c r="U318" s="5"/>
      <c r="V318" s="5"/>
      <c r="W318" s="5">
        <v>143852.88</v>
      </c>
      <c r="X318" s="5">
        <v>1</v>
      </c>
      <c r="Y318" s="5">
        <v>143852.88</v>
      </c>
      <c r="Z318" s="5">
        <v>1786685.75</v>
      </c>
      <c r="AA318" s="5">
        <v>1</v>
      </c>
      <c r="AB318" s="5">
        <v>1786685.75</v>
      </c>
    </row>
    <row r="319" spans="1:255" x14ac:dyDescent="0.2">
      <c r="A319" s="5">
        <v>50</v>
      </c>
      <c r="B319" s="5">
        <v>0</v>
      </c>
      <c r="C319" s="5">
        <v>0</v>
      </c>
      <c r="D319" s="5">
        <v>1</v>
      </c>
      <c r="E319" s="5">
        <v>226</v>
      </c>
      <c r="F319" s="5">
        <f>ROUND(Source!AW313,O319)</f>
        <v>143852.88</v>
      </c>
      <c r="G319" s="5" t="s">
        <v>46</v>
      </c>
      <c r="H319" s="5" t="s">
        <v>47</v>
      </c>
      <c r="I319" s="5"/>
      <c r="J319" s="5"/>
      <c r="K319" s="5">
        <v>226</v>
      </c>
      <c r="L319" s="5">
        <v>5</v>
      </c>
      <c r="M319" s="5">
        <v>3</v>
      </c>
      <c r="N319" s="5" t="s">
        <v>3</v>
      </c>
      <c r="O319" s="5">
        <v>2</v>
      </c>
      <c r="P319" s="5">
        <f>ROUND(Source!EO313,O319)</f>
        <v>1786685.75</v>
      </c>
      <c r="Q319" s="5"/>
      <c r="R319" s="5"/>
      <c r="S319" s="5"/>
      <c r="T319" s="5"/>
      <c r="U319" s="5"/>
      <c r="V319" s="5"/>
      <c r="W319" s="5">
        <v>143852.88</v>
      </c>
      <c r="X319" s="5">
        <v>1</v>
      </c>
      <c r="Y319" s="5">
        <v>143852.88</v>
      </c>
      <c r="Z319" s="5">
        <v>1786685.75</v>
      </c>
      <c r="AA319" s="5">
        <v>1</v>
      </c>
      <c r="AB319" s="5">
        <v>1786685.75</v>
      </c>
    </row>
    <row r="320" spans="1:255" x14ac:dyDescent="0.2">
      <c r="A320" s="5">
        <v>50</v>
      </c>
      <c r="B320" s="5">
        <v>0</v>
      </c>
      <c r="C320" s="5">
        <v>0</v>
      </c>
      <c r="D320" s="5">
        <v>1</v>
      </c>
      <c r="E320" s="5">
        <v>227</v>
      </c>
      <c r="F320" s="5">
        <f>ROUND(Source!AX313,O320)</f>
        <v>0</v>
      </c>
      <c r="G320" s="5" t="s">
        <v>48</v>
      </c>
      <c r="H320" s="5" t="s">
        <v>49</v>
      </c>
      <c r="I320" s="5"/>
      <c r="J320" s="5"/>
      <c r="K320" s="5">
        <v>227</v>
      </c>
      <c r="L320" s="5">
        <v>6</v>
      </c>
      <c r="M320" s="5">
        <v>3</v>
      </c>
      <c r="N320" s="5" t="s">
        <v>3</v>
      </c>
      <c r="O320" s="5">
        <v>2</v>
      </c>
      <c r="P320" s="5">
        <f>ROUND(Source!EP313,O320)</f>
        <v>0</v>
      </c>
      <c r="Q320" s="5"/>
      <c r="R320" s="5"/>
      <c r="S320" s="5"/>
      <c r="T320" s="5"/>
      <c r="U320" s="5"/>
      <c r="V320" s="5"/>
      <c r="W320" s="5">
        <v>0</v>
      </c>
      <c r="X320" s="5">
        <v>1</v>
      </c>
      <c r="Y320" s="5">
        <v>0</v>
      </c>
      <c r="Z320" s="5">
        <v>0</v>
      </c>
      <c r="AA320" s="5">
        <v>1</v>
      </c>
      <c r="AB320" s="5">
        <v>0</v>
      </c>
    </row>
    <row r="321" spans="1:28" x14ac:dyDescent="0.2">
      <c r="A321" s="5">
        <v>50</v>
      </c>
      <c r="B321" s="5">
        <v>0</v>
      </c>
      <c r="C321" s="5">
        <v>0</v>
      </c>
      <c r="D321" s="5">
        <v>1</v>
      </c>
      <c r="E321" s="5">
        <v>228</v>
      </c>
      <c r="F321" s="5">
        <f>ROUND(Source!AY313,O321)</f>
        <v>143852.88</v>
      </c>
      <c r="G321" s="5" t="s">
        <v>50</v>
      </c>
      <c r="H321" s="5" t="s">
        <v>51</v>
      </c>
      <c r="I321" s="5"/>
      <c r="J321" s="5"/>
      <c r="K321" s="5">
        <v>228</v>
      </c>
      <c r="L321" s="5">
        <v>7</v>
      </c>
      <c r="M321" s="5">
        <v>3</v>
      </c>
      <c r="N321" s="5" t="s">
        <v>3</v>
      </c>
      <c r="O321" s="5">
        <v>2</v>
      </c>
      <c r="P321" s="5">
        <f>ROUND(Source!EQ313,O321)</f>
        <v>1786685.75</v>
      </c>
      <c r="Q321" s="5"/>
      <c r="R321" s="5"/>
      <c r="S321" s="5"/>
      <c r="T321" s="5"/>
      <c r="U321" s="5"/>
      <c r="V321" s="5"/>
      <c r="W321" s="5">
        <v>143852.88</v>
      </c>
      <c r="X321" s="5">
        <v>1</v>
      </c>
      <c r="Y321" s="5">
        <v>143852.88</v>
      </c>
      <c r="Z321" s="5">
        <v>1786685.75</v>
      </c>
      <c r="AA321" s="5">
        <v>1</v>
      </c>
      <c r="AB321" s="5">
        <v>1786685.75</v>
      </c>
    </row>
    <row r="322" spans="1:28" x14ac:dyDescent="0.2">
      <c r="A322" s="5">
        <v>50</v>
      </c>
      <c r="B322" s="5">
        <v>0</v>
      </c>
      <c r="C322" s="5">
        <v>0</v>
      </c>
      <c r="D322" s="5">
        <v>1</v>
      </c>
      <c r="E322" s="5">
        <v>216</v>
      </c>
      <c r="F322" s="5">
        <f>ROUND(Source!AP313,O322)</f>
        <v>0</v>
      </c>
      <c r="G322" s="5" t="s">
        <v>52</v>
      </c>
      <c r="H322" s="5" t="s">
        <v>53</v>
      </c>
      <c r="I322" s="5"/>
      <c r="J322" s="5"/>
      <c r="K322" s="5">
        <v>216</v>
      </c>
      <c r="L322" s="5">
        <v>8</v>
      </c>
      <c r="M322" s="5">
        <v>3</v>
      </c>
      <c r="N322" s="5" t="s">
        <v>3</v>
      </c>
      <c r="O322" s="5">
        <v>2</v>
      </c>
      <c r="P322" s="5">
        <f>ROUND(Source!EH313,O322)</f>
        <v>0</v>
      </c>
      <c r="Q322" s="5"/>
      <c r="R322" s="5"/>
      <c r="S322" s="5"/>
      <c r="T322" s="5"/>
      <c r="U322" s="5"/>
      <c r="V322" s="5"/>
      <c r="W322" s="5">
        <v>0</v>
      </c>
      <c r="X322" s="5">
        <v>1</v>
      </c>
      <c r="Y322" s="5">
        <v>0</v>
      </c>
      <c r="Z322" s="5">
        <v>0</v>
      </c>
      <c r="AA322" s="5">
        <v>1</v>
      </c>
      <c r="AB322" s="5">
        <v>0</v>
      </c>
    </row>
    <row r="323" spans="1:28" x14ac:dyDescent="0.2">
      <c r="A323" s="5">
        <v>50</v>
      </c>
      <c r="B323" s="5">
        <v>0</v>
      </c>
      <c r="C323" s="5">
        <v>0</v>
      </c>
      <c r="D323" s="5">
        <v>1</v>
      </c>
      <c r="E323" s="5">
        <v>223</v>
      </c>
      <c r="F323" s="5">
        <f>ROUND(Source!AQ313,O323)</f>
        <v>0</v>
      </c>
      <c r="G323" s="5" t="s">
        <v>54</v>
      </c>
      <c r="H323" s="5" t="s">
        <v>55</v>
      </c>
      <c r="I323" s="5"/>
      <c r="J323" s="5"/>
      <c r="K323" s="5">
        <v>223</v>
      </c>
      <c r="L323" s="5">
        <v>9</v>
      </c>
      <c r="M323" s="5">
        <v>3</v>
      </c>
      <c r="N323" s="5" t="s">
        <v>3</v>
      </c>
      <c r="O323" s="5">
        <v>2</v>
      </c>
      <c r="P323" s="5">
        <f>ROUND(Source!EI313,O323)</f>
        <v>0</v>
      </c>
      <c r="Q323" s="5"/>
      <c r="R323" s="5"/>
      <c r="S323" s="5"/>
      <c r="T323" s="5"/>
      <c r="U323" s="5"/>
      <c r="V323" s="5"/>
      <c r="W323" s="5">
        <v>0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</row>
    <row r="324" spans="1:28" x14ac:dyDescent="0.2">
      <c r="A324" s="5">
        <v>50</v>
      </c>
      <c r="B324" s="5">
        <v>0</v>
      </c>
      <c r="C324" s="5">
        <v>0</v>
      </c>
      <c r="D324" s="5">
        <v>1</v>
      </c>
      <c r="E324" s="5">
        <v>229</v>
      </c>
      <c r="F324" s="5">
        <f>ROUND(Source!AZ313,O324)</f>
        <v>0</v>
      </c>
      <c r="G324" s="5" t="s">
        <v>56</v>
      </c>
      <c r="H324" s="5" t="s">
        <v>57</v>
      </c>
      <c r="I324" s="5"/>
      <c r="J324" s="5"/>
      <c r="K324" s="5">
        <v>229</v>
      </c>
      <c r="L324" s="5">
        <v>10</v>
      </c>
      <c r="M324" s="5">
        <v>3</v>
      </c>
      <c r="N324" s="5" t="s">
        <v>3</v>
      </c>
      <c r="O324" s="5">
        <v>2</v>
      </c>
      <c r="P324" s="5">
        <f>ROUND(Source!ER313,O324)</f>
        <v>0</v>
      </c>
      <c r="Q324" s="5"/>
      <c r="R324" s="5"/>
      <c r="S324" s="5"/>
      <c r="T324" s="5"/>
      <c r="U324" s="5"/>
      <c r="V324" s="5"/>
      <c r="W324" s="5">
        <v>0</v>
      </c>
      <c r="X324" s="5">
        <v>1</v>
      </c>
      <c r="Y324" s="5">
        <v>0</v>
      </c>
      <c r="Z324" s="5">
        <v>0</v>
      </c>
      <c r="AA324" s="5">
        <v>1</v>
      </c>
      <c r="AB324" s="5">
        <v>0</v>
      </c>
    </row>
    <row r="325" spans="1:28" x14ac:dyDescent="0.2">
      <c r="A325" s="5">
        <v>50</v>
      </c>
      <c r="B325" s="5">
        <v>0</v>
      </c>
      <c r="C325" s="5">
        <v>0</v>
      </c>
      <c r="D325" s="5">
        <v>1</v>
      </c>
      <c r="E325" s="5">
        <v>203</v>
      </c>
      <c r="F325" s="5">
        <f>ROUND(Source!Q313,O325)</f>
        <v>2916.71</v>
      </c>
      <c r="G325" s="5" t="s">
        <v>58</v>
      </c>
      <c r="H325" s="5" t="s">
        <v>59</v>
      </c>
      <c r="I325" s="5"/>
      <c r="J325" s="5"/>
      <c r="K325" s="5">
        <v>203</v>
      </c>
      <c r="L325" s="5">
        <v>11</v>
      </c>
      <c r="M325" s="5">
        <v>3</v>
      </c>
      <c r="N325" s="5" t="s">
        <v>3</v>
      </c>
      <c r="O325" s="5">
        <v>2</v>
      </c>
      <c r="P325" s="5">
        <f>ROUND(Source!DI313,O325)</f>
        <v>45152.56</v>
      </c>
      <c r="Q325" s="5"/>
      <c r="R325" s="5"/>
      <c r="S325" s="5"/>
      <c r="T325" s="5"/>
      <c r="U325" s="5"/>
      <c r="V325" s="5"/>
      <c r="W325" s="5">
        <v>2916.71</v>
      </c>
      <c r="X325" s="5">
        <v>1</v>
      </c>
      <c r="Y325" s="5">
        <v>2916.71</v>
      </c>
      <c r="Z325" s="5">
        <v>45152.56</v>
      </c>
      <c r="AA325" s="5">
        <v>1</v>
      </c>
      <c r="AB325" s="5">
        <v>45152.56</v>
      </c>
    </row>
    <row r="326" spans="1:28" x14ac:dyDescent="0.2">
      <c r="A326" s="5">
        <v>50</v>
      </c>
      <c r="B326" s="5">
        <v>0</v>
      </c>
      <c r="C326" s="5">
        <v>0</v>
      </c>
      <c r="D326" s="5">
        <v>1</v>
      </c>
      <c r="E326" s="5">
        <v>231</v>
      </c>
      <c r="F326" s="5">
        <f>ROUND(Source!BB313,O326)</f>
        <v>0</v>
      </c>
      <c r="G326" s="5" t="s">
        <v>60</v>
      </c>
      <c r="H326" s="5" t="s">
        <v>61</v>
      </c>
      <c r="I326" s="5"/>
      <c r="J326" s="5"/>
      <c r="K326" s="5">
        <v>231</v>
      </c>
      <c r="L326" s="5">
        <v>12</v>
      </c>
      <c r="M326" s="5">
        <v>3</v>
      </c>
      <c r="N326" s="5" t="s">
        <v>3</v>
      </c>
      <c r="O326" s="5">
        <v>2</v>
      </c>
      <c r="P326" s="5">
        <f>ROUND(Source!ET313,O326)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7" spans="1:28" x14ac:dyDescent="0.2">
      <c r="A327" s="5">
        <v>50</v>
      </c>
      <c r="B327" s="5">
        <v>0</v>
      </c>
      <c r="C327" s="5">
        <v>0</v>
      </c>
      <c r="D327" s="5">
        <v>1</v>
      </c>
      <c r="E327" s="5">
        <v>204</v>
      </c>
      <c r="F327" s="5">
        <f>ROUND(Source!R313,O327)</f>
        <v>389.66</v>
      </c>
      <c r="G327" s="5" t="s">
        <v>62</v>
      </c>
      <c r="H327" s="5" t="s">
        <v>63</v>
      </c>
      <c r="I327" s="5"/>
      <c r="J327" s="5"/>
      <c r="K327" s="5">
        <v>204</v>
      </c>
      <c r="L327" s="5">
        <v>13</v>
      </c>
      <c r="M327" s="5">
        <v>3</v>
      </c>
      <c r="N327" s="5" t="s">
        <v>3</v>
      </c>
      <c r="O327" s="5">
        <v>2</v>
      </c>
      <c r="P327" s="5">
        <f>ROUND(Source!DJ313,O327)</f>
        <v>21427.42</v>
      </c>
      <c r="Q327" s="5"/>
      <c r="R327" s="5"/>
      <c r="S327" s="5"/>
      <c r="T327" s="5"/>
      <c r="U327" s="5"/>
      <c r="V327" s="5"/>
      <c r="W327" s="5">
        <v>389.66</v>
      </c>
      <c r="X327" s="5">
        <v>1</v>
      </c>
      <c r="Y327" s="5">
        <v>389.66</v>
      </c>
      <c r="Z327" s="5">
        <v>21427.42</v>
      </c>
      <c r="AA327" s="5">
        <v>1</v>
      </c>
      <c r="AB327" s="5">
        <v>21427.42</v>
      </c>
    </row>
    <row r="328" spans="1:28" x14ac:dyDescent="0.2">
      <c r="A328" s="5">
        <v>50</v>
      </c>
      <c r="B328" s="5">
        <v>0</v>
      </c>
      <c r="C328" s="5">
        <v>0</v>
      </c>
      <c r="D328" s="5">
        <v>1</v>
      </c>
      <c r="E328" s="5">
        <v>205</v>
      </c>
      <c r="F328" s="5">
        <f>ROUND(Source!S313,O328)</f>
        <v>23546</v>
      </c>
      <c r="G328" s="5" t="s">
        <v>64</v>
      </c>
      <c r="H328" s="5" t="s">
        <v>65</v>
      </c>
      <c r="I328" s="5"/>
      <c r="J328" s="5"/>
      <c r="K328" s="5">
        <v>205</v>
      </c>
      <c r="L328" s="5">
        <v>14</v>
      </c>
      <c r="M328" s="5">
        <v>3</v>
      </c>
      <c r="N328" s="5" t="s">
        <v>3</v>
      </c>
      <c r="O328" s="5">
        <v>2</v>
      </c>
      <c r="P328" s="5">
        <f>ROUND(Source!DK313,O328)</f>
        <v>1294794.54</v>
      </c>
      <c r="Q328" s="5"/>
      <c r="R328" s="5"/>
      <c r="S328" s="5"/>
      <c r="T328" s="5"/>
      <c r="U328" s="5"/>
      <c r="V328" s="5"/>
      <c r="W328" s="5">
        <v>23546</v>
      </c>
      <c r="X328" s="5">
        <v>1</v>
      </c>
      <c r="Y328" s="5">
        <v>23546</v>
      </c>
      <c r="Z328" s="5">
        <v>1294794.54</v>
      </c>
      <c r="AA328" s="5">
        <v>1</v>
      </c>
      <c r="AB328" s="5">
        <v>1294794.54</v>
      </c>
    </row>
    <row r="329" spans="1:28" x14ac:dyDescent="0.2">
      <c r="A329" s="5">
        <v>50</v>
      </c>
      <c r="B329" s="5">
        <v>0</v>
      </c>
      <c r="C329" s="5">
        <v>0</v>
      </c>
      <c r="D329" s="5">
        <v>1</v>
      </c>
      <c r="E329" s="5">
        <v>232</v>
      </c>
      <c r="F329" s="5">
        <f>ROUND(Source!BC313,O329)</f>
        <v>0</v>
      </c>
      <c r="G329" s="5" t="s">
        <v>66</v>
      </c>
      <c r="H329" s="5" t="s">
        <v>67</v>
      </c>
      <c r="I329" s="5"/>
      <c r="J329" s="5"/>
      <c r="K329" s="5">
        <v>232</v>
      </c>
      <c r="L329" s="5">
        <v>15</v>
      </c>
      <c r="M329" s="5">
        <v>3</v>
      </c>
      <c r="N329" s="5" t="s">
        <v>3</v>
      </c>
      <c r="O329" s="5">
        <v>2</v>
      </c>
      <c r="P329" s="5">
        <f>ROUND(Source!EU313,O329)</f>
        <v>0</v>
      </c>
      <c r="Q329" s="5"/>
      <c r="R329" s="5"/>
      <c r="S329" s="5"/>
      <c r="T329" s="5"/>
      <c r="U329" s="5"/>
      <c r="V329" s="5"/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</row>
    <row r="330" spans="1:28" x14ac:dyDescent="0.2">
      <c r="A330" s="5">
        <v>50</v>
      </c>
      <c r="B330" s="5">
        <v>0</v>
      </c>
      <c r="C330" s="5">
        <v>0</v>
      </c>
      <c r="D330" s="5">
        <v>1</v>
      </c>
      <c r="E330" s="5">
        <v>214</v>
      </c>
      <c r="F330" s="5">
        <f>ROUND(Source!AS313,O330)</f>
        <v>211006.21</v>
      </c>
      <c r="G330" s="5" t="s">
        <v>68</v>
      </c>
      <c r="H330" s="5" t="s">
        <v>69</v>
      </c>
      <c r="I330" s="5"/>
      <c r="J330" s="5"/>
      <c r="K330" s="5">
        <v>214</v>
      </c>
      <c r="L330" s="5">
        <v>16</v>
      </c>
      <c r="M330" s="5">
        <v>3</v>
      </c>
      <c r="N330" s="5" t="s">
        <v>3</v>
      </c>
      <c r="O330" s="5">
        <v>2</v>
      </c>
      <c r="P330" s="5">
        <f>ROUND(Source!EK313,O330)</f>
        <v>5364210.17</v>
      </c>
      <c r="Q330" s="5"/>
      <c r="R330" s="5"/>
      <c r="S330" s="5"/>
      <c r="T330" s="5"/>
      <c r="U330" s="5"/>
      <c r="V330" s="5"/>
      <c r="W330" s="5">
        <v>211006.21</v>
      </c>
      <c r="X330" s="5">
        <v>1</v>
      </c>
      <c r="Y330" s="5">
        <v>211006.21</v>
      </c>
      <c r="Z330" s="5">
        <v>5364210.17</v>
      </c>
      <c r="AA330" s="5">
        <v>1</v>
      </c>
      <c r="AB330" s="5">
        <v>5364210.17</v>
      </c>
    </row>
    <row r="331" spans="1:28" x14ac:dyDescent="0.2">
      <c r="A331" s="5">
        <v>50</v>
      </c>
      <c r="B331" s="5">
        <v>0</v>
      </c>
      <c r="C331" s="5">
        <v>0</v>
      </c>
      <c r="D331" s="5">
        <v>1</v>
      </c>
      <c r="E331" s="5">
        <v>215</v>
      </c>
      <c r="F331" s="5">
        <f>ROUND(Source!AT313,O331)</f>
        <v>0</v>
      </c>
      <c r="G331" s="5" t="s">
        <v>70</v>
      </c>
      <c r="H331" s="5" t="s">
        <v>71</v>
      </c>
      <c r="I331" s="5"/>
      <c r="J331" s="5"/>
      <c r="K331" s="5">
        <v>215</v>
      </c>
      <c r="L331" s="5">
        <v>17</v>
      </c>
      <c r="M331" s="5">
        <v>3</v>
      </c>
      <c r="N331" s="5" t="s">
        <v>3</v>
      </c>
      <c r="O331" s="5">
        <v>2</v>
      </c>
      <c r="P331" s="5">
        <f>ROUND(Source!EL313,O331)</f>
        <v>0</v>
      </c>
      <c r="Q331" s="5"/>
      <c r="R331" s="5"/>
      <c r="S331" s="5"/>
      <c r="T331" s="5"/>
      <c r="U331" s="5"/>
      <c r="V331" s="5"/>
      <c r="W331" s="5">
        <v>0</v>
      </c>
      <c r="X331" s="5">
        <v>1</v>
      </c>
      <c r="Y331" s="5">
        <v>0</v>
      </c>
      <c r="Z331" s="5">
        <v>0</v>
      </c>
      <c r="AA331" s="5">
        <v>1</v>
      </c>
      <c r="AB331" s="5">
        <v>0</v>
      </c>
    </row>
    <row r="332" spans="1:28" x14ac:dyDescent="0.2">
      <c r="A332" s="5">
        <v>50</v>
      </c>
      <c r="B332" s="5">
        <v>0</v>
      </c>
      <c r="C332" s="5">
        <v>0</v>
      </c>
      <c r="D332" s="5">
        <v>1</v>
      </c>
      <c r="E332" s="5">
        <v>217</v>
      </c>
      <c r="F332" s="5">
        <f>ROUND(Source!AU313,O332)</f>
        <v>0</v>
      </c>
      <c r="G332" s="5" t="s">
        <v>72</v>
      </c>
      <c r="H332" s="5" t="s">
        <v>73</v>
      </c>
      <c r="I332" s="5"/>
      <c r="J332" s="5"/>
      <c r="K332" s="5">
        <v>217</v>
      </c>
      <c r="L332" s="5">
        <v>18</v>
      </c>
      <c r="M332" s="5">
        <v>3</v>
      </c>
      <c r="N332" s="5" t="s">
        <v>3</v>
      </c>
      <c r="O332" s="5">
        <v>2</v>
      </c>
      <c r="P332" s="5">
        <f>ROUND(Source!EM313,O332)</f>
        <v>0</v>
      </c>
      <c r="Q332" s="5"/>
      <c r="R332" s="5"/>
      <c r="S332" s="5"/>
      <c r="T332" s="5"/>
      <c r="U332" s="5"/>
      <c r="V332" s="5"/>
      <c r="W332" s="5">
        <v>0</v>
      </c>
      <c r="X332" s="5">
        <v>1</v>
      </c>
      <c r="Y332" s="5">
        <v>0</v>
      </c>
      <c r="Z332" s="5">
        <v>0</v>
      </c>
      <c r="AA332" s="5">
        <v>1</v>
      </c>
      <c r="AB332" s="5">
        <v>0</v>
      </c>
    </row>
    <row r="333" spans="1:28" x14ac:dyDescent="0.2">
      <c r="A333" s="5">
        <v>50</v>
      </c>
      <c r="B333" s="5">
        <v>0</v>
      </c>
      <c r="C333" s="5">
        <v>0</v>
      </c>
      <c r="D333" s="5">
        <v>1</v>
      </c>
      <c r="E333" s="5">
        <v>230</v>
      </c>
      <c r="F333" s="5">
        <f>ROUND(Source!BA313,O333)</f>
        <v>0</v>
      </c>
      <c r="G333" s="5" t="s">
        <v>74</v>
      </c>
      <c r="H333" s="5" t="s">
        <v>75</v>
      </c>
      <c r="I333" s="5"/>
      <c r="J333" s="5"/>
      <c r="K333" s="5">
        <v>230</v>
      </c>
      <c r="L333" s="5">
        <v>19</v>
      </c>
      <c r="M333" s="5">
        <v>3</v>
      </c>
      <c r="N333" s="5" t="s">
        <v>3</v>
      </c>
      <c r="O333" s="5">
        <v>2</v>
      </c>
      <c r="P333" s="5">
        <f>ROUND(Source!ES313,O333)</f>
        <v>0</v>
      </c>
      <c r="Q333" s="5"/>
      <c r="R333" s="5"/>
      <c r="S333" s="5"/>
      <c r="T333" s="5"/>
      <c r="U333" s="5"/>
      <c r="V333" s="5"/>
      <c r="W333" s="5">
        <v>0</v>
      </c>
      <c r="X333" s="5">
        <v>1</v>
      </c>
      <c r="Y333" s="5">
        <v>0</v>
      </c>
      <c r="Z333" s="5">
        <v>0</v>
      </c>
      <c r="AA333" s="5">
        <v>1</v>
      </c>
      <c r="AB333" s="5">
        <v>0</v>
      </c>
    </row>
    <row r="334" spans="1:28" x14ac:dyDescent="0.2">
      <c r="A334" s="5">
        <v>50</v>
      </c>
      <c r="B334" s="5">
        <v>0</v>
      </c>
      <c r="C334" s="5">
        <v>0</v>
      </c>
      <c r="D334" s="5">
        <v>1</v>
      </c>
      <c r="E334" s="5">
        <v>206</v>
      </c>
      <c r="F334" s="5">
        <f>ROUND(Source!T313,O334)</f>
        <v>0</v>
      </c>
      <c r="G334" s="5" t="s">
        <v>76</v>
      </c>
      <c r="H334" s="5" t="s">
        <v>77</v>
      </c>
      <c r="I334" s="5"/>
      <c r="J334" s="5"/>
      <c r="K334" s="5">
        <v>206</v>
      </c>
      <c r="L334" s="5">
        <v>20</v>
      </c>
      <c r="M334" s="5">
        <v>3</v>
      </c>
      <c r="N334" s="5" t="s">
        <v>3</v>
      </c>
      <c r="O334" s="5">
        <v>2</v>
      </c>
      <c r="P334" s="5">
        <f>ROUND(Source!DL313,O334)</f>
        <v>0</v>
      </c>
      <c r="Q334" s="5"/>
      <c r="R334" s="5"/>
      <c r="S334" s="5"/>
      <c r="T334" s="5"/>
      <c r="U334" s="5"/>
      <c r="V334" s="5"/>
      <c r="W334" s="5">
        <v>0</v>
      </c>
      <c r="X334" s="5">
        <v>1</v>
      </c>
      <c r="Y334" s="5">
        <v>0</v>
      </c>
      <c r="Z334" s="5">
        <v>0</v>
      </c>
      <c r="AA334" s="5">
        <v>1</v>
      </c>
      <c r="AB334" s="5">
        <v>0</v>
      </c>
    </row>
    <row r="335" spans="1:28" x14ac:dyDescent="0.2">
      <c r="A335" s="5">
        <v>50</v>
      </c>
      <c r="B335" s="5">
        <v>0</v>
      </c>
      <c r="C335" s="5">
        <v>0</v>
      </c>
      <c r="D335" s="5">
        <v>1</v>
      </c>
      <c r="E335" s="5">
        <v>207</v>
      </c>
      <c r="F335" s="5">
        <f>Source!U313</f>
        <v>1882.6112789000001</v>
      </c>
      <c r="G335" s="5" t="s">
        <v>78</v>
      </c>
      <c r="H335" s="5" t="s">
        <v>79</v>
      </c>
      <c r="I335" s="5"/>
      <c r="J335" s="5"/>
      <c r="K335" s="5">
        <v>207</v>
      </c>
      <c r="L335" s="5">
        <v>21</v>
      </c>
      <c r="M335" s="5">
        <v>3</v>
      </c>
      <c r="N335" s="5" t="s">
        <v>3</v>
      </c>
      <c r="O335" s="5">
        <v>-1</v>
      </c>
      <c r="P335" s="5">
        <f>Source!DM313</f>
        <v>1882.6112789000001</v>
      </c>
      <c r="Q335" s="5"/>
      <c r="R335" s="5"/>
      <c r="S335" s="5"/>
      <c r="T335" s="5"/>
      <c r="U335" s="5"/>
      <c r="V335" s="5"/>
      <c r="W335" s="5">
        <v>1882.6112789000001</v>
      </c>
      <c r="X335" s="5">
        <v>1</v>
      </c>
      <c r="Y335" s="5">
        <v>1882.6112789000001</v>
      </c>
      <c r="Z335" s="5">
        <v>1882.6112789000001</v>
      </c>
      <c r="AA335" s="5">
        <v>1</v>
      </c>
      <c r="AB335" s="5">
        <v>1882.6112789000001</v>
      </c>
    </row>
    <row r="336" spans="1:28" x14ac:dyDescent="0.2">
      <c r="A336" s="5">
        <v>50</v>
      </c>
      <c r="B336" s="5">
        <v>0</v>
      </c>
      <c r="C336" s="5">
        <v>0</v>
      </c>
      <c r="D336" s="5">
        <v>1</v>
      </c>
      <c r="E336" s="5">
        <v>208</v>
      </c>
      <c r="F336" s="5">
        <f>Source!V313</f>
        <v>0</v>
      </c>
      <c r="G336" s="5" t="s">
        <v>80</v>
      </c>
      <c r="H336" s="5" t="s">
        <v>81</v>
      </c>
      <c r="I336" s="5"/>
      <c r="J336" s="5"/>
      <c r="K336" s="5">
        <v>208</v>
      </c>
      <c r="L336" s="5">
        <v>22</v>
      </c>
      <c r="M336" s="5">
        <v>3</v>
      </c>
      <c r="N336" s="5" t="s">
        <v>3</v>
      </c>
      <c r="O336" s="5">
        <v>-1</v>
      </c>
      <c r="P336" s="5">
        <f>Source!DN313</f>
        <v>0</v>
      </c>
      <c r="Q336" s="5"/>
      <c r="R336" s="5"/>
      <c r="S336" s="5"/>
      <c r="T336" s="5"/>
      <c r="U336" s="5"/>
      <c r="V336" s="5"/>
      <c r="W336" s="5">
        <v>0</v>
      </c>
      <c r="X336" s="5">
        <v>1</v>
      </c>
      <c r="Y336" s="5">
        <v>0</v>
      </c>
      <c r="Z336" s="5">
        <v>0</v>
      </c>
      <c r="AA336" s="5">
        <v>1</v>
      </c>
      <c r="AB336" s="5">
        <v>0</v>
      </c>
    </row>
    <row r="337" spans="1:255" x14ac:dyDescent="0.2">
      <c r="A337" s="5">
        <v>50</v>
      </c>
      <c r="B337" s="5">
        <v>0</v>
      </c>
      <c r="C337" s="5">
        <v>0</v>
      </c>
      <c r="D337" s="5">
        <v>1</v>
      </c>
      <c r="E337" s="5">
        <v>209</v>
      </c>
      <c r="F337" s="5">
        <f>ROUND(Source!W313,O337)</f>
        <v>0</v>
      </c>
      <c r="G337" s="5" t="s">
        <v>82</v>
      </c>
      <c r="H337" s="5" t="s">
        <v>83</v>
      </c>
      <c r="I337" s="5"/>
      <c r="J337" s="5"/>
      <c r="K337" s="5">
        <v>209</v>
      </c>
      <c r="L337" s="5">
        <v>23</v>
      </c>
      <c r="M337" s="5">
        <v>3</v>
      </c>
      <c r="N337" s="5" t="s">
        <v>3</v>
      </c>
      <c r="O337" s="5">
        <v>2</v>
      </c>
      <c r="P337" s="5">
        <f>ROUND(Source!DO313,O337)</f>
        <v>0</v>
      </c>
      <c r="Q337" s="5"/>
      <c r="R337" s="5"/>
      <c r="S337" s="5"/>
      <c r="T337" s="5"/>
      <c r="U337" s="5"/>
      <c r="V337" s="5"/>
      <c r="W337" s="5">
        <v>0</v>
      </c>
      <c r="X337" s="5">
        <v>1</v>
      </c>
      <c r="Y337" s="5">
        <v>0</v>
      </c>
      <c r="Z337" s="5">
        <v>0</v>
      </c>
      <c r="AA337" s="5">
        <v>1</v>
      </c>
      <c r="AB337" s="5">
        <v>0</v>
      </c>
    </row>
    <row r="338" spans="1:255" x14ac:dyDescent="0.2">
      <c r="A338" s="5">
        <v>50</v>
      </c>
      <c r="B338" s="5">
        <v>0</v>
      </c>
      <c r="C338" s="5">
        <v>0</v>
      </c>
      <c r="D338" s="5">
        <v>1</v>
      </c>
      <c r="E338" s="5">
        <v>233</v>
      </c>
      <c r="F338" s="5">
        <f>ROUND(Source!BD313,O338)</f>
        <v>0</v>
      </c>
      <c r="G338" s="5" t="s">
        <v>84</v>
      </c>
      <c r="H338" s="5" t="s">
        <v>85</v>
      </c>
      <c r="I338" s="5"/>
      <c r="J338" s="5"/>
      <c r="K338" s="5">
        <v>233</v>
      </c>
      <c r="L338" s="5">
        <v>24</v>
      </c>
      <c r="M338" s="5">
        <v>3</v>
      </c>
      <c r="N338" s="5" t="s">
        <v>3</v>
      </c>
      <c r="O338" s="5">
        <v>2</v>
      </c>
      <c r="P338" s="5">
        <f>ROUND(Source!EV313,O338)</f>
        <v>0</v>
      </c>
      <c r="Q338" s="5"/>
      <c r="R338" s="5"/>
      <c r="S338" s="5"/>
      <c r="T338" s="5"/>
      <c r="U338" s="5"/>
      <c r="V338" s="5"/>
      <c r="W338" s="5">
        <v>0</v>
      </c>
      <c r="X338" s="5">
        <v>1</v>
      </c>
      <c r="Y338" s="5">
        <v>0</v>
      </c>
      <c r="Z338" s="5">
        <v>0</v>
      </c>
      <c r="AA338" s="5">
        <v>1</v>
      </c>
      <c r="AB338" s="5">
        <v>0</v>
      </c>
    </row>
    <row r="339" spans="1:255" x14ac:dyDescent="0.2">
      <c r="A339" s="5">
        <v>50</v>
      </c>
      <c r="B339" s="5">
        <v>0</v>
      </c>
      <c r="C339" s="5">
        <v>0</v>
      </c>
      <c r="D339" s="5">
        <v>1</v>
      </c>
      <c r="E339" s="5">
        <v>210</v>
      </c>
      <c r="F339" s="5">
        <f>ROUND(Source!X313,O339)</f>
        <v>26089.87</v>
      </c>
      <c r="G339" s="5" t="s">
        <v>86</v>
      </c>
      <c r="H339" s="5" t="s">
        <v>87</v>
      </c>
      <c r="I339" s="5"/>
      <c r="J339" s="5"/>
      <c r="K339" s="5">
        <v>210</v>
      </c>
      <c r="L339" s="5">
        <v>25</v>
      </c>
      <c r="M339" s="5">
        <v>3</v>
      </c>
      <c r="N339" s="5" t="s">
        <v>3</v>
      </c>
      <c r="O339" s="5">
        <v>2</v>
      </c>
      <c r="P339" s="5">
        <f>ROUND(Source!DP313,O339)</f>
        <v>1434681.93</v>
      </c>
      <c r="Q339" s="5"/>
      <c r="R339" s="5"/>
      <c r="S339" s="5"/>
      <c r="T339" s="5"/>
      <c r="U339" s="5"/>
      <c r="V339" s="5"/>
      <c r="W339" s="5">
        <v>26089.87</v>
      </c>
      <c r="X339" s="5">
        <v>1</v>
      </c>
      <c r="Y339" s="5">
        <v>26089.87</v>
      </c>
      <c r="Z339" s="5">
        <v>1434681.93</v>
      </c>
      <c r="AA339" s="5">
        <v>1</v>
      </c>
      <c r="AB339" s="5">
        <v>1434681.93</v>
      </c>
    </row>
    <row r="340" spans="1:255" x14ac:dyDescent="0.2">
      <c r="A340" s="5">
        <v>50</v>
      </c>
      <c r="B340" s="5">
        <v>0</v>
      </c>
      <c r="C340" s="5">
        <v>0</v>
      </c>
      <c r="D340" s="5">
        <v>1</v>
      </c>
      <c r="E340" s="5">
        <v>211</v>
      </c>
      <c r="F340" s="5">
        <f>ROUND(Source!Y313,O340)</f>
        <v>14600.75</v>
      </c>
      <c r="G340" s="5" t="s">
        <v>88</v>
      </c>
      <c r="H340" s="5" t="s">
        <v>89</v>
      </c>
      <c r="I340" s="5"/>
      <c r="J340" s="5"/>
      <c r="K340" s="5">
        <v>211</v>
      </c>
      <c r="L340" s="5">
        <v>26</v>
      </c>
      <c r="M340" s="5">
        <v>3</v>
      </c>
      <c r="N340" s="5" t="s">
        <v>3</v>
      </c>
      <c r="O340" s="5">
        <v>2</v>
      </c>
      <c r="P340" s="5">
        <f>ROUND(Source!DQ313,O340)</f>
        <v>802895.39</v>
      </c>
      <c r="Q340" s="5"/>
      <c r="R340" s="5"/>
      <c r="S340" s="5"/>
      <c r="T340" s="5"/>
      <c r="U340" s="5"/>
      <c r="V340" s="5"/>
      <c r="W340" s="5">
        <v>14600.75</v>
      </c>
      <c r="X340" s="5">
        <v>1</v>
      </c>
      <c r="Y340" s="5">
        <v>14600.75</v>
      </c>
      <c r="Z340" s="5">
        <v>802895.39</v>
      </c>
      <c r="AA340" s="5">
        <v>1</v>
      </c>
      <c r="AB340" s="5">
        <v>802895.39</v>
      </c>
    </row>
    <row r="341" spans="1:255" x14ac:dyDescent="0.2">
      <c r="A341" s="5">
        <v>50</v>
      </c>
      <c r="B341" s="5">
        <v>0</v>
      </c>
      <c r="C341" s="5">
        <v>0</v>
      </c>
      <c r="D341" s="5">
        <v>1</v>
      </c>
      <c r="E341" s="5">
        <v>224</v>
      </c>
      <c r="F341" s="5">
        <f>ROUND(Source!AR313,O341)</f>
        <v>211006.21</v>
      </c>
      <c r="G341" s="5" t="s">
        <v>90</v>
      </c>
      <c r="H341" s="5" t="s">
        <v>91</v>
      </c>
      <c r="I341" s="5"/>
      <c r="J341" s="5"/>
      <c r="K341" s="5">
        <v>224</v>
      </c>
      <c r="L341" s="5">
        <v>27</v>
      </c>
      <c r="M341" s="5">
        <v>3</v>
      </c>
      <c r="N341" s="5" t="s">
        <v>3</v>
      </c>
      <c r="O341" s="5">
        <v>2</v>
      </c>
      <c r="P341" s="5">
        <f>ROUND(Source!EJ313,O341)</f>
        <v>5364210.17</v>
      </c>
      <c r="Q341" s="5"/>
      <c r="R341" s="5"/>
      <c r="S341" s="5"/>
      <c r="T341" s="5"/>
      <c r="U341" s="5"/>
      <c r="V341" s="5"/>
      <c r="W341" s="5">
        <v>211006.21</v>
      </c>
      <c r="X341" s="5">
        <v>1</v>
      </c>
      <c r="Y341" s="5">
        <v>211006.21</v>
      </c>
      <c r="Z341" s="5">
        <v>5364210.17</v>
      </c>
      <c r="AA341" s="5">
        <v>1</v>
      </c>
      <c r="AB341" s="5">
        <v>5364210.17</v>
      </c>
    </row>
    <row r="343" spans="1:255" x14ac:dyDescent="0.2">
      <c r="A343" s="1">
        <v>4</v>
      </c>
      <c r="B343" s="1">
        <v>1</v>
      </c>
      <c r="C343" s="1"/>
      <c r="D343" s="1">
        <f>ROW(A364)</f>
        <v>364</v>
      </c>
      <c r="E343" s="1"/>
      <c r="F343" s="1" t="s">
        <v>3</v>
      </c>
      <c r="G343" s="1" t="s">
        <v>426</v>
      </c>
      <c r="H343" s="1" t="s">
        <v>3</v>
      </c>
      <c r="I343" s="1">
        <v>0</v>
      </c>
      <c r="J343" s="1"/>
      <c r="K343" s="1">
        <v>-1</v>
      </c>
      <c r="L343" s="1"/>
      <c r="M343" s="1" t="s">
        <v>3</v>
      </c>
      <c r="N343" s="1"/>
      <c r="O343" s="1"/>
      <c r="P343" s="1"/>
      <c r="Q343" s="1"/>
      <c r="R343" s="1"/>
      <c r="S343" s="1">
        <v>0</v>
      </c>
      <c r="T343" s="1">
        <v>0</v>
      </c>
      <c r="U343" s="1" t="s">
        <v>3</v>
      </c>
      <c r="V343" s="1">
        <v>0</v>
      </c>
      <c r="W343" s="1"/>
      <c r="X343" s="1"/>
      <c r="Y343" s="1"/>
      <c r="Z343" s="1"/>
      <c r="AA343" s="1"/>
      <c r="AB343" s="1" t="s">
        <v>3</v>
      </c>
      <c r="AC343" s="1" t="s">
        <v>3</v>
      </c>
      <c r="AD343" s="1" t="s">
        <v>3</v>
      </c>
      <c r="AE343" s="1" t="s">
        <v>3</v>
      </c>
      <c r="AF343" s="1" t="s">
        <v>3</v>
      </c>
      <c r="AG343" s="1" t="s">
        <v>3</v>
      </c>
      <c r="AH343" s="1"/>
      <c r="AI343" s="1"/>
      <c r="AJ343" s="1"/>
      <c r="AK343" s="1"/>
      <c r="AL343" s="1"/>
      <c r="AM343" s="1"/>
      <c r="AN343" s="1"/>
      <c r="AO343" s="1"/>
      <c r="AP343" s="1" t="s">
        <v>3</v>
      </c>
      <c r="AQ343" s="1" t="s">
        <v>3</v>
      </c>
      <c r="AR343" s="1" t="s">
        <v>3</v>
      </c>
      <c r="AS343" s="1"/>
      <c r="AT343" s="1"/>
      <c r="AU343" s="1"/>
      <c r="AV343" s="1"/>
      <c r="AW343" s="1"/>
      <c r="AX343" s="1"/>
      <c r="AY343" s="1"/>
      <c r="AZ343" s="1" t="s">
        <v>3</v>
      </c>
      <c r="BA343" s="1"/>
      <c r="BB343" s="1" t="s">
        <v>3</v>
      </c>
      <c r="BC343" s="1" t="s">
        <v>3</v>
      </c>
      <c r="BD343" s="1" t="s">
        <v>3</v>
      </c>
      <c r="BE343" s="1" t="s">
        <v>3</v>
      </c>
      <c r="BF343" s="1" t="s">
        <v>3</v>
      </c>
      <c r="BG343" s="1" t="s">
        <v>3</v>
      </c>
      <c r="BH343" s="1" t="s">
        <v>3</v>
      </c>
      <c r="BI343" s="1" t="s">
        <v>3</v>
      </c>
      <c r="BJ343" s="1" t="s">
        <v>3</v>
      </c>
      <c r="BK343" s="1" t="s">
        <v>3</v>
      </c>
      <c r="BL343" s="1" t="s">
        <v>3</v>
      </c>
      <c r="BM343" s="1" t="s">
        <v>3</v>
      </c>
      <c r="BN343" s="1" t="s">
        <v>3</v>
      </c>
      <c r="BO343" s="1" t="s">
        <v>3</v>
      </c>
      <c r="BP343" s="1" t="s">
        <v>3</v>
      </c>
      <c r="BQ343" s="1"/>
      <c r="BR343" s="1"/>
      <c r="BS343" s="1"/>
      <c r="BT343" s="1"/>
      <c r="BU343" s="1"/>
      <c r="BV343" s="1"/>
      <c r="BW343" s="1"/>
      <c r="BX343" s="1">
        <v>0</v>
      </c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>
        <v>0</v>
      </c>
    </row>
    <row r="345" spans="1:255" x14ac:dyDescent="0.2">
      <c r="A345" s="3">
        <v>52</v>
      </c>
      <c r="B345" s="3">
        <f t="shared" ref="B345:G345" si="359">B364</f>
        <v>1</v>
      </c>
      <c r="C345" s="3">
        <f t="shared" si="359"/>
        <v>4</v>
      </c>
      <c r="D345" s="3">
        <f t="shared" si="359"/>
        <v>343</v>
      </c>
      <c r="E345" s="3">
        <f t="shared" si="359"/>
        <v>0</v>
      </c>
      <c r="F345" s="3" t="str">
        <f t="shared" si="359"/>
        <v/>
      </c>
      <c r="G345" s="3" t="str">
        <f t="shared" si="359"/>
        <v>Изоляция трубная</v>
      </c>
      <c r="H345" s="3"/>
      <c r="I345" s="3"/>
      <c r="J345" s="3"/>
      <c r="K345" s="3"/>
      <c r="L345" s="3"/>
      <c r="M345" s="3"/>
      <c r="N345" s="3"/>
      <c r="O345" s="3">
        <f t="shared" ref="O345:AT345" si="360">O364</f>
        <v>142636.49</v>
      </c>
      <c r="P345" s="3">
        <f t="shared" si="360"/>
        <v>136237.17000000001</v>
      </c>
      <c r="Q345" s="3">
        <f t="shared" si="360"/>
        <v>1098.67</v>
      </c>
      <c r="R345" s="3">
        <f t="shared" si="360"/>
        <v>441.94</v>
      </c>
      <c r="S345" s="3">
        <f t="shared" si="360"/>
        <v>5300.65</v>
      </c>
      <c r="T345" s="3">
        <f t="shared" si="360"/>
        <v>0</v>
      </c>
      <c r="U345" s="3">
        <f t="shared" si="360"/>
        <v>420.01811239310996</v>
      </c>
      <c r="V345" s="3">
        <f t="shared" si="360"/>
        <v>0</v>
      </c>
      <c r="W345" s="3">
        <f t="shared" si="360"/>
        <v>0</v>
      </c>
      <c r="X345" s="3">
        <f t="shared" si="360"/>
        <v>4996.05</v>
      </c>
      <c r="Y345" s="3">
        <f t="shared" si="360"/>
        <v>2699.02</v>
      </c>
      <c r="Z345" s="3">
        <f t="shared" si="360"/>
        <v>0</v>
      </c>
      <c r="AA345" s="3">
        <f t="shared" si="360"/>
        <v>0</v>
      </c>
      <c r="AB345" s="3">
        <f t="shared" si="360"/>
        <v>142636.49</v>
      </c>
      <c r="AC345" s="3">
        <f t="shared" si="360"/>
        <v>136237.17000000001</v>
      </c>
      <c r="AD345" s="3">
        <f t="shared" si="360"/>
        <v>1098.67</v>
      </c>
      <c r="AE345" s="3">
        <f t="shared" si="360"/>
        <v>441.94</v>
      </c>
      <c r="AF345" s="3">
        <f t="shared" si="360"/>
        <v>5300.65</v>
      </c>
      <c r="AG345" s="3">
        <f t="shared" si="360"/>
        <v>0</v>
      </c>
      <c r="AH345" s="3">
        <f t="shared" si="360"/>
        <v>420.01811239310996</v>
      </c>
      <c r="AI345" s="3">
        <f t="shared" si="360"/>
        <v>0</v>
      </c>
      <c r="AJ345" s="3">
        <f t="shared" si="360"/>
        <v>0</v>
      </c>
      <c r="AK345" s="3">
        <f t="shared" si="360"/>
        <v>4996.05</v>
      </c>
      <c r="AL345" s="3">
        <f t="shared" si="360"/>
        <v>2699.02</v>
      </c>
      <c r="AM345" s="3">
        <f t="shared" si="360"/>
        <v>0</v>
      </c>
      <c r="AN345" s="3">
        <f t="shared" si="360"/>
        <v>0</v>
      </c>
      <c r="AO345" s="3">
        <f t="shared" si="360"/>
        <v>0</v>
      </c>
      <c r="AP345" s="3">
        <f t="shared" si="360"/>
        <v>0</v>
      </c>
      <c r="AQ345" s="3">
        <f t="shared" si="360"/>
        <v>0</v>
      </c>
      <c r="AR345" s="3">
        <f t="shared" si="360"/>
        <v>150331.56</v>
      </c>
      <c r="AS345" s="3">
        <f t="shared" si="360"/>
        <v>150331.56</v>
      </c>
      <c r="AT345" s="3">
        <f t="shared" si="360"/>
        <v>0</v>
      </c>
      <c r="AU345" s="3">
        <f t="shared" ref="AU345:BZ345" si="361">AU364</f>
        <v>0</v>
      </c>
      <c r="AV345" s="3">
        <f t="shared" si="361"/>
        <v>136237.17000000001</v>
      </c>
      <c r="AW345" s="3">
        <f t="shared" si="361"/>
        <v>136237.17000000001</v>
      </c>
      <c r="AX345" s="3">
        <f t="shared" si="361"/>
        <v>0</v>
      </c>
      <c r="AY345" s="3">
        <f t="shared" si="361"/>
        <v>136237.17000000001</v>
      </c>
      <c r="AZ345" s="3">
        <f t="shared" si="361"/>
        <v>0</v>
      </c>
      <c r="BA345" s="3">
        <f t="shared" si="361"/>
        <v>0</v>
      </c>
      <c r="BB345" s="3">
        <f t="shared" si="361"/>
        <v>0</v>
      </c>
      <c r="BC345" s="3">
        <f t="shared" si="361"/>
        <v>0</v>
      </c>
      <c r="BD345" s="3">
        <f t="shared" si="361"/>
        <v>0</v>
      </c>
      <c r="BE345" s="3">
        <f t="shared" si="361"/>
        <v>0</v>
      </c>
      <c r="BF345" s="3">
        <f t="shared" si="361"/>
        <v>0</v>
      </c>
      <c r="BG345" s="3">
        <f t="shared" si="361"/>
        <v>0</v>
      </c>
      <c r="BH345" s="3">
        <f t="shared" si="361"/>
        <v>0</v>
      </c>
      <c r="BI345" s="3">
        <f t="shared" si="361"/>
        <v>0</v>
      </c>
      <c r="BJ345" s="3">
        <f t="shared" si="361"/>
        <v>0</v>
      </c>
      <c r="BK345" s="3">
        <f t="shared" si="361"/>
        <v>0</v>
      </c>
      <c r="BL345" s="3">
        <f t="shared" si="361"/>
        <v>0</v>
      </c>
      <c r="BM345" s="3">
        <f t="shared" si="361"/>
        <v>0</v>
      </c>
      <c r="BN345" s="3">
        <f t="shared" si="361"/>
        <v>0</v>
      </c>
      <c r="BO345" s="3">
        <f t="shared" si="361"/>
        <v>0</v>
      </c>
      <c r="BP345" s="3">
        <f t="shared" si="361"/>
        <v>0</v>
      </c>
      <c r="BQ345" s="3">
        <f t="shared" si="361"/>
        <v>0</v>
      </c>
      <c r="BR345" s="3">
        <f t="shared" si="361"/>
        <v>0</v>
      </c>
      <c r="BS345" s="3">
        <f t="shared" si="361"/>
        <v>0</v>
      </c>
      <c r="BT345" s="3">
        <f t="shared" si="361"/>
        <v>0</v>
      </c>
      <c r="BU345" s="3">
        <f t="shared" si="361"/>
        <v>0</v>
      </c>
      <c r="BV345" s="3">
        <f t="shared" si="361"/>
        <v>0</v>
      </c>
      <c r="BW345" s="3">
        <f t="shared" si="361"/>
        <v>0</v>
      </c>
      <c r="BX345" s="3">
        <f t="shared" si="361"/>
        <v>0</v>
      </c>
      <c r="BY345" s="3">
        <f t="shared" si="361"/>
        <v>0</v>
      </c>
      <c r="BZ345" s="3">
        <f t="shared" si="361"/>
        <v>0</v>
      </c>
      <c r="CA345" s="3">
        <f t="shared" ref="CA345:DF345" si="362">CA364</f>
        <v>150331.56</v>
      </c>
      <c r="CB345" s="3">
        <f t="shared" si="362"/>
        <v>150331.56</v>
      </c>
      <c r="CC345" s="3">
        <f t="shared" si="362"/>
        <v>0</v>
      </c>
      <c r="CD345" s="3">
        <f t="shared" si="362"/>
        <v>0</v>
      </c>
      <c r="CE345" s="3">
        <f t="shared" si="362"/>
        <v>136237.17000000001</v>
      </c>
      <c r="CF345" s="3">
        <f t="shared" si="362"/>
        <v>136237.17000000001</v>
      </c>
      <c r="CG345" s="3">
        <f t="shared" si="362"/>
        <v>0</v>
      </c>
      <c r="CH345" s="3">
        <f t="shared" si="362"/>
        <v>136237.17000000001</v>
      </c>
      <c r="CI345" s="3">
        <f t="shared" si="362"/>
        <v>0</v>
      </c>
      <c r="CJ345" s="3">
        <f t="shared" si="362"/>
        <v>0</v>
      </c>
      <c r="CK345" s="3">
        <f t="shared" si="362"/>
        <v>0</v>
      </c>
      <c r="CL345" s="3">
        <f t="shared" si="362"/>
        <v>0</v>
      </c>
      <c r="CM345" s="3">
        <f t="shared" si="362"/>
        <v>0</v>
      </c>
      <c r="CN345" s="3">
        <f t="shared" si="362"/>
        <v>0</v>
      </c>
      <c r="CO345" s="3">
        <f t="shared" si="362"/>
        <v>0</v>
      </c>
      <c r="CP345" s="3">
        <f t="shared" si="362"/>
        <v>0</v>
      </c>
      <c r="CQ345" s="3">
        <f t="shared" si="362"/>
        <v>0</v>
      </c>
      <c r="CR345" s="3">
        <f t="shared" si="362"/>
        <v>0</v>
      </c>
      <c r="CS345" s="3">
        <f t="shared" si="362"/>
        <v>0</v>
      </c>
      <c r="CT345" s="3">
        <f t="shared" si="362"/>
        <v>0</v>
      </c>
      <c r="CU345" s="3">
        <f t="shared" si="362"/>
        <v>0</v>
      </c>
      <c r="CV345" s="3">
        <f t="shared" si="362"/>
        <v>0</v>
      </c>
      <c r="CW345" s="3">
        <f t="shared" si="362"/>
        <v>0</v>
      </c>
      <c r="CX345" s="3">
        <f t="shared" si="362"/>
        <v>0</v>
      </c>
      <c r="CY345" s="3">
        <f t="shared" si="362"/>
        <v>0</v>
      </c>
      <c r="CZ345" s="3">
        <f t="shared" si="362"/>
        <v>0</v>
      </c>
      <c r="DA345" s="3">
        <f t="shared" si="362"/>
        <v>0</v>
      </c>
      <c r="DB345" s="3">
        <f t="shared" si="362"/>
        <v>0</v>
      </c>
      <c r="DC345" s="3">
        <f t="shared" si="362"/>
        <v>0</v>
      </c>
      <c r="DD345" s="3">
        <f t="shared" si="362"/>
        <v>0</v>
      </c>
      <c r="DE345" s="3">
        <f t="shared" si="362"/>
        <v>0</v>
      </c>
      <c r="DF345" s="3">
        <f t="shared" si="362"/>
        <v>0</v>
      </c>
      <c r="DG345" s="4">
        <f t="shared" ref="DG345:EL345" si="363">DG364</f>
        <v>980890.77</v>
      </c>
      <c r="DH345" s="4">
        <f t="shared" si="363"/>
        <v>658952.9</v>
      </c>
      <c r="DI345" s="4">
        <f t="shared" si="363"/>
        <v>30455.13</v>
      </c>
      <c r="DJ345" s="4">
        <f t="shared" si="363"/>
        <v>24302.28</v>
      </c>
      <c r="DK345" s="4">
        <f t="shared" si="363"/>
        <v>291482.74</v>
      </c>
      <c r="DL345" s="4">
        <f t="shared" si="363"/>
        <v>0</v>
      </c>
      <c r="DM345" s="4">
        <f t="shared" si="363"/>
        <v>420.01811239310996</v>
      </c>
      <c r="DN345" s="4">
        <f t="shared" si="363"/>
        <v>0</v>
      </c>
      <c r="DO345" s="4">
        <f t="shared" si="363"/>
        <v>0</v>
      </c>
      <c r="DP345" s="4">
        <f t="shared" si="363"/>
        <v>274732.96999999997</v>
      </c>
      <c r="DQ345" s="4">
        <f t="shared" si="363"/>
        <v>148418.96</v>
      </c>
      <c r="DR345" s="4">
        <f t="shared" si="363"/>
        <v>0</v>
      </c>
      <c r="DS345" s="4">
        <f t="shared" si="363"/>
        <v>0</v>
      </c>
      <c r="DT345" s="4">
        <f t="shared" si="363"/>
        <v>980890.77</v>
      </c>
      <c r="DU345" s="4">
        <f t="shared" si="363"/>
        <v>658952.9</v>
      </c>
      <c r="DV345" s="4">
        <f t="shared" si="363"/>
        <v>30455.13</v>
      </c>
      <c r="DW345" s="4">
        <f t="shared" si="363"/>
        <v>24302.28</v>
      </c>
      <c r="DX345" s="4">
        <f t="shared" si="363"/>
        <v>291482.74</v>
      </c>
      <c r="DY345" s="4">
        <f t="shared" si="363"/>
        <v>0</v>
      </c>
      <c r="DZ345" s="4">
        <f t="shared" si="363"/>
        <v>420.01811239310996</v>
      </c>
      <c r="EA345" s="4">
        <f t="shared" si="363"/>
        <v>0</v>
      </c>
      <c r="EB345" s="4">
        <f t="shared" si="363"/>
        <v>0</v>
      </c>
      <c r="EC345" s="4">
        <f t="shared" si="363"/>
        <v>274732.96999999997</v>
      </c>
      <c r="ED345" s="4">
        <f t="shared" si="363"/>
        <v>148418.96</v>
      </c>
      <c r="EE345" s="4">
        <f t="shared" si="363"/>
        <v>0</v>
      </c>
      <c r="EF345" s="4">
        <f t="shared" si="363"/>
        <v>0</v>
      </c>
      <c r="EG345" s="4">
        <f t="shared" si="363"/>
        <v>0</v>
      </c>
      <c r="EH345" s="4">
        <f t="shared" si="363"/>
        <v>0</v>
      </c>
      <c r="EI345" s="4">
        <f t="shared" si="363"/>
        <v>0</v>
      </c>
      <c r="EJ345" s="4">
        <f t="shared" si="363"/>
        <v>1404042.7</v>
      </c>
      <c r="EK345" s="4">
        <f t="shared" si="363"/>
        <v>1404042.7</v>
      </c>
      <c r="EL345" s="4">
        <f t="shared" si="363"/>
        <v>0</v>
      </c>
      <c r="EM345" s="4">
        <f t="shared" ref="EM345:FR345" si="364">EM364</f>
        <v>0</v>
      </c>
      <c r="EN345" s="4">
        <f t="shared" si="364"/>
        <v>658952.9</v>
      </c>
      <c r="EO345" s="4">
        <f t="shared" si="364"/>
        <v>658952.9</v>
      </c>
      <c r="EP345" s="4">
        <f t="shared" si="364"/>
        <v>0</v>
      </c>
      <c r="EQ345" s="4">
        <f t="shared" si="364"/>
        <v>658952.9</v>
      </c>
      <c r="ER345" s="4">
        <f t="shared" si="364"/>
        <v>0</v>
      </c>
      <c r="ES345" s="4">
        <f t="shared" si="364"/>
        <v>0</v>
      </c>
      <c r="ET345" s="4">
        <f t="shared" si="364"/>
        <v>0</v>
      </c>
      <c r="EU345" s="4">
        <f t="shared" si="364"/>
        <v>0</v>
      </c>
      <c r="EV345" s="4">
        <f t="shared" si="364"/>
        <v>0</v>
      </c>
      <c r="EW345" s="4">
        <f t="shared" si="364"/>
        <v>0</v>
      </c>
      <c r="EX345" s="4">
        <f t="shared" si="364"/>
        <v>0</v>
      </c>
      <c r="EY345" s="4">
        <f t="shared" si="364"/>
        <v>0</v>
      </c>
      <c r="EZ345" s="4">
        <f t="shared" si="364"/>
        <v>0</v>
      </c>
      <c r="FA345" s="4">
        <f t="shared" si="364"/>
        <v>0</v>
      </c>
      <c r="FB345" s="4">
        <f t="shared" si="364"/>
        <v>0</v>
      </c>
      <c r="FC345" s="4">
        <f t="shared" si="364"/>
        <v>0</v>
      </c>
      <c r="FD345" s="4">
        <f t="shared" si="364"/>
        <v>0</v>
      </c>
      <c r="FE345" s="4">
        <f t="shared" si="364"/>
        <v>0</v>
      </c>
      <c r="FF345" s="4">
        <f t="shared" si="364"/>
        <v>0</v>
      </c>
      <c r="FG345" s="4">
        <f t="shared" si="364"/>
        <v>0</v>
      </c>
      <c r="FH345" s="4">
        <f t="shared" si="364"/>
        <v>0</v>
      </c>
      <c r="FI345" s="4">
        <f t="shared" si="364"/>
        <v>0</v>
      </c>
      <c r="FJ345" s="4">
        <f t="shared" si="364"/>
        <v>0</v>
      </c>
      <c r="FK345" s="4">
        <f t="shared" si="364"/>
        <v>0</v>
      </c>
      <c r="FL345" s="4">
        <f t="shared" si="364"/>
        <v>0</v>
      </c>
      <c r="FM345" s="4">
        <f t="shared" si="364"/>
        <v>0</v>
      </c>
      <c r="FN345" s="4">
        <f t="shared" si="364"/>
        <v>0</v>
      </c>
      <c r="FO345" s="4">
        <f t="shared" si="364"/>
        <v>0</v>
      </c>
      <c r="FP345" s="4">
        <f t="shared" si="364"/>
        <v>0</v>
      </c>
      <c r="FQ345" s="4">
        <f t="shared" si="364"/>
        <v>0</v>
      </c>
      <c r="FR345" s="4">
        <f t="shared" si="364"/>
        <v>0</v>
      </c>
      <c r="FS345" s="4">
        <f t="shared" ref="FS345:GX345" si="365">FS364</f>
        <v>1404042.7</v>
      </c>
      <c r="FT345" s="4">
        <f t="shared" si="365"/>
        <v>1404042.7</v>
      </c>
      <c r="FU345" s="4">
        <f t="shared" si="365"/>
        <v>0</v>
      </c>
      <c r="FV345" s="4">
        <f t="shared" si="365"/>
        <v>0</v>
      </c>
      <c r="FW345" s="4">
        <f t="shared" si="365"/>
        <v>658952.9</v>
      </c>
      <c r="FX345" s="4">
        <f t="shared" si="365"/>
        <v>658952.9</v>
      </c>
      <c r="FY345" s="4">
        <f t="shared" si="365"/>
        <v>0</v>
      </c>
      <c r="FZ345" s="4">
        <f t="shared" si="365"/>
        <v>658952.9</v>
      </c>
      <c r="GA345" s="4">
        <f t="shared" si="365"/>
        <v>0</v>
      </c>
      <c r="GB345" s="4">
        <f t="shared" si="365"/>
        <v>0</v>
      </c>
      <c r="GC345" s="4">
        <f t="shared" si="365"/>
        <v>0</v>
      </c>
      <c r="GD345" s="4">
        <f t="shared" si="365"/>
        <v>0</v>
      </c>
      <c r="GE345" s="4">
        <f t="shared" si="365"/>
        <v>0</v>
      </c>
      <c r="GF345" s="4">
        <f t="shared" si="365"/>
        <v>0</v>
      </c>
      <c r="GG345" s="4">
        <f t="shared" si="365"/>
        <v>0</v>
      </c>
      <c r="GH345" s="4">
        <f t="shared" si="365"/>
        <v>0</v>
      </c>
      <c r="GI345" s="4">
        <f t="shared" si="365"/>
        <v>0</v>
      </c>
      <c r="GJ345" s="4">
        <f t="shared" si="365"/>
        <v>0</v>
      </c>
      <c r="GK345" s="4">
        <f t="shared" si="365"/>
        <v>0</v>
      </c>
      <c r="GL345" s="4">
        <f t="shared" si="365"/>
        <v>0</v>
      </c>
      <c r="GM345" s="4">
        <f t="shared" si="365"/>
        <v>0</v>
      </c>
      <c r="GN345" s="4">
        <f t="shared" si="365"/>
        <v>0</v>
      </c>
      <c r="GO345" s="4">
        <f t="shared" si="365"/>
        <v>0</v>
      </c>
      <c r="GP345" s="4">
        <f t="shared" si="365"/>
        <v>0</v>
      </c>
      <c r="GQ345" s="4">
        <f t="shared" si="365"/>
        <v>0</v>
      </c>
      <c r="GR345" s="4">
        <f t="shared" si="365"/>
        <v>0</v>
      </c>
      <c r="GS345" s="4">
        <f t="shared" si="365"/>
        <v>0</v>
      </c>
      <c r="GT345" s="4">
        <f t="shared" si="365"/>
        <v>0</v>
      </c>
      <c r="GU345" s="4">
        <f t="shared" si="365"/>
        <v>0</v>
      </c>
      <c r="GV345" s="4">
        <f t="shared" si="365"/>
        <v>0</v>
      </c>
      <c r="GW345" s="4">
        <f t="shared" si="365"/>
        <v>0</v>
      </c>
      <c r="GX345" s="4">
        <f t="shared" si="365"/>
        <v>0</v>
      </c>
    </row>
    <row r="347" spans="1:255" x14ac:dyDescent="0.2">
      <c r="A347" s="2">
        <v>17</v>
      </c>
      <c r="B347" s="2">
        <v>1</v>
      </c>
      <c r="C347" s="2">
        <f>ROW(SmtRes!A476)</f>
        <v>476</v>
      </c>
      <c r="D347" s="2">
        <f>ROW(EtalonRes!A531)</f>
        <v>531</v>
      </c>
      <c r="E347" s="2" t="s">
        <v>427</v>
      </c>
      <c r="F347" s="2" t="s">
        <v>428</v>
      </c>
      <c r="G347" s="2" t="s">
        <v>429</v>
      </c>
      <c r="H347" s="2" t="s">
        <v>430</v>
      </c>
      <c r="I347" s="2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J347" s="2">
        <v>0</v>
      </c>
      <c r="K347" s="2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L347" s="2"/>
      <c r="M347" s="2"/>
      <c r="N347" s="2"/>
      <c r="O347" s="2">
        <f t="shared" ref="O347:O362" si="366">ROUND(CP347,2)</f>
        <v>16163.02</v>
      </c>
      <c r="P347" s="2">
        <f t="shared" ref="P347:P362" si="367">ROUND((ROUND((AC347*AW347*I347),2)*BC347),2)</f>
        <v>9763.7000000000007</v>
      </c>
      <c r="Q347" s="2">
        <f>(ROUND((ROUND(((((ET347*1.25)*1.1))*AV347*I347),2)*BB347),2)+ROUND((ROUND(((AE347-(((EU347*1.25)*1.1)))*AV347*I347),2)*BS347),2))</f>
        <v>1098.67</v>
      </c>
      <c r="R347" s="2">
        <f>(ROUND((ROUND(((((EU347*1.25)*1.1))*AV347*I347),2)*BS347),2)+ROUND((ROUND(((AE347-(((EU347*1.25)*1.1)))*AV347*I347),2)*BS347),2))</f>
        <v>441.94</v>
      </c>
      <c r="S347" s="2">
        <f t="shared" ref="S347:S362" si="368">ROUND((ROUND((AF347*AV347*I347),2)*BA347),2)</f>
        <v>5300.65</v>
      </c>
      <c r="T347" s="2">
        <f t="shared" ref="T347:T362" si="369">ROUND(CU347*I347,2)</f>
        <v>0</v>
      </c>
      <c r="U347" s="2">
        <f t="shared" ref="U347:U362" si="370">CV347*I347</f>
        <v>420.01811239310996</v>
      </c>
      <c r="V347" s="2">
        <f t="shared" ref="V347:V362" si="371">CW347*I347</f>
        <v>0</v>
      </c>
      <c r="W347" s="2">
        <f t="shared" ref="W347:W362" si="372">ROUND(CX347*I347,2)</f>
        <v>0</v>
      </c>
      <c r="X347" s="2">
        <f>(ROUND((((S347+ROUND((ROUND(((((EU347*1.25)*1.1))*AV347*I347),2)*BS347),2))*AT347)/100),2)+ROUND(((ROUND((ROUND(((AE347-(((EU347*1.25)*1.1)))*AV347*I347),2)*BS347),2)*AT347)/100),2))</f>
        <v>4996.05</v>
      </c>
      <c r="Y347" s="2">
        <f>(ROUND((((S347+ROUND((ROUND(((((EU347*1.25)*1.1))*AV347*I347),2)*BS347),2))*AU347)/100),2)+ROUND(((ROUND((ROUND(((AE347-(((EU347*1.25)*1.1)))*AV347*I347),2)*BS347),2)*AU347)/100),2))</f>
        <v>2699.02</v>
      </c>
      <c r="Z347" s="2"/>
      <c r="AA347" s="2">
        <v>60255014</v>
      </c>
      <c r="AB347" s="2">
        <f t="shared" ref="AB347:AB362" si="373">ROUND((AC347+AD347+AF347),6)</f>
        <v>913.04259999999999</v>
      </c>
      <c r="AC347" s="2">
        <f t="shared" ref="AC347:AC362" si="374">ROUND((ES347),6)</f>
        <v>557.45000000000005</v>
      </c>
      <c r="AD347" s="2">
        <f>ROUND((((((ET347*1.25)*1.1))-(((EU347*1.25)*1.1)))+AE347),6)</f>
        <v>61.05</v>
      </c>
      <c r="AE347" s="2">
        <f>ROUND((((EU347*1.25)*1.1)),6)</f>
        <v>24.557500000000001</v>
      </c>
      <c r="AF347" s="2">
        <f>ROUND((((EV347*1.15)*1.1)),6)</f>
        <v>294.54259999999999</v>
      </c>
      <c r="AG347" s="2">
        <f t="shared" ref="AG347:AG362" si="375">ROUND((AP347),6)</f>
        <v>0</v>
      </c>
      <c r="AH347" s="2">
        <f>(((EW347*1.15)*1.1))</f>
        <v>23.33925</v>
      </c>
      <c r="AI347" s="2">
        <f>(((EX347*1.25)*1.1))</f>
        <v>0</v>
      </c>
      <c r="AJ347" s="2">
        <f t="shared" ref="AJ347:AJ362" si="376">(AS347)</f>
        <v>0</v>
      </c>
      <c r="AK347" s="2">
        <v>834.69</v>
      </c>
      <c r="AL347" s="2">
        <v>557.45000000000005</v>
      </c>
      <c r="AM347" s="2">
        <v>44.4</v>
      </c>
      <c r="AN347" s="2">
        <v>17.86</v>
      </c>
      <c r="AO347" s="2">
        <v>232.84</v>
      </c>
      <c r="AP347" s="2">
        <v>0</v>
      </c>
      <c r="AQ347" s="2">
        <v>18.45</v>
      </c>
      <c r="AR347" s="2">
        <v>0</v>
      </c>
      <c r="AS347" s="2">
        <v>0</v>
      </c>
      <c r="AT347" s="2">
        <v>87</v>
      </c>
      <c r="AU347" s="2">
        <v>47</v>
      </c>
      <c r="AV347" s="2">
        <v>1.0469999999999999</v>
      </c>
      <c r="AW347" s="2">
        <v>1.0189999999999999</v>
      </c>
      <c r="AX347" s="2"/>
      <c r="AY347" s="2"/>
      <c r="AZ347" s="2">
        <v>1</v>
      </c>
      <c r="BA347" s="2">
        <v>1</v>
      </c>
      <c r="BB347" s="2">
        <v>1</v>
      </c>
      <c r="BC347" s="2">
        <v>1</v>
      </c>
      <c r="BD347" s="2" t="s">
        <v>3</v>
      </c>
      <c r="BE347" s="2" t="s">
        <v>3</v>
      </c>
      <c r="BF347" s="2" t="s">
        <v>3</v>
      </c>
      <c r="BG347" s="2" t="s">
        <v>3</v>
      </c>
      <c r="BH347" s="2">
        <v>0</v>
      </c>
      <c r="BI347" s="2">
        <v>1</v>
      </c>
      <c r="BJ347" s="2" t="s">
        <v>431</v>
      </c>
      <c r="BK347" s="2"/>
      <c r="BL347" s="2"/>
      <c r="BM347" s="2">
        <v>29</v>
      </c>
      <c r="BN347" s="2">
        <v>58973374</v>
      </c>
      <c r="BO347" s="2" t="s">
        <v>428</v>
      </c>
      <c r="BP347" s="2">
        <v>1</v>
      </c>
      <c r="BQ347" s="2">
        <v>30</v>
      </c>
      <c r="BR347" s="2">
        <v>0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  <c r="BY347" s="2" t="s">
        <v>3</v>
      </c>
      <c r="BZ347" s="2">
        <v>87</v>
      </c>
      <c r="CA347" s="2">
        <v>47</v>
      </c>
      <c r="CB347" s="2" t="s">
        <v>3</v>
      </c>
      <c r="CC347" s="2"/>
      <c r="CD347" s="2"/>
      <c r="CE347" s="2">
        <v>1566</v>
      </c>
      <c r="CF347" s="2">
        <v>0</v>
      </c>
      <c r="CG347" s="2">
        <v>0</v>
      </c>
      <c r="CH347" s="2"/>
      <c r="CI347" s="2"/>
      <c r="CJ347" s="2"/>
      <c r="CK347" s="2"/>
      <c r="CL347" s="2"/>
      <c r="CM347" s="2">
        <v>0</v>
      </c>
      <c r="CN347" s="2" t="s">
        <v>625</v>
      </c>
      <c r="CO347" s="2">
        <v>0</v>
      </c>
      <c r="CP347" s="2">
        <f t="shared" ref="CP347:CP362" si="377">(P347+Q347+S347)</f>
        <v>16163.02</v>
      </c>
      <c r="CQ347" s="2">
        <f t="shared" ref="CQ347:CQ362" si="378">ROUND((ROUND((AC347*AW347*1),2)*BC347),2)</f>
        <v>568.04</v>
      </c>
      <c r="CR347" s="2">
        <f>(ROUND((ROUND(((((ET347*1.25)*1.1))*AV347*1),2)*BB347),2)+ROUND((ROUND(((AE347-(((EU347*1.25)*1.1)))*AV347*1),2)*BS347),2))</f>
        <v>63.92</v>
      </c>
      <c r="CS347" s="2">
        <f>(ROUND((ROUND(((((EU347*1.25)*1.1))*AV347*1),2)*BS347),2)+ROUND((ROUND(((AE347-(((EU347*1.25)*1.1)))*AV347*1),2)*BS347),2))</f>
        <v>25.71</v>
      </c>
      <c r="CT347" s="2">
        <f t="shared" ref="CT347:CT362" si="379">ROUND((ROUND((AF347*AV347*1),2)*BA347),2)</f>
        <v>308.39</v>
      </c>
      <c r="CU347" s="2">
        <f t="shared" ref="CU347:CU362" si="380">AG347</f>
        <v>0</v>
      </c>
      <c r="CV347" s="2">
        <f t="shared" ref="CV347:CV362" si="381">(AH347*AV347)</f>
        <v>24.436194749999999</v>
      </c>
      <c r="CW347" s="2">
        <f t="shared" ref="CW347:CW362" si="382">AI347</f>
        <v>0</v>
      </c>
      <c r="CX347" s="2">
        <f t="shared" ref="CX347:CX362" si="383">AJ347</f>
        <v>0</v>
      </c>
      <c r="CY347" s="2">
        <f>(ROUND((((S347+ROUND((ROUND(((((EU347*1.25)*1.1))*AV347*1),2)*BS347),2))*AT347)/100),2)+ROUND(((ROUND((ROUND(((AE347-(((EU347*1.25)*1.1)))*AV347*1),2)*BS347),2)*AT347)/100),2))</f>
        <v>4633.93</v>
      </c>
      <c r="CZ347" s="2">
        <f>(ROUND((((S347+ROUND((ROUND(((((EU347*1.25)*1.1))*AV347*1),2)*BS347),2))*AU347)/100),2)+ROUND(((ROUND((ROUND(((AE347-(((EU347*1.25)*1.1)))*AV347*1),2)*BS347),2)*AU347)/100),2))</f>
        <v>2503.39</v>
      </c>
      <c r="DA347" s="2"/>
      <c r="DB347" s="2">
        <v>105</v>
      </c>
      <c r="DC347" s="2" t="s">
        <v>3</v>
      </c>
      <c r="DD347" s="2" t="s">
        <v>3</v>
      </c>
      <c r="DE347" s="2" t="s">
        <v>98</v>
      </c>
      <c r="DF347" s="2" t="s">
        <v>98</v>
      </c>
      <c r="DG347" s="2" t="s">
        <v>99</v>
      </c>
      <c r="DH347" s="2" t="s">
        <v>3</v>
      </c>
      <c r="DI347" s="2" t="s">
        <v>99</v>
      </c>
      <c r="DJ347" s="2" t="s">
        <v>98</v>
      </c>
      <c r="DK347" s="2" t="s">
        <v>3</v>
      </c>
      <c r="DL347" s="2" t="s">
        <v>3</v>
      </c>
      <c r="DM347" s="2" t="s">
        <v>3</v>
      </c>
      <c r="DN347" s="2">
        <v>0</v>
      </c>
      <c r="DO347" s="2">
        <v>0</v>
      </c>
      <c r="DP347" s="2">
        <v>1</v>
      </c>
      <c r="DQ347" s="2">
        <v>1</v>
      </c>
      <c r="DR347" s="2"/>
      <c r="DS347" s="2"/>
      <c r="DT347" s="2"/>
      <c r="DU347" s="2">
        <v>1013</v>
      </c>
      <c r="DV347" s="2" t="s">
        <v>430</v>
      </c>
      <c r="DW347" s="2" t="s">
        <v>430</v>
      </c>
      <c r="DX347" s="2">
        <v>1</v>
      </c>
      <c r="DY347" s="2"/>
      <c r="DZ347" s="2" t="s">
        <v>3</v>
      </c>
      <c r="EA347" s="2" t="s">
        <v>3</v>
      </c>
      <c r="EB347" s="2" t="s">
        <v>3</v>
      </c>
      <c r="EC347" s="2" t="s">
        <v>3</v>
      </c>
      <c r="ED347" s="2"/>
      <c r="EE347" s="2">
        <v>60088260</v>
      </c>
      <c r="EF347" s="2">
        <v>30</v>
      </c>
      <c r="EG347" s="2" t="s">
        <v>100</v>
      </c>
      <c r="EH347" s="2">
        <v>0</v>
      </c>
      <c r="EI347" s="2" t="s">
        <v>3</v>
      </c>
      <c r="EJ347" s="2">
        <v>1</v>
      </c>
      <c r="EK347" s="2">
        <v>29</v>
      </c>
      <c r="EL347" s="2" t="s">
        <v>432</v>
      </c>
      <c r="EM347" s="2" t="s">
        <v>433</v>
      </c>
      <c r="EN347" s="2"/>
      <c r="EO347" s="2" t="s">
        <v>103</v>
      </c>
      <c r="EP347" s="2"/>
      <c r="EQ347" s="2">
        <v>0</v>
      </c>
      <c r="ER347" s="2">
        <v>834.69</v>
      </c>
      <c r="ES347" s="2">
        <v>557.45000000000005</v>
      </c>
      <c r="ET347" s="2">
        <v>44.4</v>
      </c>
      <c r="EU347" s="2">
        <v>17.86</v>
      </c>
      <c r="EV347" s="2">
        <v>232.84</v>
      </c>
      <c r="EW347" s="2">
        <v>18.45</v>
      </c>
      <c r="EX347" s="2">
        <v>0</v>
      </c>
      <c r="EY347" s="2">
        <v>0</v>
      </c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>
        <v>0</v>
      </c>
      <c r="FR347" s="2">
        <v>0</v>
      </c>
      <c r="FS347" s="2">
        <v>0</v>
      </c>
      <c r="FT347" s="2"/>
      <c r="FU347" s="2"/>
      <c r="FV347" s="2"/>
      <c r="FW347" s="2"/>
      <c r="FX347" s="2">
        <v>87</v>
      </c>
      <c r="FY347" s="2">
        <v>47</v>
      </c>
      <c r="FZ347" s="2"/>
      <c r="GA347" s="2" t="s">
        <v>3</v>
      </c>
      <c r="GB347" s="2"/>
      <c r="GC347" s="2"/>
      <c r="GD347" s="2">
        <v>1</v>
      </c>
      <c r="GE347" s="2"/>
      <c r="GF347" s="2">
        <v>-1280654378</v>
      </c>
      <c r="GG347" s="2">
        <v>2</v>
      </c>
      <c r="GH347" s="2">
        <v>1</v>
      </c>
      <c r="GI347" s="2">
        <v>2</v>
      </c>
      <c r="GJ347" s="2">
        <v>0</v>
      </c>
      <c r="GK347" s="2">
        <v>0</v>
      </c>
      <c r="GL347" s="2">
        <f t="shared" ref="GL347:GL362" si="384">ROUND(IF(AND(BH347=3,BI347=3,FS347&lt;&gt;0),P347,0),2)</f>
        <v>0</v>
      </c>
      <c r="GM347" s="2">
        <f t="shared" ref="GM347:GM362" si="385">ROUND(O347+X347+Y347,2)+GX347</f>
        <v>23858.09</v>
      </c>
      <c r="GN347" s="2">
        <f t="shared" ref="GN347:GN362" si="386">IF(OR(BI347=0,BI347=1),GM347-GX347,0)</f>
        <v>23858.09</v>
      </c>
      <c r="GO347" s="2">
        <f t="shared" ref="GO347:GO362" si="387">IF(BI347=2,GM347-GX347,0)</f>
        <v>0</v>
      </c>
      <c r="GP347" s="2">
        <f t="shared" ref="GP347:GP362" si="388">IF(BI347=4,GM347-GX347,0)</f>
        <v>0</v>
      </c>
      <c r="GQ347" s="2"/>
      <c r="GR347" s="2">
        <v>0</v>
      </c>
      <c r="GS347" s="2">
        <v>3</v>
      </c>
      <c r="GT347" s="2">
        <v>0</v>
      </c>
      <c r="GU347" s="2" t="s">
        <v>3</v>
      </c>
      <c r="GV347" s="2">
        <f t="shared" ref="GV347:GV362" si="389">ROUND((GT347),6)</f>
        <v>0</v>
      </c>
      <c r="GW347" s="2">
        <v>1</v>
      </c>
      <c r="GX347" s="2">
        <f t="shared" ref="GX347:GX362" si="390">ROUND(HC347*I347,2)</f>
        <v>0</v>
      </c>
      <c r="GY347" s="2"/>
      <c r="GZ347" s="2"/>
      <c r="HA347" s="2">
        <v>0</v>
      </c>
      <c r="HB347" s="2">
        <v>0</v>
      </c>
      <c r="HC347" s="2">
        <f t="shared" ref="HC347:HC362" si="391">GV347*GW347</f>
        <v>0</v>
      </c>
      <c r="HD347" s="2"/>
      <c r="HE347" s="2" t="s">
        <v>3</v>
      </c>
      <c r="HF347" s="2" t="s">
        <v>3</v>
      </c>
      <c r="HG347" s="2"/>
      <c r="HH347" s="2"/>
      <c r="HI347" s="2"/>
      <c r="HJ347" s="2"/>
      <c r="HK347" s="2"/>
      <c r="HL347" s="2"/>
      <c r="HM347" s="2" t="s">
        <v>3</v>
      </c>
      <c r="HN347" s="2" t="s">
        <v>3</v>
      </c>
      <c r="HO347" s="2" t="s">
        <v>3</v>
      </c>
      <c r="HP347" s="2" t="s">
        <v>3</v>
      </c>
      <c r="HQ347" s="2" t="s">
        <v>3</v>
      </c>
      <c r="HR347" s="2"/>
      <c r="HS347" s="2">
        <v>0</v>
      </c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>
        <v>0</v>
      </c>
      <c r="IL347" s="2"/>
      <c r="IM347" s="2"/>
      <c r="IN347" s="2"/>
      <c r="IO347" s="2"/>
      <c r="IP347" s="2"/>
      <c r="IQ347" s="2"/>
      <c r="IR347" s="2"/>
      <c r="IS347" s="2"/>
      <c r="IT347" s="2"/>
      <c r="IU347" s="2"/>
    </row>
    <row r="348" spans="1:255" x14ac:dyDescent="0.2">
      <c r="A348">
        <v>17</v>
      </c>
      <c r="B348">
        <v>1</v>
      </c>
      <c r="C348">
        <f>ROW(SmtRes!A484)</f>
        <v>484</v>
      </c>
      <c r="D348">
        <f>ROW(EtalonRes!A540)</f>
        <v>540</v>
      </c>
      <c r="E348" t="s">
        <v>427</v>
      </c>
      <c r="F348" t="s">
        <v>428</v>
      </c>
      <c r="G348" t="s">
        <v>429</v>
      </c>
      <c r="H348" t="s">
        <v>430</v>
      </c>
      <c r="I348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J348">
        <v>0</v>
      </c>
      <c r="K348">
        <f>ROUND((((3.14*(0.021+0.04)*0.04)*800)+((3.14*(0.028+0.04)*0.04)*600)+((3.14*(0.032+0.04)*0.04)*110)+((3.14*(0.038+0.04)*0.04)*200)+((3.14*(0.048+0.04)*0.04)*100)+((3.14*(0.057+0.04)*0.04)*130)+((3.14*(0.076+0.04)*0.04)*20)),9)</f>
        <v>17.188359999999999</v>
      </c>
      <c r="O348">
        <f t="shared" si="366"/>
        <v>394970.35</v>
      </c>
      <c r="P348">
        <f t="shared" si="367"/>
        <v>73032.479999999996</v>
      </c>
      <c r="Q348">
        <f>(ROUND((ROUND(((((ET348*1.25)*1.1))*AV348*I348),2)*BB348),2)+ROUND((ROUND(((AE348-(((EU348*1.25)*1.1)))*AV348*I348),2)*BS348),2))</f>
        <v>30455.13</v>
      </c>
      <c r="R348">
        <f>(ROUND((ROUND(((((EU348*1.25)*1.1))*AV348*I348),2)*BS348),2)+ROUND((ROUND(((AE348-(((EU348*1.25)*1.1)))*AV348*I348),2)*BS348),2))</f>
        <v>24302.28</v>
      </c>
      <c r="S348">
        <f t="shared" si="368"/>
        <v>291482.74</v>
      </c>
      <c r="T348">
        <f t="shared" si="369"/>
        <v>0</v>
      </c>
      <c r="U348">
        <f t="shared" si="370"/>
        <v>420.01811239310996</v>
      </c>
      <c r="V348">
        <f t="shared" si="371"/>
        <v>0</v>
      </c>
      <c r="W348">
        <f t="shared" si="372"/>
        <v>0</v>
      </c>
      <c r="X348">
        <f>(ROUND((((S348+ROUND((ROUND(((((EU348*1.25)*1.1))*AV348*I348),2)*BS348),2))*AT348)/100),2)+ROUND(((ROUND((ROUND(((AE348-(((EU348*1.25)*1.1)))*AV348*I348),2)*BS348),2)*AT348)/100),2))</f>
        <v>274732.96999999997</v>
      </c>
      <c r="Y348">
        <f>(ROUND((((S348+ROUND((ROUND(((((EU348*1.25)*1.1))*AV348*I348),2)*BS348),2))*AU348)/100),2)+ROUND(((ROUND((ROUND(((AE348-(((EU348*1.25)*1.1)))*AV348*I348),2)*BS348),2)*AU348)/100),2))</f>
        <v>148418.96</v>
      </c>
      <c r="AA348">
        <v>60255011</v>
      </c>
      <c r="AB348">
        <f t="shared" si="373"/>
        <v>913.04259999999999</v>
      </c>
      <c r="AC348">
        <f t="shared" si="374"/>
        <v>557.45000000000005</v>
      </c>
      <c r="AD348">
        <f>ROUND((((((ET348*1.25)*1.1))-(((EU348*1.25)*1.1)))+AE348),6)</f>
        <v>61.05</v>
      </c>
      <c r="AE348">
        <f>ROUND((((EU348*1.25)*1.1)),6)</f>
        <v>24.557500000000001</v>
      </c>
      <c r="AF348">
        <f>ROUND((((EV348*1.15)*1.1)),6)</f>
        <v>294.54259999999999</v>
      </c>
      <c r="AG348">
        <f t="shared" si="375"/>
        <v>0</v>
      </c>
      <c r="AH348">
        <f>(((EW348*1.15)*1.1))</f>
        <v>23.33925</v>
      </c>
      <c r="AI348">
        <f>(((EX348*1.25)*1.1))</f>
        <v>0</v>
      </c>
      <c r="AJ348">
        <f t="shared" si="376"/>
        <v>0</v>
      </c>
      <c r="AK348">
        <v>834.69</v>
      </c>
      <c r="AL348">
        <v>557.45000000000005</v>
      </c>
      <c r="AM348">
        <v>44.4</v>
      </c>
      <c r="AN348">
        <v>17.86</v>
      </c>
      <c r="AO348">
        <v>232.84</v>
      </c>
      <c r="AP348">
        <v>0</v>
      </c>
      <c r="AQ348">
        <v>18.45</v>
      </c>
      <c r="AR348">
        <v>0</v>
      </c>
      <c r="AS348">
        <v>0</v>
      </c>
      <c r="AT348">
        <v>87</v>
      </c>
      <c r="AU348">
        <v>47</v>
      </c>
      <c r="AV348">
        <v>1.0469999999999999</v>
      </c>
      <c r="AW348">
        <v>1.0189999999999999</v>
      </c>
      <c r="AZ348">
        <v>1</v>
      </c>
      <c r="BA348">
        <v>54.99</v>
      </c>
      <c r="BB348">
        <v>27.72</v>
      </c>
      <c r="BC348">
        <v>7.48</v>
      </c>
      <c r="BD348" t="s">
        <v>3</v>
      </c>
      <c r="BE348" t="s">
        <v>3</v>
      </c>
      <c r="BF348" t="s">
        <v>3</v>
      </c>
      <c r="BG348" t="s">
        <v>3</v>
      </c>
      <c r="BH348">
        <v>0</v>
      </c>
      <c r="BI348">
        <v>1</v>
      </c>
      <c r="BJ348" t="s">
        <v>431</v>
      </c>
      <c r="BM348">
        <v>29</v>
      </c>
      <c r="BN348">
        <v>58973374</v>
      </c>
      <c r="BO348" t="s">
        <v>428</v>
      </c>
      <c r="BP348">
        <v>1</v>
      </c>
      <c r="BQ348">
        <v>30</v>
      </c>
      <c r="BR348">
        <v>0</v>
      </c>
      <c r="BS348">
        <v>54.99</v>
      </c>
      <c r="BT348">
        <v>1</v>
      </c>
      <c r="BU348">
        <v>1</v>
      </c>
      <c r="BV348">
        <v>1</v>
      </c>
      <c r="BW348">
        <v>1</v>
      </c>
      <c r="BX348">
        <v>1</v>
      </c>
      <c r="BY348" t="s">
        <v>3</v>
      </c>
      <c r="BZ348">
        <v>87</v>
      </c>
      <c r="CA348">
        <v>47</v>
      </c>
      <c r="CB348" t="s">
        <v>3</v>
      </c>
      <c r="CE348">
        <v>1566</v>
      </c>
      <c r="CF348">
        <v>0</v>
      </c>
      <c r="CG348">
        <v>0</v>
      </c>
      <c r="CM348">
        <v>0</v>
      </c>
      <c r="CN348" t="s">
        <v>625</v>
      </c>
      <c r="CO348">
        <v>0</v>
      </c>
      <c r="CP348">
        <f t="shared" si="377"/>
        <v>394970.35</v>
      </c>
      <c r="CQ348">
        <f t="shared" si="378"/>
        <v>4248.9399999999996</v>
      </c>
      <c r="CR348">
        <f>(ROUND((ROUND(((((ET348*1.25)*1.1))*AV348*1),2)*BB348),2)+ROUND((ROUND(((AE348-(((EU348*1.25)*1.1)))*AV348*1),2)*BS348),2))</f>
        <v>1771.86</v>
      </c>
      <c r="CS348">
        <f>(ROUND((ROUND(((((EU348*1.25)*1.1))*AV348*1),2)*BS348),2)+ROUND((ROUND(((AE348-(((EU348*1.25)*1.1)))*AV348*1),2)*BS348),2))</f>
        <v>1413.79</v>
      </c>
      <c r="CT348">
        <f t="shared" si="379"/>
        <v>16958.37</v>
      </c>
      <c r="CU348">
        <f t="shared" si="380"/>
        <v>0</v>
      </c>
      <c r="CV348">
        <f t="shared" si="381"/>
        <v>24.436194749999999</v>
      </c>
      <c r="CW348">
        <f t="shared" si="382"/>
        <v>0</v>
      </c>
      <c r="CX348">
        <f t="shared" si="383"/>
        <v>0</v>
      </c>
      <c r="CY348">
        <f>(ROUND((((S348+ROUND((ROUND(((((EU348*1.25)*1.1))*AV348*1),2)*BS348),2))*AT348)/100),2)+ROUND(((ROUND((ROUND(((AE348-(((EU348*1.25)*1.1)))*AV348*1),2)*BS348),2)*AT348)/100),2))</f>
        <v>254819.98</v>
      </c>
      <c r="CZ348">
        <f>(ROUND((((S348+ROUND((ROUND(((((EU348*1.25)*1.1))*AV348*1),2)*BS348),2))*AU348)/100),2)+ROUND(((ROUND((ROUND(((AE348-(((EU348*1.25)*1.1)))*AV348*1),2)*BS348),2)*AU348)/100),2))</f>
        <v>137661.37</v>
      </c>
      <c r="DB348">
        <v>107</v>
      </c>
      <c r="DC348" t="s">
        <v>3</v>
      </c>
      <c r="DD348" t="s">
        <v>3</v>
      </c>
      <c r="DE348" t="s">
        <v>98</v>
      </c>
      <c r="DF348" t="s">
        <v>98</v>
      </c>
      <c r="DG348" t="s">
        <v>99</v>
      </c>
      <c r="DH348" t="s">
        <v>3</v>
      </c>
      <c r="DI348" t="s">
        <v>99</v>
      </c>
      <c r="DJ348" t="s">
        <v>98</v>
      </c>
      <c r="DK348" t="s">
        <v>3</v>
      </c>
      <c r="DL348" t="s">
        <v>3</v>
      </c>
      <c r="DM348" t="s">
        <v>3</v>
      </c>
      <c r="DN348">
        <v>0</v>
      </c>
      <c r="DO348">
        <v>0</v>
      </c>
      <c r="DP348">
        <v>1</v>
      </c>
      <c r="DQ348">
        <v>1</v>
      </c>
      <c r="DU348">
        <v>1013</v>
      </c>
      <c r="DV348" t="s">
        <v>430</v>
      </c>
      <c r="DW348" t="s">
        <v>430</v>
      </c>
      <c r="DX348">
        <v>1</v>
      </c>
      <c r="DZ348" t="s">
        <v>3</v>
      </c>
      <c r="EA348" t="s">
        <v>3</v>
      </c>
      <c r="EB348" t="s">
        <v>3</v>
      </c>
      <c r="EC348" t="s">
        <v>3</v>
      </c>
      <c r="EE348">
        <v>60088260</v>
      </c>
      <c r="EF348">
        <v>30</v>
      </c>
      <c r="EG348" t="s">
        <v>100</v>
      </c>
      <c r="EH348">
        <v>0</v>
      </c>
      <c r="EI348" t="s">
        <v>3</v>
      </c>
      <c r="EJ348">
        <v>1</v>
      </c>
      <c r="EK348">
        <v>29</v>
      </c>
      <c r="EL348" t="s">
        <v>432</v>
      </c>
      <c r="EM348" t="s">
        <v>433</v>
      </c>
      <c r="EO348" t="s">
        <v>103</v>
      </c>
      <c r="EQ348">
        <v>0</v>
      </c>
      <c r="ER348">
        <v>834.69</v>
      </c>
      <c r="ES348">
        <v>557.45000000000005</v>
      </c>
      <c r="ET348">
        <v>44.4</v>
      </c>
      <c r="EU348">
        <v>17.86</v>
      </c>
      <c r="EV348">
        <v>232.84</v>
      </c>
      <c r="EW348">
        <v>18.45</v>
      </c>
      <c r="EX348">
        <v>0</v>
      </c>
      <c r="EY348">
        <v>0</v>
      </c>
      <c r="FQ348">
        <v>0</v>
      </c>
      <c r="FR348">
        <v>0</v>
      </c>
      <c r="FS348">
        <v>0</v>
      </c>
      <c r="FX348">
        <v>87</v>
      </c>
      <c r="FY348">
        <v>47</v>
      </c>
      <c r="GA348" t="s">
        <v>3</v>
      </c>
      <c r="GD348">
        <v>1</v>
      </c>
      <c r="GF348">
        <v>-1280654378</v>
      </c>
      <c r="GG348">
        <v>2</v>
      </c>
      <c r="GH348">
        <v>1</v>
      </c>
      <c r="GI348">
        <v>2</v>
      </c>
      <c r="GJ348">
        <v>0</v>
      </c>
      <c r="GK348">
        <v>0</v>
      </c>
      <c r="GL348">
        <f t="shared" si="384"/>
        <v>0</v>
      </c>
      <c r="GM348">
        <f t="shared" si="385"/>
        <v>818122.28</v>
      </c>
      <c r="GN348">
        <f t="shared" si="386"/>
        <v>818122.28</v>
      </c>
      <c r="GO348">
        <f t="shared" si="387"/>
        <v>0</v>
      </c>
      <c r="GP348">
        <f t="shared" si="388"/>
        <v>0</v>
      </c>
      <c r="GR348">
        <v>0</v>
      </c>
      <c r="GS348">
        <v>3</v>
      </c>
      <c r="GT348">
        <v>0</v>
      </c>
      <c r="GU348" t="s">
        <v>3</v>
      </c>
      <c r="GV348">
        <f t="shared" si="389"/>
        <v>0</v>
      </c>
      <c r="GW348">
        <v>1</v>
      </c>
      <c r="GX348">
        <f t="shared" si="390"/>
        <v>0</v>
      </c>
      <c r="HA348">
        <v>0</v>
      </c>
      <c r="HB348">
        <v>0</v>
      </c>
      <c r="HC348">
        <f t="shared" si="391"/>
        <v>0</v>
      </c>
      <c r="HE348" t="s">
        <v>3</v>
      </c>
      <c r="HF348" t="s">
        <v>3</v>
      </c>
      <c r="HM348" t="s">
        <v>3</v>
      </c>
      <c r="HN348" t="s">
        <v>3</v>
      </c>
      <c r="HO348" t="s">
        <v>3</v>
      </c>
      <c r="HP348" t="s">
        <v>3</v>
      </c>
      <c r="HQ348" t="s">
        <v>3</v>
      </c>
      <c r="HS348">
        <v>0</v>
      </c>
      <c r="IK348">
        <v>0</v>
      </c>
    </row>
    <row r="349" spans="1:255" x14ac:dyDescent="0.2">
      <c r="A349" s="2">
        <v>17</v>
      </c>
      <c r="B349" s="2">
        <v>1</v>
      </c>
      <c r="C349" s="2"/>
      <c r="D349" s="2"/>
      <c r="E349" s="2" t="s">
        <v>434</v>
      </c>
      <c r="F349" s="2" t="s">
        <v>435</v>
      </c>
      <c r="G349" s="2" t="s">
        <v>436</v>
      </c>
      <c r="H349" s="2" t="s">
        <v>376</v>
      </c>
      <c r="I349" s="2">
        <f>ROUND(800*1.03,9)</f>
        <v>824</v>
      </c>
      <c r="J349" s="2">
        <v>0</v>
      </c>
      <c r="K349" s="2">
        <f>ROUND(800*1.03,9)</f>
        <v>824</v>
      </c>
      <c r="L349" s="2"/>
      <c r="M349" s="2"/>
      <c r="N349" s="2"/>
      <c r="O349" s="2">
        <f t="shared" si="366"/>
        <v>49415.28</v>
      </c>
      <c r="P349" s="2">
        <f t="shared" si="367"/>
        <v>49415.28</v>
      </c>
      <c r="Q349" s="2">
        <f t="shared" ref="Q349:Q362" si="392">(ROUND((ROUND(((ET349)*AV349*I349),2)*BB349),2)+ROUND((ROUND(((AE349-(EU349))*AV349*I349),2)*BS349),2))</f>
        <v>0</v>
      </c>
      <c r="R349" s="2">
        <f t="shared" ref="R349:R362" si="393">(ROUND((ROUND(((EU349)*AV349*I349),2)*BS349),2)+ROUND((ROUND(((AE349-(EU349))*AV349*I349),2)*BS349),2))</f>
        <v>0</v>
      </c>
      <c r="S349" s="2">
        <f t="shared" si="368"/>
        <v>0</v>
      </c>
      <c r="T349" s="2">
        <f t="shared" si="369"/>
        <v>0</v>
      </c>
      <c r="U349" s="2">
        <f t="shared" si="370"/>
        <v>0</v>
      </c>
      <c r="V349" s="2">
        <f t="shared" si="371"/>
        <v>0</v>
      </c>
      <c r="W349" s="2">
        <f t="shared" si="372"/>
        <v>0</v>
      </c>
      <c r="X349" s="2">
        <f t="shared" ref="X349:X362" si="394">(ROUND((((S349+ROUND((ROUND(((EU349)*AV349*I349),2)*BS349),2))*AT349)/100),2)+ROUND(((ROUND((ROUND(((AE349-(EU349))*AV349*I349),2)*BS349),2)*AT349)/100),2))</f>
        <v>0</v>
      </c>
      <c r="Y349" s="2">
        <f t="shared" ref="Y349:Y362" si="395">(ROUND((((S349+ROUND((ROUND(((EU349)*AV349*I349),2)*BS349),2))*AU349)/100),2)+ROUND(((ROUND((ROUND(((AE349-(EU349))*AV349*I349),2)*BS349),2)*AU349)/100),2))</f>
        <v>0</v>
      </c>
      <c r="Z349" s="2"/>
      <c r="AA349" s="2">
        <v>60255014</v>
      </c>
      <c r="AB349" s="2">
        <f t="shared" si="373"/>
        <v>59.97</v>
      </c>
      <c r="AC349" s="2">
        <f t="shared" si="374"/>
        <v>59.97</v>
      </c>
      <c r="AD349" s="2">
        <f t="shared" ref="AD349:AD362" si="396">ROUND((((ET349)-(EU349))+AE349),6)</f>
        <v>0</v>
      </c>
      <c r="AE349" s="2">
        <f t="shared" ref="AE349:AE362" si="397">ROUND((EU349),6)</f>
        <v>0</v>
      </c>
      <c r="AF349" s="2">
        <f t="shared" ref="AF349:AF362" si="398">ROUND((EV349),6)</f>
        <v>0</v>
      </c>
      <c r="AG349" s="2">
        <f t="shared" si="375"/>
        <v>0</v>
      </c>
      <c r="AH349" s="2">
        <f t="shared" ref="AH349:AH362" si="399">(EW349)</f>
        <v>0</v>
      </c>
      <c r="AI349" s="2">
        <f t="shared" ref="AI349:AI362" si="400">(EX349)</f>
        <v>0</v>
      </c>
      <c r="AJ349" s="2">
        <f t="shared" si="376"/>
        <v>0</v>
      </c>
      <c r="AK349" s="2">
        <v>59.97</v>
      </c>
      <c r="AL349" s="2">
        <v>59.97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1</v>
      </c>
      <c r="AW349" s="2">
        <v>1</v>
      </c>
      <c r="AX349" s="2"/>
      <c r="AY349" s="2"/>
      <c r="AZ349" s="2">
        <v>1</v>
      </c>
      <c r="BA349" s="2">
        <v>1</v>
      </c>
      <c r="BB349" s="2">
        <v>1</v>
      </c>
      <c r="BC349" s="2">
        <v>1</v>
      </c>
      <c r="BD349" s="2" t="s">
        <v>3</v>
      </c>
      <c r="BE349" s="2" t="s">
        <v>3</v>
      </c>
      <c r="BF349" s="2" t="s">
        <v>3</v>
      </c>
      <c r="BG349" s="2" t="s">
        <v>3</v>
      </c>
      <c r="BH349" s="2">
        <v>3</v>
      </c>
      <c r="BI349" s="2">
        <v>1</v>
      </c>
      <c r="BJ349" s="2" t="s">
        <v>437</v>
      </c>
      <c r="BK349" s="2"/>
      <c r="BL349" s="2"/>
      <c r="BM349" s="2">
        <v>1617</v>
      </c>
      <c r="BN349" s="2">
        <v>58973374</v>
      </c>
      <c r="BO349" s="2" t="s">
        <v>3</v>
      </c>
      <c r="BP349" s="2">
        <v>0</v>
      </c>
      <c r="BQ349" s="2">
        <v>200</v>
      </c>
      <c r="BR349" s="2">
        <v>0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1</v>
      </c>
      <c r="BY349" s="2" t="s">
        <v>3</v>
      </c>
      <c r="BZ349" s="2">
        <v>0</v>
      </c>
      <c r="CA349" s="2">
        <v>0</v>
      </c>
      <c r="CB349" s="2" t="s">
        <v>3</v>
      </c>
      <c r="CC349" s="2"/>
      <c r="CD349" s="2"/>
      <c r="CE349" s="2">
        <v>1566</v>
      </c>
      <c r="CF349" s="2">
        <v>0</v>
      </c>
      <c r="CG349" s="2">
        <v>0</v>
      </c>
      <c r="CH349" s="2"/>
      <c r="CI349" s="2"/>
      <c r="CJ349" s="2"/>
      <c r="CK349" s="2"/>
      <c r="CL349" s="2"/>
      <c r="CM349" s="2">
        <v>0</v>
      </c>
      <c r="CN349" s="2" t="s">
        <v>3</v>
      </c>
      <c r="CO349" s="2">
        <v>0</v>
      </c>
      <c r="CP349" s="2">
        <f t="shared" si="377"/>
        <v>49415.28</v>
      </c>
      <c r="CQ349" s="2">
        <f t="shared" si="378"/>
        <v>59.97</v>
      </c>
      <c r="CR349" s="2">
        <f t="shared" ref="CR349:CR362" si="401">(ROUND((ROUND(((ET349)*AV349*1),2)*BB349),2)+ROUND((ROUND(((AE349-(EU349))*AV349*1),2)*BS349),2))</f>
        <v>0</v>
      </c>
      <c r="CS349" s="2">
        <f t="shared" ref="CS349:CS362" si="402">(ROUND((ROUND(((EU349)*AV349*1),2)*BS349),2)+ROUND((ROUND(((AE349-(EU349))*AV349*1),2)*BS349),2))</f>
        <v>0</v>
      </c>
      <c r="CT349" s="2">
        <f t="shared" si="379"/>
        <v>0</v>
      </c>
      <c r="CU349" s="2">
        <f t="shared" si="380"/>
        <v>0</v>
      </c>
      <c r="CV349" s="2">
        <f t="shared" si="381"/>
        <v>0</v>
      </c>
      <c r="CW349" s="2">
        <f t="shared" si="382"/>
        <v>0</v>
      </c>
      <c r="CX349" s="2">
        <f t="shared" si="383"/>
        <v>0</v>
      </c>
      <c r="CY349" s="2">
        <f t="shared" ref="CY349:CY362" si="403">(ROUND((((S349+ROUND((ROUND(((EU349)*AV349*1),2)*BS349),2))*AT349)/100),2)+ROUND(((ROUND((ROUND(((AE349-(EU349))*AV349*1),2)*BS349),2)*AT349)/100),2))</f>
        <v>0</v>
      </c>
      <c r="CZ349" s="2">
        <f t="shared" ref="CZ349:CZ362" si="404">(ROUND((((S349+ROUND((ROUND(((EU349)*AV349*1),2)*BS349),2))*AU349)/100),2)+ROUND(((ROUND((ROUND(((AE349-(EU349))*AV349*1),2)*BS349),2)*AU349)/100),2))</f>
        <v>0</v>
      </c>
      <c r="DA349" s="2"/>
      <c r="DB349" s="2"/>
      <c r="DC349" s="2" t="s">
        <v>3</v>
      </c>
      <c r="DD349" s="2" t="s">
        <v>3</v>
      </c>
      <c r="DE349" s="2" t="s">
        <v>3</v>
      </c>
      <c r="DF349" s="2" t="s">
        <v>3</v>
      </c>
      <c r="DG349" s="2" t="s">
        <v>3</v>
      </c>
      <c r="DH349" s="2" t="s">
        <v>3</v>
      </c>
      <c r="DI349" s="2" t="s">
        <v>3</v>
      </c>
      <c r="DJ349" s="2" t="s">
        <v>3</v>
      </c>
      <c r="DK349" s="2" t="s">
        <v>3</v>
      </c>
      <c r="DL349" s="2" t="s">
        <v>3</v>
      </c>
      <c r="DM349" s="2" t="s">
        <v>3</v>
      </c>
      <c r="DN349" s="2">
        <v>0</v>
      </c>
      <c r="DO349" s="2">
        <v>0</v>
      </c>
      <c r="DP349" s="2">
        <v>1</v>
      </c>
      <c r="DQ349" s="2">
        <v>1</v>
      </c>
      <c r="DR349" s="2"/>
      <c r="DS349" s="2"/>
      <c r="DT349" s="2"/>
      <c r="DU349" s="2">
        <v>1003</v>
      </c>
      <c r="DV349" s="2" t="s">
        <v>376</v>
      </c>
      <c r="DW349" s="2" t="s">
        <v>376</v>
      </c>
      <c r="DX349" s="2">
        <v>1</v>
      </c>
      <c r="DY349" s="2"/>
      <c r="DZ349" s="2" t="s">
        <v>3</v>
      </c>
      <c r="EA349" s="2" t="s">
        <v>3</v>
      </c>
      <c r="EB349" s="2" t="s">
        <v>3</v>
      </c>
      <c r="EC349" s="2" t="s">
        <v>3</v>
      </c>
      <c r="ED349" s="2"/>
      <c r="EE349" s="2">
        <v>60088328</v>
      </c>
      <c r="EF349" s="2">
        <v>200</v>
      </c>
      <c r="EG349" s="2" t="s">
        <v>210</v>
      </c>
      <c r="EH349" s="2">
        <v>0</v>
      </c>
      <c r="EI349" s="2" t="s">
        <v>3</v>
      </c>
      <c r="EJ349" s="2">
        <v>1</v>
      </c>
      <c r="EK349" s="2">
        <v>1617</v>
      </c>
      <c r="EL349" s="2" t="s">
        <v>211</v>
      </c>
      <c r="EM349" s="2" t="s">
        <v>212</v>
      </c>
      <c r="EN349" s="2"/>
      <c r="EO349" s="2" t="s">
        <v>3</v>
      </c>
      <c r="EP349" s="2"/>
      <c r="EQ349" s="2">
        <v>0</v>
      </c>
      <c r="ER349" s="2">
        <v>59.97</v>
      </c>
      <c r="ES349" s="2">
        <v>59.97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>
        <v>0</v>
      </c>
      <c r="FR349" s="2">
        <v>0</v>
      </c>
      <c r="FS349" s="2">
        <v>0</v>
      </c>
      <c r="FT349" s="2"/>
      <c r="FU349" s="2"/>
      <c r="FV349" s="2"/>
      <c r="FW349" s="2"/>
      <c r="FX349" s="2">
        <v>0</v>
      </c>
      <c r="FY349" s="2">
        <v>0</v>
      </c>
      <c r="FZ349" s="2"/>
      <c r="GA349" s="2" t="s">
        <v>3</v>
      </c>
      <c r="GB349" s="2"/>
      <c r="GC349" s="2"/>
      <c r="GD349" s="2">
        <v>1</v>
      </c>
      <c r="GE349" s="2"/>
      <c r="GF349" s="2">
        <v>1712579676</v>
      </c>
      <c r="GG349" s="2">
        <v>2</v>
      </c>
      <c r="GH349" s="2">
        <v>1</v>
      </c>
      <c r="GI349" s="2">
        <v>-2</v>
      </c>
      <c r="GJ349" s="2">
        <v>0</v>
      </c>
      <c r="GK349" s="2">
        <v>0</v>
      </c>
      <c r="GL349" s="2">
        <f t="shared" si="384"/>
        <v>0</v>
      </c>
      <c r="GM349" s="2">
        <f t="shared" si="385"/>
        <v>49415.28</v>
      </c>
      <c r="GN349" s="2">
        <f t="shared" si="386"/>
        <v>49415.28</v>
      </c>
      <c r="GO349" s="2">
        <f t="shared" si="387"/>
        <v>0</v>
      </c>
      <c r="GP349" s="2">
        <f t="shared" si="388"/>
        <v>0</v>
      </c>
      <c r="GQ349" s="2"/>
      <c r="GR349" s="2">
        <v>0</v>
      </c>
      <c r="GS349" s="2">
        <v>3</v>
      </c>
      <c r="GT349" s="2">
        <v>0</v>
      </c>
      <c r="GU349" s="2" t="s">
        <v>3</v>
      </c>
      <c r="GV349" s="2">
        <f t="shared" si="389"/>
        <v>0</v>
      </c>
      <c r="GW349" s="2">
        <v>1</v>
      </c>
      <c r="GX349" s="2">
        <f t="shared" si="390"/>
        <v>0</v>
      </c>
      <c r="GY349" s="2"/>
      <c r="GZ349" s="2"/>
      <c r="HA349" s="2">
        <v>0</v>
      </c>
      <c r="HB349" s="2">
        <v>0</v>
      </c>
      <c r="HC349" s="2">
        <f t="shared" si="391"/>
        <v>0</v>
      </c>
      <c r="HD349" s="2"/>
      <c r="HE349" s="2" t="s">
        <v>3</v>
      </c>
      <c r="HF349" s="2" t="s">
        <v>3</v>
      </c>
      <c r="HG349" s="2"/>
      <c r="HH349" s="2"/>
      <c r="HI349" s="2"/>
      <c r="HJ349" s="2"/>
      <c r="HK349" s="2"/>
      <c r="HL349" s="2"/>
      <c r="HM349" s="2" t="s">
        <v>3</v>
      </c>
      <c r="HN349" s="2" t="s">
        <v>3</v>
      </c>
      <c r="HO349" s="2" t="s">
        <v>3</v>
      </c>
      <c r="HP349" s="2" t="s">
        <v>3</v>
      </c>
      <c r="HQ349" s="2" t="s">
        <v>3</v>
      </c>
      <c r="HR349" s="2"/>
      <c r="HS349" s="2">
        <v>0</v>
      </c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>
        <v>0</v>
      </c>
      <c r="IL349" s="2"/>
      <c r="IM349" s="2"/>
      <c r="IN349" s="2"/>
      <c r="IO349" s="2"/>
      <c r="IP349" s="2"/>
      <c r="IQ349" s="2"/>
      <c r="IR349" s="2"/>
      <c r="IS349" s="2"/>
      <c r="IT349" s="2"/>
      <c r="IU349" s="2"/>
    </row>
    <row r="350" spans="1:255" x14ac:dyDescent="0.2">
      <c r="A350">
        <v>17</v>
      </c>
      <c r="B350">
        <v>1</v>
      </c>
      <c r="E350" t="s">
        <v>434</v>
      </c>
      <c r="F350" t="s">
        <v>435</v>
      </c>
      <c r="G350" t="s">
        <v>436</v>
      </c>
      <c r="H350" t="s">
        <v>376</v>
      </c>
      <c r="I350">
        <f>ROUND(800*1.03,9)</f>
        <v>824</v>
      </c>
      <c r="J350">
        <v>0</v>
      </c>
      <c r="K350">
        <f>ROUND(800*1.03,9)</f>
        <v>824</v>
      </c>
      <c r="O350">
        <f t="shared" si="366"/>
        <v>213968.16</v>
      </c>
      <c r="P350">
        <f t="shared" si="367"/>
        <v>213968.16</v>
      </c>
      <c r="Q350">
        <f t="shared" si="392"/>
        <v>0</v>
      </c>
      <c r="R350">
        <f t="shared" si="393"/>
        <v>0</v>
      </c>
      <c r="S350">
        <f t="shared" si="368"/>
        <v>0</v>
      </c>
      <c r="T350">
        <f t="shared" si="369"/>
        <v>0</v>
      </c>
      <c r="U350">
        <f t="shared" si="370"/>
        <v>0</v>
      </c>
      <c r="V350">
        <f t="shared" si="371"/>
        <v>0</v>
      </c>
      <c r="W350">
        <f t="shared" si="372"/>
        <v>0</v>
      </c>
      <c r="X350">
        <f t="shared" si="394"/>
        <v>0</v>
      </c>
      <c r="Y350">
        <f t="shared" si="395"/>
        <v>0</v>
      </c>
      <c r="AA350">
        <v>60255011</v>
      </c>
      <c r="AB350">
        <f t="shared" si="373"/>
        <v>59.97</v>
      </c>
      <c r="AC350">
        <f t="shared" si="374"/>
        <v>59.97</v>
      </c>
      <c r="AD350">
        <f t="shared" si="396"/>
        <v>0</v>
      </c>
      <c r="AE350">
        <f t="shared" si="397"/>
        <v>0</v>
      </c>
      <c r="AF350">
        <f t="shared" si="398"/>
        <v>0</v>
      </c>
      <c r="AG350">
        <f t="shared" si="375"/>
        <v>0</v>
      </c>
      <c r="AH350">
        <f t="shared" si="399"/>
        <v>0</v>
      </c>
      <c r="AI350">
        <f t="shared" si="400"/>
        <v>0</v>
      </c>
      <c r="AJ350">
        <f t="shared" si="376"/>
        <v>0</v>
      </c>
      <c r="AK350">
        <v>59.97</v>
      </c>
      <c r="AL350">
        <v>59.97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1</v>
      </c>
      <c r="AZ350">
        <v>1</v>
      </c>
      <c r="BA350">
        <v>1</v>
      </c>
      <c r="BB350">
        <v>1</v>
      </c>
      <c r="BC350">
        <v>4.33</v>
      </c>
      <c r="BD350" t="s">
        <v>3</v>
      </c>
      <c r="BE350" t="s">
        <v>3</v>
      </c>
      <c r="BF350" t="s">
        <v>3</v>
      </c>
      <c r="BG350" t="s">
        <v>3</v>
      </c>
      <c r="BH350">
        <v>3</v>
      </c>
      <c r="BI350">
        <v>1</v>
      </c>
      <c r="BJ350" t="s">
        <v>437</v>
      </c>
      <c r="BM350">
        <v>1617</v>
      </c>
      <c r="BN350">
        <v>58973374</v>
      </c>
      <c r="BO350" t="s">
        <v>435</v>
      </c>
      <c r="BP350">
        <v>1</v>
      </c>
      <c r="BQ350">
        <v>200</v>
      </c>
      <c r="BR350">
        <v>0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 t="s">
        <v>3</v>
      </c>
      <c r="BZ350">
        <v>0</v>
      </c>
      <c r="CA350">
        <v>0</v>
      </c>
      <c r="CB350" t="s">
        <v>3</v>
      </c>
      <c r="CE350">
        <v>1566</v>
      </c>
      <c r="CF350">
        <v>0</v>
      </c>
      <c r="CG350">
        <v>0</v>
      </c>
      <c r="CM350">
        <v>0</v>
      </c>
      <c r="CN350" t="s">
        <v>3</v>
      </c>
      <c r="CO350">
        <v>0</v>
      </c>
      <c r="CP350">
        <f t="shared" si="377"/>
        <v>213968.16</v>
      </c>
      <c r="CQ350">
        <f t="shared" si="378"/>
        <v>259.67</v>
      </c>
      <c r="CR350">
        <f t="shared" si="401"/>
        <v>0</v>
      </c>
      <c r="CS350">
        <f t="shared" si="402"/>
        <v>0</v>
      </c>
      <c r="CT350">
        <f t="shared" si="379"/>
        <v>0</v>
      </c>
      <c r="CU350">
        <f t="shared" si="380"/>
        <v>0</v>
      </c>
      <c r="CV350">
        <f t="shared" si="381"/>
        <v>0</v>
      </c>
      <c r="CW350">
        <f t="shared" si="382"/>
        <v>0</v>
      </c>
      <c r="CX350">
        <f t="shared" si="383"/>
        <v>0</v>
      </c>
      <c r="CY350">
        <f t="shared" si="403"/>
        <v>0</v>
      </c>
      <c r="CZ350">
        <f t="shared" si="404"/>
        <v>0</v>
      </c>
      <c r="DC350" t="s">
        <v>3</v>
      </c>
      <c r="DD350" t="s">
        <v>3</v>
      </c>
      <c r="DE350" t="s">
        <v>3</v>
      </c>
      <c r="DF350" t="s">
        <v>3</v>
      </c>
      <c r="DG350" t="s">
        <v>3</v>
      </c>
      <c r="DH350" t="s">
        <v>3</v>
      </c>
      <c r="DI350" t="s">
        <v>3</v>
      </c>
      <c r="DJ350" t="s">
        <v>3</v>
      </c>
      <c r="DK350" t="s">
        <v>3</v>
      </c>
      <c r="DL350" t="s">
        <v>3</v>
      </c>
      <c r="DM350" t="s">
        <v>3</v>
      </c>
      <c r="DN350">
        <v>0</v>
      </c>
      <c r="DO350">
        <v>0</v>
      </c>
      <c r="DP350">
        <v>1</v>
      </c>
      <c r="DQ350">
        <v>1</v>
      </c>
      <c r="DU350">
        <v>1003</v>
      </c>
      <c r="DV350" t="s">
        <v>376</v>
      </c>
      <c r="DW350" t="s">
        <v>376</v>
      </c>
      <c r="DX350">
        <v>1</v>
      </c>
      <c r="DZ350" t="s">
        <v>3</v>
      </c>
      <c r="EA350" t="s">
        <v>3</v>
      </c>
      <c r="EB350" t="s">
        <v>3</v>
      </c>
      <c r="EC350" t="s">
        <v>3</v>
      </c>
      <c r="EE350">
        <v>60088328</v>
      </c>
      <c r="EF350">
        <v>200</v>
      </c>
      <c r="EG350" t="s">
        <v>210</v>
      </c>
      <c r="EH350">
        <v>0</v>
      </c>
      <c r="EI350" t="s">
        <v>3</v>
      </c>
      <c r="EJ350">
        <v>1</v>
      </c>
      <c r="EK350">
        <v>1617</v>
      </c>
      <c r="EL350" t="s">
        <v>211</v>
      </c>
      <c r="EM350" t="s">
        <v>212</v>
      </c>
      <c r="EO350" t="s">
        <v>3</v>
      </c>
      <c r="EQ350">
        <v>0</v>
      </c>
      <c r="ER350">
        <v>59.97</v>
      </c>
      <c r="ES350">
        <v>59.97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FQ350">
        <v>0</v>
      </c>
      <c r="FR350">
        <v>0</v>
      </c>
      <c r="FS350">
        <v>0</v>
      </c>
      <c r="FX350">
        <v>0</v>
      </c>
      <c r="FY350">
        <v>0</v>
      </c>
      <c r="GA350" t="s">
        <v>3</v>
      </c>
      <c r="GD350">
        <v>1</v>
      </c>
      <c r="GF350">
        <v>1712579676</v>
      </c>
      <c r="GG350">
        <v>2</v>
      </c>
      <c r="GH350">
        <v>1</v>
      </c>
      <c r="GI350">
        <v>2</v>
      </c>
      <c r="GJ350">
        <v>0</v>
      </c>
      <c r="GK350">
        <v>0</v>
      </c>
      <c r="GL350">
        <f t="shared" si="384"/>
        <v>0</v>
      </c>
      <c r="GM350">
        <f t="shared" si="385"/>
        <v>213968.16</v>
      </c>
      <c r="GN350">
        <f t="shared" si="386"/>
        <v>213968.16</v>
      </c>
      <c r="GO350">
        <f t="shared" si="387"/>
        <v>0</v>
      </c>
      <c r="GP350">
        <f t="shared" si="388"/>
        <v>0</v>
      </c>
      <c r="GR350">
        <v>0</v>
      </c>
      <c r="GS350">
        <v>3</v>
      </c>
      <c r="GT350">
        <v>0</v>
      </c>
      <c r="GU350" t="s">
        <v>3</v>
      </c>
      <c r="GV350">
        <f t="shared" si="389"/>
        <v>0</v>
      </c>
      <c r="GW350">
        <v>1</v>
      </c>
      <c r="GX350">
        <f t="shared" si="390"/>
        <v>0</v>
      </c>
      <c r="HA350">
        <v>0</v>
      </c>
      <c r="HB350">
        <v>0</v>
      </c>
      <c r="HC350">
        <f t="shared" si="391"/>
        <v>0</v>
      </c>
      <c r="HE350" t="s">
        <v>3</v>
      </c>
      <c r="HF350" t="s">
        <v>3</v>
      </c>
      <c r="HM350" t="s">
        <v>3</v>
      </c>
      <c r="HN350" t="s">
        <v>3</v>
      </c>
      <c r="HO350" t="s">
        <v>3</v>
      </c>
      <c r="HP350" t="s">
        <v>3</v>
      </c>
      <c r="HQ350" t="s">
        <v>3</v>
      </c>
      <c r="HS350">
        <v>0</v>
      </c>
      <c r="IK350">
        <v>0</v>
      </c>
    </row>
    <row r="351" spans="1:255" x14ac:dyDescent="0.2">
      <c r="A351" s="2">
        <v>17</v>
      </c>
      <c r="B351" s="2">
        <v>1</v>
      </c>
      <c r="C351" s="2"/>
      <c r="D351" s="2"/>
      <c r="E351" s="2" t="s">
        <v>438</v>
      </c>
      <c r="F351" s="2" t="s">
        <v>435</v>
      </c>
      <c r="G351" s="2" t="s">
        <v>439</v>
      </c>
      <c r="H351" s="2" t="s">
        <v>376</v>
      </c>
      <c r="I351" s="2">
        <v>618</v>
      </c>
      <c r="J351" s="2">
        <v>0</v>
      </c>
      <c r="K351" s="2">
        <v>618</v>
      </c>
      <c r="L351" s="2"/>
      <c r="M351" s="2"/>
      <c r="N351" s="2"/>
      <c r="O351" s="2">
        <f t="shared" si="366"/>
        <v>37061.46</v>
      </c>
      <c r="P351" s="2">
        <f t="shared" si="367"/>
        <v>37061.46</v>
      </c>
      <c r="Q351" s="2">
        <f t="shared" si="392"/>
        <v>0</v>
      </c>
      <c r="R351" s="2">
        <f t="shared" si="393"/>
        <v>0</v>
      </c>
      <c r="S351" s="2">
        <f t="shared" si="368"/>
        <v>0</v>
      </c>
      <c r="T351" s="2">
        <f t="shared" si="369"/>
        <v>0</v>
      </c>
      <c r="U351" s="2">
        <f t="shared" si="370"/>
        <v>0</v>
      </c>
      <c r="V351" s="2">
        <f t="shared" si="371"/>
        <v>0</v>
      </c>
      <c r="W351" s="2">
        <f t="shared" si="372"/>
        <v>0</v>
      </c>
      <c r="X351" s="2">
        <f t="shared" si="394"/>
        <v>0</v>
      </c>
      <c r="Y351" s="2">
        <f t="shared" si="395"/>
        <v>0</v>
      </c>
      <c r="Z351" s="2"/>
      <c r="AA351" s="2">
        <v>60255014</v>
      </c>
      <c r="AB351" s="2">
        <f t="shared" si="373"/>
        <v>59.97</v>
      </c>
      <c r="AC351" s="2">
        <f t="shared" si="374"/>
        <v>59.97</v>
      </c>
      <c r="AD351" s="2">
        <f t="shared" si="396"/>
        <v>0</v>
      </c>
      <c r="AE351" s="2">
        <f t="shared" si="397"/>
        <v>0</v>
      </c>
      <c r="AF351" s="2">
        <f t="shared" si="398"/>
        <v>0</v>
      </c>
      <c r="AG351" s="2">
        <f t="shared" si="375"/>
        <v>0</v>
      </c>
      <c r="AH351" s="2">
        <f t="shared" si="399"/>
        <v>0</v>
      </c>
      <c r="AI351" s="2">
        <f t="shared" si="400"/>
        <v>0</v>
      </c>
      <c r="AJ351" s="2">
        <f t="shared" si="376"/>
        <v>0</v>
      </c>
      <c r="AK351" s="2">
        <v>59.97</v>
      </c>
      <c r="AL351" s="2">
        <v>59.97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1</v>
      </c>
      <c r="AW351" s="2">
        <v>1</v>
      </c>
      <c r="AX351" s="2"/>
      <c r="AY351" s="2"/>
      <c r="AZ351" s="2">
        <v>1</v>
      </c>
      <c r="BA351" s="2">
        <v>1</v>
      </c>
      <c r="BB351" s="2">
        <v>1</v>
      </c>
      <c r="BC351" s="2">
        <v>1</v>
      </c>
      <c r="BD351" s="2" t="s">
        <v>3</v>
      </c>
      <c r="BE351" s="2" t="s">
        <v>3</v>
      </c>
      <c r="BF351" s="2" t="s">
        <v>3</v>
      </c>
      <c r="BG351" s="2" t="s">
        <v>3</v>
      </c>
      <c r="BH351" s="2">
        <v>3</v>
      </c>
      <c r="BI351" s="2">
        <v>1</v>
      </c>
      <c r="BJ351" s="2" t="s">
        <v>437</v>
      </c>
      <c r="BK351" s="2"/>
      <c r="BL351" s="2"/>
      <c r="BM351" s="2">
        <v>1617</v>
      </c>
      <c r="BN351" s="2">
        <v>58973374</v>
      </c>
      <c r="BO351" s="2" t="s">
        <v>3</v>
      </c>
      <c r="BP351" s="2">
        <v>0</v>
      </c>
      <c r="BQ351" s="2">
        <v>200</v>
      </c>
      <c r="BR351" s="2">
        <v>0</v>
      </c>
      <c r="BS351" s="2">
        <v>1</v>
      </c>
      <c r="BT351" s="2">
        <v>1</v>
      </c>
      <c r="BU351" s="2">
        <v>1</v>
      </c>
      <c r="BV351" s="2">
        <v>1</v>
      </c>
      <c r="BW351" s="2">
        <v>1</v>
      </c>
      <c r="BX351" s="2">
        <v>1</v>
      </c>
      <c r="BY351" s="2" t="s">
        <v>3</v>
      </c>
      <c r="BZ351" s="2">
        <v>0</v>
      </c>
      <c r="CA351" s="2">
        <v>0</v>
      </c>
      <c r="CB351" s="2" t="s">
        <v>3</v>
      </c>
      <c r="CC351" s="2"/>
      <c r="CD351" s="2"/>
      <c r="CE351" s="2">
        <v>1566</v>
      </c>
      <c r="CF351" s="2">
        <v>0</v>
      </c>
      <c r="CG351" s="2">
        <v>0</v>
      </c>
      <c r="CH351" s="2"/>
      <c r="CI351" s="2"/>
      <c r="CJ351" s="2"/>
      <c r="CK351" s="2"/>
      <c r="CL351" s="2"/>
      <c r="CM351" s="2">
        <v>0</v>
      </c>
      <c r="CN351" s="2" t="s">
        <v>3</v>
      </c>
      <c r="CO351" s="2">
        <v>0</v>
      </c>
      <c r="CP351" s="2">
        <f t="shared" si="377"/>
        <v>37061.46</v>
      </c>
      <c r="CQ351" s="2">
        <f t="shared" si="378"/>
        <v>59.97</v>
      </c>
      <c r="CR351" s="2">
        <f t="shared" si="401"/>
        <v>0</v>
      </c>
      <c r="CS351" s="2">
        <f t="shared" si="402"/>
        <v>0</v>
      </c>
      <c r="CT351" s="2">
        <f t="shared" si="379"/>
        <v>0</v>
      </c>
      <c r="CU351" s="2">
        <f t="shared" si="380"/>
        <v>0</v>
      </c>
      <c r="CV351" s="2">
        <f t="shared" si="381"/>
        <v>0</v>
      </c>
      <c r="CW351" s="2">
        <f t="shared" si="382"/>
        <v>0</v>
      </c>
      <c r="CX351" s="2">
        <f t="shared" si="383"/>
        <v>0</v>
      </c>
      <c r="CY351" s="2">
        <f t="shared" si="403"/>
        <v>0</v>
      </c>
      <c r="CZ351" s="2">
        <f t="shared" si="404"/>
        <v>0</v>
      </c>
      <c r="DA351" s="2"/>
      <c r="DB351" s="2"/>
      <c r="DC351" s="2" t="s">
        <v>3</v>
      </c>
      <c r="DD351" s="2" t="s">
        <v>3</v>
      </c>
      <c r="DE351" s="2" t="s">
        <v>3</v>
      </c>
      <c r="DF351" s="2" t="s">
        <v>3</v>
      </c>
      <c r="DG351" s="2" t="s">
        <v>3</v>
      </c>
      <c r="DH351" s="2" t="s">
        <v>3</v>
      </c>
      <c r="DI351" s="2" t="s">
        <v>3</v>
      </c>
      <c r="DJ351" s="2" t="s">
        <v>3</v>
      </c>
      <c r="DK351" s="2" t="s">
        <v>3</v>
      </c>
      <c r="DL351" s="2" t="s">
        <v>3</v>
      </c>
      <c r="DM351" s="2" t="s">
        <v>3</v>
      </c>
      <c r="DN351" s="2">
        <v>0</v>
      </c>
      <c r="DO351" s="2">
        <v>0</v>
      </c>
      <c r="DP351" s="2">
        <v>1</v>
      </c>
      <c r="DQ351" s="2">
        <v>1</v>
      </c>
      <c r="DR351" s="2"/>
      <c r="DS351" s="2"/>
      <c r="DT351" s="2"/>
      <c r="DU351" s="2">
        <v>1003</v>
      </c>
      <c r="DV351" s="2" t="s">
        <v>376</v>
      </c>
      <c r="DW351" s="2" t="s">
        <v>376</v>
      </c>
      <c r="DX351" s="2">
        <v>1</v>
      </c>
      <c r="DY351" s="2"/>
      <c r="DZ351" s="2" t="s">
        <v>3</v>
      </c>
      <c r="EA351" s="2" t="s">
        <v>3</v>
      </c>
      <c r="EB351" s="2" t="s">
        <v>3</v>
      </c>
      <c r="EC351" s="2" t="s">
        <v>3</v>
      </c>
      <c r="ED351" s="2"/>
      <c r="EE351" s="2">
        <v>60088328</v>
      </c>
      <c r="EF351" s="2">
        <v>200</v>
      </c>
      <c r="EG351" s="2" t="s">
        <v>210</v>
      </c>
      <c r="EH351" s="2">
        <v>0</v>
      </c>
      <c r="EI351" s="2" t="s">
        <v>3</v>
      </c>
      <c r="EJ351" s="2">
        <v>1</v>
      </c>
      <c r="EK351" s="2">
        <v>1617</v>
      </c>
      <c r="EL351" s="2" t="s">
        <v>211</v>
      </c>
      <c r="EM351" s="2" t="s">
        <v>212</v>
      </c>
      <c r="EN351" s="2"/>
      <c r="EO351" s="2" t="s">
        <v>3</v>
      </c>
      <c r="EP351" s="2"/>
      <c r="EQ351" s="2">
        <v>0</v>
      </c>
      <c r="ER351" s="2">
        <v>59.97</v>
      </c>
      <c r="ES351" s="2">
        <v>59.97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>
        <v>0</v>
      </c>
      <c r="FR351" s="2">
        <v>0</v>
      </c>
      <c r="FS351" s="2">
        <v>0</v>
      </c>
      <c r="FT351" s="2"/>
      <c r="FU351" s="2"/>
      <c r="FV351" s="2"/>
      <c r="FW351" s="2"/>
      <c r="FX351" s="2">
        <v>0</v>
      </c>
      <c r="FY351" s="2">
        <v>0</v>
      </c>
      <c r="FZ351" s="2"/>
      <c r="GA351" s="2" t="s">
        <v>3</v>
      </c>
      <c r="GB351" s="2"/>
      <c r="GC351" s="2"/>
      <c r="GD351" s="2">
        <v>1</v>
      </c>
      <c r="GE351" s="2"/>
      <c r="GF351" s="2">
        <v>1621136781</v>
      </c>
      <c r="GG351" s="2">
        <v>2</v>
      </c>
      <c r="GH351" s="2">
        <v>1</v>
      </c>
      <c r="GI351" s="2">
        <v>-2</v>
      </c>
      <c r="GJ351" s="2">
        <v>0</v>
      </c>
      <c r="GK351" s="2">
        <v>0</v>
      </c>
      <c r="GL351" s="2">
        <f t="shared" si="384"/>
        <v>0</v>
      </c>
      <c r="GM351" s="2">
        <f t="shared" si="385"/>
        <v>37061.46</v>
      </c>
      <c r="GN351" s="2">
        <f t="shared" si="386"/>
        <v>37061.46</v>
      </c>
      <c r="GO351" s="2">
        <f t="shared" si="387"/>
        <v>0</v>
      </c>
      <c r="GP351" s="2">
        <f t="shared" si="388"/>
        <v>0</v>
      </c>
      <c r="GQ351" s="2"/>
      <c r="GR351" s="2">
        <v>0</v>
      </c>
      <c r="GS351" s="2">
        <v>3</v>
      </c>
      <c r="GT351" s="2">
        <v>0</v>
      </c>
      <c r="GU351" s="2" t="s">
        <v>3</v>
      </c>
      <c r="GV351" s="2">
        <f t="shared" si="389"/>
        <v>0</v>
      </c>
      <c r="GW351" s="2">
        <v>1</v>
      </c>
      <c r="GX351" s="2">
        <f t="shared" si="390"/>
        <v>0</v>
      </c>
      <c r="GY351" s="2"/>
      <c r="GZ351" s="2"/>
      <c r="HA351" s="2">
        <v>0</v>
      </c>
      <c r="HB351" s="2">
        <v>0</v>
      </c>
      <c r="HC351" s="2">
        <f t="shared" si="391"/>
        <v>0</v>
      </c>
      <c r="HD351" s="2"/>
      <c r="HE351" s="2" t="s">
        <v>3</v>
      </c>
      <c r="HF351" s="2" t="s">
        <v>3</v>
      </c>
      <c r="HG351" s="2"/>
      <c r="HH351" s="2"/>
      <c r="HI351" s="2"/>
      <c r="HJ351" s="2"/>
      <c r="HK351" s="2"/>
      <c r="HL351" s="2"/>
      <c r="HM351" s="2" t="s">
        <v>3</v>
      </c>
      <c r="HN351" s="2" t="s">
        <v>3</v>
      </c>
      <c r="HO351" s="2" t="s">
        <v>3</v>
      </c>
      <c r="HP351" s="2" t="s">
        <v>3</v>
      </c>
      <c r="HQ351" s="2" t="s">
        <v>3</v>
      </c>
      <c r="HR351" s="2"/>
      <c r="HS351" s="2">
        <v>0</v>
      </c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>
        <v>0</v>
      </c>
      <c r="IL351" s="2"/>
      <c r="IM351" s="2"/>
      <c r="IN351" s="2"/>
      <c r="IO351" s="2"/>
      <c r="IP351" s="2"/>
      <c r="IQ351" s="2"/>
      <c r="IR351" s="2"/>
      <c r="IS351" s="2"/>
      <c r="IT351" s="2"/>
      <c r="IU351" s="2"/>
    </row>
    <row r="352" spans="1:255" x14ac:dyDescent="0.2">
      <c r="A352">
        <v>17</v>
      </c>
      <c r="B352">
        <v>1</v>
      </c>
      <c r="E352" t="s">
        <v>438</v>
      </c>
      <c r="F352" t="s">
        <v>435</v>
      </c>
      <c r="G352" t="s">
        <v>439</v>
      </c>
      <c r="H352" t="s">
        <v>376</v>
      </c>
      <c r="I352">
        <v>618</v>
      </c>
      <c r="J352">
        <v>0</v>
      </c>
      <c r="K352">
        <v>618</v>
      </c>
      <c r="O352">
        <f t="shared" si="366"/>
        <v>160476.12</v>
      </c>
      <c r="P352">
        <f t="shared" si="367"/>
        <v>160476.12</v>
      </c>
      <c r="Q352">
        <f t="shared" si="392"/>
        <v>0</v>
      </c>
      <c r="R352">
        <f t="shared" si="393"/>
        <v>0</v>
      </c>
      <c r="S352">
        <f t="shared" si="368"/>
        <v>0</v>
      </c>
      <c r="T352">
        <f t="shared" si="369"/>
        <v>0</v>
      </c>
      <c r="U352">
        <f t="shared" si="370"/>
        <v>0</v>
      </c>
      <c r="V352">
        <f t="shared" si="371"/>
        <v>0</v>
      </c>
      <c r="W352">
        <f t="shared" si="372"/>
        <v>0</v>
      </c>
      <c r="X352">
        <f t="shared" si="394"/>
        <v>0</v>
      </c>
      <c r="Y352">
        <f t="shared" si="395"/>
        <v>0</v>
      </c>
      <c r="AA352">
        <v>60255011</v>
      </c>
      <c r="AB352">
        <f t="shared" si="373"/>
        <v>59.97</v>
      </c>
      <c r="AC352">
        <f t="shared" si="374"/>
        <v>59.97</v>
      </c>
      <c r="AD352">
        <f t="shared" si="396"/>
        <v>0</v>
      </c>
      <c r="AE352">
        <f t="shared" si="397"/>
        <v>0</v>
      </c>
      <c r="AF352">
        <f t="shared" si="398"/>
        <v>0</v>
      </c>
      <c r="AG352">
        <f t="shared" si="375"/>
        <v>0</v>
      </c>
      <c r="AH352">
        <f t="shared" si="399"/>
        <v>0</v>
      </c>
      <c r="AI352">
        <f t="shared" si="400"/>
        <v>0</v>
      </c>
      <c r="AJ352">
        <f t="shared" si="376"/>
        <v>0</v>
      </c>
      <c r="AK352">
        <v>59.97</v>
      </c>
      <c r="AL352">
        <v>59.97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1</v>
      </c>
      <c r="AZ352">
        <v>1</v>
      </c>
      <c r="BA352">
        <v>1</v>
      </c>
      <c r="BB352">
        <v>1</v>
      </c>
      <c r="BC352">
        <v>4.33</v>
      </c>
      <c r="BD352" t="s">
        <v>3</v>
      </c>
      <c r="BE352" t="s">
        <v>3</v>
      </c>
      <c r="BF352" t="s">
        <v>3</v>
      </c>
      <c r="BG352" t="s">
        <v>3</v>
      </c>
      <c r="BH352">
        <v>3</v>
      </c>
      <c r="BI352">
        <v>1</v>
      </c>
      <c r="BJ352" t="s">
        <v>437</v>
      </c>
      <c r="BM352">
        <v>1617</v>
      </c>
      <c r="BN352">
        <v>58973374</v>
      </c>
      <c r="BO352" t="s">
        <v>435</v>
      </c>
      <c r="BP352">
        <v>1</v>
      </c>
      <c r="BQ352">
        <v>200</v>
      </c>
      <c r="BR352">
        <v>0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 t="s">
        <v>3</v>
      </c>
      <c r="BZ352">
        <v>0</v>
      </c>
      <c r="CA352">
        <v>0</v>
      </c>
      <c r="CB352" t="s">
        <v>3</v>
      </c>
      <c r="CE352">
        <v>1566</v>
      </c>
      <c r="CF352">
        <v>0</v>
      </c>
      <c r="CG352">
        <v>0</v>
      </c>
      <c r="CM352">
        <v>0</v>
      </c>
      <c r="CN352" t="s">
        <v>3</v>
      </c>
      <c r="CO352">
        <v>0</v>
      </c>
      <c r="CP352">
        <f t="shared" si="377"/>
        <v>160476.12</v>
      </c>
      <c r="CQ352">
        <f t="shared" si="378"/>
        <v>259.67</v>
      </c>
      <c r="CR352">
        <f t="shared" si="401"/>
        <v>0</v>
      </c>
      <c r="CS352">
        <f t="shared" si="402"/>
        <v>0</v>
      </c>
      <c r="CT352">
        <f t="shared" si="379"/>
        <v>0</v>
      </c>
      <c r="CU352">
        <f t="shared" si="380"/>
        <v>0</v>
      </c>
      <c r="CV352">
        <f t="shared" si="381"/>
        <v>0</v>
      </c>
      <c r="CW352">
        <f t="shared" si="382"/>
        <v>0</v>
      </c>
      <c r="CX352">
        <f t="shared" si="383"/>
        <v>0</v>
      </c>
      <c r="CY352">
        <f t="shared" si="403"/>
        <v>0</v>
      </c>
      <c r="CZ352">
        <f t="shared" si="404"/>
        <v>0</v>
      </c>
      <c r="DC352" t="s">
        <v>3</v>
      </c>
      <c r="DD352" t="s">
        <v>3</v>
      </c>
      <c r="DE352" t="s">
        <v>3</v>
      </c>
      <c r="DF352" t="s">
        <v>3</v>
      </c>
      <c r="DG352" t="s">
        <v>3</v>
      </c>
      <c r="DH352" t="s">
        <v>3</v>
      </c>
      <c r="DI352" t="s">
        <v>3</v>
      </c>
      <c r="DJ352" t="s">
        <v>3</v>
      </c>
      <c r="DK352" t="s">
        <v>3</v>
      </c>
      <c r="DL352" t="s">
        <v>3</v>
      </c>
      <c r="DM352" t="s">
        <v>3</v>
      </c>
      <c r="DN352">
        <v>0</v>
      </c>
      <c r="DO352">
        <v>0</v>
      </c>
      <c r="DP352">
        <v>1</v>
      </c>
      <c r="DQ352">
        <v>1</v>
      </c>
      <c r="DU352">
        <v>1003</v>
      </c>
      <c r="DV352" t="s">
        <v>376</v>
      </c>
      <c r="DW352" t="s">
        <v>376</v>
      </c>
      <c r="DX352">
        <v>1</v>
      </c>
      <c r="DZ352" t="s">
        <v>3</v>
      </c>
      <c r="EA352" t="s">
        <v>3</v>
      </c>
      <c r="EB352" t="s">
        <v>3</v>
      </c>
      <c r="EC352" t="s">
        <v>3</v>
      </c>
      <c r="EE352">
        <v>60088328</v>
      </c>
      <c r="EF352">
        <v>200</v>
      </c>
      <c r="EG352" t="s">
        <v>210</v>
      </c>
      <c r="EH352">
        <v>0</v>
      </c>
      <c r="EI352" t="s">
        <v>3</v>
      </c>
      <c r="EJ352">
        <v>1</v>
      </c>
      <c r="EK352">
        <v>1617</v>
      </c>
      <c r="EL352" t="s">
        <v>211</v>
      </c>
      <c r="EM352" t="s">
        <v>212</v>
      </c>
      <c r="EO352" t="s">
        <v>3</v>
      </c>
      <c r="EQ352">
        <v>0</v>
      </c>
      <c r="ER352">
        <v>59.97</v>
      </c>
      <c r="ES352">
        <v>59.97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FQ352">
        <v>0</v>
      </c>
      <c r="FR352">
        <v>0</v>
      </c>
      <c r="FS352">
        <v>0</v>
      </c>
      <c r="FX352">
        <v>0</v>
      </c>
      <c r="FY352">
        <v>0</v>
      </c>
      <c r="GA352" t="s">
        <v>3</v>
      </c>
      <c r="GD352">
        <v>1</v>
      </c>
      <c r="GF352">
        <v>1621136781</v>
      </c>
      <c r="GG352">
        <v>2</v>
      </c>
      <c r="GH352">
        <v>1</v>
      </c>
      <c r="GI352">
        <v>2</v>
      </c>
      <c r="GJ352">
        <v>0</v>
      </c>
      <c r="GK352">
        <v>0</v>
      </c>
      <c r="GL352">
        <f t="shared" si="384"/>
        <v>0</v>
      </c>
      <c r="GM352">
        <f t="shared" si="385"/>
        <v>160476.12</v>
      </c>
      <c r="GN352">
        <f t="shared" si="386"/>
        <v>160476.12</v>
      </c>
      <c r="GO352">
        <f t="shared" si="387"/>
        <v>0</v>
      </c>
      <c r="GP352">
        <f t="shared" si="388"/>
        <v>0</v>
      </c>
      <c r="GR352">
        <v>0</v>
      </c>
      <c r="GS352">
        <v>3</v>
      </c>
      <c r="GT352">
        <v>0</v>
      </c>
      <c r="GU352" t="s">
        <v>3</v>
      </c>
      <c r="GV352">
        <f t="shared" si="389"/>
        <v>0</v>
      </c>
      <c r="GW352">
        <v>1</v>
      </c>
      <c r="GX352">
        <f t="shared" si="390"/>
        <v>0</v>
      </c>
      <c r="HA352">
        <v>0</v>
      </c>
      <c r="HB352">
        <v>0</v>
      </c>
      <c r="HC352">
        <f t="shared" si="391"/>
        <v>0</v>
      </c>
      <c r="HE352" t="s">
        <v>3</v>
      </c>
      <c r="HF352" t="s">
        <v>3</v>
      </c>
      <c r="HM352" t="s">
        <v>3</v>
      </c>
      <c r="HN352" t="s">
        <v>3</v>
      </c>
      <c r="HO352" t="s">
        <v>3</v>
      </c>
      <c r="HP352" t="s">
        <v>3</v>
      </c>
      <c r="HQ352" t="s">
        <v>3</v>
      </c>
      <c r="HS352">
        <v>0</v>
      </c>
      <c r="IK352">
        <v>0</v>
      </c>
    </row>
    <row r="353" spans="1:255" x14ac:dyDescent="0.2">
      <c r="A353" s="2">
        <v>17</v>
      </c>
      <c r="B353" s="2">
        <v>1</v>
      </c>
      <c r="C353" s="2"/>
      <c r="D353" s="2"/>
      <c r="E353" s="2" t="s">
        <v>440</v>
      </c>
      <c r="F353" s="2" t="s">
        <v>441</v>
      </c>
      <c r="G353" s="2" t="s">
        <v>442</v>
      </c>
      <c r="H353" s="2" t="s">
        <v>376</v>
      </c>
      <c r="I353" s="2">
        <f>ROUND(110*1.033,9)</f>
        <v>113.63</v>
      </c>
      <c r="J353" s="2">
        <v>0</v>
      </c>
      <c r="K353" s="2">
        <f>ROUND(110*1.033,9)</f>
        <v>113.63</v>
      </c>
      <c r="L353" s="2"/>
      <c r="M353" s="2"/>
      <c r="N353" s="2"/>
      <c r="O353" s="2">
        <f t="shared" si="366"/>
        <v>7401.86</v>
      </c>
      <c r="P353" s="2">
        <f t="shared" si="367"/>
        <v>7401.86</v>
      </c>
      <c r="Q353" s="2">
        <f t="shared" si="392"/>
        <v>0</v>
      </c>
      <c r="R353" s="2">
        <f t="shared" si="393"/>
        <v>0</v>
      </c>
      <c r="S353" s="2">
        <f t="shared" si="368"/>
        <v>0</v>
      </c>
      <c r="T353" s="2">
        <f t="shared" si="369"/>
        <v>0</v>
      </c>
      <c r="U353" s="2">
        <f t="shared" si="370"/>
        <v>0</v>
      </c>
      <c r="V353" s="2">
        <f t="shared" si="371"/>
        <v>0</v>
      </c>
      <c r="W353" s="2">
        <f t="shared" si="372"/>
        <v>0</v>
      </c>
      <c r="X353" s="2">
        <f t="shared" si="394"/>
        <v>0</v>
      </c>
      <c r="Y353" s="2">
        <f t="shared" si="395"/>
        <v>0</v>
      </c>
      <c r="Z353" s="2"/>
      <c r="AA353" s="2">
        <v>60255014</v>
      </c>
      <c r="AB353" s="2">
        <f t="shared" si="373"/>
        <v>65.14</v>
      </c>
      <c r="AC353" s="2">
        <f t="shared" si="374"/>
        <v>65.14</v>
      </c>
      <c r="AD353" s="2">
        <f t="shared" si="396"/>
        <v>0</v>
      </c>
      <c r="AE353" s="2">
        <f t="shared" si="397"/>
        <v>0</v>
      </c>
      <c r="AF353" s="2">
        <f t="shared" si="398"/>
        <v>0</v>
      </c>
      <c r="AG353" s="2">
        <f t="shared" si="375"/>
        <v>0</v>
      </c>
      <c r="AH353" s="2">
        <f t="shared" si="399"/>
        <v>0</v>
      </c>
      <c r="AI353" s="2">
        <f t="shared" si="400"/>
        <v>0</v>
      </c>
      <c r="AJ353" s="2">
        <f t="shared" si="376"/>
        <v>0</v>
      </c>
      <c r="AK353" s="2">
        <v>65.14</v>
      </c>
      <c r="AL353" s="2">
        <v>65.14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1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3</v>
      </c>
      <c r="BI353" s="2">
        <v>1</v>
      </c>
      <c r="BJ353" s="2" t="s">
        <v>443</v>
      </c>
      <c r="BK353" s="2"/>
      <c r="BL353" s="2"/>
      <c r="BM353" s="2">
        <v>1617</v>
      </c>
      <c r="BN353" s="2">
        <v>58973374</v>
      </c>
      <c r="BO353" s="2" t="s">
        <v>3</v>
      </c>
      <c r="BP353" s="2">
        <v>0</v>
      </c>
      <c r="BQ353" s="2">
        <v>200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0</v>
      </c>
      <c r="CA353" s="2">
        <v>0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3</v>
      </c>
      <c r="CO353" s="2">
        <v>0</v>
      </c>
      <c r="CP353" s="2">
        <f t="shared" si="377"/>
        <v>7401.86</v>
      </c>
      <c r="CQ353" s="2">
        <f t="shared" si="378"/>
        <v>65.14</v>
      </c>
      <c r="CR353" s="2">
        <f t="shared" si="401"/>
        <v>0</v>
      </c>
      <c r="CS353" s="2">
        <f t="shared" si="402"/>
        <v>0</v>
      </c>
      <c r="CT353" s="2">
        <f t="shared" si="379"/>
        <v>0</v>
      </c>
      <c r="CU353" s="2">
        <f t="shared" si="380"/>
        <v>0</v>
      </c>
      <c r="CV353" s="2">
        <f t="shared" si="381"/>
        <v>0</v>
      </c>
      <c r="CW353" s="2">
        <f t="shared" si="382"/>
        <v>0</v>
      </c>
      <c r="CX353" s="2">
        <f t="shared" si="383"/>
        <v>0</v>
      </c>
      <c r="CY353" s="2">
        <f t="shared" si="403"/>
        <v>0</v>
      </c>
      <c r="CZ353" s="2">
        <f t="shared" si="404"/>
        <v>0</v>
      </c>
      <c r="DA353" s="2"/>
      <c r="DB353" s="2"/>
      <c r="DC353" s="2" t="s">
        <v>3</v>
      </c>
      <c r="DD353" s="2" t="s">
        <v>3</v>
      </c>
      <c r="DE353" s="2" t="s">
        <v>3</v>
      </c>
      <c r="DF353" s="2" t="s">
        <v>3</v>
      </c>
      <c r="DG353" s="2" t="s">
        <v>3</v>
      </c>
      <c r="DH353" s="2" t="s">
        <v>3</v>
      </c>
      <c r="DI353" s="2" t="s">
        <v>3</v>
      </c>
      <c r="DJ353" s="2" t="s">
        <v>3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1003</v>
      </c>
      <c r="DV353" s="2" t="s">
        <v>376</v>
      </c>
      <c r="DW353" s="2" t="s">
        <v>376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60088328</v>
      </c>
      <c r="EF353" s="2">
        <v>200</v>
      </c>
      <c r="EG353" s="2" t="s">
        <v>210</v>
      </c>
      <c r="EH353" s="2">
        <v>0</v>
      </c>
      <c r="EI353" s="2" t="s">
        <v>3</v>
      </c>
      <c r="EJ353" s="2">
        <v>1</v>
      </c>
      <c r="EK353" s="2">
        <v>1617</v>
      </c>
      <c r="EL353" s="2" t="s">
        <v>211</v>
      </c>
      <c r="EM353" s="2" t="s">
        <v>212</v>
      </c>
      <c r="EN353" s="2"/>
      <c r="EO353" s="2" t="s">
        <v>3</v>
      </c>
      <c r="EP353" s="2"/>
      <c r="EQ353" s="2">
        <v>0</v>
      </c>
      <c r="ER353" s="2">
        <v>65.14</v>
      </c>
      <c r="ES353" s="2">
        <v>65.14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0</v>
      </c>
      <c r="FY353" s="2">
        <v>0</v>
      </c>
      <c r="FZ353" s="2"/>
      <c r="GA353" s="2" t="s">
        <v>3</v>
      </c>
      <c r="GB353" s="2"/>
      <c r="GC353" s="2"/>
      <c r="GD353" s="2">
        <v>1</v>
      </c>
      <c r="GE353" s="2"/>
      <c r="GF353" s="2">
        <v>-1053630037</v>
      </c>
      <c r="GG353" s="2">
        <v>2</v>
      </c>
      <c r="GH353" s="2">
        <v>1</v>
      </c>
      <c r="GI353" s="2">
        <v>-2</v>
      </c>
      <c r="GJ353" s="2">
        <v>0</v>
      </c>
      <c r="GK353" s="2">
        <v>0</v>
      </c>
      <c r="GL353" s="2">
        <f t="shared" si="384"/>
        <v>0</v>
      </c>
      <c r="GM353" s="2">
        <f t="shared" si="385"/>
        <v>7401.86</v>
      </c>
      <c r="GN353" s="2">
        <f t="shared" si="386"/>
        <v>7401.86</v>
      </c>
      <c r="GO353" s="2">
        <f t="shared" si="387"/>
        <v>0</v>
      </c>
      <c r="GP353" s="2">
        <f t="shared" si="388"/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si="389"/>
        <v>0</v>
      </c>
      <c r="GW353" s="2">
        <v>1</v>
      </c>
      <c r="GX353" s="2">
        <f t="shared" si="390"/>
        <v>0</v>
      </c>
      <c r="GY353" s="2"/>
      <c r="GZ353" s="2"/>
      <c r="HA353" s="2">
        <v>0</v>
      </c>
      <c r="HB353" s="2">
        <v>0</v>
      </c>
      <c r="HC353" s="2">
        <f t="shared" si="391"/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>
        <v>17</v>
      </c>
      <c r="B354">
        <v>1</v>
      </c>
      <c r="E354" t="s">
        <v>440</v>
      </c>
      <c r="F354" t="s">
        <v>441</v>
      </c>
      <c r="G354" t="s">
        <v>442</v>
      </c>
      <c r="H354" t="s">
        <v>376</v>
      </c>
      <c r="I354">
        <f>ROUND(110*1.033,9)</f>
        <v>113.63</v>
      </c>
      <c r="J354">
        <v>0</v>
      </c>
      <c r="K354">
        <f>ROUND(110*1.033,9)</f>
        <v>113.63</v>
      </c>
      <c r="O354">
        <f t="shared" si="366"/>
        <v>37897.519999999997</v>
      </c>
      <c r="P354">
        <f t="shared" si="367"/>
        <v>37897.519999999997</v>
      </c>
      <c r="Q354">
        <f t="shared" si="392"/>
        <v>0</v>
      </c>
      <c r="R354">
        <f t="shared" si="393"/>
        <v>0</v>
      </c>
      <c r="S354">
        <f t="shared" si="368"/>
        <v>0</v>
      </c>
      <c r="T354">
        <f t="shared" si="369"/>
        <v>0</v>
      </c>
      <c r="U354">
        <f t="shared" si="370"/>
        <v>0</v>
      </c>
      <c r="V354">
        <f t="shared" si="371"/>
        <v>0</v>
      </c>
      <c r="W354">
        <f t="shared" si="372"/>
        <v>0</v>
      </c>
      <c r="X354">
        <f t="shared" si="394"/>
        <v>0</v>
      </c>
      <c r="Y354">
        <f t="shared" si="395"/>
        <v>0</v>
      </c>
      <c r="AA354">
        <v>60255011</v>
      </c>
      <c r="AB354">
        <f t="shared" si="373"/>
        <v>65.14</v>
      </c>
      <c r="AC354">
        <f t="shared" si="374"/>
        <v>65.14</v>
      </c>
      <c r="AD354">
        <f t="shared" si="396"/>
        <v>0</v>
      </c>
      <c r="AE354">
        <f t="shared" si="397"/>
        <v>0</v>
      </c>
      <c r="AF354">
        <f t="shared" si="398"/>
        <v>0</v>
      </c>
      <c r="AG354">
        <f t="shared" si="375"/>
        <v>0</v>
      </c>
      <c r="AH354">
        <f t="shared" si="399"/>
        <v>0</v>
      </c>
      <c r="AI354">
        <f t="shared" si="400"/>
        <v>0</v>
      </c>
      <c r="AJ354">
        <f t="shared" si="376"/>
        <v>0</v>
      </c>
      <c r="AK354">
        <v>65.14</v>
      </c>
      <c r="AL354">
        <v>65.14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1</v>
      </c>
      <c r="AZ354">
        <v>1</v>
      </c>
      <c r="BA354">
        <v>1</v>
      </c>
      <c r="BB354">
        <v>1</v>
      </c>
      <c r="BC354">
        <v>5.12</v>
      </c>
      <c r="BD354" t="s">
        <v>3</v>
      </c>
      <c r="BE354" t="s">
        <v>3</v>
      </c>
      <c r="BF354" t="s">
        <v>3</v>
      </c>
      <c r="BG354" t="s">
        <v>3</v>
      </c>
      <c r="BH354">
        <v>3</v>
      </c>
      <c r="BI354">
        <v>1</v>
      </c>
      <c r="BJ354" t="s">
        <v>443</v>
      </c>
      <c r="BM354">
        <v>1617</v>
      </c>
      <c r="BN354">
        <v>58973374</v>
      </c>
      <c r="BO354" t="s">
        <v>441</v>
      </c>
      <c r="BP354">
        <v>1</v>
      </c>
      <c r="BQ354">
        <v>200</v>
      </c>
      <c r="BR354">
        <v>0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 t="s">
        <v>3</v>
      </c>
      <c r="BZ354">
        <v>0</v>
      </c>
      <c r="CA354">
        <v>0</v>
      </c>
      <c r="CB354" t="s">
        <v>3</v>
      </c>
      <c r="CE354">
        <v>1566</v>
      </c>
      <c r="CF354">
        <v>0</v>
      </c>
      <c r="CG354">
        <v>0</v>
      </c>
      <c r="CM354">
        <v>0</v>
      </c>
      <c r="CN354" t="s">
        <v>3</v>
      </c>
      <c r="CO354">
        <v>0</v>
      </c>
      <c r="CP354">
        <f t="shared" si="377"/>
        <v>37897.519999999997</v>
      </c>
      <c r="CQ354">
        <f t="shared" si="378"/>
        <v>333.52</v>
      </c>
      <c r="CR354">
        <f t="shared" si="401"/>
        <v>0</v>
      </c>
      <c r="CS354">
        <f t="shared" si="402"/>
        <v>0</v>
      </c>
      <c r="CT354">
        <f t="shared" si="379"/>
        <v>0</v>
      </c>
      <c r="CU354">
        <f t="shared" si="380"/>
        <v>0</v>
      </c>
      <c r="CV354">
        <f t="shared" si="381"/>
        <v>0</v>
      </c>
      <c r="CW354">
        <f t="shared" si="382"/>
        <v>0</v>
      </c>
      <c r="CX354">
        <f t="shared" si="383"/>
        <v>0</v>
      </c>
      <c r="CY354">
        <f t="shared" si="403"/>
        <v>0</v>
      </c>
      <c r="CZ354">
        <f t="shared" si="404"/>
        <v>0</v>
      </c>
      <c r="DC354" t="s">
        <v>3</v>
      </c>
      <c r="DD354" t="s">
        <v>3</v>
      </c>
      <c r="DE354" t="s">
        <v>3</v>
      </c>
      <c r="DF354" t="s">
        <v>3</v>
      </c>
      <c r="DG354" t="s">
        <v>3</v>
      </c>
      <c r="DH354" t="s">
        <v>3</v>
      </c>
      <c r="DI354" t="s">
        <v>3</v>
      </c>
      <c r="DJ354" t="s">
        <v>3</v>
      </c>
      <c r="DK354" t="s">
        <v>3</v>
      </c>
      <c r="DL354" t="s">
        <v>3</v>
      </c>
      <c r="DM354" t="s">
        <v>3</v>
      </c>
      <c r="DN354">
        <v>0</v>
      </c>
      <c r="DO354">
        <v>0</v>
      </c>
      <c r="DP354">
        <v>1</v>
      </c>
      <c r="DQ354">
        <v>1</v>
      </c>
      <c r="DU354">
        <v>1003</v>
      </c>
      <c r="DV354" t="s">
        <v>376</v>
      </c>
      <c r="DW354" t="s">
        <v>376</v>
      </c>
      <c r="DX354">
        <v>1</v>
      </c>
      <c r="DZ354" t="s">
        <v>3</v>
      </c>
      <c r="EA354" t="s">
        <v>3</v>
      </c>
      <c r="EB354" t="s">
        <v>3</v>
      </c>
      <c r="EC354" t="s">
        <v>3</v>
      </c>
      <c r="EE354">
        <v>60088328</v>
      </c>
      <c r="EF354">
        <v>200</v>
      </c>
      <c r="EG354" t="s">
        <v>210</v>
      </c>
      <c r="EH354">
        <v>0</v>
      </c>
      <c r="EI354" t="s">
        <v>3</v>
      </c>
      <c r="EJ354">
        <v>1</v>
      </c>
      <c r="EK354">
        <v>1617</v>
      </c>
      <c r="EL354" t="s">
        <v>211</v>
      </c>
      <c r="EM354" t="s">
        <v>212</v>
      </c>
      <c r="EO354" t="s">
        <v>3</v>
      </c>
      <c r="EQ354">
        <v>0</v>
      </c>
      <c r="ER354">
        <v>65.14</v>
      </c>
      <c r="ES354">
        <v>65.14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FQ354">
        <v>0</v>
      </c>
      <c r="FR354">
        <v>0</v>
      </c>
      <c r="FS354">
        <v>0</v>
      </c>
      <c r="FX354">
        <v>0</v>
      </c>
      <c r="FY354">
        <v>0</v>
      </c>
      <c r="GA354" t="s">
        <v>3</v>
      </c>
      <c r="GD354">
        <v>1</v>
      </c>
      <c r="GF354">
        <v>-1053630037</v>
      </c>
      <c r="GG354">
        <v>2</v>
      </c>
      <c r="GH354">
        <v>1</v>
      </c>
      <c r="GI354">
        <v>2</v>
      </c>
      <c r="GJ354">
        <v>0</v>
      </c>
      <c r="GK354">
        <v>0</v>
      </c>
      <c r="GL354">
        <f t="shared" si="384"/>
        <v>0</v>
      </c>
      <c r="GM354">
        <f t="shared" si="385"/>
        <v>37897.519999999997</v>
      </c>
      <c r="GN354">
        <f t="shared" si="386"/>
        <v>37897.519999999997</v>
      </c>
      <c r="GO354">
        <f t="shared" si="387"/>
        <v>0</v>
      </c>
      <c r="GP354">
        <f t="shared" si="388"/>
        <v>0</v>
      </c>
      <c r="GR354">
        <v>0</v>
      </c>
      <c r="GS354">
        <v>3</v>
      </c>
      <c r="GT354">
        <v>0</v>
      </c>
      <c r="GU354" t="s">
        <v>3</v>
      </c>
      <c r="GV354">
        <f t="shared" si="389"/>
        <v>0</v>
      </c>
      <c r="GW354">
        <v>1</v>
      </c>
      <c r="GX354">
        <f t="shared" si="390"/>
        <v>0</v>
      </c>
      <c r="HA354">
        <v>0</v>
      </c>
      <c r="HB354">
        <v>0</v>
      </c>
      <c r="HC354">
        <f t="shared" si="391"/>
        <v>0</v>
      </c>
      <c r="HE354" t="s">
        <v>3</v>
      </c>
      <c r="HF354" t="s">
        <v>3</v>
      </c>
      <c r="HM354" t="s">
        <v>3</v>
      </c>
      <c r="HN354" t="s">
        <v>3</v>
      </c>
      <c r="HO354" t="s">
        <v>3</v>
      </c>
      <c r="HP354" t="s">
        <v>3</v>
      </c>
      <c r="HQ354" t="s">
        <v>3</v>
      </c>
      <c r="HS354">
        <v>0</v>
      </c>
      <c r="IK354">
        <v>0</v>
      </c>
    </row>
    <row r="355" spans="1:255" x14ac:dyDescent="0.2">
      <c r="A355" s="2">
        <v>17</v>
      </c>
      <c r="B355" s="2">
        <v>1</v>
      </c>
      <c r="C355" s="2"/>
      <c r="D355" s="2"/>
      <c r="E355" s="2" t="s">
        <v>444</v>
      </c>
      <c r="F355" s="2" t="s">
        <v>445</v>
      </c>
      <c r="G355" s="2" t="s">
        <v>446</v>
      </c>
      <c r="H355" s="2" t="s">
        <v>376</v>
      </c>
      <c r="I355" s="2">
        <f>ROUND(200*1.03,9)</f>
        <v>206</v>
      </c>
      <c r="J355" s="2">
        <v>0</v>
      </c>
      <c r="K355" s="2">
        <f>ROUND(200*1.03,9)</f>
        <v>206</v>
      </c>
      <c r="L355" s="2"/>
      <c r="M355" s="2"/>
      <c r="N355" s="2"/>
      <c r="O355" s="2">
        <f t="shared" si="366"/>
        <v>13651.62</v>
      </c>
      <c r="P355" s="2">
        <f t="shared" si="367"/>
        <v>13651.62</v>
      </c>
      <c r="Q355" s="2">
        <f t="shared" si="392"/>
        <v>0</v>
      </c>
      <c r="R355" s="2">
        <f t="shared" si="393"/>
        <v>0</v>
      </c>
      <c r="S355" s="2">
        <f t="shared" si="368"/>
        <v>0</v>
      </c>
      <c r="T355" s="2">
        <f t="shared" si="369"/>
        <v>0</v>
      </c>
      <c r="U355" s="2">
        <f t="shared" si="370"/>
        <v>0</v>
      </c>
      <c r="V355" s="2">
        <f t="shared" si="371"/>
        <v>0</v>
      </c>
      <c r="W355" s="2">
        <f t="shared" si="372"/>
        <v>0</v>
      </c>
      <c r="X355" s="2">
        <f t="shared" si="394"/>
        <v>0</v>
      </c>
      <c r="Y355" s="2">
        <f t="shared" si="395"/>
        <v>0</v>
      </c>
      <c r="Z355" s="2"/>
      <c r="AA355" s="2">
        <v>60255014</v>
      </c>
      <c r="AB355" s="2">
        <f t="shared" si="373"/>
        <v>66.27</v>
      </c>
      <c r="AC355" s="2">
        <f t="shared" si="374"/>
        <v>66.27</v>
      </c>
      <c r="AD355" s="2">
        <f t="shared" si="396"/>
        <v>0</v>
      </c>
      <c r="AE355" s="2">
        <f t="shared" si="397"/>
        <v>0</v>
      </c>
      <c r="AF355" s="2">
        <f t="shared" si="398"/>
        <v>0</v>
      </c>
      <c r="AG355" s="2">
        <f t="shared" si="375"/>
        <v>0</v>
      </c>
      <c r="AH355" s="2">
        <f t="shared" si="399"/>
        <v>0</v>
      </c>
      <c r="AI355" s="2">
        <f t="shared" si="400"/>
        <v>0</v>
      </c>
      <c r="AJ355" s="2">
        <f t="shared" si="376"/>
        <v>0</v>
      </c>
      <c r="AK355" s="2">
        <v>66.27</v>
      </c>
      <c r="AL355" s="2">
        <v>66.27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1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3</v>
      </c>
      <c r="BI355" s="2">
        <v>1</v>
      </c>
      <c r="BJ355" s="2" t="s">
        <v>447</v>
      </c>
      <c r="BK355" s="2"/>
      <c r="BL355" s="2"/>
      <c r="BM355" s="2">
        <v>1617</v>
      </c>
      <c r="BN355" s="2">
        <v>58973374</v>
      </c>
      <c r="BO355" s="2" t="s">
        <v>3</v>
      </c>
      <c r="BP355" s="2">
        <v>0</v>
      </c>
      <c r="BQ355" s="2">
        <v>200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0</v>
      </c>
      <c r="CA355" s="2">
        <v>0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3</v>
      </c>
      <c r="CO355" s="2">
        <v>0</v>
      </c>
      <c r="CP355" s="2">
        <f t="shared" si="377"/>
        <v>13651.62</v>
      </c>
      <c r="CQ355" s="2">
        <f t="shared" si="378"/>
        <v>66.27</v>
      </c>
      <c r="CR355" s="2">
        <f t="shared" si="401"/>
        <v>0</v>
      </c>
      <c r="CS355" s="2">
        <f t="shared" si="402"/>
        <v>0</v>
      </c>
      <c r="CT355" s="2">
        <f t="shared" si="379"/>
        <v>0</v>
      </c>
      <c r="CU355" s="2">
        <f t="shared" si="380"/>
        <v>0</v>
      </c>
      <c r="CV355" s="2">
        <f t="shared" si="381"/>
        <v>0</v>
      </c>
      <c r="CW355" s="2">
        <f t="shared" si="382"/>
        <v>0</v>
      </c>
      <c r="CX355" s="2">
        <f t="shared" si="383"/>
        <v>0</v>
      </c>
      <c r="CY355" s="2">
        <f t="shared" si="403"/>
        <v>0</v>
      </c>
      <c r="CZ355" s="2">
        <f t="shared" si="404"/>
        <v>0</v>
      </c>
      <c r="DA355" s="2"/>
      <c r="DB355" s="2"/>
      <c r="DC355" s="2" t="s">
        <v>3</v>
      </c>
      <c r="DD355" s="2" t="s">
        <v>3</v>
      </c>
      <c r="DE355" s="2" t="s">
        <v>3</v>
      </c>
      <c r="DF355" s="2" t="s">
        <v>3</v>
      </c>
      <c r="DG355" s="2" t="s">
        <v>3</v>
      </c>
      <c r="DH355" s="2" t="s">
        <v>3</v>
      </c>
      <c r="DI355" s="2" t="s">
        <v>3</v>
      </c>
      <c r="DJ355" s="2" t="s">
        <v>3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1003</v>
      </c>
      <c r="DV355" s="2" t="s">
        <v>376</v>
      </c>
      <c r="DW355" s="2" t="s">
        <v>376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60088328</v>
      </c>
      <c r="EF355" s="2">
        <v>200</v>
      </c>
      <c r="EG355" s="2" t="s">
        <v>210</v>
      </c>
      <c r="EH355" s="2">
        <v>0</v>
      </c>
      <c r="EI355" s="2" t="s">
        <v>3</v>
      </c>
      <c r="EJ355" s="2">
        <v>1</v>
      </c>
      <c r="EK355" s="2">
        <v>1617</v>
      </c>
      <c r="EL355" s="2" t="s">
        <v>211</v>
      </c>
      <c r="EM355" s="2" t="s">
        <v>212</v>
      </c>
      <c r="EN355" s="2"/>
      <c r="EO355" s="2" t="s">
        <v>3</v>
      </c>
      <c r="EP355" s="2"/>
      <c r="EQ355" s="2">
        <v>0</v>
      </c>
      <c r="ER355" s="2">
        <v>66.27</v>
      </c>
      <c r="ES355" s="2">
        <v>66.27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0</v>
      </c>
      <c r="FY355" s="2">
        <v>0</v>
      </c>
      <c r="FZ355" s="2"/>
      <c r="GA355" s="2" t="s">
        <v>3</v>
      </c>
      <c r="GB355" s="2"/>
      <c r="GC355" s="2"/>
      <c r="GD355" s="2">
        <v>1</v>
      </c>
      <c r="GE355" s="2"/>
      <c r="GF355" s="2">
        <v>-1272468652</v>
      </c>
      <c r="GG355" s="2">
        <v>2</v>
      </c>
      <c r="GH355" s="2">
        <v>1</v>
      </c>
      <c r="GI355" s="2">
        <v>-2</v>
      </c>
      <c r="GJ355" s="2">
        <v>0</v>
      </c>
      <c r="GK355" s="2">
        <v>0</v>
      </c>
      <c r="GL355" s="2">
        <f t="shared" si="384"/>
        <v>0</v>
      </c>
      <c r="GM355" s="2">
        <f t="shared" si="385"/>
        <v>13651.62</v>
      </c>
      <c r="GN355" s="2">
        <f t="shared" si="386"/>
        <v>13651.62</v>
      </c>
      <c r="GO355" s="2">
        <f t="shared" si="387"/>
        <v>0</v>
      </c>
      <c r="GP355" s="2">
        <f t="shared" si="388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389"/>
        <v>0</v>
      </c>
      <c r="GW355" s="2">
        <v>1</v>
      </c>
      <c r="GX355" s="2">
        <f t="shared" si="390"/>
        <v>0</v>
      </c>
      <c r="GY355" s="2"/>
      <c r="GZ355" s="2"/>
      <c r="HA355" s="2">
        <v>0</v>
      </c>
      <c r="HB355" s="2">
        <v>0</v>
      </c>
      <c r="HC355" s="2">
        <f t="shared" si="391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>
        <v>17</v>
      </c>
      <c r="B356">
        <v>1</v>
      </c>
      <c r="E356" t="s">
        <v>444</v>
      </c>
      <c r="F356" t="s">
        <v>445</v>
      </c>
      <c r="G356" t="s">
        <v>446</v>
      </c>
      <c r="H356" t="s">
        <v>376</v>
      </c>
      <c r="I356">
        <f>ROUND(200*1.03,9)</f>
        <v>206</v>
      </c>
      <c r="J356">
        <v>0</v>
      </c>
      <c r="K356">
        <f>ROUND(200*1.03,9)</f>
        <v>206</v>
      </c>
      <c r="O356">
        <f t="shared" si="366"/>
        <v>77131.649999999994</v>
      </c>
      <c r="P356">
        <f t="shared" si="367"/>
        <v>77131.649999999994</v>
      </c>
      <c r="Q356">
        <f t="shared" si="392"/>
        <v>0</v>
      </c>
      <c r="R356">
        <f t="shared" si="393"/>
        <v>0</v>
      </c>
      <c r="S356">
        <f t="shared" si="368"/>
        <v>0</v>
      </c>
      <c r="T356">
        <f t="shared" si="369"/>
        <v>0</v>
      </c>
      <c r="U356">
        <f t="shared" si="370"/>
        <v>0</v>
      </c>
      <c r="V356">
        <f t="shared" si="371"/>
        <v>0</v>
      </c>
      <c r="W356">
        <f t="shared" si="372"/>
        <v>0</v>
      </c>
      <c r="X356">
        <f t="shared" si="394"/>
        <v>0</v>
      </c>
      <c r="Y356">
        <f t="shared" si="395"/>
        <v>0</v>
      </c>
      <c r="AA356">
        <v>60255011</v>
      </c>
      <c r="AB356">
        <f t="shared" si="373"/>
        <v>66.27</v>
      </c>
      <c r="AC356">
        <f t="shared" si="374"/>
        <v>66.27</v>
      </c>
      <c r="AD356">
        <f t="shared" si="396"/>
        <v>0</v>
      </c>
      <c r="AE356">
        <f t="shared" si="397"/>
        <v>0</v>
      </c>
      <c r="AF356">
        <f t="shared" si="398"/>
        <v>0</v>
      </c>
      <c r="AG356">
        <f t="shared" si="375"/>
        <v>0</v>
      </c>
      <c r="AH356">
        <f t="shared" si="399"/>
        <v>0</v>
      </c>
      <c r="AI356">
        <f t="shared" si="400"/>
        <v>0</v>
      </c>
      <c r="AJ356">
        <f t="shared" si="376"/>
        <v>0</v>
      </c>
      <c r="AK356">
        <v>66.27</v>
      </c>
      <c r="AL356">
        <v>66.27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1</v>
      </c>
      <c r="AZ356">
        <v>1</v>
      </c>
      <c r="BA356">
        <v>1</v>
      </c>
      <c r="BB356">
        <v>1</v>
      </c>
      <c r="BC356">
        <v>5.65</v>
      </c>
      <c r="BD356" t="s">
        <v>3</v>
      </c>
      <c r="BE356" t="s">
        <v>3</v>
      </c>
      <c r="BF356" t="s">
        <v>3</v>
      </c>
      <c r="BG356" t="s">
        <v>3</v>
      </c>
      <c r="BH356">
        <v>3</v>
      </c>
      <c r="BI356">
        <v>1</v>
      </c>
      <c r="BJ356" t="s">
        <v>447</v>
      </c>
      <c r="BM356">
        <v>1617</v>
      </c>
      <c r="BN356">
        <v>58973374</v>
      </c>
      <c r="BO356" t="s">
        <v>445</v>
      </c>
      <c r="BP356">
        <v>1</v>
      </c>
      <c r="BQ356">
        <v>200</v>
      </c>
      <c r="BR356">
        <v>0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 t="s">
        <v>3</v>
      </c>
      <c r="BZ356">
        <v>0</v>
      </c>
      <c r="CA356">
        <v>0</v>
      </c>
      <c r="CB356" t="s">
        <v>3</v>
      </c>
      <c r="CE356">
        <v>1566</v>
      </c>
      <c r="CF356">
        <v>0</v>
      </c>
      <c r="CG356">
        <v>0</v>
      </c>
      <c r="CM356">
        <v>0</v>
      </c>
      <c r="CN356" t="s">
        <v>3</v>
      </c>
      <c r="CO356">
        <v>0</v>
      </c>
      <c r="CP356">
        <f t="shared" si="377"/>
        <v>77131.649999999994</v>
      </c>
      <c r="CQ356">
        <f t="shared" si="378"/>
        <v>374.43</v>
      </c>
      <c r="CR356">
        <f t="shared" si="401"/>
        <v>0</v>
      </c>
      <c r="CS356">
        <f t="shared" si="402"/>
        <v>0</v>
      </c>
      <c r="CT356">
        <f t="shared" si="379"/>
        <v>0</v>
      </c>
      <c r="CU356">
        <f t="shared" si="380"/>
        <v>0</v>
      </c>
      <c r="CV356">
        <f t="shared" si="381"/>
        <v>0</v>
      </c>
      <c r="CW356">
        <f t="shared" si="382"/>
        <v>0</v>
      </c>
      <c r="CX356">
        <f t="shared" si="383"/>
        <v>0</v>
      </c>
      <c r="CY356">
        <f t="shared" si="403"/>
        <v>0</v>
      </c>
      <c r="CZ356">
        <f t="shared" si="404"/>
        <v>0</v>
      </c>
      <c r="DC356" t="s">
        <v>3</v>
      </c>
      <c r="DD356" t="s">
        <v>3</v>
      </c>
      <c r="DE356" t="s">
        <v>3</v>
      </c>
      <c r="DF356" t="s">
        <v>3</v>
      </c>
      <c r="DG356" t="s">
        <v>3</v>
      </c>
      <c r="DH356" t="s">
        <v>3</v>
      </c>
      <c r="DI356" t="s">
        <v>3</v>
      </c>
      <c r="DJ356" t="s">
        <v>3</v>
      </c>
      <c r="DK356" t="s">
        <v>3</v>
      </c>
      <c r="DL356" t="s">
        <v>3</v>
      </c>
      <c r="DM356" t="s">
        <v>3</v>
      </c>
      <c r="DN356">
        <v>0</v>
      </c>
      <c r="DO356">
        <v>0</v>
      </c>
      <c r="DP356">
        <v>1</v>
      </c>
      <c r="DQ356">
        <v>1</v>
      </c>
      <c r="DU356">
        <v>1003</v>
      </c>
      <c r="DV356" t="s">
        <v>376</v>
      </c>
      <c r="DW356" t="s">
        <v>376</v>
      </c>
      <c r="DX356">
        <v>1</v>
      </c>
      <c r="DZ356" t="s">
        <v>3</v>
      </c>
      <c r="EA356" t="s">
        <v>3</v>
      </c>
      <c r="EB356" t="s">
        <v>3</v>
      </c>
      <c r="EC356" t="s">
        <v>3</v>
      </c>
      <c r="EE356">
        <v>60088328</v>
      </c>
      <c r="EF356">
        <v>200</v>
      </c>
      <c r="EG356" t="s">
        <v>210</v>
      </c>
      <c r="EH356">
        <v>0</v>
      </c>
      <c r="EI356" t="s">
        <v>3</v>
      </c>
      <c r="EJ356">
        <v>1</v>
      </c>
      <c r="EK356">
        <v>1617</v>
      </c>
      <c r="EL356" t="s">
        <v>211</v>
      </c>
      <c r="EM356" t="s">
        <v>212</v>
      </c>
      <c r="EO356" t="s">
        <v>3</v>
      </c>
      <c r="EQ356">
        <v>0</v>
      </c>
      <c r="ER356">
        <v>66.27</v>
      </c>
      <c r="ES356">
        <v>66.27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FQ356">
        <v>0</v>
      </c>
      <c r="FR356">
        <v>0</v>
      </c>
      <c r="FS356">
        <v>0</v>
      </c>
      <c r="FX356">
        <v>0</v>
      </c>
      <c r="FY356">
        <v>0</v>
      </c>
      <c r="GA356" t="s">
        <v>3</v>
      </c>
      <c r="GD356">
        <v>1</v>
      </c>
      <c r="GF356">
        <v>-1272468652</v>
      </c>
      <c r="GG356">
        <v>2</v>
      </c>
      <c r="GH356">
        <v>1</v>
      </c>
      <c r="GI356">
        <v>2</v>
      </c>
      <c r="GJ356">
        <v>0</v>
      </c>
      <c r="GK356">
        <v>0</v>
      </c>
      <c r="GL356">
        <f t="shared" si="384"/>
        <v>0</v>
      </c>
      <c r="GM356">
        <f t="shared" si="385"/>
        <v>77131.649999999994</v>
      </c>
      <c r="GN356">
        <f t="shared" si="386"/>
        <v>77131.649999999994</v>
      </c>
      <c r="GO356">
        <f t="shared" si="387"/>
        <v>0</v>
      </c>
      <c r="GP356">
        <f t="shared" si="388"/>
        <v>0</v>
      </c>
      <c r="GR356">
        <v>0</v>
      </c>
      <c r="GS356">
        <v>3</v>
      </c>
      <c r="GT356">
        <v>0</v>
      </c>
      <c r="GU356" t="s">
        <v>3</v>
      </c>
      <c r="GV356">
        <f t="shared" si="389"/>
        <v>0</v>
      </c>
      <c r="GW356">
        <v>1</v>
      </c>
      <c r="GX356">
        <f t="shared" si="390"/>
        <v>0</v>
      </c>
      <c r="HA356">
        <v>0</v>
      </c>
      <c r="HB356">
        <v>0</v>
      </c>
      <c r="HC356">
        <f t="shared" si="391"/>
        <v>0</v>
      </c>
      <c r="HE356" t="s">
        <v>3</v>
      </c>
      <c r="HF356" t="s">
        <v>3</v>
      </c>
      <c r="HM356" t="s">
        <v>3</v>
      </c>
      <c r="HN356" t="s">
        <v>3</v>
      </c>
      <c r="HO356" t="s">
        <v>3</v>
      </c>
      <c r="HP356" t="s">
        <v>3</v>
      </c>
      <c r="HQ356" t="s">
        <v>3</v>
      </c>
      <c r="HS356">
        <v>0</v>
      </c>
      <c r="IK356">
        <v>0</v>
      </c>
    </row>
    <row r="357" spans="1:255" x14ac:dyDescent="0.2">
      <c r="A357" s="2">
        <v>17</v>
      </c>
      <c r="B357" s="2">
        <v>1</v>
      </c>
      <c r="C357" s="2"/>
      <c r="D357" s="2"/>
      <c r="E357" s="2" t="s">
        <v>448</v>
      </c>
      <c r="F357" s="2" t="s">
        <v>449</v>
      </c>
      <c r="G357" s="2" t="s">
        <v>450</v>
      </c>
      <c r="H357" s="2" t="s">
        <v>376</v>
      </c>
      <c r="I357" s="2">
        <v>103</v>
      </c>
      <c r="J357" s="2">
        <v>0</v>
      </c>
      <c r="K357" s="2">
        <v>103</v>
      </c>
      <c r="L357" s="2"/>
      <c r="M357" s="2"/>
      <c r="N357" s="2"/>
      <c r="O357" s="2">
        <f t="shared" si="366"/>
        <v>7055.5</v>
      </c>
      <c r="P357" s="2">
        <f t="shared" si="367"/>
        <v>7055.5</v>
      </c>
      <c r="Q357" s="2">
        <f t="shared" si="392"/>
        <v>0</v>
      </c>
      <c r="R357" s="2">
        <f t="shared" si="393"/>
        <v>0</v>
      </c>
      <c r="S357" s="2">
        <f t="shared" si="368"/>
        <v>0</v>
      </c>
      <c r="T357" s="2">
        <f t="shared" si="369"/>
        <v>0</v>
      </c>
      <c r="U357" s="2">
        <f t="shared" si="370"/>
        <v>0</v>
      </c>
      <c r="V357" s="2">
        <f t="shared" si="371"/>
        <v>0</v>
      </c>
      <c r="W357" s="2">
        <f t="shared" si="372"/>
        <v>0</v>
      </c>
      <c r="X357" s="2">
        <f t="shared" si="394"/>
        <v>0</v>
      </c>
      <c r="Y357" s="2">
        <f t="shared" si="395"/>
        <v>0</v>
      </c>
      <c r="Z357" s="2"/>
      <c r="AA357" s="2">
        <v>60255014</v>
      </c>
      <c r="AB357" s="2">
        <f t="shared" si="373"/>
        <v>68.5</v>
      </c>
      <c r="AC357" s="2">
        <f t="shared" si="374"/>
        <v>68.5</v>
      </c>
      <c r="AD357" s="2">
        <f t="shared" si="396"/>
        <v>0</v>
      </c>
      <c r="AE357" s="2">
        <f t="shared" si="397"/>
        <v>0</v>
      </c>
      <c r="AF357" s="2">
        <f t="shared" si="398"/>
        <v>0</v>
      </c>
      <c r="AG357" s="2">
        <f t="shared" si="375"/>
        <v>0</v>
      </c>
      <c r="AH357" s="2">
        <f t="shared" si="399"/>
        <v>0</v>
      </c>
      <c r="AI357" s="2">
        <f t="shared" si="400"/>
        <v>0</v>
      </c>
      <c r="AJ357" s="2">
        <f t="shared" si="376"/>
        <v>0</v>
      </c>
      <c r="AK357" s="2">
        <v>68.5</v>
      </c>
      <c r="AL357" s="2">
        <v>68.5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451</v>
      </c>
      <c r="BK357" s="2"/>
      <c r="BL357" s="2"/>
      <c r="BM357" s="2">
        <v>1617</v>
      </c>
      <c r="BN357" s="2">
        <v>58973374</v>
      </c>
      <c r="BO357" s="2" t="s">
        <v>3</v>
      </c>
      <c r="BP357" s="2">
        <v>0</v>
      </c>
      <c r="BQ357" s="2">
        <v>200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0</v>
      </c>
      <c r="CA357" s="2">
        <v>0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3</v>
      </c>
      <c r="CO357" s="2">
        <v>0</v>
      </c>
      <c r="CP357" s="2">
        <f t="shared" si="377"/>
        <v>7055.5</v>
      </c>
      <c r="CQ357" s="2">
        <f t="shared" si="378"/>
        <v>68.5</v>
      </c>
      <c r="CR357" s="2">
        <f t="shared" si="401"/>
        <v>0</v>
      </c>
      <c r="CS357" s="2">
        <f t="shared" si="402"/>
        <v>0</v>
      </c>
      <c r="CT357" s="2">
        <f t="shared" si="379"/>
        <v>0</v>
      </c>
      <c r="CU357" s="2">
        <f t="shared" si="380"/>
        <v>0</v>
      </c>
      <c r="CV357" s="2">
        <f t="shared" si="381"/>
        <v>0</v>
      </c>
      <c r="CW357" s="2">
        <f t="shared" si="382"/>
        <v>0</v>
      </c>
      <c r="CX357" s="2">
        <f t="shared" si="383"/>
        <v>0</v>
      </c>
      <c r="CY357" s="2">
        <f t="shared" si="403"/>
        <v>0</v>
      </c>
      <c r="CZ357" s="2">
        <f t="shared" si="404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1003</v>
      </c>
      <c r="DV357" s="2" t="s">
        <v>376</v>
      </c>
      <c r="DW357" s="2" t="s">
        <v>376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60088328</v>
      </c>
      <c r="EF357" s="2">
        <v>200</v>
      </c>
      <c r="EG357" s="2" t="s">
        <v>210</v>
      </c>
      <c r="EH357" s="2">
        <v>0</v>
      </c>
      <c r="EI357" s="2" t="s">
        <v>3</v>
      </c>
      <c r="EJ357" s="2">
        <v>1</v>
      </c>
      <c r="EK357" s="2">
        <v>1617</v>
      </c>
      <c r="EL357" s="2" t="s">
        <v>211</v>
      </c>
      <c r="EM357" s="2" t="s">
        <v>212</v>
      </c>
      <c r="EN357" s="2"/>
      <c r="EO357" s="2" t="s">
        <v>3</v>
      </c>
      <c r="EP357" s="2"/>
      <c r="EQ357" s="2">
        <v>0</v>
      </c>
      <c r="ER357" s="2">
        <v>68.5</v>
      </c>
      <c r="ES357" s="2">
        <v>68.5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0</v>
      </c>
      <c r="FY357" s="2">
        <v>0</v>
      </c>
      <c r="FZ357" s="2"/>
      <c r="GA357" s="2" t="s">
        <v>3</v>
      </c>
      <c r="GB357" s="2"/>
      <c r="GC357" s="2"/>
      <c r="GD357" s="2">
        <v>1</v>
      </c>
      <c r="GE357" s="2"/>
      <c r="GF357" s="2">
        <v>1889684071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384"/>
        <v>0</v>
      </c>
      <c r="GM357" s="2">
        <f t="shared" si="385"/>
        <v>7055.5</v>
      </c>
      <c r="GN357" s="2">
        <f t="shared" si="386"/>
        <v>7055.5</v>
      </c>
      <c r="GO357" s="2">
        <f t="shared" si="387"/>
        <v>0</v>
      </c>
      <c r="GP357" s="2">
        <f t="shared" si="388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389"/>
        <v>0</v>
      </c>
      <c r="GW357" s="2">
        <v>1</v>
      </c>
      <c r="GX357" s="2">
        <f t="shared" si="390"/>
        <v>0</v>
      </c>
      <c r="GY357" s="2"/>
      <c r="GZ357" s="2"/>
      <c r="HA357" s="2">
        <v>0</v>
      </c>
      <c r="HB357" s="2">
        <v>0</v>
      </c>
      <c r="HC357" s="2">
        <f t="shared" si="391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>
        <v>17</v>
      </c>
      <c r="B358">
        <v>1</v>
      </c>
      <c r="E358" t="s">
        <v>448</v>
      </c>
      <c r="F358" t="s">
        <v>449</v>
      </c>
      <c r="G358" t="s">
        <v>450</v>
      </c>
      <c r="H358" t="s">
        <v>376</v>
      </c>
      <c r="I358">
        <v>103</v>
      </c>
      <c r="J358">
        <v>0</v>
      </c>
      <c r="K358">
        <v>103</v>
      </c>
      <c r="O358">
        <f t="shared" si="366"/>
        <v>34924.730000000003</v>
      </c>
      <c r="P358">
        <f t="shared" si="367"/>
        <v>34924.730000000003</v>
      </c>
      <c r="Q358">
        <f t="shared" si="392"/>
        <v>0</v>
      </c>
      <c r="R358">
        <f t="shared" si="393"/>
        <v>0</v>
      </c>
      <c r="S358">
        <f t="shared" si="368"/>
        <v>0</v>
      </c>
      <c r="T358">
        <f t="shared" si="369"/>
        <v>0</v>
      </c>
      <c r="U358">
        <f t="shared" si="370"/>
        <v>0</v>
      </c>
      <c r="V358">
        <f t="shared" si="371"/>
        <v>0</v>
      </c>
      <c r="W358">
        <f t="shared" si="372"/>
        <v>0</v>
      </c>
      <c r="X358">
        <f t="shared" si="394"/>
        <v>0</v>
      </c>
      <c r="Y358">
        <f t="shared" si="395"/>
        <v>0</v>
      </c>
      <c r="AA358">
        <v>60255011</v>
      </c>
      <c r="AB358">
        <f t="shared" si="373"/>
        <v>68.5</v>
      </c>
      <c r="AC358">
        <f t="shared" si="374"/>
        <v>68.5</v>
      </c>
      <c r="AD358">
        <f t="shared" si="396"/>
        <v>0</v>
      </c>
      <c r="AE358">
        <f t="shared" si="397"/>
        <v>0</v>
      </c>
      <c r="AF358">
        <f t="shared" si="398"/>
        <v>0</v>
      </c>
      <c r="AG358">
        <f t="shared" si="375"/>
        <v>0</v>
      </c>
      <c r="AH358">
        <f t="shared" si="399"/>
        <v>0</v>
      </c>
      <c r="AI358">
        <f t="shared" si="400"/>
        <v>0</v>
      </c>
      <c r="AJ358">
        <f t="shared" si="376"/>
        <v>0</v>
      </c>
      <c r="AK358">
        <v>68.5</v>
      </c>
      <c r="AL358">
        <v>68.5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1</v>
      </c>
      <c r="AZ358">
        <v>1</v>
      </c>
      <c r="BA358">
        <v>1</v>
      </c>
      <c r="BB358">
        <v>1</v>
      </c>
      <c r="BC358">
        <v>4.95</v>
      </c>
      <c r="BD358" t="s">
        <v>3</v>
      </c>
      <c r="BE358" t="s">
        <v>3</v>
      </c>
      <c r="BF358" t="s">
        <v>3</v>
      </c>
      <c r="BG358" t="s">
        <v>3</v>
      </c>
      <c r="BH358">
        <v>3</v>
      </c>
      <c r="BI358">
        <v>1</v>
      </c>
      <c r="BJ358" t="s">
        <v>451</v>
      </c>
      <c r="BM358">
        <v>1617</v>
      </c>
      <c r="BN358">
        <v>58973374</v>
      </c>
      <c r="BO358" t="s">
        <v>449</v>
      </c>
      <c r="BP358">
        <v>1</v>
      </c>
      <c r="BQ358">
        <v>200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 t="s">
        <v>3</v>
      </c>
      <c r="BZ358">
        <v>0</v>
      </c>
      <c r="CA358">
        <v>0</v>
      </c>
      <c r="CB358" t="s">
        <v>3</v>
      </c>
      <c r="CE358">
        <v>1566</v>
      </c>
      <c r="CF358">
        <v>0</v>
      </c>
      <c r="CG358">
        <v>0</v>
      </c>
      <c r="CM358">
        <v>0</v>
      </c>
      <c r="CN358" t="s">
        <v>3</v>
      </c>
      <c r="CO358">
        <v>0</v>
      </c>
      <c r="CP358">
        <f t="shared" si="377"/>
        <v>34924.730000000003</v>
      </c>
      <c r="CQ358">
        <f t="shared" si="378"/>
        <v>339.08</v>
      </c>
      <c r="CR358">
        <f t="shared" si="401"/>
        <v>0</v>
      </c>
      <c r="CS358">
        <f t="shared" si="402"/>
        <v>0</v>
      </c>
      <c r="CT358">
        <f t="shared" si="379"/>
        <v>0</v>
      </c>
      <c r="CU358">
        <f t="shared" si="380"/>
        <v>0</v>
      </c>
      <c r="CV358">
        <f t="shared" si="381"/>
        <v>0</v>
      </c>
      <c r="CW358">
        <f t="shared" si="382"/>
        <v>0</v>
      </c>
      <c r="CX358">
        <f t="shared" si="383"/>
        <v>0</v>
      </c>
      <c r="CY358">
        <f t="shared" si="403"/>
        <v>0</v>
      </c>
      <c r="CZ358">
        <f t="shared" si="404"/>
        <v>0</v>
      </c>
      <c r="DC358" t="s">
        <v>3</v>
      </c>
      <c r="DD358" t="s">
        <v>3</v>
      </c>
      <c r="DE358" t="s">
        <v>3</v>
      </c>
      <c r="DF358" t="s">
        <v>3</v>
      </c>
      <c r="DG358" t="s">
        <v>3</v>
      </c>
      <c r="DH358" t="s">
        <v>3</v>
      </c>
      <c r="DI358" t="s">
        <v>3</v>
      </c>
      <c r="DJ358" t="s">
        <v>3</v>
      </c>
      <c r="DK358" t="s">
        <v>3</v>
      </c>
      <c r="DL358" t="s">
        <v>3</v>
      </c>
      <c r="DM358" t="s">
        <v>3</v>
      </c>
      <c r="DN358">
        <v>0</v>
      </c>
      <c r="DO358">
        <v>0</v>
      </c>
      <c r="DP358">
        <v>1</v>
      </c>
      <c r="DQ358">
        <v>1</v>
      </c>
      <c r="DU358">
        <v>1003</v>
      </c>
      <c r="DV358" t="s">
        <v>376</v>
      </c>
      <c r="DW358" t="s">
        <v>376</v>
      </c>
      <c r="DX358">
        <v>1</v>
      </c>
      <c r="DZ358" t="s">
        <v>3</v>
      </c>
      <c r="EA358" t="s">
        <v>3</v>
      </c>
      <c r="EB358" t="s">
        <v>3</v>
      </c>
      <c r="EC358" t="s">
        <v>3</v>
      </c>
      <c r="EE358">
        <v>60088328</v>
      </c>
      <c r="EF358">
        <v>200</v>
      </c>
      <c r="EG358" t="s">
        <v>210</v>
      </c>
      <c r="EH358">
        <v>0</v>
      </c>
      <c r="EI358" t="s">
        <v>3</v>
      </c>
      <c r="EJ358">
        <v>1</v>
      </c>
      <c r="EK358">
        <v>1617</v>
      </c>
      <c r="EL358" t="s">
        <v>211</v>
      </c>
      <c r="EM358" t="s">
        <v>212</v>
      </c>
      <c r="EO358" t="s">
        <v>3</v>
      </c>
      <c r="EQ358">
        <v>0</v>
      </c>
      <c r="ER358">
        <v>68.5</v>
      </c>
      <c r="ES358">
        <v>68.5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FQ358">
        <v>0</v>
      </c>
      <c r="FR358">
        <v>0</v>
      </c>
      <c r="FS358">
        <v>0</v>
      </c>
      <c r="FX358">
        <v>0</v>
      </c>
      <c r="FY358">
        <v>0</v>
      </c>
      <c r="GA358" t="s">
        <v>3</v>
      </c>
      <c r="GD358">
        <v>1</v>
      </c>
      <c r="GF358">
        <v>1889684071</v>
      </c>
      <c r="GG358">
        <v>2</v>
      </c>
      <c r="GH358">
        <v>1</v>
      </c>
      <c r="GI358">
        <v>2</v>
      </c>
      <c r="GJ358">
        <v>0</v>
      </c>
      <c r="GK358">
        <v>0</v>
      </c>
      <c r="GL358">
        <f t="shared" si="384"/>
        <v>0</v>
      </c>
      <c r="GM358">
        <f t="shared" si="385"/>
        <v>34924.730000000003</v>
      </c>
      <c r="GN358">
        <f t="shared" si="386"/>
        <v>34924.730000000003</v>
      </c>
      <c r="GO358">
        <f t="shared" si="387"/>
        <v>0</v>
      </c>
      <c r="GP358">
        <f t="shared" si="388"/>
        <v>0</v>
      </c>
      <c r="GR358">
        <v>0</v>
      </c>
      <c r="GS358">
        <v>3</v>
      </c>
      <c r="GT358">
        <v>0</v>
      </c>
      <c r="GU358" t="s">
        <v>3</v>
      </c>
      <c r="GV358">
        <f t="shared" si="389"/>
        <v>0</v>
      </c>
      <c r="GW358">
        <v>1</v>
      </c>
      <c r="GX358">
        <f t="shared" si="390"/>
        <v>0</v>
      </c>
      <c r="HA358">
        <v>0</v>
      </c>
      <c r="HB358">
        <v>0</v>
      </c>
      <c r="HC358">
        <f t="shared" si="391"/>
        <v>0</v>
      </c>
      <c r="HE358" t="s">
        <v>3</v>
      </c>
      <c r="HF358" t="s">
        <v>3</v>
      </c>
      <c r="HM358" t="s">
        <v>3</v>
      </c>
      <c r="HN358" t="s">
        <v>3</v>
      </c>
      <c r="HO358" t="s">
        <v>3</v>
      </c>
      <c r="HP358" t="s">
        <v>3</v>
      </c>
      <c r="HQ358" t="s">
        <v>3</v>
      </c>
      <c r="HS358">
        <v>0</v>
      </c>
      <c r="IK358">
        <v>0</v>
      </c>
    </row>
    <row r="359" spans="1:255" x14ac:dyDescent="0.2">
      <c r="A359" s="2">
        <v>17</v>
      </c>
      <c r="B359" s="2">
        <v>1</v>
      </c>
      <c r="C359" s="2"/>
      <c r="D359" s="2"/>
      <c r="E359" s="2" t="s">
        <v>452</v>
      </c>
      <c r="F359" s="2" t="s">
        <v>453</v>
      </c>
      <c r="G359" s="2" t="s">
        <v>454</v>
      </c>
      <c r="H359" s="2" t="s">
        <v>376</v>
      </c>
      <c r="I359" s="2">
        <f>ROUND(130*1.03,9)</f>
        <v>133.9</v>
      </c>
      <c r="J359" s="2">
        <v>0</v>
      </c>
      <c r="K359" s="2">
        <f>ROUND(130*1.03,9)</f>
        <v>133.9</v>
      </c>
      <c r="L359" s="2"/>
      <c r="M359" s="2"/>
      <c r="N359" s="2"/>
      <c r="O359" s="2">
        <f t="shared" si="366"/>
        <v>10073.299999999999</v>
      </c>
      <c r="P359" s="2">
        <f t="shared" si="367"/>
        <v>10073.299999999999</v>
      </c>
      <c r="Q359" s="2">
        <f t="shared" si="392"/>
        <v>0</v>
      </c>
      <c r="R359" s="2">
        <f t="shared" si="393"/>
        <v>0</v>
      </c>
      <c r="S359" s="2">
        <f t="shared" si="368"/>
        <v>0</v>
      </c>
      <c r="T359" s="2">
        <f t="shared" si="369"/>
        <v>0</v>
      </c>
      <c r="U359" s="2">
        <f t="shared" si="370"/>
        <v>0</v>
      </c>
      <c r="V359" s="2">
        <f t="shared" si="371"/>
        <v>0</v>
      </c>
      <c r="W359" s="2">
        <f t="shared" si="372"/>
        <v>0</v>
      </c>
      <c r="X359" s="2">
        <f t="shared" si="394"/>
        <v>0</v>
      </c>
      <c r="Y359" s="2">
        <f t="shared" si="395"/>
        <v>0</v>
      </c>
      <c r="Z359" s="2"/>
      <c r="AA359" s="2">
        <v>60255014</v>
      </c>
      <c r="AB359" s="2">
        <f t="shared" si="373"/>
        <v>75.23</v>
      </c>
      <c r="AC359" s="2">
        <f t="shared" si="374"/>
        <v>75.23</v>
      </c>
      <c r="AD359" s="2">
        <f t="shared" si="396"/>
        <v>0</v>
      </c>
      <c r="AE359" s="2">
        <f t="shared" si="397"/>
        <v>0</v>
      </c>
      <c r="AF359" s="2">
        <f t="shared" si="398"/>
        <v>0</v>
      </c>
      <c r="AG359" s="2">
        <f t="shared" si="375"/>
        <v>0</v>
      </c>
      <c r="AH359" s="2">
        <f t="shared" si="399"/>
        <v>0</v>
      </c>
      <c r="AI359" s="2">
        <f t="shared" si="400"/>
        <v>0</v>
      </c>
      <c r="AJ359" s="2">
        <f t="shared" si="376"/>
        <v>0</v>
      </c>
      <c r="AK359" s="2">
        <v>75.23</v>
      </c>
      <c r="AL359" s="2">
        <v>75.23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1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455</v>
      </c>
      <c r="BK359" s="2"/>
      <c r="BL359" s="2"/>
      <c r="BM359" s="2">
        <v>1617</v>
      </c>
      <c r="BN359" s="2">
        <v>58973374</v>
      </c>
      <c r="BO359" s="2" t="s">
        <v>3</v>
      </c>
      <c r="BP359" s="2">
        <v>0</v>
      </c>
      <c r="BQ359" s="2">
        <v>200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0</v>
      </c>
      <c r="CA359" s="2">
        <v>0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3</v>
      </c>
      <c r="CO359" s="2">
        <v>0</v>
      </c>
      <c r="CP359" s="2">
        <f t="shared" si="377"/>
        <v>10073.299999999999</v>
      </c>
      <c r="CQ359" s="2">
        <f t="shared" si="378"/>
        <v>75.23</v>
      </c>
      <c r="CR359" s="2">
        <f t="shared" si="401"/>
        <v>0</v>
      </c>
      <c r="CS359" s="2">
        <f t="shared" si="402"/>
        <v>0</v>
      </c>
      <c r="CT359" s="2">
        <f t="shared" si="379"/>
        <v>0</v>
      </c>
      <c r="CU359" s="2">
        <f t="shared" si="380"/>
        <v>0</v>
      </c>
      <c r="CV359" s="2">
        <f t="shared" si="381"/>
        <v>0</v>
      </c>
      <c r="CW359" s="2">
        <f t="shared" si="382"/>
        <v>0</v>
      </c>
      <c r="CX359" s="2">
        <f t="shared" si="383"/>
        <v>0</v>
      </c>
      <c r="CY359" s="2">
        <f t="shared" si="403"/>
        <v>0</v>
      </c>
      <c r="CZ359" s="2">
        <f t="shared" si="404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376</v>
      </c>
      <c r="DW359" s="2" t="s">
        <v>376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60088328</v>
      </c>
      <c r="EF359" s="2">
        <v>200</v>
      </c>
      <c r="EG359" s="2" t="s">
        <v>210</v>
      </c>
      <c r="EH359" s="2">
        <v>0</v>
      </c>
      <c r="EI359" s="2" t="s">
        <v>3</v>
      </c>
      <c r="EJ359" s="2">
        <v>1</v>
      </c>
      <c r="EK359" s="2">
        <v>1617</v>
      </c>
      <c r="EL359" s="2" t="s">
        <v>211</v>
      </c>
      <c r="EM359" s="2" t="s">
        <v>212</v>
      </c>
      <c r="EN359" s="2"/>
      <c r="EO359" s="2" t="s">
        <v>3</v>
      </c>
      <c r="EP359" s="2"/>
      <c r="EQ359" s="2">
        <v>0</v>
      </c>
      <c r="ER359" s="2">
        <v>75.23</v>
      </c>
      <c r="ES359" s="2">
        <v>75.23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0</v>
      </c>
      <c r="FY359" s="2">
        <v>0</v>
      </c>
      <c r="FZ359" s="2"/>
      <c r="GA359" s="2" t="s">
        <v>3</v>
      </c>
      <c r="GB359" s="2"/>
      <c r="GC359" s="2"/>
      <c r="GD359" s="2">
        <v>1</v>
      </c>
      <c r="GE359" s="2"/>
      <c r="GF359" s="2">
        <v>-1514090591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si="384"/>
        <v>0</v>
      </c>
      <c r="GM359" s="2">
        <f t="shared" si="385"/>
        <v>10073.299999999999</v>
      </c>
      <c r="GN359" s="2">
        <f t="shared" si="386"/>
        <v>10073.299999999999</v>
      </c>
      <c r="GO359" s="2">
        <f t="shared" si="387"/>
        <v>0</v>
      </c>
      <c r="GP359" s="2">
        <f t="shared" si="388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389"/>
        <v>0</v>
      </c>
      <c r="GW359" s="2">
        <v>1</v>
      </c>
      <c r="GX359" s="2">
        <f t="shared" si="390"/>
        <v>0</v>
      </c>
      <c r="GY359" s="2"/>
      <c r="GZ359" s="2"/>
      <c r="HA359" s="2">
        <v>0</v>
      </c>
      <c r="HB359" s="2">
        <v>0</v>
      </c>
      <c r="HC359" s="2">
        <f t="shared" si="391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>
        <v>17</v>
      </c>
      <c r="B360">
        <v>1</v>
      </c>
      <c r="E360" t="s">
        <v>452</v>
      </c>
      <c r="F360" t="s">
        <v>453</v>
      </c>
      <c r="G360" t="s">
        <v>454</v>
      </c>
      <c r="H360" t="s">
        <v>376</v>
      </c>
      <c r="I360">
        <f>ROUND(130*1.03,9)</f>
        <v>133.9</v>
      </c>
      <c r="J360">
        <v>0</v>
      </c>
      <c r="K360">
        <f>ROUND(130*1.03,9)</f>
        <v>133.9</v>
      </c>
      <c r="O360">
        <f t="shared" si="366"/>
        <v>51978.23</v>
      </c>
      <c r="P360">
        <f t="shared" si="367"/>
        <v>51978.23</v>
      </c>
      <c r="Q360">
        <f t="shared" si="392"/>
        <v>0</v>
      </c>
      <c r="R360">
        <f t="shared" si="393"/>
        <v>0</v>
      </c>
      <c r="S360">
        <f t="shared" si="368"/>
        <v>0</v>
      </c>
      <c r="T360">
        <f t="shared" si="369"/>
        <v>0</v>
      </c>
      <c r="U360">
        <f t="shared" si="370"/>
        <v>0</v>
      </c>
      <c r="V360">
        <f t="shared" si="371"/>
        <v>0</v>
      </c>
      <c r="W360">
        <f t="shared" si="372"/>
        <v>0</v>
      </c>
      <c r="X360">
        <f t="shared" si="394"/>
        <v>0</v>
      </c>
      <c r="Y360">
        <f t="shared" si="395"/>
        <v>0</v>
      </c>
      <c r="AA360">
        <v>60255011</v>
      </c>
      <c r="AB360">
        <f t="shared" si="373"/>
        <v>75.23</v>
      </c>
      <c r="AC360">
        <f t="shared" si="374"/>
        <v>75.23</v>
      </c>
      <c r="AD360">
        <f t="shared" si="396"/>
        <v>0</v>
      </c>
      <c r="AE360">
        <f t="shared" si="397"/>
        <v>0</v>
      </c>
      <c r="AF360">
        <f t="shared" si="398"/>
        <v>0</v>
      </c>
      <c r="AG360">
        <f t="shared" si="375"/>
        <v>0</v>
      </c>
      <c r="AH360">
        <f t="shared" si="399"/>
        <v>0</v>
      </c>
      <c r="AI360">
        <f t="shared" si="400"/>
        <v>0</v>
      </c>
      <c r="AJ360">
        <f t="shared" si="376"/>
        <v>0</v>
      </c>
      <c r="AK360">
        <v>75.23</v>
      </c>
      <c r="AL360">
        <v>75.23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1</v>
      </c>
      <c r="AZ360">
        <v>1</v>
      </c>
      <c r="BA360">
        <v>1</v>
      </c>
      <c r="BB360">
        <v>1</v>
      </c>
      <c r="BC360">
        <v>5.16</v>
      </c>
      <c r="BD360" t="s">
        <v>3</v>
      </c>
      <c r="BE360" t="s">
        <v>3</v>
      </c>
      <c r="BF360" t="s">
        <v>3</v>
      </c>
      <c r="BG360" t="s">
        <v>3</v>
      </c>
      <c r="BH360">
        <v>3</v>
      </c>
      <c r="BI360">
        <v>1</v>
      </c>
      <c r="BJ360" t="s">
        <v>455</v>
      </c>
      <c r="BM360">
        <v>1617</v>
      </c>
      <c r="BN360">
        <v>58973374</v>
      </c>
      <c r="BO360" t="s">
        <v>453</v>
      </c>
      <c r="BP360">
        <v>1</v>
      </c>
      <c r="BQ360">
        <v>200</v>
      </c>
      <c r="BR360">
        <v>0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 t="s">
        <v>3</v>
      </c>
      <c r="BZ360">
        <v>0</v>
      </c>
      <c r="CA360">
        <v>0</v>
      </c>
      <c r="CB360" t="s">
        <v>3</v>
      </c>
      <c r="CE360">
        <v>1566</v>
      </c>
      <c r="CF360">
        <v>0</v>
      </c>
      <c r="CG360">
        <v>0</v>
      </c>
      <c r="CM360">
        <v>0</v>
      </c>
      <c r="CN360" t="s">
        <v>3</v>
      </c>
      <c r="CO360">
        <v>0</v>
      </c>
      <c r="CP360">
        <f t="shared" si="377"/>
        <v>51978.23</v>
      </c>
      <c r="CQ360">
        <f t="shared" si="378"/>
        <v>388.19</v>
      </c>
      <c r="CR360">
        <f t="shared" si="401"/>
        <v>0</v>
      </c>
      <c r="CS360">
        <f t="shared" si="402"/>
        <v>0</v>
      </c>
      <c r="CT360">
        <f t="shared" si="379"/>
        <v>0</v>
      </c>
      <c r="CU360">
        <f t="shared" si="380"/>
        <v>0</v>
      </c>
      <c r="CV360">
        <f t="shared" si="381"/>
        <v>0</v>
      </c>
      <c r="CW360">
        <f t="shared" si="382"/>
        <v>0</v>
      </c>
      <c r="CX360">
        <f t="shared" si="383"/>
        <v>0</v>
      </c>
      <c r="CY360">
        <f t="shared" si="403"/>
        <v>0</v>
      </c>
      <c r="CZ360">
        <f t="shared" si="404"/>
        <v>0</v>
      </c>
      <c r="DC360" t="s">
        <v>3</v>
      </c>
      <c r="DD360" t="s">
        <v>3</v>
      </c>
      <c r="DE360" t="s">
        <v>3</v>
      </c>
      <c r="DF360" t="s">
        <v>3</v>
      </c>
      <c r="DG360" t="s">
        <v>3</v>
      </c>
      <c r="DH360" t="s">
        <v>3</v>
      </c>
      <c r="DI360" t="s">
        <v>3</v>
      </c>
      <c r="DJ360" t="s">
        <v>3</v>
      </c>
      <c r="DK360" t="s">
        <v>3</v>
      </c>
      <c r="DL360" t="s">
        <v>3</v>
      </c>
      <c r="DM360" t="s">
        <v>3</v>
      </c>
      <c r="DN360">
        <v>0</v>
      </c>
      <c r="DO360">
        <v>0</v>
      </c>
      <c r="DP360">
        <v>1</v>
      </c>
      <c r="DQ360">
        <v>1</v>
      </c>
      <c r="DU360">
        <v>1003</v>
      </c>
      <c r="DV360" t="s">
        <v>376</v>
      </c>
      <c r="DW360" t="s">
        <v>376</v>
      </c>
      <c r="DX360">
        <v>1</v>
      </c>
      <c r="DZ360" t="s">
        <v>3</v>
      </c>
      <c r="EA360" t="s">
        <v>3</v>
      </c>
      <c r="EB360" t="s">
        <v>3</v>
      </c>
      <c r="EC360" t="s">
        <v>3</v>
      </c>
      <c r="EE360">
        <v>60088328</v>
      </c>
      <c r="EF360">
        <v>200</v>
      </c>
      <c r="EG360" t="s">
        <v>210</v>
      </c>
      <c r="EH360">
        <v>0</v>
      </c>
      <c r="EI360" t="s">
        <v>3</v>
      </c>
      <c r="EJ360">
        <v>1</v>
      </c>
      <c r="EK360">
        <v>1617</v>
      </c>
      <c r="EL360" t="s">
        <v>211</v>
      </c>
      <c r="EM360" t="s">
        <v>212</v>
      </c>
      <c r="EO360" t="s">
        <v>3</v>
      </c>
      <c r="EQ360">
        <v>0</v>
      </c>
      <c r="ER360">
        <v>75.23</v>
      </c>
      <c r="ES360">
        <v>75.23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FQ360">
        <v>0</v>
      </c>
      <c r="FR360">
        <v>0</v>
      </c>
      <c r="FS360">
        <v>0</v>
      </c>
      <c r="FX360">
        <v>0</v>
      </c>
      <c r="FY360">
        <v>0</v>
      </c>
      <c r="GA360" t="s">
        <v>3</v>
      </c>
      <c r="GD360">
        <v>1</v>
      </c>
      <c r="GF360">
        <v>-1514090591</v>
      </c>
      <c r="GG360">
        <v>2</v>
      </c>
      <c r="GH360">
        <v>1</v>
      </c>
      <c r="GI360">
        <v>2</v>
      </c>
      <c r="GJ360">
        <v>0</v>
      </c>
      <c r="GK360">
        <v>0</v>
      </c>
      <c r="GL360">
        <f t="shared" si="384"/>
        <v>0</v>
      </c>
      <c r="GM360">
        <f t="shared" si="385"/>
        <v>51978.23</v>
      </c>
      <c r="GN360">
        <f t="shared" si="386"/>
        <v>51978.23</v>
      </c>
      <c r="GO360">
        <f t="shared" si="387"/>
        <v>0</v>
      </c>
      <c r="GP360">
        <f t="shared" si="388"/>
        <v>0</v>
      </c>
      <c r="GR360">
        <v>0</v>
      </c>
      <c r="GS360">
        <v>3</v>
      </c>
      <c r="GT360">
        <v>0</v>
      </c>
      <c r="GU360" t="s">
        <v>3</v>
      </c>
      <c r="GV360">
        <f t="shared" si="389"/>
        <v>0</v>
      </c>
      <c r="GW360">
        <v>1</v>
      </c>
      <c r="GX360">
        <f t="shared" si="390"/>
        <v>0</v>
      </c>
      <c r="HA360">
        <v>0</v>
      </c>
      <c r="HB360">
        <v>0</v>
      </c>
      <c r="HC360">
        <f t="shared" si="391"/>
        <v>0</v>
      </c>
      <c r="HE360" t="s">
        <v>3</v>
      </c>
      <c r="HF360" t="s">
        <v>3</v>
      </c>
      <c r="HM360" t="s">
        <v>3</v>
      </c>
      <c r="HN360" t="s">
        <v>3</v>
      </c>
      <c r="HO360" t="s">
        <v>3</v>
      </c>
      <c r="HP360" t="s">
        <v>3</v>
      </c>
      <c r="HQ360" t="s">
        <v>3</v>
      </c>
      <c r="HS360">
        <v>0</v>
      </c>
      <c r="IK360">
        <v>0</v>
      </c>
    </row>
    <row r="361" spans="1:255" x14ac:dyDescent="0.2">
      <c r="A361" s="2">
        <v>17</v>
      </c>
      <c r="B361" s="2">
        <v>1</v>
      </c>
      <c r="C361" s="2"/>
      <c r="D361" s="2"/>
      <c r="E361" s="2" t="s">
        <v>456</v>
      </c>
      <c r="F361" s="2" t="s">
        <v>457</v>
      </c>
      <c r="G361" s="2" t="s">
        <v>458</v>
      </c>
      <c r="H361" s="2" t="s">
        <v>376</v>
      </c>
      <c r="I361" s="2">
        <f>ROUND(20*1.03,9)</f>
        <v>20.6</v>
      </c>
      <c r="J361" s="2">
        <v>0</v>
      </c>
      <c r="K361" s="2">
        <f>ROUND(20*1.03,9)</f>
        <v>20.6</v>
      </c>
      <c r="L361" s="2"/>
      <c r="M361" s="2"/>
      <c r="N361" s="2"/>
      <c r="O361" s="2">
        <f t="shared" si="366"/>
        <v>1814.45</v>
      </c>
      <c r="P361" s="2">
        <f t="shared" si="367"/>
        <v>1814.45</v>
      </c>
      <c r="Q361" s="2">
        <f t="shared" si="392"/>
        <v>0</v>
      </c>
      <c r="R361" s="2">
        <f t="shared" si="393"/>
        <v>0</v>
      </c>
      <c r="S361" s="2">
        <f t="shared" si="368"/>
        <v>0</v>
      </c>
      <c r="T361" s="2">
        <f t="shared" si="369"/>
        <v>0</v>
      </c>
      <c r="U361" s="2">
        <f t="shared" si="370"/>
        <v>0</v>
      </c>
      <c r="V361" s="2">
        <f t="shared" si="371"/>
        <v>0</v>
      </c>
      <c r="W361" s="2">
        <f t="shared" si="372"/>
        <v>0</v>
      </c>
      <c r="X361" s="2">
        <f t="shared" si="394"/>
        <v>0</v>
      </c>
      <c r="Y361" s="2">
        <f t="shared" si="395"/>
        <v>0</v>
      </c>
      <c r="Z361" s="2"/>
      <c r="AA361" s="2">
        <v>60255014</v>
      </c>
      <c r="AB361" s="2">
        <f t="shared" si="373"/>
        <v>88.08</v>
      </c>
      <c r="AC361" s="2">
        <f t="shared" si="374"/>
        <v>88.08</v>
      </c>
      <c r="AD361" s="2">
        <f t="shared" si="396"/>
        <v>0</v>
      </c>
      <c r="AE361" s="2">
        <f t="shared" si="397"/>
        <v>0</v>
      </c>
      <c r="AF361" s="2">
        <f t="shared" si="398"/>
        <v>0</v>
      </c>
      <c r="AG361" s="2">
        <f t="shared" si="375"/>
        <v>0</v>
      </c>
      <c r="AH361" s="2">
        <f t="shared" si="399"/>
        <v>0</v>
      </c>
      <c r="AI361" s="2">
        <f t="shared" si="400"/>
        <v>0</v>
      </c>
      <c r="AJ361" s="2">
        <f t="shared" si="376"/>
        <v>0</v>
      </c>
      <c r="AK361" s="2">
        <v>88.08</v>
      </c>
      <c r="AL361" s="2">
        <v>88.08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1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3</v>
      </c>
      <c r="BI361" s="2">
        <v>1</v>
      </c>
      <c r="BJ361" s="2" t="s">
        <v>459</v>
      </c>
      <c r="BK361" s="2"/>
      <c r="BL361" s="2"/>
      <c r="BM361" s="2">
        <v>1617</v>
      </c>
      <c r="BN361" s="2">
        <v>58973374</v>
      </c>
      <c r="BO361" s="2" t="s">
        <v>3</v>
      </c>
      <c r="BP361" s="2">
        <v>0</v>
      </c>
      <c r="BQ361" s="2">
        <v>200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0</v>
      </c>
      <c r="CA361" s="2">
        <v>0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3</v>
      </c>
      <c r="CO361" s="2">
        <v>0</v>
      </c>
      <c r="CP361" s="2">
        <f t="shared" si="377"/>
        <v>1814.45</v>
      </c>
      <c r="CQ361" s="2">
        <f t="shared" si="378"/>
        <v>88.08</v>
      </c>
      <c r="CR361" s="2">
        <f t="shared" si="401"/>
        <v>0</v>
      </c>
      <c r="CS361" s="2">
        <f t="shared" si="402"/>
        <v>0</v>
      </c>
      <c r="CT361" s="2">
        <f t="shared" si="379"/>
        <v>0</v>
      </c>
      <c r="CU361" s="2">
        <f t="shared" si="380"/>
        <v>0</v>
      </c>
      <c r="CV361" s="2">
        <f t="shared" si="381"/>
        <v>0</v>
      </c>
      <c r="CW361" s="2">
        <f t="shared" si="382"/>
        <v>0</v>
      </c>
      <c r="CX361" s="2">
        <f t="shared" si="383"/>
        <v>0</v>
      </c>
      <c r="CY361" s="2">
        <f t="shared" si="403"/>
        <v>0</v>
      </c>
      <c r="CZ361" s="2">
        <f t="shared" si="404"/>
        <v>0</v>
      </c>
      <c r="DA361" s="2"/>
      <c r="DB361" s="2"/>
      <c r="DC361" s="2" t="s">
        <v>3</v>
      </c>
      <c r="DD361" s="2" t="s">
        <v>3</v>
      </c>
      <c r="DE361" s="2" t="s">
        <v>3</v>
      </c>
      <c r="DF361" s="2" t="s">
        <v>3</v>
      </c>
      <c r="DG361" s="2" t="s">
        <v>3</v>
      </c>
      <c r="DH361" s="2" t="s">
        <v>3</v>
      </c>
      <c r="DI361" s="2" t="s">
        <v>3</v>
      </c>
      <c r="DJ361" s="2" t="s">
        <v>3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1003</v>
      </c>
      <c r="DV361" s="2" t="s">
        <v>376</v>
      </c>
      <c r="DW361" s="2" t="s">
        <v>376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60088328</v>
      </c>
      <c r="EF361" s="2">
        <v>200</v>
      </c>
      <c r="EG361" s="2" t="s">
        <v>210</v>
      </c>
      <c r="EH361" s="2">
        <v>0</v>
      </c>
      <c r="EI361" s="2" t="s">
        <v>3</v>
      </c>
      <c r="EJ361" s="2">
        <v>1</v>
      </c>
      <c r="EK361" s="2">
        <v>1617</v>
      </c>
      <c r="EL361" s="2" t="s">
        <v>211</v>
      </c>
      <c r="EM361" s="2" t="s">
        <v>212</v>
      </c>
      <c r="EN361" s="2"/>
      <c r="EO361" s="2" t="s">
        <v>3</v>
      </c>
      <c r="EP361" s="2"/>
      <c r="EQ361" s="2">
        <v>0</v>
      </c>
      <c r="ER361" s="2">
        <v>88.08</v>
      </c>
      <c r="ES361" s="2">
        <v>88.08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0</v>
      </c>
      <c r="FY361" s="2">
        <v>0</v>
      </c>
      <c r="FZ361" s="2"/>
      <c r="GA361" s="2" t="s">
        <v>3</v>
      </c>
      <c r="GB361" s="2"/>
      <c r="GC361" s="2"/>
      <c r="GD361" s="2">
        <v>1</v>
      </c>
      <c r="GE361" s="2"/>
      <c r="GF361" s="2">
        <v>-473532147</v>
      </c>
      <c r="GG361" s="2">
        <v>2</v>
      </c>
      <c r="GH361" s="2">
        <v>1</v>
      </c>
      <c r="GI361" s="2">
        <v>-2</v>
      </c>
      <c r="GJ361" s="2">
        <v>0</v>
      </c>
      <c r="GK361" s="2">
        <v>0</v>
      </c>
      <c r="GL361" s="2">
        <f t="shared" si="384"/>
        <v>0</v>
      </c>
      <c r="GM361" s="2">
        <f t="shared" si="385"/>
        <v>1814.45</v>
      </c>
      <c r="GN361" s="2">
        <f t="shared" si="386"/>
        <v>1814.45</v>
      </c>
      <c r="GO361" s="2">
        <f t="shared" si="387"/>
        <v>0</v>
      </c>
      <c r="GP361" s="2">
        <f t="shared" si="388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389"/>
        <v>0</v>
      </c>
      <c r="GW361" s="2">
        <v>1</v>
      </c>
      <c r="GX361" s="2">
        <f t="shared" si="390"/>
        <v>0</v>
      </c>
      <c r="GY361" s="2"/>
      <c r="GZ361" s="2"/>
      <c r="HA361" s="2">
        <v>0</v>
      </c>
      <c r="HB361" s="2">
        <v>0</v>
      </c>
      <c r="HC361" s="2">
        <f t="shared" si="391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>
        <v>17</v>
      </c>
      <c r="B362">
        <v>1</v>
      </c>
      <c r="E362" t="s">
        <v>456</v>
      </c>
      <c r="F362" t="s">
        <v>457</v>
      </c>
      <c r="G362" t="s">
        <v>458</v>
      </c>
      <c r="H362" t="s">
        <v>376</v>
      </c>
      <c r="I362">
        <f>ROUND(20*1.03,9)</f>
        <v>20.6</v>
      </c>
      <c r="J362">
        <v>0</v>
      </c>
      <c r="K362">
        <f>ROUND(20*1.03,9)</f>
        <v>20.6</v>
      </c>
      <c r="O362">
        <f t="shared" si="366"/>
        <v>9544.01</v>
      </c>
      <c r="P362">
        <f t="shared" si="367"/>
        <v>9544.01</v>
      </c>
      <c r="Q362">
        <f t="shared" si="392"/>
        <v>0</v>
      </c>
      <c r="R362">
        <f t="shared" si="393"/>
        <v>0</v>
      </c>
      <c r="S362">
        <f t="shared" si="368"/>
        <v>0</v>
      </c>
      <c r="T362">
        <f t="shared" si="369"/>
        <v>0</v>
      </c>
      <c r="U362">
        <f t="shared" si="370"/>
        <v>0</v>
      </c>
      <c r="V362">
        <f t="shared" si="371"/>
        <v>0</v>
      </c>
      <c r="W362">
        <f t="shared" si="372"/>
        <v>0</v>
      </c>
      <c r="X362">
        <f t="shared" si="394"/>
        <v>0</v>
      </c>
      <c r="Y362">
        <f t="shared" si="395"/>
        <v>0</v>
      </c>
      <c r="AA362">
        <v>60255011</v>
      </c>
      <c r="AB362">
        <f t="shared" si="373"/>
        <v>88.08</v>
      </c>
      <c r="AC362">
        <f t="shared" si="374"/>
        <v>88.08</v>
      </c>
      <c r="AD362">
        <f t="shared" si="396"/>
        <v>0</v>
      </c>
      <c r="AE362">
        <f t="shared" si="397"/>
        <v>0</v>
      </c>
      <c r="AF362">
        <f t="shared" si="398"/>
        <v>0</v>
      </c>
      <c r="AG362">
        <f t="shared" si="375"/>
        <v>0</v>
      </c>
      <c r="AH362">
        <f t="shared" si="399"/>
        <v>0</v>
      </c>
      <c r="AI362">
        <f t="shared" si="400"/>
        <v>0</v>
      </c>
      <c r="AJ362">
        <f t="shared" si="376"/>
        <v>0</v>
      </c>
      <c r="AK362">
        <v>88.08</v>
      </c>
      <c r="AL362">
        <v>88.08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1</v>
      </c>
      <c r="AZ362">
        <v>1</v>
      </c>
      <c r="BA362">
        <v>1</v>
      </c>
      <c r="BB362">
        <v>1</v>
      </c>
      <c r="BC362">
        <v>5.26</v>
      </c>
      <c r="BD362" t="s">
        <v>3</v>
      </c>
      <c r="BE362" t="s">
        <v>3</v>
      </c>
      <c r="BF362" t="s">
        <v>3</v>
      </c>
      <c r="BG362" t="s">
        <v>3</v>
      </c>
      <c r="BH362">
        <v>3</v>
      </c>
      <c r="BI362">
        <v>1</v>
      </c>
      <c r="BJ362" t="s">
        <v>459</v>
      </c>
      <c r="BM362">
        <v>1617</v>
      </c>
      <c r="BN362">
        <v>58973374</v>
      </c>
      <c r="BO362" t="s">
        <v>457</v>
      </c>
      <c r="BP362">
        <v>1</v>
      </c>
      <c r="BQ362">
        <v>200</v>
      </c>
      <c r="BR362">
        <v>0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 t="s">
        <v>3</v>
      </c>
      <c r="BZ362">
        <v>0</v>
      </c>
      <c r="CA362">
        <v>0</v>
      </c>
      <c r="CB362" t="s">
        <v>3</v>
      </c>
      <c r="CE362">
        <v>1566</v>
      </c>
      <c r="CF362">
        <v>0</v>
      </c>
      <c r="CG362">
        <v>0</v>
      </c>
      <c r="CM362">
        <v>0</v>
      </c>
      <c r="CN362" t="s">
        <v>3</v>
      </c>
      <c r="CO362">
        <v>0</v>
      </c>
      <c r="CP362">
        <f t="shared" si="377"/>
        <v>9544.01</v>
      </c>
      <c r="CQ362">
        <f t="shared" si="378"/>
        <v>463.3</v>
      </c>
      <c r="CR362">
        <f t="shared" si="401"/>
        <v>0</v>
      </c>
      <c r="CS362">
        <f t="shared" si="402"/>
        <v>0</v>
      </c>
      <c r="CT362">
        <f t="shared" si="379"/>
        <v>0</v>
      </c>
      <c r="CU362">
        <f t="shared" si="380"/>
        <v>0</v>
      </c>
      <c r="CV362">
        <f t="shared" si="381"/>
        <v>0</v>
      </c>
      <c r="CW362">
        <f t="shared" si="382"/>
        <v>0</v>
      </c>
      <c r="CX362">
        <f t="shared" si="383"/>
        <v>0</v>
      </c>
      <c r="CY362">
        <f t="shared" si="403"/>
        <v>0</v>
      </c>
      <c r="CZ362">
        <f t="shared" si="404"/>
        <v>0</v>
      </c>
      <c r="DC362" t="s">
        <v>3</v>
      </c>
      <c r="DD362" t="s">
        <v>3</v>
      </c>
      <c r="DE362" t="s">
        <v>3</v>
      </c>
      <c r="DF362" t="s">
        <v>3</v>
      </c>
      <c r="DG362" t="s">
        <v>3</v>
      </c>
      <c r="DH362" t="s">
        <v>3</v>
      </c>
      <c r="DI362" t="s">
        <v>3</v>
      </c>
      <c r="DJ362" t="s">
        <v>3</v>
      </c>
      <c r="DK362" t="s">
        <v>3</v>
      </c>
      <c r="DL362" t="s">
        <v>3</v>
      </c>
      <c r="DM362" t="s">
        <v>3</v>
      </c>
      <c r="DN362">
        <v>0</v>
      </c>
      <c r="DO362">
        <v>0</v>
      </c>
      <c r="DP362">
        <v>1</v>
      </c>
      <c r="DQ362">
        <v>1</v>
      </c>
      <c r="DU362">
        <v>1003</v>
      </c>
      <c r="DV362" t="s">
        <v>376</v>
      </c>
      <c r="DW362" t="s">
        <v>376</v>
      </c>
      <c r="DX362">
        <v>1</v>
      </c>
      <c r="DZ362" t="s">
        <v>3</v>
      </c>
      <c r="EA362" t="s">
        <v>3</v>
      </c>
      <c r="EB362" t="s">
        <v>3</v>
      </c>
      <c r="EC362" t="s">
        <v>3</v>
      </c>
      <c r="EE362">
        <v>60088328</v>
      </c>
      <c r="EF362">
        <v>200</v>
      </c>
      <c r="EG362" t="s">
        <v>210</v>
      </c>
      <c r="EH362">
        <v>0</v>
      </c>
      <c r="EI362" t="s">
        <v>3</v>
      </c>
      <c r="EJ362">
        <v>1</v>
      </c>
      <c r="EK362">
        <v>1617</v>
      </c>
      <c r="EL362" t="s">
        <v>211</v>
      </c>
      <c r="EM362" t="s">
        <v>212</v>
      </c>
      <c r="EO362" t="s">
        <v>3</v>
      </c>
      <c r="EQ362">
        <v>0</v>
      </c>
      <c r="ER362">
        <v>88.08</v>
      </c>
      <c r="ES362">
        <v>88.08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FQ362">
        <v>0</v>
      </c>
      <c r="FR362">
        <v>0</v>
      </c>
      <c r="FS362">
        <v>0</v>
      </c>
      <c r="FX362">
        <v>0</v>
      </c>
      <c r="FY362">
        <v>0</v>
      </c>
      <c r="GA362" t="s">
        <v>3</v>
      </c>
      <c r="GD362">
        <v>1</v>
      </c>
      <c r="GF362">
        <v>-473532147</v>
      </c>
      <c r="GG362">
        <v>2</v>
      </c>
      <c r="GH362">
        <v>1</v>
      </c>
      <c r="GI362">
        <v>2</v>
      </c>
      <c r="GJ362">
        <v>0</v>
      </c>
      <c r="GK362">
        <v>0</v>
      </c>
      <c r="GL362">
        <f t="shared" si="384"/>
        <v>0</v>
      </c>
      <c r="GM362">
        <f t="shared" si="385"/>
        <v>9544.01</v>
      </c>
      <c r="GN362">
        <f t="shared" si="386"/>
        <v>9544.01</v>
      </c>
      <c r="GO362">
        <f t="shared" si="387"/>
        <v>0</v>
      </c>
      <c r="GP362">
        <f t="shared" si="388"/>
        <v>0</v>
      </c>
      <c r="GR362">
        <v>0</v>
      </c>
      <c r="GS362">
        <v>3</v>
      </c>
      <c r="GT362">
        <v>0</v>
      </c>
      <c r="GU362" t="s">
        <v>3</v>
      </c>
      <c r="GV362">
        <f t="shared" si="389"/>
        <v>0</v>
      </c>
      <c r="GW362">
        <v>1</v>
      </c>
      <c r="GX362">
        <f t="shared" si="390"/>
        <v>0</v>
      </c>
      <c r="HA362">
        <v>0</v>
      </c>
      <c r="HB362">
        <v>0</v>
      </c>
      <c r="HC362">
        <f t="shared" si="391"/>
        <v>0</v>
      </c>
      <c r="HE362" t="s">
        <v>3</v>
      </c>
      <c r="HF362" t="s">
        <v>3</v>
      </c>
      <c r="HM362" t="s">
        <v>3</v>
      </c>
      <c r="HN362" t="s">
        <v>3</v>
      </c>
      <c r="HO362" t="s">
        <v>3</v>
      </c>
      <c r="HP362" t="s">
        <v>3</v>
      </c>
      <c r="HQ362" t="s">
        <v>3</v>
      </c>
      <c r="HS362">
        <v>0</v>
      </c>
      <c r="IK362">
        <v>0</v>
      </c>
    </row>
    <row r="364" spans="1:255" x14ac:dyDescent="0.2">
      <c r="A364" s="3">
        <v>51</v>
      </c>
      <c r="B364" s="3">
        <f>B343</f>
        <v>1</v>
      </c>
      <c r="C364" s="3">
        <f>A343</f>
        <v>4</v>
      </c>
      <c r="D364" s="3">
        <f>ROW(A343)</f>
        <v>343</v>
      </c>
      <c r="E364" s="3"/>
      <c r="F364" s="3" t="str">
        <f>IF(F343&lt;&gt;"",F343,"")</f>
        <v/>
      </c>
      <c r="G364" s="3" t="str">
        <f>IF(G343&lt;&gt;"",G343,"")</f>
        <v>Изоляция трубная</v>
      </c>
      <c r="H364" s="3">
        <v>0</v>
      </c>
      <c r="I364" s="3"/>
      <c r="J364" s="3"/>
      <c r="K364" s="3"/>
      <c r="L364" s="3"/>
      <c r="M364" s="3"/>
      <c r="N364" s="3"/>
      <c r="O364" s="3">
        <f t="shared" ref="O364:T364" si="405">ROUND(AB364,2)</f>
        <v>142636.49</v>
      </c>
      <c r="P364" s="3">
        <f t="shared" si="405"/>
        <v>136237.17000000001</v>
      </c>
      <c r="Q364" s="3">
        <f t="shared" si="405"/>
        <v>1098.67</v>
      </c>
      <c r="R364" s="3">
        <f t="shared" si="405"/>
        <v>441.94</v>
      </c>
      <c r="S364" s="3">
        <f t="shared" si="405"/>
        <v>5300.65</v>
      </c>
      <c r="T364" s="3">
        <f t="shared" si="405"/>
        <v>0</v>
      </c>
      <c r="U364" s="3">
        <f>AH364</f>
        <v>420.01811239310996</v>
      </c>
      <c r="V364" s="3">
        <f>AI364</f>
        <v>0</v>
      </c>
      <c r="W364" s="3">
        <f>ROUND(AJ364,2)</f>
        <v>0</v>
      </c>
      <c r="X364" s="3">
        <f>ROUND(AK364,2)</f>
        <v>4996.05</v>
      </c>
      <c r="Y364" s="3">
        <f>ROUND(AL364,2)</f>
        <v>2699.02</v>
      </c>
      <c r="Z364" s="3"/>
      <c r="AA364" s="3"/>
      <c r="AB364" s="3">
        <f>ROUND(SUMIF(AA347:AA362,"=60255014",O347:O362),2)</f>
        <v>142636.49</v>
      </c>
      <c r="AC364" s="3">
        <f>ROUND(SUMIF(AA347:AA362,"=60255014",P347:P362),2)</f>
        <v>136237.17000000001</v>
      </c>
      <c r="AD364" s="3">
        <f>ROUND(SUMIF(AA347:AA362,"=60255014",Q347:Q362),2)</f>
        <v>1098.67</v>
      </c>
      <c r="AE364" s="3">
        <f>ROUND(SUMIF(AA347:AA362,"=60255014",R347:R362),2)</f>
        <v>441.94</v>
      </c>
      <c r="AF364" s="3">
        <f>ROUND(SUMIF(AA347:AA362,"=60255014",S347:S362),2)</f>
        <v>5300.65</v>
      </c>
      <c r="AG364" s="3">
        <f>ROUND(SUMIF(AA347:AA362,"=60255014",T347:T362),2)</f>
        <v>0</v>
      </c>
      <c r="AH364" s="3">
        <f>SUMIF(AA347:AA362,"=60255014",U347:U362)</f>
        <v>420.01811239310996</v>
      </c>
      <c r="AI364" s="3">
        <f>SUMIF(AA347:AA362,"=60255014",V347:V362)</f>
        <v>0</v>
      </c>
      <c r="AJ364" s="3">
        <f>ROUND(SUMIF(AA347:AA362,"=60255014",W347:W362),2)</f>
        <v>0</v>
      </c>
      <c r="AK364" s="3">
        <f>ROUND(SUMIF(AA347:AA362,"=60255014",X347:X362),2)</f>
        <v>4996.05</v>
      </c>
      <c r="AL364" s="3">
        <f>ROUND(SUMIF(AA347:AA362,"=60255014",Y347:Y362),2)</f>
        <v>2699.02</v>
      </c>
      <c r="AM364" s="3"/>
      <c r="AN364" s="3"/>
      <c r="AO364" s="3">
        <f t="shared" ref="AO364:BD364" si="406">ROUND(BX364,2)</f>
        <v>0</v>
      </c>
      <c r="AP364" s="3">
        <f t="shared" si="406"/>
        <v>0</v>
      </c>
      <c r="AQ364" s="3">
        <f t="shared" si="406"/>
        <v>0</v>
      </c>
      <c r="AR364" s="3">
        <f t="shared" si="406"/>
        <v>150331.56</v>
      </c>
      <c r="AS364" s="3">
        <f t="shared" si="406"/>
        <v>150331.56</v>
      </c>
      <c r="AT364" s="3">
        <f t="shared" si="406"/>
        <v>0</v>
      </c>
      <c r="AU364" s="3">
        <f t="shared" si="406"/>
        <v>0</v>
      </c>
      <c r="AV364" s="3">
        <f t="shared" si="406"/>
        <v>136237.17000000001</v>
      </c>
      <c r="AW364" s="3">
        <f t="shared" si="406"/>
        <v>136237.17000000001</v>
      </c>
      <c r="AX364" s="3">
        <f t="shared" si="406"/>
        <v>0</v>
      </c>
      <c r="AY364" s="3">
        <f t="shared" si="406"/>
        <v>136237.17000000001</v>
      </c>
      <c r="AZ364" s="3">
        <f t="shared" si="406"/>
        <v>0</v>
      </c>
      <c r="BA364" s="3">
        <f t="shared" si="406"/>
        <v>0</v>
      </c>
      <c r="BB364" s="3">
        <f t="shared" si="406"/>
        <v>0</v>
      </c>
      <c r="BC364" s="3">
        <f t="shared" si="406"/>
        <v>0</v>
      </c>
      <c r="BD364" s="3">
        <f t="shared" si="406"/>
        <v>0</v>
      </c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>
        <f>ROUND(SUMIF(AA347:AA362,"=60255014",FQ347:FQ362),2)</f>
        <v>0</v>
      </c>
      <c r="BY364" s="3">
        <f>ROUND(SUMIF(AA347:AA362,"=60255014",FR347:FR362),2)</f>
        <v>0</v>
      </c>
      <c r="BZ364" s="3">
        <f>ROUND(SUMIF(AA347:AA362,"=60255014",GL347:GL362),2)</f>
        <v>0</v>
      </c>
      <c r="CA364" s="3">
        <f>ROUND(SUMIF(AA347:AA362,"=60255014",GM347:GM362),2)</f>
        <v>150331.56</v>
      </c>
      <c r="CB364" s="3">
        <f>ROUND(SUMIF(AA347:AA362,"=60255014",GN347:GN362),2)</f>
        <v>150331.56</v>
      </c>
      <c r="CC364" s="3">
        <f>ROUND(SUMIF(AA347:AA362,"=60255014",GO347:GO362),2)</f>
        <v>0</v>
      </c>
      <c r="CD364" s="3">
        <f>ROUND(SUMIF(AA347:AA362,"=60255014",GP347:GP362),2)</f>
        <v>0</v>
      </c>
      <c r="CE364" s="3">
        <f>AC364-BX364</f>
        <v>136237.17000000001</v>
      </c>
      <c r="CF364" s="3">
        <f>AC364-BY364</f>
        <v>136237.17000000001</v>
      </c>
      <c r="CG364" s="3">
        <f>BX364-BZ364</f>
        <v>0</v>
      </c>
      <c r="CH364" s="3">
        <f>AC364-BX364-BY364+BZ364</f>
        <v>136237.17000000001</v>
      </c>
      <c r="CI364" s="3">
        <f>BY364-BZ364</f>
        <v>0</v>
      </c>
      <c r="CJ364" s="3">
        <f>ROUND(SUMIF(AA347:AA362,"=60255014",GX347:GX362),2)</f>
        <v>0</v>
      </c>
      <c r="CK364" s="3">
        <f>ROUND(SUMIF(AA347:AA362,"=60255014",GY347:GY362),2)</f>
        <v>0</v>
      </c>
      <c r="CL364" s="3">
        <f>ROUND(SUMIF(AA347:AA362,"=60255014",GZ347:GZ362),2)</f>
        <v>0</v>
      </c>
      <c r="CM364" s="3">
        <f>ROUND(SUMIF(AA347:AA362,"=60255014",HD347:HD362),2)</f>
        <v>0</v>
      </c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4">
        <f t="shared" ref="DG364:DL364" si="407">ROUND(DT364,2)</f>
        <v>980890.77</v>
      </c>
      <c r="DH364" s="4">
        <f t="shared" si="407"/>
        <v>658952.9</v>
      </c>
      <c r="DI364" s="4">
        <f t="shared" si="407"/>
        <v>30455.13</v>
      </c>
      <c r="DJ364" s="4">
        <f t="shared" si="407"/>
        <v>24302.28</v>
      </c>
      <c r="DK364" s="4">
        <f t="shared" si="407"/>
        <v>291482.74</v>
      </c>
      <c r="DL364" s="4">
        <f t="shared" si="407"/>
        <v>0</v>
      </c>
      <c r="DM364" s="4">
        <f>DZ364</f>
        <v>420.01811239310996</v>
      </c>
      <c r="DN364" s="4">
        <f>EA364</f>
        <v>0</v>
      </c>
      <c r="DO364" s="4">
        <f>ROUND(EB364,2)</f>
        <v>0</v>
      </c>
      <c r="DP364" s="4">
        <f>ROUND(EC364,2)</f>
        <v>274732.96999999997</v>
      </c>
      <c r="DQ364" s="4">
        <f>ROUND(ED364,2)</f>
        <v>148418.96</v>
      </c>
      <c r="DR364" s="4"/>
      <c r="DS364" s="4"/>
      <c r="DT364" s="4">
        <f>ROUND(SUMIF(AA347:AA362,"=60255011",O347:O362),2)</f>
        <v>980890.77</v>
      </c>
      <c r="DU364" s="4">
        <f>ROUND(SUMIF(AA347:AA362,"=60255011",P347:P362),2)</f>
        <v>658952.9</v>
      </c>
      <c r="DV364" s="4">
        <f>ROUND(SUMIF(AA347:AA362,"=60255011",Q347:Q362),2)</f>
        <v>30455.13</v>
      </c>
      <c r="DW364" s="4">
        <f>ROUND(SUMIF(AA347:AA362,"=60255011",R347:R362),2)</f>
        <v>24302.28</v>
      </c>
      <c r="DX364" s="4">
        <f>ROUND(SUMIF(AA347:AA362,"=60255011",S347:S362),2)</f>
        <v>291482.74</v>
      </c>
      <c r="DY364" s="4">
        <f>ROUND(SUMIF(AA347:AA362,"=60255011",T347:T362),2)</f>
        <v>0</v>
      </c>
      <c r="DZ364" s="4">
        <f>SUMIF(AA347:AA362,"=60255011",U347:U362)</f>
        <v>420.01811239310996</v>
      </c>
      <c r="EA364" s="4">
        <f>SUMIF(AA347:AA362,"=60255011",V347:V362)</f>
        <v>0</v>
      </c>
      <c r="EB364" s="4">
        <f>ROUND(SUMIF(AA347:AA362,"=60255011",W347:W362),2)</f>
        <v>0</v>
      </c>
      <c r="EC364" s="4">
        <f>ROUND(SUMIF(AA347:AA362,"=60255011",X347:X362),2)</f>
        <v>274732.96999999997</v>
      </c>
      <c r="ED364" s="4">
        <f>ROUND(SUMIF(AA347:AA362,"=60255011",Y347:Y362),2)</f>
        <v>148418.96</v>
      </c>
      <c r="EE364" s="4"/>
      <c r="EF364" s="4"/>
      <c r="EG364" s="4">
        <f t="shared" ref="EG364:EV364" si="408">ROUND(FP364,2)</f>
        <v>0</v>
      </c>
      <c r="EH364" s="4">
        <f t="shared" si="408"/>
        <v>0</v>
      </c>
      <c r="EI364" s="4">
        <f t="shared" si="408"/>
        <v>0</v>
      </c>
      <c r="EJ364" s="4">
        <f t="shared" si="408"/>
        <v>1404042.7</v>
      </c>
      <c r="EK364" s="4">
        <f t="shared" si="408"/>
        <v>1404042.7</v>
      </c>
      <c r="EL364" s="4">
        <f t="shared" si="408"/>
        <v>0</v>
      </c>
      <c r="EM364" s="4">
        <f t="shared" si="408"/>
        <v>0</v>
      </c>
      <c r="EN364" s="4">
        <f t="shared" si="408"/>
        <v>658952.9</v>
      </c>
      <c r="EO364" s="4">
        <f t="shared" si="408"/>
        <v>658952.9</v>
      </c>
      <c r="EP364" s="4">
        <f t="shared" si="408"/>
        <v>0</v>
      </c>
      <c r="EQ364" s="4">
        <f t="shared" si="408"/>
        <v>658952.9</v>
      </c>
      <c r="ER364" s="4">
        <f t="shared" si="408"/>
        <v>0</v>
      </c>
      <c r="ES364" s="4">
        <f t="shared" si="408"/>
        <v>0</v>
      </c>
      <c r="ET364" s="4">
        <f t="shared" si="408"/>
        <v>0</v>
      </c>
      <c r="EU364" s="4">
        <f t="shared" si="408"/>
        <v>0</v>
      </c>
      <c r="EV364" s="4">
        <f t="shared" si="408"/>
        <v>0</v>
      </c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>
        <f>ROUND(SUMIF(AA347:AA362,"=60255011",FQ347:FQ362),2)</f>
        <v>0</v>
      </c>
      <c r="FQ364" s="4">
        <f>ROUND(SUMIF(AA347:AA362,"=60255011",FR347:FR362),2)</f>
        <v>0</v>
      </c>
      <c r="FR364" s="4">
        <f>ROUND(SUMIF(AA347:AA362,"=60255011",GL347:GL362),2)</f>
        <v>0</v>
      </c>
      <c r="FS364" s="4">
        <f>ROUND(SUMIF(AA347:AA362,"=60255011",GM347:GM362),2)</f>
        <v>1404042.7</v>
      </c>
      <c r="FT364" s="4">
        <f>ROUND(SUMIF(AA347:AA362,"=60255011",GN347:GN362),2)</f>
        <v>1404042.7</v>
      </c>
      <c r="FU364" s="4">
        <f>ROUND(SUMIF(AA347:AA362,"=60255011",GO347:GO362),2)</f>
        <v>0</v>
      </c>
      <c r="FV364" s="4">
        <f>ROUND(SUMIF(AA347:AA362,"=60255011",GP347:GP362),2)</f>
        <v>0</v>
      </c>
      <c r="FW364" s="4">
        <f>DU364-FP364</f>
        <v>658952.9</v>
      </c>
      <c r="FX364" s="4">
        <f>DU364-FQ364</f>
        <v>658952.9</v>
      </c>
      <c r="FY364" s="4">
        <f>FP364-FR364</f>
        <v>0</v>
      </c>
      <c r="FZ364" s="4">
        <f>DU364-FP364-FQ364+FR364</f>
        <v>658952.9</v>
      </c>
      <c r="GA364" s="4">
        <f>FQ364-FR364</f>
        <v>0</v>
      </c>
      <c r="GB364" s="4">
        <f>ROUND(SUMIF(AA347:AA362,"=60255011",GX347:GX362),2)</f>
        <v>0</v>
      </c>
      <c r="GC364" s="4">
        <f>ROUND(SUMIF(AA347:AA362,"=60255011",GY347:GY362),2)</f>
        <v>0</v>
      </c>
      <c r="GD364" s="4">
        <f>ROUND(SUMIF(AA347:AA362,"=60255011",GZ347:GZ362),2)</f>
        <v>0</v>
      </c>
      <c r="GE364" s="4">
        <f>ROUND(SUMIF(AA347:AA362,"=60255011",HD347:HD362),2)</f>
        <v>0</v>
      </c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>
        <v>0</v>
      </c>
    </row>
    <row r="366" spans="1:255" x14ac:dyDescent="0.2">
      <c r="A366" s="5">
        <v>50</v>
      </c>
      <c r="B366" s="5">
        <v>0</v>
      </c>
      <c r="C366" s="5">
        <v>0</v>
      </c>
      <c r="D366" s="5">
        <v>1</v>
      </c>
      <c r="E366" s="5">
        <v>201</v>
      </c>
      <c r="F366" s="5">
        <f>ROUND(Source!O364,O366)</f>
        <v>142636.49</v>
      </c>
      <c r="G366" s="5" t="s">
        <v>38</v>
      </c>
      <c r="H366" s="5" t="s">
        <v>39</v>
      </c>
      <c r="I366" s="5"/>
      <c r="J366" s="5"/>
      <c r="K366" s="5">
        <v>201</v>
      </c>
      <c r="L366" s="5">
        <v>1</v>
      </c>
      <c r="M366" s="5">
        <v>3</v>
      </c>
      <c r="N366" s="5" t="s">
        <v>3</v>
      </c>
      <c r="O366" s="5">
        <v>2</v>
      </c>
      <c r="P366" s="5">
        <f>ROUND(Source!DG364,O366)</f>
        <v>980890.77</v>
      </c>
      <c r="Q366" s="5"/>
      <c r="R366" s="5"/>
      <c r="S366" s="5"/>
      <c r="T366" s="5"/>
      <c r="U366" s="5"/>
      <c r="V366" s="5"/>
      <c r="W366" s="5">
        <v>142636.49</v>
      </c>
      <c r="X366" s="5">
        <v>1</v>
      </c>
      <c r="Y366" s="5">
        <v>142636.49</v>
      </c>
      <c r="Z366" s="5">
        <v>980890.77</v>
      </c>
      <c r="AA366" s="5">
        <v>1</v>
      </c>
      <c r="AB366" s="5">
        <v>980890.77</v>
      </c>
    </row>
    <row r="367" spans="1:255" x14ac:dyDescent="0.2">
      <c r="A367" s="5">
        <v>50</v>
      </c>
      <c r="B367" s="5">
        <v>0</v>
      </c>
      <c r="C367" s="5">
        <v>0</v>
      </c>
      <c r="D367" s="5">
        <v>1</v>
      </c>
      <c r="E367" s="5">
        <v>202</v>
      </c>
      <c r="F367" s="5">
        <f>ROUND(Source!P364,O367)</f>
        <v>136237.17000000001</v>
      </c>
      <c r="G367" s="5" t="s">
        <v>40</v>
      </c>
      <c r="H367" s="5" t="s">
        <v>41</v>
      </c>
      <c r="I367" s="5"/>
      <c r="J367" s="5"/>
      <c r="K367" s="5">
        <v>202</v>
      </c>
      <c r="L367" s="5">
        <v>2</v>
      </c>
      <c r="M367" s="5">
        <v>3</v>
      </c>
      <c r="N367" s="5" t="s">
        <v>3</v>
      </c>
      <c r="O367" s="5">
        <v>2</v>
      </c>
      <c r="P367" s="5">
        <f>ROUND(Source!DH364,O367)</f>
        <v>658952.9</v>
      </c>
      <c r="Q367" s="5"/>
      <c r="R367" s="5"/>
      <c r="S367" s="5"/>
      <c r="T367" s="5"/>
      <c r="U367" s="5"/>
      <c r="V367" s="5"/>
      <c r="W367" s="5">
        <v>136237.17000000001</v>
      </c>
      <c r="X367" s="5">
        <v>1</v>
      </c>
      <c r="Y367" s="5">
        <v>136237.17000000001</v>
      </c>
      <c r="Z367" s="5">
        <v>658952.9</v>
      </c>
      <c r="AA367" s="5">
        <v>1</v>
      </c>
      <c r="AB367" s="5">
        <v>658952.9</v>
      </c>
    </row>
    <row r="368" spans="1:255" x14ac:dyDescent="0.2">
      <c r="A368" s="5">
        <v>50</v>
      </c>
      <c r="B368" s="5">
        <v>0</v>
      </c>
      <c r="C368" s="5">
        <v>0</v>
      </c>
      <c r="D368" s="5">
        <v>1</v>
      </c>
      <c r="E368" s="5">
        <v>222</v>
      </c>
      <c r="F368" s="5">
        <f>ROUND(Source!AO364,O368)</f>
        <v>0</v>
      </c>
      <c r="G368" s="5" t="s">
        <v>42</v>
      </c>
      <c r="H368" s="5" t="s">
        <v>43</v>
      </c>
      <c r="I368" s="5"/>
      <c r="J368" s="5"/>
      <c r="K368" s="5">
        <v>222</v>
      </c>
      <c r="L368" s="5">
        <v>3</v>
      </c>
      <c r="M368" s="5">
        <v>3</v>
      </c>
      <c r="N368" s="5" t="s">
        <v>3</v>
      </c>
      <c r="O368" s="5">
        <v>2</v>
      </c>
      <c r="P368" s="5">
        <f>ROUND(Source!EG364,O368)</f>
        <v>0</v>
      </c>
      <c r="Q368" s="5"/>
      <c r="R368" s="5"/>
      <c r="S368" s="5"/>
      <c r="T368" s="5"/>
      <c r="U368" s="5"/>
      <c r="V368" s="5"/>
      <c r="W368" s="5">
        <v>0</v>
      </c>
      <c r="X368" s="5">
        <v>1</v>
      </c>
      <c r="Y368" s="5">
        <v>0</v>
      </c>
      <c r="Z368" s="5">
        <v>0</v>
      </c>
      <c r="AA368" s="5">
        <v>1</v>
      </c>
      <c r="AB368" s="5">
        <v>0</v>
      </c>
    </row>
    <row r="369" spans="1:28" x14ac:dyDescent="0.2">
      <c r="A369" s="5">
        <v>50</v>
      </c>
      <c r="B369" s="5">
        <v>0</v>
      </c>
      <c r="C369" s="5">
        <v>0</v>
      </c>
      <c r="D369" s="5">
        <v>1</v>
      </c>
      <c r="E369" s="5">
        <v>225</v>
      </c>
      <c r="F369" s="5">
        <f>ROUND(Source!AV364,O369)</f>
        <v>136237.17000000001</v>
      </c>
      <c r="G369" s="5" t="s">
        <v>44</v>
      </c>
      <c r="H369" s="5" t="s">
        <v>45</v>
      </c>
      <c r="I369" s="5"/>
      <c r="J369" s="5"/>
      <c r="K369" s="5">
        <v>225</v>
      </c>
      <c r="L369" s="5">
        <v>4</v>
      </c>
      <c r="M369" s="5">
        <v>3</v>
      </c>
      <c r="N369" s="5" t="s">
        <v>3</v>
      </c>
      <c r="O369" s="5">
        <v>2</v>
      </c>
      <c r="P369" s="5">
        <f>ROUND(Source!EN364,O369)</f>
        <v>658952.9</v>
      </c>
      <c r="Q369" s="5"/>
      <c r="R369" s="5"/>
      <c r="S369" s="5"/>
      <c r="T369" s="5"/>
      <c r="U369" s="5"/>
      <c r="V369" s="5"/>
      <c r="W369" s="5">
        <v>136237.17000000001</v>
      </c>
      <c r="X369" s="5">
        <v>1</v>
      </c>
      <c r="Y369" s="5">
        <v>136237.17000000001</v>
      </c>
      <c r="Z369" s="5">
        <v>658952.9</v>
      </c>
      <c r="AA369" s="5">
        <v>1</v>
      </c>
      <c r="AB369" s="5">
        <v>658952.9</v>
      </c>
    </row>
    <row r="370" spans="1:28" x14ac:dyDescent="0.2">
      <c r="A370" s="5">
        <v>50</v>
      </c>
      <c r="B370" s="5">
        <v>0</v>
      </c>
      <c r="C370" s="5">
        <v>0</v>
      </c>
      <c r="D370" s="5">
        <v>1</v>
      </c>
      <c r="E370" s="5">
        <v>226</v>
      </c>
      <c r="F370" s="5">
        <f>ROUND(Source!AW364,O370)</f>
        <v>136237.17000000001</v>
      </c>
      <c r="G370" s="5" t="s">
        <v>46</v>
      </c>
      <c r="H370" s="5" t="s">
        <v>47</v>
      </c>
      <c r="I370" s="5"/>
      <c r="J370" s="5"/>
      <c r="K370" s="5">
        <v>226</v>
      </c>
      <c r="L370" s="5">
        <v>5</v>
      </c>
      <c r="M370" s="5">
        <v>3</v>
      </c>
      <c r="N370" s="5" t="s">
        <v>3</v>
      </c>
      <c r="O370" s="5">
        <v>2</v>
      </c>
      <c r="P370" s="5">
        <f>ROUND(Source!EO364,O370)</f>
        <v>658952.9</v>
      </c>
      <c r="Q370" s="5"/>
      <c r="R370" s="5"/>
      <c r="S370" s="5"/>
      <c r="T370" s="5"/>
      <c r="U370" s="5"/>
      <c r="V370" s="5"/>
      <c r="W370" s="5">
        <v>136237.17000000001</v>
      </c>
      <c r="X370" s="5">
        <v>1</v>
      </c>
      <c r="Y370" s="5">
        <v>136237.17000000001</v>
      </c>
      <c r="Z370" s="5">
        <v>658952.9</v>
      </c>
      <c r="AA370" s="5">
        <v>1</v>
      </c>
      <c r="AB370" s="5">
        <v>658952.9</v>
      </c>
    </row>
    <row r="371" spans="1:28" x14ac:dyDescent="0.2">
      <c r="A371" s="5">
        <v>50</v>
      </c>
      <c r="B371" s="5">
        <v>0</v>
      </c>
      <c r="C371" s="5">
        <v>0</v>
      </c>
      <c r="D371" s="5">
        <v>1</v>
      </c>
      <c r="E371" s="5">
        <v>227</v>
      </c>
      <c r="F371" s="5">
        <f>ROUND(Source!AX364,O371)</f>
        <v>0</v>
      </c>
      <c r="G371" s="5" t="s">
        <v>48</v>
      </c>
      <c r="H371" s="5" t="s">
        <v>49</v>
      </c>
      <c r="I371" s="5"/>
      <c r="J371" s="5"/>
      <c r="K371" s="5">
        <v>227</v>
      </c>
      <c r="L371" s="5">
        <v>6</v>
      </c>
      <c r="M371" s="5">
        <v>3</v>
      </c>
      <c r="N371" s="5" t="s">
        <v>3</v>
      </c>
      <c r="O371" s="5">
        <v>2</v>
      </c>
      <c r="P371" s="5">
        <f>ROUND(Source!EP364,O371)</f>
        <v>0</v>
      </c>
      <c r="Q371" s="5"/>
      <c r="R371" s="5"/>
      <c r="S371" s="5"/>
      <c r="T371" s="5"/>
      <c r="U371" s="5"/>
      <c r="V371" s="5"/>
      <c r="W371" s="5">
        <v>0</v>
      </c>
      <c r="X371" s="5">
        <v>1</v>
      </c>
      <c r="Y371" s="5">
        <v>0</v>
      </c>
      <c r="Z371" s="5">
        <v>0</v>
      </c>
      <c r="AA371" s="5">
        <v>1</v>
      </c>
      <c r="AB371" s="5">
        <v>0</v>
      </c>
    </row>
    <row r="372" spans="1:28" x14ac:dyDescent="0.2">
      <c r="A372" s="5">
        <v>50</v>
      </c>
      <c r="B372" s="5">
        <v>0</v>
      </c>
      <c r="C372" s="5">
        <v>0</v>
      </c>
      <c r="D372" s="5">
        <v>1</v>
      </c>
      <c r="E372" s="5">
        <v>228</v>
      </c>
      <c r="F372" s="5">
        <f>ROUND(Source!AY364,O372)</f>
        <v>136237.17000000001</v>
      </c>
      <c r="G372" s="5" t="s">
        <v>50</v>
      </c>
      <c r="H372" s="5" t="s">
        <v>51</v>
      </c>
      <c r="I372" s="5"/>
      <c r="J372" s="5"/>
      <c r="K372" s="5">
        <v>228</v>
      </c>
      <c r="L372" s="5">
        <v>7</v>
      </c>
      <c r="M372" s="5">
        <v>3</v>
      </c>
      <c r="N372" s="5" t="s">
        <v>3</v>
      </c>
      <c r="O372" s="5">
        <v>2</v>
      </c>
      <c r="P372" s="5">
        <f>ROUND(Source!EQ364,O372)</f>
        <v>658952.9</v>
      </c>
      <c r="Q372" s="5"/>
      <c r="R372" s="5"/>
      <c r="S372" s="5"/>
      <c r="T372" s="5"/>
      <c r="U372" s="5"/>
      <c r="V372" s="5"/>
      <c r="W372" s="5">
        <v>136237.17000000001</v>
      </c>
      <c r="X372" s="5">
        <v>1</v>
      </c>
      <c r="Y372" s="5">
        <v>136237.17000000001</v>
      </c>
      <c r="Z372" s="5">
        <v>658952.9</v>
      </c>
      <c r="AA372" s="5">
        <v>1</v>
      </c>
      <c r="AB372" s="5">
        <v>658952.9</v>
      </c>
    </row>
    <row r="373" spans="1:28" x14ac:dyDescent="0.2">
      <c r="A373" s="5">
        <v>50</v>
      </c>
      <c r="B373" s="5">
        <v>0</v>
      </c>
      <c r="C373" s="5">
        <v>0</v>
      </c>
      <c r="D373" s="5">
        <v>1</v>
      </c>
      <c r="E373" s="5">
        <v>216</v>
      </c>
      <c r="F373" s="5">
        <f>ROUND(Source!AP364,O373)</f>
        <v>0</v>
      </c>
      <c r="G373" s="5" t="s">
        <v>52</v>
      </c>
      <c r="H373" s="5" t="s">
        <v>53</v>
      </c>
      <c r="I373" s="5"/>
      <c r="J373" s="5"/>
      <c r="K373" s="5">
        <v>216</v>
      </c>
      <c r="L373" s="5">
        <v>8</v>
      </c>
      <c r="M373" s="5">
        <v>3</v>
      </c>
      <c r="N373" s="5" t="s">
        <v>3</v>
      </c>
      <c r="O373" s="5">
        <v>2</v>
      </c>
      <c r="P373" s="5">
        <f>ROUND(Source!EH364,O373)</f>
        <v>0</v>
      </c>
      <c r="Q373" s="5"/>
      <c r="R373" s="5"/>
      <c r="S373" s="5"/>
      <c r="T373" s="5"/>
      <c r="U373" s="5"/>
      <c r="V373" s="5"/>
      <c r="W373" s="5">
        <v>0</v>
      </c>
      <c r="X373" s="5">
        <v>1</v>
      </c>
      <c r="Y373" s="5">
        <v>0</v>
      </c>
      <c r="Z373" s="5">
        <v>0</v>
      </c>
      <c r="AA373" s="5">
        <v>1</v>
      </c>
      <c r="AB373" s="5">
        <v>0</v>
      </c>
    </row>
    <row r="374" spans="1:28" x14ac:dyDescent="0.2">
      <c r="A374" s="5">
        <v>50</v>
      </c>
      <c r="B374" s="5">
        <v>0</v>
      </c>
      <c r="C374" s="5">
        <v>0</v>
      </c>
      <c r="D374" s="5">
        <v>1</v>
      </c>
      <c r="E374" s="5">
        <v>223</v>
      </c>
      <c r="F374" s="5">
        <f>ROUND(Source!AQ364,O374)</f>
        <v>0</v>
      </c>
      <c r="G374" s="5" t="s">
        <v>54</v>
      </c>
      <c r="H374" s="5" t="s">
        <v>55</v>
      </c>
      <c r="I374" s="5"/>
      <c r="J374" s="5"/>
      <c r="K374" s="5">
        <v>223</v>
      </c>
      <c r="L374" s="5">
        <v>9</v>
      </c>
      <c r="M374" s="5">
        <v>3</v>
      </c>
      <c r="N374" s="5" t="s">
        <v>3</v>
      </c>
      <c r="O374" s="5">
        <v>2</v>
      </c>
      <c r="P374" s="5">
        <f>ROUND(Source!EI364,O374)</f>
        <v>0</v>
      </c>
      <c r="Q374" s="5"/>
      <c r="R374" s="5"/>
      <c r="S374" s="5"/>
      <c r="T374" s="5"/>
      <c r="U374" s="5"/>
      <c r="V374" s="5"/>
      <c r="W374" s="5">
        <v>0</v>
      </c>
      <c r="X374" s="5">
        <v>1</v>
      </c>
      <c r="Y374" s="5">
        <v>0</v>
      </c>
      <c r="Z374" s="5">
        <v>0</v>
      </c>
      <c r="AA374" s="5">
        <v>1</v>
      </c>
      <c r="AB374" s="5">
        <v>0</v>
      </c>
    </row>
    <row r="375" spans="1:28" x14ac:dyDescent="0.2">
      <c r="A375" s="5">
        <v>50</v>
      </c>
      <c r="B375" s="5">
        <v>0</v>
      </c>
      <c r="C375" s="5">
        <v>0</v>
      </c>
      <c r="D375" s="5">
        <v>1</v>
      </c>
      <c r="E375" s="5">
        <v>229</v>
      </c>
      <c r="F375" s="5">
        <f>ROUND(Source!AZ364,O375)</f>
        <v>0</v>
      </c>
      <c r="G375" s="5" t="s">
        <v>56</v>
      </c>
      <c r="H375" s="5" t="s">
        <v>57</v>
      </c>
      <c r="I375" s="5"/>
      <c r="J375" s="5"/>
      <c r="K375" s="5">
        <v>229</v>
      </c>
      <c r="L375" s="5">
        <v>10</v>
      </c>
      <c r="M375" s="5">
        <v>3</v>
      </c>
      <c r="N375" s="5" t="s">
        <v>3</v>
      </c>
      <c r="O375" s="5">
        <v>2</v>
      </c>
      <c r="P375" s="5">
        <f>ROUND(Source!ER364,O375)</f>
        <v>0</v>
      </c>
      <c r="Q375" s="5"/>
      <c r="R375" s="5"/>
      <c r="S375" s="5"/>
      <c r="T375" s="5"/>
      <c r="U375" s="5"/>
      <c r="V375" s="5"/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</row>
    <row r="376" spans="1:28" x14ac:dyDescent="0.2">
      <c r="A376" s="5">
        <v>50</v>
      </c>
      <c r="B376" s="5">
        <v>0</v>
      </c>
      <c r="C376" s="5">
        <v>0</v>
      </c>
      <c r="D376" s="5">
        <v>1</v>
      </c>
      <c r="E376" s="5">
        <v>203</v>
      </c>
      <c r="F376" s="5">
        <f>ROUND(Source!Q364,O376)</f>
        <v>1098.67</v>
      </c>
      <c r="G376" s="5" t="s">
        <v>58</v>
      </c>
      <c r="H376" s="5" t="s">
        <v>59</v>
      </c>
      <c r="I376" s="5"/>
      <c r="J376" s="5"/>
      <c r="K376" s="5">
        <v>203</v>
      </c>
      <c r="L376" s="5">
        <v>11</v>
      </c>
      <c r="M376" s="5">
        <v>3</v>
      </c>
      <c r="N376" s="5" t="s">
        <v>3</v>
      </c>
      <c r="O376" s="5">
        <v>2</v>
      </c>
      <c r="P376" s="5">
        <f>ROUND(Source!DI364,O376)</f>
        <v>30455.13</v>
      </c>
      <c r="Q376" s="5"/>
      <c r="R376" s="5"/>
      <c r="S376" s="5"/>
      <c r="T376" s="5"/>
      <c r="U376" s="5"/>
      <c r="V376" s="5"/>
      <c r="W376" s="5">
        <v>1098.67</v>
      </c>
      <c r="X376" s="5">
        <v>1</v>
      </c>
      <c r="Y376" s="5">
        <v>1098.67</v>
      </c>
      <c r="Z376" s="5">
        <v>30455.13</v>
      </c>
      <c r="AA376" s="5">
        <v>1</v>
      </c>
      <c r="AB376" s="5">
        <v>30455.13</v>
      </c>
    </row>
    <row r="377" spans="1:28" x14ac:dyDescent="0.2">
      <c r="A377" s="5">
        <v>50</v>
      </c>
      <c r="B377" s="5">
        <v>0</v>
      </c>
      <c r="C377" s="5">
        <v>0</v>
      </c>
      <c r="D377" s="5">
        <v>1</v>
      </c>
      <c r="E377" s="5">
        <v>231</v>
      </c>
      <c r="F377" s="5">
        <f>ROUND(Source!BB364,O377)</f>
        <v>0</v>
      </c>
      <c r="G377" s="5" t="s">
        <v>60</v>
      </c>
      <c r="H377" s="5" t="s">
        <v>61</v>
      </c>
      <c r="I377" s="5"/>
      <c r="J377" s="5"/>
      <c r="K377" s="5">
        <v>231</v>
      </c>
      <c r="L377" s="5">
        <v>12</v>
      </c>
      <c r="M377" s="5">
        <v>3</v>
      </c>
      <c r="N377" s="5" t="s">
        <v>3</v>
      </c>
      <c r="O377" s="5">
        <v>2</v>
      </c>
      <c r="P377" s="5">
        <f>ROUND(Source!ET364,O377)</f>
        <v>0</v>
      </c>
      <c r="Q377" s="5"/>
      <c r="R377" s="5"/>
      <c r="S377" s="5"/>
      <c r="T377" s="5"/>
      <c r="U377" s="5"/>
      <c r="V377" s="5"/>
      <c r="W377" s="5">
        <v>0</v>
      </c>
      <c r="X377" s="5">
        <v>1</v>
      </c>
      <c r="Y377" s="5">
        <v>0</v>
      </c>
      <c r="Z377" s="5">
        <v>0</v>
      </c>
      <c r="AA377" s="5">
        <v>1</v>
      </c>
      <c r="AB377" s="5">
        <v>0</v>
      </c>
    </row>
    <row r="378" spans="1:28" x14ac:dyDescent="0.2">
      <c r="A378" s="5">
        <v>50</v>
      </c>
      <c r="B378" s="5">
        <v>0</v>
      </c>
      <c r="C378" s="5">
        <v>0</v>
      </c>
      <c r="D378" s="5">
        <v>1</v>
      </c>
      <c r="E378" s="5">
        <v>204</v>
      </c>
      <c r="F378" s="5">
        <f>ROUND(Source!R364,O378)</f>
        <v>441.94</v>
      </c>
      <c r="G378" s="5" t="s">
        <v>62</v>
      </c>
      <c r="H378" s="5" t="s">
        <v>63</v>
      </c>
      <c r="I378" s="5"/>
      <c r="J378" s="5"/>
      <c r="K378" s="5">
        <v>204</v>
      </c>
      <c r="L378" s="5">
        <v>13</v>
      </c>
      <c r="M378" s="5">
        <v>3</v>
      </c>
      <c r="N378" s="5" t="s">
        <v>3</v>
      </c>
      <c r="O378" s="5">
        <v>2</v>
      </c>
      <c r="P378" s="5">
        <f>ROUND(Source!DJ364,O378)</f>
        <v>24302.28</v>
      </c>
      <c r="Q378" s="5"/>
      <c r="R378" s="5"/>
      <c r="S378" s="5"/>
      <c r="T378" s="5"/>
      <c r="U378" s="5"/>
      <c r="V378" s="5"/>
      <c r="W378" s="5">
        <v>441.94</v>
      </c>
      <c r="X378" s="5">
        <v>1</v>
      </c>
      <c r="Y378" s="5">
        <v>441.94</v>
      </c>
      <c r="Z378" s="5">
        <v>24302.28</v>
      </c>
      <c r="AA378" s="5">
        <v>1</v>
      </c>
      <c r="AB378" s="5">
        <v>24302.28</v>
      </c>
    </row>
    <row r="379" spans="1:28" x14ac:dyDescent="0.2">
      <c r="A379" s="5">
        <v>50</v>
      </c>
      <c r="B379" s="5">
        <v>0</v>
      </c>
      <c r="C379" s="5">
        <v>0</v>
      </c>
      <c r="D379" s="5">
        <v>1</v>
      </c>
      <c r="E379" s="5">
        <v>205</v>
      </c>
      <c r="F379" s="5">
        <f>ROUND(Source!S364,O379)</f>
        <v>5300.65</v>
      </c>
      <c r="G379" s="5" t="s">
        <v>64</v>
      </c>
      <c r="H379" s="5" t="s">
        <v>65</v>
      </c>
      <c r="I379" s="5"/>
      <c r="J379" s="5"/>
      <c r="K379" s="5">
        <v>205</v>
      </c>
      <c r="L379" s="5">
        <v>14</v>
      </c>
      <c r="M379" s="5">
        <v>3</v>
      </c>
      <c r="N379" s="5" t="s">
        <v>3</v>
      </c>
      <c r="O379" s="5">
        <v>2</v>
      </c>
      <c r="P379" s="5">
        <f>ROUND(Source!DK364,O379)</f>
        <v>291482.74</v>
      </c>
      <c r="Q379" s="5"/>
      <c r="R379" s="5"/>
      <c r="S379" s="5"/>
      <c r="T379" s="5"/>
      <c r="U379" s="5"/>
      <c r="V379" s="5"/>
      <c r="W379" s="5">
        <v>5300.65</v>
      </c>
      <c r="X379" s="5">
        <v>1</v>
      </c>
      <c r="Y379" s="5">
        <v>5300.65</v>
      </c>
      <c r="Z379" s="5">
        <v>291482.74</v>
      </c>
      <c r="AA379" s="5">
        <v>1</v>
      </c>
      <c r="AB379" s="5">
        <v>291482.74</v>
      </c>
    </row>
    <row r="380" spans="1:28" x14ac:dyDescent="0.2">
      <c r="A380" s="5">
        <v>50</v>
      </c>
      <c r="B380" s="5">
        <v>0</v>
      </c>
      <c r="C380" s="5">
        <v>0</v>
      </c>
      <c r="D380" s="5">
        <v>1</v>
      </c>
      <c r="E380" s="5">
        <v>232</v>
      </c>
      <c r="F380" s="5">
        <f>ROUND(Source!BC364,O380)</f>
        <v>0</v>
      </c>
      <c r="G380" s="5" t="s">
        <v>66</v>
      </c>
      <c r="H380" s="5" t="s">
        <v>67</v>
      </c>
      <c r="I380" s="5"/>
      <c r="J380" s="5"/>
      <c r="K380" s="5">
        <v>232</v>
      </c>
      <c r="L380" s="5">
        <v>15</v>
      </c>
      <c r="M380" s="5">
        <v>3</v>
      </c>
      <c r="N380" s="5" t="s">
        <v>3</v>
      </c>
      <c r="O380" s="5">
        <v>2</v>
      </c>
      <c r="P380" s="5">
        <f>ROUND(Source!EU364,O380)</f>
        <v>0</v>
      </c>
      <c r="Q380" s="5"/>
      <c r="R380" s="5"/>
      <c r="S380" s="5"/>
      <c r="T380" s="5"/>
      <c r="U380" s="5"/>
      <c r="V380" s="5"/>
      <c r="W380" s="5">
        <v>0</v>
      </c>
      <c r="X380" s="5">
        <v>1</v>
      </c>
      <c r="Y380" s="5">
        <v>0</v>
      </c>
      <c r="Z380" s="5">
        <v>0</v>
      </c>
      <c r="AA380" s="5">
        <v>1</v>
      </c>
      <c r="AB380" s="5">
        <v>0</v>
      </c>
    </row>
    <row r="381" spans="1:28" x14ac:dyDescent="0.2">
      <c r="A381" s="5">
        <v>50</v>
      </c>
      <c r="B381" s="5">
        <v>0</v>
      </c>
      <c r="C381" s="5">
        <v>0</v>
      </c>
      <c r="D381" s="5">
        <v>1</v>
      </c>
      <c r="E381" s="5">
        <v>214</v>
      </c>
      <c r="F381" s="5">
        <f>ROUND(Source!AS364,O381)</f>
        <v>150331.56</v>
      </c>
      <c r="G381" s="5" t="s">
        <v>68</v>
      </c>
      <c r="H381" s="5" t="s">
        <v>69</v>
      </c>
      <c r="I381" s="5"/>
      <c r="J381" s="5"/>
      <c r="K381" s="5">
        <v>214</v>
      </c>
      <c r="L381" s="5">
        <v>16</v>
      </c>
      <c r="M381" s="5">
        <v>3</v>
      </c>
      <c r="N381" s="5" t="s">
        <v>3</v>
      </c>
      <c r="O381" s="5">
        <v>2</v>
      </c>
      <c r="P381" s="5">
        <f>ROUND(Source!EK364,O381)</f>
        <v>1404042.7</v>
      </c>
      <c r="Q381" s="5"/>
      <c r="R381" s="5"/>
      <c r="S381" s="5"/>
      <c r="T381" s="5"/>
      <c r="U381" s="5"/>
      <c r="V381" s="5"/>
      <c r="W381" s="5">
        <v>150331.56</v>
      </c>
      <c r="X381" s="5">
        <v>1</v>
      </c>
      <c r="Y381" s="5">
        <v>150331.56</v>
      </c>
      <c r="Z381" s="5">
        <v>1404042.7</v>
      </c>
      <c r="AA381" s="5">
        <v>1</v>
      </c>
      <c r="AB381" s="5">
        <v>1404042.7</v>
      </c>
    </row>
    <row r="382" spans="1:28" x14ac:dyDescent="0.2">
      <c r="A382" s="5">
        <v>50</v>
      </c>
      <c r="B382" s="5">
        <v>0</v>
      </c>
      <c r="C382" s="5">
        <v>0</v>
      </c>
      <c r="D382" s="5">
        <v>1</v>
      </c>
      <c r="E382" s="5">
        <v>215</v>
      </c>
      <c r="F382" s="5">
        <f>ROUND(Source!AT364,O382)</f>
        <v>0</v>
      </c>
      <c r="G382" s="5" t="s">
        <v>70</v>
      </c>
      <c r="H382" s="5" t="s">
        <v>71</v>
      </c>
      <c r="I382" s="5"/>
      <c r="J382" s="5"/>
      <c r="K382" s="5">
        <v>215</v>
      </c>
      <c r="L382" s="5">
        <v>17</v>
      </c>
      <c r="M382" s="5">
        <v>3</v>
      </c>
      <c r="N382" s="5" t="s">
        <v>3</v>
      </c>
      <c r="O382" s="5">
        <v>2</v>
      </c>
      <c r="P382" s="5">
        <f>ROUND(Source!EL364,O382)</f>
        <v>0</v>
      </c>
      <c r="Q382" s="5"/>
      <c r="R382" s="5"/>
      <c r="S382" s="5"/>
      <c r="T382" s="5"/>
      <c r="U382" s="5"/>
      <c r="V382" s="5"/>
      <c r="W382" s="5">
        <v>0</v>
      </c>
      <c r="X382" s="5">
        <v>1</v>
      </c>
      <c r="Y382" s="5">
        <v>0</v>
      </c>
      <c r="Z382" s="5">
        <v>0</v>
      </c>
      <c r="AA382" s="5">
        <v>1</v>
      </c>
      <c r="AB382" s="5">
        <v>0</v>
      </c>
    </row>
    <row r="383" spans="1:28" x14ac:dyDescent="0.2">
      <c r="A383" s="5">
        <v>50</v>
      </c>
      <c r="B383" s="5">
        <v>0</v>
      </c>
      <c r="C383" s="5">
        <v>0</v>
      </c>
      <c r="D383" s="5">
        <v>1</v>
      </c>
      <c r="E383" s="5">
        <v>217</v>
      </c>
      <c r="F383" s="5">
        <f>ROUND(Source!AU364,O383)</f>
        <v>0</v>
      </c>
      <c r="G383" s="5" t="s">
        <v>72</v>
      </c>
      <c r="H383" s="5" t="s">
        <v>73</v>
      </c>
      <c r="I383" s="5"/>
      <c r="J383" s="5"/>
      <c r="K383" s="5">
        <v>217</v>
      </c>
      <c r="L383" s="5">
        <v>18</v>
      </c>
      <c r="M383" s="5">
        <v>3</v>
      </c>
      <c r="N383" s="5" t="s">
        <v>3</v>
      </c>
      <c r="O383" s="5">
        <v>2</v>
      </c>
      <c r="P383" s="5">
        <f>ROUND(Source!EM364,O383)</f>
        <v>0</v>
      </c>
      <c r="Q383" s="5"/>
      <c r="R383" s="5"/>
      <c r="S383" s="5"/>
      <c r="T383" s="5"/>
      <c r="U383" s="5"/>
      <c r="V383" s="5"/>
      <c r="W383" s="5">
        <v>0</v>
      </c>
      <c r="X383" s="5">
        <v>1</v>
      </c>
      <c r="Y383" s="5">
        <v>0</v>
      </c>
      <c r="Z383" s="5">
        <v>0</v>
      </c>
      <c r="AA383" s="5">
        <v>1</v>
      </c>
      <c r="AB383" s="5">
        <v>0</v>
      </c>
    </row>
    <row r="384" spans="1:28" x14ac:dyDescent="0.2">
      <c r="A384" s="5">
        <v>50</v>
      </c>
      <c r="B384" s="5">
        <v>0</v>
      </c>
      <c r="C384" s="5">
        <v>0</v>
      </c>
      <c r="D384" s="5">
        <v>1</v>
      </c>
      <c r="E384" s="5">
        <v>230</v>
      </c>
      <c r="F384" s="5">
        <f>ROUND(Source!BA364,O384)</f>
        <v>0</v>
      </c>
      <c r="G384" s="5" t="s">
        <v>74</v>
      </c>
      <c r="H384" s="5" t="s">
        <v>75</v>
      </c>
      <c r="I384" s="5"/>
      <c r="J384" s="5"/>
      <c r="K384" s="5">
        <v>230</v>
      </c>
      <c r="L384" s="5">
        <v>19</v>
      </c>
      <c r="M384" s="5">
        <v>3</v>
      </c>
      <c r="N384" s="5" t="s">
        <v>3</v>
      </c>
      <c r="O384" s="5">
        <v>2</v>
      </c>
      <c r="P384" s="5">
        <f>ROUND(Source!ES364,O384)</f>
        <v>0</v>
      </c>
      <c r="Q384" s="5"/>
      <c r="R384" s="5"/>
      <c r="S384" s="5"/>
      <c r="T384" s="5"/>
      <c r="U384" s="5"/>
      <c r="V384" s="5"/>
      <c r="W384" s="5">
        <v>0</v>
      </c>
      <c r="X384" s="5">
        <v>1</v>
      </c>
      <c r="Y384" s="5">
        <v>0</v>
      </c>
      <c r="Z384" s="5">
        <v>0</v>
      </c>
      <c r="AA384" s="5">
        <v>1</v>
      </c>
      <c r="AB384" s="5">
        <v>0</v>
      </c>
    </row>
    <row r="385" spans="1:206" x14ac:dyDescent="0.2">
      <c r="A385" s="5">
        <v>50</v>
      </c>
      <c r="B385" s="5">
        <v>0</v>
      </c>
      <c r="C385" s="5">
        <v>0</v>
      </c>
      <c r="D385" s="5">
        <v>1</v>
      </c>
      <c r="E385" s="5">
        <v>206</v>
      </c>
      <c r="F385" s="5">
        <f>ROUND(Source!T364,O385)</f>
        <v>0</v>
      </c>
      <c r="G385" s="5" t="s">
        <v>76</v>
      </c>
      <c r="H385" s="5" t="s">
        <v>77</v>
      </c>
      <c r="I385" s="5"/>
      <c r="J385" s="5"/>
      <c r="K385" s="5">
        <v>206</v>
      </c>
      <c r="L385" s="5">
        <v>20</v>
      </c>
      <c r="M385" s="5">
        <v>3</v>
      </c>
      <c r="N385" s="5" t="s">
        <v>3</v>
      </c>
      <c r="O385" s="5">
        <v>2</v>
      </c>
      <c r="P385" s="5">
        <f>ROUND(Source!DL364,O385)</f>
        <v>0</v>
      </c>
      <c r="Q385" s="5"/>
      <c r="R385" s="5"/>
      <c r="S385" s="5"/>
      <c r="T385" s="5"/>
      <c r="U385" s="5"/>
      <c r="V385" s="5"/>
      <c r="W385" s="5">
        <v>0</v>
      </c>
      <c r="X385" s="5">
        <v>1</v>
      </c>
      <c r="Y385" s="5">
        <v>0</v>
      </c>
      <c r="Z385" s="5">
        <v>0</v>
      </c>
      <c r="AA385" s="5">
        <v>1</v>
      </c>
      <c r="AB385" s="5">
        <v>0</v>
      </c>
    </row>
    <row r="386" spans="1:206" x14ac:dyDescent="0.2">
      <c r="A386" s="5">
        <v>50</v>
      </c>
      <c r="B386" s="5">
        <v>0</v>
      </c>
      <c r="C386" s="5">
        <v>0</v>
      </c>
      <c r="D386" s="5">
        <v>1</v>
      </c>
      <c r="E386" s="5">
        <v>207</v>
      </c>
      <c r="F386" s="5">
        <f>Source!U364</f>
        <v>420.01811239310996</v>
      </c>
      <c r="G386" s="5" t="s">
        <v>78</v>
      </c>
      <c r="H386" s="5" t="s">
        <v>79</v>
      </c>
      <c r="I386" s="5"/>
      <c r="J386" s="5"/>
      <c r="K386" s="5">
        <v>207</v>
      </c>
      <c r="L386" s="5">
        <v>21</v>
      </c>
      <c r="M386" s="5">
        <v>3</v>
      </c>
      <c r="N386" s="5" t="s">
        <v>3</v>
      </c>
      <c r="O386" s="5">
        <v>-1</v>
      </c>
      <c r="P386" s="5">
        <f>Source!DM364</f>
        <v>420.01811239310996</v>
      </c>
      <c r="Q386" s="5"/>
      <c r="R386" s="5"/>
      <c r="S386" s="5"/>
      <c r="T386" s="5"/>
      <c r="U386" s="5"/>
      <c r="V386" s="5"/>
      <c r="W386" s="5">
        <v>420.01811239311002</v>
      </c>
      <c r="X386" s="5">
        <v>1</v>
      </c>
      <c r="Y386" s="5">
        <v>420.01811239311002</v>
      </c>
      <c r="Z386" s="5">
        <v>420.01811239311002</v>
      </c>
      <c r="AA386" s="5">
        <v>1</v>
      </c>
      <c r="AB386" s="5">
        <v>420.01811239311002</v>
      </c>
    </row>
    <row r="387" spans="1:206" x14ac:dyDescent="0.2">
      <c r="A387" s="5">
        <v>50</v>
      </c>
      <c r="B387" s="5">
        <v>0</v>
      </c>
      <c r="C387" s="5">
        <v>0</v>
      </c>
      <c r="D387" s="5">
        <v>1</v>
      </c>
      <c r="E387" s="5">
        <v>208</v>
      </c>
      <c r="F387" s="5">
        <f>Source!V364</f>
        <v>0</v>
      </c>
      <c r="G387" s="5" t="s">
        <v>80</v>
      </c>
      <c r="H387" s="5" t="s">
        <v>81</v>
      </c>
      <c r="I387" s="5"/>
      <c r="J387" s="5"/>
      <c r="K387" s="5">
        <v>208</v>
      </c>
      <c r="L387" s="5">
        <v>22</v>
      </c>
      <c r="M387" s="5">
        <v>3</v>
      </c>
      <c r="N387" s="5" t="s">
        <v>3</v>
      </c>
      <c r="O387" s="5">
        <v>-1</v>
      </c>
      <c r="P387" s="5">
        <f>Source!DN364</f>
        <v>0</v>
      </c>
      <c r="Q387" s="5"/>
      <c r="R387" s="5"/>
      <c r="S387" s="5"/>
      <c r="T387" s="5"/>
      <c r="U387" s="5"/>
      <c r="V387" s="5"/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</row>
    <row r="388" spans="1:206" x14ac:dyDescent="0.2">
      <c r="A388" s="5">
        <v>50</v>
      </c>
      <c r="B388" s="5">
        <v>0</v>
      </c>
      <c r="C388" s="5">
        <v>0</v>
      </c>
      <c r="D388" s="5">
        <v>1</v>
      </c>
      <c r="E388" s="5">
        <v>209</v>
      </c>
      <c r="F388" s="5">
        <f>ROUND(Source!W364,O388)</f>
        <v>0</v>
      </c>
      <c r="G388" s="5" t="s">
        <v>82</v>
      </c>
      <c r="H388" s="5" t="s">
        <v>83</v>
      </c>
      <c r="I388" s="5"/>
      <c r="J388" s="5"/>
      <c r="K388" s="5">
        <v>209</v>
      </c>
      <c r="L388" s="5">
        <v>23</v>
      </c>
      <c r="M388" s="5">
        <v>3</v>
      </c>
      <c r="N388" s="5" t="s">
        <v>3</v>
      </c>
      <c r="O388" s="5">
        <v>2</v>
      </c>
      <c r="P388" s="5">
        <f>ROUND(Source!DO364,O388)</f>
        <v>0</v>
      </c>
      <c r="Q388" s="5"/>
      <c r="R388" s="5"/>
      <c r="S388" s="5"/>
      <c r="T388" s="5"/>
      <c r="U388" s="5"/>
      <c r="V388" s="5"/>
      <c r="W388" s="5">
        <v>0</v>
      </c>
      <c r="X388" s="5">
        <v>1</v>
      </c>
      <c r="Y388" s="5">
        <v>0</v>
      </c>
      <c r="Z388" s="5">
        <v>0</v>
      </c>
      <c r="AA388" s="5">
        <v>1</v>
      </c>
      <c r="AB388" s="5">
        <v>0</v>
      </c>
    </row>
    <row r="389" spans="1:206" x14ac:dyDescent="0.2">
      <c r="A389" s="5">
        <v>50</v>
      </c>
      <c r="B389" s="5">
        <v>0</v>
      </c>
      <c r="C389" s="5">
        <v>0</v>
      </c>
      <c r="D389" s="5">
        <v>1</v>
      </c>
      <c r="E389" s="5">
        <v>233</v>
      </c>
      <c r="F389" s="5">
        <f>ROUND(Source!BD364,O389)</f>
        <v>0</v>
      </c>
      <c r="G389" s="5" t="s">
        <v>84</v>
      </c>
      <c r="H389" s="5" t="s">
        <v>85</v>
      </c>
      <c r="I389" s="5"/>
      <c r="J389" s="5"/>
      <c r="K389" s="5">
        <v>233</v>
      </c>
      <c r="L389" s="5">
        <v>24</v>
      </c>
      <c r="M389" s="5">
        <v>3</v>
      </c>
      <c r="N389" s="5" t="s">
        <v>3</v>
      </c>
      <c r="O389" s="5">
        <v>2</v>
      </c>
      <c r="P389" s="5">
        <f>ROUND(Source!EV364,O389)</f>
        <v>0</v>
      </c>
      <c r="Q389" s="5"/>
      <c r="R389" s="5"/>
      <c r="S389" s="5"/>
      <c r="T389" s="5"/>
      <c r="U389" s="5"/>
      <c r="V389" s="5"/>
      <c r="W389" s="5">
        <v>0</v>
      </c>
      <c r="X389" s="5">
        <v>1</v>
      </c>
      <c r="Y389" s="5">
        <v>0</v>
      </c>
      <c r="Z389" s="5">
        <v>0</v>
      </c>
      <c r="AA389" s="5">
        <v>1</v>
      </c>
      <c r="AB389" s="5">
        <v>0</v>
      </c>
    </row>
    <row r="390" spans="1:206" x14ac:dyDescent="0.2">
      <c r="A390" s="5">
        <v>50</v>
      </c>
      <c r="B390" s="5">
        <v>0</v>
      </c>
      <c r="C390" s="5">
        <v>0</v>
      </c>
      <c r="D390" s="5">
        <v>1</v>
      </c>
      <c r="E390" s="5">
        <v>210</v>
      </c>
      <c r="F390" s="5">
        <f>ROUND(Source!X364,O390)</f>
        <v>4996.05</v>
      </c>
      <c r="G390" s="5" t="s">
        <v>86</v>
      </c>
      <c r="H390" s="5" t="s">
        <v>87</v>
      </c>
      <c r="I390" s="5"/>
      <c r="J390" s="5"/>
      <c r="K390" s="5">
        <v>210</v>
      </c>
      <c r="L390" s="5">
        <v>25</v>
      </c>
      <c r="M390" s="5">
        <v>3</v>
      </c>
      <c r="N390" s="5" t="s">
        <v>3</v>
      </c>
      <c r="O390" s="5">
        <v>2</v>
      </c>
      <c r="P390" s="5">
        <f>ROUND(Source!DP364,O390)</f>
        <v>274732.96999999997</v>
      </c>
      <c r="Q390" s="5"/>
      <c r="R390" s="5"/>
      <c r="S390" s="5"/>
      <c r="T390" s="5"/>
      <c r="U390" s="5"/>
      <c r="V390" s="5"/>
      <c r="W390" s="5">
        <v>4996.05</v>
      </c>
      <c r="X390" s="5">
        <v>1</v>
      </c>
      <c r="Y390" s="5">
        <v>4996.05</v>
      </c>
      <c r="Z390" s="5">
        <v>274732.96999999997</v>
      </c>
      <c r="AA390" s="5">
        <v>1</v>
      </c>
      <c r="AB390" s="5">
        <v>274732.96999999997</v>
      </c>
    </row>
    <row r="391" spans="1:206" x14ac:dyDescent="0.2">
      <c r="A391" s="5">
        <v>50</v>
      </c>
      <c r="B391" s="5">
        <v>0</v>
      </c>
      <c r="C391" s="5">
        <v>0</v>
      </c>
      <c r="D391" s="5">
        <v>1</v>
      </c>
      <c r="E391" s="5">
        <v>211</v>
      </c>
      <c r="F391" s="5">
        <f>ROUND(Source!Y364,O391)</f>
        <v>2699.02</v>
      </c>
      <c r="G391" s="5" t="s">
        <v>88</v>
      </c>
      <c r="H391" s="5" t="s">
        <v>89</v>
      </c>
      <c r="I391" s="5"/>
      <c r="J391" s="5"/>
      <c r="K391" s="5">
        <v>211</v>
      </c>
      <c r="L391" s="5">
        <v>26</v>
      </c>
      <c r="M391" s="5">
        <v>3</v>
      </c>
      <c r="N391" s="5" t="s">
        <v>3</v>
      </c>
      <c r="O391" s="5">
        <v>2</v>
      </c>
      <c r="P391" s="5">
        <f>ROUND(Source!DQ364,O391)</f>
        <v>148418.96</v>
      </c>
      <c r="Q391" s="5"/>
      <c r="R391" s="5"/>
      <c r="S391" s="5"/>
      <c r="T391" s="5"/>
      <c r="U391" s="5"/>
      <c r="V391" s="5"/>
      <c r="W391" s="5">
        <v>2699.02</v>
      </c>
      <c r="X391" s="5">
        <v>1</v>
      </c>
      <c r="Y391" s="5">
        <v>2699.02</v>
      </c>
      <c r="Z391" s="5">
        <v>148418.96</v>
      </c>
      <c r="AA391" s="5">
        <v>1</v>
      </c>
      <c r="AB391" s="5">
        <v>148418.96</v>
      </c>
    </row>
    <row r="392" spans="1:206" x14ac:dyDescent="0.2">
      <c r="A392" s="5">
        <v>50</v>
      </c>
      <c r="B392" s="5">
        <v>0</v>
      </c>
      <c r="C392" s="5">
        <v>0</v>
      </c>
      <c r="D392" s="5">
        <v>1</v>
      </c>
      <c r="E392" s="5">
        <v>224</v>
      </c>
      <c r="F392" s="5">
        <f>ROUND(Source!AR364,O392)</f>
        <v>150331.56</v>
      </c>
      <c r="G392" s="5" t="s">
        <v>90</v>
      </c>
      <c r="H392" s="5" t="s">
        <v>91</v>
      </c>
      <c r="I392" s="5"/>
      <c r="J392" s="5"/>
      <c r="K392" s="5">
        <v>224</v>
      </c>
      <c r="L392" s="5">
        <v>27</v>
      </c>
      <c r="M392" s="5">
        <v>3</v>
      </c>
      <c r="N392" s="5" t="s">
        <v>3</v>
      </c>
      <c r="O392" s="5">
        <v>2</v>
      </c>
      <c r="P392" s="5">
        <f>ROUND(Source!EJ364,O392)</f>
        <v>1404042.7</v>
      </c>
      <c r="Q392" s="5"/>
      <c r="R392" s="5"/>
      <c r="S392" s="5"/>
      <c r="T392" s="5"/>
      <c r="U392" s="5"/>
      <c r="V392" s="5"/>
      <c r="W392" s="5">
        <v>150331.56</v>
      </c>
      <c r="X392" s="5">
        <v>1</v>
      </c>
      <c r="Y392" s="5">
        <v>150331.56</v>
      </c>
      <c r="Z392" s="5">
        <v>1404042.7</v>
      </c>
      <c r="AA392" s="5">
        <v>1</v>
      </c>
      <c r="AB392" s="5">
        <v>1404042.7</v>
      </c>
    </row>
    <row r="394" spans="1:206" x14ac:dyDescent="0.2">
      <c r="A394" s="3">
        <v>51</v>
      </c>
      <c r="B394" s="3">
        <f>B20</f>
        <v>1</v>
      </c>
      <c r="C394" s="3">
        <f>A20</f>
        <v>3</v>
      </c>
      <c r="D394" s="3">
        <f>ROW(A20)</f>
        <v>20</v>
      </c>
      <c r="E394" s="3"/>
      <c r="F394" s="3" t="str">
        <f>IF(F20&lt;&gt;"",F20,"")</f>
        <v>02-01-06</v>
      </c>
      <c r="G394" s="3" t="str">
        <f>IF(G20&lt;&gt;"",G20,"")</f>
        <v>Отопление</v>
      </c>
      <c r="H394" s="3">
        <v>0</v>
      </c>
      <c r="I394" s="3"/>
      <c r="J394" s="3"/>
      <c r="K394" s="3"/>
      <c r="L394" s="3"/>
      <c r="M394" s="3"/>
      <c r="N394" s="3"/>
      <c r="O394" s="3">
        <f t="shared" ref="O394:T394" si="409">ROUND(O35+O176+O250+O313+O364+AB394,2)</f>
        <v>1023233.38</v>
      </c>
      <c r="P394" s="3">
        <f t="shared" si="409"/>
        <v>978175.47</v>
      </c>
      <c r="Q394" s="3">
        <f t="shared" si="409"/>
        <v>4626.47</v>
      </c>
      <c r="R394" s="3">
        <f t="shared" si="409"/>
        <v>895.4</v>
      </c>
      <c r="S394" s="3">
        <f t="shared" si="409"/>
        <v>40431.440000000002</v>
      </c>
      <c r="T394" s="3">
        <f t="shared" si="409"/>
        <v>0</v>
      </c>
      <c r="U394" s="3">
        <f>U35+U176+U250+U313+U364+AH394</f>
        <v>3249.2220453386099</v>
      </c>
      <c r="V394" s="3">
        <f>V35+V176+V250+V313+V364+AI394</f>
        <v>0</v>
      </c>
      <c r="W394" s="3">
        <f>ROUND(W35+W176+W250+W313+W364+AJ394,2)</f>
        <v>0</v>
      </c>
      <c r="X394" s="3">
        <f>ROUND(X35+X176+X250+X313+X364+AK394,2)</f>
        <v>43385.69</v>
      </c>
      <c r="Y394" s="3">
        <f>ROUND(Y35+Y176+Y250+Y313+Y364+AL394,2)</f>
        <v>24091.61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>
        <f t="shared" ref="AO394:BD394" si="410">ROUND(AO35+AO176+AO250+AO313+AO364+BX394,2)</f>
        <v>0</v>
      </c>
      <c r="AP394" s="3">
        <f t="shared" si="410"/>
        <v>1318.17</v>
      </c>
      <c r="AQ394" s="3">
        <f t="shared" si="410"/>
        <v>0</v>
      </c>
      <c r="AR394" s="3">
        <f t="shared" si="410"/>
        <v>1090710.68</v>
      </c>
      <c r="AS394" s="3">
        <f t="shared" si="410"/>
        <v>1065264.45</v>
      </c>
      <c r="AT394" s="3">
        <f t="shared" si="410"/>
        <v>24128.06</v>
      </c>
      <c r="AU394" s="3">
        <f t="shared" si="410"/>
        <v>0</v>
      </c>
      <c r="AV394" s="3">
        <f t="shared" si="410"/>
        <v>978175.47</v>
      </c>
      <c r="AW394" s="3">
        <f t="shared" si="410"/>
        <v>976857.3</v>
      </c>
      <c r="AX394" s="3">
        <f t="shared" si="410"/>
        <v>0</v>
      </c>
      <c r="AY394" s="3">
        <f t="shared" si="410"/>
        <v>976857.3</v>
      </c>
      <c r="AZ394" s="3">
        <f t="shared" si="410"/>
        <v>1318.17</v>
      </c>
      <c r="BA394" s="3">
        <f t="shared" si="410"/>
        <v>0</v>
      </c>
      <c r="BB394" s="3">
        <f t="shared" si="410"/>
        <v>0</v>
      </c>
      <c r="BC394" s="3">
        <f t="shared" si="410"/>
        <v>0</v>
      </c>
      <c r="BD394" s="3">
        <f t="shared" si="410"/>
        <v>0</v>
      </c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4">
        <f t="shared" ref="DG394:DL394" si="411">ROUND(DG35+DG176+DG250+DG313+DG364+DT394,2)</f>
        <v>10470154.609999999</v>
      </c>
      <c r="DH394" s="4">
        <f t="shared" si="411"/>
        <v>8162569.0800000001</v>
      </c>
      <c r="DI394" s="4">
        <f t="shared" si="411"/>
        <v>84260.64</v>
      </c>
      <c r="DJ394" s="4">
        <f t="shared" si="411"/>
        <v>49238.05</v>
      </c>
      <c r="DK394" s="4">
        <f t="shared" si="411"/>
        <v>2223324.89</v>
      </c>
      <c r="DL394" s="4">
        <f t="shared" si="411"/>
        <v>0</v>
      </c>
      <c r="DM394" s="4">
        <f>DM35+DM176+DM250+DM313+DM364+DZ394</f>
        <v>3249.2220453386099</v>
      </c>
      <c r="DN394" s="4">
        <f>DN35+DN176+DN250+DN313+DN364+EA394</f>
        <v>0</v>
      </c>
      <c r="DO394" s="4">
        <f>ROUND(DO35+DO176+DO250+DO313+DO364+EB394,2)</f>
        <v>0</v>
      </c>
      <c r="DP394" s="4">
        <f>ROUND(DP35+DP176+DP250+DP313+DP364+EC394,2)</f>
        <v>2385779.54</v>
      </c>
      <c r="DQ394" s="4">
        <f>ROUND(DQ35+DQ176+DQ250+DQ313+DQ364+ED394,2)</f>
        <v>1324796.8</v>
      </c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>
        <f t="shared" ref="EG394:EV394" si="412">ROUND(EG35+EG176+EG250+EG313+EG364+FP394,2)</f>
        <v>0</v>
      </c>
      <c r="EH394" s="4">
        <f t="shared" si="412"/>
        <v>8251.4</v>
      </c>
      <c r="EI394" s="4">
        <f t="shared" si="412"/>
        <v>0</v>
      </c>
      <c r="EJ394" s="4">
        <f t="shared" si="412"/>
        <v>14180730.949999999</v>
      </c>
      <c r="EK394" s="4">
        <f t="shared" si="412"/>
        <v>13845897.439999999</v>
      </c>
      <c r="EL394" s="4">
        <f t="shared" si="412"/>
        <v>326582.11</v>
      </c>
      <c r="EM394" s="4">
        <f t="shared" si="412"/>
        <v>0</v>
      </c>
      <c r="EN394" s="4">
        <f t="shared" si="412"/>
        <v>8162569.0800000001</v>
      </c>
      <c r="EO394" s="4">
        <f t="shared" si="412"/>
        <v>8154317.6799999997</v>
      </c>
      <c r="EP394" s="4">
        <f t="shared" si="412"/>
        <v>0</v>
      </c>
      <c r="EQ394" s="4">
        <f t="shared" si="412"/>
        <v>8154317.6799999997</v>
      </c>
      <c r="ER394" s="4">
        <f t="shared" si="412"/>
        <v>8251.4</v>
      </c>
      <c r="ES394" s="4">
        <f t="shared" si="412"/>
        <v>0</v>
      </c>
      <c r="ET394" s="4">
        <f t="shared" si="412"/>
        <v>0</v>
      </c>
      <c r="EU394" s="4">
        <f t="shared" si="412"/>
        <v>0</v>
      </c>
      <c r="EV394" s="4">
        <f t="shared" si="412"/>
        <v>0</v>
      </c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>
        <v>0</v>
      </c>
    </row>
    <row r="396" spans="1:206" x14ac:dyDescent="0.2">
      <c r="A396" s="5">
        <v>50</v>
      </c>
      <c r="B396" s="5">
        <v>0</v>
      </c>
      <c r="C396" s="5">
        <v>0</v>
      </c>
      <c r="D396" s="5">
        <v>1</v>
      </c>
      <c r="E396" s="5">
        <v>201</v>
      </c>
      <c r="F396" s="5">
        <f>ROUND(Source!O394,O396)</f>
        <v>1023233.38</v>
      </c>
      <c r="G396" s="5" t="s">
        <v>38</v>
      </c>
      <c r="H396" s="5" t="s">
        <v>39</v>
      </c>
      <c r="I396" s="5"/>
      <c r="J396" s="5"/>
      <c r="K396" s="5">
        <v>201</v>
      </c>
      <c r="L396" s="5">
        <v>1</v>
      </c>
      <c r="M396" s="5">
        <v>3</v>
      </c>
      <c r="N396" s="5" t="s">
        <v>3</v>
      </c>
      <c r="O396" s="5">
        <v>2</v>
      </c>
      <c r="P396" s="5">
        <f>ROUND(Source!DG394,O396)</f>
        <v>10470154.609999999</v>
      </c>
      <c r="Q396" s="5"/>
      <c r="R396" s="5"/>
      <c r="S396" s="5"/>
      <c r="T396" s="5"/>
      <c r="U396" s="5"/>
      <c r="V396" s="5"/>
      <c r="W396" s="5">
        <v>1023233.38</v>
      </c>
      <c r="X396" s="5">
        <v>1</v>
      </c>
      <c r="Y396" s="5">
        <v>1023233.38</v>
      </c>
      <c r="Z396" s="5">
        <v>10470154.609999999</v>
      </c>
      <c r="AA396" s="5">
        <v>1</v>
      </c>
      <c r="AB396" s="5">
        <v>10470154.609999999</v>
      </c>
    </row>
    <row r="397" spans="1:206" x14ac:dyDescent="0.2">
      <c r="A397" s="5">
        <v>50</v>
      </c>
      <c r="B397" s="5">
        <v>0</v>
      </c>
      <c r="C397" s="5">
        <v>0</v>
      </c>
      <c r="D397" s="5">
        <v>1</v>
      </c>
      <c r="E397" s="5">
        <v>202</v>
      </c>
      <c r="F397" s="5">
        <f>ROUND(Source!P394,O397)</f>
        <v>978175.47</v>
      </c>
      <c r="G397" s="5" t="s">
        <v>40</v>
      </c>
      <c r="H397" s="5" t="s">
        <v>41</v>
      </c>
      <c r="I397" s="5"/>
      <c r="J397" s="5"/>
      <c r="K397" s="5">
        <v>202</v>
      </c>
      <c r="L397" s="5">
        <v>2</v>
      </c>
      <c r="M397" s="5">
        <v>3</v>
      </c>
      <c r="N397" s="5" t="s">
        <v>3</v>
      </c>
      <c r="O397" s="5">
        <v>2</v>
      </c>
      <c r="P397" s="5">
        <f>ROUND(Source!DH394,O397)</f>
        <v>8162569.0800000001</v>
      </c>
      <c r="Q397" s="5"/>
      <c r="R397" s="5"/>
      <c r="S397" s="5"/>
      <c r="T397" s="5"/>
      <c r="U397" s="5"/>
      <c r="V397" s="5"/>
      <c r="W397" s="5">
        <v>978175.47</v>
      </c>
      <c r="X397" s="5">
        <v>1</v>
      </c>
      <c r="Y397" s="5">
        <v>978175.47</v>
      </c>
      <c r="Z397" s="5">
        <v>8162569.0800000001</v>
      </c>
      <c r="AA397" s="5">
        <v>1</v>
      </c>
      <c r="AB397" s="5">
        <v>8162569.0800000001</v>
      </c>
    </row>
    <row r="398" spans="1:206" x14ac:dyDescent="0.2">
      <c r="A398" s="5">
        <v>50</v>
      </c>
      <c r="B398" s="5">
        <v>0</v>
      </c>
      <c r="C398" s="5">
        <v>0</v>
      </c>
      <c r="D398" s="5">
        <v>1</v>
      </c>
      <c r="E398" s="5">
        <v>222</v>
      </c>
      <c r="F398" s="5">
        <f>ROUND(Source!AO394,O398)</f>
        <v>0</v>
      </c>
      <c r="G398" s="5" t="s">
        <v>42</v>
      </c>
      <c r="H398" s="5" t="s">
        <v>43</v>
      </c>
      <c r="I398" s="5"/>
      <c r="J398" s="5"/>
      <c r="K398" s="5">
        <v>222</v>
      </c>
      <c r="L398" s="5">
        <v>3</v>
      </c>
      <c r="M398" s="5">
        <v>3</v>
      </c>
      <c r="N398" s="5" t="s">
        <v>3</v>
      </c>
      <c r="O398" s="5">
        <v>2</v>
      </c>
      <c r="P398" s="5">
        <f>ROUND(Source!EG394,O398)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06" x14ac:dyDescent="0.2">
      <c r="A399" s="5">
        <v>50</v>
      </c>
      <c r="B399" s="5">
        <v>0</v>
      </c>
      <c r="C399" s="5">
        <v>0</v>
      </c>
      <c r="D399" s="5">
        <v>1</v>
      </c>
      <c r="E399" s="5">
        <v>225</v>
      </c>
      <c r="F399" s="5">
        <f>ROUND(Source!AV394,O399)</f>
        <v>978175.47</v>
      </c>
      <c r="G399" s="5" t="s">
        <v>44</v>
      </c>
      <c r="H399" s="5" t="s">
        <v>45</v>
      </c>
      <c r="I399" s="5"/>
      <c r="J399" s="5"/>
      <c r="K399" s="5">
        <v>225</v>
      </c>
      <c r="L399" s="5">
        <v>4</v>
      </c>
      <c r="M399" s="5">
        <v>3</v>
      </c>
      <c r="N399" s="5" t="s">
        <v>3</v>
      </c>
      <c r="O399" s="5">
        <v>2</v>
      </c>
      <c r="P399" s="5">
        <f>ROUND(Source!EN394,O399)</f>
        <v>8162569.0800000001</v>
      </c>
      <c r="Q399" s="5"/>
      <c r="R399" s="5"/>
      <c r="S399" s="5"/>
      <c r="T399" s="5"/>
      <c r="U399" s="5"/>
      <c r="V399" s="5"/>
      <c r="W399" s="5">
        <v>978175.47</v>
      </c>
      <c r="X399" s="5">
        <v>1</v>
      </c>
      <c r="Y399" s="5">
        <v>978175.47</v>
      </c>
      <c r="Z399" s="5">
        <v>8162569.0800000001</v>
      </c>
      <c r="AA399" s="5">
        <v>1</v>
      </c>
      <c r="AB399" s="5">
        <v>8162569.0800000001</v>
      </c>
    </row>
    <row r="400" spans="1:206" x14ac:dyDescent="0.2">
      <c r="A400" s="5">
        <v>50</v>
      </c>
      <c r="B400" s="5">
        <v>0</v>
      </c>
      <c r="C400" s="5">
        <v>0</v>
      </c>
      <c r="D400" s="5">
        <v>1</v>
      </c>
      <c r="E400" s="5">
        <v>226</v>
      </c>
      <c r="F400" s="5">
        <f>ROUND(Source!AW394,O400)</f>
        <v>976857.3</v>
      </c>
      <c r="G400" s="5" t="s">
        <v>46</v>
      </c>
      <c r="H400" s="5" t="s">
        <v>47</v>
      </c>
      <c r="I400" s="5"/>
      <c r="J400" s="5"/>
      <c r="K400" s="5">
        <v>226</v>
      </c>
      <c r="L400" s="5">
        <v>5</v>
      </c>
      <c r="M400" s="5">
        <v>3</v>
      </c>
      <c r="N400" s="5" t="s">
        <v>3</v>
      </c>
      <c r="O400" s="5">
        <v>2</v>
      </c>
      <c r="P400" s="5">
        <f>ROUND(Source!EO394,O400)</f>
        <v>8154317.6799999997</v>
      </c>
      <c r="Q400" s="5"/>
      <c r="R400" s="5"/>
      <c r="S400" s="5"/>
      <c r="T400" s="5"/>
      <c r="U400" s="5"/>
      <c r="V400" s="5"/>
      <c r="W400" s="5">
        <v>976857.3</v>
      </c>
      <c r="X400" s="5">
        <v>1</v>
      </c>
      <c r="Y400" s="5">
        <v>976857.3</v>
      </c>
      <c r="Z400" s="5">
        <v>8154317.6799999997</v>
      </c>
      <c r="AA400" s="5">
        <v>1</v>
      </c>
      <c r="AB400" s="5">
        <v>8154317.6799999997</v>
      </c>
    </row>
    <row r="401" spans="1:28" x14ac:dyDescent="0.2">
      <c r="A401" s="5">
        <v>50</v>
      </c>
      <c r="B401" s="5">
        <v>0</v>
      </c>
      <c r="C401" s="5">
        <v>0</v>
      </c>
      <c r="D401" s="5">
        <v>1</v>
      </c>
      <c r="E401" s="5">
        <v>227</v>
      </c>
      <c r="F401" s="5">
        <f>ROUND(Source!AX394,O401)</f>
        <v>0</v>
      </c>
      <c r="G401" s="5" t="s">
        <v>48</v>
      </c>
      <c r="H401" s="5" t="s">
        <v>49</v>
      </c>
      <c r="I401" s="5"/>
      <c r="J401" s="5"/>
      <c r="K401" s="5">
        <v>227</v>
      </c>
      <c r="L401" s="5">
        <v>6</v>
      </c>
      <c r="M401" s="5">
        <v>3</v>
      </c>
      <c r="N401" s="5" t="s">
        <v>3</v>
      </c>
      <c r="O401" s="5">
        <v>2</v>
      </c>
      <c r="P401" s="5">
        <f>ROUND(Source!EP394,O401)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8" x14ac:dyDescent="0.2">
      <c r="A402" s="5">
        <v>50</v>
      </c>
      <c r="B402" s="5">
        <v>0</v>
      </c>
      <c r="C402" s="5">
        <v>0</v>
      </c>
      <c r="D402" s="5">
        <v>1</v>
      </c>
      <c r="E402" s="5">
        <v>228</v>
      </c>
      <c r="F402" s="5">
        <f>ROUND(Source!AY394,O402)</f>
        <v>976857.3</v>
      </c>
      <c r="G402" s="5" t="s">
        <v>50</v>
      </c>
      <c r="H402" s="5" t="s">
        <v>51</v>
      </c>
      <c r="I402" s="5"/>
      <c r="J402" s="5"/>
      <c r="K402" s="5">
        <v>228</v>
      </c>
      <c r="L402" s="5">
        <v>7</v>
      </c>
      <c r="M402" s="5">
        <v>3</v>
      </c>
      <c r="N402" s="5" t="s">
        <v>3</v>
      </c>
      <c r="O402" s="5">
        <v>2</v>
      </c>
      <c r="P402" s="5">
        <f>ROUND(Source!EQ394,O402)</f>
        <v>8154317.6799999997</v>
      </c>
      <c r="Q402" s="5"/>
      <c r="R402" s="5"/>
      <c r="S402" s="5"/>
      <c r="T402" s="5"/>
      <c r="U402" s="5"/>
      <c r="V402" s="5"/>
      <c r="W402" s="5">
        <v>976857.3</v>
      </c>
      <c r="X402" s="5">
        <v>1</v>
      </c>
      <c r="Y402" s="5">
        <v>976857.3</v>
      </c>
      <c r="Z402" s="5">
        <v>8154317.6799999997</v>
      </c>
      <c r="AA402" s="5">
        <v>1</v>
      </c>
      <c r="AB402" s="5">
        <v>8154317.6799999997</v>
      </c>
    </row>
    <row r="403" spans="1:28" x14ac:dyDescent="0.2">
      <c r="A403" s="5">
        <v>50</v>
      </c>
      <c r="B403" s="5">
        <v>0</v>
      </c>
      <c r="C403" s="5">
        <v>0</v>
      </c>
      <c r="D403" s="5">
        <v>1</v>
      </c>
      <c r="E403" s="5">
        <v>216</v>
      </c>
      <c r="F403" s="5">
        <f>ROUND(Source!AP394,O403)</f>
        <v>1318.17</v>
      </c>
      <c r="G403" s="5" t="s">
        <v>52</v>
      </c>
      <c r="H403" s="5" t="s">
        <v>53</v>
      </c>
      <c r="I403" s="5"/>
      <c r="J403" s="5"/>
      <c r="K403" s="5">
        <v>216</v>
      </c>
      <c r="L403" s="5">
        <v>8</v>
      </c>
      <c r="M403" s="5">
        <v>3</v>
      </c>
      <c r="N403" s="5" t="s">
        <v>3</v>
      </c>
      <c r="O403" s="5">
        <v>2</v>
      </c>
      <c r="P403" s="5">
        <f>ROUND(Source!EH394,O403)</f>
        <v>8251.4</v>
      </c>
      <c r="Q403" s="5"/>
      <c r="R403" s="5"/>
      <c r="S403" s="5"/>
      <c r="T403" s="5"/>
      <c r="U403" s="5"/>
      <c r="V403" s="5"/>
      <c r="W403" s="5">
        <v>1318.17</v>
      </c>
      <c r="X403" s="5">
        <v>1</v>
      </c>
      <c r="Y403" s="5">
        <v>1318.17</v>
      </c>
      <c r="Z403" s="5">
        <v>8251.4</v>
      </c>
      <c r="AA403" s="5">
        <v>1</v>
      </c>
      <c r="AB403" s="5">
        <v>8251.4</v>
      </c>
    </row>
    <row r="404" spans="1:28" x14ac:dyDescent="0.2">
      <c r="A404" s="5">
        <v>50</v>
      </c>
      <c r="B404" s="5">
        <v>0</v>
      </c>
      <c r="C404" s="5">
        <v>0</v>
      </c>
      <c r="D404" s="5">
        <v>1</v>
      </c>
      <c r="E404" s="5">
        <v>223</v>
      </c>
      <c r="F404" s="5">
        <f>ROUND(Source!AQ394,O404)</f>
        <v>0</v>
      </c>
      <c r="G404" s="5" t="s">
        <v>54</v>
      </c>
      <c r="H404" s="5" t="s">
        <v>55</v>
      </c>
      <c r="I404" s="5"/>
      <c r="J404" s="5"/>
      <c r="K404" s="5">
        <v>223</v>
      </c>
      <c r="L404" s="5">
        <v>9</v>
      </c>
      <c r="M404" s="5">
        <v>3</v>
      </c>
      <c r="N404" s="5" t="s">
        <v>3</v>
      </c>
      <c r="O404" s="5">
        <v>2</v>
      </c>
      <c r="P404" s="5">
        <f>ROUND(Source!EI394,O404)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8" x14ac:dyDescent="0.2">
      <c r="A405" s="5">
        <v>50</v>
      </c>
      <c r="B405" s="5">
        <v>0</v>
      </c>
      <c r="C405" s="5">
        <v>0</v>
      </c>
      <c r="D405" s="5">
        <v>1</v>
      </c>
      <c r="E405" s="5">
        <v>229</v>
      </c>
      <c r="F405" s="5">
        <f>ROUND(Source!AZ394,O405)</f>
        <v>1318.17</v>
      </c>
      <c r="G405" s="5" t="s">
        <v>56</v>
      </c>
      <c r="H405" s="5" t="s">
        <v>57</v>
      </c>
      <c r="I405" s="5"/>
      <c r="J405" s="5"/>
      <c r="K405" s="5">
        <v>229</v>
      </c>
      <c r="L405" s="5">
        <v>10</v>
      </c>
      <c r="M405" s="5">
        <v>3</v>
      </c>
      <c r="N405" s="5" t="s">
        <v>3</v>
      </c>
      <c r="O405" s="5">
        <v>2</v>
      </c>
      <c r="P405" s="5">
        <f>ROUND(Source!ER394,O405)</f>
        <v>8251.4</v>
      </c>
      <c r="Q405" s="5"/>
      <c r="R405" s="5"/>
      <c r="S405" s="5"/>
      <c r="T405" s="5"/>
      <c r="U405" s="5"/>
      <c r="V405" s="5"/>
      <c r="W405" s="5">
        <v>1318.17</v>
      </c>
      <c r="X405" s="5">
        <v>1</v>
      </c>
      <c r="Y405" s="5">
        <v>1318.17</v>
      </c>
      <c r="Z405" s="5">
        <v>8251.4</v>
      </c>
      <c r="AA405" s="5">
        <v>1</v>
      </c>
      <c r="AB405" s="5">
        <v>8251.4</v>
      </c>
    </row>
    <row r="406" spans="1:28" x14ac:dyDescent="0.2">
      <c r="A406" s="5">
        <v>50</v>
      </c>
      <c r="B406" s="5">
        <v>0</v>
      </c>
      <c r="C406" s="5">
        <v>0</v>
      </c>
      <c r="D406" s="5">
        <v>1</v>
      </c>
      <c r="E406" s="5">
        <v>203</v>
      </c>
      <c r="F406" s="5">
        <f>ROUND(Source!Q394,O406)</f>
        <v>4626.47</v>
      </c>
      <c r="G406" s="5" t="s">
        <v>58</v>
      </c>
      <c r="H406" s="5" t="s">
        <v>59</v>
      </c>
      <c r="I406" s="5"/>
      <c r="J406" s="5"/>
      <c r="K406" s="5">
        <v>203</v>
      </c>
      <c r="L406" s="5">
        <v>11</v>
      </c>
      <c r="M406" s="5">
        <v>3</v>
      </c>
      <c r="N406" s="5" t="s">
        <v>3</v>
      </c>
      <c r="O406" s="5">
        <v>2</v>
      </c>
      <c r="P406" s="5">
        <f>ROUND(Source!DI394,O406)</f>
        <v>84260.64</v>
      </c>
      <c r="Q406" s="5"/>
      <c r="R406" s="5"/>
      <c r="S406" s="5"/>
      <c r="T406" s="5"/>
      <c r="U406" s="5"/>
      <c r="V406" s="5"/>
      <c r="W406" s="5">
        <v>4626.47</v>
      </c>
      <c r="X406" s="5">
        <v>1</v>
      </c>
      <c r="Y406" s="5">
        <v>4626.47</v>
      </c>
      <c r="Z406" s="5">
        <v>84260.64</v>
      </c>
      <c r="AA406" s="5">
        <v>1</v>
      </c>
      <c r="AB406" s="5">
        <v>84260.64</v>
      </c>
    </row>
    <row r="407" spans="1:28" x14ac:dyDescent="0.2">
      <c r="A407" s="5">
        <v>50</v>
      </c>
      <c r="B407" s="5">
        <v>0</v>
      </c>
      <c r="C407" s="5">
        <v>0</v>
      </c>
      <c r="D407" s="5">
        <v>1</v>
      </c>
      <c r="E407" s="5">
        <v>231</v>
      </c>
      <c r="F407" s="5">
        <f>ROUND(Source!BB394,O407)</f>
        <v>0</v>
      </c>
      <c r="G407" s="5" t="s">
        <v>60</v>
      </c>
      <c r="H407" s="5" t="s">
        <v>61</v>
      </c>
      <c r="I407" s="5"/>
      <c r="J407" s="5"/>
      <c r="K407" s="5">
        <v>231</v>
      </c>
      <c r="L407" s="5">
        <v>12</v>
      </c>
      <c r="M407" s="5">
        <v>3</v>
      </c>
      <c r="N407" s="5" t="s">
        <v>3</v>
      </c>
      <c r="O407" s="5">
        <v>2</v>
      </c>
      <c r="P407" s="5">
        <f>ROUND(Source!ET394,O407)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x14ac:dyDescent="0.2">
      <c r="A408" s="5">
        <v>50</v>
      </c>
      <c r="B408" s="5">
        <v>0</v>
      </c>
      <c r="C408" s="5">
        <v>0</v>
      </c>
      <c r="D408" s="5">
        <v>1</v>
      </c>
      <c r="E408" s="5">
        <v>204</v>
      </c>
      <c r="F408" s="5">
        <f>ROUND(Source!R394,O408)</f>
        <v>895.4</v>
      </c>
      <c r="G408" s="5" t="s">
        <v>62</v>
      </c>
      <c r="H408" s="5" t="s">
        <v>63</v>
      </c>
      <c r="I408" s="5"/>
      <c r="J408" s="5"/>
      <c r="K408" s="5">
        <v>204</v>
      </c>
      <c r="L408" s="5">
        <v>13</v>
      </c>
      <c r="M408" s="5">
        <v>3</v>
      </c>
      <c r="N408" s="5" t="s">
        <v>3</v>
      </c>
      <c r="O408" s="5">
        <v>2</v>
      </c>
      <c r="P408" s="5">
        <f>ROUND(Source!DJ394,O408)</f>
        <v>49238.05</v>
      </c>
      <c r="Q408" s="5"/>
      <c r="R408" s="5"/>
      <c r="S408" s="5"/>
      <c r="T408" s="5"/>
      <c r="U408" s="5"/>
      <c r="V408" s="5"/>
      <c r="W408" s="5">
        <v>895.4</v>
      </c>
      <c r="X408" s="5">
        <v>1</v>
      </c>
      <c r="Y408" s="5">
        <v>895.4</v>
      </c>
      <c r="Z408" s="5">
        <v>49238.05</v>
      </c>
      <c r="AA408" s="5">
        <v>1</v>
      </c>
      <c r="AB408" s="5">
        <v>49238.05</v>
      </c>
    </row>
    <row r="409" spans="1:28" x14ac:dyDescent="0.2">
      <c r="A409" s="5">
        <v>50</v>
      </c>
      <c r="B409" s="5">
        <v>0</v>
      </c>
      <c r="C409" s="5">
        <v>0</v>
      </c>
      <c r="D409" s="5">
        <v>1</v>
      </c>
      <c r="E409" s="5">
        <v>205</v>
      </c>
      <c r="F409" s="5">
        <f>ROUND(Source!S394,O409)</f>
        <v>40431.440000000002</v>
      </c>
      <c r="G409" s="5" t="s">
        <v>64</v>
      </c>
      <c r="H409" s="5" t="s">
        <v>65</v>
      </c>
      <c r="I409" s="5"/>
      <c r="J409" s="5"/>
      <c r="K409" s="5">
        <v>205</v>
      </c>
      <c r="L409" s="5">
        <v>14</v>
      </c>
      <c r="M409" s="5">
        <v>3</v>
      </c>
      <c r="N409" s="5" t="s">
        <v>3</v>
      </c>
      <c r="O409" s="5">
        <v>2</v>
      </c>
      <c r="P409" s="5">
        <f>ROUND(Source!DK394,O409)</f>
        <v>2223324.89</v>
      </c>
      <c r="Q409" s="5"/>
      <c r="R409" s="5"/>
      <c r="S409" s="5"/>
      <c r="T409" s="5"/>
      <c r="U409" s="5"/>
      <c r="V409" s="5"/>
      <c r="W409" s="5">
        <v>40431.440000000002</v>
      </c>
      <c r="X409" s="5">
        <v>1</v>
      </c>
      <c r="Y409" s="5">
        <v>40431.440000000002</v>
      </c>
      <c r="Z409" s="5">
        <v>2223324.89</v>
      </c>
      <c r="AA409" s="5">
        <v>1</v>
      </c>
      <c r="AB409" s="5">
        <v>2223324.89</v>
      </c>
    </row>
    <row r="410" spans="1:28" x14ac:dyDescent="0.2">
      <c r="A410" s="5">
        <v>50</v>
      </c>
      <c r="B410" s="5">
        <v>0</v>
      </c>
      <c r="C410" s="5">
        <v>0</v>
      </c>
      <c r="D410" s="5">
        <v>1</v>
      </c>
      <c r="E410" s="5">
        <v>232</v>
      </c>
      <c r="F410" s="5">
        <f>ROUND(Source!BC394,O410)</f>
        <v>0</v>
      </c>
      <c r="G410" s="5" t="s">
        <v>66</v>
      </c>
      <c r="H410" s="5" t="s">
        <v>67</v>
      </c>
      <c r="I410" s="5"/>
      <c r="J410" s="5"/>
      <c r="K410" s="5">
        <v>232</v>
      </c>
      <c r="L410" s="5">
        <v>15</v>
      </c>
      <c r="M410" s="5">
        <v>3</v>
      </c>
      <c r="N410" s="5" t="s">
        <v>3</v>
      </c>
      <c r="O410" s="5">
        <v>2</v>
      </c>
      <c r="P410" s="5">
        <f>ROUND(Source!EU394,O410)</f>
        <v>0</v>
      </c>
      <c r="Q410" s="5"/>
      <c r="R410" s="5"/>
      <c r="S410" s="5"/>
      <c r="T410" s="5"/>
      <c r="U410" s="5"/>
      <c r="V410" s="5"/>
      <c r="W410" s="5">
        <v>0</v>
      </c>
      <c r="X410" s="5">
        <v>1</v>
      </c>
      <c r="Y410" s="5">
        <v>0</v>
      </c>
      <c r="Z410" s="5">
        <v>0</v>
      </c>
      <c r="AA410" s="5">
        <v>1</v>
      </c>
      <c r="AB410" s="5">
        <v>0</v>
      </c>
    </row>
    <row r="411" spans="1:28" x14ac:dyDescent="0.2">
      <c r="A411" s="5">
        <v>50</v>
      </c>
      <c r="B411" s="5">
        <v>0</v>
      </c>
      <c r="C411" s="5">
        <v>0</v>
      </c>
      <c r="D411" s="5">
        <v>1</v>
      </c>
      <c r="E411" s="5">
        <v>214</v>
      </c>
      <c r="F411" s="5">
        <f>ROUND(Source!AS394,O411)</f>
        <v>1065264.45</v>
      </c>
      <c r="G411" s="5" t="s">
        <v>68</v>
      </c>
      <c r="H411" s="5" t="s">
        <v>69</v>
      </c>
      <c r="I411" s="5"/>
      <c r="J411" s="5"/>
      <c r="K411" s="5">
        <v>214</v>
      </c>
      <c r="L411" s="5">
        <v>16</v>
      </c>
      <c r="M411" s="5">
        <v>3</v>
      </c>
      <c r="N411" s="5" t="s">
        <v>3</v>
      </c>
      <c r="O411" s="5">
        <v>2</v>
      </c>
      <c r="P411" s="5">
        <f>ROUND(Source!EK394,O411)</f>
        <v>13845897.439999999</v>
      </c>
      <c r="Q411" s="5"/>
      <c r="R411" s="5"/>
      <c r="S411" s="5"/>
      <c r="T411" s="5"/>
      <c r="U411" s="5"/>
      <c r="V411" s="5"/>
      <c r="W411" s="5">
        <v>1065264.45</v>
      </c>
      <c r="X411" s="5">
        <v>1</v>
      </c>
      <c r="Y411" s="5">
        <v>1065264.45</v>
      </c>
      <c r="Z411" s="5">
        <v>13845897.439999999</v>
      </c>
      <c r="AA411" s="5">
        <v>1</v>
      </c>
      <c r="AB411" s="5">
        <v>13845897.439999999</v>
      </c>
    </row>
    <row r="412" spans="1:28" x14ac:dyDescent="0.2">
      <c r="A412" s="5">
        <v>50</v>
      </c>
      <c r="B412" s="5">
        <v>0</v>
      </c>
      <c r="C412" s="5">
        <v>0</v>
      </c>
      <c r="D412" s="5">
        <v>1</v>
      </c>
      <c r="E412" s="5">
        <v>215</v>
      </c>
      <c r="F412" s="5">
        <f>ROUND(Source!AT394,O412)</f>
        <v>24128.06</v>
      </c>
      <c r="G412" s="5" t="s">
        <v>70</v>
      </c>
      <c r="H412" s="5" t="s">
        <v>71</v>
      </c>
      <c r="I412" s="5"/>
      <c r="J412" s="5"/>
      <c r="K412" s="5">
        <v>215</v>
      </c>
      <c r="L412" s="5">
        <v>17</v>
      </c>
      <c r="M412" s="5">
        <v>3</v>
      </c>
      <c r="N412" s="5" t="s">
        <v>3</v>
      </c>
      <c r="O412" s="5">
        <v>2</v>
      </c>
      <c r="P412" s="5">
        <f>ROUND(Source!EL394,O412)</f>
        <v>326582.11</v>
      </c>
      <c r="Q412" s="5"/>
      <c r="R412" s="5"/>
      <c r="S412" s="5"/>
      <c r="T412" s="5"/>
      <c r="U412" s="5"/>
      <c r="V412" s="5"/>
      <c r="W412" s="5">
        <v>24128.06</v>
      </c>
      <c r="X412" s="5">
        <v>1</v>
      </c>
      <c r="Y412" s="5">
        <v>24128.06</v>
      </c>
      <c r="Z412" s="5">
        <v>326582.11</v>
      </c>
      <c r="AA412" s="5">
        <v>1</v>
      </c>
      <c r="AB412" s="5">
        <v>326582.11</v>
      </c>
    </row>
    <row r="413" spans="1:28" x14ac:dyDescent="0.2">
      <c r="A413" s="5">
        <v>50</v>
      </c>
      <c r="B413" s="5">
        <v>0</v>
      </c>
      <c r="C413" s="5">
        <v>0</v>
      </c>
      <c r="D413" s="5">
        <v>1</v>
      </c>
      <c r="E413" s="5">
        <v>217</v>
      </c>
      <c r="F413" s="5">
        <f>ROUND(Source!AU394,O413)</f>
        <v>0</v>
      </c>
      <c r="G413" s="5" t="s">
        <v>72</v>
      </c>
      <c r="H413" s="5" t="s">
        <v>73</v>
      </c>
      <c r="I413" s="5"/>
      <c r="J413" s="5"/>
      <c r="K413" s="5">
        <v>217</v>
      </c>
      <c r="L413" s="5">
        <v>18</v>
      </c>
      <c r="M413" s="5">
        <v>3</v>
      </c>
      <c r="N413" s="5" t="s">
        <v>3</v>
      </c>
      <c r="O413" s="5">
        <v>2</v>
      </c>
      <c r="P413" s="5">
        <f>ROUND(Source!EM394,O413)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8" x14ac:dyDescent="0.2">
      <c r="A414" s="5">
        <v>50</v>
      </c>
      <c r="B414" s="5">
        <v>0</v>
      </c>
      <c r="C414" s="5">
        <v>0</v>
      </c>
      <c r="D414" s="5">
        <v>1</v>
      </c>
      <c r="E414" s="5">
        <v>230</v>
      </c>
      <c r="F414" s="5">
        <f>ROUND(Source!BA394,O414)</f>
        <v>0</v>
      </c>
      <c r="G414" s="5" t="s">
        <v>74</v>
      </c>
      <c r="H414" s="5" t="s">
        <v>75</v>
      </c>
      <c r="I414" s="5"/>
      <c r="J414" s="5"/>
      <c r="K414" s="5">
        <v>230</v>
      </c>
      <c r="L414" s="5">
        <v>19</v>
      </c>
      <c r="M414" s="5">
        <v>3</v>
      </c>
      <c r="N414" s="5" t="s">
        <v>3</v>
      </c>
      <c r="O414" s="5">
        <v>2</v>
      </c>
      <c r="P414" s="5">
        <f>ROUND(Source!ES394,O414)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">
      <c r="A415" s="5">
        <v>50</v>
      </c>
      <c r="B415" s="5">
        <v>0</v>
      </c>
      <c r="C415" s="5">
        <v>0</v>
      </c>
      <c r="D415" s="5">
        <v>1</v>
      </c>
      <c r="E415" s="5">
        <v>206</v>
      </c>
      <c r="F415" s="5">
        <f>ROUND(Source!T394,O415)</f>
        <v>0</v>
      </c>
      <c r="G415" s="5" t="s">
        <v>76</v>
      </c>
      <c r="H415" s="5" t="s">
        <v>77</v>
      </c>
      <c r="I415" s="5"/>
      <c r="J415" s="5"/>
      <c r="K415" s="5">
        <v>206</v>
      </c>
      <c r="L415" s="5">
        <v>20</v>
      </c>
      <c r="M415" s="5">
        <v>3</v>
      </c>
      <c r="N415" s="5" t="s">
        <v>3</v>
      </c>
      <c r="O415" s="5">
        <v>2</v>
      </c>
      <c r="P415" s="5">
        <f>ROUND(Source!DL394,O415)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8" x14ac:dyDescent="0.2">
      <c r="A416" s="5">
        <v>50</v>
      </c>
      <c r="B416" s="5">
        <v>0</v>
      </c>
      <c r="C416" s="5">
        <v>0</v>
      </c>
      <c r="D416" s="5">
        <v>1</v>
      </c>
      <c r="E416" s="5">
        <v>207</v>
      </c>
      <c r="F416" s="5">
        <f>Source!U394</f>
        <v>3249.2220453386099</v>
      </c>
      <c r="G416" s="5" t="s">
        <v>78</v>
      </c>
      <c r="H416" s="5" t="s">
        <v>79</v>
      </c>
      <c r="I416" s="5"/>
      <c r="J416" s="5"/>
      <c r="K416" s="5">
        <v>207</v>
      </c>
      <c r="L416" s="5">
        <v>21</v>
      </c>
      <c r="M416" s="5">
        <v>3</v>
      </c>
      <c r="N416" s="5" t="s">
        <v>3</v>
      </c>
      <c r="O416" s="5">
        <v>-1</v>
      </c>
      <c r="P416" s="5">
        <f>Source!DM394</f>
        <v>3249.2220453386099</v>
      </c>
      <c r="Q416" s="5"/>
      <c r="R416" s="5"/>
      <c r="S416" s="5"/>
      <c r="T416" s="5"/>
      <c r="U416" s="5"/>
      <c r="V416" s="5"/>
      <c r="W416" s="5">
        <v>3249.2220453386099</v>
      </c>
      <c r="X416" s="5">
        <v>1</v>
      </c>
      <c r="Y416" s="5">
        <v>3249.2220453386099</v>
      </c>
      <c r="Z416" s="5">
        <v>3249.2220453386099</v>
      </c>
      <c r="AA416" s="5">
        <v>1</v>
      </c>
      <c r="AB416" s="5">
        <v>3249.2220453386099</v>
      </c>
    </row>
    <row r="417" spans="1:206" x14ac:dyDescent="0.2">
      <c r="A417" s="5">
        <v>50</v>
      </c>
      <c r="B417" s="5">
        <v>0</v>
      </c>
      <c r="C417" s="5">
        <v>0</v>
      </c>
      <c r="D417" s="5">
        <v>1</v>
      </c>
      <c r="E417" s="5">
        <v>208</v>
      </c>
      <c r="F417" s="5">
        <f>Source!V394</f>
        <v>0</v>
      </c>
      <c r="G417" s="5" t="s">
        <v>80</v>
      </c>
      <c r="H417" s="5" t="s">
        <v>81</v>
      </c>
      <c r="I417" s="5"/>
      <c r="J417" s="5"/>
      <c r="K417" s="5">
        <v>208</v>
      </c>
      <c r="L417" s="5">
        <v>22</v>
      </c>
      <c r="M417" s="5">
        <v>3</v>
      </c>
      <c r="N417" s="5" t="s">
        <v>3</v>
      </c>
      <c r="O417" s="5">
        <v>-1</v>
      </c>
      <c r="P417" s="5">
        <f>Source!DN394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06" x14ac:dyDescent="0.2">
      <c r="A418" s="5">
        <v>50</v>
      </c>
      <c r="B418" s="5">
        <v>0</v>
      </c>
      <c r="C418" s="5">
        <v>0</v>
      </c>
      <c r="D418" s="5">
        <v>1</v>
      </c>
      <c r="E418" s="5">
        <v>209</v>
      </c>
      <c r="F418" s="5">
        <f>ROUND(Source!W394,O418)</f>
        <v>0</v>
      </c>
      <c r="G418" s="5" t="s">
        <v>82</v>
      </c>
      <c r="H418" s="5" t="s">
        <v>83</v>
      </c>
      <c r="I418" s="5"/>
      <c r="J418" s="5"/>
      <c r="K418" s="5">
        <v>209</v>
      </c>
      <c r="L418" s="5">
        <v>23</v>
      </c>
      <c r="M418" s="5">
        <v>3</v>
      </c>
      <c r="N418" s="5" t="s">
        <v>3</v>
      </c>
      <c r="O418" s="5">
        <v>2</v>
      </c>
      <c r="P418" s="5">
        <f>ROUND(Source!DO394,O418)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06" x14ac:dyDescent="0.2">
      <c r="A419" s="5">
        <v>50</v>
      </c>
      <c r="B419" s="5">
        <v>0</v>
      </c>
      <c r="C419" s="5">
        <v>0</v>
      </c>
      <c r="D419" s="5">
        <v>1</v>
      </c>
      <c r="E419" s="5">
        <v>233</v>
      </c>
      <c r="F419" s="5">
        <f>ROUND(Source!BD394,O419)</f>
        <v>0</v>
      </c>
      <c r="G419" s="5" t="s">
        <v>84</v>
      </c>
      <c r="H419" s="5" t="s">
        <v>85</v>
      </c>
      <c r="I419" s="5"/>
      <c r="J419" s="5"/>
      <c r="K419" s="5">
        <v>233</v>
      </c>
      <c r="L419" s="5">
        <v>24</v>
      </c>
      <c r="M419" s="5">
        <v>3</v>
      </c>
      <c r="N419" s="5" t="s">
        <v>3</v>
      </c>
      <c r="O419" s="5">
        <v>2</v>
      </c>
      <c r="P419" s="5">
        <f>ROUND(Source!EV394,O419)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06" x14ac:dyDescent="0.2">
      <c r="A420" s="5">
        <v>50</v>
      </c>
      <c r="B420" s="5">
        <v>0</v>
      </c>
      <c r="C420" s="5">
        <v>0</v>
      </c>
      <c r="D420" s="5">
        <v>1</v>
      </c>
      <c r="E420" s="5">
        <v>210</v>
      </c>
      <c r="F420" s="5">
        <f>ROUND(Source!X394,O420)</f>
        <v>43385.69</v>
      </c>
      <c r="G420" s="5" t="s">
        <v>86</v>
      </c>
      <c r="H420" s="5" t="s">
        <v>87</v>
      </c>
      <c r="I420" s="5"/>
      <c r="J420" s="5"/>
      <c r="K420" s="5">
        <v>210</v>
      </c>
      <c r="L420" s="5">
        <v>25</v>
      </c>
      <c r="M420" s="5">
        <v>3</v>
      </c>
      <c r="N420" s="5" t="s">
        <v>3</v>
      </c>
      <c r="O420" s="5">
        <v>2</v>
      </c>
      <c r="P420" s="5">
        <f>ROUND(Source!DP394,O420)</f>
        <v>2385779.54</v>
      </c>
      <c r="Q420" s="5"/>
      <c r="R420" s="5"/>
      <c r="S420" s="5"/>
      <c r="T420" s="5"/>
      <c r="U420" s="5"/>
      <c r="V420" s="5"/>
      <c r="W420" s="5">
        <v>43385.69</v>
      </c>
      <c r="X420" s="5">
        <v>1</v>
      </c>
      <c r="Y420" s="5">
        <v>43385.69</v>
      </c>
      <c r="Z420" s="5">
        <v>2385779.54</v>
      </c>
      <c r="AA420" s="5">
        <v>1</v>
      </c>
      <c r="AB420" s="5">
        <v>2385779.54</v>
      </c>
    </row>
    <row r="421" spans="1:206" x14ac:dyDescent="0.2">
      <c r="A421" s="5">
        <v>50</v>
      </c>
      <c r="B421" s="5">
        <v>0</v>
      </c>
      <c r="C421" s="5">
        <v>0</v>
      </c>
      <c r="D421" s="5">
        <v>1</v>
      </c>
      <c r="E421" s="5">
        <v>211</v>
      </c>
      <c r="F421" s="5">
        <f>ROUND(Source!Y394,O421)</f>
        <v>24091.61</v>
      </c>
      <c r="G421" s="5" t="s">
        <v>88</v>
      </c>
      <c r="H421" s="5" t="s">
        <v>89</v>
      </c>
      <c r="I421" s="5"/>
      <c r="J421" s="5"/>
      <c r="K421" s="5">
        <v>211</v>
      </c>
      <c r="L421" s="5">
        <v>26</v>
      </c>
      <c r="M421" s="5">
        <v>3</v>
      </c>
      <c r="N421" s="5" t="s">
        <v>3</v>
      </c>
      <c r="O421" s="5">
        <v>2</v>
      </c>
      <c r="P421" s="5">
        <f>ROUND(Source!DQ394,O421)</f>
        <v>1324796.8</v>
      </c>
      <c r="Q421" s="5"/>
      <c r="R421" s="5"/>
      <c r="S421" s="5"/>
      <c r="T421" s="5"/>
      <c r="U421" s="5"/>
      <c r="V421" s="5"/>
      <c r="W421" s="5">
        <v>24091.61</v>
      </c>
      <c r="X421" s="5">
        <v>1</v>
      </c>
      <c r="Y421" s="5">
        <v>24091.61</v>
      </c>
      <c r="Z421" s="5">
        <v>1324796.8</v>
      </c>
      <c r="AA421" s="5">
        <v>1</v>
      </c>
      <c r="AB421" s="5">
        <v>1324796.8</v>
      </c>
    </row>
    <row r="422" spans="1:206" x14ac:dyDescent="0.2">
      <c r="A422" s="5">
        <v>50</v>
      </c>
      <c r="B422" s="5">
        <v>0</v>
      </c>
      <c r="C422" s="5">
        <v>0</v>
      </c>
      <c r="D422" s="5">
        <v>1</v>
      </c>
      <c r="E422" s="5">
        <v>224</v>
      </c>
      <c r="F422" s="5">
        <f>ROUND(Source!AR394,O422)</f>
        <v>1090710.68</v>
      </c>
      <c r="G422" s="5" t="s">
        <v>90</v>
      </c>
      <c r="H422" s="5" t="s">
        <v>91</v>
      </c>
      <c r="I422" s="5"/>
      <c r="J422" s="5"/>
      <c r="K422" s="5">
        <v>224</v>
      </c>
      <c r="L422" s="5">
        <v>27</v>
      </c>
      <c r="M422" s="5">
        <v>3</v>
      </c>
      <c r="N422" s="5" t="s">
        <v>3</v>
      </c>
      <c r="O422" s="5">
        <v>2</v>
      </c>
      <c r="P422" s="5">
        <f>ROUND(Source!EJ394,O422)</f>
        <v>14180730.949999999</v>
      </c>
      <c r="Q422" s="5"/>
      <c r="R422" s="5"/>
      <c r="S422" s="5"/>
      <c r="T422" s="5"/>
      <c r="U422" s="5"/>
      <c r="V422" s="5"/>
      <c r="W422" s="5">
        <v>1090710.68</v>
      </c>
      <c r="X422" s="5">
        <v>1</v>
      </c>
      <c r="Y422" s="5">
        <v>1090710.68</v>
      </c>
      <c r="Z422" s="5">
        <v>14180730.949999999</v>
      </c>
      <c r="AA422" s="5">
        <v>1</v>
      </c>
      <c r="AB422" s="5">
        <v>14180730.949999999</v>
      </c>
    </row>
    <row r="424" spans="1:206" x14ac:dyDescent="0.2">
      <c r="A424" s="3">
        <v>51</v>
      </c>
      <c r="B424" s="3">
        <f>B12</f>
        <v>465</v>
      </c>
      <c r="C424" s="3">
        <f>A12</f>
        <v>1</v>
      </c>
      <c r="D424" s="3">
        <f>ROW(A12)</f>
        <v>12</v>
      </c>
      <c r="E424" s="3"/>
      <c r="F424" s="3" t="str">
        <f>IF(F12&lt;&gt;"",F12,"")</f>
        <v/>
      </c>
      <c r="G424" s="3" t="str">
        <f>IF(G12&lt;&gt;"",G12,"")</f>
        <v>02-01-06 Отопление</v>
      </c>
      <c r="H424" s="3">
        <v>0</v>
      </c>
      <c r="I424" s="3"/>
      <c r="J424" s="3"/>
      <c r="K424" s="3"/>
      <c r="L424" s="3"/>
      <c r="M424" s="3"/>
      <c r="N424" s="3"/>
      <c r="O424" s="3">
        <f t="shared" ref="O424:T424" si="413">ROUND(O394,2)</f>
        <v>1023233.38</v>
      </c>
      <c r="P424" s="3">
        <f t="shared" si="413"/>
        <v>978175.47</v>
      </c>
      <c r="Q424" s="3">
        <f t="shared" si="413"/>
        <v>4626.47</v>
      </c>
      <c r="R424" s="3">
        <f t="shared" si="413"/>
        <v>895.4</v>
      </c>
      <c r="S424" s="3">
        <f t="shared" si="413"/>
        <v>40431.440000000002</v>
      </c>
      <c r="T424" s="3">
        <f t="shared" si="413"/>
        <v>0</v>
      </c>
      <c r="U424" s="3">
        <f>U394</f>
        <v>3249.2220453386099</v>
      </c>
      <c r="V424" s="3">
        <f>V394</f>
        <v>0</v>
      </c>
      <c r="W424" s="3">
        <f>ROUND(W394,2)</f>
        <v>0</v>
      </c>
      <c r="X424" s="3">
        <f>ROUND(X394,2)</f>
        <v>43385.69</v>
      </c>
      <c r="Y424" s="3">
        <f>ROUND(Y394,2)</f>
        <v>24091.61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>
        <f t="shared" ref="AO424:BD424" si="414">ROUND(AO394,2)</f>
        <v>0</v>
      </c>
      <c r="AP424" s="3">
        <f t="shared" si="414"/>
        <v>1318.17</v>
      </c>
      <c r="AQ424" s="3">
        <f t="shared" si="414"/>
        <v>0</v>
      </c>
      <c r="AR424" s="3">
        <f t="shared" si="414"/>
        <v>1090710.68</v>
      </c>
      <c r="AS424" s="3">
        <f t="shared" si="414"/>
        <v>1065264.45</v>
      </c>
      <c r="AT424" s="3">
        <f t="shared" si="414"/>
        <v>24128.06</v>
      </c>
      <c r="AU424" s="3">
        <f t="shared" si="414"/>
        <v>0</v>
      </c>
      <c r="AV424" s="3">
        <f t="shared" si="414"/>
        <v>978175.47</v>
      </c>
      <c r="AW424" s="3">
        <f t="shared" si="414"/>
        <v>976857.3</v>
      </c>
      <c r="AX424" s="3">
        <f t="shared" si="414"/>
        <v>0</v>
      </c>
      <c r="AY424" s="3">
        <f t="shared" si="414"/>
        <v>976857.3</v>
      </c>
      <c r="AZ424" s="3">
        <f t="shared" si="414"/>
        <v>1318.17</v>
      </c>
      <c r="BA424" s="3">
        <f t="shared" si="414"/>
        <v>0</v>
      </c>
      <c r="BB424" s="3">
        <f t="shared" si="414"/>
        <v>0</v>
      </c>
      <c r="BC424" s="3">
        <f t="shared" si="414"/>
        <v>0</v>
      </c>
      <c r="BD424" s="3">
        <f t="shared" si="414"/>
        <v>0</v>
      </c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4">
        <f t="shared" ref="DG424:DL424" si="415">ROUND(DG394,2)</f>
        <v>10470154.609999999</v>
      </c>
      <c r="DH424" s="4">
        <f t="shared" si="415"/>
        <v>8162569.0800000001</v>
      </c>
      <c r="DI424" s="4">
        <f t="shared" si="415"/>
        <v>84260.64</v>
      </c>
      <c r="DJ424" s="4">
        <f t="shared" si="415"/>
        <v>49238.05</v>
      </c>
      <c r="DK424" s="4">
        <f t="shared" si="415"/>
        <v>2223324.89</v>
      </c>
      <c r="DL424" s="4">
        <f t="shared" si="415"/>
        <v>0</v>
      </c>
      <c r="DM424" s="4">
        <f>DM394</f>
        <v>3249.2220453386099</v>
      </c>
      <c r="DN424" s="4">
        <f>DN394</f>
        <v>0</v>
      </c>
      <c r="DO424" s="4">
        <f>ROUND(DO394,2)</f>
        <v>0</v>
      </c>
      <c r="DP424" s="4">
        <f>ROUND(DP394,2)</f>
        <v>2385779.54</v>
      </c>
      <c r="DQ424" s="4">
        <f>ROUND(DQ394,2)</f>
        <v>1324796.8</v>
      </c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>
        <f t="shared" ref="EG424:EV424" si="416">ROUND(EG394,2)</f>
        <v>0</v>
      </c>
      <c r="EH424" s="4">
        <f t="shared" si="416"/>
        <v>8251.4</v>
      </c>
      <c r="EI424" s="4">
        <f t="shared" si="416"/>
        <v>0</v>
      </c>
      <c r="EJ424" s="4">
        <f t="shared" si="416"/>
        <v>14180730.949999999</v>
      </c>
      <c r="EK424" s="4">
        <f t="shared" si="416"/>
        <v>13845897.439999999</v>
      </c>
      <c r="EL424" s="4">
        <f t="shared" si="416"/>
        <v>326582.11</v>
      </c>
      <c r="EM424" s="4">
        <f t="shared" si="416"/>
        <v>0</v>
      </c>
      <c r="EN424" s="4">
        <f t="shared" si="416"/>
        <v>8162569.0800000001</v>
      </c>
      <c r="EO424" s="4">
        <f t="shared" si="416"/>
        <v>8154317.6799999997</v>
      </c>
      <c r="EP424" s="4">
        <f t="shared" si="416"/>
        <v>0</v>
      </c>
      <c r="EQ424" s="4">
        <f t="shared" si="416"/>
        <v>8154317.6799999997</v>
      </c>
      <c r="ER424" s="4">
        <f t="shared" si="416"/>
        <v>8251.4</v>
      </c>
      <c r="ES424" s="4">
        <f t="shared" si="416"/>
        <v>0</v>
      </c>
      <c r="ET424" s="4">
        <f t="shared" si="416"/>
        <v>0</v>
      </c>
      <c r="EU424" s="4">
        <f t="shared" si="416"/>
        <v>0</v>
      </c>
      <c r="EV424" s="4">
        <f t="shared" si="416"/>
        <v>0</v>
      </c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>
        <v>0</v>
      </c>
    </row>
    <row r="426" spans="1:206" x14ac:dyDescent="0.2">
      <c r="A426" s="5">
        <v>50</v>
      </c>
      <c r="B426" s="5">
        <v>0</v>
      </c>
      <c r="C426" s="5">
        <v>0</v>
      </c>
      <c r="D426" s="5">
        <v>1</v>
      </c>
      <c r="E426" s="5">
        <v>201</v>
      </c>
      <c r="F426" s="5">
        <f>ROUND(Source!O424,O426)</f>
        <v>1023233.38</v>
      </c>
      <c r="G426" s="5" t="s">
        <v>38</v>
      </c>
      <c r="H426" s="5" t="s">
        <v>39</v>
      </c>
      <c r="I426" s="5"/>
      <c r="J426" s="5"/>
      <c r="K426" s="5">
        <v>201</v>
      </c>
      <c r="L426" s="5">
        <v>1</v>
      </c>
      <c r="M426" s="5">
        <v>3</v>
      </c>
      <c r="N426" s="5" t="s">
        <v>3</v>
      </c>
      <c r="O426" s="5">
        <v>2</v>
      </c>
      <c r="P426" s="5">
        <f>ROUND(Source!DG424,O426)</f>
        <v>10470154.609999999</v>
      </c>
      <c r="Q426" s="5"/>
      <c r="R426" s="5"/>
      <c r="S426" s="5"/>
      <c r="T426" s="5"/>
      <c r="U426" s="5"/>
      <c r="V426" s="5"/>
      <c r="W426" s="5">
        <v>1023233.38</v>
      </c>
      <c r="X426" s="5">
        <v>1</v>
      </c>
      <c r="Y426" s="5">
        <v>1023233.38</v>
      </c>
      <c r="Z426" s="5">
        <v>10470154.609999999</v>
      </c>
      <c r="AA426" s="5">
        <v>1</v>
      </c>
      <c r="AB426" s="5">
        <v>10470154.609999999</v>
      </c>
    </row>
    <row r="427" spans="1:206" x14ac:dyDescent="0.2">
      <c r="A427" s="5">
        <v>50</v>
      </c>
      <c r="B427" s="5">
        <v>0</v>
      </c>
      <c r="C427" s="5">
        <v>0</v>
      </c>
      <c r="D427" s="5">
        <v>1</v>
      </c>
      <c r="E427" s="5">
        <v>202</v>
      </c>
      <c r="F427" s="5">
        <f>ROUND(Source!P424,O427)</f>
        <v>978175.47</v>
      </c>
      <c r="G427" s="5" t="s">
        <v>40</v>
      </c>
      <c r="H427" s="5" t="s">
        <v>41</v>
      </c>
      <c r="I427" s="5"/>
      <c r="J427" s="5"/>
      <c r="K427" s="5">
        <v>202</v>
      </c>
      <c r="L427" s="5">
        <v>2</v>
      </c>
      <c r="M427" s="5">
        <v>3</v>
      </c>
      <c r="N427" s="5" t="s">
        <v>3</v>
      </c>
      <c r="O427" s="5">
        <v>2</v>
      </c>
      <c r="P427" s="5">
        <f>ROUND(Source!DH424,O427)</f>
        <v>8162569.0800000001</v>
      </c>
      <c r="Q427" s="5"/>
      <c r="R427" s="5"/>
      <c r="S427" s="5"/>
      <c r="T427" s="5"/>
      <c r="U427" s="5"/>
      <c r="V427" s="5"/>
      <c r="W427" s="5">
        <v>978175.47</v>
      </c>
      <c r="X427" s="5">
        <v>1</v>
      </c>
      <c r="Y427" s="5">
        <v>978175.47</v>
      </c>
      <c r="Z427" s="5">
        <v>8162569.0800000001</v>
      </c>
      <c r="AA427" s="5">
        <v>1</v>
      </c>
      <c r="AB427" s="5">
        <v>8162569.0800000001</v>
      </c>
    </row>
    <row r="428" spans="1:206" x14ac:dyDescent="0.2">
      <c r="A428" s="5">
        <v>50</v>
      </c>
      <c r="B428" s="5">
        <v>0</v>
      </c>
      <c r="C428" s="5">
        <v>0</v>
      </c>
      <c r="D428" s="5">
        <v>1</v>
      </c>
      <c r="E428" s="5">
        <v>222</v>
      </c>
      <c r="F428" s="5">
        <f>ROUND(Source!AO424,O428)</f>
        <v>0</v>
      </c>
      <c r="G428" s="5" t="s">
        <v>42</v>
      </c>
      <c r="H428" s="5" t="s">
        <v>43</v>
      </c>
      <c r="I428" s="5"/>
      <c r="J428" s="5"/>
      <c r="K428" s="5">
        <v>222</v>
      </c>
      <c r="L428" s="5">
        <v>3</v>
      </c>
      <c r="M428" s="5">
        <v>3</v>
      </c>
      <c r="N428" s="5" t="s">
        <v>3</v>
      </c>
      <c r="O428" s="5">
        <v>2</v>
      </c>
      <c r="P428" s="5">
        <f>ROUND(Source!EG424,O428)</f>
        <v>0</v>
      </c>
      <c r="Q428" s="5"/>
      <c r="R428" s="5"/>
      <c r="S428" s="5"/>
      <c r="T428" s="5"/>
      <c r="U428" s="5"/>
      <c r="V428" s="5"/>
      <c r="W428" s="5">
        <v>0</v>
      </c>
      <c r="X428" s="5">
        <v>1</v>
      </c>
      <c r="Y428" s="5">
        <v>0</v>
      </c>
      <c r="Z428" s="5">
        <v>0</v>
      </c>
      <c r="AA428" s="5">
        <v>1</v>
      </c>
      <c r="AB428" s="5">
        <v>0</v>
      </c>
    </row>
    <row r="429" spans="1:206" x14ac:dyDescent="0.2">
      <c r="A429" s="5">
        <v>50</v>
      </c>
      <c r="B429" s="5">
        <v>0</v>
      </c>
      <c r="C429" s="5">
        <v>0</v>
      </c>
      <c r="D429" s="5">
        <v>1</v>
      </c>
      <c r="E429" s="5">
        <v>225</v>
      </c>
      <c r="F429" s="5">
        <f>ROUND(Source!AV424,O429)</f>
        <v>978175.47</v>
      </c>
      <c r="G429" s="5" t="s">
        <v>44</v>
      </c>
      <c r="H429" s="5" t="s">
        <v>45</v>
      </c>
      <c r="I429" s="5"/>
      <c r="J429" s="5"/>
      <c r="K429" s="5">
        <v>225</v>
      </c>
      <c r="L429" s="5">
        <v>4</v>
      </c>
      <c r="M429" s="5">
        <v>3</v>
      </c>
      <c r="N429" s="5" t="s">
        <v>3</v>
      </c>
      <c r="O429" s="5">
        <v>2</v>
      </c>
      <c r="P429" s="5">
        <f>ROUND(Source!EN424,O429)</f>
        <v>8162569.0800000001</v>
      </c>
      <c r="Q429" s="5"/>
      <c r="R429" s="5"/>
      <c r="S429" s="5"/>
      <c r="T429" s="5"/>
      <c r="U429" s="5"/>
      <c r="V429" s="5"/>
      <c r="W429" s="5">
        <v>978175.47</v>
      </c>
      <c r="X429" s="5">
        <v>1</v>
      </c>
      <c r="Y429" s="5">
        <v>978175.47</v>
      </c>
      <c r="Z429" s="5">
        <v>8162569.0800000001</v>
      </c>
      <c r="AA429" s="5">
        <v>1</v>
      </c>
      <c r="AB429" s="5">
        <v>8162569.0800000001</v>
      </c>
    </row>
    <row r="430" spans="1:206" x14ac:dyDescent="0.2">
      <c r="A430" s="5">
        <v>50</v>
      </c>
      <c r="B430" s="5">
        <v>0</v>
      </c>
      <c r="C430" s="5">
        <v>0</v>
      </c>
      <c r="D430" s="5">
        <v>1</v>
      </c>
      <c r="E430" s="5">
        <v>226</v>
      </c>
      <c r="F430" s="5">
        <f>ROUND(Source!AW424,O430)</f>
        <v>976857.3</v>
      </c>
      <c r="G430" s="5" t="s">
        <v>46</v>
      </c>
      <c r="H430" s="5" t="s">
        <v>47</v>
      </c>
      <c r="I430" s="5"/>
      <c r="J430" s="5"/>
      <c r="K430" s="5">
        <v>226</v>
      </c>
      <c r="L430" s="5">
        <v>5</v>
      </c>
      <c r="M430" s="5">
        <v>3</v>
      </c>
      <c r="N430" s="5" t="s">
        <v>3</v>
      </c>
      <c r="O430" s="5">
        <v>2</v>
      </c>
      <c r="P430" s="5">
        <f>ROUND(Source!EO424,O430)</f>
        <v>8154317.6799999997</v>
      </c>
      <c r="Q430" s="5"/>
      <c r="R430" s="5"/>
      <c r="S430" s="5"/>
      <c r="T430" s="5"/>
      <c r="U430" s="5"/>
      <c r="V430" s="5"/>
      <c r="W430" s="5">
        <v>976857.3</v>
      </c>
      <c r="X430" s="5">
        <v>1</v>
      </c>
      <c r="Y430" s="5">
        <v>976857.3</v>
      </c>
      <c r="Z430" s="5">
        <v>8154317.6799999997</v>
      </c>
      <c r="AA430" s="5">
        <v>1</v>
      </c>
      <c r="AB430" s="5">
        <v>8154317.6799999997</v>
      </c>
    </row>
    <row r="431" spans="1:206" x14ac:dyDescent="0.2">
      <c r="A431" s="5">
        <v>50</v>
      </c>
      <c r="B431" s="5">
        <v>0</v>
      </c>
      <c r="C431" s="5">
        <v>0</v>
      </c>
      <c r="D431" s="5">
        <v>1</v>
      </c>
      <c r="E431" s="5">
        <v>227</v>
      </c>
      <c r="F431" s="5">
        <f>ROUND(Source!AX424,O431)</f>
        <v>0</v>
      </c>
      <c r="G431" s="5" t="s">
        <v>48</v>
      </c>
      <c r="H431" s="5" t="s">
        <v>49</v>
      </c>
      <c r="I431" s="5"/>
      <c r="J431" s="5"/>
      <c r="K431" s="5">
        <v>227</v>
      </c>
      <c r="L431" s="5">
        <v>6</v>
      </c>
      <c r="M431" s="5">
        <v>3</v>
      </c>
      <c r="N431" s="5" t="s">
        <v>3</v>
      </c>
      <c r="O431" s="5">
        <v>2</v>
      </c>
      <c r="P431" s="5">
        <f>ROUND(Source!EP424,O431)</f>
        <v>0</v>
      </c>
      <c r="Q431" s="5"/>
      <c r="R431" s="5"/>
      <c r="S431" s="5"/>
      <c r="T431" s="5"/>
      <c r="U431" s="5"/>
      <c r="V431" s="5"/>
      <c r="W431" s="5">
        <v>0</v>
      </c>
      <c r="X431" s="5">
        <v>1</v>
      </c>
      <c r="Y431" s="5">
        <v>0</v>
      </c>
      <c r="Z431" s="5">
        <v>0</v>
      </c>
      <c r="AA431" s="5">
        <v>1</v>
      </c>
      <c r="AB431" s="5">
        <v>0</v>
      </c>
    </row>
    <row r="432" spans="1:206" x14ac:dyDescent="0.2">
      <c r="A432" s="5">
        <v>50</v>
      </c>
      <c r="B432" s="5">
        <v>0</v>
      </c>
      <c r="C432" s="5">
        <v>0</v>
      </c>
      <c r="D432" s="5">
        <v>1</v>
      </c>
      <c r="E432" s="5">
        <v>228</v>
      </c>
      <c r="F432" s="5">
        <f>ROUND(Source!AY424,O432)</f>
        <v>976857.3</v>
      </c>
      <c r="G432" s="5" t="s">
        <v>50</v>
      </c>
      <c r="H432" s="5" t="s">
        <v>51</v>
      </c>
      <c r="I432" s="5"/>
      <c r="J432" s="5"/>
      <c r="K432" s="5">
        <v>228</v>
      </c>
      <c r="L432" s="5">
        <v>7</v>
      </c>
      <c r="M432" s="5">
        <v>3</v>
      </c>
      <c r="N432" s="5" t="s">
        <v>3</v>
      </c>
      <c r="O432" s="5">
        <v>2</v>
      </c>
      <c r="P432" s="5">
        <f>ROUND(Source!EQ424,O432)</f>
        <v>8154317.6799999997</v>
      </c>
      <c r="Q432" s="5"/>
      <c r="R432" s="5"/>
      <c r="S432" s="5"/>
      <c r="T432" s="5"/>
      <c r="U432" s="5"/>
      <c r="V432" s="5"/>
      <c r="W432" s="5">
        <v>976857.3</v>
      </c>
      <c r="X432" s="5">
        <v>1</v>
      </c>
      <c r="Y432" s="5">
        <v>976857.3</v>
      </c>
      <c r="Z432" s="5">
        <v>8154317.6799999997</v>
      </c>
      <c r="AA432" s="5">
        <v>1</v>
      </c>
      <c r="AB432" s="5">
        <v>8154317.6799999997</v>
      </c>
    </row>
    <row r="433" spans="1:28" x14ac:dyDescent="0.2">
      <c r="A433" s="5">
        <v>50</v>
      </c>
      <c r="B433" s="5">
        <v>0</v>
      </c>
      <c r="C433" s="5">
        <v>0</v>
      </c>
      <c r="D433" s="5">
        <v>1</v>
      </c>
      <c r="E433" s="5">
        <v>216</v>
      </c>
      <c r="F433" s="5">
        <f>ROUND(Source!AP424,O433)</f>
        <v>1318.17</v>
      </c>
      <c r="G433" s="5" t="s">
        <v>52</v>
      </c>
      <c r="H433" s="5" t="s">
        <v>53</v>
      </c>
      <c r="I433" s="5"/>
      <c r="J433" s="5"/>
      <c r="K433" s="5">
        <v>216</v>
      </c>
      <c r="L433" s="5">
        <v>8</v>
      </c>
      <c r="M433" s="5">
        <v>3</v>
      </c>
      <c r="N433" s="5" t="s">
        <v>3</v>
      </c>
      <c r="O433" s="5">
        <v>2</v>
      </c>
      <c r="P433" s="5">
        <f>ROUND(Source!EH424,O433)</f>
        <v>8251.4</v>
      </c>
      <c r="Q433" s="5"/>
      <c r="R433" s="5"/>
      <c r="S433" s="5"/>
      <c r="T433" s="5"/>
      <c r="U433" s="5"/>
      <c r="V433" s="5"/>
      <c r="W433" s="5">
        <v>1318.17</v>
      </c>
      <c r="X433" s="5">
        <v>1</v>
      </c>
      <c r="Y433" s="5">
        <v>1318.17</v>
      </c>
      <c r="Z433" s="5">
        <v>8251.4</v>
      </c>
      <c r="AA433" s="5">
        <v>1</v>
      </c>
      <c r="AB433" s="5">
        <v>8251.4</v>
      </c>
    </row>
    <row r="434" spans="1:28" x14ac:dyDescent="0.2">
      <c r="A434" s="5">
        <v>50</v>
      </c>
      <c r="B434" s="5">
        <v>0</v>
      </c>
      <c r="C434" s="5">
        <v>0</v>
      </c>
      <c r="D434" s="5">
        <v>1</v>
      </c>
      <c r="E434" s="5">
        <v>223</v>
      </c>
      <c r="F434" s="5">
        <f>ROUND(Source!AQ424,O434)</f>
        <v>0</v>
      </c>
      <c r="G434" s="5" t="s">
        <v>54</v>
      </c>
      <c r="H434" s="5" t="s">
        <v>55</v>
      </c>
      <c r="I434" s="5"/>
      <c r="J434" s="5"/>
      <c r="K434" s="5">
        <v>223</v>
      </c>
      <c r="L434" s="5">
        <v>9</v>
      </c>
      <c r="M434" s="5">
        <v>3</v>
      </c>
      <c r="N434" s="5" t="s">
        <v>3</v>
      </c>
      <c r="O434" s="5">
        <v>2</v>
      </c>
      <c r="P434" s="5">
        <f>ROUND(Source!EI424,O434)</f>
        <v>0</v>
      </c>
      <c r="Q434" s="5"/>
      <c r="R434" s="5"/>
      <c r="S434" s="5"/>
      <c r="T434" s="5"/>
      <c r="U434" s="5"/>
      <c r="V434" s="5"/>
      <c r="W434" s="5">
        <v>0</v>
      </c>
      <c r="X434" s="5">
        <v>1</v>
      </c>
      <c r="Y434" s="5">
        <v>0</v>
      </c>
      <c r="Z434" s="5">
        <v>0</v>
      </c>
      <c r="AA434" s="5">
        <v>1</v>
      </c>
      <c r="AB434" s="5">
        <v>0</v>
      </c>
    </row>
    <row r="435" spans="1:28" x14ac:dyDescent="0.2">
      <c r="A435" s="5">
        <v>50</v>
      </c>
      <c r="B435" s="5">
        <v>0</v>
      </c>
      <c r="C435" s="5">
        <v>0</v>
      </c>
      <c r="D435" s="5">
        <v>1</v>
      </c>
      <c r="E435" s="5">
        <v>229</v>
      </c>
      <c r="F435" s="5">
        <f>ROUND(Source!AZ424,O435)</f>
        <v>1318.17</v>
      </c>
      <c r="G435" s="5" t="s">
        <v>56</v>
      </c>
      <c r="H435" s="5" t="s">
        <v>57</v>
      </c>
      <c r="I435" s="5"/>
      <c r="J435" s="5"/>
      <c r="K435" s="5">
        <v>229</v>
      </c>
      <c r="L435" s="5">
        <v>10</v>
      </c>
      <c r="M435" s="5">
        <v>3</v>
      </c>
      <c r="N435" s="5" t="s">
        <v>3</v>
      </c>
      <c r="O435" s="5">
        <v>2</v>
      </c>
      <c r="P435" s="5">
        <f>ROUND(Source!ER424,O435)</f>
        <v>8251.4</v>
      </c>
      <c r="Q435" s="5"/>
      <c r="R435" s="5"/>
      <c r="S435" s="5"/>
      <c r="T435" s="5"/>
      <c r="U435" s="5"/>
      <c r="V435" s="5"/>
      <c r="W435" s="5">
        <v>1318.17</v>
      </c>
      <c r="X435" s="5">
        <v>1</v>
      </c>
      <c r="Y435" s="5">
        <v>1318.17</v>
      </c>
      <c r="Z435" s="5">
        <v>8251.4</v>
      </c>
      <c r="AA435" s="5">
        <v>1</v>
      </c>
      <c r="AB435" s="5">
        <v>8251.4</v>
      </c>
    </row>
    <row r="436" spans="1:28" x14ac:dyDescent="0.2">
      <c r="A436" s="5">
        <v>50</v>
      </c>
      <c r="B436" s="5">
        <v>0</v>
      </c>
      <c r="C436" s="5">
        <v>0</v>
      </c>
      <c r="D436" s="5">
        <v>1</v>
      </c>
      <c r="E436" s="5">
        <v>203</v>
      </c>
      <c r="F436" s="5">
        <f>ROUND(Source!Q424,O436)</f>
        <v>4626.47</v>
      </c>
      <c r="G436" s="5" t="s">
        <v>58</v>
      </c>
      <c r="H436" s="5" t="s">
        <v>59</v>
      </c>
      <c r="I436" s="5"/>
      <c r="J436" s="5"/>
      <c r="K436" s="5">
        <v>203</v>
      </c>
      <c r="L436" s="5">
        <v>11</v>
      </c>
      <c r="M436" s="5">
        <v>3</v>
      </c>
      <c r="N436" s="5" t="s">
        <v>3</v>
      </c>
      <c r="O436" s="5">
        <v>2</v>
      </c>
      <c r="P436" s="5">
        <f>ROUND(Source!DI424,O436)</f>
        <v>84260.64</v>
      </c>
      <c r="Q436" s="5"/>
      <c r="R436" s="5"/>
      <c r="S436" s="5"/>
      <c r="T436" s="5"/>
      <c r="U436" s="5"/>
      <c r="V436" s="5"/>
      <c r="W436" s="5">
        <v>4626.47</v>
      </c>
      <c r="X436" s="5">
        <v>1</v>
      </c>
      <c r="Y436" s="5">
        <v>4626.47</v>
      </c>
      <c r="Z436" s="5">
        <v>84260.64</v>
      </c>
      <c r="AA436" s="5">
        <v>1</v>
      </c>
      <c r="AB436" s="5">
        <v>84260.64</v>
      </c>
    </row>
    <row r="437" spans="1:28" x14ac:dyDescent="0.2">
      <c r="A437" s="5">
        <v>50</v>
      </c>
      <c r="B437" s="5">
        <v>0</v>
      </c>
      <c r="C437" s="5">
        <v>0</v>
      </c>
      <c r="D437" s="5">
        <v>1</v>
      </c>
      <c r="E437" s="5">
        <v>231</v>
      </c>
      <c r="F437" s="5">
        <f>ROUND(Source!BB424,O437)</f>
        <v>0</v>
      </c>
      <c r="G437" s="5" t="s">
        <v>60</v>
      </c>
      <c r="H437" s="5" t="s">
        <v>61</v>
      </c>
      <c r="I437" s="5"/>
      <c r="J437" s="5"/>
      <c r="K437" s="5">
        <v>231</v>
      </c>
      <c r="L437" s="5">
        <v>12</v>
      </c>
      <c r="M437" s="5">
        <v>3</v>
      </c>
      <c r="N437" s="5" t="s">
        <v>3</v>
      </c>
      <c r="O437" s="5">
        <v>2</v>
      </c>
      <c r="P437" s="5">
        <f>ROUND(Source!ET424,O437)</f>
        <v>0</v>
      </c>
      <c r="Q437" s="5"/>
      <c r="R437" s="5"/>
      <c r="S437" s="5"/>
      <c r="T437" s="5"/>
      <c r="U437" s="5"/>
      <c r="V437" s="5"/>
      <c r="W437" s="5">
        <v>0</v>
      </c>
      <c r="X437" s="5">
        <v>1</v>
      </c>
      <c r="Y437" s="5">
        <v>0</v>
      </c>
      <c r="Z437" s="5">
        <v>0</v>
      </c>
      <c r="AA437" s="5">
        <v>1</v>
      </c>
      <c r="AB437" s="5">
        <v>0</v>
      </c>
    </row>
    <row r="438" spans="1:28" x14ac:dyDescent="0.2">
      <c r="A438" s="5">
        <v>50</v>
      </c>
      <c r="B438" s="5">
        <v>0</v>
      </c>
      <c r="C438" s="5">
        <v>0</v>
      </c>
      <c r="D438" s="5">
        <v>1</v>
      </c>
      <c r="E438" s="5">
        <v>204</v>
      </c>
      <c r="F438" s="5">
        <f>ROUND(Source!R424,O438)</f>
        <v>895.4</v>
      </c>
      <c r="G438" s="5" t="s">
        <v>62</v>
      </c>
      <c r="H438" s="5" t="s">
        <v>63</v>
      </c>
      <c r="I438" s="5"/>
      <c r="J438" s="5"/>
      <c r="K438" s="5">
        <v>204</v>
      </c>
      <c r="L438" s="5">
        <v>13</v>
      </c>
      <c r="M438" s="5">
        <v>3</v>
      </c>
      <c r="N438" s="5" t="s">
        <v>3</v>
      </c>
      <c r="O438" s="5">
        <v>2</v>
      </c>
      <c r="P438" s="5">
        <f>ROUND(Source!DJ424,O438)</f>
        <v>49238.05</v>
      </c>
      <c r="Q438" s="5"/>
      <c r="R438" s="5"/>
      <c r="S438" s="5"/>
      <c r="T438" s="5"/>
      <c r="U438" s="5"/>
      <c r="V438" s="5"/>
      <c r="W438" s="5">
        <v>895.4</v>
      </c>
      <c r="X438" s="5">
        <v>1</v>
      </c>
      <c r="Y438" s="5">
        <v>895.4</v>
      </c>
      <c r="Z438" s="5">
        <v>49238.05</v>
      </c>
      <c r="AA438" s="5">
        <v>1</v>
      </c>
      <c r="AB438" s="5">
        <v>49238.05</v>
      </c>
    </row>
    <row r="439" spans="1:28" x14ac:dyDescent="0.2">
      <c r="A439" s="5">
        <v>50</v>
      </c>
      <c r="B439" s="5">
        <v>0</v>
      </c>
      <c r="C439" s="5">
        <v>0</v>
      </c>
      <c r="D439" s="5">
        <v>1</v>
      </c>
      <c r="E439" s="5">
        <v>205</v>
      </c>
      <c r="F439" s="5">
        <f>ROUND(Source!S424,O439)</f>
        <v>40431.440000000002</v>
      </c>
      <c r="G439" s="5" t="s">
        <v>64</v>
      </c>
      <c r="H439" s="5" t="s">
        <v>65</v>
      </c>
      <c r="I439" s="5"/>
      <c r="J439" s="5"/>
      <c r="K439" s="5">
        <v>205</v>
      </c>
      <c r="L439" s="5">
        <v>14</v>
      </c>
      <c r="M439" s="5">
        <v>3</v>
      </c>
      <c r="N439" s="5" t="s">
        <v>3</v>
      </c>
      <c r="O439" s="5">
        <v>2</v>
      </c>
      <c r="P439" s="5">
        <f>ROUND(Source!DK424,O439)</f>
        <v>2223324.89</v>
      </c>
      <c r="Q439" s="5"/>
      <c r="R439" s="5"/>
      <c r="S439" s="5"/>
      <c r="T439" s="5"/>
      <c r="U439" s="5"/>
      <c r="V439" s="5"/>
      <c r="W439" s="5">
        <v>40431.440000000002</v>
      </c>
      <c r="X439" s="5">
        <v>1</v>
      </c>
      <c r="Y439" s="5">
        <v>40431.440000000002</v>
      </c>
      <c r="Z439" s="5">
        <v>2223324.89</v>
      </c>
      <c r="AA439" s="5">
        <v>1</v>
      </c>
      <c r="AB439" s="5">
        <v>2223324.89</v>
      </c>
    </row>
    <row r="440" spans="1:28" x14ac:dyDescent="0.2">
      <c r="A440" s="5">
        <v>50</v>
      </c>
      <c r="B440" s="5">
        <v>0</v>
      </c>
      <c r="C440" s="5">
        <v>0</v>
      </c>
      <c r="D440" s="5">
        <v>1</v>
      </c>
      <c r="E440" s="5">
        <v>232</v>
      </c>
      <c r="F440" s="5">
        <f>ROUND(Source!BC424,O440)</f>
        <v>0</v>
      </c>
      <c r="G440" s="5" t="s">
        <v>66</v>
      </c>
      <c r="H440" s="5" t="s">
        <v>67</v>
      </c>
      <c r="I440" s="5"/>
      <c r="J440" s="5"/>
      <c r="K440" s="5">
        <v>232</v>
      </c>
      <c r="L440" s="5">
        <v>15</v>
      </c>
      <c r="M440" s="5">
        <v>3</v>
      </c>
      <c r="N440" s="5" t="s">
        <v>3</v>
      </c>
      <c r="O440" s="5">
        <v>2</v>
      </c>
      <c r="P440" s="5">
        <f>ROUND(Source!EU424,O440)</f>
        <v>0</v>
      </c>
      <c r="Q440" s="5"/>
      <c r="R440" s="5"/>
      <c r="S440" s="5"/>
      <c r="T440" s="5"/>
      <c r="U440" s="5"/>
      <c r="V440" s="5"/>
      <c r="W440" s="5">
        <v>0</v>
      </c>
      <c r="X440" s="5">
        <v>1</v>
      </c>
      <c r="Y440" s="5">
        <v>0</v>
      </c>
      <c r="Z440" s="5">
        <v>0</v>
      </c>
      <c r="AA440" s="5">
        <v>1</v>
      </c>
      <c r="AB440" s="5">
        <v>0</v>
      </c>
    </row>
    <row r="441" spans="1:28" x14ac:dyDescent="0.2">
      <c r="A441" s="5">
        <v>50</v>
      </c>
      <c r="B441" s="5">
        <v>0</v>
      </c>
      <c r="C441" s="5">
        <v>0</v>
      </c>
      <c r="D441" s="5">
        <v>1</v>
      </c>
      <c r="E441" s="5">
        <v>214</v>
      </c>
      <c r="F441" s="5">
        <f>ROUND(Source!AS424,O441)</f>
        <v>1065264.45</v>
      </c>
      <c r="G441" s="5" t="s">
        <v>68</v>
      </c>
      <c r="H441" s="5" t="s">
        <v>69</v>
      </c>
      <c r="I441" s="5"/>
      <c r="J441" s="5"/>
      <c r="K441" s="5">
        <v>214</v>
      </c>
      <c r="L441" s="5">
        <v>16</v>
      </c>
      <c r="M441" s="5">
        <v>3</v>
      </c>
      <c r="N441" s="5" t="s">
        <v>3</v>
      </c>
      <c r="O441" s="5">
        <v>2</v>
      </c>
      <c r="P441" s="5">
        <f>ROUND(Source!EK424,O441)</f>
        <v>13845897.439999999</v>
      </c>
      <c r="Q441" s="5"/>
      <c r="R441" s="5"/>
      <c r="S441" s="5"/>
      <c r="T441" s="5"/>
      <c r="U441" s="5"/>
      <c r="V441" s="5"/>
      <c r="W441" s="5">
        <v>1065264.45</v>
      </c>
      <c r="X441" s="5">
        <v>1</v>
      </c>
      <c r="Y441" s="5">
        <v>1065264.45</v>
      </c>
      <c r="Z441" s="5">
        <v>13845897.439999999</v>
      </c>
      <c r="AA441" s="5">
        <v>1</v>
      </c>
      <c r="AB441" s="5">
        <v>13845897.439999999</v>
      </c>
    </row>
    <row r="442" spans="1:28" x14ac:dyDescent="0.2">
      <c r="A442" s="5">
        <v>50</v>
      </c>
      <c r="B442" s="5">
        <v>0</v>
      </c>
      <c r="C442" s="5">
        <v>0</v>
      </c>
      <c r="D442" s="5">
        <v>1</v>
      </c>
      <c r="E442" s="5">
        <v>215</v>
      </c>
      <c r="F442" s="5">
        <f>ROUND(Source!AT424,O442)</f>
        <v>24128.06</v>
      </c>
      <c r="G442" s="5" t="s">
        <v>70</v>
      </c>
      <c r="H442" s="5" t="s">
        <v>71</v>
      </c>
      <c r="I442" s="5"/>
      <c r="J442" s="5"/>
      <c r="K442" s="5">
        <v>215</v>
      </c>
      <c r="L442" s="5">
        <v>17</v>
      </c>
      <c r="M442" s="5">
        <v>3</v>
      </c>
      <c r="N442" s="5" t="s">
        <v>3</v>
      </c>
      <c r="O442" s="5">
        <v>2</v>
      </c>
      <c r="P442" s="5">
        <f>ROUND(Source!EL424,O442)</f>
        <v>326582.11</v>
      </c>
      <c r="Q442" s="5"/>
      <c r="R442" s="5"/>
      <c r="S442" s="5"/>
      <c r="T442" s="5"/>
      <c r="U442" s="5"/>
      <c r="V442" s="5"/>
      <c r="W442" s="5">
        <v>24128.06</v>
      </c>
      <c r="X442" s="5">
        <v>1</v>
      </c>
      <c r="Y442" s="5">
        <v>24128.06</v>
      </c>
      <c r="Z442" s="5">
        <v>326582.11</v>
      </c>
      <c r="AA442" s="5">
        <v>1</v>
      </c>
      <c r="AB442" s="5">
        <v>326582.11</v>
      </c>
    </row>
    <row r="443" spans="1:28" x14ac:dyDescent="0.2">
      <c r="A443" s="5">
        <v>50</v>
      </c>
      <c r="B443" s="5">
        <v>0</v>
      </c>
      <c r="C443" s="5">
        <v>0</v>
      </c>
      <c r="D443" s="5">
        <v>1</v>
      </c>
      <c r="E443" s="5">
        <v>217</v>
      </c>
      <c r="F443" s="5">
        <f>ROUND(Source!AU424,O443)</f>
        <v>0</v>
      </c>
      <c r="G443" s="5" t="s">
        <v>72</v>
      </c>
      <c r="H443" s="5" t="s">
        <v>73</v>
      </c>
      <c r="I443" s="5"/>
      <c r="J443" s="5"/>
      <c r="K443" s="5">
        <v>217</v>
      </c>
      <c r="L443" s="5">
        <v>18</v>
      </c>
      <c r="M443" s="5">
        <v>3</v>
      </c>
      <c r="N443" s="5" t="s">
        <v>3</v>
      </c>
      <c r="O443" s="5">
        <v>2</v>
      </c>
      <c r="P443" s="5">
        <f>ROUND(Source!EM424,O443)</f>
        <v>0</v>
      </c>
      <c r="Q443" s="5"/>
      <c r="R443" s="5"/>
      <c r="S443" s="5"/>
      <c r="T443" s="5"/>
      <c r="U443" s="5"/>
      <c r="V443" s="5"/>
      <c r="W443" s="5">
        <v>0</v>
      </c>
      <c r="X443" s="5">
        <v>1</v>
      </c>
      <c r="Y443" s="5">
        <v>0</v>
      </c>
      <c r="Z443" s="5">
        <v>0</v>
      </c>
      <c r="AA443" s="5">
        <v>1</v>
      </c>
      <c r="AB443" s="5">
        <v>0</v>
      </c>
    </row>
    <row r="444" spans="1:28" x14ac:dyDescent="0.2">
      <c r="A444" s="5">
        <v>50</v>
      </c>
      <c r="B444" s="5">
        <v>0</v>
      </c>
      <c r="C444" s="5">
        <v>0</v>
      </c>
      <c r="D444" s="5">
        <v>1</v>
      </c>
      <c r="E444" s="5">
        <v>230</v>
      </c>
      <c r="F444" s="5">
        <f>ROUND(Source!BA424,O444)</f>
        <v>0</v>
      </c>
      <c r="G444" s="5" t="s">
        <v>74</v>
      </c>
      <c r="H444" s="5" t="s">
        <v>75</v>
      </c>
      <c r="I444" s="5"/>
      <c r="J444" s="5"/>
      <c r="K444" s="5">
        <v>230</v>
      </c>
      <c r="L444" s="5">
        <v>19</v>
      </c>
      <c r="M444" s="5">
        <v>3</v>
      </c>
      <c r="N444" s="5" t="s">
        <v>3</v>
      </c>
      <c r="O444" s="5">
        <v>2</v>
      </c>
      <c r="P444" s="5">
        <f>ROUND(Source!ES424,O444)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8" x14ac:dyDescent="0.2">
      <c r="A445" s="5">
        <v>50</v>
      </c>
      <c r="B445" s="5">
        <v>0</v>
      </c>
      <c r="C445" s="5">
        <v>0</v>
      </c>
      <c r="D445" s="5">
        <v>1</v>
      </c>
      <c r="E445" s="5">
        <v>206</v>
      </c>
      <c r="F445" s="5">
        <f>ROUND(Source!T424,O445)</f>
        <v>0</v>
      </c>
      <c r="G445" s="5" t="s">
        <v>76</v>
      </c>
      <c r="H445" s="5" t="s">
        <v>77</v>
      </c>
      <c r="I445" s="5"/>
      <c r="J445" s="5"/>
      <c r="K445" s="5">
        <v>206</v>
      </c>
      <c r="L445" s="5">
        <v>20</v>
      </c>
      <c r="M445" s="5">
        <v>3</v>
      </c>
      <c r="N445" s="5" t="s">
        <v>3</v>
      </c>
      <c r="O445" s="5">
        <v>2</v>
      </c>
      <c r="P445" s="5">
        <f>ROUND(Source!DL424,O445)</f>
        <v>0</v>
      </c>
      <c r="Q445" s="5"/>
      <c r="R445" s="5"/>
      <c r="S445" s="5"/>
      <c r="T445" s="5"/>
      <c r="U445" s="5"/>
      <c r="V445" s="5"/>
      <c r="W445" s="5">
        <v>0</v>
      </c>
      <c r="X445" s="5">
        <v>1</v>
      </c>
      <c r="Y445" s="5">
        <v>0</v>
      </c>
      <c r="Z445" s="5">
        <v>0</v>
      </c>
      <c r="AA445" s="5">
        <v>1</v>
      </c>
      <c r="AB445" s="5">
        <v>0</v>
      </c>
    </row>
    <row r="446" spans="1:28" x14ac:dyDescent="0.2">
      <c r="A446" s="5">
        <v>50</v>
      </c>
      <c r="B446" s="5">
        <v>0</v>
      </c>
      <c r="C446" s="5">
        <v>0</v>
      </c>
      <c r="D446" s="5">
        <v>1</v>
      </c>
      <c r="E446" s="5">
        <v>207</v>
      </c>
      <c r="F446" s="5">
        <f>Source!U424</f>
        <v>3249.2220453386099</v>
      </c>
      <c r="G446" s="5" t="s">
        <v>78</v>
      </c>
      <c r="H446" s="5" t="s">
        <v>79</v>
      </c>
      <c r="I446" s="5"/>
      <c r="J446" s="5"/>
      <c r="K446" s="5">
        <v>207</v>
      </c>
      <c r="L446" s="5">
        <v>21</v>
      </c>
      <c r="M446" s="5">
        <v>3</v>
      </c>
      <c r="N446" s="5" t="s">
        <v>3</v>
      </c>
      <c r="O446" s="5">
        <v>-1</v>
      </c>
      <c r="P446" s="5">
        <f>Source!DM424</f>
        <v>3249.2220453386099</v>
      </c>
      <c r="Q446" s="5"/>
      <c r="R446" s="5"/>
      <c r="S446" s="5"/>
      <c r="T446" s="5"/>
      <c r="U446" s="5"/>
      <c r="V446" s="5"/>
      <c r="W446" s="5">
        <v>3249.2220453386099</v>
      </c>
      <c r="X446" s="5">
        <v>1</v>
      </c>
      <c r="Y446" s="5">
        <v>3249.2220453386099</v>
      </c>
      <c r="Z446" s="5">
        <v>3249.2220453386099</v>
      </c>
      <c r="AA446" s="5">
        <v>1</v>
      </c>
      <c r="AB446" s="5">
        <v>3249.2220453386099</v>
      </c>
    </row>
    <row r="447" spans="1:28" x14ac:dyDescent="0.2">
      <c r="A447" s="5">
        <v>50</v>
      </c>
      <c r="B447" s="5">
        <v>0</v>
      </c>
      <c r="C447" s="5">
        <v>0</v>
      </c>
      <c r="D447" s="5">
        <v>1</v>
      </c>
      <c r="E447" s="5">
        <v>208</v>
      </c>
      <c r="F447" s="5">
        <f>Source!V424</f>
        <v>0</v>
      </c>
      <c r="G447" s="5" t="s">
        <v>80</v>
      </c>
      <c r="H447" s="5" t="s">
        <v>81</v>
      </c>
      <c r="I447" s="5"/>
      <c r="J447" s="5"/>
      <c r="K447" s="5">
        <v>208</v>
      </c>
      <c r="L447" s="5">
        <v>22</v>
      </c>
      <c r="M447" s="5">
        <v>3</v>
      </c>
      <c r="N447" s="5" t="s">
        <v>3</v>
      </c>
      <c r="O447" s="5">
        <v>-1</v>
      </c>
      <c r="P447" s="5">
        <f>Source!DN424</f>
        <v>0</v>
      </c>
      <c r="Q447" s="5"/>
      <c r="R447" s="5"/>
      <c r="S447" s="5"/>
      <c r="T447" s="5"/>
      <c r="U447" s="5"/>
      <c r="V447" s="5"/>
      <c r="W447" s="5">
        <v>0</v>
      </c>
      <c r="X447" s="5">
        <v>1</v>
      </c>
      <c r="Y447" s="5">
        <v>0</v>
      </c>
      <c r="Z447" s="5">
        <v>0</v>
      </c>
      <c r="AA447" s="5">
        <v>1</v>
      </c>
      <c r="AB447" s="5">
        <v>0</v>
      </c>
    </row>
    <row r="448" spans="1:28" x14ac:dyDescent="0.2">
      <c r="A448" s="5">
        <v>50</v>
      </c>
      <c r="B448" s="5">
        <v>0</v>
      </c>
      <c r="C448" s="5">
        <v>0</v>
      </c>
      <c r="D448" s="5">
        <v>1</v>
      </c>
      <c r="E448" s="5">
        <v>209</v>
      </c>
      <c r="F448" s="5">
        <f>ROUND(Source!W424,O448)</f>
        <v>0</v>
      </c>
      <c r="G448" s="5" t="s">
        <v>82</v>
      </c>
      <c r="H448" s="5" t="s">
        <v>83</v>
      </c>
      <c r="I448" s="5"/>
      <c r="J448" s="5"/>
      <c r="K448" s="5">
        <v>209</v>
      </c>
      <c r="L448" s="5">
        <v>23</v>
      </c>
      <c r="M448" s="5">
        <v>3</v>
      </c>
      <c r="N448" s="5" t="s">
        <v>3</v>
      </c>
      <c r="O448" s="5">
        <v>2</v>
      </c>
      <c r="P448" s="5">
        <f>ROUND(Source!DO424,O448)</f>
        <v>0</v>
      </c>
      <c r="Q448" s="5"/>
      <c r="R448" s="5"/>
      <c r="S448" s="5"/>
      <c r="T448" s="5"/>
      <c r="U448" s="5"/>
      <c r="V448" s="5"/>
      <c r="W448" s="5">
        <v>0</v>
      </c>
      <c r="X448" s="5">
        <v>1</v>
      </c>
      <c r="Y448" s="5">
        <v>0</v>
      </c>
      <c r="Z448" s="5">
        <v>0</v>
      </c>
      <c r="AA448" s="5">
        <v>1</v>
      </c>
      <c r="AB448" s="5">
        <v>0</v>
      </c>
    </row>
    <row r="449" spans="1:28" x14ac:dyDescent="0.2">
      <c r="A449" s="5">
        <v>50</v>
      </c>
      <c r="B449" s="5">
        <v>0</v>
      </c>
      <c r="C449" s="5">
        <v>0</v>
      </c>
      <c r="D449" s="5">
        <v>1</v>
      </c>
      <c r="E449" s="5">
        <v>233</v>
      </c>
      <c r="F449" s="5">
        <f>ROUND(Source!BD424,O449)</f>
        <v>0</v>
      </c>
      <c r="G449" s="5" t="s">
        <v>84</v>
      </c>
      <c r="H449" s="5" t="s">
        <v>85</v>
      </c>
      <c r="I449" s="5"/>
      <c r="J449" s="5"/>
      <c r="K449" s="5">
        <v>233</v>
      </c>
      <c r="L449" s="5">
        <v>24</v>
      </c>
      <c r="M449" s="5">
        <v>3</v>
      </c>
      <c r="N449" s="5" t="s">
        <v>3</v>
      </c>
      <c r="O449" s="5">
        <v>2</v>
      </c>
      <c r="P449" s="5">
        <f>ROUND(Source!EV424,O449)</f>
        <v>0</v>
      </c>
      <c r="Q449" s="5"/>
      <c r="R449" s="5"/>
      <c r="S449" s="5"/>
      <c r="T449" s="5"/>
      <c r="U449" s="5"/>
      <c r="V449" s="5"/>
      <c r="W449" s="5">
        <v>0</v>
      </c>
      <c r="X449" s="5">
        <v>1</v>
      </c>
      <c r="Y449" s="5">
        <v>0</v>
      </c>
      <c r="Z449" s="5">
        <v>0</v>
      </c>
      <c r="AA449" s="5">
        <v>1</v>
      </c>
      <c r="AB449" s="5">
        <v>0</v>
      </c>
    </row>
    <row r="450" spans="1:28" x14ac:dyDescent="0.2">
      <c r="A450" s="5">
        <v>50</v>
      </c>
      <c r="B450" s="5">
        <v>0</v>
      </c>
      <c r="C450" s="5">
        <v>0</v>
      </c>
      <c r="D450" s="5">
        <v>1</v>
      </c>
      <c r="E450" s="5">
        <v>210</v>
      </c>
      <c r="F450" s="5">
        <f>ROUND(Source!X424,O450)</f>
        <v>43385.69</v>
      </c>
      <c r="G450" s="5" t="s">
        <v>86</v>
      </c>
      <c r="H450" s="5" t="s">
        <v>87</v>
      </c>
      <c r="I450" s="5"/>
      <c r="J450" s="5"/>
      <c r="K450" s="5">
        <v>210</v>
      </c>
      <c r="L450" s="5">
        <v>25</v>
      </c>
      <c r="M450" s="5">
        <v>3</v>
      </c>
      <c r="N450" s="5" t="s">
        <v>3</v>
      </c>
      <c r="O450" s="5">
        <v>2</v>
      </c>
      <c r="P450" s="5">
        <f>ROUND(Source!DP424,O450)</f>
        <v>2385779.54</v>
      </c>
      <c r="Q450" s="5"/>
      <c r="R450" s="5"/>
      <c r="S450" s="5"/>
      <c r="T450" s="5"/>
      <c r="U450" s="5"/>
      <c r="V450" s="5"/>
      <c r="W450" s="5">
        <v>43385.69</v>
      </c>
      <c r="X450" s="5">
        <v>1</v>
      </c>
      <c r="Y450" s="5">
        <v>43385.69</v>
      </c>
      <c r="Z450" s="5">
        <v>2385779.54</v>
      </c>
      <c r="AA450" s="5">
        <v>1</v>
      </c>
      <c r="AB450" s="5">
        <v>2385779.54</v>
      </c>
    </row>
    <row r="451" spans="1:28" x14ac:dyDescent="0.2">
      <c r="A451" s="5">
        <v>50</v>
      </c>
      <c r="B451" s="5">
        <v>0</v>
      </c>
      <c r="C451" s="5">
        <v>0</v>
      </c>
      <c r="D451" s="5">
        <v>1</v>
      </c>
      <c r="E451" s="5">
        <v>211</v>
      </c>
      <c r="F451" s="5">
        <f>ROUND(Source!Y424,O451)</f>
        <v>24091.61</v>
      </c>
      <c r="G451" s="5" t="s">
        <v>88</v>
      </c>
      <c r="H451" s="5" t="s">
        <v>89</v>
      </c>
      <c r="I451" s="5"/>
      <c r="J451" s="5"/>
      <c r="K451" s="5">
        <v>211</v>
      </c>
      <c r="L451" s="5">
        <v>26</v>
      </c>
      <c r="M451" s="5">
        <v>3</v>
      </c>
      <c r="N451" s="5" t="s">
        <v>3</v>
      </c>
      <c r="O451" s="5">
        <v>2</v>
      </c>
      <c r="P451" s="5">
        <f>ROUND(Source!DQ424,O451)</f>
        <v>1324796.8</v>
      </c>
      <c r="Q451" s="5"/>
      <c r="R451" s="5"/>
      <c r="S451" s="5"/>
      <c r="T451" s="5"/>
      <c r="U451" s="5"/>
      <c r="V451" s="5"/>
      <c r="W451" s="5">
        <v>24091.61</v>
      </c>
      <c r="X451" s="5">
        <v>1</v>
      </c>
      <c r="Y451" s="5">
        <v>24091.61</v>
      </c>
      <c r="Z451" s="5">
        <v>1324796.8</v>
      </c>
      <c r="AA451" s="5">
        <v>1</v>
      </c>
      <c r="AB451" s="5">
        <v>1324796.8</v>
      </c>
    </row>
    <row r="452" spans="1:28" x14ac:dyDescent="0.2">
      <c r="A452" s="5">
        <v>50</v>
      </c>
      <c r="B452" s="5">
        <v>0</v>
      </c>
      <c r="C452" s="5">
        <v>0</v>
      </c>
      <c r="D452" s="5">
        <v>1</v>
      </c>
      <c r="E452" s="5">
        <v>224</v>
      </c>
      <c r="F452" s="5">
        <f>ROUND(Source!AR424,O452)</f>
        <v>1090710.68</v>
      </c>
      <c r="G452" s="5" t="s">
        <v>90</v>
      </c>
      <c r="H452" s="5" t="s">
        <v>91</v>
      </c>
      <c r="I452" s="5"/>
      <c r="J452" s="5"/>
      <c r="K452" s="5">
        <v>224</v>
      </c>
      <c r="L452" s="5">
        <v>27</v>
      </c>
      <c r="M452" s="5">
        <v>3</v>
      </c>
      <c r="N452" s="5" t="s">
        <v>3</v>
      </c>
      <c r="O452" s="5">
        <v>2</v>
      </c>
      <c r="P452" s="5">
        <f>ROUND(Source!EJ424,O452)</f>
        <v>14180730.949999999</v>
      </c>
      <c r="Q452" s="5"/>
      <c r="R452" s="5"/>
      <c r="S452" s="5"/>
      <c r="T452" s="5"/>
      <c r="U452" s="5"/>
      <c r="V452" s="5"/>
      <c r="W452" s="5">
        <v>1090710.68</v>
      </c>
      <c r="X452" s="5">
        <v>1</v>
      </c>
      <c r="Y452" s="5">
        <v>1090710.68</v>
      </c>
      <c r="Z452" s="5">
        <v>14180730.949999999</v>
      </c>
      <c r="AA452" s="5">
        <v>1</v>
      </c>
      <c r="AB452" s="5">
        <v>14180730.949999999</v>
      </c>
    </row>
    <row r="455" spans="1:28" x14ac:dyDescent="0.2">
      <c r="A455">
        <v>70</v>
      </c>
      <c r="B455">
        <v>1</v>
      </c>
      <c r="D455">
        <v>1</v>
      </c>
      <c r="E455" t="s">
        <v>460</v>
      </c>
      <c r="F455" t="s">
        <v>461</v>
      </c>
      <c r="G455">
        <v>0</v>
      </c>
      <c r="H455">
        <v>0</v>
      </c>
      <c r="I455" t="s">
        <v>3</v>
      </c>
      <c r="J455">
        <v>1</v>
      </c>
      <c r="K455">
        <v>0</v>
      </c>
      <c r="L455" t="s">
        <v>3</v>
      </c>
      <c r="M455" t="s">
        <v>3</v>
      </c>
      <c r="N455">
        <v>0</v>
      </c>
      <c r="O455">
        <v>0</v>
      </c>
      <c r="P455" t="s">
        <v>3</v>
      </c>
    </row>
    <row r="456" spans="1:28" x14ac:dyDescent="0.2">
      <c r="A456">
        <v>70</v>
      </c>
      <c r="B456">
        <v>1</v>
      </c>
      <c r="D456">
        <v>2</v>
      </c>
      <c r="E456" t="s">
        <v>462</v>
      </c>
      <c r="F456" t="s">
        <v>463</v>
      </c>
      <c r="G456">
        <v>1</v>
      </c>
      <c r="H456">
        <v>0</v>
      </c>
      <c r="I456" t="s">
        <v>3</v>
      </c>
      <c r="J456">
        <v>1</v>
      </c>
      <c r="K456">
        <v>0</v>
      </c>
      <c r="L456" t="s">
        <v>3</v>
      </c>
      <c r="M456" t="s">
        <v>3</v>
      </c>
      <c r="N456">
        <v>0</v>
      </c>
      <c r="O456">
        <v>1</v>
      </c>
      <c r="P456" t="s">
        <v>3</v>
      </c>
    </row>
    <row r="457" spans="1:28" x14ac:dyDescent="0.2">
      <c r="A457">
        <v>70</v>
      </c>
      <c r="B457">
        <v>1</v>
      </c>
      <c r="D457">
        <v>3</v>
      </c>
      <c r="E457" t="s">
        <v>464</v>
      </c>
      <c r="F457" t="s">
        <v>465</v>
      </c>
      <c r="G457">
        <v>0</v>
      </c>
      <c r="H457">
        <v>0</v>
      </c>
      <c r="I457" t="s">
        <v>3</v>
      </c>
      <c r="J457">
        <v>0</v>
      </c>
      <c r="K457">
        <v>0</v>
      </c>
      <c r="L457" t="s">
        <v>3</v>
      </c>
      <c r="M457" t="s">
        <v>3</v>
      </c>
      <c r="N457">
        <v>0</v>
      </c>
      <c r="O457">
        <v>0</v>
      </c>
      <c r="P457" t="s">
        <v>3</v>
      </c>
    </row>
    <row r="458" spans="1:28" x14ac:dyDescent="0.2">
      <c r="A458">
        <v>70</v>
      </c>
      <c r="B458">
        <v>1</v>
      </c>
      <c r="D458">
        <v>4</v>
      </c>
      <c r="E458" t="s">
        <v>466</v>
      </c>
      <c r="F458" t="s">
        <v>467</v>
      </c>
      <c r="G458">
        <v>1</v>
      </c>
      <c r="H458">
        <v>0</v>
      </c>
      <c r="I458" t="s">
        <v>3</v>
      </c>
      <c r="J458">
        <v>0</v>
      </c>
      <c r="K458">
        <v>0</v>
      </c>
      <c r="L458" t="s">
        <v>3</v>
      </c>
      <c r="M458" t="s">
        <v>3</v>
      </c>
      <c r="N458">
        <v>0</v>
      </c>
      <c r="O458">
        <v>1</v>
      </c>
      <c r="P458" t="s">
        <v>3</v>
      </c>
    </row>
    <row r="459" spans="1:28" x14ac:dyDescent="0.2">
      <c r="A459">
        <v>70</v>
      </c>
      <c r="B459">
        <v>1</v>
      </c>
      <c r="D459">
        <v>5</v>
      </c>
      <c r="E459" t="s">
        <v>468</v>
      </c>
      <c r="F459" t="s">
        <v>469</v>
      </c>
      <c r="G459">
        <v>1</v>
      </c>
      <c r="H459">
        <v>0</v>
      </c>
      <c r="I459" t="s">
        <v>3</v>
      </c>
      <c r="J459">
        <v>0</v>
      </c>
      <c r="K459">
        <v>0</v>
      </c>
      <c r="L459" t="s">
        <v>3</v>
      </c>
      <c r="M459" t="s">
        <v>3</v>
      </c>
      <c r="N459">
        <v>0</v>
      </c>
      <c r="O459">
        <v>1</v>
      </c>
      <c r="P459" t="s">
        <v>3</v>
      </c>
    </row>
    <row r="460" spans="1:28" x14ac:dyDescent="0.2">
      <c r="A460">
        <v>70</v>
      </c>
      <c r="B460">
        <v>1</v>
      </c>
      <c r="D460">
        <v>6</v>
      </c>
      <c r="E460" t="s">
        <v>470</v>
      </c>
      <c r="F460" t="s">
        <v>471</v>
      </c>
      <c r="G460">
        <v>0</v>
      </c>
      <c r="H460">
        <v>0</v>
      </c>
      <c r="I460" t="s">
        <v>3</v>
      </c>
      <c r="J460">
        <v>0</v>
      </c>
      <c r="K460">
        <v>0</v>
      </c>
      <c r="L460" t="s">
        <v>3</v>
      </c>
      <c r="M460" t="s">
        <v>3</v>
      </c>
      <c r="N460">
        <v>0</v>
      </c>
      <c r="O460">
        <v>0</v>
      </c>
      <c r="P460" t="s">
        <v>3</v>
      </c>
    </row>
    <row r="461" spans="1:28" x14ac:dyDescent="0.2">
      <c r="A461">
        <v>70</v>
      </c>
      <c r="B461">
        <v>1</v>
      </c>
      <c r="D461">
        <v>7</v>
      </c>
      <c r="E461" t="s">
        <v>472</v>
      </c>
      <c r="F461" t="s">
        <v>473</v>
      </c>
      <c r="G461">
        <v>0</v>
      </c>
      <c r="H461">
        <v>0</v>
      </c>
      <c r="I461" t="s">
        <v>3</v>
      </c>
      <c r="J461">
        <v>0</v>
      </c>
      <c r="K461">
        <v>0</v>
      </c>
      <c r="L461" t="s">
        <v>3</v>
      </c>
      <c r="M461" t="s">
        <v>3</v>
      </c>
      <c r="N461">
        <v>0</v>
      </c>
      <c r="O461">
        <v>0</v>
      </c>
      <c r="P461" t="s">
        <v>3</v>
      </c>
    </row>
    <row r="463" spans="1:28" x14ac:dyDescent="0.2">
      <c r="A463">
        <v>-1</v>
      </c>
    </row>
    <row r="465" spans="1:50" x14ac:dyDescent="0.2">
      <c r="A465" s="4">
        <v>75</v>
      </c>
      <c r="B465" s="4" t="s">
        <v>474</v>
      </c>
      <c r="C465" s="4">
        <v>2025</v>
      </c>
      <c r="D465" s="4">
        <v>3</v>
      </c>
      <c r="E465" s="4">
        <v>0</v>
      </c>
      <c r="F465" s="4"/>
      <c r="G465" s="4">
        <v>0</v>
      </c>
      <c r="H465" s="4">
        <v>1</v>
      </c>
      <c r="I465" s="4">
        <v>1</v>
      </c>
      <c r="J465" s="4">
        <v>3</v>
      </c>
      <c r="K465" s="4">
        <v>0</v>
      </c>
      <c r="L465" s="4">
        <v>0</v>
      </c>
      <c r="M465" s="4">
        <v>1</v>
      </c>
      <c r="N465" s="4">
        <v>60255011</v>
      </c>
      <c r="O465" s="4">
        <v>1</v>
      </c>
    </row>
    <row r="466" spans="1:50" x14ac:dyDescent="0.2">
      <c r="A466" s="6">
        <v>1</v>
      </c>
      <c r="B466" s="6" t="s">
        <v>475</v>
      </c>
      <c r="C466" s="6" t="s">
        <v>476</v>
      </c>
      <c r="D466" s="6">
        <v>2025</v>
      </c>
      <c r="E466" s="6">
        <v>9</v>
      </c>
      <c r="F466" s="6">
        <v>1</v>
      </c>
      <c r="G466" s="6">
        <v>1</v>
      </c>
      <c r="H466" s="6">
        <v>0</v>
      </c>
      <c r="I466" s="6">
        <v>2</v>
      </c>
      <c r="J466" s="6">
        <v>1</v>
      </c>
      <c r="K466" s="6">
        <v>9.8800000000000008</v>
      </c>
      <c r="L466" s="6">
        <v>7.66</v>
      </c>
      <c r="M466" s="6">
        <v>1</v>
      </c>
      <c r="N466" s="6">
        <v>1</v>
      </c>
      <c r="O466" s="6">
        <v>9.8800000000000008</v>
      </c>
      <c r="P466" s="6">
        <v>7.66</v>
      </c>
      <c r="Q466" s="6">
        <v>1</v>
      </c>
      <c r="R466" s="6" t="s">
        <v>3</v>
      </c>
      <c r="S466" s="6" t="s">
        <v>3</v>
      </c>
      <c r="T466" s="6" t="s">
        <v>3</v>
      </c>
      <c r="U466" s="6" t="s">
        <v>3</v>
      </c>
      <c r="V466" s="6" t="s">
        <v>3</v>
      </c>
      <c r="W466" s="6" t="s">
        <v>3</v>
      </c>
      <c r="X466" s="6" t="s">
        <v>3</v>
      </c>
      <c r="Y466" s="6" t="s">
        <v>3</v>
      </c>
      <c r="Z466" s="6" t="s">
        <v>3</v>
      </c>
      <c r="AA466" s="6" t="s">
        <v>477</v>
      </c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>
        <v>60255012</v>
      </c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spans="1:50" x14ac:dyDescent="0.2">
      <c r="A467" s="6">
        <v>1</v>
      </c>
      <c r="B467" s="6" t="s">
        <v>475</v>
      </c>
      <c r="C467" s="6" t="s">
        <v>478</v>
      </c>
      <c r="D467" s="6">
        <v>2025</v>
      </c>
      <c r="E467" s="6">
        <v>7</v>
      </c>
      <c r="F467" s="6">
        <v>1</v>
      </c>
      <c r="G467" s="6">
        <v>1</v>
      </c>
      <c r="H467" s="6">
        <v>0</v>
      </c>
      <c r="I467" s="6">
        <v>2</v>
      </c>
      <c r="J467" s="6">
        <v>1</v>
      </c>
      <c r="K467" s="6">
        <v>1</v>
      </c>
      <c r="L467" s="6">
        <v>1</v>
      </c>
      <c r="M467" s="6">
        <v>1</v>
      </c>
      <c r="N467" s="6">
        <v>1</v>
      </c>
      <c r="O467" s="6">
        <v>1</v>
      </c>
      <c r="P467" s="6">
        <v>1</v>
      </c>
      <c r="Q467" s="6">
        <v>1</v>
      </c>
      <c r="R467" s="6" t="s">
        <v>3</v>
      </c>
      <c r="S467" s="6" t="s">
        <v>3</v>
      </c>
      <c r="T467" s="6" t="s">
        <v>3</v>
      </c>
      <c r="U467" s="6" t="s">
        <v>3</v>
      </c>
      <c r="V467" s="6" t="s">
        <v>3</v>
      </c>
      <c r="W467" s="6" t="s">
        <v>3</v>
      </c>
      <c r="X467" s="6" t="s">
        <v>3</v>
      </c>
      <c r="Y467" s="6" t="s">
        <v>3</v>
      </c>
      <c r="Z467" s="6" t="s">
        <v>3</v>
      </c>
      <c r="AA467" s="6" t="s">
        <v>479</v>
      </c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>
        <v>60255013</v>
      </c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spans="1:50" x14ac:dyDescent="0.2">
      <c r="A468" s="4">
        <v>75</v>
      </c>
      <c r="B468" s="4" t="s">
        <v>480</v>
      </c>
      <c r="C468" s="4">
        <v>2000</v>
      </c>
      <c r="D468" s="4">
        <v>0</v>
      </c>
      <c r="E468" s="4">
        <v>1</v>
      </c>
      <c r="F468" s="4">
        <v>0</v>
      </c>
      <c r="G468" s="4">
        <v>0</v>
      </c>
      <c r="H468" s="4">
        <v>1</v>
      </c>
      <c r="I468" s="4">
        <v>1</v>
      </c>
      <c r="J468" s="4">
        <v>3</v>
      </c>
      <c r="K468" s="4">
        <v>0</v>
      </c>
      <c r="L468" s="4">
        <v>0</v>
      </c>
      <c r="M468" s="4">
        <v>0</v>
      </c>
      <c r="N468" s="4">
        <v>60255014</v>
      </c>
      <c r="O468" s="4">
        <v>2</v>
      </c>
    </row>
    <row r="469" spans="1:50" x14ac:dyDescent="0.2">
      <c r="A469" s="6">
        <v>1</v>
      </c>
      <c r="B469" s="6" t="s">
        <v>475</v>
      </c>
      <c r="C469" s="6" t="s">
        <v>476</v>
      </c>
      <c r="D469" s="6">
        <v>2000</v>
      </c>
      <c r="E469" s="6">
        <v>1</v>
      </c>
      <c r="F469" s="6">
        <v>1</v>
      </c>
      <c r="G469" s="6">
        <v>1</v>
      </c>
      <c r="H469" s="6">
        <v>0</v>
      </c>
      <c r="I469" s="6">
        <v>2</v>
      </c>
      <c r="J469" s="6">
        <v>1</v>
      </c>
      <c r="K469" s="6">
        <v>1</v>
      </c>
      <c r="L469" s="6">
        <v>1</v>
      </c>
      <c r="M469" s="6">
        <v>1</v>
      </c>
      <c r="N469" s="6">
        <v>1</v>
      </c>
      <c r="O469" s="6">
        <v>1</v>
      </c>
      <c r="P469" s="6">
        <v>1</v>
      </c>
      <c r="Q469" s="6">
        <v>1</v>
      </c>
      <c r="R469" s="6" t="s">
        <v>3</v>
      </c>
      <c r="S469" s="6" t="s">
        <v>3</v>
      </c>
      <c r="T469" s="6" t="s">
        <v>3</v>
      </c>
      <c r="U469" s="6" t="s">
        <v>3</v>
      </c>
      <c r="V469" s="6" t="s">
        <v>3</v>
      </c>
      <c r="W469" s="6" t="s">
        <v>3</v>
      </c>
      <c r="X469" s="6" t="s">
        <v>3</v>
      </c>
      <c r="Y469" s="6" t="s">
        <v>3</v>
      </c>
      <c r="Z469" s="6" t="s">
        <v>3</v>
      </c>
      <c r="AA469" s="6" t="s">
        <v>111</v>
      </c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>
        <v>60255015</v>
      </c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3" spans="1:50" x14ac:dyDescent="0.2">
      <c r="A473">
        <v>65</v>
      </c>
      <c r="C473">
        <v>1</v>
      </c>
      <c r="D473">
        <v>0</v>
      </c>
      <c r="E47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481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60255011</v>
      </c>
      <c r="E14" s="1">
        <v>60255014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ROUND((Source!P411)/1000,2)</f>
        <v>13845.9</v>
      </c>
      <c r="F16" s="8">
        <f>ROUND((Source!P412)/1000,2)</f>
        <v>326.58</v>
      </c>
      <c r="G16" s="8">
        <f>ROUND((Source!P403)/1000,2)</f>
        <v>8.25</v>
      </c>
      <c r="H16" s="8">
        <f>ROUND((Source!P413)/1000+(Source!P414)/1000,2)</f>
        <v>0</v>
      </c>
      <c r="I16" s="8">
        <f>E16+F16+G16+H16</f>
        <v>14180.73</v>
      </c>
      <c r="J16" s="8">
        <f>ROUND((Source!P409+Source!P408)/1000,2)</f>
        <v>2272.56</v>
      </c>
      <c r="K16" s="8">
        <v>18632.72</v>
      </c>
      <c r="L16" s="8">
        <v>0</v>
      </c>
      <c r="M16" s="8">
        <v>0</v>
      </c>
      <c r="N16" s="8">
        <f>I16+L16+M16</f>
        <v>14180.73</v>
      </c>
      <c r="T16" s="9">
        <f>ROUND((Source!F411)/1000,2)</f>
        <v>1065.26</v>
      </c>
      <c r="U16" s="9">
        <f>ROUND((Source!F412)/1000,2)</f>
        <v>24.13</v>
      </c>
      <c r="V16" s="9">
        <f>ROUND((Source!F403)/1000,2)</f>
        <v>1.32</v>
      </c>
      <c r="W16" s="9">
        <f>ROUND((Source!F413)/1000+(Source!F414)/1000,2)</f>
        <v>0</v>
      </c>
      <c r="X16" s="9">
        <f>T16+U16+V16+W16</f>
        <v>1090.71</v>
      </c>
      <c r="Y16" s="9">
        <f>ROUND((Source!F409+Source!F408)/1000,2)</f>
        <v>41.33</v>
      </c>
      <c r="Z16" s="9">
        <v>2001.41</v>
      </c>
      <c r="AA16" s="9">
        <v>0</v>
      </c>
      <c r="AB16" s="9">
        <v>0</v>
      </c>
      <c r="AC16" s="9">
        <f>X16+AA16+AB16</f>
        <v>1090.71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10470154.609999999</v>
      </c>
      <c r="AU16" s="8">
        <v>8162569.0800000001</v>
      </c>
      <c r="AV16" s="8">
        <v>0</v>
      </c>
      <c r="AW16" s="8">
        <v>8251.4</v>
      </c>
      <c r="AX16" s="8">
        <v>0</v>
      </c>
      <c r="AY16" s="8">
        <v>84260.64</v>
      </c>
      <c r="AZ16" s="8">
        <v>49238.05</v>
      </c>
      <c r="BA16" s="8">
        <v>2223324.89</v>
      </c>
      <c r="BB16" s="8">
        <v>13845897.439999999</v>
      </c>
      <c r="BC16" s="8">
        <v>326582.11</v>
      </c>
      <c r="BD16" s="8">
        <v>0</v>
      </c>
      <c r="BE16" s="8">
        <v>0</v>
      </c>
      <c r="BF16" s="8">
        <v>3249.2220453386099</v>
      </c>
      <c r="BG16" s="8">
        <v>0</v>
      </c>
      <c r="BH16" s="8">
        <v>0</v>
      </c>
      <c r="BI16" s="8">
        <v>2385779.54</v>
      </c>
      <c r="BJ16" s="8">
        <v>1324796.8</v>
      </c>
      <c r="BK16" s="8">
        <v>14180730.949999999</v>
      </c>
      <c r="BR16" s="9">
        <v>1023233.38</v>
      </c>
      <c r="BS16" s="9">
        <v>978175.47</v>
      </c>
      <c r="BT16" s="9">
        <v>0</v>
      </c>
      <c r="BU16" s="9">
        <v>1318.17</v>
      </c>
      <c r="BV16" s="9">
        <v>0</v>
      </c>
      <c r="BW16" s="9">
        <v>4626.47</v>
      </c>
      <c r="BX16" s="9">
        <v>895.4</v>
      </c>
      <c r="BY16" s="9">
        <v>40431.440000000002</v>
      </c>
      <c r="BZ16" s="9">
        <v>1065264.45</v>
      </c>
      <c r="CA16" s="9">
        <v>24128.06</v>
      </c>
      <c r="CB16" s="9">
        <v>0</v>
      </c>
      <c r="CC16" s="9">
        <v>0</v>
      </c>
      <c r="CD16" s="9">
        <v>3249.2220453386099</v>
      </c>
      <c r="CE16" s="9">
        <v>0</v>
      </c>
      <c r="CF16" s="9">
        <v>0</v>
      </c>
      <c r="CG16" s="9">
        <v>43385.69</v>
      </c>
      <c r="CH16" s="9">
        <v>24091.61</v>
      </c>
      <c r="CI16" s="9">
        <v>1090710.68</v>
      </c>
    </row>
    <row r="18" spans="1:29" x14ac:dyDescent="0.2">
      <c r="A18">
        <v>51</v>
      </c>
      <c r="E18">
        <v>13845.9</v>
      </c>
      <c r="F18">
        <v>326.58</v>
      </c>
      <c r="G18">
        <v>8.25</v>
      </c>
      <c r="H18">
        <v>0</v>
      </c>
      <c r="I18">
        <v>14180.73</v>
      </c>
      <c r="J18">
        <v>2272.56</v>
      </c>
      <c r="K18">
        <v>18632.72</v>
      </c>
      <c r="L18">
        <v>0</v>
      </c>
      <c r="M18">
        <v>0</v>
      </c>
      <c r="N18">
        <v>14180.73</v>
      </c>
      <c r="T18">
        <v>1065.26</v>
      </c>
      <c r="U18">
        <v>24.13</v>
      </c>
      <c r="V18">
        <v>1.32</v>
      </c>
      <c r="W18">
        <v>0</v>
      </c>
      <c r="X18">
        <v>1090.71</v>
      </c>
      <c r="Y18">
        <v>41.33</v>
      </c>
      <c r="Z18">
        <v>2001.41</v>
      </c>
      <c r="AA18">
        <v>0</v>
      </c>
      <c r="AB18">
        <v>0</v>
      </c>
      <c r="AC18">
        <v>1090.71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10470154.609999999</v>
      </c>
      <c r="G20" s="5" t="s">
        <v>38</v>
      </c>
      <c r="H20" s="5" t="s">
        <v>39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1023233.38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8162569.0800000001</v>
      </c>
      <c r="G21" s="5" t="s">
        <v>40</v>
      </c>
      <c r="H21" s="5" t="s">
        <v>41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978175.47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42</v>
      </c>
      <c r="H22" s="5" t="s">
        <v>43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8162569.0800000001</v>
      </c>
      <c r="G23" s="5" t="s">
        <v>44</v>
      </c>
      <c r="H23" s="5" t="s">
        <v>45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978175.47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8154317.6799999997</v>
      </c>
      <c r="G24" s="5" t="s">
        <v>46</v>
      </c>
      <c r="H24" s="5" t="s">
        <v>47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976857.3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48</v>
      </c>
      <c r="H25" s="5" t="s">
        <v>49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8154317.6799999997</v>
      </c>
      <c r="G26" s="5" t="s">
        <v>50</v>
      </c>
      <c r="H26" s="5" t="s">
        <v>51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976857.3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8251.4</v>
      </c>
      <c r="G27" s="5" t="s">
        <v>52</v>
      </c>
      <c r="H27" s="5" t="s">
        <v>53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1318.17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54</v>
      </c>
      <c r="H28" s="5" t="s">
        <v>55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8251.4</v>
      </c>
      <c r="G29" s="5" t="s">
        <v>56</v>
      </c>
      <c r="H29" s="5" t="s">
        <v>57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1318.17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84260.64</v>
      </c>
      <c r="G30" s="5" t="s">
        <v>58</v>
      </c>
      <c r="H30" s="5" t="s">
        <v>59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4626.47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60</v>
      </c>
      <c r="H31" s="5" t="s">
        <v>61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49238.05</v>
      </c>
      <c r="G32" s="5" t="s">
        <v>62</v>
      </c>
      <c r="H32" s="5" t="s">
        <v>63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895.4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2223324.89</v>
      </c>
      <c r="G33" s="5" t="s">
        <v>64</v>
      </c>
      <c r="H33" s="5" t="s">
        <v>65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40431.440000000002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66</v>
      </c>
      <c r="H34" s="5" t="s">
        <v>67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13845897.439999999</v>
      </c>
      <c r="G35" s="5" t="s">
        <v>68</v>
      </c>
      <c r="H35" s="5" t="s">
        <v>69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1065264.45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326582.11</v>
      </c>
      <c r="G36" s="5" t="s">
        <v>70</v>
      </c>
      <c r="H36" s="5" t="s">
        <v>71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24128.06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72</v>
      </c>
      <c r="H37" s="5" t="s">
        <v>73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74</v>
      </c>
      <c r="H38" s="5" t="s">
        <v>75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76</v>
      </c>
      <c r="H39" s="5" t="s">
        <v>77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3249.2220453386099</v>
      </c>
      <c r="G40" s="5" t="s">
        <v>78</v>
      </c>
      <c r="H40" s="5" t="s">
        <v>79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3249.2220453386099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80</v>
      </c>
      <c r="H41" s="5" t="s">
        <v>81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82</v>
      </c>
      <c r="H42" s="5" t="s">
        <v>83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84</v>
      </c>
      <c r="H43" s="5" t="s">
        <v>85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2385779.54</v>
      </c>
      <c r="G44" s="5" t="s">
        <v>86</v>
      </c>
      <c r="H44" s="5" t="s">
        <v>87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43385.69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1324796.8</v>
      </c>
      <c r="G45" s="5" t="s">
        <v>88</v>
      </c>
      <c r="H45" s="5" t="s">
        <v>89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24091.61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14180730.949999999</v>
      </c>
      <c r="G46" s="5" t="s">
        <v>90</v>
      </c>
      <c r="H46" s="5" t="s">
        <v>91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1090710.68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474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60255011</v>
      </c>
      <c r="O51" s="4">
        <v>1</v>
      </c>
    </row>
    <row r="52" spans="1:50" x14ac:dyDescent="0.2">
      <c r="A52" s="6">
        <v>1</v>
      </c>
      <c r="B52" s="6" t="s">
        <v>475</v>
      </c>
      <c r="C52" s="6" t="s">
        <v>476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477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60255012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475</v>
      </c>
      <c r="C53" s="6" t="s">
        <v>478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479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60255013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480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60255014</v>
      </c>
      <c r="O54" s="4">
        <v>2</v>
      </c>
    </row>
    <row r="55" spans="1:50" x14ac:dyDescent="0.2">
      <c r="A55" s="6">
        <v>1</v>
      </c>
      <c r="B55" s="6" t="s">
        <v>475</v>
      </c>
      <c r="C55" s="6" t="s">
        <v>476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111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60255015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8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60255014</v>
      </c>
      <c r="C1">
        <v>60255128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482</v>
      </c>
      <c r="J1" t="s">
        <v>3</v>
      </c>
      <c r="K1" t="s">
        <v>483</v>
      </c>
      <c r="L1">
        <v>1191</v>
      </c>
      <c r="N1">
        <v>1013</v>
      </c>
      <c r="O1" t="s">
        <v>484</v>
      </c>
      <c r="P1" t="s">
        <v>484</v>
      </c>
      <c r="Q1">
        <v>1</v>
      </c>
      <c r="W1">
        <v>0</v>
      </c>
      <c r="X1">
        <v>476480486</v>
      </c>
      <c r="Y1">
        <f>(AT1*1.1)</f>
        <v>1.1330000000000002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1.03</v>
      </c>
      <c r="AU1" t="s">
        <v>23</v>
      </c>
      <c r="AV1">
        <v>1</v>
      </c>
      <c r="AW1">
        <v>2</v>
      </c>
      <c r="AX1">
        <v>60255866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3.399</v>
      </c>
      <c r="CW1">
        <v>0</v>
      </c>
      <c r="CX1">
        <f>ROUND(Y1*Source!I28,9)</f>
        <v>3.399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1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60255014</v>
      </c>
      <c r="C2">
        <v>60255128</v>
      </c>
      <c r="D2">
        <v>59070669</v>
      </c>
      <c r="E2">
        <v>1</v>
      </c>
      <c r="F2">
        <v>1</v>
      </c>
      <c r="G2">
        <v>1080</v>
      </c>
      <c r="H2">
        <v>2</v>
      </c>
      <c r="I2" t="s">
        <v>485</v>
      </c>
      <c r="J2" t="s">
        <v>486</v>
      </c>
      <c r="K2" t="s">
        <v>487</v>
      </c>
      <c r="L2">
        <v>1368</v>
      </c>
      <c r="N2">
        <v>1011</v>
      </c>
      <c r="O2" t="s">
        <v>488</v>
      </c>
      <c r="P2" t="s">
        <v>488</v>
      </c>
      <c r="Q2">
        <v>1</v>
      </c>
      <c r="W2">
        <v>0</v>
      </c>
      <c r="X2">
        <v>-1985943078</v>
      </c>
      <c r="Y2">
        <f>(AT2*1.1)</f>
        <v>1.1000000000000001E-2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0.01</v>
      </c>
      <c r="AU2" t="s">
        <v>23</v>
      </c>
      <c r="AV2">
        <v>0</v>
      </c>
      <c r="AW2">
        <v>2</v>
      </c>
      <c r="AX2">
        <v>60255867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0.41646</v>
      </c>
      <c r="CX2">
        <f>ROUND(Y2*Source!I28,9)</f>
        <v>3.3000000000000002E-2</v>
      </c>
      <c r="CY2">
        <f>AB2</f>
        <v>87.01</v>
      </c>
      <c r="CZ2">
        <f>AF2</f>
        <v>83.1</v>
      </c>
      <c r="DA2">
        <f>AJ2</f>
        <v>1</v>
      </c>
      <c r="DB2">
        <f>ROUND((ROUND(AT2*CZ2,2)*1.1),6)</f>
        <v>0.91300000000000003</v>
      </c>
      <c r="DC2">
        <f>ROUND((ROUND(AT2*AG2,2)*1.1),6)</f>
        <v>0.14299999999999999</v>
      </c>
      <c r="DD2" t="s">
        <v>3</v>
      </c>
      <c r="DE2" t="s">
        <v>3</v>
      </c>
      <c r="DF2">
        <f t="shared" si="0"/>
        <v>0</v>
      </c>
      <c r="DG2">
        <f>ROUND(ROUND(AF2,2)*CX2,2)</f>
        <v>2.74</v>
      </c>
      <c r="DH2">
        <f>ROUND(ROUND(AG2,2)*CX2,2)</f>
        <v>0.42</v>
      </c>
      <c r="DI2">
        <f t="shared" si="1"/>
        <v>0</v>
      </c>
      <c r="DJ2">
        <f>DG2</f>
        <v>2.74</v>
      </c>
      <c r="DK2">
        <v>0</v>
      </c>
      <c r="DL2" t="s">
        <v>489</v>
      </c>
      <c r="DM2">
        <v>0</v>
      </c>
      <c r="DN2" t="s">
        <v>484</v>
      </c>
      <c r="DO2">
        <v>12.62</v>
      </c>
    </row>
    <row r="3" spans="1:119" x14ac:dyDescent="0.2">
      <c r="A3">
        <f>ROW(Source!A28)</f>
        <v>28</v>
      </c>
      <c r="B3">
        <v>60255014</v>
      </c>
      <c r="C3">
        <v>60255128</v>
      </c>
      <c r="D3">
        <v>59070782</v>
      </c>
      <c r="E3">
        <v>1</v>
      </c>
      <c r="F3">
        <v>1</v>
      </c>
      <c r="G3">
        <v>1080</v>
      </c>
      <c r="H3">
        <v>2</v>
      </c>
      <c r="I3" t="s">
        <v>490</v>
      </c>
      <c r="J3" t="s">
        <v>491</v>
      </c>
      <c r="K3" t="s">
        <v>492</v>
      </c>
      <c r="L3">
        <v>1368</v>
      </c>
      <c r="N3">
        <v>1011</v>
      </c>
      <c r="O3" t="s">
        <v>488</v>
      </c>
      <c r="P3" t="s">
        <v>488</v>
      </c>
      <c r="Q3">
        <v>1</v>
      </c>
      <c r="W3">
        <v>0</v>
      </c>
      <c r="X3">
        <v>-507462707</v>
      </c>
      <c r="Y3">
        <f>(AT3*1.1)</f>
        <v>0.24200000000000002</v>
      </c>
      <c r="AA3">
        <v>0</v>
      </c>
      <c r="AB3">
        <v>0.37</v>
      </c>
      <c r="AC3">
        <v>0</v>
      </c>
      <c r="AD3">
        <v>0</v>
      </c>
      <c r="AE3">
        <v>0</v>
      </c>
      <c r="AF3">
        <v>0.35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0.22</v>
      </c>
      <c r="AU3" t="s">
        <v>23</v>
      </c>
      <c r="AV3">
        <v>0</v>
      </c>
      <c r="AW3">
        <v>2</v>
      </c>
      <c r="AX3">
        <v>60255868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0.72599999999999998</v>
      </c>
      <c r="CY3">
        <f>AB3</f>
        <v>0.37</v>
      </c>
      <c r="CZ3">
        <f>AF3</f>
        <v>0.35</v>
      </c>
      <c r="DA3">
        <f>AJ3</f>
        <v>1</v>
      </c>
      <c r="DB3">
        <f>ROUND((ROUND(AT3*CZ3,2)*1.1),6)</f>
        <v>8.7999999999999995E-2</v>
      </c>
      <c r="DC3">
        <f>ROUND((ROUND(AT3*AG3,2)*1.1),6)</f>
        <v>0</v>
      </c>
      <c r="DD3" t="s">
        <v>3</v>
      </c>
      <c r="DE3" t="s">
        <v>3</v>
      </c>
      <c r="DF3">
        <f t="shared" si="0"/>
        <v>0</v>
      </c>
      <c r="DG3">
        <f>ROUND(ROUND(AF3,2)*CX3,2)</f>
        <v>0.25</v>
      </c>
      <c r="DH3">
        <f>ROUND(ROUND(AG3,2)*CX3,2)</f>
        <v>0</v>
      </c>
      <c r="DI3">
        <f t="shared" si="1"/>
        <v>0</v>
      </c>
      <c r="DJ3">
        <f>DG3</f>
        <v>0.25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60255014</v>
      </c>
      <c r="C4">
        <v>60255128</v>
      </c>
      <c r="D4">
        <v>59041420</v>
      </c>
      <c r="E4">
        <v>1</v>
      </c>
      <c r="F4">
        <v>1</v>
      </c>
      <c r="G4">
        <v>1080</v>
      </c>
      <c r="H4">
        <v>3</v>
      </c>
      <c r="I4" t="s">
        <v>493</v>
      </c>
      <c r="J4" t="s">
        <v>494</v>
      </c>
      <c r="K4" t="s">
        <v>495</v>
      </c>
      <c r="L4">
        <v>1355</v>
      </c>
      <c r="N4">
        <v>1010</v>
      </c>
      <c r="O4" t="s">
        <v>96</v>
      </c>
      <c r="P4" t="s">
        <v>96</v>
      </c>
      <c r="Q4">
        <v>100</v>
      </c>
      <c r="W4">
        <v>0</v>
      </c>
      <c r="X4">
        <v>262154668</v>
      </c>
      <c r="Y4">
        <f>AT4</f>
        <v>2.7E-2</v>
      </c>
      <c r="AA4">
        <v>15.04</v>
      </c>
      <c r="AB4">
        <v>0</v>
      </c>
      <c r="AC4">
        <v>0</v>
      </c>
      <c r="AD4">
        <v>0</v>
      </c>
      <c r="AE4">
        <v>15.04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2.7E-2</v>
      </c>
      <c r="AU4" t="s">
        <v>3</v>
      </c>
      <c r="AV4">
        <v>0</v>
      </c>
      <c r="AW4">
        <v>2</v>
      </c>
      <c r="AX4">
        <v>60255869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8.1000000000000003E-2</v>
      </c>
      <c r="CY4">
        <f>AA4</f>
        <v>15.04</v>
      </c>
      <c r="CZ4">
        <f>AE4</f>
        <v>15.04</v>
      </c>
      <c r="DA4">
        <f>AI4</f>
        <v>1</v>
      </c>
      <c r="DB4">
        <f>ROUND(ROUND(AT4*CZ4,2),6)</f>
        <v>0.41</v>
      </c>
      <c r="DC4">
        <f>ROUND(ROUND(AT4*AG4,2),6)</f>
        <v>0</v>
      </c>
      <c r="DD4" t="s">
        <v>3</v>
      </c>
      <c r="DE4" t="s">
        <v>3</v>
      </c>
      <c r="DF4">
        <f t="shared" si="0"/>
        <v>1.22</v>
      </c>
      <c r="DG4">
        <f>ROUND(ROUND(AF4,2)*CX4,2)</f>
        <v>0</v>
      </c>
      <c r="DH4">
        <f>ROUND(ROUND(AG4,2)*CX4,2)</f>
        <v>0</v>
      </c>
      <c r="DI4">
        <f t="shared" si="1"/>
        <v>0</v>
      </c>
      <c r="DJ4">
        <f>DF4</f>
        <v>1.22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ROW(Source!A29)</f>
        <v>29</v>
      </c>
      <c r="B5">
        <v>60255011</v>
      </c>
      <c r="C5">
        <v>60255128</v>
      </c>
      <c r="D5">
        <v>58999254</v>
      </c>
      <c r="E5">
        <v>1080</v>
      </c>
      <c r="F5">
        <v>1</v>
      </c>
      <c r="G5">
        <v>1080</v>
      </c>
      <c r="H5">
        <v>1</v>
      </c>
      <c r="I5" t="s">
        <v>482</v>
      </c>
      <c r="J5" t="s">
        <v>3</v>
      </c>
      <c r="K5" t="s">
        <v>483</v>
      </c>
      <c r="L5">
        <v>1191</v>
      </c>
      <c r="N5">
        <v>1013</v>
      </c>
      <c r="O5" t="s">
        <v>484</v>
      </c>
      <c r="P5" t="s">
        <v>484</v>
      </c>
      <c r="Q5">
        <v>1</v>
      </c>
      <c r="W5">
        <v>0</v>
      </c>
      <c r="X5">
        <v>476480486</v>
      </c>
      <c r="Y5">
        <f>(AT5*1.1)</f>
        <v>1.1330000000000002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5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1.03</v>
      </c>
      <c r="AU5" t="s">
        <v>23</v>
      </c>
      <c r="AV5">
        <v>1</v>
      </c>
      <c r="AW5">
        <v>2</v>
      </c>
      <c r="AX5">
        <v>60255866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ROUND(AT5*Source!I29*AH5*AL5,2)</f>
        <v>0</v>
      </c>
      <c r="CV5">
        <f>ROUND(Y5*Source!I29,9)</f>
        <v>3.399</v>
      </c>
      <c r="CW5">
        <v>0</v>
      </c>
      <c r="CX5">
        <f>ROUND(Y5*Source!I29,9)</f>
        <v>3.399</v>
      </c>
      <c r="CY5">
        <f>AD5</f>
        <v>0</v>
      </c>
      <c r="CZ5">
        <f>AH5</f>
        <v>0</v>
      </c>
      <c r="DA5">
        <f>AL5</f>
        <v>1</v>
      </c>
      <c r="DB5">
        <f>ROUND((ROUND(AT5*CZ5,2)*1.1),6)</f>
        <v>0</v>
      </c>
      <c r="DC5">
        <f>ROUND((ROUND(AT5*AG5,2)*1.1),6)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>ROUND(ROUND(AG5,2)*CX5,2)</f>
        <v>0</v>
      </c>
      <c r="DI5">
        <f t="shared" si="1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60255011</v>
      </c>
      <c r="C6">
        <v>60255128</v>
      </c>
      <c r="D6">
        <v>59070669</v>
      </c>
      <c r="E6">
        <v>1</v>
      </c>
      <c r="F6">
        <v>1</v>
      </c>
      <c r="G6">
        <v>1080</v>
      </c>
      <c r="H6">
        <v>2</v>
      </c>
      <c r="I6" t="s">
        <v>485</v>
      </c>
      <c r="J6" t="s">
        <v>486</v>
      </c>
      <c r="K6" t="s">
        <v>487</v>
      </c>
      <c r="L6">
        <v>1368</v>
      </c>
      <c r="N6">
        <v>1011</v>
      </c>
      <c r="O6" t="s">
        <v>488</v>
      </c>
      <c r="P6" t="s">
        <v>488</v>
      </c>
      <c r="Q6">
        <v>1</v>
      </c>
      <c r="W6">
        <v>0</v>
      </c>
      <c r="X6">
        <v>-1985943078</v>
      </c>
      <c r="Y6">
        <f>(AT6*1.1)</f>
        <v>1.1000000000000001E-2</v>
      </c>
      <c r="AA6">
        <v>0</v>
      </c>
      <c r="AB6">
        <v>1418.19</v>
      </c>
      <c r="AC6">
        <v>726.59</v>
      </c>
      <c r="AD6">
        <v>0</v>
      </c>
      <c r="AE6">
        <v>0</v>
      </c>
      <c r="AF6">
        <v>83.1</v>
      </c>
      <c r="AG6">
        <v>12.62</v>
      </c>
      <c r="AH6">
        <v>0</v>
      </c>
      <c r="AI6">
        <v>1</v>
      </c>
      <c r="AJ6">
        <v>16.3</v>
      </c>
      <c r="AK6">
        <v>54.99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23</v>
      </c>
      <c r="AV6">
        <v>0</v>
      </c>
      <c r="AW6">
        <v>2</v>
      </c>
      <c r="AX6">
        <v>60255867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0.41646</v>
      </c>
      <c r="CX6">
        <f>ROUND(Y6*Source!I29,9)</f>
        <v>3.3000000000000002E-2</v>
      </c>
      <c r="CY6">
        <f>AB6</f>
        <v>1418.19</v>
      </c>
      <c r="CZ6">
        <f>AF6</f>
        <v>83.1</v>
      </c>
      <c r="DA6">
        <f>AJ6</f>
        <v>16.3</v>
      </c>
      <c r="DB6">
        <f>ROUND((ROUND(AT6*CZ6,2)*1.1),6)</f>
        <v>0.91300000000000003</v>
      </c>
      <c r="DC6">
        <f>ROUND((ROUND(AT6*AG6,2)*1.1),6)</f>
        <v>0.14299999999999999</v>
      </c>
      <c r="DD6" t="s">
        <v>3</v>
      </c>
      <c r="DE6" t="s">
        <v>3</v>
      </c>
      <c r="DF6">
        <f t="shared" si="0"/>
        <v>0</v>
      </c>
      <c r="DG6">
        <f>ROUND(ROUND(AF6*AJ6,2)*CX6,2)</f>
        <v>44.7</v>
      </c>
      <c r="DH6">
        <f>ROUND(ROUND(AG6*AK6,2)*CX6,2)</f>
        <v>22.9</v>
      </c>
      <c r="DI6">
        <f t="shared" si="1"/>
        <v>0</v>
      </c>
      <c r="DJ6">
        <f>DG6</f>
        <v>44.7</v>
      </c>
      <c r="DK6">
        <v>0</v>
      </c>
      <c r="DL6" t="s">
        <v>489</v>
      </c>
      <c r="DM6">
        <v>0</v>
      </c>
      <c r="DN6" t="s">
        <v>484</v>
      </c>
      <c r="DO6">
        <v>12.62</v>
      </c>
    </row>
    <row r="7" spans="1:119" x14ac:dyDescent="0.2">
      <c r="A7">
        <f>ROW(Source!A29)</f>
        <v>29</v>
      </c>
      <c r="B7">
        <v>60255011</v>
      </c>
      <c r="C7">
        <v>60255128</v>
      </c>
      <c r="D7">
        <v>59070782</v>
      </c>
      <c r="E7">
        <v>1</v>
      </c>
      <c r="F7">
        <v>1</v>
      </c>
      <c r="G7">
        <v>1080</v>
      </c>
      <c r="H7">
        <v>2</v>
      </c>
      <c r="I7" t="s">
        <v>490</v>
      </c>
      <c r="J7" t="s">
        <v>491</v>
      </c>
      <c r="K7" t="s">
        <v>492</v>
      </c>
      <c r="L7">
        <v>1368</v>
      </c>
      <c r="N7">
        <v>1011</v>
      </c>
      <c r="O7" t="s">
        <v>488</v>
      </c>
      <c r="P7" t="s">
        <v>488</v>
      </c>
      <c r="Q7">
        <v>1</v>
      </c>
      <c r="W7">
        <v>0</v>
      </c>
      <c r="X7">
        <v>-507462707</v>
      </c>
      <c r="Y7">
        <f>(AT7*1.1)</f>
        <v>0.24200000000000002</v>
      </c>
      <c r="AA7">
        <v>0</v>
      </c>
      <c r="AB7">
        <v>3.08</v>
      </c>
      <c r="AC7">
        <v>0</v>
      </c>
      <c r="AD7">
        <v>0</v>
      </c>
      <c r="AE7">
        <v>0</v>
      </c>
      <c r="AF7">
        <v>0.35</v>
      </c>
      <c r="AG7">
        <v>0</v>
      </c>
      <c r="AH7">
        <v>0</v>
      </c>
      <c r="AI7">
        <v>1</v>
      </c>
      <c r="AJ7">
        <v>8.4</v>
      </c>
      <c r="AK7">
        <v>54.99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0.22</v>
      </c>
      <c r="AU7" t="s">
        <v>23</v>
      </c>
      <c r="AV7">
        <v>0</v>
      </c>
      <c r="AW7">
        <v>2</v>
      </c>
      <c r="AX7">
        <v>60255868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0.72599999999999998</v>
      </c>
      <c r="CY7">
        <f>AB7</f>
        <v>3.08</v>
      </c>
      <c r="CZ7">
        <f>AF7</f>
        <v>0.35</v>
      </c>
      <c r="DA7">
        <f>AJ7</f>
        <v>8.4</v>
      </c>
      <c r="DB7">
        <f>ROUND((ROUND(AT7*CZ7,2)*1.1),6)</f>
        <v>8.7999999999999995E-2</v>
      </c>
      <c r="DC7">
        <f>ROUND((ROUND(AT7*AG7,2)*1.1),6)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2.13</v>
      </c>
      <c r="DH7">
        <f>ROUND(ROUND(AG7*AK7,2)*CX7,2)</f>
        <v>0</v>
      </c>
      <c r="DI7">
        <f t="shared" si="1"/>
        <v>0</v>
      </c>
      <c r="DJ7">
        <f>DG7</f>
        <v>2.13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60255011</v>
      </c>
      <c r="C8">
        <v>60255128</v>
      </c>
      <c r="D8">
        <v>59041420</v>
      </c>
      <c r="E8">
        <v>1</v>
      </c>
      <c r="F8">
        <v>1</v>
      </c>
      <c r="G8">
        <v>1080</v>
      </c>
      <c r="H8">
        <v>3</v>
      </c>
      <c r="I8" t="s">
        <v>493</v>
      </c>
      <c r="J8" t="s">
        <v>494</v>
      </c>
      <c r="K8" t="s">
        <v>495</v>
      </c>
      <c r="L8">
        <v>1355</v>
      </c>
      <c r="N8">
        <v>1010</v>
      </c>
      <c r="O8" t="s">
        <v>96</v>
      </c>
      <c r="P8" t="s">
        <v>96</v>
      </c>
      <c r="Q8">
        <v>100</v>
      </c>
      <c r="W8">
        <v>0</v>
      </c>
      <c r="X8">
        <v>262154668</v>
      </c>
      <c r="Y8">
        <f>AT8</f>
        <v>2.7E-2</v>
      </c>
      <c r="AA8">
        <v>59.86</v>
      </c>
      <c r="AB8">
        <v>0</v>
      </c>
      <c r="AC8">
        <v>0</v>
      </c>
      <c r="AD8">
        <v>0</v>
      </c>
      <c r="AE8">
        <v>15.04</v>
      </c>
      <c r="AF8">
        <v>0</v>
      </c>
      <c r="AG8">
        <v>0</v>
      </c>
      <c r="AH8">
        <v>0</v>
      </c>
      <c r="AI8">
        <v>3.98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2.7E-2</v>
      </c>
      <c r="AU8" t="s">
        <v>3</v>
      </c>
      <c r="AV8">
        <v>0</v>
      </c>
      <c r="AW8">
        <v>2</v>
      </c>
      <c r="AX8">
        <v>60255869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8.1000000000000003E-2</v>
      </c>
      <c r="CY8">
        <f>AA8</f>
        <v>59.86</v>
      </c>
      <c r="CZ8">
        <f>AE8</f>
        <v>15.04</v>
      </c>
      <c r="DA8">
        <f>AI8</f>
        <v>3.98</v>
      </c>
      <c r="DB8">
        <f>ROUND(ROUND(AT8*CZ8,2),6)</f>
        <v>0.41</v>
      </c>
      <c r="DC8">
        <f>ROUND(ROUND(AT8*AG8,2),6)</f>
        <v>0</v>
      </c>
      <c r="DD8" t="s">
        <v>3</v>
      </c>
      <c r="DE8" t="s">
        <v>3</v>
      </c>
      <c r="DF8">
        <f>ROUND(ROUND(AE8*AI8,2)*CX8,2)</f>
        <v>4.8499999999999996</v>
      </c>
      <c r="DG8">
        <f t="shared" ref="DG8:DG19" si="2">ROUND(ROUND(AF8,2)*CX8,2)</f>
        <v>0</v>
      </c>
      <c r="DH8">
        <f t="shared" ref="DH8:DH19" si="3">ROUND(ROUND(AG8,2)*CX8,2)</f>
        <v>0</v>
      </c>
      <c r="DI8">
        <f t="shared" si="1"/>
        <v>0</v>
      </c>
      <c r="DJ8">
        <f>DF8</f>
        <v>4.8499999999999996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ROW(Source!A69)</f>
        <v>69</v>
      </c>
      <c r="B9">
        <v>60255014</v>
      </c>
      <c r="C9">
        <v>60256076</v>
      </c>
      <c r="D9">
        <v>58999254</v>
      </c>
      <c r="E9">
        <v>1080</v>
      </c>
      <c r="F9">
        <v>1</v>
      </c>
      <c r="G9">
        <v>1080</v>
      </c>
      <c r="H9">
        <v>1</v>
      </c>
      <c r="I9" t="s">
        <v>482</v>
      </c>
      <c r="J9" t="s">
        <v>3</v>
      </c>
      <c r="K9" t="s">
        <v>483</v>
      </c>
      <c r="L9">
        <v>1191</v>
      </c>
      <c r="N9">
        <v>1013</v>
      </c>
      <c r="O9" t="s">
        <v>484</v>
      </c>
      <c r="P9" t="s">
        <v>484</v>
      </c>
      <c r="Q9">
        <v>1</v>
      </c>
      <c r="W9">
        <v>0</v>
      </c>
      <c r="X9">
        <v>476480486</v>
      </c>
      <c r="Y9">
        <f>((AT9*1.15)*1.1)</f>
        <v>94.495500000000007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74.7</v>
      </c>
      <c r="AU9" t="s">
        <v>99</v>
      </c>
      <c r="AV9">
        <v>1</v>
      </c>
      <c r="AW9">
        <v>2</v>
      </c>
      <c r="AX9">
        <v>60256077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ROUND(AT9*Source!I69*AH9*AL9,2)</f>
        <v>0</v>
      </c>
      <c r="CV9">
        <f>ROUND(Y9*Source!I69,9)</f>
        <v>34.018380000000001</v>
      </c>
      <c r="CW9">
        <v>0</v>
      </c>
      <c r="CX9">
        <f>ROUND(Y9*Source!I69,9)</f>
        <v>34.018380000000001</v>
      </c>
      <c r="CY9">
        <f>AD9</f>
        <v>0</v>
      </c>
      <c r="CZ9">
        <f>AH9</f>
        <v>0</v>
      </c>
      <c r="DA9">
        <f>AL9</f>
        <v>1</v>
      </c>
      <c r="DB9">
        <f>ROUND(((ROUND(AT9*CZ9,2)*1.15)*1.1),6)</f>
        <v>0</v>
      </c>
      <c r="DC9">
        <f>ROUND(((ROUND(AT9*AG9,2)*1.15)*1.1),6)</f>
        <v>0</v>
      </c>
      <c r="DD9" t="s">
        <v>3</v>
      </c>
      <c r="DE9" t="s">
        <v>3</v>
      </c>
      <c r="DF9">
        <f t="shared" ref="DF9:DF23" si="4">ROUND(ROUND(AE9,2)*CX9,2)</f>
        <v>0</v>
      </c>
      <c r="DG9">
        <f t="shared" si="2"/>
        <v>0</v>
      </c>
      <c r="DH9">
        <f t="shared" si="3"/>
        <v>0</v>
      </c>
      <c r="DI9">
        <f t="shared" si="1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ROW(Source!A69)</f>
        <v>69</v>
      </c>
      <c r="B10">
        <v>60255014</v>
      </c>
      <c r="C10">
        <v>60256076</v>
      </c>
      <c r="D10">
        <v>59070669</v>
      </c>
      <c r="E10">
        <v>1</v>
      </c>
      <c r="F10">
        <v>1</v>
      </c>
      <c r="G10">
        <v>1080</v>
      </c>
      <c r="H10">
        <v>2</v>
      </c>
      <c r="I10" t="s">
        <v>485</v>
      </c>
      <c r="J10" t="s">
        <v>486</v>
      </c>
      <c r="K10" t="s">
        <v>487</v>
      </c>
      <c r="L10">
        <v>1368</v>
      </c>
      <c r="N10">
        <v>1011</v>
      </c>
      <c r="O10" t="s">
        <v>488</v>
      </c>
      <c r="P10" t="s">
        <v>488</v>
      </c>
      <c r="Q10">
        <v>1</v>
      </c>
      <c r="W10">
        <v>0</v>
      </c>
      <c r="X10">
        <v>-1985943078</v>
      </c>
      <c r="Y10">
        <f>((AT10*1.25)*1.1)</f>
        <v>0.44000000000000006</v>
      </c>
      <c r="AA10">
        <v>0</v>
      </c>
      <c r="AB10">
        <v>88.67</v>
      </c>
      <c r="AC10">
        <v>13.47</v>
      </c>
      <c r="AD10">
        <v>0</v>
      </c>
      <c r="AE10">
        <v>0</v>
      </c>
      <c r="AF10">
        <v>83.1</v>
      </c>
      <c r="AG10">
        <v>12.62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0.32</v>
      </c>
      <c r="AU10" t="s">
        <v>496</v>
      </c>
      <c r="AV10">
        <v>0</v>
      </c>
      <c r="AW10">
        <v>2</v>
      </c>
      <c r="AX10">
        <v>60256078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ROUND(Y10*Source!I69*DO10,9)</f>
        <v>1.9990079999999999</v>
      </c>
      <c r="CX10">
        <f>ROUND(Y10*Source!I69,9)</f>
        <v>0.15840000000000001</v>
      </c>
      <c r="CY10">
        <f>AB10</f>
        <v>88.67</v>
      </c>
      <c r="CZ10">
        <f>AF10</f>
        <v>83.1</v>
      </c>
      <c r="DA10">
        <f>AJ10</f>
        <v>1</v>
      </c>
      <c r="DB10">
        <f>ROUND(((ROUND(AT10*CZ10,2)*1.25)*1.1),6)</f>
        <v>36.561250000000001</v>
      </c>
      <c r="DC10">
        <f>ROUND(((ROUND(AT10*AG10,2)*1.25)*1.1),6)</f>
        <v>5.5549999999999997</v>
      </c>
      <c r="DD10" t="s">
        <v>3</v>
      </c>
      <c r="DE10" t="s">
        <v>3</v>
      </c>
      <c r="DF10">
        <f t="shared" si="4"/>
        <v>0</v>
      </c>
      <c r="DG10">
        <f t="shared" si="2"/>
        <v>13.16</v>
      </c>
      <c r="DH10">
        <f t="shared" si="3"/>
        <v>2</v>
      </c>
      <c r="DI10">
        <f t="shared" si="1"/>
        <v>0</v>
      </c>
      <c r="DJ10">
        <f>DG10</f>
        <v>13.16</v>
      </c>
      <c r="DK10">
        <v>0</v>
      </c>
      <c r="DL10" t="s">
        <v>489</v>
      </c>
      <c r="DM10">
        <v>0</v>
      </c>
      <c r="DN10" t="s">
        <v>484</v>
      </c>
      <c r="DO10">
        <v>12.62</v>
      </c>
    </row>
    <row r="11" spans="1:119" x14ac:dyDescent="0.2">
      <c r="A11">
        <f>ROW(Source!A69)</f>
        <v>69</v>
      </c>
      <c r="B11">
        <v>60255014</v>
      </c>
      <c r="C11">
        <v>60256076</v>
      </c>
      <c r="D11">
        <v>59070721</v>
      </c>
      <c r="E11">
        <v>1</v>
      </c>
      <c r="F11">
        <v>1</v>
      </c>
      <c r="G11">
        <v>1080</v>
      </c>
      <c r="H11">
        <v>2</v>
      </c>
      <c r="I11" t="s">
        <v>497</v>
      </c>
      <c r="J11" t="s">
        <v>498</v>
      </c>
      <c r="K11" t="s">
        <v>499</v>
      </c>
      <c r="L11">
        <v>1368</v>
      </c>
      <c r="N11">
        <v>1011</v>
      </c>
      <c r="O11" t="s">
        <v>488</v>
      </c>
      <c r="P11" t="s">
        <v>488</v>
      </c>
      <c r="Q11">
        <v>1</v>
      </c>
      <c r="W11">
        <v>0</v>
      </c>
      <c r="X11">
        <v>1387779639</v>
      </c>
      <c r="Y11">
        <f>((AT11*1.25)*1.1)</f>
        <v>1.7050000000000003</v>
      </c>
      <c r="AA11">
        <v>0</v>
      </c>
      <c r="AB11">
        <v>0.82</v>
      </c>
      <c r="AC11">
        <v>0</v>
      </c>
      <c r="AD11">
        <v>0</v>
      </c>
      <c r="AE11">
        <v>0</v>
      </c>
      <c r="AF11">
        <v>0.77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1.24</v>
      </c>
      <c r="AU11" t="s">
        <v>496</v>
      </c>
      <c r="AV11">
        <v>0</v>
      </c>
      <c r="AW11">
        <v>2</v>
      </c>
      <c r="AX11">
        <v>60256080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ROUND(Y11*Source!I69*DO11,9)</f>
        <v>0</v>
      </c>
      <c r="CX11">
        <f>ROUND(Y11*Source!I69,9)</f>
        <v>0.61380000000000001</v>
      </c>
      <c r="CY11">
        <f>AB11</f>
        <v>0.82</v>
      </c>
      <c r="CZ11">
        <f>AF11</f>
        <v>0.77</v>
      </c>
      <c r="DA11">
        <f>AJ11</f>
        <v>1</v>
      </c>
      <c r="DB11">
        <f>ROUND(((ROUND(AT11*CZ11,2)*1.25)*1.1),6)</f>
        <v>1.3062499999999999</v>
      </c>
      <c r="DC11">
        <f>ROUND(((ROUND(AT11*AG11,2)*1.25)*1.1),6)</f>
        <v>0</v>
      </c>
      <c r="DD11" t="s">
        <v>3</v>
      </c>
      <c r="DE11" t="s">
        <v>3</v>
      </c>
      <c r="DF11">
        <f t="shared" si="4"/>
        <v>0</v>
      </c>
      <c r="DG11">
        <f t="shared" si="2"/>
        <v>0.47</v>
      </c>
      <c r="DH11">
        <f t="shared" si="3"/>
        <v>0</v>
      </c>
      <c r="DI11">
        <f t="shared" si="1"/>
        <v>0</v>
      </c>
      <c r="DJ11">
        <f>DG11</f>
        <v>0.47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ROW(Source!A69)</f>
        <v>69</v>
      </c>
      <c r="B12">
        <v>60255014</v>
      </c>
      <c r="C12">
        <v>60256076</v>
      </c>
      <c r="D12">
        <v>59070754</v>
      </c>
      <c r="E12">
        <v>1</v>
      </c>
      <c r="F12">
        <v>1</v>
      </c>
      <c r="G12">
        <v>1080</v>
      </c>
      <c r="H12">
        <v>2</v>
      </c>
      <c r="I12" t="s">
        <v>500</v>
      </c>
      <c r="J12" t="s">
        <v>501</v>
      </c>
      <c r="K12" t="s">
        <v>502</v>
      </c>
      <c r="L12">
        <v>1368</v>
      </c>
      <c r="N12">
        <v>1011</v>
      </c>
      <c r="O12" t="s">
        <v>488</v>
      </c>
      <c r="P12" t="s">
        <v>488</v>
      </c>
      <c r="Q12">
        <v>1</v>
      </c>
      <c r="W12">
        <v>0</v>
      </c>
      <c r="X12">
        <v>1645565003</v>
      </c>
      <c r="Y12">
        <f>((AT12*1.25)*1.1)</f>
        <v>4.4275000000000011</v>
      </c>
      <c r="AA12">
        <v>0</v>
      </c>
      <c r="AB12">
        <v>0.5</v>
      </c>
      <c r="AC12">
        <v>0</v>
      </c>
      <c r="AD12">
        <v>0</v>
      </c>
      <c r="AE12">
        <v>0</v>
      </c>
      <c r="AF12">
        <v>0.47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3.22</v>
      </c>
      <c r="AU12" t="s">
        <v>496</v>
      </c>
      <c r="AV12">
        <v>0</v>
      </c>
      <c r="AW12">
        <v>2</v>
      </c>
      <c r="AX12">
        <v>60256081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ROUND(Y12*Source!I69*DO12,9)</f>
        <v>0</v>
      </c>
      <c r="CX12">
        <f>ROUND(Y12*Source!I69,9)</f>
        <v>1.5939000000000001</v>
      </c>
      <c r="CY12">
        <f>AB12</f>
        <v>0.5</v>
      </c>
      <c r="CZ12">
        <f>AF12</f>
        <v>0.47</v>
      </c>
      <c r="DA12">
        <f>AJ12</f>
        <v>1</v>
      </c>
      <c r="DB12">
        <f>ROUND(((ROUND(AT12*CZ12,2)*1.25)*1.1),6)</f>
        <v>2.0762499999999999</v>
      </c>
      <c r="DC12">
        <f>ROUND(((ROUND(AT12*AG12,2)*1.25)*1.1),6)</f>
        <v>0</v>
      </c>
      <c r="DD12" t="s">
        <v>3</v>
      </c>
      <c r="DE12" t="s">
        <v>3</v>
      </c>
      <c r="DF12">
        <f t="shared" si="4"/>
        <v>0</v>
      </c>
      <c r="DG12">
        <f t="shared" si="2"/>
        <v>0.75</v>
      </c>
      <c r="DH12">
        <f t="shared" si="3"/>
        <v>0</v>
      </c>
      <c r="DI12">
        <f t="shared" si="1"/>
        <v>0</v>
      </c>
      <c r="DJ12">
        <f>DG12</f>
        <v>0.75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ROW(Source!A69)</f>
        <v>69</v>
      </c>
      <c r="B13">
        <v>60255014</v>
      </c>
      <c r="C13">
        <v>60256076</v>
      </c>
      <c r="D13">
        <v>59069905</v>
      </c>
      <c r="E13">
        <v>1</v>
      </c>
      <c r="F13">
        <v>1</v>
      </c>
      <c r="G13">
        <v>1080</v>
      </c>
      <c r="H13">
        <v>2</v>
      </c>
      <c r="I13" t="s">
        <v>503</v>
      </c>
      <c r="J13" t="s">
        <v>504</v>
      </c>
      <c r="K13" t="s">
        <v>505</v>
      </c>
      <c r="L13">
        <v>1368</v>
      </c>
      <c r="N13">
        <v>1011</v>
      </c>
      <c r="O13" t="s">
        <v>488</v>
      </c>
      <c r="P13" t="s">
        <v>488</v>
      </c>
      <c r="Q13">
        <v>1</v>
      </c>
      <c r="W13">
        <v>0</v>
      </c>
      <c r="X13">
        <v>1087580389</v>
      </c>
      <c r="Y13">
        <f>((AT13*1.25)*1.1)</f>
        <v>0.50875000000000004</v>
      </c>
      <c r="AA13">
        <v>0</v>
      </c>
      <c r="AB13">
        <v>191.17</v>
      </c>
      <c r="AC13">
        <v>18.059999999999999</v>
      </c>
      <c r="AD13">
        <v>0</v>
      </c>
      <c r="AE13">
        <v>0</v>
      </c>
      <c r="AF13">
        <v>179.17</v>
      </c>
      <c r="AG13">
        <v>16.93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0.37</v>
      </c>
      <c r="AU13" t="s">
        <v>496</v>
      </c>
      <c r="AV13">
        <v>0</v>
      </c>
      <c r="AW13">
        <v>2</v>
      </c>
      <c r="AX13">
        <v>60256079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ROUND(Y13*Source!I69*DO13,9)</f>
        <v>3.1007294999999999</v>
      </c>
      <c r="CX13">
        <f>ROUND(Y13*Source!I69,9)</f>
        <v>0.18315000000000001</v>
      </c>
      <c r="CY13">
        <f>AB13</f>
        <v>191.17</v>
      </c>
      <c r="CZ13">
        <f>AF13</f>
        <v>179.17</v>
      </c>
      <c r="DA13">
        <f>AJ13</f>
        <v>1</v>
      </c>
      <c r="DB13">
        <f>ROUND(((ROUND(AT13*CZ13,2)*1.25)*1.1),6)</f>
        <v>91.148750000000007</v>
      </c>
      <c r="DC13">
        <f>ROUND(((ROUND(AT13*AG13,2)*1.25)*1.1),6)</f>
        <v>8.6074999999999999</v>
      </c>
      <c r="DD13" t="s">
        <v>3</v>
      </c>
      <c r="DE13" t="s">
        <v>3</v>
      </c>
      <c r="DF13">
        <f t="shared" si="4"/>
        <v>0</v>
      </c>
      <c r="DG13">
        <f t="shared" si="2"/>
        <v>32.81</v>
      </c>
      <c r="DH13">
        <f t="shared" si="3"/>
        <v>3.1</v>
      </c>
      <c r="DI13">
        <f t="shared" si="1"/>
        <v>0</v>
      </c>
      <c r="DJ13">
        <f>DG13</f>
        <v>32.81</v>
      </c>
      <c r="DK13">
        <v>0</v>
      </c>
      <c r="DL13" t="s">
        <v>489</v>
      </c>
      <c r="DM13">
        <v>0</v>
      </c>
      <c r="DN13" t="s">
        <v>484</v>
      </c>
      <c r="DO13">
        <v>16.93</v>
      </c>
    </row>
    <row r="14" spans="1:119" x14ac:dyDescent="0.2">
      <c r="A14">
        <f>ROW(Source!A69)</f>
        <v>69</v>
      </c>
      <c r="B14">
        <v>60255014</v>
      </c>
      <c r="C14">
        <v>60256076</v>
      </c>
      <c r="D14">
        <v>59038905</v>
      </c>
      <c r="E14">
        <v>1</v>
      </c>
      <c r="F14">
        <v>1</v>
      </c>
      <c r="G14">
        <v>1080</v>
      </c>
      <c r="H14">
        <v>3</v>
      </c>
      <c r="I14" t="s">
        <v>506</v>
      </c>
      <c r="J14" t="s">
        <v>507</v>
      </c>
      <c r="K14" t="s">
        <v>508</v>
      </c>
      <c r="L14">
        <v>1339</v>
      </c>
      <c r="N14">
        <v>1007</v>
      </c>
      <c r="O14" t="s">
        <v>509</v>
      </c>
      <c r="P14" t="s">
        <v>509</v>
      </c>
      <c r="Q14">
        <v>1</v>
      </c>
      <c r="W14">
        <v>0</v>
      </c>
      <c r="X14">
        <v>-744103292</v>
      </c>
      <c r="Y14">
        <f>AT14</f>
        <v>0.22700000000000001</v>
      </c>
      <c r="AA14">
        <v>7.07</v>
      </c>
      <c r="AB14">
        <v>0</v>
      </c>
      <c r="AC14">
        <v>0</v>
      </c>
      <c r="AD14">
        <v>0</v>
      </c>
      <c r="AE14">
        <v>7.07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0.22700000000000001</v>
      </c>
      <c r="AU14" t="s">
        <v>3</v>
      </c>
      <c r="AV14">
        <v>0</v>
      </c>
      <c r="AW14">
        <v>2</v>
      </c>
      <c r="AX14">
        <v>60256082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ROUND(Y14*Source!I69,9)</f>
        <v>8.1720000000000001E-2</v>
      </c>
      <c r="CY14">
        <f>AA14</f>
        <v>7.07</v>
      </c>
      <c r="CZ14">
        <f>AE14</f>
        <v>7.07</v>
      </c>
      <c r="DA14">
        <f>AI14</f>
        <v>1</v>
      </c>
      <c r="DB14">
        <f>ROUND(ROUND(AT14*CZ14,2),6)</f>
        <v>1.6</v>
      </c>
      <c r="DC14">
        <f>ROUND(ROUND(AT14*AG14,2),6)</f>
        <v>0</v>
      </c>
      <c r="DD14" t="s">
        <v>3</v>
      </c>
      <c r="DE14" t="s">
        <v>3</v>
      </c>
      <c r="DF14">
        <f t="shared" si="4"/>
        <v>0.57999999999999996</v>
      </c>
      <c r="DG14">
        <f t="shared" si="2"/>
        <v>0</v>
      </c>
      <c r="DH14">
        <f t="shared" si="3"/>
        <v>0</v>
      </c>
      <c r="DI14">
        <f t="shared" si="1"/>
        <v>0</v>
      </c>
      <c r="DJ14">
        <f>DF14</f>
        <v>0.57999999999999996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ROW(Source!A69)</f>
        <v>69</v>
      </c>
      <c r="B15">
        <v>60255014</v>
      </c>
      <c r="C15">
        <v>60256076</v>
      </c>
      <c r="D15">
        <v>59045898</v>
      </c>
      <c r="E15">
        <v>1</v>
      </c>
      <c r="F15">
        <v>1</v>
      </c>
      <c r="G15">
        <v>1080</v>
      </c>
      <c r="H15">
        <v>3</v>
      </c>
      <c r="I15" t="s">
        <v>510</v>
      </c>
      <c r="J15" t="s">
        <v>511</v>
      </c>
      <c r="K15" t="s">
        <v>512</v>
      </c>
      <c r="L15">
        <v>1355</v>
      </c>
      <c r="N15">
        <v>1010</v>
      </c>
      <c r="O15" t="s">
        <v>96</v>
      </c>
      <c r="P15" t="s">
        <v>96</v>
      </c>
      <c r="Q15">
        <v>100</v>
      </c>
      <c r="W15">
        <v>0</v>
      </c>
      <c r="X15">
        <v>2062705997</v>
      </c>
      <c r="Y15">
        <f>AT15</f>
        <v>4.04</v>
      </c>
      <c r="AA15">
        <v>154.72</v>
      </c>
      <c r="AB15">
        <v>0</v>
      </c>
      <c r="AC15">
        <v>0</v>
      </c>
      <c r="AD15">
        <v>0</v>
      </c>
      <c r="AE15">
        <v>154.72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4.04</v>
      </c>
      <c r="AU15" t="s">
        <v>3</v>
      </c>
      <c r="AV15">
        <v>0</v>
      </c>
      <c r="AW15">
        <v>2</v>
      </c>
      <c r="AX15">
        <v>60256083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ROUND(Y15*Source!I69,9)</f>
        <v>1.4543999999999999</v>
      </c>
      <c r="CY15">
        <f>AA15</f>
        <v>154.72</v>
      </c>
      <c r="CZ15">
        <f>AE15</f>
        <v>154.72</v>
      </c>
      <c r="DA15">
        <f>AI15</f>
        <v>1</v>
      </c>
      <c r="DB15">
        <f>ROUND(ROUND(AT15*CZ15,2),6)</f>
        <v>625.07000000000005</v>
      </c>
      <c r="DC15">
        <f>ROUND(ROUND(AT15*AG15,2),6)</f>
        <v>0</v>
      </c>
      <c r="DD15" t="s">
        <v>3</v>
      </c>
      <c r="DE15" t="s">
        <v>3</v>
      </c>
      <c r="DF15">
        <f t="shared" si="4"/>
        <v>225.02</v>
      </c>
      <c r="DG15">
        <f t="shared" si="2"/>
        <v>0</v>
      </c>
      <c r="DH15">
        <f t="shared" si="3"/>
        <v>0</v>
      </c>
      <c r="DI15">
        <f t="shared" si="1"/>
        <v>0</v>
      </c>
      <c r="DJ15">
        <f>DF15</f>
        <v>225.02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ROW(Source!A69)</f>
        <v>69</v>
      </c>
      <c r="B16">
        <v>60255014</v>
      </c>
      <c r="C16">
        <v>60256076</v>
      </c>
      <c r="D16">
        <v>59056195</v>
      </c>
      <c r="E16">
        <v>1</v>
      </c>
      <c r="F16">
        <v>1</v>
      </c>
      <c r="G16">
        <v>1080</v>
      </c>
      <c r="H16">
        <v>3</v>
      </c>
      <c r="I16" t="s">
        <v>513</v>
      </c>
      <c r="J16" t="s">
        <v>514</v>
      </c>
      <c r="K16" t="s">
        <v>515</v>
      </c>
      <c r="L16">
        <v>1354</v>
      </c>
      <c r="N16">
        <v>1010</v>
      </c>
      <c r="O16" t="s">
        <v>31</v>
      </c>
      <c r="P16" t="s">
        <v>31</v>
      </c>
      <c r="Q16">
        <v>1</v>
      </c>
      <c r="W16">
        <v>0</v>
      </c>
      <c r="X16">
        <v>-572380273</v>
      </c>
      <c r="Y16">
        <f>AT16</f>
        <v>200</v>
      </c>
      <c r="AA16">
        <v>7.24</v>
      </c>
      <c r="AB16">
        <v>0</v>
      </c>
      <c r="AC16">
        <v>0</v>
      </c>
      <c r="AD16">
        <v>0</v>
      </c>
      <c r="AE16">
        <v>7.24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200</v>
      </c>
      <c r="AU16" t="s">
        <v>3</v>
      </c>
      <c r="AV16">
        <v>0</v>
      </c>
      <c r="AW16">
        <v>2</v>
      </c>
      <c r="AX16">
        <v>60256084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ROUND(Y16*Source!I69,9)</f>
        <v>72</v>
      </c>
      <c r="CY16">
        <f>AA16</f>
        <v>7.24</v>
      </c>
      <c r="CZ16">
        <f>AE16</f>
        <v>7.24</v>
      </c>
      <c r="DA16">
        <f>AI16</f>
        <v>1</v>
      </c>
      <c r="DB16">
        <f>ROUND(ROUND(AT16*CZ16,2),6)</f>
        <v>1448</v>
      </c>
      <c r="DC16">
        <f>ROUND(ROUND(AT16*AG16,2),6)</f>
        <v>0</v>
      </c>
      <c r="DD16" t="s">
        <v>3</v>
      </c>
      <c r="DE16" t="s">
        <v>3</v>
      </c>
      <c r="DF16">
        <f t="shared" si="4"/>
        <v>521.28</v>
      </c>
      <c r="DG16">
        <f t="shared" si="2"/>
        <v>0</v>
      </c>
      <c r="DH16">
        <f t="shared" si="3"/>
        <v>0</v>
      </c>
      <c r="DI16">
        <f t="shared" si="1"/>
        <v>0</v>
      </c>
      <c r="DJ16">
        <f>DF16</f>
        <v>521.28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ROW(Source!A69)</f>
        <v>69</v>
      </c>
      <c r="B17">
        <v>60255014</v>
      </c>
      <c r="C17">
        <v>60256076</v>
      </c>
      <c r="D17">
        <v>59049377</v>
      </c>
      <c r="E17">
        <v>1</v>
      </c>
      <c r="F17">
        <v>1</v>
      </c>
      <c r="G17">
        <v>1080</v>
      </c>
      <c r="H17">
        <v>3</v>
      </c>
      <c r="I17" t="s">
        <v>516</v>
      </c>
      <c r="J17" t="s">
        <v>517</v>
      </c>
      <c r="K17" t="s">
        <v>518</v>
      </c>
      <c r="L17">
        <v>1354</v>
      </c>
      <c r="N17">
        <v>1010</v>
      </c>
      <c r="O17" t="s">
        <v>31</v>
      </c>
      <c r="P17" t="s">
        <v>31</v>
      </c>
      <c r="Q17">
        <v>1</v>
      </c>
      <c r="W17">
        <v>0</v>
      </c>
      <c r="X17">
        <v>501598144</v>
      </c>
      <c r="Y17">
        <f>AT17</f>
        <v>0.68400000000000005</v>
      </c>
      <c r="AA17">
        <v>6.12</v>
      </c>
      <c r="AB17">
        <v>0</v>
      </c>
      <c r="AC17">
        <v>0</v>
      </c>
      <c r="AD17">
        <v>0</v>
      </c>
      <c r="AE17">
        <v>6.12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0.68400000000000005</v>
      </c>
      <c r="AU17" t="s">
        <v>3</v>
      </c>
      <c r="AV17">
        <v>0</v>
      </c>
      <c r="AW17">
        <v>2</v>
      </c>
      <c r="AX17">
        <v>60256085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ROUND(Y17*Source!I69,9)</f>
        <v>0.24623999999999999</v>
      </c>
      <c r="CY17">
        <f>AA17</f>
        <v>6.12</v>
      </c>
      <c r="CZ17">
        <f>AE17</f>
        <v>6.12</v>
      </c>
      <c r="DA17">
        <f>AI17</f>
        <v>1</v>
      </c>
      <c r="DB17">
        <f>ROUND(ROUND(AT17*CZ17,2),6)</f>
        <v>4.1900000000000004</v>
      </c>
      <c r="DC17">
        <f>ROUND(ROUND(AT17*AG17,2),6)</f>
        <v>0</v>
      </c>
      <c r="DD17" t="s">
        <v>3</v>
      </c>
      <c r="DE17" t="s">
        <v>3</v>
      </c>
      <c r="DF17">
        <f t="shared" si="4"/>
        <v>1.51</v>
      </c>
      <c r="DG17">
        <f t="shared" si="2"/>
        <v>0</v>
      </c>
      <c r="DH17">
        <f t="shared" si="3"/>
        <v>0</v>
      </c>
      <c r="DI17">
        <f t="shared" si="1"/>
        <v>0</v>
      </c>
      <c r="DJ17">
        <f>DF17</f>
        <v>1.51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ROW(Source!A69)</f>
        <v>69</v>
      </c>
      <c r="B18">
        <v>60255014</v>
      </c>
      <c r="C18">
        <v>60256076</v>
      </c>
      <c r="D18">
        <v>59004259</v>
      </c>
      <c r="E18">
        <v>1080</v>
      </c>
      <c r="F18">
        <v>1</v>
      </c>
      <c r="G18">
        <v>1080</v>
      </c>
      <c r="H18">
        <v>3</v>
      </c>
      <c r="I18" t="s">
        <v>519</v>
      </c>
      <c r="J18" t="s">
        <v>3</v>
      </c>
      <c r="K18" t="s">
        <v>520</v>
      </c>
      <c r="L18">
        <v>1344</v>
      </c>
      <c r="N18">
        <v>1008</v>
      </c>
      <c r="O18" t="s">
        <v>521</v>
      </c>
      <c r="P18" t="s">
        <v>521</v>
      </c>
      <c r="Q18">
        <v>1</v>
      </c>
      <c r="W18">
        <v>0</v>
      </c>
      <c r="X18">
        <v>-94250534</v>
      </c>
      <c r="Y18">
        <f>AT18</f>
        <v>0.04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0.04</v>
      </c>
      <c r="AU18" t="s">
        <v>3</v>
      </c>
      <c r="AV18">
        <v>0</v>
      </c>
      <c r="AW18">
        <v>2</v>
      </c>
      <c r="AX18">
        <v>60256087</v>
      </c>
      <c r="AY18">
        <v>1</v>
      </c>
      <c r="AZ18">
        <v>0</v>
      </c>
      <c r="BA18">
        <v>21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ROUND(Y18*Source!I69,9)</f>
        <v>1.44E-2</v>
      </c>
      <c r="CY18">
        <f>AA18</f>
        <v>1</v>
      </c>
      <c r="CZ18">
        <f>AE18</f>
        <v>1</v>
      </c>
      <c r="DA18">
        <f>AI18</f>
        <v>1</v>
      </c>
      <c r="DB18">
        <f>ROUND(ROUND(AT18*CZ18,2),6)</f>
        <v>0.04</v>
      </c>
      <c r="DC18">
        <f>ROUND(ROUND(AT18*AG18,2),6)</f>
        <v>0</v>
      </c>
      <c r="DD18" t="s">
        <v>3</v>
      </c>
      <c r="DE18" t="s">
        <v>3</v>
      </c>
      <c r="DF18">
        <f t="shared" si="4"/>
        <v>0.01</v>
      </c>
      <c r="DG18">
        <f t="shared" si="2"/>
        <v>0</v>
      </c>
      <c r="DH18">
        <f t="shared" si="3"/>
        <v>0</v>
      </c>
      <c r="DI18">
        <f t="shared" si="1"/>
        <v>0</v>
      </c>
      <c r="DJ18">
        <f>DF18</f>
        <v>0.01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ROW(Source!A70)</f>
        <v>70</v>
      </c>
      <c r="B19">
        <v>60255011</v>
      </c>
      <c r="C19">
        <v>60256076</v>
      </c>
      <c r="D19">
        <v>58999254</v>
      </c>
      <c r="E19">
        <v>1080</v>
      </c>
      <c r="F19">
        <v>1</v>
      </c>
      <c r="G19">
        <v>1080</v>
      </c>
      <c r="H19">
        <v>1</v>
      </c>
      <c r="I19" t="s">
        <v>482</v>
      </c>
      <c r="J19" t="s">
        <v>3</v>
      </c>
      <c r="K19" t="s">
        <v>483</v>
      </c>
      <c r="L19">
        <v>1191</v>
      </c>
      <c r="N19">
        <v>1013</v>
      </c>
      <c r="O19" t="s">
        <v>484</v>
      </c>
      <c r="P19" t="s">
        <v>484</v>
      </c>
      <c r="Q19">
        <v>1</v>
      </c>
      <c r="W19">
        <v>0</v>
      </c>
      <c r="X19">
        <v>476480486</v>
      </c>
      <c r="Y19">
        <f>((AT19*1.15)*1.1)</f>
        <v>94.495500000000007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5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74.7</v>
      </c>
      <c r="AU19" t="s">
        <v>99</v>
      </c>
      <c r="AV19">
        <v>1</v>
      </c>
      <c r="AW19">
        <v>2</v>
      </c>
      <c r="AX19">
        <v>60256077</v>
      </c>
      <c r="AY19">
        <v>1</v>
      </c>
      <c r="AZ19">
        <v>0</v>
      </c>
      <c r="BA19">
        <v>22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ROUND(AT19*Source!I70*AH19*AL19,2)</f>
        <v>0</v>
      </c>
      <c r="CV19">
        <f>ROUND(Y19*Source!I70,9)</f>
        <v>34.018380000000001</v>
      </c>
      <c r="CW19">
        <v>0</v>
      </c>
      <c r="CX19">
        <f>ROUND(Y19*Source!I70,9)</f>
        <v>34.018380000000001</v>
      </c>
      <c r="CY19">
        <f>AD19</f>
        <v>0</v>
      </c>
      <c r="CZ19">
        <f>AH19</f>
        <v>0</v>
      </c>
      <c r="DA19">
        <f>AL19</f>
        <v>1</v>
      </c>
      <c r="DB19">
        <f>ROUND(((ROUND(AT19*CZ19,2)*1.15)*1.1),6)</f>
        <v>0</v>
      </c>
      <c r="DC19">
        <f>ROUND(((ROUND(AT19*AG19,2)*1.15)*1.1),6)</f>
        <v>0</v>
      </c>
      <c r="DD19" t="s">
        <v>3</v>
      </c>
      <c r="DE19" t="s">
        <v>3</v>
      </c>
      <c r="DF19">
        <f t="shared" si="4"/>
        <v>0</v>
      </c>
      <c r="DG19">
        <f t="shared" si="2"/>
        <v>0</v>
      </c>
      <c r="DH19">
        <f t="shared" si="3"/>
        <v>0</v>
      </c>
      <c r="DI19">
        <f t="shared" si="1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ROW(Source!A70)</f>
        <v>70</v>
      </c>
      <c r="B20">
        <v>60255011</v>
      </c>
      <c r="C20">
        <v>60256076</v>
      </c>
      <c r="D20">
        <v>59070669</v>
      </c>
      <c r="E20">
        <v>1</v>
      </c>
      <c r="F20">
        <v>1</v>
      </c>
      <c r="G20">
        <v>1080</v>
      </c>
      <c r="H20">
        <v>2</v>
      </c>
      <c r="I20" t="s">
        <v>485</v>
      </c>
      <c r="J20" t="s">
        <v>486</v>
      </c>
      <c r="K20" t="s">
        <v>487</v>
      </c>
      <c r="L20">
        <v>1368</v>
      </c>
      <c r="N20">
        <v>1011</v>
      </c>
      <c r="O20" t="s">
        <v>488</v>
      </c>
      <c r="P20" t="s">
        <v>488</v>
      </c>
      <c r="Q20">
        <v>1</v>
      </c>
      <c r="W20">
        <v>0</v>
      </c>
      <c r="X20">
        <v>-1985943078</v>
      </c>
      <c r="Y20">
        <f>((AT20*1.25)*1.1)</f>
        <v>0.44000000000000006</v>
      </c>
      <c r="AA20">
        <v>0</v>
      </c>
      <c r="AB20">
        <v>1445.28</v>
      </c>
      <c r="AC20">
        <v>740.47</v>
      </c>
      <c r="AD20">
        <v>0</v>
      </c>
      <c r="AE20">
        <v>0</v>
      </c>
      <c r="AF20">
        <v>83.1</v>
      </c>
      <c r="AG20">
        <v>12.62</v>
      </c>
      <c r="AH20">
        <v>0</v>
      </c>
      <c r="AI20">
        <v>1</v>
      </c>
      <c r="AJ20">
        <v>16.3</v>
      </c>
      <c r="AK20">
        <v>54.99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0.32</v>
      </c>
      <c r="AU20" t="s">
        <v>496</v>
      </c>
      <c r="AV20">
        <v>0</v>
      </c>
      <c r="AW20">
        <v>2</v>
      </c>
      <c r="AX20">
        <v>60256078</v>
      </c>
      <c r="AY20">
        <v>1</v>
      </c>
      <c r="AZ20">
        <v>0</v>
      </c>
      <c r="BA20">
        <v>23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ROUND(Y20*Source!I70*DO20,9)</f>
        <v>1.9990079999999999</v>
      </c>
      <c r="CX20">
        <f>ROUND(Y20*Source!I70,9)</f>
        <v>0.15840000000000001</v>
      </c>
      <c r="CY20">
        <f>AB20</f>
        <v>1445.28</v>
      </c>
      <c r="CZ20">
        <f>AF20</f>
        <v>83.1</v>
      </c>
      <c r="DA20">
        <f>AJ20</f>
        <v>16.3</v>
      </c>
      <c r="DB20">
        <f>ROUND(((ROUND(AT20*CZ20,2)*1.25)*1.1),6)</f>
        <v>36.561250000000001</v>
      </c>
      <c r="DC20">
        <f>ROUND(((ROUND(AT20*AG20,2)*1.25)*1.1),6)</f>
        <v>5.5549999999999997</v>
      </c>
      <c r="DD20" t="s">
        <v>3</v>
      </c>
      <c r="DE20" t="s">
        <v>3</v>
      </c>
      <c r="DF20">
        <f t="shared" si="4"/>
        <v>0</v>
      </c>
      <c r="DG20">
        <f>ROUND(ROUND(AF20*AJ20,2)*CX20,2)</f>
        <v>214.56</v>
      </c>
      <c r="DH20">
        <f>ROUND(ROUND(AG20*AK20,2)*CX20,2)</f>
        <v>109.92</v>
      </c>
      <c r="DI20">
        <f t="shared" si="1"/>
        <v>0</v>
      </c>
      <c r="DJ20">
        <f>DG20</f>
        <v>214.56</v>
      </c>
      <c r="DK20">
        <v>0</v>
      </c>
      <c r="DL20" t="s">
        <v>489</v>
      </c>
      <c r="DM20">
        <v>0</v>
      </c>
      <c r="DN20" t="s">
        <v>484</v>
      </c>
      <c r="DO20">
        <v>12.62</v>
      </c>
    </row>
    <row r="21" spans="1:119" x14ac:dyDescent="0.2">
      <c r="A21">
        <f>ROW(Source!A70)</f>
        <v>70</v>
      </c>
      <c r="B21">
        <v>60255011</v>
      </c>
      <c r="C21">
        <v>60256076</v>
      </c>
      <c r="D21">
        <v>59070721</v>
      </c>
      <c r="E21">
        <v>1</v>
      </c>
      <c r="F21">
        <v>1</v>
      </c>
      <c r="G21">
        <v>1080</v>
      </c>
      <c r="H21">
        <v>2</v>
      </c>
      <c r="I21" t="s">
        <v>497</v>
      </c>
      <c r="J21" t="s">
        <v>498</v>
      </c>
      <c r="K21" t="s">
        <v>499</v>
      </c>
      <c r="L21">
        <v>1368</v>
      </c>
      <c r="N21">
        <v>1011</v>
      </c>
      <c r="O21" t="s">
        <v>488</v>
      </c>
      <c r="P21" t="s">
        <v>488</v>
      </c>
      <c r="Q21">
        <v>1</v>
      </c>
      <c r="W21">
        <v>0</v>
      </c>
      <c r="X21">
        <v>1387779639</v>
      </c>
      <c r="Y21">
        <f>((AT21*1.25)*1.1)</f>
        <v>1.7050000000000003</v>
      </c>
      <c r="AA21">
        <v>0</v>
      </c>
      <c r="AB21">
        <v>7.11</v>
      </c>
      <c r="AC21">
        <v>0</v>
      </c>
      <c r="AD21">
        <v>0</v>
      </c>
      <c r="AE21">
        <v>0</v>
      </c>
      <c r="AF21">
        <v>0.77</v>
      </c>
      <c r="AG21">
        <v>0</v>
      </c>
      <c r="AH21">
        <v>0</v>
      </c>
      <c r="AI21">
        <v>1</v>
      </c>
      <c r="AJ21">
        <v>8.66</v>
      </c>
      <c r="AK21">
        <v>54.99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1.24</v>
      </c>
      <c r="AU21" t="s">
        <v>496</v>
      </c>
      <c r="AV21">
        <v>0</v>
      </c>
      <c r="AW21">
        <v>2</v>
      </c>
      <c r="AX21">
        <v>60256080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ROUND(Y21*Source!I70*DO21,9)</f>
        <v>0</v>
      </c>
      <c r="CX21">
        <f>ROUND(Y21*Source!I70,9)</f>
        <v>0.61380000000000001</v>
      </c>
      <c r="CY21">
        <f>AB21</f>
        <v>7.11</v>
      </c>
      <c r="CZ21">
        <f>AF21</f>
        <v>0.77</v>
      </c>
      <c r="DA21">
        <f>AJ21</f>
        <v>8.66</v>
      </c>
      <c r="DB21">
        <f>ROUND(((ROUND(AT21*CZ21,2)*1.25)*1.1),6)</f>
        <v>1.3062499999999999</v>
      </c>
      <c r="DC21">
        <f>ROUND(((ROUND(AT21*AG21,2)*1.25)*1.1),6)</f>
        <v>0</v>
      </c>
      <c r="DD21" t="s">
        <v>3</v>
      </c>
      <c r="DE21" t="s">
        <v>3</v>
      </c>
      <c r="DF21">
        <f t="shared" si="4"/>
        <v>0</v>
      </c>
      <c r="DG21">
        <f>ROUND(ROUND(AF21*AJ21,2)*CX21,2)</f>
        <v>4.09</v>
      </c>
      <c r="DH21">
        <f>ROUND(ROUND(AG21*AK21,2)*CX21,2)</f>
        <v>0</v>
      </c>
      <c r="DI21">
        <f t="shared" si="1"/>
        <v>0</v>
      </c>
      <c r="DJ21">
        <f>DG21</f>
        <v>4.09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ROW(Source!A70)</f>
        <v>70</v>
      </c>
      <c r="B22">
        <v>60255011</v>
      </c>
      <c r="C22">
        <v>60256076</v>
      </c>
      <c r="D22">
        <v>59070754</v>
      </c>
      <c r="E22">
        <v>1</v>
      </c>
      <c r="F22">
        <v>1</v>
      </c>
      <c r="G22">
        <v>1080</v>
      </c>
      <c r="H22">
        <v>2</v>
      </c>
      <c r="I22" t="s">
        <v>500</v>
      </c>
      <c r="J22" t="s">
        <v>501</v>
      </c>
      <c r="K22" t="s">
        <v>502</v>
      </c>
      <c r="L22">
        <v>1368</v>
      </c>
      <c r="N22">
        <v>1011</v>
      </c>
      <c r="O22" t="s">
        <v>488</v>
      </c>
      <c r="P22" t="s">
        <v>488</v>
      </c>
      <c r="Q22">
        <v>1</v>
      </c>
      <c r="W22">
        <v>0</v>
      </c>
      <c r="X22">
        <v>1645565003</v>
      </c>
      <c r="Y22">
        <f>((AT22*1.25)*1.1)</f>
        <v>4.4275000000000011</v>
      </c>
      <c r="AA22">
        <v>0</v>
      </c>
      <c r="AB22">
        <v>4.38</v>
      </c>
      <c r="AC22">
        <v>0</v>
      </c>
      <c r="AD22">
        <v>0</v>
      </c>
      <c r="AE22">
        <v>0</v>
      </c>
      <c r="AF22">
        <v>0.47</v>
      </c>
      <c r="AG22">
        <v>0</v>
      </c>
      <c r="AH22">
        <v>0</v>
      </c>
      <c r="AI22">
        <v>1</v>
      </c>
      <c r="AJ22">
        <v>8.74</v>
      </c>
      <c r="AK22">
        <v>54.99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3.22</v>
      </c>
      <c r="AU22" t="s">
        <v>496</v>
      </c>
      <c r="AV22">
        <v>0</v>
      </c>
      <c r="AW22">
        <v>2</v>
      </c>
      <c r="AX22">
        <v>60256081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ROUND(Y22*Source!I70*DO22,9)</f>
        <v>0</v>
      </c>
      <c r="CX22">
        <f>ROUND(Y22*Source!I70,9)</f>
        <v>1.5939000000000001</v>
      </c>
      <c r="CY22">
        <f>AB22</f>
        <v>4.38</v>
      </c>
      <c r="CZ22">
        <f>AF22</f>
        <v>0.47</v>
      </c>
      <c r="DA22">
        <f>AJ22</f>
        <v>8.74</v>
      </c>
      <c r="DB22">
        <f>ROUND(((ROUND(AT22*CZ22,2)*1.25)*1.1),6)</f>
        <v>2.0762499999999999</v>
      </c>
      <c r="DC22">
        <f>ROUND(((ROUND(AT22*AG22,2)*1.25)*1.1),6)</f>
        <v>0</v>
      </c>
      <c r="DD22" t="s">
        <v>3</v>
      </c>
      <c r="DE22" t="s">
        <v>3</v>
      </c>
      <c r="DF22">
        <f t="shared" si="4"/>
        <v>0</v>
      </c>
      <c r="DG22">
        <f>ROUND(ROUND(AF22*AJ22,2)*CX22,2)</f>
        <v>6.55</v>
      </c>
      <c r="DH22">
        <f>ROUND(ROUND(AG22*AK22,2)*CX22,2)</f>
        <v>0</v>
      </c>
      <c r="DI22">
        <f t="shared" si="1"/>
        <v>0</v>
      </c>
      <c r="DJ22">
        <f>DG22</f>
        <v>6.55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ROW(Source!A70)</f>
        <v>70</v>
      </c>
      <c r="B23">
        <v>60255011</v>
      </c>
      <c r="C23">
        <v>60256076</v>
      </c>
      <c r="D23">
        <v>59069905</v>
      </c>
      <c r="E23">
        <v>1</v>
      </c>
      <c r="F23">
        <v>1</v>
      </c>
      <c r="G23">
        <v>1080</v>
      </c>
      <c r="H23">
        <v>2</v>
      </c>
      <c r="I23" t="s">
        <v>503</v>
      </c>
      <c r="J23" t="s">
        <v>504</v>
      </c>
      <c r="K23" t="s">
        <v>505</v>
      </c>
      <c r="L23">
        <v>1368</v>
      </c>
      <c r="N23">
        <v>1011</v>
      </c>
      <c r="O23" t="s">
        <v>488</v>
      </c>
      <c r="P23" t="s">
        <v>488</v>
      </c>
      <c r="Q23">
        <v>1</v>
      </c>
      <c r="W23">
        <v>0</v>
      </c>
      <c r="X23">
        <v>1087580389</v>
      </c>
      <c r="Y23">
        <f>((AT23*1.25)*1.1)</f>
        <v>0.50875000000000004</v>
      </c>
      <c r="AA23">
        <v>0</v>
      </c>
      <c r="AB23">
        <v>2628.65</v>
      </c>
      <c r="AC23">
        <v>993.36</v>
      </c>
      <c r="AD23">
        <v>0</v>
      </c>
      <c r="AE23">
        <v>0</v>
      </c>
      <c r="AF23">
        <v>179.17</v>
      </c>
      <c r="AG23">
        <v>16.93</v>
      </c>
      <c r="AH23">
        <v>0</v>
      </c>
      <c r="AI23">
        <v>1</v>
      </c>
      <c r="AJ23">
        <v>13.75</v>
      </c>
      <c r="AK23">
        <v>54.99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0.37</v>
      </c>
      <c r="AU23" t="s">
        <v>496</v>
      </c>
      <c r="AV23">
        <v>0</v>
      </c>
      <c r="AW23">
        <v>2</v>
      </c>
      <c r="AX23">
        <v>60256079</v>
      </c>
      <c r="AY23">
        <v>1</v>
      </c>
      <c r="AZ23">
        <v>0</v>
      </c>
      <c r="BA23">
        <v>26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ROUND(Y23*Source!I70*DO23,9)</f>
        <v>3.1007294999999999</v>
      </c>
      <c r="CX23">
        <f>ROUND(Y23*Source!I70,9)</f>
        <v>0.18315000000000001</v>
      </c>
      <c r="CY23">
        <f>AB23</f>
        <v>2628.65</v>
      </c>
      <c r="CZ23">
        <f>AF23</f>
        <v>179.17</v>
      </c>
      <c r="DA23">
        <f>AJ23</f>
        <v>13.75</v>
      </c>
      <c r="DB23">
        <f>ROUND(((ROUND(AT23*CZ23,2)*1.25)*1.1),6)</f>
        <v>91.148750000000007</v>
      </c>
      <c r="DC23">
        <f>ROUND(((ROUND(AT23*AG23,2)*1.25)*1.1),6)</f>
        <v>8.6074999999999999</v>
      </c>
      <c r="DD23" t="s">
        <v>3</v>
      </c>
      <c r="DE23" t="s">
        <v>3</v>
      </c>
      <c r="DF23">
        <f t="shared" si="4"/>
        <v>0</v>
      </c>
      <c r="DG23">
        <f>ROUND(ROUND(AF23*AJ23,2)*CX23,2)</f>
        <v>451.21</v>
      </c>
      <c r="DH23">
        <f>ROUND(ROUND(AG23*AK23,2)*CX23,2)</f>
        <v>170.51</v>
      </c>
      <c r="DI23">
        <f t="shared" si="1"/>
        <v>0</v>
      </c>
      <c r="DJ23">
        <f>DG23</f>
        <v>451.21</v>
      </c>
      <c r="DK23">
        <v>0</v>
      </c>
      <c r="DL23" t="s">
        <v>489</v>
      </c>
      <c r="DM23">
        <v>0</v>
      </c>
      <c r="DN23" t="s">
        <v>484</v>
      </c>
      <c r="DO23">
        <v>16.93</v>
      </c>
    </row>
    <row r="24" spans="1:119" x14ac:dyDescent="0.2">
      <c r="A24">
        <f>ROW(Source!A70)</f>
        <v>70</v>
      </c>
      <c r="B24">
        <v>60255011</v>
      </c>
      <c r="C24">
        <v>60256076</v>
      </c>
      <c r="D24">
        <v>59038905</v>
      </c>
      <c r="E24">
        <v>1</v>
      </c>
      <c r="F24">
        <v>1</v>
      </c>
      <c r="G24">
        <v>1080</v>
      </c>
      <c r="H24">
        <v>3</v>
      </c>
      <c r="I24" t="s">
        <v>506</v>
      </c>
      <c r="J24" t="s">
        <v>507</v>
      </c>
      <c r="K24" t="s">
        <v>508</v>
      </c>
      <c r="L24">
        <v>1339</v>
      </c>
      <c r="N24">
        <v>1007</v>
      </c>
      <c r="O24" t="s">
        <v>509</v>
      </c>
      <c r="P24" t="s">
        <v>509</v>
      </c>
      <c r="Q24">
        <v>1</v>
      </c>
      <c r="W24">
        <v>0</v>
      </c>
      <c r="X24">
        <v>-744103292</v>
      </c>
      <c r="Y24">
        <f>AT24</f>
        <v>0.22700000000000001</v>
      </c>
      <c r="AA24">
        <v>54.79</v>
      </c>
      <c r="AB24">
        <v>0</v>
      </c>
      <c r="AC24">
        <v>0</v>
      </c>
      <c r="AD24">
        <v>0</v>
      </c>
      <c r="AE24">
        <v>7.07</v>
      </c>
      <c r="AF24">
        <v>0</v>
      </c>
      <c r="AG24">
        <v>0</v>
      </c>
      <c r="AH24">
        <v>0</v>
      </c>
      <c r="AI24">
        <v>7.75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0.22700000000000001</v>
      </c>
      <c r="AU24" t="s">
        <v>3</v>
      </c>
      <c r="AV24">
        <v>0</v>
      </c>
      <c r="AW24">
        <v>2</v>
      </c>
      <c r="AX24">
        <v>60256082</v>
      </c>
      <c r="AY24">
        <v>1</v>
      </c>
      <c r="AZ24">
        <v>0</v>
      </c>
      <c r="BA24">
        <v>27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ROUND(Y24*Source!I70,9)</f>
        <v>8.1720000000000001E-2</v>
      </c>
      <c r="CY24">
        <f>AA24</f>
        <v>54.79</v>
      </c>
      <c r="CZ24">
        <f>AE24</f>
        <v>7.07</v>
      </c>
      <c r="DA24">
        <f>AI24</f>
        <v>7.75</v>
      </c>
      <c r="DB24">
        <f>ROUND(ROUND(AT24*CZ24,2),6)</f>
        <v>1.6</v>
      </c>
      <c r="DC24">
        <f>ROUND(ROUND(AT24*AG24,2),6)</f>
        <v>0</v>
      </c>
      <c r="DD24" t="s">
        <v>3</v>
      </c>
      <c r="DE24" t="s">
        <v>3</v>
      </c>
      <c r="DF24">
        <f>ROUND(ROUND(AE24*AI24,2)*CX24,2)</f>
        <v>4.4800000000000004</v>
      </c>
      <c r="DG24">
        <f t="shared" ref="DG24:DG39" si="5">ROUND(ROUND(AF24,2)*CX24,2)</f>
        <v>0</v>
      </c>
      <c r="DH24">
        <f t="shared" ref="DH24:DH39" si="6">ROUND(ROUND(AG24,2)*CX24,2)</f>
        <v>0</v>
      </c>
      <c r="DI24">
        <f t="shared" si="1"/>
        <v>0</v>
      </c>
      <c r="DJ24">
        <f>DF24</f>
        <v>4.4800000000000004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ROW(Source!A70)</f>
        <v>70</v>
      </c>
      <c r="B25">
        <v>60255011</v>
      </c>
      <c r="C25">
        <v>60256076</v>
      </c>
      <c r="D25">
        <v>59045898</v>
      </c>
      <c r="E25">
        <v>1</v>
      </c>
      <c r="F25">
        <v>1</v>
      </c>
      <c r="G25">
        <v>1080</v>
      </c>
      <c r="H25">
        <v>3</v>
      </c>
      <c r="I25" t="s">
        <v>510</v>
      </c>
      <c r="J25" t="s">
        <v>511</v>
      </c>
      <c r="K25" t="s">
        <v>512</v>
      </c>
      <c r="L25">
        <v>1355</v>
      </c>
      <c r="N25">
        <v>1010</v>
      </c>
      <c r="O25" t="s">
        <v>96</v>
      </c>
      <c r="P25" t="s">
        <v>96</v>
      </c>
      <c r="Q25">
        <v>100</v>
      </c>
      <c r="W25">
        <v>0</v>
      </c>
      <c r="X25">
        <v>2062705997</v>
      </c>
      <c r="Y25">
        <f>AT25</f>
        <v>4.04</v>
      </c>
      <c r="AA25">
        <v>1401.76</v>
      </c>
      <c r="AB25">
        <v>0</v>
      </c>
      <c r="AC25">
        <v>0</v>
      </c>
      <c r="AD25">
        <v>0</v>
      </c>
      <c r="AE25">
        <v>154.72</v>
      </c>
      <c r="AF25">
        <v>0</v>
      </c>
      <c r="AG25">
        <v>0</v>
      </c>
      <c r="AH25">
        <v>0</v>
      </c>
      <c r="AI25">
        <v>9.06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4.04</v>
      </c>
      <c r="AU25" t="s">
        <v>3</v>
      </c>
      <c r="AV25">
        <v>0</v>
      </c>
      <c r="AW25">
        <v>2</v>
      </c>
      <c r="AX25">
        <v>60256083</v>
      </c>
      <c r="AY25">
        <v>1</v>
      </c>
      <c r="AZ25">
        <v>0</v>
      </c>
      <c r="BA25">
        <v>28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ROUND(Y25*Source!I70,9)</f>
        <v>1.4543999999999999</v>
      </c>
      <c r="CY25">
        <f>AA25</f>
        <v>1401.76</v>
      </c>
      <c r="CZ25">
        <f>AE25</f>
        <v>154.72</v>
      </c>
      <c r="DA25">
        <f>AI25</f>
        <v>9.06</v>
      </c>
      <c r="DB25">
        <f>ROUND(ROUND(AT25*CZ25,2),6)</f>
        <v>625.07000000000005</v>
      </c>
      <c r="DC25">
        <f>ROUND(ROUND(AT25*AG25,2),6)</f>
        <v>0</v>
      </c>
      <c r="DD25" t="s">
        <v>3</v>
      </c>
      <c r="DE25" t="s">
        <v>3</v>
      </c>
      <c r="DF25">
        <f>ROUND(ROUND(AE25*AI25,2)*CX25,2)</f>
        <v>2038.72</v>
      </c>
      <c r="DG25">
        <f t="shared" si="5"/>
        <v>0</v>
      </c>
      <c r="DH25">
        <f t="shared" si="6"/>
        <v>0</v>
      </c>
      <c r="DI25">
        <f t="shared" si="1"/>
        <v>0</v>
      </c>
      <c r="DJ25">
        <f>DF25</f>
        <v>2038.72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ROW(Source!A70)</f>
        <v>70</v>
      </c>
      <c r="B26">
        <v>60255011</v>
      </c>
      <c r="C26">
        <v>60256076</v>
      </c>
      <c r="D26">
        <v>59056195</v>
      </c>
      <c r="E26">
        <v>1</v>
      </c>
      <c r="F26">
        <v>1</v>
      </c>
      <c r="G26">
        <v>1080</v>
      </c>
      <c r="H26">
        <v>3</v>
      </c>
      <c r="I26" t="s">
        <v>513</v>
      </c>
      <c r="J26" t="s">
        <v>514</v>
      </c>
      <c r="K26" t="s">
        <v>515</v>
      </c>
      <c r="L26">
        <v>1354</v>
      </c>
      <c r="N26">
        <v>1010</v>
      </c>
      <c r="O26" t="s">
        <v>31</v>
      </c>
      <c r="P26" t="s">
        <v>31</v>
      </c>
      <c r="Q26">
        <v>1</v>
      </c>
      <c r="W26">
        <v>0</v>
      </c>
      <c r="X26">
        <v>-572380273</v>
      </c>
      <c r="Y26">
        <f>AT26</f>
        <v>200</v>
      </c>
      <c r="AA26">
        <v>185.42</v>
      </c>
      <c r="AB26">
        <v>0</v>
      </c>
      <c r="AC26">
        <v>0</v>
      </c>
      <c r="AD26">
        <v>0</v>
      </c>
      <c r="AE26">
        <v>7.24</v>
      </c>
      <c r="AF26">
        <v>0</v>
      </c>
      <c r="AG26">
        <v>0</v>
      </c>
      <c r="AH26">
        <v>0</v>
      </c>
      <c r="AI26">
        <v>25.61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200</v>
      </c>
      <c r="AU26" t="s">
        <v>3</v>
      </c>
      <c r="AV26">
        <v>0</v>
      </c>
      <c r="AW26">
        <v>2</v>
      </c>
      <c r="AX26">
        <v>60256084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ROUND(Y26*Source!I70,9)</f>
        <v>72</v>
      </c>
      <c r="CY26">
        <f>AA26</f>
        <v>185.42</v>
      </c>
      <c r="CZ26">
        <f>AE26</f>
        <v>7.24</v>
      </c>
      <c r="DA26">
        <f>AI26</f>
        <v>25.61</v>
      </c>
      <c r="DB26">
        <f>ROUND(ROUND(AT26*CZ26,2),6)</f>
        <v>1448</v>
      </c>
      <c r="DC26">
        <f>ROUND(ROUND(AT26*AG26,2),6)</f>
        <v>0</v>
      </c>
      <c r="DD26" t="s">
        <v>3</v>
      </c>
      <c r="DE26" t="s">
        <v>3</v>
      </c>
      <c r="DF26">
        <f>ROUND(ROUND(AE26*AI26,2)*CX26,2)</f>
        <v>13350.24</v>
      </c>
      <c r="DG26">
        <f t="shared" si="5"/>
        <v>0</v>
      </c>
      <c r="DH26">
        <f t="shared" si="6"/>
        <v>0</v>
      </c>
      <c r="DI26">
        <f t="shared" si="1"/>
        <v>0</v>
      </c>
      <c r="DJ26">
        <f>DF26</f>
        <v>13350.24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ROW(Source!A70)</f>
        <v>70</v>
      </c>
      <c r="B27">
        <v>60255011</v>
      </c>
      <c r="C27">
        <v>60256076</v>
      </c>
      <c r="D27">
        <v>59049377</v>
      </c>
      <c r="E27">
        <v>1</v>
      </c>
      <c r="F27">
        <v>1</v>
      </c>
      <c r="G27">
        <v>1080</v>
      </c>
      <c r="H27">
        <v>3</v>
      </c>
      <c r="I27" t="s">
        <v>516</v>
      </c>
      <c r="J27" t="s">
        <v>517</v>
      </c>
      <c r="K27" t="s">
        <v>518</v>
      </c>
      <c r="L27">
        <v>1354</v>
      </c>
      <c r="N27">
        <v>1010</v>
      </c>
      <c r="O27" t="s">
        <v>31</v>
      </c>
      <c r="P27" t="s">
        <v>31</v>
      </c>
      <c r="Q27">
        <v>1</v>
      </c>
      <c r="W27">
        <v>0</v>
      </c>
      <c r="X27">
        <v>501598144</v>
      </c>
      <c r="Y27">
        <f>AT27</f>
        <v>0.68400000000000005</v>
      </c>
      <c r="AA27">
        <v>63.83</v>
      </c>
      <c r="AB27">
        <v>0</v>
      </c>
      <c r="AC27">
        <v>0</v>
      </c>
      <c r="AD27">
        <v>0</v>
      </c>
      <c r="AE27">
        <v>6.12</v>
      </c>
      <c r="AF27">
        <v>0</v>
      </c>
      <c r="AG27">
        <v>0</v>
      </c>
      <c r="AH27">
        <v>0</v>
      </c>
      <c r="AI27">
        <v>10.43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0.68400000000000005</v>
      </c>
      <c r="AU27" t="s">
        <v>3</v>
      </c>
      <c r="AV27">
        <v>0</v>
      </c>
      <c r="AW27">
        <v>2</v>
      </c>
      <c r="AX27">
        <v>60256085</v>
      </c>
      <c r="AY27">
        <v>1</v>
      </c>
      <c r="AZ27">
        <v>0</v>
      </c>
      <c r="BA27">
        <v>30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ROUND(Y27*Source!I70,9)</f>
        <v>0.24623999999999999</v>
      </c>
      <c r="CY27">
        <f>AA27</f>
        <v>63.83</v>
      </c>
      <c r="CZ27">
        <f>AE27</f>
        <v>6.12</v>
      </c>
      <c r="DA27">
        <f>AI27</f>
        <v>10.43</v>
      </c>
      <c r="DB27">
        <f>ROUND(ROUND(AT27*CZ27,2),6)</f>
        <v>4.1900000000000004</v>
      </c>
      <c r="DC27">
        <f>ROUND(ROUND(AT27*AG27,2),6)</f>
        <v>0</v>
      </c>
      <c r="DD27" t="s">
        <v>3</v>
      </c>
      <c r="DE27" t="s">
        <v>3</v>
      </c>
      <c r="DF27">
        <f>ROUND(ROUND(AE27*AI27,2)*CX27,2)</f>
        <v>15.72</v>
      </c>
      <c r="DG27">
        <f t="shared" si="5"/>
        <v>0</v>
      </c>
      <c r="DH27">
        <f t="shared" si="6"/>
        <v>0</v>
      </c>
      <c r="DI27">
        <f t="shared" si="1"/>
        <v>0</v>
      </c>
      <c r="DJ27">
        <f>DF27</f>
        <v>15.72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ROW(Source!A70)</f>
        <v>70</v>
      </c>
      <c r="B28">
        <v>60255011</v>
      </c>
      <c r="C28">
        <v>60256076</v>
      </c>
      <c r="D28">
        <v>59004259</v>
      </c>
      <c r="E28">
        <v>1080</v>
      </c>
      <c r="F28">
        <v>1</v>
      </c>
      <c r="G28">
        <v>1080</v>
      </c>
      <c r="H28">
        <v>3</v>
      </c>
      <c r="I28" t="s">
        <v>519</v>
      </c>
      <c r="J28" t="s">
        <v>3</v>
      </c>
      <c r="K28" t="s">
        <v>520</v>
      </c>
      <c r="L28">
        <v>1344</v>
      </c>
      <c r="N28">
        <v>1008</v>
      </c>
      <c r="O28" t="s">
        <v>521</v>
      </c>
      <c r="P28" t="s">
        <v>521</v>
      </c>
      <c r="Q28">
        <v>1</v>
      </c>
      <c r="W28">
        <v>0</v>
      </c>
      <c r="X28">
        <v>-94250534</v>
      </c>
      <c r="Y28">
        <f>AT28</f>
        <v>0.04</v>
      </c>
      <c r="AA28">
        <v>9.8800000000000008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9.8800000000000008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0.04</v>
      </c>
      <c r="AU28" t="s">
        <v>3</v>
      </c>
      <c r="AV28">
        <v>0</v>
      </c>
      <c r="AW28">
        <v>2</v>
      </c>
      <c r="AX28">
        <v>60256087</v>
      </c>
      <c r="AY28">
        <v>1</v>
      </c>
      <c r="AZ28">
        <v>0</v>
      </c>
      <c r="BA28">
        <v>32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ROUND(Y28*Source!I70,9)</f>
        <v>1.44E-2</v>
      </c>
      <c r="CY28">
        <f>AA28</f>
        <v>9.8800000000000008</v>
      </c>
      <c r="CZ28">
        <f>AE28</f>
        <v>1</v>
      </c>
      <c r="DA28">
        <f>AI28</f>
        <v>9.8800000000000008</v>
      </c>
      <c r="DB28">
        <f>ROUND(ROUND(AT28*CZ28,2),6)</f>
        <v>0.04</v>
      </c>
      <c r="DC28">
        <f>ROUND(ROUND(AT28*AG28,2),6)</f>
        <v>0</v>
      </c>
      <c r="DD28" t="s">
        <v>3</v>
      </c>
      <c r="DE28" t="s">
        <v>3</v>
      </c>
      <c r="DF28">
        <f>ROUND(ROUND(AE28*AI28,2)*CX28,2)</f>
        <v>0.14000000000000001</v>
      </c>
      <c r="DG28">
        <f t="shared" si="5"/>
        <v>0</v>
      </c>
      <c r="DH28">
        <f t="shared" si="6"/>
        <v>0</v>
      </c>
      <c r="DI28">
        <f t="shared" si="1"/>
        <v>0</v>
      </c>
      <c r="DJ28">
        <f>DF28</f>
        <v>0.14000000000000001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ROW(Source!A83)</f>
        <v>83</v>
      </c>
      <c r="B29">
        <v>60255014</v>
      </c>
      <c r="C29">
        <v>60256089</v>
      </c>
      <c r="D29">
        <v>58999254</v>
      </c>
      <c r="E29">
        <v>1080</v>
      </c>
      <c r="F29">
        <v>1</v>
      </c>
      <c r="G29">
        <v>1080</v>
      </c>
      <c r="H29">
        <v>1</v>
      </c>
      <c r="I29" t="s">
        <v>482</v>
      </c>
      <c r="J29" t="s">
        <v>3</v>
      </c>
      <c r="K29" t="s">
        <v>483</v>
      </c>
      <c r="L29">
        <v>1191</v>
      </c>
      <c r="N29">
        <v>1013</v>
      </c>
      <c r="O29" t="s">
        <v>484</v>
      </c>
      <c r="P29" t="s">
        <v>484</v>
      </c>
      <c r="Q29">
        <v>1</v>
      </c>
      <c r="W29">
        <v>0</v>
      </c>
      <c r="X29">
        <v>476480486</v>
      </c>
      <c r="Y29">
        <f>((AT29*1.15)*1.1)</f>
        <v>94.495500000000007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74.7</v>
      </c>
      <c r="AU29" t="s">
        <v>99</v>
      </c>
      <c r="AV29">
        <v>1</v>
      </c>
      <c r="AW29">
        <v>2</v>
      </c>
      <c r="AX29">
        <v>60256100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ROUND(AT29*Source!I83*AH29*AL29,2)</f>
        <v>0</v>
      </c>
      <c r="CV29">
        <f>ROUND(Y29*Source!I83,9)</f>
        <v>9.4495500000000003</v>
      </c>
      <c r="CW29">
        <v>0</v>
      </c>
      <c r="CX29">
        <f>ROUND(Y29*Source!I83,9)</f>
        <v>9.4495500000000003</v>
      </c>
      <c r="CY29">
        <f>AD29</f>
        <v>0</v>
      </c>
      <c r="CZ29">
        <f>AH29</f>
        <v>0</v>
      </c>
      <c r="DA29">
        <f>AL29</f>
        <v>1</v>
      </c>
      <c r="DB29">
        <f>ROUND(((ROUND(AT29*CZ29,2)*1.15)*1.1),6)</f>
        <v>0</v>
      </c>
      <c r="DC29">
        <f>ROUND(((ROUND(AT29*AG29,2)*1.15)*1.1),6)</f>
        <v>0</v>
      </c>
      <c r="DD29" t="s">
        <v>3</v>
      </c>
      <c r="DE29" t="s">
        <v>3</v>
      </c>
      <c r="DF29">
        <f t="shared" ref="DF29:DF43" si="7">ROUND(ROUND(AE29,2)*CX29,2)</f>
        <v>0</v>
      </c>
      <c r="DG29">
        <f t="shared" si="5"/>
        <v>0</v>
      </c>
      <c r="DH29">
        <f t="shared" si="6"/>
        <v>0</v>
      </c>
      <c r="DI29">
        <f t="shared" si="1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ROW(Source!A83)</f>
        <v>83</v>
      </c>
      <c r="B30">
        <v>60255014</v>
      </c>
      <c r="C30">
        <v>60256089</v>
      </c>
      <c r="D30">
        <v>59070669</v>
      </c>
      <c r="E30">
        <v>1</v>
      </c>
      <c r="F30">
        <v>1</v>
      </c>
      <c r="G30">
        <v>1080</v>
      </c>
      <c r="H30">
        <v>2</v>
      </c>
      <c r="I30" t="s">
        <v>485</v>
      </c>
      <c r="J30" t="s">
        <v>486</v>
      </c>
      <c r="K30" t="s">
        <v>487</v>
      </c>
      <c r="L30">
        <v>1368</v>
      </c>
      <c r="N30">
        <v>1011</v>
      </c>
      <c r="O30" t="s">
        <v>488</v>
      </c>
      <c r="P30" t="s">
        <v>488</v>
      </c>
      <c r="Q30">
        <v>1</v>
      </c>
      <c r="W30">
        <v>0</v>
      </c>
      <c r="X30">
        <v>-1985943078</v>
      </c>
      <c r="Y30">
        <f>((AT30*1.25)*1.1)</f>
        <v>0.44000000000000006</v>
      </c>
      <c r="AA30">
        <v>0</v>
      </c>
      <c r="AB30">
        <v>88.67</v>
      </c>
      <c r="AC30">
        <v>13.47</v>
      </c>
      <c r="AD30">
        <v>0</v>
      </c>
      <c r="AE30">
        <v>0</v>
      </c>
      <c r="AF30">
        <v>83.1</v>
      </c>
      <c r="AG30">
        <v>12.62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0.32</v>
      </c>
      <c r="AU30" t="s">
        <v>496</v>
      </c>
      <c r="AV30">
        <v>0</v>
      </c>
      <c r="AW30">
        <v>2</v>
      </c>
      <c r="AX30">
        <v>60256101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ROUND(Y30*Source!I83*DO30,9)</f>
        <v>0.55528</v>
      </c>
      <c r="CX30">
        <f>ROUND(Y30*Source!I83,9)</f>
        <v>4.3999999999999997E-2</v>
      </c>
      <c r="CY30">
        <f>AB30</f>
        <v>88.67</v>
      </c>
      <c r="CZ30">
        <f>AF30</f>
        <v>83.1</v>
      </c>
      <c r="DA30">
        <f>AJ30</f>
        <v>1</v>
      </c>
      <c r="DB30">
        <f>ROUND(((ROUND(AT30*CZ30,2)*1.25)*1.1),6)</f>
        <v>36.561250000000001</v>
      </c>
      <c r="DC30">
        <f>ROUND(((ROUND(AT30*AG30,2)*1.25)*1.1),6)</f>
        <v>5.5549999999999997</v>
      </c>
      <c r="DD30" t="s">
        <v>3</v>
      </c>
      <c r="DE30" t="s">
        <v>3</v>
      </c>
      <c r="DF30">
        <f t="shared" si="7"/>
        <v>0</v>
      </c>
      <c r="DG30">
        <f t="shared" si="5"/>
        <v>3.66</v>
      </c>
      <c r="DH30">
        <f t="shared" si="6"/>
        <v>0.56000000000000005</v>
      </c>
      <c r="DI30">
        <f t="shared" si="1"/>
        <v>0</v>
      </c>
      <c r="DJ30">
        <f>DG30</f>
        <v>3.66</v>
      </c>
      <c r="DK30">
        <v>0</v>
      </c>
      <c r="DL30" t="s">
        <v>489</v>
      </c>
      <c r="DM30">
        <v>0</v>
      </c>
      <c r="DN30" t="s">
        <v>484</v>
      </c>
      <c r="DO30">
        <v>12.62</v>
      </c>
    </row>
    <row r="31" spans="1:119" x14ac:dyDescent="0.2">
      <c r="A31">
        <f>ROW(Source!A83)</f>
        <v>83</v>
      </c>
      <c r="B31">
        <v>60255014</v>
      </c>
      <c r="C31">
        <v>60256089</v>
      </c>
      <c r="D31">
        <v>59070721</v>
      </c>
      <c r="E31">
        <v>1</v>
      </c>
      <c r="F31">
        <v>1</v>
      </c>
      <c r="G31">
        <v>1080</v>
      </c>
      <c r="H31">
        <v>2</v>
      </c>
      <c r="I31" t="s">
        <v>497</v>
      </c>
      <c r="J31" t="s">
        <v>498</v>
      </c>
      <c r="K31" t="s">
        <v>499</v>
      </c>
      <c r="L31">
        <v>1368</v>
      </c>
      <c r="N31">
        <v>1011</v>
      </c>
      <c r="O31" t="s">
        <v>488</v>
      </c>
      <c r="P31" t="s">
        <v>488</v>
      </c>
      <c r="Q31">
        <v>1</v>
      </c>
      <c r="W31">
        <v>0</v>
      </c>
      <c r="X31">
        <v>1387779639</v>
      </c>
      <c r="Y31">
        <f>((AT31*1.25)*1.1)</f>
        <v>1.7050000000000003</v>
      </c>
      <c r="AA31">
        <v>0</v>
      </c>
      <c r="AB31">
        <v>0.82</v>
      </c>
      <c r="AC31">
        <v>0</v>
      </c>
      <c r="AD31">
        <v>0</v>
      </c>
      <c r="AE31">
        <v>0</v>
      </c>
      <c r="AF31">
        <v>0.77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1.24</v>
      </c>
      <c r="AU31" t="s">
        <v>496</v>
      </c>
      <c r="AV31">
        <v>0</v>
      </c>
      <c r="AW31">
        <v>2</v>
      </c>
      <c r="AX31">
        <v>60256103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ROUND(Y31*Source!I83*DO31,9)</f>
        <v>0</v>
      </c>
      <c r="CX31">
        <f>ROUND(Y31*Source!I83,9)</f>
        <v>0.17050000000000001</v>
      </c>
      <c r="CY31">
        <f>AB31</f>
        <v>0.82</v>
      </c>
      <c r="CZ31">
        <f>AF31</f>
        <v>0.77</v>
      </c>
      <c r="DA31">
        <f>AJ31</f>
        <v>1</v>
      </c>
      <c r="DB31">
        <f>ROUND(((ROUND(AT31*CZ31,2)*1.25)*1.1),6)</f>
        <v>1.3062499999999999</v>
      </c>
      <c r="DC31">
        <f>ROUND(((ROUND(AT31*AG31,2)*1.25)*1.1),6)</f>
        <v>0</v>
      </c>
      <c r="DD31" t="s">
        <v>3</v>
      </c>
      <c r="DE31" t="s">
        <v>3</v>
      </c>
      <c r="DF31">
        <f t="shared" si="7"/>
        <v>0</v>
      </c>
      <c r="DG31">
        <f t="shared" si="5"/>
        <v>0.13</v>
      </c>
      <c r="DH31">
        <f t="shared" si="6"/>
        <v>0</v>
      </c>
      <c r="DI31">
        <f t="shared" si="1"/>
        <v>0</v>
      </c>
      <c r="DJ31">
        <f>DG31</f>
        <v>0.13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ROW(Source!A83)</f>
        <v>83</v>
      </c>
      <c r="B32">
        <v>60255014</v>
      </c>
      <c r="C32">
        <v>60256089</v>
      </c>
      <c r="D32">
        <v>59070754</v>
      </c>
      <c r="E32">
        <v>1</v>
      </c>
      <c r="F32">
        <v>1</v>
      </c>
      <c r="G32">
        <v>1080</v>
      </c>
      <c r="H32">
        <v>2</v>
      </c>
      <c r="I32" t="s">
        <v>500</v>
      </c>
      <c r="J32" t="s">
        <v>501</v>
      </c>
      <c r="K32" t="s">
        <v>502</v>
      </c>
      <c r="L32">
        <v>1368</v>
      </c>
      <c r="N32">
        <v>1011</v>
      </c>
      <c r="O32" t="s">
        <v>488</v>
      </c>
      <c r="P32" t="s">
        <v>488</v>
      </c>
      <c r="Q32">
        <v>1</v>
      </c>
      <c r="W32">
        <v>0</v>
      </c>
      <c r="X32">
        <v>1645565003</v>
      </c>
      <c r="Y32">
        <f>((AT32*1.25)*1.1)</f>
        <v>4.4275000000000011</v>
      </c>
      <c r="AA32">
        <v>0</v>
      </c>
      <c r="AB32">
        <v>0.5</v>
      </c>
      <c r="AC32">
        <v>0</v>
      </c>
      <c r="AD32">
        <v>0</v>
      </c>
      <c r="AE32">
        <v>0</v>
      </c>
      <c r="AF32">
        <v>0.47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3.22</v>
      </c>
      <c r="AU32" t="s">
        <v>496</v>
      </c>
      <c r="AV32">
        <v>0</v>
      </c>
      <c r="AW32">
        <v>2</v>
      </c>
      <c r="AX32">
        <v>60256104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ROUND(Y32*Source!I83*DO32,9)</f>
        <v>0</v>
      </c>
      <c r="CX32">
        <f>ROUND(Y32*Source!I83,9)</f>
        <v>0.44274999999999998</v>
      </c>
      <c r="CY32">
        <f>AB32</f>
        <v>0.5</v>
      </c>
      <c r="CZ32">
        <f>AF32</f>
        <v>0.47</v>
      </c>
      <c r="DA32">
        <f>AJ32</f>
        <v>1</v>
      </c>
      <c r="DB32">
        <f>ROUND(((ROUND(AT32*CZ32,2)*1.25)*1.1),6)</f>
        <v>2.0762499999999999</v>
      </c>
      <c r="DC32">
        <f>ROUND(((ROUND(AT32*AG32,2)*1.25)*1.1),6)</f>
        <v>0</v>
      </c>
      <c r="DD32" t="s">
        <v>3</v>
      </c>
      <c r="DE32" t="s">
        <v>3</v>
      </c>
      <c r="DF32">
        <f t="shared" si="7"/>
        <v>0</v>
      </c>
      <c r="DG32">
        <f t="shared" si="5"/>
        <v>0.21</v>
      </c>
      <c r="DH32">
        <f t="shared" si="6"/>
        <v>0</v>
      </c>
      <c r="DI32">
        <f t="shared" si="1"/>
        <v>0</v>
      </c>
      <c r="DJ32">
        <f>DG32</f>
        <v>0.21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ROW(Source!A83)</f>
        <v>83</v>
      </c>
      <c r="B33">
        <v>60255014</v>
      </c>
      <c r="C33">
        <v>60256089</v>
      </c>
      <c r="D33">
        <v>59069905</v>
      </c>
      <c r="E33">
        <v>1</v>
      </c>
      <c r="F33">
        <v>1</v>
      </c>
      <c r="G33">
        <v>1080</v>
      </c>
      <c r="H33">
        <v>2</v>
      </c>
      <c r="I33" t="s">
        <v>503</v>
      </c>
      <c r="J33" t="s">
        <v>504</v>
      </c>
      <c r="K33" t="s">
        <v>505</v>
      </c>
      <c r="L33">
        <v>1368</v>
      </c>
      <c r="N33">
        <v>1011</v>
      </c>
      <c r="O33" t="s">
        <v>488</v>
      </c>
      <c r="P33" t="s">
        <v>488</v>
      </c>
      <c r="Q33">
        <v>1</v>
      </c>
      <c r="W33">
        <v>0</v>
      </c>
      <c r="X33">
        <v>1087580389</v>
      </c>
      <c r="Y33">
        <f>((AT33*1.25)*1.1)</f>
        <v>0.50875000000000004</v>
      </c>
      <c r="AA33">
        <v>0</v>
      </c>
      <c r="AB33">
        <v>191.17</v>
      </c>
      <c r="AC33">
        <v>18.059999999999999</v>
      </c>
      <c r="AD33">
        <v>0</v>
      </c>
      <c r="AE33">
        <v>0</v>
      </c>
      <c r="AF33">
        <v>179.17</v>
      </c>
      <c r="AG33">
        <v>16.93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0.37</v>
      </c>
      <c r="AU33" t="s">
        <v>496</v>
      </c>
      <c r="AV33">
        <v>0</v>
      </c>
      <c r="AW33">
        <v>2</v>
      </c>
      <c r="AX33">
        <v>60256102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ROUND(Y33*Source!I83*DO33,9)</f>
        <v>0.86131374999999999</v>
      </c>
      <c r="CX33">
        <f>ROUND(Y33*Source!I83,9)</f>
        <v>5.0874999999999997E-2</v>
      </c>
      <c r="CY33">
        <f>AB33</f>
        <v>191.17</v>
      </c>
      <c r="CZ33">
        <f>AF33</f>
        <v>179.17</v>
      </c>
      <c r="DA33">
        <f>AJ33</f>
        <v>1</v>
      </c>
      <c r="DB33">
        <f>ROUND(((ROUND(AT33*CZ33,2)*1.25)*1.1),6)</f>
        <v>91.148750000000007</v>
      </c>
      <c r="DC33">
        <f>ROUND(((ROUND(AT33*AG33,2)*1.25)*1.1),6)</f>
        <v>8.6074999999999999</v>
      </c>
      <c r="DD33" t="s">
        <v>3</v>
      </c>
      <c r="DE33" t="s">
        <v>3</v>
      </c>
      <c r="DF33">
        <f t="shared" si="7"/>
        <v>0</v>
      </c>
      <c r="DG33">
        <f t="shared" si="5"/>
        <v>9.1199999999999992</v>
      </c>
      <c r="DH33">
        <f t="shared" si="6"/>
        <v>0.86</v>
      </c>
      <c r="DI33">
        <f t="shared" si="1"/>
        <v>0</v>
      </c>
      <c r="DJ33">
        <f>DG33</f>
        <v>9.1199999999999992</v>
      </c>
      <c r="DK33">
        <v>0</v>
      </c>
      <c r="DL33" t="s">
        <v>489</v>
      </c>
      <c r="DM33">
        <v>0</v>
      </c>
      <c r="DN33" t="s">
        <v>484</v>
      </c>
      <c r="DO33">
        <v>16.93</v>
      </c>
    </row>
    <row r="34" spans="1:119" x14ac:dyDescent="0.2">
      <c r="A34">
        <f>ROW(Source!A83)</f>
        <v>83</v>
      </c>
      <c r="B34">
        <v>60255014</v>
      </c>
      <c r="C34">
        <v>60256089</v>
      </c>
      <c r="D34">
        <v>59038905</v>
      </c>
      <c r="E34">
        <v>1</v>
      </c>
      <c r="F34">
        <v>1</v>
      </c>
      <c r="G34">
        <v>1080</v>
      </c>
      <c r="H34">
        <v>3</v>
      </c>
      <c r="I34" t="s">
        <v>506</v>
      </c>
      <c r="J34" t="s">
        <v>507</v>
      </c>
      <c r="K34" t="s">
        <v>508</v>
      </c>
      <c r="L34">
        <v>1339</v>
      </c>
      <c r="N34">
        <v>1007</v>
      </c>
      <c r="O34" t="s">
        <v>509</v>
      </c>
      <c r="P34" t="s">
        <v>509</v>
      </c>
      <c r="Q34">
        <v>1</v>
      </c>
      <c r="W34">
        <v>0</v>
      </c>
      <c r="X34">
        <v>-744103292</v>
      </c>
      <c r="Y34">
        <f>AT34</f>
        <v>0.22700000000000001</v>
      </c>
      <c r="AA34">
        <v>7.07</v>
      </c>
      <c r="AB34">
        <v>0</v>
      </c>
      <c r="AC34">
        <v>0</v>
      </c>
      <c r="AD34">
        <v>0</v>
      </c>
      <c r="AE34">
        <v>7.07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0.22700000000000001</v>
      </c>
      <c r="AU34" t="s">
        <v>3</v>
      </c>
      <c r="AV34">
        <v>0</v>
      </c>
      <c r="AW34">
        <v>2</v>
      </c>
      <c r="AX34">
        <v>60256105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ROUND(Y34*Source!I83,9)</f>
        <v>2.2700000000000001E-2</v>
      </c>
      <c r="CY34">
        <f>AA34</f>
        <v>7.07</v>
      </c>
      <c r="CZ34">
        <f>AE34</f>
        <v>7.07</v>
      </c>
      <c r="DA34">
        <f>AI34</f>
        <v>1</v>
      </c>
      <c r="DB34">
        <f>ROUND(ROUND(AT34*CZ34,2),6)</f>
        <v>1.6</v>
      </c>
      <c r="DC34">
        <f>ROUND(ROUND(AT34*AG34,2),6)</f>
        <v>0</v>
      </c>
      <c r="DD34" t="s">
        <v>3</v>
      </c>
      <c r="DE34" t="s">
        <v>3</v>
      </c>
      <c r="DF34">
        <f t="shared" si="7"/>
        <v>0.16</v>
      </c>
      <c r="DG34">
        <f t="shared" si="5"/>
        <v>0</v>
      </c>
      <c r="DH34">
        <f t="shared" si="6"/>
        <v>0</v>
      </c>
      <c r="DI34">
        <f t="shared" si="1"/>
        <v>0</v>
      </c>
      <c r="DJ34">
        <f>DF34</f>
        <v>0.16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ROW(Source!A83)</f>
        <v>83</v>
      </c>
      <c r="B35">
        <v>60255014</v>
      </c>
      <c r="C35">
        <v>60256089</v>
      </c>
      <c r="D35">
        <v>59045898</v>
      </c>
      <c r="E35">
        <v>1</v>
      </c>
      <c r="F35">
        <v>1</v>
      </c>
      <c r="G35">
        <v>1080</v>
      </c>
      <c r="H35">
        <v>3</v>
      </c>
      <c r="I35" t="s">
        <v>510</v>
      </c>
      <c r="J35" t="s">
        <v>511</v>
      </c>
      <c r="K35" t="s">
        <v>512</v>
      </c>
      <c r="L35">
        <v>1355</v>
      </c>
      <c r="N35">
        <v>1010</v>
      </c>
      <c r="O35" t="s">
        <v>96</v>
      </c>
      <c r="P35" t="s">
        <v>96</v>
      </c>
      <c r="Q35">
        <v>100</v>
      </c>
      <c r="W35">
        <v>0</v>
      </c>
      <c r="X35">
        <v>2062705997</v>
      </c>
      <c r="Y35">
        <f>AT35</f>
        <v>4.04</v>
      </c>
      <c r="AA35">
        <v>154.72</v>
      </c>
      <c r="AB35">
        <v>0</v>
      </c>
      <c r="AC35">
        <v>0</v>
      </c>
      <c r="AD35">
        <v>0</v>
      </c>
      <c r="AE35">
        <v>154.72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4.04</v>
      </c>
      <c r="AU35" t="s">
        <v>3</v>
      </c>
      <c r="AV35">
        <v>0</v>
      </c>
      <c r="AW35">
        <v>2</v>
      </c>
      <c r="AX35">
        <v>60256106</v>
      </c>
      <c r="AY35">
        <v>1</v>
      </c>
      <c r="AZ35">
        <v>0</v>
      </c>
      <c r="BA35">
        <v>39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ROUND(Y35*Source!I83,9)</f>
        <v>0.40400000000000003</v>
      </c>
      <c r="CY35">
        <f>AA35</f>
        <v>154.72</v>
      </c>
      <c r="CZ35">
        <f>AE35</f>
        <v>154.72</v>
      </c>
      <c r="DA35">
        <f>AI35</f>
        <v>1</v>
      </c>
      <c r="DB35">
        <f>ROUND(ROUND(AT35*CZ35,2),6)</f>
        <v>625.07000000000005</v>
      </c>
      <c r="DC35">
        <f>ROUND(ROUND(AT35*AG35,2),6)</f>
        <v>0</v>
      </c>
      <c r="DD35" t="s">
        <v>3</v>
      </c>
      <c r="DE35" t="s">
        <v>3</v>
      </c>
      <c r="DF35">
        <f t="shared" si="7"/>
        <v>62.51</v>
      </c>
      <c r="DG35">
        <f t="shared" si="5"/>
        <v>0</v>
      </c>
      <c r="DH35">
        <f t="shared" si="6"/>
        <v>0</v>
      </c>
      <c r="DI35">
        <f t="shared" si="1"/>
        <v>0</v>
      </c>
      <c r="DJ35">
        <f>DF35</f>
        <v>62.51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ROW(Source!A83)</f>
        <v>83</v>
      </c>
      <c r="B36">
        <v>60255014</v>
      </c>
      <c r="C36">
        <v>60256089</v>
      </c>
      <c r="D36">
        <v>59056195</v>
      </c>
      <c r="E36">
        <v>1</v>
      </c>
      <c r="F36">
        <v>1</v>
      </c>
      <c r="G36">
        <v>1080</v>
      </c>
      <c r="H36">
        <v>3</v>
      </c>
      <c r="I36" t="s">
        <v>513</v>
      </c>
      <c r="J36" t="s">
        <v>514</v>
      </c>
      <c r="K36" t="s">
        <v>515</v>
      </c>
      <c r="L36">
        <v>1354</v>
      </c>
      <c r="N36">
        <v>1010</v>
      </c>
      <c r="O36" t="s">
        <v>31</v>
      </c>
      <c r="P36" t="s">
        <v>31</v>
      </c>
      <c r="Q36">
        <v>1</v>
      </c>
      <c r="W36">
        <v>0</v>
      </c>
      <c r="X36">
        <v>-572380273</v>
      </c>
      <c r="Y36">
        <f>AT36</f>
        <v>200</v>
      </c>
      <c r="AA36">
        <v>7.24</v>
      </c>
      <c r="AB36">
        <v>0</v>
      </c>
      <c r="AC36">
        <v>0</v>
      </c>
      <c r="AD36">
        <v>0</v>
      </c>
      <c r="AE36">
        <v>7.24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200</v>
      </c>
      <c r="AU36" t="s">
        <v>3</v>
      </c>
      <c r="AV36">
        <v>0</v>
      </c>
      <c r="AW36">
        <v>2</v>
      </c>
      <c r="AX36">
        <v>60256107</v>
      </c>
      <c r="AY36">
        <v>1</v>
      </c>
      <c r="AZ36">
        <v>0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ROUND(Y36*Source!I83,9)</f>
        <v>20</v>
      </c>
      <c r="CY36">
        <f>AA36</f>
        <v>7.24</v>
      </c>
      <c r="CZ36">
        <f>AE36</f>
        <v>7.24</v>
      </c>
      <c r="DA36">
        <f>AI36</f>
        <v>1</v>
      </c>
      <c r="DB36">
        <f>ROUND(ROUND(AT36*CZ36,2),6)</f>
        <v>1448</v>
      </c>
      <c r="DC36">
        <f>ROUND(ROUND(AT36*AG36,2),6)</f>
        <v>0</v>
      </c>
      <c r="DD36" t="s">
        <v>3</v>
      </c>
      <c r="DE36" t="s">
        <v>3</v>
      </c>
      <c r="DF36">
        <f t="shared" si="7"/>
        <v>144.80000000000001</v>
      </c>
      <c r="DG36">
        <f t="shared" si="5"/>
        <v>0</v>
      </c>
      <c r="DH36">
        <f t="shared" si="6"/>
        <v>0</v>
      </c>
      <c r="DI36">
        <f t="shared" si="1"/>
        <v>0</v>
      </c>
      <c r="DJ36">
        <f>DF36</f>
        <v>144.80000000000001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ROW(Source!A83)</f>
        <v>83</v>
      </c>
      <c r="B37">
        <v>60255014</v>
      </c>
      <c r="C37">
        <v>60256089</v>
      </c>
      <c r="D37">
        <v>59049377</v>
      </c>
      <c r="E37">
        <v>1</v>
      </c>
      <c r="F37">
        <v>1</v>
      </c>
      <c r="G37">
        <v>1080</v>
      </c>
      <c r="H37">
        <v>3</v>
      </c>
      <c r="I37" t="s">
        <v>516</v>
      </c>
      <c r="J37" t="s">
        <v>517</v>
      </c>
      <c r="K37" t="s">
        <v>518</v>
      </c>
      <c r="L37">
        <v>1354</v>
      </c>
      <c r="N37">
        <v>1010</v>
      </c>
      <c r="O37" t="s">
        <v>31</v>
      </c>
      <c r="P37" t="s">
        <v>31</v>
      </c>
      <c r="Q37">
        <v>1</v>
      </c>
      <c r="W37">
        <v>0</v>
      </c>
      <c r="X37">
        <v>501598144</v>
      </c>
      <c r="Y37">
        <f>AT37</f>
        <v>0.68400000000000005</v>
      </c>
      <c r="AA37">
        <v>6.12</v>
      </c>
      <c r="AB37">
        <v>0</v>
      </c>
      <c r="AC37">
        <v>0</v>
      </c>
      <c r="AD37">
        <v>0</v>
      </c>
      <c r="AE37">
        <v>6.12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0.68400000000000005</v>
      </c>
      <c r="AU37" t="s">
        <v>3</v>
      </c>
      <c r="AV37">
        <v>0</v>
      </c>
      <c r="AW37">
        <v>2</v>
      </c>
      <c r="AX37">
        <v>60256108</v>
      </c>
      <c r="AY37">
        <v>1</v>
      </c>
      <c r="AZ37">
        <v>0</v>
      </c>
      <c r="BA37">
        <v>41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ROUND(Y37*Source!I83,9)</f>
        <v>6.8400000000000002E-2</v>
      </c>
      <c r="CY37">
        <f>AA37</f>
        <v>6.12</v>
      </c>
      <c r="CZ37">
        <f>AE37</f>
        <v>6.12</v>
      </c>
      <c r="DA37">
        <f>AI37</f>
        <v>1</v>
      </c>
      <c r="DB37">
        <f>ROUND(ROUND(AT37*CZ37,2),6)</f>
        <v>4.1900000000000004</v>
      </c>
      <c r="DC37">
        <f>ROUND(ROUND(AT37*AG37,2),6)</f>
        <v>0</v>
      </c>
      <c r="DD37" t="s">
        <v>3</v>
      </c>
      <c r="DE37" t="s">
        <v>3</v>
      </c>
      <c r="DF37">
        <f t="shared" si="7"/>
        <v>0.42</v>
      </c>
      <c r="DG37">
        <f t="shared" si="5"/>
        <v>0</v>
      </c>
      <c r="DH37">
        <f t="shared" si="6"/>
        <v>0</v>
      </c>
      <c r="DI37">
        <f t="shared" si="1"/>
        <v>0</v>
      </c>
      <c r="DJ37">
        <f>DF37</f>
        <v>0.42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ROW(Source!A83)</f>
        <v>83</v>
      </c>
      <c r="B38">
        <v>60255014</v>
      </c>
      <c r="C38">
        <v>60256089</v>
      </c>
      <c r="D38">
        <v>59004259</v>
      </c>
      <c r="E38">
        <v>1080</v>
      </c>
      <c r="F38">
        <v>1</v>
      </c>
      <c r="G38">
        <v>1080</v>
      </c>
      <c r="H38">
        <v>3</v>
      </c>
      <c r="I38" t="s">
        <v>519</v>
      </c>
      <c r="J38" t="s">
        <v>3</v>
      </c>
      <c r="K38" t="s">
        <v>520</v>
      </c>
      <c r="L38">
        <v>1344</v>
      </c>
      <c r="N38">
        <v>1008</v>
      </c>
      <c r="O38" t="s">
        <v>521</v>
      </c>
      <c r="P38" t="s">
        <v>521</v>
      </c>
      <c r="Q38">
        <v>1</v>
      </c>
      <c r="W38">
        <v>0</v>
      </c>
      <c r="X38">
        <v>-94250534</v>
      </c>
      <c r="Y38">
        <f>AT38</f>
        <v>0.04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0.04</v>
      </c>
      <c r="AU38" t="s">
        <v>3</v>
      </c>
      <c r="AV38">
        <v>0</v>
      </c>
      <c r="AW38">
        <v>2</v>
      </c>
      <c r="AX38">
        <v>60256110</v>
      </c>
      <c r="AY38">
        <v>1</v>
      </c>
      <c r="AZ38">
        <v>0</v>
      </c>
      <c r="BA38">
        <v>43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ROUND(Y38*Source!I83,9)</f>
        <v>4.0000000000000001E-3</v>
      </c>
      <c r="CY38">
        <f>AA38</f>
        <v>1</v>
      </c>
      <c r="CZ38">
        <f>AE38</f>
        <v>1</v>
      </c>
      <c r="DA38">
        <f>AI38</f>
        <v>1</v>
      </c>
      <c r="DB38">
        <f>ROUND(ROUND(AT38*CZ38,2),6)</f>
        <v>0.04</v>
      </c>
      <c r="DC38">
        <f>ROUND(ROUND(AT38*AG38,2),6)</f>
        <v>0</v>
      </c>
      <c r="DD38" t="s">
        <v>3</v>
      </c>
      <c r="DE38" t="s">
        <v>3</v>
      </c>
      <c r="DF38">
        <f t="shared" si="7"/>
        <v>0</v>
      </c>
      <c r="DG38">
        <f t="shared" si="5"/>
        <v>0</v>
      </c>
      <c r="DH38">
        <f t="shared" si="6"/>
        <v>0</v>
      </c>
      <c r="DI38">
        <f t="shared" si="1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ROW(Source!A84)</f>
        <v>84</v>
      </c>
      <c r="B39">
        <v>60255011</v>
      </c>
      <c r="C39">
        <v>60256089</v>
      </c>
      <c r="D39">
        <v>58999254</v>
      </c>
      <c r="E39">
        <v>1080</v>
      </c>
      <c r="F39">
        <v>1</v>
      </c>
      <c r="G39">
        <v>1080</v>
      </c>
      <c r="H39">
        <v>1</v>
      </c>
      <c r="I39" t="s">
        <v>482</v>
      </c>
      <c r="J39" t="s">
        <v>3</v>
      </c>
      <c r="K39" t="s">
        <v>483</v>
      </c>
      <c r="L39">
        <v>1191</v>
      </c>
      <c r="N39">
        <v>1013</v>
      </c>
      <c r="O39" t="s">
        <v>484</v>
      </c>
      <c r="P39" t="s">
        <v>484</v>
      </c>
      <c r="Q39">
        <v>1</v>
      </c>
      <c r="W39">
        <v>0</v>
      </c>
      <c r="X39">
        <v>476480486</v>
      </c>
      <c r="Y39">
        <f>((AT39*1.15)*1.1)</f>
        <v>94.495500000000007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5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74.7</v>
      </c>
      <c r="AU39" t="s">
        <v>99</v>
      </c>
      <c r="AV39">
        <v>1</v>
      </c>
      <c r="AW39">
        <v>2</v>
      </c>
      <c r="AX39">
        <v>60256100</v>
      </c>
      <c r="AY39">
        <v>1</v>
      </c>
      <c r="AZ39">
        <v>0</v>
      </c>
      <c r="BA39">
        <v>44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ROUND(AT39*Source!I84*AH39*AL39,2)</f>
        <v>0</v>
      </c>
      <c r="CV39">
        <f>ROUND(Y39*Source!I84,9)</f>
        <v>9.4495500000000003</v>
      </c>
      <c r="CW39">
        <v>0</v>
      </c>
      <c r="CX39">
        <f>ROUND(Y39*Source!I84,9)</f>
        <v>9.4495500000000003</v>
      </c>
      <c r="CY39">
        <f>AD39</f>
        <v>0</v>
      </c>
      <c r="CZ39">
        <f>AH39</f>
        <v>0</v>
      </c>
      <c r="DA39">
        <f>AL39</f>
        <v>1</v>
      </c>
      <c r="DB39">
        <f>ROUND(((ROUND(AT39*CZ39,2)*1.15)*1.1),6)</f>
        <v>0</v>
      </c>
      <c r="DC39">
        <f>ROUND(((ROUND(AT39*AG39,2)*1.15)*1.1),6)</f>
        <v>0</v>
      </c>
      <c r="DD39" t="s">
        <v>3</v>
      </c>
      <c r="DE39" t="s">
        <v>3</v>
      </c>
      <c r="DF39">
        <f t="shared" si="7"/>
        <v>0</v>
      </c>
      <c r="DG39">
        <f t="shared" si="5"/>
        <v>0</v>
      </c>
      <c r="DH39">
        <f t="shared" si="6"/>
        <v>0</v>
      </c>
      <c r="DI39">
        <f t="shared" si="1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ROW(Source!A84)</f>
        <v>84</v>
      </c>
      <c r="B40">
        <v>60255011</v>
      </c>
      <c r="C40">
        <v>60256089</v>
      </c>
      <c r="D40">
        <v>59070669</v>
      </c>
      <c r="E40">
        <v>1</v>
      </c>
      <c r="F40">
        <v>1</v>
      </c>
      <c r="G40">
        <v>1080</v>
      </c>
      <c r="H40">
        <v>2</v>
      </c>
      <c r="I40" t="s">
        <v>485</v>
      </c>
      <c r="J40" t="s">
        <v>486</v>
      </c>
      <c r="K40" t="s">
        <v>487</v>
      </c>
      <c r="L40">
        <v>1368</v>
      </c>
      <c r="N40">
        <v>1011</v>
      </c>
      <c r="O40" t="s">
        <v>488</v>
      </c>
      <c r="P40" t="s">
        <v>488</v>
      </c>
      <c r="Q40">
        <v>1</v>
      </c>
      <c r="W40">
        <v>0</v>
      </c>
      <c r="X40">
        <v>-1985943078</v>
      </c>
      <c r="Y40">
        <f>((AT40*1.25)*1.1)</f>
        <v>0.44000000000000006</v>
      </c>
      <c r="AA40">
        <v>0</v>
      </c>
      <c r="AB40">
        <v>1445.28</v>
      </c>
      <c r="AC40">
        <v>740.47</v>
      </c>
      <c r="AD40">
        <v>0</v>
      </c>
      <c r="AE40">
        <v>0</v>
      </c>
      <c r="AF40">
        <v>83.1</v>
      </c>
      <c r="AG40">
        <v>12.62</v>
      </c>
      <c r="AH40">
        <v>0</v>
      </c>
      <c r="AI40">
        <v>1</v>
      </c>
      <c r="AJ40">
        <v>16.3</v>
      </c>
      <c r="AK40">
        <v>54.99</v>
      </c>
      <c r="AL40">
        <v>1</v>
      </c>
      <c r="AM40">
        <v>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0.32</v>
      </c>
      <c r="AU40" t="s">
        <v>496</v>
      </c>
      <c r="AV40">
        <v>0</v>
      </c>
      <c r="AW40">
        <v>2</v>
      </c>
      <c r="AX40">
        <v>60256101</v>
      </c>
      <c r="AY40">
        <v>1</v>
      </c>
      <c r="AZ40">
        <v>0</v>
      </c>
      <c r="BA40">
        <v>45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ROUND(Y40*Source!I84*DO40,9)</f>
        <v>0.55528</v>
      </c>
      <c r="CX40">
        <f>ROUND(Y40*Source!I84,9)</f>
        <v>4.3999999999999997E-2</v>
      </c>
      <c r="CY40">
        <f>AB40</f>
        <v>1445.28</v>
      </c>
      <c r="CZ40">
        <f>AF40</f>
        <v>83.1</v>
      </c>
      <c r="DA40">
        <f>AJ40</f>
        <v>16.3</v>
      </c>
      <c r="DB40">
        <f>ROUND(((ROUND(AT40*CZ40,2)*1.25)*1.1),6)</f>
        <v>36.561250000000001</v>
      </c>
      <c r="DC40">
        <f>ROUND(((ROUND(AT40*AG40,2)*1.25)*1.1),6)</f>
        <v>5.5549999999999997</v>
      </c>
      <c r="DD40" t="s">
        <v>3</v>
      </c>
      <c r="DE40" t="s">
        <v>3</v>
      </c>
      <c r="DF40">
        <f t="shared" si="7"/>
        <v>0</v>
      </c>
      <c r="DG40">
        <f>ROUND(ROUND(AF40*AJ40,2)*CX40,2)</f>
        <v>59.6</v>
      </c>
      <c r="DH40">
        <f>ROUND(ROUND(AG40*AK40,2)*CX40,2)</f>
        <v>30.53</v>
      </c>
      <c r="DI40">
        <f t="shared" si="1"/>
        <v>0</v>
      </c>
      <c r="DJ40">
        <f>DG40</f>
        <v>59.6</v>
      </c>
      <c r="DK40">
        <v>0</v>
      </c>
      <c r="DL40" t="s">
        <v>489</v>
      </c>
      <c r="DM40">
        <v>0</v>
      </c>
      <c r="DN40" t="s">
        <v>484</v>
      </c>
      <c r="DO40">
        <v>12.62</v>
      </c>
    </row>
    <row r="41" spans="1:119" x14ac:dyDescent="0.2">
      <c r="A41">
        <f>ROW(Source!A84)</f>
        <v>84</v>
      </c>
      <c r="B41">
        <v>60255011</v>
      </c>
      <c r="C41">
        <v>60256089</v>
      </c>
      <c r="D41">
        <v>59070721</v>
      </c>
      <c r="E41">
        <v>1</v>
      </c>
      <c r="F41">
        <v>1</v>
      </c>
      <c r="G41">
        <v>1080</v>
      </c>
      <c r="H41">
        <v>2</v>
      </c>
      <c r="I41" t="s">
        <v>497</v>
      </c>
      <c r="J41" t="s">
        <v>498</v>
      </c>
      <c r="K41" t="s">
        <v>499</v>
      </c>
      <c r="L41">
        <v>1368</v>
      </c>
      <c r="N41">
        <v>1011</v>
      </c>
      <c r="O41" t="s">
        <v>488</v>
      </c>
      <c r="P41" t="s">
        <v>488</v>
      </c>
      <c r="Q41">
        <v>1</v>
      </c>
      <c r="W41">
        <v>0</v>
      </c>
      <c r="X41">
        <v>1387779639</v>
      </c>
      <c r="Y41">
        <f>((AT41*1.25)*1.1)</f>
        <v>1.7050000000000003</v>
      </c>
      <c r="AA41">
        <v>0</v>
      </c>
      <c r="AB41">
        <v>7.11</v>
      </c>
      <c r="AC41">
        <v>0</v>
      </c>
      <c r="AD41">
        <v>0</v>
      </c>
      <c r="AE41">
        <v>0</v>
      </c>
      <c r="AF41">
        <v>0.77</v>
      </c>
      <c r="AG41">
        <v>0</v>
      </c>
      <c r="AH41">
        <v>0</v>
      </c>
      <c r="AI41">
        <v>1</v>
      </c>
      <c r="AJ41">
        <v>8.66</v>
      </c>
      <c r="AK41">
        <v>54.99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1.24</v>
      </c>
      <c r="AU41" t="s">
        <v>496</v>
      </c>
      <c r="AV41">
        <v>0</v>
      </c>
      <c r="AW41">
        <v>2</v>
      </c>
      <c r="AX41">
        <v>60256103</v>
      </c>
      <c r="AY41">
        <v>1</v>
      </c>
      <c r="AZ41">
        <v>0</v>
      </c>
      <c r="BA41">
        <v>46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ROUND(Y41*Source!I84*DO41,9)</f>
        <v>0</v>
      </c>
      <c r="CX41">
        <f>ROUND(Y41*Source!I84,9)</f>
        <v>0.17050000000000001</v>
      </c>
      <c r="CY41">
        <f>AB41</f>
        <v>7.11</v>
      </c>
      <c r="CZ41">
        <f>AF41</f>
        <v>0.77</v>
      </c>
      <c r="DA41">
        <f>AJ41</f>
        <v>8.66</v>
      </c>
      <c r="DB41">
        <f>ROUND(((ROUND(AT41*CZ41,2)*1.25)*1.1),6)</f>
        <v>1.3062499999999999</v>
      </c>
      <c r="DC41">
        <f>ROUND(((ROUND(AT41*AG41,2)*1.25)*1.1),6)</f>
        <v>0</v>
      </c>
      <c r="DD41" t="s">
        <v>3</v>
      </c>
      <c r="DE41" t="s">
        <v>3</v>
      </c>
      <c r="DF41">
        <f t="shared" si="7"/>
        <v>0</v>
      </c>
      <c r="DG41">
        <f>ROUND(ROUND(AF41*AJ41,2)*CX41,2)</f>
        <v>1.1399999999999999</v>
      </c>
      <c r="DH41">
        <f>ROUND(ROUND(AG41*AK41,2)*CX41,2)</f>
        <v>0</v>
      </c>
      <c r="DI41">
        <f t="shared" si="1"/>
        <v>0</v>
      </c>
      <c r="DJ41">
        <f>DG41</f>
        <v>1.1399999999999999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ROW(Source!A84)</f>
        <v>84</v>
      </c>
      <c r="B42">
        <v>60255011</v>
      </c>
      <c r="C42">
        <v>60256089</v>
      </c>
      <c r="D42">
        <v>59070754</v>
      </c>
      <c r="E42">
        <v>1</v>
      </c>
      <c r="F42">
        <v>1</v>
      </c>
      <c r="G42">
        <v>1080</v>
      </c>
      <c r="H42">
        <v>2</v>
      </c>
      <c r="I42" t="s">
        <v>500</v>
      </c>
      <c r="J42" t="s">
        <v>501</v>
      </c>
      <c r="K42" t="s">
        <v>502</v>
      </c>
      <c r="L42">
        <v>1368</v>
      </c>
      <c r="N42">
        <v>1011</v>
      </c>
      <c r="O42" t="s">
        <v>488</v>
      </c>
      <c r="P42" t="s">
        <v>488</v>
      </c>
      <c r="Q42">
        <v>1</v>
      </c>
      <c r="W42">
        <v>0</v>
      </c>
      <c r="X42">
        <v>1645565003</v>
      </c>
      <c r="Y42">
        <f>((AT42*1.25)*1.1)</f>
        <v>4.4275000000000011</v>
      </c>
      <c r="AA42">
        <v>0</v>
      </c>
      <c r="AB42">
        <v>4.38</v>
      </c>
      <c r="AC42">
        <v>0</v>
      </c>
      <c r="AD42">
        <v>0</v>
      </c>
      <c r="AE42">
        <v>0</v>
      </c>
      <c r="AF42">
        <v>0.47</v>
      </c>
      <c r="AG42">
        <v>0</v>
      </c>
      <c r="AH42">
        <v>0</v>
      </c>
      <c r="AI42">
        <v>1</v>
      </c>
      <c r="AJ42">
        <v>8.74</v>
      </c>
      <c r="AK42">
        <v>54.99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3.22</v>
      </c>
      <c r="AU42" t="s">
        <v>496</v>
      </c>
      <c r="AV42">
        <v>0</v>
      </c>
      <c r="AW42">
        <v>2</v>
      </c>
      <c r="AX42">
        <v>60256104</v>
      </c>
      <c r="AY42">
        <v>1</v>
      </c>
      <c r="AZ42">
        <v>0</v>
      </c>
      <c r="BA42">
        <v>47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ROUND(Y42*Source!I84*DO42,9)</f>
        <v>0</v>
      </c>
      <c r="CX42">
        <f>ROUND(Y42*Source!I84,9)</f>
        <v>0.44274999999999998</v>
      </c>
      <c r="CY42">
        <f>AB42</f>
        <v>4.38</v>
      </c>
      <c r="CZ42">
        <f>AF42</f>
        <v>0.47</v>
      </c>
      <c r="DA42">
        <f>AJ42</f>
        <v>8.74</v>
      </c>
      <c r="DB42">
        <f>ROUND(((ROUND(AT42*CZ42,2)*1.25)*1.1),6)</f>
        <v>2.0762499999999999</v>
      </c>
      <c r="DC42">
        <f>ROUND(((ROUND(AT42*AG42,2)*1.25)*1.1),6)</f>
        <v>0</v>
      </c>
      <c r="DD42" t="s">
        <v>3</v>
      </c>
      <c r="DE42" t="s">
        <v>3</v>
      </c>
      <c r="DF42">
        <f t="shared" si="7"/>
        <v>0</v>
      </c>
      <c r="DG42">
        <f>ROUND(ROUND(AF42*AJ42,2)*CX42,2)</f>
        <v>1.82</v>
      </c>
      <c r="DH42">
        <f>ROUND(ROUND(AG42*AK42,2)*CX42,2)</f>
        <v>0</v>
      </c>
      <c r="DI42">
        <f t="shared" si="1"/>
        <v>0</v>
      </c>
      <c r="DJ42">
        <f>DG42</f>
        <v>1.82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ROW(Source!A84)</f>
        <v>84</v>
      </c>
      <c r="B43">
        <v>60255011</v>
      </c>
      <c r="C43">
        <v>60256089</v>
      </c>
      <c r="D43">
        <v>59069905</v>
      </c>
      <c r="E43">
        <v>1</v>
      </c>
      <c r="F43">
        <v>1</v>
      </c>
      <c r="G43">
        <v>1080</v>
      </c>
      <c r="H43">
        <v>2</v>
      </c>
      <c r="I43" t="s">
        <v>503</v>
      </c>
      <c r="J43" t="s">
        <v>504</v>
      </c>
      <c r="K43" t="s">
        <v>505</v>
      </c>
      <c r="L43">
        <v>1368</v>
      </c>
      <c r="N43">
        <v>1011</v>
      </c>
      <c r="O43" t="s">
        <v>488</v>
      </c>
      <c r="P43" t="s">
        <v>488</v>
      </c>
      <c r="Q43">
        <v>1</v>
      </c>
      <c r="W43">
        <v>0</v>
      </c>
      <c r="X43">
        <v>1087580389</v>
      </c>
      <c r="Y43">
        <f>((AT43*1.25)*1.1)</f>
        <v>0.50875000000000004</v>
      </c>
      <c r="AA43">
        <v>0</v>
      </c>
      <c r="AB43">
        <v>2628.65</v>
      </c>
      <c r="AC43">
        <v>993.36</v>
      </c>
      <c r="AD43">
        <v>0</v>
      </c>
      <c r="AE43">
        <v>0</v>
      </c>
      <c r="AF43">
        <v>179.17</v>
      </c>
      <c r="AG43">
        <v>16.93</v>
      </c>
      <c r="AH43">
        <v>0</v>
      </c>
      <c r="AI43">
        <v>1</v>
      </c>
      <c r="AJ43">
        <v>13.75</v>
      </c>
      <c r="AK43">
        <v>54.99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0.37</v>
      </c>
      <c r="AU43" t="s">
        <v>496</v>
      </c>
      <c r="AV43">
        <v>0</v>
      </c>
      <c r="AW43">
        <v>2</v>
      </c>
      <c r="AX43">
        <v>60256102</v>
      </c>
      <c r="AY43">
        <v>1</v>
      </c>
      <c r="AZ43">
        <v>0</v>
      </c>
      <c r="BA43">
        <v>48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ROUND(Y43*Source!I84*DO43,9)</f>
        <v>0.86131374999999999</v>
      </c>
      <c r="CX43">
        <f>ROUND(Y43*Source!I84,9)</f>
        <v>5.0874999999999997E-2</v>
      </c>
      <c r="CY43">
        <f>AB43</f>
        <v>2628.65</v>
      </c>
      <c r="CZ43">
        <f>AF43</f>
        <v>179.17</v>
      </c>
      <c r="DA43">
        <f>AJ43</f>
        <v>13.75</v>
      </c>
      <c r="DB43">
        <f>ROUND(((ROUND(AT43*CZ43,2)*1.25)*1.1),6)</f>
        <v>91.148750000000007</v>
      </c>
      <c r="DC43">
        <f>ROUND(((ROUND(AT43*AG43,2)*1.25)*1.1),6)</f>
        <v>8.6074999999999999</v>
      </c>
      <c r="DD43" t="s">
        <v>3</v>
      </c>
      <c r="DE43" t="s">
        <v>3</v>
      </c>
      <c r="DF43">
        <f t="shared" si="7"/>
        <v>0</v>
      </c>
      <c r="DG43">
        <f>ROUND(ROUND(AF43*AJ43,2)*CX43,2)</f>
        <v>125.34</v>
      </c>
      <c r="DH43">
        <f>ROUND(ROUND(AG43*AK43,2)*CX43,2)</f>
        <v>47.36</v>
      </c>
      <c r="DI43">
        <f t="shared" si="1"/>
        <v>0</v>
      </c>
      <c r="DJ43">
        <f>DG43</f>
        <v>125.34</v>
      </c>
      <c r="DK43">
        <v>0</v>
      </c>
      <c r="DL43" t="s">
        <v>489</v>
      </c>
      <c r="DM43">
        <v>0</v>
      </c>
      <c r="DN43" t="s">
        <v>484</v>
      </c>
      <c r="DO43">
        <v>16.93</v>
      </c>
    </row>
    <row r="44" spans="1:119" x14ac:dyDescent="0.2">
      <c r="A44">
        <f>ROW(Source!A84)</f>
        <v>84</v>
      </c>
      <c r="B44">
        <v>60255011</v>
      </c>
      <c r="C44">
        <v>60256089</v>
      </c>
      <c r="D44">
        <v>59038905</v>
      </c>
      <c r="E44">
        <v>1</v>
      </c>
      <c r="F44">
        <v>1</v>
      </c>
      <c r="G44">
        <v>1080</v>
      </c>
      <c r="H44">
        <v>3</v>
      </c>
      <c r="I44" t="s">
        <v>506</v>
      </c>
      <c r="J44" t="s">
        <v>507</v>
      </c>
      <c r="K44" t="s">
        <v>508</v>
      </c>
      <c r="L44">
        <v>1339</v>
      </c>
      <c r="N44">
        <v>1007</v>
      </c>
      <c r="O44" t="s">
        <v>509</v>
      </c>
      <c r="P44" t="s">
        <v>509</v>
      </c>
      <c r="Q44">
        <v>1</v>
      </c>
      <c r="W44">
        <v>0</v>
      </c>
      <c r="X44">
        <v>-744103292</v>
      </c>
      <c r="Y44">
        <f>AT44</f>
        <v>0.22700000000000001</v>
      </c>
      <c r="AA44">
        <v>54.79</v>
      </c>
      <c r="AB44">
        <v>0</v>
      </c>
      <c r="AC44">
        <v>0</v>
      </c>
      <c r="AD44">
        <v>0</v>
      </c>
      <c r="AE44">
        <v>7.07</v>
      </c>
      <c r="AF44">
        <v>0</v>
      </c>
      <c r="AG44">
        <v>0</v>
      </c>
      <c r="AH44">
        <v>0</v>
      </c>
      <c r="AI44">
        <v>7.75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0.22700000000000001</v>
      </c>
      <c r="AU44" t="s">
        <v>3</v>
      </c>
      <c r="AV44">
        <v>0</v>
      </c>
      <c r="AW44">
        <v>2</v>
      </c>
      <c r="AX44">
        <v>60256105</v>
      </c>
      <c r="AY44">
        <v>1</v>
      </c>
      <c r="AZ44">
        <v>0</v>
      </c>
      <c r="BA44">
        <v>49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ROUND(Y44*Source!I84,9)</f>
        <v>2.2700000000000001E-2</v>
      </c>
      <c r="CY44">
        <f>AA44</f>
        <v>54.79</v>
      </c>
      <c r="CZ44">
        <f>AE44</f>
        <v>7.07</v>
      </c>
      <c r="DA44">
        <f>AI44</f>
        <v>7.75</v>
      </c>
      <c r="DB44">
        <f>ROUND(ROUND(AT44*CZ44,2),6)</f>
        <v>1.6</v>
      </c>
      <c r="DC44">
        <f>ROUND(ROUND(AT44*AG44,2),6)</f>
        <v>0</v>
      </c>
      <c r="DD44" t="s">
        <v>3</v>
      </c>
      <c r="DE44" t="s">
        <v>3</v>
      </c>
      <c r="DF44">
        <f>ROUND(ROUND(AE44*AI44,2)*CX44,2)</f>
        <v>1.24</v>
      </c>
      <c r="DG44">
        <f t="shared" ref="DG44:DG59" si="8">ROUND(ROUND(AF44,2)*CX44,2)</f>
        <v>0</v>
      </c>
      <c r="DH44">
        <f t="shared" ref="DH44:DH59" si="9">ROUND(ROUND(AG44,2)*CX44,2)</f>
        <v>0</v>
      </c>
      <c r="DI44">
        <f t="shared" si="1"/>
        <v>0</v>
      </c>
      <c r="DJ44">
        <f>DF44</f>
        <v>1.24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ROW(Source!A84)</f>
        <v>84</v>
      </c>
      <c r="B45">
        <v>60255011</v>
      </c>
      <c r="C45">
        <v>60256089</v>
      </c>
      <c r="D45">
        <v>59045898</v>
      </c>
      <c r="E45">
        <v>1</v>
      </c>
      <c r="F45">
        <v>1</v>
      </c>
      <c r="G45">
        <v>1080</v>
      </c>
      <c r="H45">
        <v>3</v>
      </c>
      <c r="I45" t="s">
        <v>510</v>
      </c>
      <c r="J45" t="s">
        <v>511</v>
      </c>
      <c r="K45" t="s">
        <v>512</v>
      </c>
      <c r="L45">
        <v>1355</v>
      </c>
      <c r="N45">
        <v>1010</v>
      </c>
      <c r="O45" t="s">
        <v>96</v>
      </c>
      <c r="P45" t="s">
        <v>96</v>
      </c>
      <c r="Q45">
        <v>100</v>
      </c>
      <c r="W45">
        <v>0</v>
      </c>
      <c r="X45">
        <v>2062705997</v>
      </c>
      <c r="Y45">
        <f>AT45</f>
        <v>4.04</v>
      </c>
      <c r="AA45">
        <v>1401.76</v>
      </c>
      <c r="AB45">
        <v>0</v>
      </c>
      <c r="AC45">
        <v>0</v>
      </c>
      <c r="AD45">
        <v>0</v>
      </c>
      <c r="AE45">
        <v>154.72</v>
      </c>
      <c r="AF45">
        <v>0</v>
      </c>
      <c r="AG45">
        <v>0</v>
      </c>
      <c r="AH45">
        <v>0</v>
      </c>
      <c r="AI45">
        <v>9.06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4.04</v>
      </c>
      <c r="AU45" t="s">
        <v>3</v>
      </c>
      <c r="AV45">
        <v>0</v>
      </c>
      <c r="AW45">
        <v>2</v>
      </c>
      <c r="AX45">
        <v>60256106</v>
      </c>
      <c r="AY45">
        <v>1</v>
      </c>
      <c r="AZ45">
        <v>0</v>
      </c>
      <c r="BA45">
        <v>50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ROUND(Y45*Source!I84,9)</f>
        <v>0.40400000000000003</v>
      </c>
      <c r="CY45">
        <f>AA45</f>
        <v>1401.76</v>
      </c>
      <c r="CZ45">
        <f>AE45</f>
        <v>154.72</v>
      </c>
      <c r="DA45">
        <f>AI45</f>
        <v>9.06</v>
      </c>
      <c r="DB45">
        <f>ROUND(ROUND(AT45*CZ45,2),6)</f>
        <v>625.07000000000005</v>
      </c>
      <c r="DC45">
        <f>ROUND(ROUND(AT45*AG45,2),6)</f>
        <v>0</v>
      </c>
      <c r="DD45" t="s">
        <v>3</v>
      </c>
      <c r="DE45" t="s">
        <v>3</v>
      </c>
      <c r="DF45">
        <f>ROUND(ROUND(AE45*AI45,2)*CX45,2)</f>
        <v>566.30999999999995</v>
      </c>
      <c r="DG45">
        <f t="shared" si="8"/>
        <v>0</v>
      </c>
      <c r="DH45">
        <f t="shared" si="9"/>
        <v>0</v>
      </c>
      <c r="DI45">
        <f t="shared" si="1"/>
        <v>0</v>
      </c>
      <c r="DJ45">
        <f>DF45</f>
        <v>566.30999999999995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ROW(Source!A84)</f>
        <v>84</v>
      </c>
      <c r="B46">
        <v>60255011</v>
      </c>
      <c r="C46">
        <v>60256089</v>
      </c>
      <c r="D46">
        <v>59056195</v>
      </c>
      <c r="E46">
        <v>1</v>
      </c>
      <c r="F46">
        <v>1</v>
      </c>
      <c r="G46">
        <v>1080</v>
      </c>
      <c r="H46">
        <v>3</v>
      </c>
      <c r="I46" t="s">
        <v>513</v>
      </c>
      <c r="J46" t="s">
        <v>514</v>
      </c>
      <c r="K46" t="s">
        <v>515</v>
      </c>
      <c r="L46">
        <v>1354</v>
      </c>
      <c r="N46">
        <v>1010</v>
      </c>
      <c r="O46" t="s">
        <v>31</v>
      </c>
      <c r="P46" t="s">
        <v>31</v>
      </c>
      <c r="Q46">
        <v>1</v>
      </c>
      <c r="W46">
        <v>0</v>
      </c>
      <c r="X46">
        <v>-572380273</v>
      </c>
      <c r="Y46">
        <f>AT46</f>
        <v>200</v>
      </c>
      <c r="AA46">
        <v>185.42</v>
      </c>
      <c r="AB46">
        <v>0</v>
      </c>
      <c r="AC46">
        <v>0</v>
      </c>
      <c r="AD46">
        <v>0</v>
      </c>
      <c r="AE46">
        <v>7.24</v>
      </c>
      <c r="AF46">
        <v>0</v>
      </c>
      <c r="AG46">
        <v>0</v>
      </c>
      <c r="AH46">
        <v>0</v>
      </c>
      <c r="AI46">
        <v>25.61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200</v>
      </c>
      <c r="AU46" t="s">
        <v>3</v>
      </c>
      <c r="AV46">
        <v>0</v>
      </c>
      <c r="AW46">
        <v>2</v>
      </c>
      <c r="AX46">
        <v>60256107</v>
      </c>
      <c r="AY46">
        <v>1</v>
      </c>
      <c r="AZ46">
        <v>0</v>
      </c>
      <c r="BA46">
        <v>51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ROUND(Y46*Source!I84,9)</f>
        <v>20</v>
      </c>
      <c r="CY46">
        <f>AA46</f>
        <v>185.42</v>
      </c>
      <c r="CZ46">
        <f>AE46</f>
        <v>7.24</v>
      </c>
      <c r="DA46">
        <f>AI46</f>
        <v>25.61</v>
      </c>
      <c r="DB46">
        <f>ROUND(ROUND(AT46*CZ46,2),6)</f>
        <v>1448</v>
      </c>
      <c r="DC46">
        <f>ROUND(ROUND(AT46*AG46,2),6)</f>
        <v>0</v>
      </c>
      <c r="DD46" t="s">
        <v>3</v>
      </c>
      <c r="DE46" t="s">
        <v>3</v>
      </c>
      <c r="DF46">
        <f>ROUND(ROUND(AE46*AI46,2)*CX46,2)</f>
        <v>3708.4</v>
      </c>
      <c r="DG46">
        <f t="shared" si="8"/>
        <v>0</v>
      </c>
      <c r="DH46">
        <f t="shared" si="9"/>
        <v>0</v>
      </c>
      <c r="DI46">
        <f t="shared" si="1"/>
        <v>0</v>
      </c>
      <c r="DJ46">
        <f>DF46</f>
        <v>3708.4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ROW(Source!A84)</f>
        <v>84</v>
      </c>
      <c r="B47">
        <v>60255011</v>
      </c>
      <c r="C47">
        <v>60256089</v>
      </c>
      <c r="D47">
        <v>59049377</v>
      </c>
      <c r="E47">
        <v>1</v>
      </c>
      <c r="F47">
        <v>1</v>
      </c>
      <c r="G47">
        <v>1080</v>
      </c>
      <c r="H47">
        <v>3</v>
      </c>
      <c r="I47" t="s">
        <v>516</v>
      </c>
      <c r="J47" t="s">
        <v>517</v>
      </c>
      <c r="K47" t="s">
        <v>518</v>
      </c>
      <c r="L47">
        <v>1354</v>
      </c>
      <c r="N47">
        <v>1010</v>
      </c>
      <c r="O47" t="s">
        <v>31</v>
      </c>
      <c r="P47" t="s">
        <v>31</v>
      </c>
      <c r="Q47">
        <v>1</v>
      </c>
      <c r="W47">
        <v>0</v>
      </c>
      <c r="X47">
        <v>501598144</v>
      </c>
      <c r="Y47">
        <f>AT47</f>
        <v>0.68400000000000005</v>
      </c>
      <c r="AA47">
        <v>63.83</v>
      </c>
      <c r="AB47">
        <v>0</v>
      </c>
      <c r="AC47">
        <v>0</v>
      </c>
      <c r="AD47">
        <v>0</v>
      </c>
      <c r="AE47">
        <v>6.12</v>
      </c>
      <c r="AF47">
        <v>0</v>
      </c>
      <c r="AG47">
        <v>0</v>
      </c>
      <c r="AH47">
        <v>0</v>
      </c>
      <c r="AI47">
        <v>10.43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0.68400000000000005</v>
      </c>
      <c r="AU47" t="s">
        <v>3</v>
      </c>
      <c r="AV47">
        <v>0</v>
      </c>
      <c r="AW47">
        <v>2</v>
      </c>
      <c r="AX47">
        <v>60256108</v>
      </c>
      <c r="AY47">
        <v>1</v>
      </c>
      <c r="AZ47">
        <v>0</v>
      </c>
      <c r="BA47">
        <v>52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ROUND(Y47*Source!I84,9)</f>
        <v>6.8400000000000002E-2</v>
      </c>
      <c r="CY47">
        <f>AA47</f>
        <v>63.83</v>
      </c>
      <c r="CZ47">
        <f>AE47</f>
        <v>6.12</v>
      </c>
      <c r="DA47">
        <f>AI47</f>
        <v>10.43</v>
      </c>
      <c r="DB47">
        <f>ROUND(ROUND(AT47*CZ47,2),6)</f>
        <v>4.1900000000000004</v>
      </c>
      <c r="DC47">
        <f>ROUND(ROUND(AT47*AG47,2),6)</f>
        <v>0</v>
      </c>
      <c r="DD47" t="s">
        <v>3</v>
      </c>
      <c r="DE47" t="s">
        <v>3</v>
      </c>
      <c r="DF47">
        <f>ROUND(ROUND(AE47*AI47,2)*CX47,2)</f>
        <v>4.37</v>
      </c>
      <c r="DG47">
        <f t="shared" si="8"/>
        <v>0</v>
      </c>
      <c r="DH47">
        <f t="shared" si="9"/>
        <v>0</v>
      </c>
      <c r="DI47">
        <f t="shared" si="1"/>
        <v>0</v>
      </c>
      <c r="DJ47">
        <f>DF47</f>
        <v>4.37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ROW(Source!A84)</f>
        <v>84</v>
      </c>
      <c r="B48">
        <v>60255011</v>
      </c>
      <c r="C48">
        <v>60256089</v>
      </c>
      <c r="D48">
        <v>59004259</v>
      </c>
      <c r="E48">
        <v>1080</v>
      </c>
      <c r="F48">
        <v>1</v>
      </c>
      <c r="G48">
        <v>1080</v>
      </c>
      <c r="H48">
        <v>3</v>
      </c>
      <c r="I48" t="s">
        <v>519</v>
      </c>
      <c r="J48" t="s">
        <v>3</v>
      </c>
      <c r="K48" t="s">
        <v>520</v>
      </c>
      <c r="L48">
        <v>1344</v>
      </c>
      <c r="N48">
        <v>1008</v>
      </c>
      <c r="O48" t="s">
        <v>521</v>
      </c>
      <c r="P48" t="s">
        <v>521</v>
      </c>
      <c r="Q48">
        <v>1</v>
      </c>
      <c r="W48">
        <v>0</v>
      </c>
      <c r="X48">
        <v>-94250534</v>
      </c>
      <c r="Y48">
        <f>AT48</f>
        <v>0.04</v>
      </c>
      <c r="AA48">
        <v>9.8800000000000008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9.8800000000000008</v>
      </c>
      <c r="AJ48">
        <v>1</v>
      </c>
      <c r="AK48">
        <v>1</v>
      </c>
      <c r="AL48">
        <v>1</v>
      </c>
      <c r="AM48">
        <v>5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0.04</v>
      </c>
      <c r="AU48" t="s">
        <v>3</v>
      </c>
      <c r="AV48">
        <v>0</v>
      </c>
      <c r="AW48">
        <v>2</v>
      </c>
      <c r="AX48">
        <v>60256110</v>
      </c>
      <c r="AY48">
        <v>1</v>
      </c>
      <c r="AZ48">
        <v>0</v>
      </c>
      <c r="BA48">
        <v>54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ROUND(Y48*Source!I84,9)</f>
        <v>4.0000000000000001E-3</v>
      </c>
      <c r="CY48">
        <f>AA48</f>
        <v>9.8800000000000008</v>
      </c>
      <c r="CZ48">
        <f>AE48</f>
        <v>1</v>
      </c>
      <c r="DA48">
        <f>AI48</f>
        <v>9.8800000000000008</v>
      </c>
      <c r="DB48">
        <f>ROUND(ROUND(AT48*CZ48,2),6)</f>
        <v>0.04</v>
      </c>
      <c r="DC48">
        <f>ROUND(ROUND(AT48*AG48,2),6)</f>
        <v>0</v>
      </c>
      <c r="DD48" t="s">
        <v>3</v>
      </c>
      <c r="DE48" t="s">
        <v>3</v>
      </c>
      <c r="DF48">
        <f>ROUND(ROUND(AE48*AI48,2)*CX48,2)</f>
        <v>0.04</v>
      </c>
      <c r="DG48">
        <f t="shared" si="8"/>
        <v>0</v>
      </c>
      <c r="DH48">
        <f t="shared" si="9"/>
        <v>0</v>
      </c>
      <c r="DI48">
        <f t="shared" si="1"/>
        <v>0</v>
      </c>
      <c r="DJ48">
        <f>DF48</f>
        <v>0.04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ROW(Source!A97)</f>
        <v>97</v>
      </c>
      <c r="B49">
        <v>60255014</v>
      </c>
      <c r="C49">
        <v>60256111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482</v>
      </c>
      <c r="J49" t="s">
        <v>3</v>
      </c>
      <c r="K49" t="s">
        <v>483</v>
      </c>
      <c r="L49">
        <v>1191</v>
      </c>
      <c r="N49">
        <v>1013</v>
      </c>
      <c r="O49" t="s">
        <v>484</v>
      </c>
      <c r="P49" t="s">
        <v>484</v>
      </c>
      <c r="Q49">
        <v>1</v>
      </c>
      <c r="W49">
        <v>0</v>
      </c>
      <c r="X49">
        <v>476480486</v>
      </c>
      <c r="Y49">
        <f>((AT49*1.15)*1.1)</f>
        <v>94.495500000000007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74.7</v>
      </c>
      <c r="AU49" t="s">
        <v>99</v>
      </c>
      <c r="AV49">
        <v>1</v>
      </c>
      <c r="AW49">
        <v>2</v>
      </c>
      <c r="AX49">
        <v>60256122</v>
      </c>
      <c r="AY49">
        <v>1</v>
      </c>
      <c r="AZ49">
        <v>0</v>
      </c>
      <c r="BA49">
        <v>55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ROUND(AT49*Source!I97*AH49*AL49,2)</f>
        <v>0</v>
      </c>
      <c r="CV49">
        <f>ROUND(Y49*Source!I97,9)</f>
        <v>15.11928</v>
      </c>
      <c r="CW49">
        <v>0</v>
      </c>
      <c r="CX49">
        <f>ROUND(Y49*Source!I97,9)</f>
        <v>15.11928</v>
      </c>
      <c r="CY49">
        <f>AD49</f>
        <v>0</v>
      </c>
      <c r="CZ49">
        <f>AH49</f>
        <v>0</v>
      </c>
      <c r="DA49">
        <f>AL49</f>
        <v>1</v>
      </c>
      <c r="DB49">
        <f>ROUND(((ROUND(AT49*CZ49,2)*1.15)*1.1),6)</f>
        <v>0</v>
      </c>
      <c r="DC49">
        <f>ROUND(((ROUND(AT49*AG49,2)*1.15)*1.1),6)</f>
        <v>0</v>
      </c>
      <c r="DD49" t="s">
        <v>3</v>
      </c>
      <c r="DE49" t="s">
        <v>3</v>
      </c>
      <c r="DF49">
        <f t="shared" ref="DF49:DF63" si="10">ROUND(ROUND(AE49,2)*CX49,2)</f>
        <v>0</v>
      </c>
      <c r="DG49">
        <f t="shared" si="8"/>
        <v>0</v>
      </c>
      <c r="DH49">
        <f t="shared" si="9"/>
        <v>0</v>
      </c>
      <c r="DI49">
        <f t="shared" si="1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ROW(Source!A97)</f>
        <v>97</v>
      </c>
      <c r="B50">
        <v>60255014</v>
      </c>
      <c r="C50">
        <v>60256111</v>
      </c>
      <c r="D50">
        <v>59070669</v>
      </c>
      <c r="E50">
        <v>1</v>
      </c>
      <c r="F50">
        <v>1</v>
      </c>
      <c r="G50">
        <v>1080</v>
      </c>
      <c r="H50">
        <v>2</v>
      </c>
      <c r="I50" t="s">
        <v>485</v>
      </c>
      <c r="J50" t="s">
        <v>486</v>
      </c>
      <c r="K50" t="s">
        <v>487</v>
      </c>
      <c r="L50">
        <v>1368</v>
      </c>
      <c r="N50">
        <v>1011</v>
      </c>
      <c r="O50" t="s">
        <v>488</v>
      </c>
      <c r="P50" t="s">
        <v>488</v>
      </c>
      <c r="Q50">
        <v>1</v>
      </c>
      <c r="W50">
        <v>0</v>
      </c>
      <c r="X50">
        <v>-1985943078</v>
      </c>
      <c r="Y50">
        <f>((AT50*1.25)*1.1)</f>
        <v>0.44000000000000006</v>
      </c>
      <c r="AA50">
        <v>0</v>
      </c>
      <c r="AB50">
        <v>88.67</v>
      </c>
      <c r="AC50">
        <v>13.47</v>
      </c>
      <c r="AD50">
        <v>0</v>
      </c>
      <c r="AE50">
        <v>0</v>
      </c>
      <c r="AF50">
        <v>83.1</v>
      </c>
      <c r="AG50">
        <v>12.62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0.32</v>
      </c>
      <c r="AU50" t="s">
        <v>496</v>
      </c>
      <c r="AV50">
        <v>0</v>
      </c>
      <c r="AW50">
        <v>2</v>
      </c>
      <c r="AX50">
        <v>60256123</v>
      </c>
      <c r="AY50">
        <v>1</v>
      </c>
      <c r="AZ50">
        <v>0</v>
      </c>
      <c r="BA50">
        <v>56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ROUND(Y50*Source!I97*DO50,9)</f>
        <v>0.88844800000000002</v>
      </c>
      <c r="CX50">
        <f>ROUND(Y50*Source!I97,9)</f>
        <v>7.0400000000000004E-2</v>
      </c>
      <c r="CY50">
        <f>AB50</f>
        <v>88.67</v>
      </c>
      <c r="CZ50">
        <f>AF50</f>
        <v>83.1</v>
      </c>
      <c r="DA50">
        <f>AJ50</f>
        <v>1</v>
      </c>
      <c r="DB50">
        <f>ROUND(((ROUND(AT50*CZ50,2)*1.25)*1.1),6)</f>
        <v>36.561250000000001</v>
      </c>
      <c r="DC50">
        <f>ROUND(((ROUND(AT50*AG50,2)*1.25)*1.1),6)</f>
        <v>5.5549999999999997</v>
      </c>
      <c r="DD50" t="s">
        <v>3</v>
      </c>
      <c r="DE50" t="s">
        <v>3</v>
      </c>
      <c r="DF50">
        <f t="shared" si="10"/>
        <v>0</v>
      </c>
      <c r="DG50">
        <f t="shared" si="8"/>
        <v>5.85</v>
      </c>
      <c r="DH50">
        <f t="shared" si="9"/>
        <v>0.89</v>
      </c>
      <c r="DI50">
        <f t="shared" si="1"/>
        <v>0</v>
      </c>
      <c r="DJ50">
        <f>DG50</f>
        <v>5.85</v>
      </c>
      <c r="DK50">
        <v>0</v>
      </c>
      <c r="DL50" t="s">
        <v>489</v>
      </c>
      <c r="DM50">
        <v>0</v>
      </c>
      <c r="DN50" t="s">
        <v>484</v>
      </c>
      <c r="DO50">
        <v>12.62</v>
      </c>
    </row>
    <row r="51" spans="1:119" x14ac:dyDescent="0.2">
      <c r="A51">
        <f>ROW(Source!A97)</f>
        <v>97</v>
      </c>
      <c r="B51">
        <v>60255014</v>
      </c>
      <c r="C51">
        <v>60256111</v>
      </c>
      <c r="D51">
        <v>59070721</v>
      </c>
      <c r="E51">
        <v>1</v>
      </c>
      <c r="F51">
        <v>1</v>
      </c>
      <c r="G51">
        <v>1080</v>
      </c>
      <c r="H51">
        <v>2</v>
      </c>
      <c r="I51" t="s">
        <v>497</v>
      </c>
      <c r="J51" t="s">
        <v>498</v>
      </c>
      <c r="K51" t="s">
        <v>499</v>
      </c>
      <c r="L51">
        <v>1368</v>
      </c>
      <c r="N51">
        <v>1011</v>
      </c>
      <c r="O51" t="s">
        <v>488</v>
      </c>
      <c r="P51" t="s">
        <v>488</v>
      </c>
      <c r="Q51">
        <v>1</v>
      </c>
      <c r="W51">
        <v>0</v>
      </c>
      <c r="X51">
        <v>1387779639</v>
      </c>
      <c r="Y51">
        <f>((AT51*1.25)*1.1)</f>
        <v>1.7050000000000003</v>
      </c>
      <c r="AA51">
        <v>0</v>
      </c>
      <c r="AB51">
        <v>0.82</v>
      </c>
      <c r="AC51">
        <v>0</v>
      </c>
      <c r="AD51">
        <v>0</v>
      </c>
      <c r="AE51">
        <v>0</v>
      </c>
      <c r="AF51">
        <v>0.77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1.24</v>
      </c>
      <c r="AU51" t="s">
        <v>496</v>
      </c>
      <c r="AV51">
        <v>0</v>
      </c>
      <c r="AW51">
        <v>2</v>
      </c>
      <c r="AX51">
        <v>60256125</v>
      </c>
      <c r="AY51">
        <v>1</v>
      </c>
      <c r="AZ51">
        <v>0</v>
      </c>
      <c r="BA51">
        <v>57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ROUND(Y51*Source!I97*DO51,9)</f>
        <v>0</v>
      </c>
      <c r="CX51">
        <f>ROUND(Y51*Source!I97,9)</f>
        <v>0.27279999999999999</v>
      </c>
      <c r="CY51">
        <f>AB51</f>
        <v>0.82</v>
      </c>
      <c r="CZ51">
        <f>AF51</f>
        <v>0.77</v>
      </c>
      <c r="DA51">
        <f>AJ51</f>
        <v>1</v>
      </c>
      <c r="DB51">
        <f>ROUND(((ROUND(AT51*CZ51,2)*1.25)*1.1),6)</f>
        <v>1.3062499999999999</v>
      </c>
      <c r="DC51">
        <f>ROUND(((ROUND(AT51*AG51,2)*1.25)*1.1),6)</f>
        <v>0</v>
      </c>
      <c r="DD51" t="s">
        <v>3</v>
      </c>
      <c r="DE51" t="s">
        <v>3</v>
      </c>
      <c r="DF51">
        <f t="shared" si="10"/>
        <v>0</v>
      </c>
      <c r="DG51">
        <f t="shared" si="8"/>
        <v>0.21</v>
      </c>
      <c r="DH51">
        <f t="shared" si="9"/>
        <v>0</v>
      </c>
      <c r="DI51">
        <f t="shared" si="1"/>
        <v>0</v>
      </c>
      <c r="DJ51">
        <f>DG51</f>
        <v>0.21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ROW(Source!A97)</f>
        <v>97</v>
      </c>
      <c r="B52">
        <v>60255014</v>
      </c>
      <c r="C52">
        <v>60256111</v>
      </c>
      <c r="D52">
        <v>59070754</v>
      </c>
      <c r="E52">
        <v>1</v>
      </c>
      <c r="F52">
        <v>1</v>
      </c>
      <c r="G52">
        <v>1080</v>
      </c>
      <c r="H52">
        <v>2</v>
      </c>
      <c r="I52" t="s">
        <v>500</v>
      </c>
      <c r="J52" t="s">
        <v>501</v>
      </c>
      <c r="K52" t="s">
        <v>502</v>
      </c>
      <c r="L52">
        <v>1368</v>
      </c>
      <c r="N52">
        <v>1011</v>
      </c>
      <c r="O52" t="s">
        <v>488</v>
      </c>
      <c r="P52" t="s">
        <v>488</v>
      </c>
      <c r="Q52">
        <v>1</v>
      </c>
      <c r="W52">
        <v>0</v>
      </c>
      <c r="X52">
        <v>1645565003</v>
      </c>
      <c r="Y52">
        <f>((AT52*1.25)*1.1)</f>
        <v>4.4275000000000011</v>
      </c>
      <c r="AA52">
        <v>0</v>
      </c>
      <c r="AB52">
        <v>0.5</v>
      </c>
      <c r="AC52">
        <v>0</v>
      </c>
      <c r="AD52">
        <v>0</v>
      </c>
      <c r="AE52">
        <v>0</v>
      </c>
      <c r="AF52">
        <v>0.47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3.22</v>
      </c>
      <c r="AU52" t="s">
        <v>496</v>
      </c>
      <c r="AV52">
        <v>0</v>
      </c>
      <c r="AW52">
        <v>2</v>
      </c>
      <c r="AX52">
        <v>60256126</v>
      </c>
      <c r="AY52">
        <v>1</v>
      </c>
      <c r="AZ52">
        <v>0</v>
      </c>
      <c r="BA52">
        <v>58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ROUND(Y52*Source!I97*DO52,9)</f>
        <v>0</v>
      </c>
      <c r="CX52">
        <f>ROUND(Y52*Source!I97,9)</f>
        <v>0.70840000000000003</v>
      </c>
      <c r="CY52">
        <f>AB52</f>
        <v>0.5</v>
      </c>
      <c r="CZ52">
        <f>AF52</f>
        <v>0.47</v>
      </c>
      <c r="DA52">
        <f>AJ52</f>
        <v>1</v>
      </c>
      <c r="DB52">
        <f>ROUND(((ROUND(AT52*CZ52,2)*1.25)*1.1),6)</f>
        <v>2.0762499999999999</v>
      </c>
      <c r="DC52">
        <f>ROUND(((ROUND(AT52*AG52,2)*1.25)*1.1),6)</f>
        <v>0</v>
      </c>
      <c r="DD52" t="s">
        <v>3</v>
      </c>
      <c r="DE52" t="s">
        <v>3</v>
      </c>
      <c r="DF52">
        <f t="shared" si="10"/>
        <v>0</v>
      </c>
      <c r="DG52">
        <f t="shared" si="8"/>
        <v>0.33</v>
      </c>
      <c r="DH52">
        <f t="shared" si="9"/>
        <v>0</v>
      </c>
      <c r="DI52">
        <f t="shared" si="1"/>
        <v>0</v>
      </c>
      <c r="DJ52">
        <f>DG52</f>
        <v>0.33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ROW(Source!A97)</f>
        <v>97</v>
      </c>
      <c r="B53">
        <v>60255014</v>
      </c>
      <c r="C53">
        <v>60256111</v>
      </c>
      <c r="D53">
        <v>59069905</v>
      </c>
      <c r="E53">
        <v>1</v>
      </c>
      <c r="F53">
        <v>1</v>
      </c>
      <c r="G53">
        <v>1080</v>
      </c>
      <c r="H53">
        <v>2</v>
      </c>
      <c r="I53" t="s">
        <v>503</v>
      </c>
      <c r="J53" t="s">
        <v>504</v>
      </c>
      <c r="K53" t="s">
        <v>505</v>
      </c>
      <c r="L53">
        <v>1368</v>
      </c>
      <c r="N53">
        <v>1011</v>
      </c>
      <c r="O53" t="s">
        <v>488</v>
      </c>
      <c r="P53" t="s">
        <v>488</v>
      </c>
      <c r="Q53">
        <v>1</v>
      </c>
      <c r="W53">
        <v>0</v>
      </c>
      <c r="X53">
        <v>1087580389</v>
      </c>
      <c r="Y53">
        <f>((AT53*1.25)*1.1)</f>
        <v>0.50875000000000004</v>
      </c>
      <c r="AA53">
        <v>0</v>
      </c>
      <c r="AB53">
        <v>191.17</v>
      </c>
      <c r="AC53">
        <v>18.059999999999999</v>
      </c>
      <c r="AD53">
        <v>0</v>
      </c>
      <c r="AE53">
        <v>0</v>
      </c>
      <c r="AF53">
        <v>179.17</v>
      </c>
      <c r="AG53">
        <v>16.93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0.37</v>
      </c>
      <c r="AU53" t="s">
        <v>496</v>
      </c>
      <c r="AV53">
        <v>0</v>
      </c>
      <c r="AW53">
        <v>2</v>
      </c>
      <c r="AX53">
        <v>60256124</v>
      </c>
      <c r="AY53">
        <v>1</v>
      </c>
      <c r="AZ53">
        <v>0</v>
      </c>
      <c r="BA53">
        <v>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ROUND(Y53*Source!I97*DO53,9)</f>
        <v>1.3781019999999999</v>
      </c>
      <c r="CX53">
        <f>ROUND(Y53*Source!I97,9)</f>
        <v>8.14E-2</v>
      </c>
      <c r="CY53">
        <f>AB53</f>
        <v>191.17</v>
      </c>
      <c r="CZ53">
        <f>AF53</f>
        <v>179.17</v>
      </c>
      <c r="DA53">
        <f>AJ53</f>
        <v>1</v>
      </c>
      <c r="DB53">
        <f>ROUND(((ROUND(AT53*CZ53,2)*1.25)*1.1),6)</f>
        <v>91.148750000000007</v>
      </c>
      <c r="DC53">
        <f>ROUND(((ROUND(AT53*AG53,2)*1.25)*1.1),6)</f>
        <v>8.6074999999999999</v>
      </c>
      <c r="DD53" t="s">
        <v>3</v>
      </c>
      <c r="DE53" t="s">
        <v>3</v>
      </c>
      <c r="DF53">
        <f t="shared" si="10"/>
        <v>0</v>
      </c>
      <c r="DG53">
        <f t="shared" si="8"/>
        <v>14.58</v>
      </c>
      <c r="DH53">
        <f t="shared" si="9"/>
        <v>1.38</v>
      </c>
      <c r="DI53">
        <f t="shared" si="1"/>
        <v>0</v>
      </c>
      <c r="DJ53">
        <f>DG53</f>
        <v>14.58</v>
      </c>
      <c r="DK53">
        <v>0</v>
      </c>
      <c r="DL53" t="s">
        <v>489</v>
      </c>
      <c r="DM53">
        <v>0</v>
      </c>
      <c r="DN53" t="s">
        <v>484</v>
      </c>
      <c r="DO53">
        <v>16.93</v>
      </c>
    </row>
    <row r="54" spans="1:119" x14ac:dyDescent="0.2">
      <c r="A54">
        <f>ROW(Source!A97)</f>
        <v>97</v>
      </c>
      <c r="B54">
        <v>60255014</v>
      </c>
      <c r="C54">
        <v>60256111</v>
      </c>
      <c r="D54">
        <v>59038905</v>
      </c>
      <c r="E54">
        <v>1</v>
      </c>
      <c r="F54">
        <v>1</v>
      </c>
      <c r="G54">
        <v>1080</v>
      </c>
      <c r="H54">
        <v>3</v>
      </c>
      <c r="I54" t="s">
        <v>506</v>
      </c>
      <c r="J54" t="s">
        <v>507</v>
      </c>
      <c r="K54" t="s">
        <v>508</v>
      </c>
      <c r="L54">
        <v>1339</v>
      </c>
      <c r="N54">
        <v>1007</v>
      </c>
      <c r="O54" t="s">
        <v>509</v>
      </c>
      <c r="P54" t="s">
        <v>509</v>
      </c>
      <c r="Q54">
        <v>1</v>
      </c>
      <c r="W54">
        <v>0</v>
      </c>
      <c r="X54">
        <v>-744103292</v>
      </c>
      <c r="Y54">
        <f>AT54</f>
        <v>0.22700000000000001</v>
      </c>
      <c r="AA54">
        <v>7.07</v>
      </c>
      <c r="AB54">
        <v>0</v>
      </c>
      <c r="AC54">
        <v>0</v>
      </c>
      <c r="AD54">
        <v>0</v>
      </c>
      <c r="AE54">
        <v>7.07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0.22700000000000001</v>
      </c>
      <c r="AU54" t="s">
        <v>3</v>
      </c>
      <c r="AV54">
        <v>0</v>
      </c>
      <c r="AW54">
        <v>2</v>
      </c>
      <c r="AX54">
        <v>60256127</v>
      </c>
      <c r="AY54">
        <v>1</v>
      </c>
      <c r="AZ54">
        <v>0</v>
      </c>
      <c r="BA54">
        <v>60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ROUND(Y54*Source!I97,9)</f>
        <v>3.6319999999999998E-2</v>
      </c>
      <c r="CY54">
        <f>AA54</f>
        <v>7.07</v>
      </c>
      <c r="CZ54">
        <f>AE54</f>
        <v>7.07</v>
      </c>
      <c r="DA54">
        <f>AI54</f>
        <v>1</v>
      </c>
      <c r="DB54">
        <f>ROUND(ROUND(AT54*CZ54,2),6)</f>
        <v>1.6</v>
      </c>
      <c r="DC54">
        <f>ROUND(ROUND(AT54*AG54,2),6)</f>
        <v>0</v>
      </c>
      <c r="DD54" t="s">
        <v>3</v>
      </c>
      <c r="DE54" t="s">
        <v>3</v>
      </c>
      <c r="DF54">
        <f t="shared" si="10"/>
        <v>0.26</v>
      </c>
      <c r="DG54">
        <f t="shared" si="8"/>
        <v>0</v>
      </c>
      <c r="DH54">
        <f t="shared" si="9"/>
        <v>0</v>
      </c>
      <c r="DI54">
        <f t="shared" si="1"/>
        <v>0</v>
      </c>
      <c r="DJ54">
        <f>DF54</f>
        <v>0.26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ROW(Source!A97)</f>
        <v>97</v>
      </c>
      <c r="B55">
        <v>60255014</v>
      </c>
      <c r="C55">
        <v>60256111</v>
      </c>
      <c r="D55">
        <v>59045898</v>
      </c>
      <c r="E55">
        <v>1</v>
      </c>
      <c r="F55">
        <v>1</v>
      </c>
      <c r="G55">
        <v>1080</v>
      </c>
      <c r="H55">
        <v>3</v>
      </c>
      <c r="I55" t="s">
        <v>510</v>
      </c>
      <c r="J55" t="s">
        <v>511</v>
      </c>
      <c r="K55" t="s">
        <v>512</v>
      </c>
      <c r="L55">
        <v>1355</v>
      </c>
      <c r="N55">
        <v>1010</v>
      </c>
      <c r="O55" t="s">
        <v>96</v>
      </c>
      <c r="P55" t="s">
        <v>96</v>
      </c>
      <c r="Q55">
        <v>100</v>
      </c>
      <c r="W55">
        <v>0</v>
      </c>
      <c r="X55">
        <v>2062705997</v>
      </c>
      <c r="Y55">
        <f>AT55</f>
        <v>4.04</v>
      </c>
      <c r="AA55">
        <v>154.72</v>
      </c>
      <c r="AB55">
        <v>0</v>
      </c>
      <c r="AC55">
        <v>0</v>
      </c>
      <c r="AD55">
        <v>0</v>
      </c>
      <c r="AE55">
        <v>154.72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4.04</v>
      </c>
      <c r="AU55" t="s">
        <v>3</v>
      </c>
      <c r="AV55">
        <v>0</v>
      </c>
      <c r="AW55">
        <v>2</v>
      </c>
      <c r="AX55">
        <v>60256128</v>
      </c>
      <c r="AY55">
        <v>1</v>
      </c>
      <c r="AZ55">
        <v>0</v>
      </c>
      <c r="BA55">
        <v>61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ROUND(Y55*Source!I97,9)</f>
        <v>0.64639999999999997</v>
      </c>
      <c r="CY55">
        <f>AA55</f>
        <v>154.72</v>
      </c>
      <c r="CZ55">
        <f>AE55</f>
        <v>154.72</v>
      </c>
      <c r="DA55">
        <f>AI55</f>
        <v>1</v>
      </c>
      <c r="DB55">
        <f>ROUND(ROUND(AT55*CZ55,2),6)</f>
        <v>625.07000000000005</v>
      </c>
      <c r="DC55">
        <f>ROUND(ROUND(AT55*AG55,2),6)</f>
        <v>0</v>
      </c>
      <c r="DD55" t="s">
        <v>3</v>
      </c>
      <c r="DE55" t="s">
        <v>3</v>
      </c>
      <c r="DF55">
        <f t="shared" si="10"/>
        <v>100.01</v>
      </c>
      <c r="DG55">
        <f t="shared" si="8"/>
        <v>0</v>
      </c>
      <c r="DH55">
        <f t="shared" si="9"/>
        <v>0</v>
      </c>
      <c r="DI55">
        <f t="shared" si="1"/>
        <v>0</v>
      </c>
      <c r="DJ55">
        <f>DF55</f>
        <v>100.01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ROW(Source!A97)</f>
        <v>97</v>
      </c>
      <c r="B56">
        <v>60255014</v>
      </c>
      <c r="C56">
        <v>60256111</v>
      </c>
      <c r="D56">
        <v>59056195</v>
      </c>
      <c r="E56">
        <v>1</v>
      </c>
      <c r="F56">
        <v>1</v>
      </c>
      <c r="G56">
        <v>1080</v>
      </c>
      <c r="H56">
        <v>3</v>
      </c>
      <c r="I56" t="s">
        <v>513</v>
      </c>
      <c r="J56" t="s">
        <v>514</v>
      </c>
      <c r="K56" t="s">
        <v>515</v>
      </c>
      <c r="L56">
        <v>1354</v>
      </c>
      <c r="N56">
        <v>1010</v>
      </c>
      <c r="O56" t="s">
        <v>31</v>
      </c>
      <c r="P56" t="s">
        <v>31</v>
      </c>
      <c r="Q56">
        <v>1</v>
      </c>
      <c r="W56">
        <v>0</v>
      </c>
      <c r="X56">
        <v>-572380273</v>
      </c>
      <c r="Y56">
        <f>AT56</f>
        <v>200</v>
      </c>
      <c r="AA56">
        <v>7.24</v>
      </c>
      <c r="AB56">
        <v>0</v>
      </c>
      <c r="AC56">
        <v>0</v>
      </c>
      <c r="AD56">
        <v>0</v>
      </c>
      <c r="AE56">
        <v>7.24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200</v>
      </c>
      <c r="AU56" t="s">
        <v>3</v>
      </c>
      <c r="AV56">
        <v>0</v>
      </c>
      <c r="AW56">
        <v>2</v>
      </c>
      <c r="AX56">
        <v>60256129</v>
      </c>
      <c r="AY56">
        <v>1</v>
      </c>
      <c r="AZ56">
        <v>0</v>
      </c>
      <c r="BA56">
        <v>62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ROUND(Y56*Source!I97,9)</f>
        <v>32</v>
      </c>
      <c r="CY56">
        <f>AA56</f>
        <v>7.24</v>
      </c>
      <c r="CZ56">
        <f>AE56</f>
        <v>7.24</v>
      </c>
      <c r="DA56">
        <f>AI56</f>
        <v>1</v>
      </c>
      <c r="DB56">
        <f>ROUND(ROUND(AT56*CZ56,2),6)</f>
        <v>1448</v>
      </c>
      <c r="DC56">
        <f>ROUND(ROUND(AT56*AG56,2),6)</f>
        <v>0</v>
      </c>
      <c r="DD56" t="s">
        <v>3</v>
      </c>
      <c r="DE56" t="s">
        <v>3</v>
      </c>
      <c r="DF56">
        <f t="shared" si="10"/>
        <v>231.68</v>
      </c>
      <c r="DG56">
        <f t="shared" si="8"/>
        <v>0</v>
      </c>
      <c r="DH56">
        <f t="shared" si="9"/>
        <v>0</v>
      </c>
      <c r="DI56">
        <f t="shared" si="1"/>
        <v>0</v>
      </c>
      <c r="DJ56">
        <f>DF56</f>
        <v>231.68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ROW(Source!A97)</f>
        <v>97</v>
      </c>
      <c r="B57">
        <v>60255014</v>
      </c>
      <c r="C57">
        <v>60256111</v>
      </c>
      <c r="D57">
        <v>59049377</v>
      </c>
      <c r="E57">
        <v>1</v>
      </c>
      <c r="F57">
        <v>1</v>
      </c>
      <c r="G57">
        <v>1080</v>
      </c>
      <c r="H57">
        <v>3</v>
      </c>
      <c r="I57" t="s">
        <v>516</v>
      </c>
      <c r="J57" t="s">
        <v>517</v>
      </c>
      <c r="K57" t="s">
        <v>518</v>
      </c>
      <c r="L57">
        <v>1354</v>
      </c>
      <c r="N57">
        <v>1010</v>
      </c>
      <c r="O57" t="s">
        <v>31</v>
      </c>
      <c r="P57" t="s">
        <v>31</v>
      </c>
      <c r="Q57">
        <v>1</v>
      </c>
      <c r="W57">
        <v>0</v>
      </c>
      <c r="X57">
        <v>501598144</v>
      </c>
      <c r="Y57">
        <f>AT57</f>
        <v>0.68400000000000005</v>
      </c>
      <c r="AA57">
        <v>6.12</v>
      </c>
      <c r="AB57">
        <v>0</v>
      </c>
      <c r="AC57">
        <v>0</v>
      </c>
      <c r="AD57">
        <v>0</v>
      </c>
      <c r="AE57">
        <v>6.12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0.68400000000000005</v>
      </c>
      <c r="AU57" t="s">
        <v>3</v>
      </c>
      <c r="AV57">
        <v>0</v>
      </c>
      <c r="AW57">
        <v>2</v>
      </c>
      <c r="AX57">
        <v>60256130</v>
      </c>
      <c r="AY57">
        <v>1</v>
      </c>
      <c r="AZ57">
        <v>0</v>
      </c>
      <c r="BA57">
        <v>63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ROUND(Y57*Source!I97,9)</f>
        <v>0.10944</v>
      </c>
      <c r="CY57">
        <f>AA57</f>
        <v>6.12</v>
      </c>
      <c r="CZ57">
        <f>AE57</f>
        <v>6.12</v>
      </c>
      <c r="DA57">
        <f>AI57</f>
        <v>1</v>
      </c>
      <c r="DB57">
        <f>ROUND(ROUND(AT57*CZ57,2),6)</f>
        <v>4.1900000000000004</v>
      </c>
      <c r="DC57">
        <f>ROUND(ROUND(AT57*AG57,2),6)</f>
        <v>0</v>
      </c>
      <c r="DD57" t="s">
        <v>3</v>
      </c>
      <c r="DE57" t="s">
        <v>3</v>
      </c>
      <c r="DF57">
        <f t="shared" si="10"/>
        <v>0.67</v>
      </c>
      <c r="DG57">
        <f t="shared" si="8"/>
        <v>0</v>
      </c>
      <c r="DH57">
        <f t="shared" si="9"/>
        <v>0</v>
      </c>
      <c r="DI57">
        <f t="shared" si="1"/>
        <v>0</v>
      </c>
      <c r="DJ57">
        <f>DF57</f>
        <v>0.67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ROW(Source!A97)</f>
        <v>97</v>
      </c>
      <c r="B58">
        <v>60255014</v>
      </c>
      <c r="C58">
        <v>60256111</v>
      </c>
      <c r="D58">
        <v>59004259</v>
      </c>
      <c r="E58">
        <v>1080</v>
      </c>
      <c r="F58">
        <v>1</v>
      </c>
      <c r="G58">
        <v>1080</v>
      </c>
      <c r="H58">
        <v>3</v>
      </c>
      <c r="I58" t="s">
        <v>519</v>
      </c>
      <c r="J58" t="s">
        <v>3</v>
      </c>
      <c r="K58" t="s">
        <v>520</v>
      </c>
      <c r="L58">
        <v>1344</v>
      </c>
      <c r="N58">
        <v>1008</v>
      </c>
      <c r="O58" t="s">
        <v>521</v>
      </c>
      <c r="P58" t="s">
        <v>521</v>
      </c>
      <c r="Q58">
        <v>1</v>
      </c>
      <c r="W58">
        <v>0</v>
      </c>
      <c r="X58">
        <v>-94250534</v>
      </c>
      <c r="Y58">
        <f>AT58</f>
        <v>0.04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0.04</v>
      </c>
      <c r="AU58" t="s">
        <v>3</v>
      </c>
      <c r="AV58">
        <v>0</v>
      </c>
      <c r="AW58">
        <v>2</v>
      </c>
      <c r="AX58">
        <v>60256132</v>
      </c>
      <c r="AY58">
        <v>1</v>
      </c>
      <c r="AZ58">
        <v>0</v>
      </c>
      <c r="BA58">
        <v>65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ROUND(Y58*Source!I97,9)</f>
        <v>6.4000000000000003E-3</v>
      </c>
      <c r="CY58">
        <f>AA58</f>
        <v>1</v>
      </c>
      <c r="CZ58">
        <f>AE58</f>
        <v>1</v>
      </c>
      <c r="DA58">
        <f>AI58</f>
        <v>1</v>
      </c>
      <c r="DB58">
        <f>ROUND(ROUND(AT58*CZ58,2),6)</f>
        <v>0.04</v>
      </c>
      <c r="DC58">
        <f>ROUND(ROUND(AT58*AG58,2),6)</f>
        <v>0</v>
      </c>
      <c r="DD58" t="s">
        <v>3</v>
      </c>
      <c r="DE58" t="s">
        <v>3</v>
      </c>
      <c r="DF58">
        <f t="shared" si="10"/>
        <v>0.01</v>
      </c>
      <c r="DG58">
        <f t="shared" si="8"/>
        <v>0</v>
      </c>
      <c r="DH58">
        <f t="shared" si="9"/>
        <v>0</v>
      </c>
      <c r="DI58">
        <f t="shared" si="1"/>
        <v>0</v>
      </c>
      <c r="DJ58">
        <f>DF58</f>
        <v>0.01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ROW(Source!A98)</f>
        <v>98</v>
      </c>
      <c r="B59">
        <v>60255011</v>
      </c>
      <c r="C59">
        <v>60256111</v>
      </c>
      <c r="D59">
        <v>58999254</v>
      </c>
      <c r="E59">
        <v>1080</v>
      </c>
      <c r="F59">
        <v>1</v>
      </c>
      <c r="G59">
        <v>1080</v>
      </c>
      <c r="H59">
        <v>1</v>
      </c>
      <c r="I59" t="s">
        <v>482</v>
      </c>
      <c r="J59" t="s">
        <v>3</v>
      </c>
      <c r="K59" t="s">
        <v>483</v>
      </c>
      <c r="L59">
        <v>1191</v>
      </c>
      <c r="N59">
        <v>1013</v>
      </c>
      <c r="O59" t="s">
        <v>484</v>
      </c>
      <c r="P59" t="s">
        <v>484</v>
      </c>
      <c r="Q59">
        <v>1</v>
      </c>
      <c r="W59">
        <v>0</v>
      </c>
      <c r="X59">
        <v>476480486</v>
      </c>
      <c r="Y59">
        <f>((AT59*1.15)*1.1)</f>
        <v>94.495500000000007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5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74.7</v>
      </c>
      <c r="AU59" t="s">
        <v>99</v>
      </c>
      <c r="AV59">
        <v>1</v>
      </c>
      <c r="AW59">
        <v>2</v>
      </c>
      <c r="AX59">
        <v>60256122</v>
      </c>
      <c r="AY59">
        <v>1</v>
      </c>
      <c r="AZ59">
        <v>0</v>
      </c>
      <c r="BA59">
        <v>66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ROUND(AT59*Source!I98*AH59*AL59,2)</f>
        <v>0</v>
      </c>
      <c r="CV59">
        <f>ROUND(Y59*Source!I98,9)</f>
        <v>15.11928</v>
      </c>
      <c r="CW59">
        <v>0</v>
      </c>
      <c r="CX59">
        <f>ROUND(Y59*Source!I98,9)</f>
        <v>15.11928</v>
      </c>
      <c r="CY59">
        <f>AD59</f>
        <v>0</v>
      </c>
      <c r="CZ59">
        <f>AH59</f>
        <v>0</v>
      </c>
      <c r="DA59">
        <f>AL59</f>
        <v>1</v>
      </c>
      <c r="DB59">
        <f>ROUND(((ROUND(AT59*CZ59,2)*1.15)*1.1),6)</f>
        <v>0</v>
      </c>
      <c r="DC59">
        <f>ROUND(((ROUND(AT59*AG59,2)*1.15)*1.1),6)</f>
        <v>0</v>
      </c>
      <c r="DD59" t="s">
        <v>3</v>
      </c>
      <c r="DE59" t="s">
        <v>3</v>
      </c>
      <c r="DF59">
        <f t="shared" si="10"/>
        <v>0</v>
      </c>
      <c r="DG59">
        <f t="shared" si="8"/>
        <v>0</v>
      </c>
      <c r="DH59">
        <f t="shared" si="9"/>
        <v>0</v>
      </c>
      <c r="DI59">
        <f t="shared" si="1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ROW(Source!A98)</f>
        <v>98</v>
      </c>
      <c r="B60">
        <v>60255011</v>
      </c>
      <c r="C60">
        <v>60256111</v>
      </c>
      <c r="D60">
        <v>59070669</v>
      </c>
      <c r="E60">
        <v>1</v>
      </c>
      <c r="F60">
        <v>1</v>
      </c>
      <c r="G60">
        <v>1080</v>
      </c>
      <c r="H60">
        <v>2</v>
      </c>
      <c r="I60" t="s">
        <v>485</v>
      </c>
      <c r="J60" t="s">
        <v>486</v>
      </c>
      <c r="K60" t="s">
        <v>487</v>
      </c>
      <c r="L60">
        <v>1368</v>
      </c>
      <c r="N60">
        <v>1011</v>
      </c>
      <c r="O60" t="s">
        <v>488</v>
      </c>
      <c r="P60" t="s">
        <v>488</v>
      </c>
      <c r="Q60">
        <v>1</v>
      </c>
      <c r="W60">
        <v>0</v>
      </c>
      <c r="X60">
        <v>-1985943078</v>
      </c>
      <c r="Y60">
        <f>((AT60*1.25)*1.1)</f>
        <v>0.44000000000000006</v>
      </c>
      <c r="AA60">
        <v>0</v>
      </c>
      <c r="AB60">
        <v>1445.28</v>
      </c>
      <c r="AC60">
        <v>740.47</v>
      </c>
      <c r="AD60">
        <v>0</v>
      </c>
      <c r="AE60">
        <v>0</v>
      </c>
      <c r="AF60">
        <v>83.1</v>
      </c>
      <c r="AG60">
        <v>12.62</v>
      </c>
      <c r="AH60">
        <v>0</v>
      </c>
      <c r="AI60">
        <v>1</v>
      </c>
      <c r="AJ60">
        <v>16.3</v>
      </c>
      <c r="AK60">
        <v>54.99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0.32</v>
      </c>
      <c r="AU60" t="s">
        <v>496</v>
      </c>
      <c r="AV60">
        <v>0</v>
      </c>
      <c r="AW60">
        <v>2</v>
      </c>
      <c r="AX60">
        <v>60256123</v>
      </c>
      <c r="AY60">
        <v>1</v>
      </c>
      <c r="AZ60">
        <v>0</v>
      </c>
      <c r="BA60">
        <v>67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ROUND(Y60*Source!I98*DO60,9)</f>
        <v>0.88844800000000002</v>
      </c>
      <c r="CX60">
        <f>ROUND(Y60*Source!I98,9)</f>
        <v>7.0400000000000004E-2</v>
      </c>
      <c r="CY60">
        <f>AB60</f>
        <v>1445.28</v>
      </c>
      <c r="CZ60">
        <f>AF60</f>
        <v>83.1</v>
      </c>
      <c r="DA60">
        <f>AJ60</f>
        <v>16.3</v>
      </c>
      <c r="DB60">
        <f>ROUND(((ROUND(AT60*CZ60,2)*1.25)*1.1),6)</f>
        <v>36.561250000000001</v>
      </c>
      <c r="DC60">
        <f>ROUND(((ROUND(AT60*AG60,2)*1.25)*1.1),6)</f>
        <v>5.5549999999999997</v>
      </c>
      <c r="DD60" t="s">
        <v>3</v>
      </c>
      <c r="DE60" t="s">
        <v>3</v>
      </c>
      <c r="DF60">
        <f t="shared" si="10"/>
        <v>0</v>
      </c>
      <c r="DG60">
        <f>ROUND(ROUND(AF60*AJ60,2)*CX60,2)</f>
        <v>95.36</v>
      </c>
      <c r="DH60">
        <f>ROUND(ROUND(AG60*AK60,2)*CX60,2)</f>
        <v>48.86</v>
      </c>
      <c r="DI60">
        <f t="shared" si="1"/>
        <v>0</v>
      </c>
      <c r="DJ60">
        <f>DG60</f>
        <v>95.36</v>
      </c>
      <c r="DK60">
        <v>0</v>
      </c>
      <c r="DL60" t="s">
        <v>489</v>
      </c>
      <c r="DM60">
        <v>0</v>
      </c>
      <c r="DN60" t="s">
        <v>484</v>
      </c>
      <c r="DO60">
        <v>12.62</v>
      </c>
    </row>
    <row r="61" spans="1:119" x14ac:dyDescent="0.2">
      <c r="A61">
        <f>ROW(Source!A98)</f>
        <v>98</v>
      </c>
      <c r="B61">
        <v>60255011</v>
      </c>
      <c r="C61">
        <v>60256111</v>
      </c>
      <c r="D61">
        <v>59070721</v>
      </c>
      <c r="E61">
        <v>1</v>
      </c>
      <c r="F61">
        <v>1</v>
      </c>
      <c r="G61">
        <v>1080</v>
      </c>
      <c r="H61">
        <v>2</v>
      </c>
      <c r="I61" t="s">
        <v>497</v>
      </c>
      <c r="J61" t="s">
        <v>498</v>
      </c>
      <c r="K61" t="s">
        <v>499</v>
      </c>
      <c r="L61">
        <v>1368</v>
      </c>
      <c r="N61">
        <v>1011</v>
      </c>
      <c r="O61" t="s">
        <v>488</v>
      </c>
      <c r="P61" t="s">
        <v>488</v>
      </c>
      <c r="Q61">
        <v>1</v>
      </c>
      <c r="W61">
        <v>0</v>
      </c>
      <c r="X61">
        <v>1387779639</v>
      </c>
      <c r="Y61">
        <f>((AT61*1.25)*1.1)</f>
        <v>1.7050000000000003</v>
      </c>
      <c r="AA61">
        <v>0</v>
      </c>
      <c r="AB61">
        <v>7.11</v>
      </c>
      <c r="AC61">
        <v>0</v>
      </c>
      <c r="AD61">
        <v>0</v>
      </c>
      <c r="AE61">
        <v>0</v>
      </c>
      <c r="AF61">
        <v>0.77</v>
      </c>
      <c r="AG61">
        <v>0</v>
      </c>
      <c r="AH61">
        <v>0</v>
      </c>
      <c r="AI61">
        <v>1</v>
      </c>
      <c r="AJ61">
        <v>8.66</v>
      </c>
      <c r="AK61">
        <v>54.99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1.24</v>
      </c>
      <c r="AU61" t="s">
        <v>496</v>
      </c>
      <c r="AV61">
        <v>0</v>
      </c>
      <c r="AW61">
        <v>2</v>
      </c>
      <c r="AX61">
        <v>60256125</v>
      </c>
      <c r="AY61">
        <v>1</v>
      </c>
      <c r="AZ61">
        <v>0</v>
      </c>
      <c r="BA61">
        <v>68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ROUND(Y61*Source!I98*DO61,9)</f>
        <v>0</v>
      </c>
      <c r="CX61">
        <f>ROUND(Y61*Source!I98,9)</f>
        <v>0.27279999999999999</v>
      </c>
      <c r="CY61">
        <f>AB61</f>
        <v>7.11</v>
      </c>
      <c r="CZ61">
        <f>AF61</f>
        <v>0.77</v>
      </c>
      <c r="DA61">
        <f>AJ61</f>
        <v>8.66</v>
      </c>
      <c r="DB61">
        <f>ROUND(((ROUND(AT61*CZ61,2)*1.25)*1.1),6)</f>
        <v>1.3062499999999999</v>
      </c>
      <c r="DC61">
        <f>ROUND(((ROUND(AT61*AG61,2)*1.25)*1.1),6)</f>
        <v>0</v>
      </c>
      <c r="DD61" t="s">
        <v>3</v>
      </c>
      <c r="DE61" t="s">
        <v>3</v>
      </c>
      <c r="DF61">
        <f t="shared" si="10"/>
        <v>0</v>
      </c>
      <c r="DG61">
        <f>ROUND(ROUND(AF61*AJ61,2)*CX61,2)</f>
        <v>1.82</v>
      </c>
      <c r="DH61">
        <f>ROUND(ROUND(AG61*AK61,2)*CX61,2)</f>
        <v>0</v>
      </c>
      <c r="DI61">
        <f t="shared" si="1"/>
        <v>0</v>
      </c>
      <c r="DJ61">
        <f>DG61</f>
        <v>1.82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ROW(Source!A98)</f>
        <v>98</v>
      </c>
      <c r="B62">
        <v>60255011</v>
      </c>
      <c r="C62">
        <v>60256111</v>
      </c>
      <c r="D62">
        <v>59070754</v>
      </c>
      <c r="E62">
        <v>1</v>
      </c>
      <c r="F62">
        <v>1</v>
      </c>
      <c r="G62">
        <v>1080</v>
      </c>
      <c r="H62">
        <v>2</v>
      </c>
      <c r="I62" t="s">
        <v>500</v>
      </c>
      <c r="J62" t="s">
        <v>501</v>
      </c>
      <c r="K62" t="s">
        <v>502</v>
      </c>
      <c r="L62">
        <v>1368</v>
      </c>
      <c r="N62">
        <v>1011</v>
      </c>
      <c r="O62" t="s">
        <v>488</v>
      </c>
      <c r="P62" t="s">
        <v>488</v>
      </c>
      <c r="Q62">
        <v>1</v>
      </c>
      <c r="W62">
        <v>0</v>
      </c>
      <c r="X62">
        <v>1645565003</v>
      </c>
      <c r="Y62">
        <f>((AT62*1.25)*1.1)</f>
        <v>4.4275000000000011</v>
      </c>
      <c r="AA62">
        <v>0</v>
      </c>
      <c r="AB62">
        <v>4.38</v>
      </c>
      <c r="AC62">
        <v>0</v>
      </c>
      <c r="AD62">
        <v>0</v>
      </c>
      <c r="AE62">
        <v>0</v>
      </c>
      <c r="AF62">
        <v>0.47</v>
      </c>
      <c r="AG62">
        <v>0</v>
      </c>
      <c r="AH62">
        <v>0</v>
      </c>
      <c r="AI62">
        <v>1</v>
      </c>
      <c r="AJ62">
        <v>8.74</v>
      </c>
      <c r="AK62">
        <v>54.99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3.22</v>
      </c>
      <c r="AU62" t="s">
        <v>496</v>
      </c>
      <c r="AV62">
        <v>0</v>
      </c>
      <c r="AW62">
        <v>2</v>
      </c>
      <c r="AX62">
        <v>60256126</v>
      </c>
      <c r="AY62">
        <v>1</v>
      </c>
      <c r="AZ62">
        <v>0</v>
      </c>
      <c r="BA62">
        <v>69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ROUND(Y62*Source!I98*DO62,9)</f>
        <v>0</v>
      </c>
      <c r="CX62">
        <f>ROUND(Y62*Source!I98,9)</f>
        <v>0.70840000000000003</v>
      </c>
      <c r="CY62">
        <f>AB62</f>
        <v>4.38</v>
      </c>
      <c r="CZ62">
        <f>AF62</f>
        <v>0.47</v>
      </c>
      <c r="DA62">
        <f>AJ62</f>
        <v>8.74</v>
      </c>
      <c r="DB62">
        <f>ROUND(((ROUND(AT62*CZ62,2)*1.25)*1.1),6)</f>
        <v>2.0762499999999999</v>
      </c>
      <c r="DC62">
        <f>ROUND(((ROUND(AT62*AG62,2)*1.25)*1.1),6)</f>
        <v>0</v>
      </c>
      <c r="DD62" t="s">
        <v>3</v>
      </c>
      <c r="DE62" t="s">
        <v>3</v>
      </c>
      <c r="DF62">
        <f t="shared" si="10"/>
        <v>0</v>
      </c>
      <c r="DG62">
        <f>ROUND(ROUND(AF62*AJ62,2)*CX62,2)</f>
        <v>2.91</v>
      </c>
      <c r="DH62">
        <f>ROUND(ROUND(AG62*AK62,2)*CX62,2)</f>
        <v>0</v>
      </c>
      <c r="DI62">
        <f t="shared" si="1"/>
        <v>0</v>
      </c>
      <c r="DJ62">
        <f>DG62</f>
        <v>2.91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ROW(Source!A98)</f>
        <v>98</v>
      </c>
      <c r="B63">
        <v>60255011</v>
      </c>
      <c r="C63">
        <v>60256111</v>
      </c>
      <c r="D63">
        <v>59069905</v>
      </c>
      <c r="E63">
        <v>1</v>
      </c>
      <c r="F63">
        <v>1</v>
      </c>
      <c r="G63">
        <v>1080</v>
      </c>
      <c r="H63">
        <v>2</v>
      </c>
      <c r="I63" t="s">
        <v>503</v>
      </c>
      <c r="J63" t="s">
        <v>504</v>
      </c>
      <c r="K63" t="s">
        <v>505</v>
      </c>
      <c r="L63">
        <v>1368</v>
      </c>
      <c r="N63">
        <v>1011</v>
      </c>
      <c r="O63" t="s">
        <v>488</v>
      </c>
      <c r="P63" t="s">
        <v>488</v>
      </c>
      <c r="Q63">
        <v>1</v>
      </c>
      <c r="W63">
        <v>0</v>
      </c>
      <c r="X63">
        <v>1087580389</v>
      </c>
      <c r="Y63">
        <f>((AT63*1.25)*1.1)</f>
        <v>0.50875000000000004</v>
      </c>
      <c r="AA63">
        <v>0</v>
      </c>
      <c r="AB63">
        <v>2628.65</v>
      </c>
      <c r="AC63">
        <v>993.36</v>
      </c>
      <c r="AD63">
        <v>0</v>
      </c>
      <c r="AE63">
        <v>0</v>
      </c>
      <c r="AF63">
        <v>179.17</v>
      </c>
      <c r="AG63">
        <v>16.93</v>
      </c>
      <c r="AH63">
        <v>0</v>
      </c>
      <c r="AI63">
        <v>1</v>
      </c>
      <c r="AJ63">
        <v>13.75</v>
      </c>
      <c r="AK63">
        <v>54.99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0.37</v>
      </c>
      <c r="AU63" t="s">
        <v>496</v>
      </c>
      <c r="AV63">
        <v>0</v>
      </c>
      <c r="AW63">
        <v>2</v>
      </c>
      <c r="AX63">
        <v>60256124</v>
      </c>
      <c r="AY63">
        <v>1</v>
      </c>
      <c r="AZ63">
        <v>0</v>
      </c>
      <c r="BA63">
        <v>70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ROUND(Y63*Source!I98*DO63,9)</f>
        <v>1.3781019999999999</v>
      </c>
      <c r="CX63">
        <f>ROUND(Y63*Source!I98,9)</f>
        <v>8.14E-2</v>
      </c>
      <c r="CY63">
        <f>AB63</f>
        <v>2628.65</v>
      </c>
      <c r="CZ63">
        <f>AF63</f>
        <v>179.17</v>
      </c>
      <c r="DA63">
        <f>AJ63</f>
        <v>13.75</v>
      </c>
      <c r="DB63">
        <f>ROUND(((ROUND(AT63*CZ63,2)*1.25)*1.1),6)</f>
        <v>91.148750000000007</v>
      </c>
      <c r="DC63">
        <f>ROUND(((ROUND(AT63*AG63,2)*1.25)*1.1),6)</f>
        <v>8.6074999999999999</v>
      </c>
      <c r="DD63" t="s">
        <v>3</v>
      </c>
      <c r="DE63" t="s">
        <v>3</v>
      </c>
      <c r="DF63">
        <f t="shared" si="10"/>
        <v>0</v>
      </c>
      <c r="DG63">
        <f>ROUND(ROUND(AF63*AJ63,2)*CX63,2)</f>
        <v>200.54</v>
      </c>
      <c r="DH63">
        <f>ROUND(ROUND(AG63*AK63,2)*CX63,2)</f>
        <v>75.78</v>
      </c>
      <c r="DI63">
        <f t="shared" si="1"/>
        <v>0</v>
      </c>
      <c r="DJ63">
        <f>DG63</f>
        <v>200.54</v>
      </c>
      <c r="DK63">
        <v>0</v>
      </c>
      <c r="DL63" t="s">
        <v>489</v>
      </c>
      <c r="DM63">
        <v>0</v>
      </c>
      <c r="DN63" t="s">
        <v>484</v>
      </c>
      <c r="DO63">
        <v>16.93</v>
      </c>
    </row>
    <row r="64" spans="1:119" x14ac:dyDescent="0.2">
      <c r="A64">
        <f>ROW(Source!A98)</f>
        <v>98</v>
      </c>
      <c r="B64">
        <v>60255011</v>
      </c>
      <c r="C64">
        <v>60256111</v>
      </c>
      <c r="D64">
        <v>59038905</v>
      </c>
      <c r="E64">
        <v>1</v>
      </c>
      <c r="F64">
        <v>1</v>
      </c>
      <c r="G64">
        <v>1080</v>
      </c>
      <c r="H64">
        <v>3</v>
      </c>
      <c r="I64" t="s">
        <v>506</v>
      </c>
      <c r="J64" t="s">
        <v>507</v>
      </c>
      <c r="K64" t="s">
        <v>508</v>
      </c>
      <c r="L64">
        <v>1339</v>
      </c>
      <c r="N64">
        <v>1007</v>
      </c>
      <c r="O64" t="s">
        <v>509</v>
      </c>
      <c r="P64" t="s">
        <v>509</v>
      </c>
      <c r="Q64">
        <v>1</v>
      </c>
      <c r="W64">
        <v>0</v>
      </c>
      <c r="X64">
        <v>-744103292</v>
      </c>
      <c r="Y64">
        <f>AT64</f>
        <v>0.22700000000000001</v>
      </c>
      <c r="AA64">
        <v>54.79</v>
      </c>
      <c r="AB64">
        <v>0</v>
      </c>
      <c r="AC64">
        <v>0</v>
      </c>
      <c r="AD64">
        <v>0</v>
      </c>
      <c r="AE64">
        <v>7.07</v>
      </c>
      <c r="AF64">
        <v>0</v>
      </c>
      <c r="AG64">
        <v>0</v>
      </c>
      <c r="AH64">
        <v>0</v>
      </c>
      <c r="AI64">
        <v>7.75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0.22700000000000001</v>
      </c>
      <c r="AU64" t="s">
        <v>3</v>
      </c>
      <c r="AV64">
        <v>0</v>
      </c>
      <c r="AW64">
        <v>2</v>
      </c>
      <c r="AX64">
        <v>60256127</v>
      </c>
      <c r="AY64">
        <v>1</v>
      </c>
      <c r="AZ64">
        <v>0</v>
      </c>
      <c r="BA64">
        <v>71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ROUND(Y64*Source!I98,9)</f>
        <v>3.6319999999999998E-2</v>
      </c>
      <c r="CY64">
        <f>AA64</f>
        <v>54.79</v>
      </c>
      <c r="CZ64">
        <f>AE64</f>
        <v>7.07</v>
      </c>
      <c r="DA64">
        <f>AI64</f>
        <v>7.75</v>
      </c>
      <c r="DB64">
        <f>ROUND(ROUND(AT64*CZ64,2),6)</f>
        <v>1.6</v>
      </c>
      <c r="DC64">
        <f>ROUND(ROUND(AT64*AG64,2),6)</f>
        <v>0</v>
      </c>
      <c r="DD64" t="s">
        <v>3</v>
      </c>
      <c r="DE64" t="s">
        <v>3</v>
      </c>
      <c r="DF64">
        <f>ROUND(ROUND(AE64*AI64,2)*CX64,2)</f>
        <v>1.99</v>
      </c>
      <c r="DG64">
        <f t="shared" ref="DG64:DG79" si="11">ROUND(ROUND(AF64,2)*CX64,2)</f>
        <v>0</v>
      </c>
      <c r="DH64">
        <f t="shared" ref="DH64:DH79" si="12">ROUND(ROUND(AG64,2)*CX64,2)</f>
        <v>0</v>
      </c>
      <c r="DI64">
        <f t="shared" si="1"/>
        <v>0</v>
      </c>
      <c r="DJ64">
        <f>DF64</f>
        <v>1.99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ROW(Source!A98)</f>
        <v>98</v>
      </c>
      <c r="B65">
        <v>60255011</v>
      </c>
      <c r="C65">
        <v>60256111</v>
      </c>
      <c r="D65">
        <v>59045898</v>
      </c>
      <c r="E65">
        <v>1</v>
      </c>
      <c r="F65">
        <v>1</v>
      </c>
      <c r="G65">
        <v>1080</v>
      </c>
      <c r="H65">
        <v>3</v>
      </c>
      <c r="I65" t="s">
        <v>510</v>
      </c>
      <c r="J65" t="s">
        <v>511</v>
      </c>
      <c r="K65" t="s">
        <v>512</v>
      </c>
      <c r="L65">
        <v>1355</v>
      </c>
      <c r="N65">
        <v>1010</v>
      </c>
      <c r="O65" t="s">
        <v>96</v>
      </c>
      <c r="P65" t="s">
        <v>96</v>
      </c>
      <c r="Q65">
        <v>100</v>
      </c>
      <c r="W65">
        <v>0</v>
      </c>
      <c r="X65">
        <v>2062705997</v>
      </c>
      <c r="Y65">
        <f>AT65</f>
        <v>4.04</v>
      </c>
      <c r="AA65">
        <v>1401.76</v>
      </c>
      <c r="AB65">
        <v>0</v>
      </c>
      <c r="AC65">
        <v>0</v>
      </c>
      <c r="AD65">
        <v>0</v>
      </c>
      <c r="AE65">
        <v>154.72</v>
      </c>
      <c r="AF65">
        <v>0</v>
      </c>
      <c r="AG65">
        <v>0</v>
      </c>
      <c r="AH65">
        <v>0</v>
      </c>
      <c r="AI65">
        <v>9.06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4.04</v>
      </c>
      <c r="AU65" t="s">
        <v>3</v>
      </c>
      <c r="AV65">
        <v>0</v>
      </c>
      <c r="AW65">
        <v>2</v>
      </c>
      <c r="AX65">
        <v>60256128</v>
      </c>
      <c r="AY65">
        <v>1</v>
      </c>
      <c r="AZ65">
        <v>0</v>
      </c>
      <c r="BA65">
        <v>72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ROUND(Y65*Source!I98,9)</f>
        <v>0.64639999999999997</v>
      </c>
      <c r="CY65">
        <f>AA65</f>
        <v>1401.76</v>
      </c>
      <c r="CZ65">
        <f>AE65</f>
        <v>154.72</v>
      </c>
      <c r="DA65">
        <f>AI65</f>
        <v>9.06</v>
      </c>
      <c r="DB65">
        <f>ROUND(ROUND(AT65*CZ65,2),6)</f>
        <v>625.07000000000005</v>
      </c>
      <c r="DC65">
        <f>ROUND(ROUND(AT65*AG65,2),6)</f>
        <v>0</v>
      </c>
      <c r="DD65" t="s">
        <v>3</v>
      </c>
      <c r="DE65" t="s">
        <v>3</v>
      </c>
      <c r="DF65">
        <f>ROUND(ROUND(AE65*AI65,2)*CX65,2)</f>
        <v>906.1</v>
      </c>
      <c r="DG65">
        <f t="shared" si="11"/>
        <v>0</v>
      </c>
      <c r="DH65">
        <f t="shared" si="12"/>
        <v>0</v>
      </c>
      <c r="DI65">
        <f t="shared" ref="DI65:DI128" si="13">ROUND(ROUND(AH65,2)*CX65,2)</f>
        <v>0</v>
      </c>
      <c r="DJ65">
        <f>DF65</f>
        <v>906.1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ROW(Source!A98)</f>
        <v>98</v>
      </c>
      <c r="B66">
        <v>60255011</v>
      </c>
      <c r="C66">
        <v>60256111</v>
      </c>
      <c r="D66">
        <v>59056195</v>
      </c>
      <c r="E66">
        <v>1</v>
      </c>
      <c r="F66">
        <v>1</v>
      </c>
      <c r="G66">
        <v>1080</v>
      </c>
      <c r="H66">
        <v>3</v>
      </c>
      <c r="I66" t="s">
        <v>513</v>
      </c>
      <c r="J66" t="s">
        <v>514</v>
      </c>
      <c r="K66" t="s">
        <v>515</v>
      </c>
      <c r="L66">
        <v>1354</v>
      </c>
      <c r="N66">
        <v>1010</v>
      </c>
      <c r="O66" t="s">
        <v>31</v>
      </c>
      <c r="P66" t="s">
        <v>31</v>
      </c>
      <c r="Q66">
        <v>1</v>
      </c>
      <c r="W66">
        <v>0</v>
      </c>
      <c r="X66">
        <v>-572380273</v>
      </c>
      <c r="Y66">
        <f>AT66</f>
        <v>200</v>
      </c>
      <c r="AA66">
        <v>185.42</v>
      </c>
      <c r="AB66">
        <v>0</v>
      </c>
      <c r="AC66">
        <v>0</v>
      </c>
      <c r="AD66">
        <v>0</v>
      </c>
      <c r="AE66">
        <v>7.24</v>
      </c>
      <c r="AF66">
        <v>0</v>
      </c>
      <c r="AG66">
        <v>0</v>
      </c>
      <c r="AH66">
        <v>0</v>
      </c>
      <c r="AI66">
        <v>25.61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200</v>
      </c>
      <c r="AU66" t="s">
        <v>3</v>
      </c>
      <c r="AV66">
        <v>0</v>
      </c>
      <c r="AW66">
        <v>2</v>
      </c>
      <c r="AX66">
        <v>60256129</v>
      </c>
      <c r="AY66">
        <v>1</v>
      </c>
      <c r="AZ66">
        <v>0</v>
      </c>
      <c r="BA66">
        <v>73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ROUND(Y66*Source!I98,9)</f>
        <v>32</v>
      </c>
      <c r="CY66">
        <f>AA66</f>
        <v>185.42</v>
      </c>
      <c r="CZ66">
        <f>AE66</f>
        <v>7.24</v>
      </c>
      <c r="DA66">
        <f>AI66</f>
        <v>25.61</v>
      </c>
      <c r="DB66">
        <f>ROUND(ROUND(AT66*CZ66,2),6)</f>
        <v>1448</v>
      </c>
      <c r="DC66">
        <f>ROUND(ROUND(AT66*AG66,2),6)</f>
        <v>0</v>
      </c>
      <c r="DD66" t="s">
        <v>3</v>
      </c>
      <c r="DE66" t="s">
        <v>3</v>
      </c>
      <c r="DF66">
        <f>ROUND(ROUND(AE66*AI66,2)*CX66,2)</f>
        <v>5933.44</v>
      </c>
      <c r="DG66">
        <f t="shared" si="11"/>
        <v>0</v>
      </c>
      <c r="DH66">
        <f t="shared" si="12"/>
        <v>0</v>
      </c>
      <c r="DI66">
        <f t="shared" si="13"/>
        <v>0</v>
      </c>
      <c r="DJ66">
        <f>DF66</f>
        <v>5933.44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ROW(Source!A98)</f>
        <v>98</v>
      </c>
      <c r="B67">
        <v>60255011</v>
      </c>
      <c r="C67">
        <v>60256111</v>
      </c>
      <c r="D67">
        <v>59049377</v>
      </c>
      <c r="E67">
        <v>1</v>
      </c>
      <c r="F67">
        <v>1</v>
      </c>
      <c r="G67">
        <v>1080</v>
      </c>
      <c r="H67">
        <v>3</v>
      </c>
      <c r="I67" t="s">
        <v>516</v>
      </c>
      <c r="J67" t="s">
        <v>517</v>
      </c>
      <c r="K67" t="s">
        <v>518</v>
      </c>
      <c r="L67">
        <v>1354</v>
      </c>
      <c r="N67">
        <v>1010</v>
      </c>
      <c r="O67" t="s">
        <v>31</v>
      </c>
      <c r="P67" t="s">
        <v>31</v>
      </c>
      <c r="Q67">
        <v>1</v>
      </c>
      <c r="W67">
        <v>0</v>
      </c>
      <c r="X67">
        <v>501598144</v>
      </c>
      <c r="Y67">
        <f>AT67</f>
        <v>0.68400000000000005</v>
      </c>
      <c r="AA67">
        <v>63.83</v>
      </c>
      <c r="AB67">
        <v>0</v>
      </c>
      <c r="AC67">
        <v>0</v>
      </c>
      <c r="AD67">
        <v>0</v>
      </c>
      <c r="AE67">
        <v>6.12</v>
      </c>
      <c r="AF67">
        <v>0</v>
      </c>
      <c r="AG67">
        <v>0</v>
      </c>
      <c r="AH67">
        <v>0</v>
      </c>
      <c r="AI67">
        <v>10.43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0.68400000000000005</v>
      </c>
      <c r="AU67" t="s">
        <v>3</v>
      </c>
      <c r="AV67">
        <v>0</v>
      </c>
      <c r="AW67">
        <v>2</v>
      </c>
      <c r="AX67">
        <v>60256130</v>
      </c>
      <c r="AY67">
        <v>1</v>
      </c>
      <c r="AZ67">
        <v>0</v>
      </c>
      <c r="BA67">
        <v>74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ROUND(Y67*Source!I98,9)</f>
        <v>0.10944</v>
      </c>
      <c r="CY67">
        <f>AA67</f>
        <v>63.83</v>
      </c>
      <c r="CZ67">
        <f>AE67</f>
        <v>6.12</v>
      </c>
      <c r="DA67">
        <f>AI67</f>
        <v>10.43</v>
      </c>
      <c r="DB67">
        <f>ROUND(ROUND(AT67*CZ67,2),6)</f>
        <v>4.1900000000000004</v>
      </c>
      <c r="DC67">
        <f>ROUND(ROUND(AT67*AG67,2),6)</f>
        <v>0</v>
      </c>
      <c r="DD67" t="s">
        <v>3</v>
      </c>
      <c r="DE67" t="s">
        <v>3</v>
      </c>
      <c r="DF67">
        <f>ROUND(ROUND(AE67*AI67,2)*CX67,2)</f>
        <v>6.99</v>
      </c>
      <c r="DG67">
        <f t="shared" si="11"/>
        <v>0</v>
      </c>
      <c r="DH67">
        <f t="shared" si="12"/>
        <v>0</v>
      </c>
      <c r="DI67">
        <f t="shared" si="13"/>
        <v>0</v>
      </c>
      <c r="DJ67">
        <f>DF67</f>
        <v>6.99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ROW(Source!A98)</f>
        <v>98</v>
      </c>
      <c r="B68">
        <v>60255011</v>
      </c>
      <c r="C68">
        <v>60256111</v>
      </c>
      <c r="D68">
        <v>59004259</v>
      </c>
      <c r="E68">
        <v>1080</v>
      </c>
      <c r="F68">
        <v>1</v>
      </c>
      <c r="G68">
        <v>1080</v>
      </c>
      <c r="H68">
        <v>3</v>
      </c>
      <c r="I68" t="s">
        <v>519</v>
      </c>
      <c r="J68" t="s">
        <v>3</v>
      </c>
      <c r="K68" t="s">
        <v>520</v>
      </c>
      <c r="L68">
        <v>1344</v>
      </c>
      <c r="N68">
        <v>1008</v>
      </c>
      <c r="O68" t="s">
        <v>521</v>
      </c>
      <c r="P68" t="s">
        <v>521</v>
      </c>
      <c r="Q68">
        <v>1</v>
      </c>
      <c r="W68">
        <v>0</v>
      </c>
      <c r="X68">
        <v>-94250534</v>
      </c>
      <c r="Y68">
        <f>AT68</f>
        <v>0.04</v>
      </c>
      <c r="AA68">
        <v>9.8800000000000008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9.8800000000000008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0.04</v>
      </c>
      <c r="AU68" t="s">
        <v>3</v>
      </c>
      <c r="AV68">
        <v>0</v>
      </c>
      <c r="AW68">
        <v>2</v>
      </c>
      <c r="AX68">
        <v>60256132</v>
      </c>
      <c r="AY68">
        <v>1</v>
      </c>
      <c r="AZ68">
        <v>0</v>
      </c>
      <c r="BA68">
        <v>76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ROUND(Y68*Source!I98,9)</f>
        <v>6.4000000000000003E-3</v>
      </c>
      <c r="CY68">
        <f>AA68</f>
        <v>9.8800000000000008</v>
      </c>
      <c r="CZ68">
        <f>AE68</f>
        <v>1</v>
      </c>
      <c r="DA68">
        <f>AI68</f>
        <v>9.8800000000000008</v>
      </c>
      <c r="DB68">
        <f>ROUND(ROUND(AT68*CZ68,2),6)</f>
        <v>0.04</v>
      </c>
      <c r="DC68">
        <f>ROUND(ROUND(AT68*AG68,2),6)</f>
        <v>0</v>
      </c>
      <c r="DD68" t="s">
        <v>3</v>
      </c>
      <c r="DE68" t="s">
        <v>3</v>
      </c>
      <c r="DF68">
        <f>ROUND(ROUND(AE68*AI68,2)*CX68,2)</f>
        <v>0.06</v>
      </c>
      <c r="DG68">
        <f t="shared" si="11"/>
        <v>0</v>
      </c>
      <c r="DH68">
        <f t="shared" si="12"/>
        <v>0</v>
      </c>
      <c r="DI68">
        <f t="shared" si="13"/>
        <v>0</v>
      </c>
      <c r="DJ68">
        <f>DF68</f>
        <v>0.06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ROW(Source!A107)</f>
        <v>107</v>
      </c>
      <c r="B69">
        <v>60255014</v>
      </c>
      <c r="C69">
        <v>60256133</v>
      </c>
      <c r="D69">
        <v>58999254</v>
      </c>
      <c r="E69">
        <v>1080</v>
      </c>
      <c r="F69">
        <v>1</v>
      </c>
      <c r="G69">
        <v>1080</v>
      </c>
      <c r="H69">
        <v>1</v>
      </c>
      <c r="I69" t="s">
        <v>482</v>
      </c>
      <c r="J69" t="s">
        <v>3</v>
      </c>
      <c r="K69" t="s">
        <v>483</v>
      </c>
      <c r="L69">
        <v>1191</v>
      </c>
      <c r="N69">
        <v>1013</v>
      </c>
      <c r="O69" t="s">
        <v>484</v>
      </c>
      <c r="P69" t="s">
        <v>484</v>
      </c>
      <c r="Q69">
        <v>1</v>
      </c>
      <c r="W69">
        <v>0</v>
      </c>
      <c r="X69">
        <v>476480486</v>
      </c>
      <c r="Y69">
        <f>((AT69*1.15)*1.1)</f>
        <v>94.495500000000007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74.7</v>
      </c>
      <c r="AU69" t="s">
        <v>99</v>
      </c>
      <c r="AV69">
        <v>1</v>
      </c>
      <c r="AW69">
        <v>2</v>
      </c>
      <c r="AX69">
        <v>60256144</v>
      </c>
      <c r="AY69">
        <v>1</v>
      </c>
      <c r="AZ69">
        <v>0</v>
      </c>
      <c r="BA69">
        <v>77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ROUND(AT69*Source!I107*AH69*AL69,2)</f>
        <v>0</v>
      </c>
      <c r="CV69">
        <f>ROUND(Y69*Source!I107,9)</f>
        <v>0.94495499999999999</v>
      </c>
      <c r="CW69">
        <v>0</v>
      </c>
      <c r="CX69">
        <f>ROUND(Y69*Source!I107,9)</f>
        <v>0.94495499999999999</v>
      </c>
      <c r="CY69">
        <f>AD69</f>
        <v>0</v>
      </c>
      <c r="CZ69">
        <f>AH69</f>
        <v>0</v>
      </c>
      <c r="DA69">
        <f>AL69</f>
        <v>1</v>
      </c>
      <c r="DB69">
        <f>ROUND(((ROUND(AT69*CZ69,2)*1.15)*1.1),6)</f>
        <v>0</v>
      </c>
      <c r="DC69">
        <f>ROUND(((ROUND(AT69*AG69,2)*1.15)*1.1),6)</f>
        <v>0</v>
      </c>
      <c r="DD69" t="s">
        <v>3</v>
      </c>
      <c r="DE69" t="s">
        <v>3</v>
      </c>
      <c r="DF69">
        <f t="shared" ref="DF69:DF83" si="14">ROUND(ROUND(AE69,2)*CX69,2)</f>
        <v>0</v>
      </c>
      <c r="DG69">
        <f t="shared" si="11"/>
        <v>0</v>
      </c>
      <c r="DH69">
        <f t="shared" si="12"/>
        <v>0</v>
      </c>
      <c r="DI69">
        <f t="shared" si="13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ROW(Source!A107)</f>
        <v>107</v>
      </c>
      <c r="B70">
        <v>60255014</v>
      </c>
      <c r="C70">
        <v>60256133</v>
      </c>
      <c r="D70">
        <v>59070669</v>
      </c>
      <c r="E70">
        <v>1</v>
      </c>
      <c r="F70">
        <v>1</v>
      </c>
      <c r="G70">
        <v>1080</v>
      </c>
      <c r="H70">
        <v>2</v>
      </c>
      <c r="I70" t="s">
        <v>485</v>
      </c>
      <c r="J70" t="s">
        <v>486</v>
      </c>
      <c r="K70" t="s">
        <v>487</v>
      </c>
      <c r="L70">
        <v>1368</v>
      </c>
      <c r="N70">
        <v>1011</v>
      </c>
      <c r="O70" t="s">
        <v>488</v>
      </c>
      <c r="P70" t="s">
        <v>488</v>
      </c>
      <c r="Q70">
        <v>1</v>
      </c>
      <c r="W70">
        <v>0</v>
      </c>
      <c r="X70">
        <v>-1985943078</v>
      </c>
      <c r="Y70">
        <f>((AT70*1.25)*1.1)</f>
        <v>0.44000000000000006</v>
      </c>
      <c r="AA70">
        <v>0</v>
      </c>
      <c r="AB70">
        <v>88.67</v>
      </c>
      <c r="AC70">
        <v>13.47</v>
      </c>
      <c r="AD70">
        <v>0</v>
      </c>
      <c r="AE70">
        <v>0</v>
      </c>
      <c r="AF70">
        <v>83.1</v>
      </c>
      <c r="AG70">
        <v>12.62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0.32</v>
      </c>
      <c r="AU70" t="s">
        <v>496</v>
      </c>
      <c r="AV70">
        <v>0</v>
      </c>
      <c r="AW70">
        <v>2</v>
      </c>
      <c r="AX70">
        <v>60256145</v>
      </c>
      <c r="AY70">
        <v>1</v>
      </c>
      <c r="AZ70">
        <v>0</v>
      </c>
      <c r="BA70">
        <v>78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ROUND(Y70*Source!I107*DO70,9)</f>
        <v>5.5528000000000001E-2</v>
      </c>
      <c r="CX70">
        <f>ROUND(Y70*Source!I107,9)</f>
        <v>4.4000000000000003E-3</v>
      </c>
      <c r="CY70">
        <f>AB70</f>
        <v>88.67</v>
      </c>
      <c r="CZ70">
        <f>AF70</f>
        <v>83.1</v>
      </c>
      <c r="DA70">
        <f>AJ70</f>
        <v>1</v>
      </c>
      <c r="DB70">
        <f>ROUND(((ROUND(AT70*CZ70,2)*1.25)*1.1),6)</f>
        <v>36.561250000000001</v>
      </c>
      <c r="DC70">
        <f>ROUND(((ROUND(AT70*AG70,2)*1.25)*1.1),6)</f>
        <v>5.5549999999999997</v>
      </c>
      <c r="DD70" t="s">
        <v>3</v>
      </c>
      <c r="DE70" t="s">
        <v>3</v>
      </c>
      <c r="DF70">
        <f t="shared" si="14"/>
        <v>0</v>
      </c>
      <c r="DG70">
        <f t="shared" si="11"/>
        <v>0.37</v>
      </c>
      <c r="DH70">
        <f t="shared" si="12"/>
        <v>0.06</v>
      </c>
      <c r="DI70">
        <f t="shared" si="13"/>
        <v>0</v>
      </c>
      <c r="DJ70">
        <f>DG70</f>
        <v>0.37</v>
      </c>
      <c r="DK70">
        <v>0</v>
      </c>
      <c r="DL70" t="s">
        <v>489</v>
      </c>
      <c r="DM70">
        <v>0</v>
      </c>
      <c r="DN70" t="s">
        <v>484</v>
      </c>
      <c r="DO70">
        <v>12.62</v>
      </c>
    </row>
    <row r="71" spans="1:119" x14ac:dyDescent="0.2">
      <c r="A71">
        <f>ROW(Source!A107)</f>
        <v>107</v>
      </c>
      <c r="B71">
        <v>60255014</v>
      </c>
      <c r="C71">
        <v>60256133</v>
      </c>
      <c r="D71">
        <v>59070721</v>
      </c>
      <c r="E71">
        <v>1</v>
      </c>
      <c r="F71">
        <v>1</v>
      </c>
      <c r="G71">
        <v>1080</v>
      </c>
      <c r="H71">
        <v>2</v>
      </c>
      <c r="I71" t="s">
        <v>497</v>
      </c>
      <c r="J71" t="s">
        <v>498</v>
      </c>
      <c r="K71" t="s">
        <v>499</v>
      </c>
      <c r="L71">
        <v>1368</v>
      </c>
      <c r="N71">
        <v>1011</v>
      </c>
      <c r="O71" t="s">
        <v>488</v>
      </c>
      <c r="P71" t="s">
        <v>488</v>
      </c>
      <c r="Q71">
        <v>1</v>
      </c>
      <c r="W71">
        <v>0</v>
      </c>
      <c r="X71">
        <v>1387779639</v>
      </c>
      <c r="Y71">
        <f>((AT71*1.25)*1.1)</f>
        <v>1.7050000000000003</v>
      </c>
      <c r="AA71">
        <v>0</v>
      </c>
      <c r="AB71">
        <v>0.82</v>
      </c>
      <c r="AC71">
        <v>0</v>
      </c>
      <c r="AD71">
        <v>0</v>
      </c>
      <c r="AE71">
        <v>0</v>
      </c>
      <c r="AF71">
        <v>0.77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1.24</v>
      </c>
      <c r="AU71" t="s">
        <v>496</v>
      </c>
      <c r="AV71">
        <v>0</v>
      </c>
      <c r="AW71">
        <v>2</v>
      </c>
      <c r="AX71">
        <v>60256147</v>
      </c>
      <c r="AY71">
        <v>1</v>
      </c>
      <c r="AZ71">
        <v>0</v>
      </c>
      <c r="BA71">
        <v>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ROUND(Y71*Source!I107*DO71,9)</f>
        <v>0</v>
      </c>
      <c r="CX71">
        <f>ROUND(Y71*Source!I107,9)</f>
        <v>1.7049999999999999E-2</v>
      </c>
      <c r="CY71">
        <f>AB71</f>
        <v>0.82</v>
      </c>
      <c r="CZ71">
        <f>AF71</f>
        <v>0.77</v>
      </c>
      <c r="DA71">
        <f>AJ71</f>
        <v>1</v>
      </c>
      <c r="DB71">
        <f>ROUND(((ROUND(AT71*CZ71,2)*1.25)*1.1),6)</f>
        <v>1.3062499999999999</v>
      </c>
      <c r="DC71">
        <f>ROUND(((ROUND(AT71*AG71,2)*1.25)*1.1),6)</f>
        <v>0</v>
      </c>
      <c r="DD71" t="s">
        <v>3</v>
      </c>
      <c r="DE71" t="s">
        <v>3</v>
      </c>
      <c r="DF71">
        <f t="shared" si="14"/>
        <v>0</v>
      </c>
      <c r="DG71">
        <f t="shared" si="11"/>
        <v>0.01</v>
      </c>
      <c r="DH71">
        <f t="shared" si="12"/>
        <v>0</v>
      </c>
      <c r="DI71">
        <f t="shared" si="13"/>
        <v>0</v>
      </c>
      <c r="DJ71">
        <f>DG71</f>
        <v>0.01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ROW(Source!A107)</f>
        <v>107</v>
      </c>
      <c r="B72">
        <v>60255014</v>
      </c>
      <c r="C72">
        <v>60256133</v>
      </c>
      <c r="D72">
        <v>59070754</v>
      </c>
      <c r="E72">
        <v>1</v>
      </c>
      <c r="F72">
        <v>1</v>
      </c>
      <c r="G72">
        <v>1080</v>
      </c>
      <c r="H72">
        <v>2</v>
      </c>
      <c r="I72" t="s">
        <v>500</v>
      </c>
      <c r="J72" t="s">
        <v>501</v>
      </c>
      <c r="K72" t="s">
        <v>502</v>
      </c>
      <c r="L72">
        <v>1368</v>
      </c>
      <c r="N72">
        <v>1011</v>
      </c>
      <c r="O72" t="s">
        <v>488</v>
      </c>
      <c r="P72" t="s">
        <v>488</v>
      </c>
      <c r="Q72">
        <v>1</v>
      </c>
      <c r="W72">
        <v>0</v>
      </c>
      <c r="X72">
        <v>1645565003</v>
      </c>
      <c r="Y72">
        <f>((AT72*1.25)*1.1)</f>
        <v>4.4275000000000011</v>
      </c>
      <c r="AA72">
        <v>0</v>
      </c>
      <c r="AB72">
        <v>0.5</v>
      </c>
      <c r="AC72">
        <v>0</v>
      </c>
      <c r="AD72">
        <v>0</v>
      </c>
      <c r="AE72">
        <v>0</v>
      </c>
      <c r="AF72">
        <v>0.47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3.22</v>
      </c>
      <c r="AU72" t="s">
        <v>496</v>
      </c>
      <c r="AV72">
        <v>0</v>
      </c>
      <c r="AW72">
        <v>2</v>
      </c>
      <c r="AX72">
        <v>60256148</v>
      </c>
      <c r="AY72">
        <v>1</v>
      </c>
      <c r="AZ72">
        <v>0</v>
      </c>
      <c r="BA72">
        <v>80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ROUND(Y72*Source!I107*DO72,9)</f>
        <v>0</v>
      </c>
      <c r="CX72">
        <f>ROUND(Y72*Source!I107,9)</f>
        <v>4.4275000000000002E-2</v>
      </c>
      <c r="CY72">
        <f>AB72</f>
        <v>0.5</v>
      </c>
      <c r="CZ72">
        <f>AF72</f>
        <v>0.47</v>
      </c>
      <c r="DA72">
        <f>AJ72</f>
        <v>1</v>
      </c>
      <c r="DB72">
        <f>ROUND(((ROUND(AT72*CZ72,2)*1.25)*1.1),6)</f>
        <v>2.0762499999999999</v>
      </c>
      <c r="DC72">
        <f>ROUND(((ROUND(AT72*AG72,2)*1.25)*1.1),6)</f>
        <v>0</v>
      </c>
      <c r="DD72" t="s">
        <v>3</v>
      </c>
      <c r="DE72" t="s">
        <v>3</v>
      </c>
      <c r="DF72">
        <f t="shared" si="14"/>
        <v>0</v>
      </c>
      <c r="DG72">
        <f t="shared" si="11"/>
        <v>0.02</v>
      </c>
      <c r="DH72">
        <f t="shared" si="12"/>
        <v>0</v>
      </c>
      <c r="DI72">
        <f t="shared" si="13"/>
        <v>0</v>
      </c>
      <c r="DJ72">
        <f>DG72</f>
        <v>0.02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ROW(Source!A107)</f>
        <v>107</v>
      </c>
      <c r="B73">
        <v>60255014</v>
      </c>
      <c r="C73">
        <v>60256133</v>
      </c>
      <c r="D73">
        <v>59069905</v>
      </c>
      <c r="E73">
        <v>1</v>
      </c>
      <c r="F73">
        <v>1</v>
      </c>
      <c r="G73">
        <v>1080</v>
      </c>
      <c r="H73">
        <v>2</v>
      </c>
      <c r="I73" t="s">
        <v>503</v>
      </c>
      <c r="J73" t="s">
        <v>504</v>
      </c>
      <c r="K73" t="s">
        <v>505</v>
      </c>
      <c r="L73">
        <v>1368</v>
      </c>
      <c r="N73">
        <v>1011</v>
      </c>
      <c r="O73" t="s">
        <v>488</v>
      </c>
      <c r="P73" t="s">
        <v>488</v>
      </c>
      <c r="Q73">
        <v>1</v>
      </c>
      <c r="W73">
        <v>0</v>
      </c>
      <c r="X73">
        <v>1087580389</v>
      </c>
      <c r="Y73">
        <f>((AT73*1.25)*1.1)</f>
        <v>0.50875000000000004</v>
      </c>
      <c r="AA73">
        <v>0</v>
      </c>
      <c r="AB73">
        <v>191.17</v>
      </c>
      <c r="AC73">
        <v>18.059999999999999</v>
      </c>
      <c r="AD73">
        <v>0</v>
      </c>
      <c r="AE73">
        <v>0</v>
      </c>
      <c r="AF73">
        <v>179.17</v>
      </c>
      <c r="AG73">
        <v>16.93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0.37</v>
      </c>
      <c r="AU73" t="s">
        <v>496</v>
      </c>
      <c r="AV73">
        <v>0</v>
      </c>
      <c r="AW73">
        <v>2</v>
      </c>
      <c r="AX73">
        <v>60256146</v>
      </c>
      <c r="AY73">
        <v>1</v>
      </c>
      <c r="AZ73">
        <v>0</v>
      </c>
      <c r="BA73">
        <v>81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f>ROUND(Y73*Source!I107*DO73,9)</f>
        <v>8.6131374999999996E-2</v>
      </c>
      <c r="CX73">
        <f>ROUND(Y73*Source!I107,9)</f>
        <v>5.0875E-3</v>
      </c>
      <c r="CY73">
        <f>AB73</f>
        <v>191.17</v>
      </c>
      <c r="CZ73">
        <f>AF73</f>
        <v>179.17</v>
      </c>
      <c r="DA73">
        <f>AJ73</f>
        <v>1</v>
      </c>
      <c r="DB73">
        <f>ROUND(((ROUND(AT73*CZ73,2)*1.25)*1.1),6)</f>
        <v>91.148750000000007</v>
      </c>
      <c r="DC73">
        <f>ROUND(((ROUND(AT73*AG73,2)*1.25)*1.1),6)</f>
        <v>8.6074999999999999</v>
      </c>
      <c r="DD73" t="s">
        <v>3</v>
      </c>
      <c r="DE73" t="s">
        <v>3</v>
      </c>
      <c r="DF73">
        <f t="shared" si="14"/>
        <v>0</v>
      </c>
      <c r="DG73">
        <f t="shared" si="11"/>
        <v>0.91</v>
      </c>
      <c r="DH73">
        <f t="shared" si="12"/>
        <v>0.09</v>
      </c>
      <c r="DI73">
        <f t="shared" si="13"/>
        <v>0</v>
      </c>
      <c r="DJ73">
        <f>DG73</f>
        <v>0.91</v>
      </c>
      <c r="DK73">
        <v>0</v>
      </c>
      <c r="DL73" t="s">
        <v>489</v>
      </c>
      <c r="DM73">
        <v>0</v>
      </c>
      <c r="DN73" t="s">
        <v>484</v>
      </c>
      <c r="DO73">
        <v>16.93</v>
      </c>
    </row>
    <row r="74" spans="1:119" x14ac:dyDescent="0.2">
      <c r="A74">
        <f>ROW(Source!A107)</f>
        <v>107</v>
      </c>
      <c r="B74">
        <v>60255014</v>
      </c>
      <c r="C74">
        <v>60256133</v>
      </c>
      <c r="D74">
        <v>59038905</v>
      </c>
      <c r="E74">
        <v>1</v>
      </c>
      <c r="F74">
        <v>1</v>
      </c>
      <c r="G74">
        <v>1080</v>
      </c>
      <c r="H74">
        <v>3</v>
      </c>
      <c r="I74" t="s">
        <v>506</v>
      </c>
      <c r="J74" t="s">
        <v>507</v>
      </c>
      <c r="K74" t="s">
        <v>508</v>
      </c>
      <c r="L74">
        <v>1339</v>
      </c>
      <c r="N74">
        <v>1007</v>
      </c>
      <c r="O74" t="s">
        <v>509</v>
      </c>
      <c r="P74" t="s">
        <v>509</v>
      </c>
      <c r="Q74">
        <v>1</v>
      </c>
      <c r="W74">
        <v>0</v>
      </c>
      <c r="X74">
        <v>-744103292</v>
      </c>
      <c r="Y74">
        <f>AT74</f>
        <v>0.22700000000000001</v>
      </c>
      <c r="AA74">
        <v>7.07</v>
      </c>
      <c r="AB74">
        <v>0</v>
      </c>
      <c r="AC74">
        <v>0</v>
      </c>
      <c r="AD74">
        <v>0</v>
      </c>
      <c r="AE74">
        <v>7.07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0.22700000000000001</v>
      </c>
      <c r="AU74" t="s">
        <v>3</v>
      </c>
      <c r="AV74">
        <v>0</v>
      </c>
      <c r="AW74">
        <v>2</v>
      </c>
      <c r="AX74">
        <v>60256149</v>
      </c>
      <c r="AY74">
        <v>1</v>
      </c>
      <c r="AZ74">
        <v>0</v>
      </c>
      <c r="BA74">
        <v>82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ROUND(Y74*Source!I107,9)</f>
        <v>2.2699999999999999E-3</v>
      </c>
      <c r="CY74">
        <f>AA74</f>
        <v>7.07</v>
      </c>
      <c r="CZ74">
        <f>AE74</f>
        <v>7.07</v>
      </c>
      <c r="DA74">
        <f>AI74</f>
        <v>1</v>
      </c>
      <c r="DB74">
        <f>ROUND(ROUND(AT74*CZ74,2),6)</f>
        <v>1.6</v>
      </c>
      <c r="DC74">
        <f>ROUND(ROUND(AT74*AG74,2),6)</f>
        <v>0</v>
      </c>
      <c r="DD74" t="s">
        <v>3</v>
      </c>
      <c r="DE74" t="s">
        <v>3</v>
      </c>
      <c r="DF74">
        <f t="shared" si="14"/>
        <v>0.02</v>
      </c>
      <c r="DG74">
        <f t="shared" si="11"/>
        <v>0</v>
      </c>
      <c r="DH74">
        <f t="shared" si="12"/>
        <v>0</v>
      </c>
      <c r="DI74">
        <f t="shared" si="13"/>
        <v>0</v>
      </c>
      <c r="DJ74">
        <f>DF74</f>
        <v>0.02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ROW(Source!A107)</f>
        <v>107</v>
      </c>
      <c r="B75">
        <v>60255014</v>
      </c>
      <c r="C75">
        <v>60256133</v>
      </c>
      <c r="D75">
        <v>59045898</v>
      </c>
      <c r="E75">
        <v>1</v>
      </c>
      <c r="F75">
        <v>1</v>
      </c>
      <c r="G75">
        <v>1080</v>
      </c>
      <c r="H75">
        <v>3</v>
      </c>
      <c r="I75" t="s">
        <v>510</v>
      </c>
      <c r="J75" t="s">
        <v>511</v>
      </c>
      <c r="K75" t="s">
        <v>512</v>
      </c>
      <c r="L75">
        <v>1355</v>
      </c>
      <c r="N75">
        <v>1010</v>
      </c>
      <c r="O75" t="s">
        <v>96</v>
      </c>
      <c r="P75" t="s">
        <v>96</v>
      </c>
      <c r="Q75">
        <v>100</v>
      </c>
      <c r="W75">
        <v>0</v>
      </c>
      <c r="X75">
        <v>2062705997</v>
      </c>
      <c r="Y75">
        <f>AT75</f>
        <v>4.04</v>
      </c>
      <c r="AA75">
        <v>154.72</v>
      </c>
      <c r="AB75">
        <v>0</v>
      </c>
      <c r="AC75">
        <v>0</v>
      </c>
      <c r="AD75">
        <v>0</v>
      </c>
      <c r="AE75">
        <v>154.72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4.04</v>
      </c>
      <c r="AU75" t="s">
        <v>3</v>
      </c>
      <c r="AV75">
        <v>0</v>
      </c>
      <c r="AW75">
        <v>2</v>
      </c>
      <c r="AX75">
        <v>60256150</v>
      </c>
      <c r="AY75">
        <v>1</v>
      </c>
      <c r="AZ75">
        <v>0</v>
      </c>
      <c r="BA75">
        <v>83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ROUND(Y75*Source!I107,9)</f>
        <v>4.0399999999999998E-2</v>
      </c>
      <c r="CY75">
        <f>AA75</f>
        <v>154.72</v>
      </c>
      <c r="CZ75">
        <f>AE75</f>
        <v>154.72</v>
      </c>
      <c r="DA75">
        <f>AI75</f>
        <v>1</v>
      </c>
      <c r="DB75">
        <f>ROUND(ROUND(AT75*CZ75,2),6)</f>
        <v>625.07000000000005</v>
      </c>
      <c r="DC75">
        <f>ROUND(ROUND(AT75*AG75,2),6)</f>
        <v>0</v>
      </c>
      <c r="DD75" t="s">
        <v>3</v>
      </c>
      <c r="DE75" t="s">
        <v>3</v>
      </c>
      <c r="DF75">
        <f t="shared" si="14"/>
        <v>6.25</v>
      </c>
      <c r="DG75">
        <f t="shared" si="11"/>
        <v>0</v>
      </c>
      <c r="DH75">
        <f t="shared" si="12"/>
        <v>0</v>
      </c>
      <c r="DI75">
        <f t="shared" si="13"/>
        <v>0</v>
      </c>
      <c r="DJ75">
        <f>DF75</f>
        <v>6.25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ROW(Source!A107)</f>
        <v>107</v>
      </c>
      <c r="B76">
        <v>60255014</v>
      </c>
      <c r="C76">
        <v>60256133</v>
      </c>
      <c r="D76">
        <v>59056195</v>
      </c>
      <c r="E76">
        <v>1</v>
      </c>
      <c r="F76">
        <v>1</v>
      </c>
      <c r="G76">
        <v>1080</v>
      </c>
      <c r="H76">
        <v>3</v>
      </c>
      <c r="I76" t="s">
        <v>513</v>
      </c>
      <c r="J76" t="s">
        <v>514</v>
      </c>
      <c r="K76" t="s">
        <v>515</v>
      </c>
      <c r="L76">
        <v>1354</v>
      </c>
      <c r="N76">
        <v>1010</v>
      </c>
      <c r="O76" t="s">
        <v>31</v>
      </c>
      <c r="P76" t="s">
        <v>31</v>
      </c>
      <c r="Q76">
        <v>1</v>
      </c>
      <c r="W76">
        <v>0</v>
      </c>
      <c r="X76">
        <v>-572380273</v>
      </c>
      <c r="Y76">
        <f>AT76</f>
        <v>200</v>
      </c>
      <c r="AA76">
        <v>7.24</v>
      </c>
      <c r="AB76">
        <v>0</v>
      </c>
      <c r="AC76">
        <v>0</v>
      </c>
      <c r="AD76">
        <v>0</v>
      </c>
      <c r="AE76">
        <v>7.24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200</v>
      </c>
      <c r="AU76" t="s">
        <v>3</v>
      </c>
      <c r="AV76">
        <v>0</v>
      </c>
      <c r="AW76">
        <v>2</v>
      </c>
      <c r="AX76">
        <v>60256151</v>
      </c>
      <c r="AY76">
        <v>1</v>
      </c>
      <c r="AZ76">
        <v>0</v>
      </c>
      <c r="BA76">
        <v>84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ROUND(Y76*Source!I107,9)</f>
        <v>2</v>
      </c>
      <c r="CY76">
        <f>AA76</f>
        <v>7.24</v>
      </c>
      <c r="CZ76">
        <f>AE76</f>
        <v>7.24</v>
      </c>
      <c r="DA76">
        <f>AI76</f>
        <v>1</v>
      </c>
      <c r="DB76">
        <f>ROUND(ROUND(AT76*CZ76,2),6)</f>
        <v>1448</v>
      </c>
      <c r="DC76">
        <f>ROUND(ROUND(AT76*AG76,2),6)</f>
        <v>0</v>
      </c>
      <c r="DD76" t="s">
        <v>3</v>
      </c>
      <c r="DE76" t="s">
        <v>3</v>
      </c>
      <c r="DF76">
        <f t="shared" si="14"/>
        <v>14.48</v>
      </c>
      <c r="DG76">
        <f t="shared" si="11"/>
        <v>0</v>
      </c>
      <c r="DH76">
        <f t="shared" si="12"/>
        <v>0</v>
      </c>
      <c r="DI76">
        <f t="shared" si="13"/>
        <v>0</v>
      </c>
      <c r="DJ76">
        <f>DF76</f>
        <v>14.48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ROW(Source!A107)</f>
        <v>107</v>
      </c>
      <c r="B77">
        <v>60255014</v>
      </c>
      <c r="C77">
        <v>60256133</v>
      </c>
      <c r="D77">
        <v>59049377</v>
      </c>
      <c r="E77">
        <v>1</v>
      </c>
      <c r="F77">
        <v>1</v>
      </c>
      <c r="G77">
        <v>1080</v>
      </c>
      <c r="H77">
        <v>3</v>
      </c>
      <c r="I77" t="s">
        <v>516</v>
      </c>
      <c r="J77" t="s">
        <v>517</v>
      </c>
      <c r="K77" t="s">
        <v>518</v>
      </c>
      <c r="L77">
        <v>1354</v>
      </c>
      <c r="N77">
        <v>1010</v>
      </c>
      <c r="O77" t="s">
        <v>31</v>
      </c>
      <c r="P77" t="s">
        <v>31</v>
      </c>
      <c r="Q77">
        <v>1</v>
      </c>
      <c r="W77">
        <v>0</v>
      </c>
      <c r="X77">
        <v>501598144</v>
      </c>
      <c r="Y77">
        <f>AT77</f>
        <v>0.68400000000000005</v>
      </c>
      <c r="AA77">
        <v>6.12</v>
      </c>
      <c r="AB77">
        <v>0</v>
      </c>
      <c r="AC77">
        <v>0</v>
      </c>
      <c r="AD77">
        <v>0</v>
      </c>
      <c r="AE77">
        <v>6.12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0.68400000000000005</v>
      </c>
      <c r="AU77" t="s">
        <v>3</v>
      </c>
      <c r="AV77">
        <v>0</v>
      </c>
      <c r="AW77">
        <v>2</v>
      </c>
      <c r="AX77">
        <v>60256152</v>
      </c>
      <c r="AY77">
        <v>1</v>
      </c>
      <c r="AZ77">
        <v>0</v>
      </c>
      <c r="BA77">
        <v>85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ROUND(Y77*Source!I107,9)</f>
        <v>6.8399999999999997E-3</v>
      </c>
      <c r="CY77">
        <f>AA77</f>
        <v>6.12</v>
      </c>
      <c r="CZ77">
        <f>AE77</f>
        <v>6.12</v>
      </c>
      <c r="DA77">
        <f>AI77</f>
        <v>1</v>
      </c>
      <c r="DB77">
        <f>ROUND(ROUND(AT77*CZ77,2),6)</f>
        <v>4.1900000000000004</v>
      </c>
      <c r="DC77">
        <f>ROUND(ROUND(AT77*AG77,2),6)</f>
        <v>0</v>
      </c>
      <c r="DD77" t="s">
        <v>3</v>
      </c>
      <c r="DE77" t="s">
        <v>3</v>
      </c>
      <c r="DF77">
        <f t="shared" si="14"/>
        <v>0.04</v>
      </c>
      <c r="DG77">
        <f t="shared" si="11"/>
        <v>0</v>
      </c>
      <c r="DH77">
        <f t="shared" si="12"/>
        <v>0</v>
      </c>
      <c r="DI77">
        <f t="shared" si="13"/>
        <v>0</v>
      </c>
      <c r="DJ77">
        <f>DF77</f>
        <v>0.04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ROW(Source!A107)</f>
        <v>107</v>
      </c>
      <c r="B78">
        <v>60255014</v>
      </c>
      <c r="C78">
        <v>60256133</v>
      </c>
      <c r="D78">
        <v>59004259</v>
      </c>
      <c r="E78">
        <v>1080</v>
      </c>
      <c r="F78">
        <v>1</v>
      </c>
      <c r="G78">
        <v>1080</v>
      </c>
      <c r="H78">
        <v>3</v>
      </c>
      <c r="I78" t="s">
        <v>519</v>
      </c>
      <c r="J78" t="s">
        <v>3</v>
      </c>
      <c r="K78" t="s">
        <v>520</v>
      </c>
      <c r="L78">
        <v>1344</v>
      </c>
      <c r="N78">
        <v>1008</v>
      </c>
      <c r="O78" t="s">
        <v>521</v>
      </c>
      <c r="P78" t="s">
        <v>521</v>
      </c>
      <c r="Q78">
        <v>1</v>
      </c>
      <c r="W78">
        <v>0</v>
      </c>
      <c r="X78">
        <v>-94250534</v>
      </c>
      <c r="Y78">
        <f>AT78</f>
        <v>0.04</v>
      </c>
      <c r="AA78">
        <v>1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0.04</v>
      </c>
      <c r="AU78" t="s">
        <v>3</v>
      </c>
      <c r="AV78">
        <v>0</v>
      </c>
      <c r="AW78">
        <v>2</v>
      </c>
      <c r="AX78">
        <v>60256154</v>
      </c>
      <c r="AY78">
        <v>1</v>
      </c>
      <c r="AZ78">
        <v>0</v>
      </c>
      <c r="BA78">
        <v>87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ROUND(Y78*Source!I107,9)</f>
        <v>4.0000000000000002E-4</v>
      </c>
      <c r="CY78">
        <f>AA78</f>
        <v>1</v>
      </c>
      <c r="CZ78">
        <f>AE78</f>
        <v>1</v>
      </c>
      <c r="DA78">
        <f>AI78</f>
        <v>1</v>
      </c>
      <c r="DB78">
        <f>ROUND(ROUND(AT78*CZ78,2),6)</f>
        <v>0.04</v>
      </c>
      <c r="DC78">
        <f>ROUND(ROUND(AT78*AG78,2),6)</f>
        <v>0</v>
      </c>
      <c r="DD78" t="s">
        <v>3</v>
      </c>
      <c r="DE78" t="s">
        <v>3</v>
      </c>
      <c r="DF78">
        <f t="shared" si="14"/>
        <v>0</v>
      </c>
      <c r="DG78">
        <f t="shared" si="11"/>
        <v>0</v>
      </c>
      <c r="DH78">
        <f t="shared" si="12"/>
        <v>0</v>
      </c>
      <c r="DI78">
        <f t="shared" si="13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ROW(Source!A108)</f>
        <v>108</v>
      </c>
      <c r="B79">
        <v>60255011</v>
      </c>
      <c r="C79">
        <v>60256133</v>
      </c>
      <c r="D79">
        <v>58999254</v>
      </c>
      <c r="E79">
        <v>1080</v>
      </c>
      <c r="F79">
        <v>1</v>
      </c>
      <c r="G79">
        <v>1080</v>
      </c>
      <c r="H79">
        <v>1</v>
      </c>
      <c r="I79" t="s">
        <v>482</v>
      </c>
      <c r="J79" t="s">
        <v>3</v>
      </c>
      <c r="K79" t="s">
        <v>483</v>
      </c>
      <c r="L79">
        <v>1191</v>
      </c>
      <c r="N79">
        <v>1013</v>
      </c>
      <c r="O79" t="s">
        <v>484</v>
      </c>
      <c r="P79" t="s">
        <v>484</v>
      </c>
      <c r="Q79">
        <v>1</v>
      </c>
      <c r="W79">
        <v>0</v>
      </c>
      <c r="X79">
        <v>476480486</v>
      </c>
      <c r="Y79">
        <f>((AT79*1.15)*1.1)</f>
        <v>94.495500000000007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5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74.7</v>
      </c>
      <c r="AU79" t="s">
        <v>99</v>
      </c>
      <c r="AV79">
        <v>1</v>
      </c>
      <c r="AW79">
        <v>2</v>
      </c>
      <c r="AX79">
        <v>60256144</v>
      </c>
      <c r="AY79">
        <v>1</v>
      </c>
      <c r="AZ79">
        <v>0</v>
      </c>
      <c r="BA79">
        <v>88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ROUND(AT79*Source!I108*AH79*AL79,2)</f>
        <v>0</v>
      </c>
      <c r="CV79">
        <f>ROUND(Y79*Source!I108,9)</f>
        <v>0.94495499999999999</v>
      </c>
      <c r="CW79">
        <v>0</v>
      </c>
      <c r="CX79">
        <f>ROUND(Y79*Source!I108,9)</f>
        <v>0.94495499999999999</v>
      </c>
      <c r="CY79">
        <f>AD79</f>
        <v>0</v>
      </c>
      <c r="CZ79">
        <f>AH79</f>
        <v>0</v>
      </c>
      <c r="DA79">
        <f>AL79</f>
        <v>1</v>
      </c>
      <c r="DB79">
        <f>ROUND(((ROUND(AT79*CZ79,2)*1.15)*1.1),6)</f>
        <v>0</v>
      </c>
      <c r="DC79">
        <f>ROUND(((ROUND(AT79*AG79,2)*1.15)*1.1),6)</f>
        <v>0</v>
      </c>
      <c r="DD79" t="s">
        <v>3</v>
      </c>
      <c r="DE79" t="s">
        <v>3</v>
      </c>
      <c r="DF79">
        <f t="shared" si="14"/>
        <v>0</v>
      </c>
      <c r="DG79">
        <f t="shared" si="11"/>
        <v>0</v>
      </c>
      <c r="DH79">
        <f t="shared" si="12"/>
        <v>0</v>
      </c>
      <c r="DI79">
        <f t="shared" si="13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ROW(Source!A108)</f>
        <v>108</v>
      </c>
      <c r="B80">
        <v>60255011</v>
      </c>
      <c r="C80">
        <v>60256133</v>
      </c>
      <c r="D80">
        <v>59070669</v>
      </c>
      <c r="E80">
        <v>1</v>
      </c>
      <c r="F80">
        <v>1</v>
      </c>
      <c r="G80">
        <v>1080</v>
      </c>
      <c r="H80">
        <v>2</v>
      </c>
      <c r="I80" t="s">
        <v>485</v>
      </c>
      <c r="J80" t="s">
        <v>486</v>
      </c>
      <c r="K80" t="s">
        <v>487</v>
      </c>
      <c r="L80">
        <v>1368</v>
      </c>
      <c r="N80">
        <v>1011</v>
      </c>
      <c r="O80" t="s">
        <v>488</v>
      </c>
      <c r="P80" t="s">
        <v>488</v>
      </c>
      <c r="Q80">
        <v>1</v>
      </c>
      <c r="W80">
        <v>0</v>
      </c>
      <c r="X80">
        <v>-1985943078</v>
      </c>
      <c r="Y80">
        <f>((AT80*1.25)*1.1)</f>
        <v>0.44000000000000006</v>
      </c>
      <c r="AA80">
        <v>0</v>
      </c>
      <c r="AB80">
        <v>1445.28</v>
      </c>
      <c r="AC80">
        <v>740.47</v>
      </c>
      <c r="AD80">
        <v>0</v>
      </c>
      <c r="AE80">
        <v>0</v>
      </c>
      <c r="AF80">
        <v>83.1</v>
      </c>
      <c r="AG80">
        <v>12.62</v>
      </c>
      <c r="AH80">
        <v>0</v>
      </c>
      <c r="AI80">
        <v>1</v>
      </c>
      <c r="AJ80">
        <v>16.3</v>
      </c>
      <c r="AK80">
        <v>54.99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0.32</v>
      </c>
      <c r="AU80" t="s">
        <v>496</v>
      </c>
      <c r="AV80">
        <v>0</v>
      </c>
      <c r="AW80">
        <v>2</v>
      </c>
      <c r="AX80">
        <v>60256145</v>
      </c>
      <c r="AY80">
        <v>1</v>
      </c>
      <c r="AZ80">
        <v>0</v>
      </c>
      <c r="BA80">
        <v>89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ROUND(Y80*Source!I108*DO80,9)</f>
        <v>5.5528000000000001E-2</v>
      </c>
      <c r="CX80">
        <f>ROUND(Y80*Source!I108,9)</f>
        <v>4.4000000000000003E-3</v>
      </c>
      <c r="CY80">
        <f>AB80</f>
        <v>1445.28</v>
      </c>
      <c r="CZ80">
        <f>AF80</f>
        <v>83.1</v>
      </c>
      <c r="DA80">
        <f>AJ80</f>
        <v>16.3</v>
      </c>
      <c r="DB80">
        <f>ROUND(((ROUND(AT80*CZ80,2)*1.25)*1.1),6)</f>
        <v>36.561250000000001</v>
      </c>
      <c r="DC80">
        <f>ROUND(((ROUND(AT80*AG80,2)*1.25)*1.1),6)</f>
        <v>5.5549999999999997</v>
      </c>
      <c r="DD80" t="s">
        <v>3</v>
      </c>
      <c r="DE80" t="s">
        <v>3</v>
      </c>
      <c r="DF80">
        <f t="shared" si="14"/>
        <v>0</v>
      </c>
      <c r="DG80">
        <f>ROUND(ROUND(AF80*AJ80,2)*CX80,2)</f>
        <v>5.96</v>
      </c>
      <c r="DH80">
        <f>ROUND(ROUND(AG80*AK80,2)*CX80,2)</f>
        <v>3.05</v>
      </c>
      <c r="DI80">
        <f t="shared" si="13"/>
        <v>0</v>
      </c>
      <c r="DJ80">
        <f>DG80</f>
        <v>5.96</v>
      </c>
      <c r="DK80">
        <v>0</v>
      </c>
      <c r="DL80" t="s">
        <v>489</v>
      </c>
      <c r="DM80">
        <v>0</v>
      </c>
      <c r="DN80" t="s">
        <v>484</v>
      </c>
      <c r="DO80">
        <v>12.62</v>
      </c>
    </row>
    <row r="81" spans="1:119" x14ac:dyDescent="0.2">
      <c r="A81">
        <f>ROW(Source!A108)</f>
        <v>108</v>
      </c>
      <c r="B81">
        <v>60255011</v>
      </c>
      <c r="C81">
        <v>60256133</v>
      </c>
      <c r="D81">
        <v>59070721</v>
      </c>
      <c r="E81">
        <v>1</v>
      </c>
      <c r="F81">
        <v>1</v>
      </c>
      <c r="G81">
        <v>1080</v>
      </c>
      <c r="H81">
        <v>2</v>
      </c>
      <c r="I81" t="s">
        <v>497</v>
      </c>
      <c r="J81" t="s">
        <v>498</v>
      </c>
      <c r="K81" t="s">
        <v>499</v>
      </c>
      <c r="L81">
        <v>1368</v>
      </c>
      <c r="N81">
        <v>1011</v>
      </c>
      <c r="O81" t="s">
        <v>488</v>
      </c>
      <c r="P81" t="s">
        <v>488</v>
      </c>
      <c r="Q81">
        <v>1</v>
      </c>
      <c r="W81">
        <v>0</v>
      </c>
      <c r="X81">
        <v>1387779639</v>
      </c>
      <c r="Y81">
        <f>((AT81*1.25)*1.1)</f>
        <v>1.7050000000000003</v>
      </c>
      <c r="AA81">
        <v>0</v>
      </c>
      <c r="AB81">
        <v>7.11</v>
      </c>
      <c r="AC81">
        <v>0</v>
      </c>
      <c r="AD81">
        <v>0</v>
      </c>
      <c r="AE81">
        <v>0</v>
      </c>
      <c r="AF81">
        <v>0.77</v>
      </c>
      <c r="AG81">
        <v>0</v>
      </c>
      <c r="AH81">
        <v>0</v>
      </c>
      <c r="AI81">
        <v>1</v>
      </c>
      <c r="AJ81">
        <v>8.66</v>
      </c>
      <c r="AK81">
        <v>54.99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1.24</v>
      </c>
      <c r="AU81" t="s">
        <v>496</v>
      </c>
      <c r="AV81">
        <v>0</v>
      </c>
      <c r="AW81">
        <v>2</v>
      </c>
      <c r="AX81">
        <v>60256147</v>
      </c>
      <c r="AY81">
        <v>1</v>
      </c>
      <c r="AZ81">
        <v>0</v>
      </c>
      <c r="BA81">
        <v>90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ROUND(Y81*Source!I108*DO81,9)</f>
        <v>0</v>
      </c>
      <c r="CX81">
        <f>ROUND(Y81*Source!I108,9)</f>
        <v>1.7049999999999999E-2</v>
      </c>
      <c r="CY81">
        <f>AB81</f>
        <v>7.11</v>
      </c>
      <c r="CZ81">
        <f>AF81</f>
        <v>0.77</v>
      </c>
      <c r="DA81">
        <f>AJ81</f>
        <v>8.66</v>
      </c>
      <c r="DB81">
        <f>ROUND(((ROUND(AT81*CZ81,2)*1.25)*1.1),6)</f>
        <v>1.3062499999999999</v>
      </c>
      <c r="DC81">
        <f>ROUND(((ROUND(AT81*AG81,2)*1.25)*1.1),6)</f>
        <v>0</v>
      </c>
      <c r="DD81" t="s">
        <v>3</v>
      </c>
      <c r="DE81" t="s">
        <v>3</v>
      </c>
      <c r="DF81">
        <f t="shared" si="14"/>
        <v>0</v>
      </c>
      <c r="DG81">
        <f>ROUND(ROUND(AF81*AJ81,2)*CX81,2)</f>
        <v>0.11</v>
      </c>
      <c r="DH81">
        <f>ROUND(ROUND(AG81*AK81,2)*CX81,2)</f>
        <v>0</v>
      </c>
      <c r="DI81">
        <f t="shared" si="13"/>
        <v>0</v>
      </c>
      <c r="DJ81">
        <f>DG81</f>
        <v>0.11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ROW(Source!A108)</f>
        <v>108</v>
      </c>
      <c r="B82">
        <v>60255011</v>
      </c>
      <c r="C82">
        <v>60256133</v>
      </c>
      <c r="D82">
        <v>59070754</v>
      </c>
      <c r="E82">
        <v>1</v>
      </c>
      <c r="F82">
        <v>1</v>
      </c>
      <c r="G82">
        <v>1080</v>
      </c>
      <c r="H82">
        <v>2</v>
      </c>
      <c r="I82" t="s">
        <v>500</v>
      </c>
      <c r="J82" t="s">
        <v>501</v>
      </c>
      <c r="K82" t="s">
        <v>502</v>
      </c>
      <c r="L82">
        <v>1368</v>
      </c>
      <c r="N82">
        <v>1011</v>
      </c>
      <c r="O82" t="s">
        <v>488</v>
      </c>
      <c r="P82" t="s">
        <v>488</v>
      </c>
      <c r="Q82">
        <v>1</v>
      </c>
      <c r="W82">
        <v>0</v>
      </c>
      <c r="X82">
        <v>1645565003</v>
      </c>
      <c r="Y82">
        <f>((AT82*1.25)*1.1)</f>
        <v>4.4275000000000011</v>
      </c>
      <c r="AA82">
        <v>0</v>
      </c>
      <c r="AB82">
        <v>4.38</v>
      </c>
      <c r="AC82">
        <v>0</v>
      </c>
      <c r="AD82">
        <v>0</v>
      </c>
      <c r="AE82">
        <v>0</v>
      </c>
      <c r="AF82">
        <v>0.47</v>
      </c>
      <c r="AG82">
        <v>0</v>
      </c>
      <c r="AH82">
        <v>0</v>
      </c>
      <c r="AI82">
        <v>1</v>
      </c>
      <c r="AJ82">
        <v>8.74</v>
      </c>
      <c r="AK82">
        <v>54.99</v>
      </c>
      <c r="AL82">
        <v>1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3.22</v>
      </c>
      <c r="AU82" t="s">
        <v>496</v>
      </c>
      <c r="AV82">
        <v>0</v>
      </c>
      <c r="AW82">
        <v>2</v>
      </c>
      <c r="AX82">
        <v>60256148</v>
      </c>
      <c r="AY82">
        <v>1</v>
      </c>
      <c r="AZ82">
        <v>0</v>
      </c>
      <c r="BA82">
        <v>91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ROUND(Y82*Source!I108*DO82,9)</f>
        <v>0</v>
      </c>
      <c r="CX82">
        <f>ROUND(Y82*Source!I108,9)</f>
        <v>4.4275000000000002E-2</v>
      </c>
      <c r="CY82">
        <f>AB82</f>
        <v>4.38</v>
      </c>
      <c r="CZ82">
        <f>AF82</f>
        <v>0.47</v>
      </c>
      <c r="DA82">
        <f>AJ82</f>
        <v>8.74</v>
      </c>
      <c r="DB82">
        <f>ROUND(((ROUND(AT82*CZ82,2)*1.25)*1.1),6)</f>
        <v>2.0762499999999999</v>
      </c>
      <c r="DC82">
        <f>ROUND(((ROUND(AT82*AG82,2)*1.25)*1.1),6)</f>
        <v>0</v>
      </c>
      <c r="DD82" t="s">
        <v>3</v>
      </c>
      <c r="DE82" t="s">
        <v>3</v>
      </c>
      <c r="DF82">
        <f t="shared" si="14"/>
        <v>0</v>
      </c>
      <c r="DG82">
        <f>ROUND(ROUND(AF82*AJ82,2)*CX82,2)</f>
        <v>0.18</v>
      </c>
      <c r="DH82">
        <f>ROUND(ROUND(AG82*AK82,2)*CX82,2)</f>
        <v>0</v>
      </c>
      <c r="DI82">
        <f t="shared" si="13"/>
        <v>0</v>
      </c>
      <c r="DJ82">
        <f>DG82</f>
        <v>0.18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ROW(Source!A108)</f>
        <v>108</v>
      </c>
      <c r="B83">
        <v>60255011</v>
      </c>
      <c r="C83">
        <v>60256133</v>
      </c>
      <c r="D83">
        <v>59069905</v>
      </c>
      <c r="E83">
        <v>1</v>
      </c>
      <c r="F83">
        <v>1</v>
      </c>
      <c r="G83">
        <v>1080</v>
      </c>
      <c r="H83">
        <v>2</v>
      </c>
      <c r="I83" t="s">
        <v>503</v>
      </c>
      <c r="J83" t="s">
        <v>504</v>
      </c>
      <c r="K83" t="s">
        <v>505</v>
      </c>
      <c r="L83">
        <v>1368</v>
      </c>
      <c r="N83">
        <v>1011</v>
      </c>
      <c r="O83" t="s">
        <v>488</v>
      </c>
      <c r="P83" t="s">
        <v>488</v>
      </c>
      <c r="Q83">
        <v>1</v>
      </c>
      <c r="W83">
        <v>0</v>
      </c>
      <c r="X83">
        <v>1087580389</v>
      </c>
      <c r="Y83">
        <f>((AT83*1.25)*1.1)</f>
        <v>0.50875000000000004</v>
      </c>
      <c r="AA83">
        <v>0</v>
      </c>
      <c r="AB83">
        <v>2628.65</v>
      </c>
      <c r="AC83">
        <v>993.36</v>
      </c>
      <c r="AD83">
        <v>0</v>
      </c>
      <c r="AE83">
        <v>0</v>
      </c>
      <c r="AF83">
        <v>179.17</v>
      </c>
      <c r="AG83">
        <v>16.93</v>
      </c>
      <c r="AH83">
        <v>0</v>
      </c>
      <c r="AI83">
        <v>1</v>
      </c>
      <c r="AJ83">
        <v>13.75</v>
      </c>
      <c r="AK83">
        <v>54.99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0.37</v>
      </c>
      <c r="AU83" t="s">
        <v>496</v>
      </c>
      <c r="AV83">
        <v>0</v>
      </c>
      <c r="AW83">
        <v>2</v>
      </c>
      <c r="AX83">
        <v>60256146</v>
      </c>
      <c r="AY83">
        <v>1</v>
      </c>
      <c r="AZ83">
        <v>0</v>
      </c>
      <c r="BA83">
        <v>92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ROUND(Y83*Source!I108*DO83,9)</f>
        <v>8.6131374999999996E-2</v>
      </c>
      <c r="CX83">
        <f>ROUND(Y83*Source!I108,9)</f>
        <v>5.0875E-3</v>
      </c>
      <c r="CY83">
        <f>AB83</f>
        <v>2628.65</v>
      </c>
      <c r="CZ83">
        <f>AF83</f>
        <v>179.17</v>
      </c>
      <c r="DA83">
        <f>AJ83</f>
        <v>13.75</v>
      </c>
      <c r="DB83">
        <f>ROUND(((ROUND(AT83*CZ83,2)*1.25)*1.1),6)</f>
        <v>91.148750000000007</v>
      </c>
      <c r="DC83">
        <f>ROUND(((ROUND(AT83*AG83,2)*1.25)*1.1),6)</f>
        <v>8.6074999999999999</v>
      </c>
      <c r="DD83" t="s">
        <v>3</v>
      </c>
      <c r="DE83" t="s">
        <v>3</v>
      </c>
      <c r="DF83">
        <f t="shared" si="14"/>
        <v>0</v>
      </c>
      <c r="DG83">
        <f>ROUND(ROUND(AF83*AJ83,2)*CX83,2)</f>
        <v>12.53</v>
      </c>
      <c r="DH83">
        <f>ROUND(ROUND(AG83*AK83,2)*CX83,2)</f>
        <v>4.74</v>
      </c>
      <c r="DI83">
        <f t="shared" si="13"/>
        <v>0</v>
      </c>
      <c r="DJ83">
        <f>DG83</f>
        <v>12.53</v>
      </c>
      <c r="DK83">
        <v>0</v>
      </c>
      <c r="DL83" t="s">
        <v>489</v>
      </c>
      <c r="DM83">
        <v>0</v>
      </c>
      <c r="DN83" t="s">
        <v>484</v>
      </c>
      <c r="DO83">
        <v>16.93</v>
      </c>
    </row>
    <row r="84" spans="1:119" x14ac:dyDescent="0.2">
      <c r="A84">
        <f>ROW(Source!A108)</f>
        <v>108</v>
      </c>
      <c r="B84">
        <v>60255011</v>
      </c>
      <c r="C84">
        <v>60256133</v>
      </c>
      <c r="D84">
        <v>59038905</v>
      </c>
      <c r="E84">
        <v>1</v>
      </c>
      <c r="F84">
        <v>1</v>
      </c>
      <c r="G84">
        <v>1080</v>
      </c>
      <c r="H84">
        <v>3</v>
      </c>
      <c r="I84" t="s">
        <v>506</v>
      </c>
      <c r="J84" t="s">
        <v>507</v>
      </c>
      <c r="K84" t="s">
        <v>508</v>
      </c>
      <c r="L84">
        <v>1339</v>
      </c>
      <c r="N84">
        <v>1007</v>
      </c>
      <c r="O84" t="s">
        <v>509</v>
      </c>
      <c r="P84" t="s">
        <v>509</v>
      </c>
      <c r="Q84">
        <v>1</v>
      </c>
      <c r="W84">
        <v>0</v>
      </c>
      <c r="X84">
        <v>-744103292</v>
      </c>
      <c r="Y84">
        <f>AT84</f>
        <v>0.22700000000000001</v>
      </c>
      <c r="AA84">
        <v>54.79</v>
      </c>
      <c r="AB84">
        <v>0</v>
      </c>
      <c r="AC84">
        <v>0</v>
      </c>
      <c r="AD84">
        <v>0</v>
      </c>
      <c r="AE84">
        <v>7.07</v>
      </c>
      <c r="AF84">
        <v>0</v>
      </c>
      <c r="AG84">
        <v>0</v>
      </c>
      <c r="AH84">
        <v>0</v>
      </c>
      <c r="AI84">
        <v>7.75</v>
      </c>
      <c r="AJ84">
        <v>1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0.22700000000000001</v>
      </c>
      <c r="AU84" t="s">
        <v>3</v>
      </c>
      <c r="AV84">
        <v>0</v>
      </c>
      <c r="AW84">
        <v>2</v>
      </c>
      <c r="AX84">
        <v>60256149</v>
      </c>
      <c r="AY84">
        <v>1</v>
      </c>
      <c r="AZ84">
        <v>0</v>
      </c>
      <c r="BA84">
        <v>93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ROUND(Y84*Source!I108,9)</f>
        <v>2.2699999999999999E-3</v>
      </c>
      <c r="CY84">
        <f>AA84</f>
        <v>54.79</v>
      </c>
      <c r="CZ84">
        <f>AE84</f>
        <v>7.07</v>
      </c>
      <c r="DA84">
        <f>AI84</f>
        <v>7.75</v>
      </c>
      <c r="DB84">
        <f>ROUND(ROUND(AT84*CZ84,2),6)</f>
        <v>1.6</v>
      </c>
      <c r="DC84">
        <f>ROUND(ROUND(AT84*AG84,2),6)</f>
        <v>0</v>
      </c>
      <c r="DD84" t="s">
        <v>3</v>
      </c>
      <c r="DE84" t="s">
        <v>3</v>
      </c>
      <c r="DF84">
        <f>ROUND(ROUND(AE84*AI84,2)*CX84,2)</f>
        <v>0.12</v>
      </c>
      <c r="DG84">
        <f t="shared" ref="DG84:DG99" si="15">ROUND(ROUND(AF84,2)*CX84,2)</f>
        <v>0</v>
      </c>
      <c r="DH84">
        <f t="shared" ref="DH84:DH99" si="16">ROUND(ROUND(AG84,2)*CX84,2)</f>
        <v>0</v>
      </c>
      <c r="DI84">
        <f t="shared" si="13"/>
        <v>0</v>
      </c>
      <c r="DJ84">
        <f>DF84</f>
        <v>0.12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ROW(Source!A108)</f>
        <v>108</v>
      </c>
      <c r="B85">
        <v>60255011</v>
      </c>
      <c r="C85">
        <v>60256133</v>
      </c>
      <c r="D85">
        <v>59045898</v>
      </c>
      <c r="E85">
        <v>1</v>
      </c>
      <c r="F85">
        <v>1</v>
      </c>
      <c r="G85">
        <v>1080</v>
      </c>
      <c r="H85">
        <v>3</v>
      </c>
      <c r="I85" t="s">
        <v>510</v>
      </c>
      <c r="J85" t="s">
        <v>511</v>
      </c>
      <c r="K85" t="s">
        <v>512</v>
      </c>
      <c r="L85">
        <v>1355</v>
      </c>
      <c r="N85">
        <v>1010</v>
      </c>
      <c r="O85" t="s">
        <v>96</v>
      </c>
      <c r="P85" t="s">
        <v>96</v>
      </c>
      <c r="Q85">
        <v>100</v>
      </c>
      <c r="W85">
        <v>0</v>
      </c>
      <c r="X85">
        <v>2062705997</v>
      </c>
      <c r="Y85">
        <f>AT85</f>
        <v>4.04</v>
      </c>
      <c r="AA85">
        <v>1401.76</v>
      </c>
      <c r="AB85">
        <v>0</v>
      </c>
      <c r="AC85">
        <v>0</v>
      </c>
      <c r="AD85">
        <v>0</v>
      </c>
      <c r="AE85">
        <v>154.72</v>
      </c>
      <c r="AF85">
        <v>0</v>
      </c>
      <c r="AG85">
        <v>0</v>
      </c>
      <c r="AH85">
        <v>0</v>
      </c>
      <c r="AI85">
        <v>9.06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4.04</v>
      </c>
      <c r="AU85" t="s">
        <v>3</v>
      </c>
      <c r="AV85">
        <v>0</v>
      </c>
      <c r="AW85">
        <v>2</v>
      </c>
      <c r="AX85">
        <v>60256150</v>
      </c>
      <c r="AY85">
        <v>1</v>
      </c>
      <c r="AZ85">
        <v>0</v>
      </c>
      <c r="BA85">
        <v>94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ROUND(Y85*Source!I108,9)</f>
        <v>4.0399999999999998E-2</v>
      </c>
      <c r="CY85">
        <f>AA85</f>
        <v>1401.76</v>
      </c>
      <c r="CZ85">
        <f>AE85</f>
        <v>154.72</v>
      </c>
      <c r="DA85">
        <f>AI85</f>
        <v>9.06</v>
      </c>
      <c r="DB85">
        <f>ROUND(ROUND(AT85*CZ85,2),6)</f>
        <v>625.07000000000005</v>
      </c>
      <c r="DC85">
        <f>ROUND(ROUND(AT85*AG85,2),6)</f>
        <v>0</v>
      </c>
      <c r="DD85" t="s">
        <v>3</v>
      </c>
      <c r="DE85" t="s">
        <v>3</v>
      </c>
      <c r="DF85">
        <f>ROUND(ROUND(AE85*AI85,2)*CX85,2)</f>
        <v>56.63</v>
      </c>
      <c r="DG85">
        <f t="shared" si="15"/>
        <v>0</v>
      </c>
      <c r="DH85">
        <f t="shared" si="16"/>
        <v>0</v>
      </c>
      <c r="DI85">
        <f t="shared" si="13"/>
        <v>0</v>
      </c>
      <c r="DJ85">
        <f>DF85</f>
        <v>56.63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ROW(Source!A108)</f>
        <v>108</v>
      </c>
      <c r="B86">
        <v>60255011</v>
      </c>
      <c r="C86">
        <v>60256133</v>
      </c>
      <c r="D86">
        <v>59056195</v>
      </c>
      <c r="E86">
        <v>1</v>
      </c>
      <c r="F86">
        <v>1</v>
      </c>
      <c r="G86">
        <v>1080</v>
      </c>
      <c r="H86">
        <v>3</v>
      </c>
      <c r="I86" t="s">
        <v>513</v>
      </c>
      <c r="J86" t="s">
        <v>514</v>
      </c>
      <c r="K86" t="s">
        <v>515</v>
      </c>
      <c r="L86">
        <v>1354</v>
      </c>
      <c r="N86">
        <v>1010</v>
      </c>
      <c r="O86" t="s">
        <v>31</v>
      </c>
      <c r="P86" t="s">
        <v>31</v>
      </c>
      <c r="Q86">
        <v>1</v>
      </c>
      <c r="W86">
        <v>0</v>
      </c>
      <c r="X86">
        <v>-572380273</v>
      </c>
      <c r="Y86">
        <f>AT86</f>
        <v>200</v>
      </c>
      <c r="AA86">
        <v>185.42</v>
      </c>
      <c r="AB86">
        <v>0</v>
      </c>
      <c r="AC86">
        <v>0</v>
      </c>
      <c r="AD86">
        <v>0</v>
      </c>
      <c r="AE86">
        <v>7.24</v>
      </c>
      <c r="AF86">
        <v>0</v>
      </c>
      <c r="AG86">
        <v>0</v>
      </c>
      <c r="AH86">
        <v>0</v>
      </c>
      <c r="AI86">
        <v>25.61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200</v>
      </c>
      <c r="AU86" t="s">
        <v>3</v>
      </c>
      <c r="AV86">
        <v>0</v>
      </c>
      <c r="AW86">
        <v>2</v>
      </c>
      <c r="AX86">
        <v>60256151</v>
      </c>
      <c r="AY86">
        <v>1</v>
      </c>
      <c r="AZ86">
        <v>0</v>
      </c>
      <c r="BA86">
        <v>95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ROUND(Y86*Source!I108,9)</f>
        <v>2</v>
      </c>
      <c r="CY86">
        <f>AA86</f>
        <v>185.42</v>
      </c>
      <c r="CZ86">
        <f>AE86</f>
        <v>7.24</v>
      </c>
      <c r="DA86">
        <f>AI86</f>
        <v>25.61</v>
      </c>
      <c r="DB86">
        <f>ROUND(ROUND(AT86*CZ86,2),6)</f>
        <v>1448</v>
      </c>
      <c r="DC86">
        <f>ROUND(ROUND(AT86*AG86,2),6)</f>
        <v>0</v>
      </c>
      <c r="DD86" t="s">
        <v>3</v>
      </c>
      <c r="DE86" t="s">
        <v>3</v>
      </c>
      <c r="DF86">
        <f>ROUND(ROUND(AE86*AI86,2)*CX86,2)</f>
        <v>370.84</v>
      </c>
      <c r="DG86">
        <f t="shared" si="15"/>
        <v>0</v>
      </c>
      <c r="DH86">
        <f t="shared" si="16"/>
        <v>0</v>
      </c>
      <c r="DI86">
        <f t="shared" si="13"/>
        <v>0</v>
      </c>
      <c r="DJ86">
        <f>DF86</f>
        <v>370.84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ROW(Source!A108)</f>
        <v>108</v>
      </c>
      <c r="B87">
        <v>60255011</v>
      </c>
      <c r="C87">
        <v>60256133</v>
      </c>
      <c r="D87">
        <v>59049377</v>
      </c>
      <c r="E87">
        <v>1</v>
      </c>
      <c r="F87">
        <v>1</v>
      </c>
      <c r="G87">
        <v>1080</v>
      </c>
      <c r="H87">
        <v>3</v>
      </c>
      <c r="I87" t="s">
        <v>516</v>
      </c>
      <c r="J87" t="s">
        <v>517</v>
      </c>
      <c r="K87" t="s">
        <v>518</v>
      </c>
      <c r="L87">
        <v>1354</v>
      </c>
      <c r="N87">
        <v>1010</v>
      </c>
      <c r="O87" t="s">
        <v>31</v>
      </c>
      <c r="P87" t="s">
        <v>31</v>
      </c>
      <c r="Q87">
        <v>1</v>
      </c>
      <c r="W87">
        <v>0</v>
      </c>
      <c r="X87">
        <v>501598144</v>
      </c>
      <c r="Y87">
        <f>AT87</f>
        <v>0.68400000000000005</v>
      </c>
      <c r="AA87">
        <v>63.83</v>
      </c>
      <c r="AB87">
        <v>0</v>
      </c>
      <c r="AC87">
        <v>0</v>
      </c>
      <c r="AD87">
        <v>0</v>
      </c>
      <c r="AE87">
        <v>6.12</v>
      </c>
      <c r="AF87">
        <v>0</v>
      </c>
      <c r="AG87">
        <v>0</v>
      </c>
      <c r="AH87">
        <v>0</v>
      </c>
      <c r="AI87">
        <v>10.43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0.68400000000000005</v>
      </c>
      <c r="AU87" t="s">
        <v>3</v>
      </c>
      <c r="AV87">
        <v>0</v>
      </c>
      <c r="AW87">
        <v>2</v>
      </c>
      <c r="AX87">
        <v>60256152</v>
      </c>
      <c r="AY87">
        <v>1</v>
      </c>
      <c r="AZ87">
        <v>0</v>
      </c>
      <c r="BA87">
        <v>96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ROUND(Y87*Source!I108,9)</f>
        <v>6.8399999999999997E-3</v>
      </c>
      <c r="CY87">
        <f>AA87</f>
        <v>63.83</v>
      </c>
      <c r="CZ87">
        <f>AE87</f>
        <v>6.12</v>
      </c>
      <c r="DA87">
        <f>AI87</f>
        <v>10.43</v>
      </c>
      <c r="DB87">
        <f>ROUND(ROUND(AT87*CZ87,2),6)</f>
        <v>4.1900000000000004</v>
      </c>
      <c r="DC87">
        <f>ROUND(ROUND(AT87*AG87,2),6)</f>
        <v>0</v>
      </c>
      <c r="DD87" t="s">
        <v>3</v>
      </c>
      <c r="DE87" t="s">
        <v>3</v>
      </c>
      <c r="DF87">
        <f>ROUND(ROUND(AE87*AI87,2)*CX87,2)</f>
        <v>0.44</v>
      </c>
      <c r="DG87">
        <f t="shared" si="15"/>
        <v>0</v>
      </c>
      <c r="DH87">
        <f t="shared" si="16"/>
        <v>0</v>
      </c>
      <c r="DI87">
        <f t="shared" si="13"/>
        <v>0</v>
      </c>
      <c r="DJ87">
        <f>DF87</f>
        <v>0.44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ROW(Source!A108)</f>
        <v>108</v>
      </c>
      <c r="B88">
        <v>60255011</v>
      </c>
      <c r="C88">
        <v>60256133</v>
      </c>
      <c r="D88">
        <v>59004259</v>
      </c>
      <c r="E88">
        <v>1080</v>
      </c>
      <c r="F88">
        <v>1</v>
      </c>
      <c r="G88">
        <v>1080</v>
      </c>
      <c r="H88">
        <v>3</v>
      </c>
      <c r="I88" t="s">
        <v>519</v>
      </c>
      <c r="J88" t="s">
        <v>3</v>
      </c>
      <c r="K88" t="s">
        <v>520</v>
      </c>
      <c r="L88">
        <v>1344</v>
      </c>
      <c r="N88">
        <v>1008</v>
      </c>
      <c r="O88" t="s">
        <v>521</v>
      </c>
      <c r="P88" t="s">
        <v>521</v>
      </c>
      <c r="Q88">
        <v>1</v>
      </c>
      <c r="W88">
        <v>0</v>
      </c>
      <c r="X88">
        <v>-94250534</v>
      </c>
      <c r="Y88">
        <f>AT88</f>
        <v>0.04</v>
      </c>
      <c r="AA88">
        <v>9.8800000000000008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9.8800000000000008</v>
      </c>
      <c r="AJ88">
        <v>1</v>
      </c>
      <c r="AK88">
        <v>1</v>
      </c>
      <c r="AL88">
        <v>1</v>
      </c>
      <c r="AM88">
        <v>5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0.04</v>
      </c>
      <c r="AU88" t="s">
        <v>3</v>
      </c>
      <c r="AV88">
        <v>0</v>
      </c>
      <c r="AW88">
        <v>2</v>
      </c>
      <c r="AX88">
        <v>60256154</v>
      </c>
      <c r="AY88">
        <v>1</v>
      </c>
      <c r="AZ88">
        <v>0</v>
      </c>
      <c r="BA88">
        <v>98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ROUND(Y88*Source!I108,9)</f>
        <v>4.0000000000000002E-4</v>
      </c>
      <c r="CY88">
        <f>AA88</f>
        <v>9.8800000000000008</v>
      </c>
      <c r="CZ88">
        <f>AE88</f>
        <v>1</v>
      </c>
      <c r="DA88">
        <f>AI88</f>
        <v>9.8800000000000008</v>
      </c>
      <c r="DB88">
        <f>ROUND(ROUND(AT88*CZ88,2),6)</f>
        <v>0.04</v>
      </c>
      <c r="DC88">
        <f>ROUND(ROUND(AT88*AG88,2),6)</f>
        <v>0</v>
      </c>
      <c r="DD88" t="s">
        <v>3</v>
      </c>
      <c r="DE88" t="s">
        <v>3</v>
      </c>
      <c r="DF88">
        <f>ROUND(ROUND(AE88*AI88,2)*CX88,2)</f>
        <v>0</v>
      </c>
      <c r="DG88">
        <f t="shared" si="15"/>
        <v>0</v>
      </c>
      <c r="DH88">
        <f t="shared" si="16"/>
        <v>0</v>
      </c>
      <c r="DI88">
        <f t="shared" si="13"/>
        <v>0</v>
      </c>
      <c r="DJ88">
        <f>DF88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ROW(Source!A111)</f>
        <v>111</v>
      </c>
      <c r="B89">
        <v>60255014</v>
      </c>
      <c r="C89">
        <v>60256155</v>
      </c>
      <c r="D89">
        <v>58999254</v>
      </c>
      <c r="E89">
        <v>1080</v>
      </c>
      <c r="F89">
        <v>1</v>
      </c>
      <c r="G89">
        <v>1080</v>
      </c>
      <c r="H89">
        <v>1</v>
      </c>
      <c r="I89" t="s">
        <v>482</v>
      </c>
      <c r="J89" t="s">
        <v>3</v>
      </c>
      <c r="K89" t="s">
        <v>483</v>
      </c>
      <c r="L89">
        <v>1191</v>
      </c>
      <c r="N89">
        <v>1013</v>
      </c>
      <c r="O89" t="s">
        <v>484</v>
      </c>
      <c r="P89" t="s">
        <v>484</v>
      </c>
      <c r="Q89">
        <v>1</v>
      </c>
      <c r="W89">
        <v>0</v>
      </c>
      <c r="X89">
        <v>476480486</v>
      </c>
      <c r="Y89">
        <f>((AT89*1.15)*1.1)</f>
        <v>94.495500000000007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74.7</v>
      </c>
      <c r="AU89" t="s">
        <v>99</v>
      </c>
      <c r="AV89">
        <v>1</v>
      </c>
      <c r="AW89">
        <v>2</v>
      </c>
      <c r="AX89">
        <v>60256166</v>
      </c>
      <c r="AY89">
        <v>1</v>
      </c>
      <c r="AZ89">
        <v>0</v>
      </c>
      <c r="BA89">
        <v>99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ROUND(AT89*Source!I111*AH89*AL89,2)</f>
        <v>0</v>
      </c>
      <c r="CV89">
        <f>ROUND(Y89*Source!I111,9)</f>
        <v>136.07352</v>
      </c>
      <c r="CW89">
        <v>0</v>
      </c>
      <c r="CX89">
        <f>ROUND(Y89*Source!I111,9)</f>
        <v>136.07352</v>
      </c>
      <c r="CY89">
        <f>AD89</f>
        <v>0</v>
      </c>
      <c r="CZ89">
        <f>AH89</f>
        <v>0</v>
      </c>
      <c r="DA89">
        <f>AL89</f>
        <v>1</v>
      </c>
      <c r="DB89">
        <f>ROUND(((ROUND(AT89*CZ89,2)*1.15)*1.1),6)</f>
        <v>0</v>
      </c>
      <c r="DC89">
        <f>ROUND(((ROUND(AT89*AG89,2)*1.15)*1.1),6)</f>
        <v>0</v>
      </c>
      <c r="DD89" t="s">
        <v>3</v>
      </c>
      <c r="DE89" t="s">
        <v>3</v>
      </c>
      <c r="DF89">
        <f t="shared" ref="DF89:DF103" si="17">ROUND(ROUND(AE89,2)*CX89,2)</f>
        <v>0</v>
      </c>
      <c r="DG89">
        <f t="shared" si="15"/>
        <v>0</v>
      </c>
      <c r="DH89">
        <f t="shared" si="16"/>
        <v>0</v>
      </c>
      <c r="DI89">
        <f t="shared" si="13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ROW(Source!A111)</f>
        <v>111</v>
      </c>
      <c r="B90">
        <v>60255014</v>
      </c>
      <c r="C90">
        <v>60256155</v>
      </c>
      <c r="D90">
        <v>59070669</v>
      </c>
      <c r="E90">
        <v>1</v>
      </c>
      <c r="F90">
        <v>1</v>
      </c>
      <c r="G90">
        <v>1080</v>
      </c>
      <c r="H90">
        <v>2</v>
      </c>
      <c r="I90" t="s">
        <v>485</v>
      </c>
      <c r="J90" t="s">
        <v>486</v>
      </c>
      <c r="K90" t="s">
        <v>487</v>
      </c>
      <c r="L90">
        <v>1368</v>
      </c>
      <c r="N90">
        <v>1011</v>
      </c>
      <c r="O90" t="s">
        <v>488</v>
      </c>
      <c r="P90" t="s">
        <v>488</v>
      </c>
      <c r="Q90">
        <v>1</v>
      </c>
      <c r="W90">
        <v>0</v>
      </c>
      <c r="X90">
        <v>-1985943078</v>
      </c>
      <c r="Y90">
        <f>((AT90*1.25)*1.1)</f>
        <v>0.44000000000000006</v>
      </c>
      <c r="AA90">
        <v>0</v>
      </c>
      <c r="AB90">
        <v>88.67</v>
      </c>
      <c r="AC90">
        <v>13.47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0.32</v>
      </c>
      <c r="AU90" t="s">
        <v>496</v>
      </c>
      <c r="AV90">
        <v>0</v>
      </c>
      <c r="AW90">
        <v>2</v>
      </c>
      <c r="AX90">
        <v>60256167</v>
      </c>
      <c r="AY90">
        <v>1</v>
      </c>
      <c r="AZ90">
        <v>0</v>
      </c>
      <c r="BA90">
        <v>100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ROUND(Y90*Source!I111*DO90,9)</f>
        <v>7.9960319999999996</v>
      </c>
      <c r="CX90">
        <f>ROUND(Y90*Source!I111,9)</f>
        <v>0.63360000000000005</v>
      </c>
      <c r="CY90">
        <f>AB90</f>
        <v>88.67</v>
      </c>
      <c r="CZ90">
        <f>AF90</f>
        <v>83.1</v>
      </c>
      <c r="DA90">
        <f>AJ90</f>
        <v>1</v>
      </c>
      <c r="DB90">
        <f>ROUND(((ROUND(AT90*CZ90,2)*1.25)*1.1),6)</f>
        <v>36.561250000000001</v>
      </c>
      <c r="DC90">
        <f>ROUND(((ROUND(AT90*AG90,2)*1.25)*1.1),6)</f>
        <v>5.5549999999999997</v>
      </c>
      <c r="DD90" t="s">
        <v>3</v>
      </c>
      <c r="DE90" t="s">
        <v>3</v>
      </c>
      <c r="DF90">
        <f t="shared" si="17"/>
        <v>0</v>
      </c>
      <c r="DG90">
        <f t="shared" si="15"/>
        <v>52.65</v>
      </c>
      <c r="DH90">
        <f t="shared" si="16"/>
        <v>8</v>
      </c>
      <c r="DI90">
        <f t="shared" si="13"/>
        <v>0</v>
      </c>
      <c r="DJ90">
        <f>DG90</f>
        <v>52.65</v>
      </c>
      <c r="DK90">
        <v>0</v>
      </c>
      <c r="DL90" t="s">
        <v>489</v>
      </c>
      <c r="DM90">
        <v>0</v>
      </c>
      <c r="DN90" t="s">
        <v>484</v>
      </c>
      <c r="DO90">
        <v>12.62</v>
      </c>
    </row>
    <row r="91" spans="1:119" x14ac:dyDescent="0.2">
      <c r="A91">
        <f>ROW(Source!A111)</f>
        <v>111</v>
      </c>
      <c r="B91">
        <v>60255014</v>
      </c>
      <c r="C91">
        <v>60256155</v>
      </c>
      <c r="D91">
        <v>59070721</v>
      </c>
      <c r="E91">
        <v>1</v>
      </c>
      <c r="F91">
        <v>1</v>
      </c>
      <c r="G91">
        <v>1080</v>
      </c>
      <c r="H91">
        <v>2</v>
      </c>
      <c r="I91" t="s">
        <v>497</v>
      </c>
      <c r="J91" t="s">
        <v>498</v>
      </c>
      <c r="K91" t="s">
        <v>499</v>
      </c>
      <c r="L91">
        <v>1368</v>
      </c>
      <c r="N91">
        <v>1011</v>
      </c>
      <c r="O91" t="s">
        <v>488</v>
      </c>
      <c r="P91" t="s">
        <v>488</v>
      </c>
      <c r="Q91">
        <v>1</v>
      </c>
      <c r="W91">
        <v>0</v>
      </c>
      <c r="X91">
        <v>1387779639</v>
      </c>
      <c r="Y91">
        <f>((AT91*1.25)*1.1)</f>
        <v>1.7050000000000003</v>
      </c>
      <c r="AA91">
        <v>0</v>
      </c>
      <c r="AB91">
        <v>0.82</v>
      </c>
      <c r="AC91">
        <v>0</v>
      </c>
      <c r="AD91">
        <v>0</v>
      </c>
      <c r="AE91">
        <v>0</v>
      </c>
      <c r="AF91">
        <v>0.77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1.24</v>
      </c>
      <c r="AU91" t="s">
        <v>496</v>
      </c>
      <c r="AV91">
        <v>0</v>
      </c>
      <c r="AW91">
        <v>2</v>
      </c>
      <c r="AX91">
        <v>60256169</v>
      </c>
      <c r="AY91">
        <v>1</v>
      </c>
      <c r="AZ91">
        <v>0</v>
      </c>
      <c r="BA91">
        <v>101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ROUND(Y91*Source!I111*DO91,9)</f>
        <v>0</v>
      </c>
      <c r="CX91">
        <f>ROUND(Y91*Source!I111,9)</f>
        <v>2.4552</v>
      </c>
      <c r="CY91">
        <f>AB91</f>
        <v>0.82</v>
      </c>
      <c r="CZ91">
        <f>AF91</f>
        <v>0.77</v>
      </c>
      <c r="DA91">
        <f>AJ91</f>
        <v>1</v>
      </c>
      <c r="DB91">
        <f>ROUND(((ROUND(AT91*CZ91,2)*1.25)*1.1),6)</f>
        <v>1.3062499999999999</v>
      </c>
      <c r="DC91">
        <f>ROUND(((ROUND(AT91*AG91,2)*1.25)*1.1),6)</f>
        <v>0</v>
      </c>
      <c r="DD91" t="s">
        <v>3</v>
      </c>
      <c r="DE91" t="s">
        <v>3</v>
      </c>
      <c r="DF91">
        <f t="shared" si="17"/>
        <v>0</v>
      </c>
      <c r="DG91">
        <f t="shared" si="15"/>
        <v>1.89</v>
      </c>
      <c r="DH91">
        <f t="shared" si="16"/>
        <v>0</v>
      </c>
      <c r="DI91">
        <f t="shared" si="13"/>
        <v>0</v>
      </c>
      <c r="DJ91">
        <f>DG91</f>
        <v>1.89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ROW(Source!A111)</f>
        <v>111</v>
      </c>
      <c r="B92">
        <v>60255014</v>
      </c>
      <c r="C92">
        <v>60256155</v>
      </c>
      <c r="D92">
        <v>59070754</v>
      </c>
      <c r="E92">
        <v>1</v>
      </c>
      <c r="F92">
        <v>1</v>
      </c>
      <c r="G92">
        <v>1080</v>
      </c>
      <c r="H92">
        <v>2</v>
      </c>
      <c r="I92" t="s">
        <v>500</v>
      </c>
      <c r="J92" t="s">
        <v>501</v>
      </c>
      <c r="K92" t="s">
        <v>502</v>
      </c>
      <c r="L92">
        <v>1368</v>
      </c>
      <c r="N92">
        <v>1011</v>
      </c>
      <c r="O92" t="s">
        <v>488</v>
      </c>
      <c r="P92" t="s">
        <v>488</v>
      </c>
      <c r="Q92">
        <v>1</v>
      </c>
      <c r="W92">
        <v>0</v>
      </c>
      <c r="X92">
        <v>1645565003</v>
      </c>
      <c r="Y92">
        <f>((AT92*1.25)*1.1)</f>
        <v>4.4275000000000011</v>
      </c>
      <c r="AA92">
        <v>0</v>
      </c>
      <c r="AB92">
        <v>0.5</v>
      </c>
      <c r="AC92">
        <v>0</v>
      </c>
      <c r="AD92">
        <v>0</v>
      </c>
      <c r="AE92">
        <v>0</v>
      </c>
      <c r="AF92">
        <v>0.47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3.22</v>
      </c>
      <c r="AU92" t="s">
        <v>496</v>
      </c>
      <c r="AV92">
        <v>0</v>
      </c>
      <c r="AW92">
        <v>2</v>
      </c>
      <c r="AX92">
        <v>60256170</v>
      </c>
      <c r="AY92">
        <v>1</v>
      </c>
      <c r="AZ92">
        <v>0</v>
      </c>
      <c r="BA92">
        <v>102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ROUND(Y92*Source!I111*DO92,9)</f>
        <v>0</v>
      </c>
      <c r="CX92">
        <f>ROUND(Y92*Source!I111,9)</f>
        <v>6.3756000000000004</v>
      </c>
      <c r="CY92">
        <f>AB92</f>
        <v>0.5</v>
      </c>
      <c r="CZ92">
        <f>AF92</f>
        <v>0.47</v>
      </c>
      <c r="DA92">
        <f>AJ92</f>
        <v>1</v>
      </c>
      <c r="DB92">
        <f>ROUND(((ROUND(AT92*CZ92,2)*1.25)*1.1),6)</f>
        <v>2.0762499999999999</v>
      </c>
      <c r="DC92">
        <f>ROUND(((ROUND(AT92*AG92,2)*1.25)*1.1),6)</f>
        <v>0</v>
      </c>
      <c r="DD92" t="s">
        <v>3</v>
      </c>
      <c r="DE92" t="s">
        <v>3</v>
      </c>
      <c r="DF92">
        <f t="shared" si="17"/>
        <v>0</v>
      </c>
      <c r="DG92">
        <f t="shared" si="15"/>
        <v>3</v>
      </c>
      <c r="DH92">
        <f t="shared" si="16"/>
        <v>0</v>
      </c>
      <c r="DI92">
        <f t="shared" si="13"/>
        <v>0</v>
      </c>
      <c r="DJ92">
        <f>DG92</f>
        <v>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ROW(Source!A111)</f>
        <v>111</v>
      </c>
      <c r="B93">
        <v>60255014</v>
      </c>
      <c r="C93">
        <v>60256155</v>
      </c>
      <c r="D93">
        <v>59069905</v>
      </c>
      <c r="E93">
        <v>1</v>
      </c>
      <c r="F93">
        <v>1</v>
      </c>
      <c r="G93">
        <v>1080</v>
      </c>
      <c r="H93">
        <v>2</v>
      </c>
      <c r="I93" t="s">
        <v>503</v>
      </c>
      <c r="J93" t="s">
        <v>504</v>
      </c>
      <c r="K93" t="s">
        <v>505</v>
      </c>
      <c r="L93">
        <v>1368</v>
      </c>
      <c r="N93">
        <v>1011</v>
      </c>
      <c r="O93" t="s">
        <v>488</v>
      </c>
      <c r="P93" t="s">
        <v>488</v>
      </c>
      <c r="Q93">
        <v>1</v>
      </c>
      <c r="W93">
        <v>0</v>
      </c>
      <c r="X93">
        <v>1087580389</v>
      </c>
      <c r="Y93">
        <f>((AT93*1.25)*1.1)</f>
        <v>0.50875000000000004</v>
      </c>
      <c r="AA93">
        <v>0</v>
      </c>
      <c r="AB93">
        <v>191.17</v>
      </c>
      <c r="AC93">
        <v>18.059999999999999</v>
      </c>
      <c r="AD93">
        <v>0</v>
      </c>
      <c r="AE93">
        <v>0</v>
      </c>
      <c r="AF93">
        <v>179.17</v>
      </c>
      <c r="AG93">
        <v>16.93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0.37</v>
      </c>
      <c r="AU93" t="s">
        <v>496</v>
      </c>
      <c r="AV93">
        <v>0</v>
      </c>
      <c r="AW93">
        <v>2</v>
      </c>
      <c r="AX93">
        <v>60256168</v>
      </c>
      <c r="AY93">
        <v>1</v>
      </c>
      <c r="AZ93">
        <v>0</v>
      </c>
      <c r="BA93">
        <v>103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ROUND(Y93*Source!I111*DO93,9)</f>
        <v>12.402918</v>
      </c>
      <c r="CX93">
        <f>ROUND(Y93*Source!I111,9)</f>
        <v>0.73260000000000003</v>
      </c>
      <c r="CY93">
        <f>AB93</f>
        <v>191.17</v>
      </c>
      <c r="CZ93">
        <f>AF93</f>
        <v>179.17</v>
      </c>
      <c r="DA93">
        <f>AJ93</f>
        <v>1</v>
      </c>
      <c r="DB93">
        <f>ROUND(((ROUND(AT93*CZ93,2)*1.25)*1.1),6)</f>
        <v>91.148750000000007</v>
      </c>
      <c r="DC93">
        <f>ROUND(((ROUND(AT93*AG93,2)*1.25)*1.1),6)</f>
        <v>8.6074999999999999</v>
      </c>
      <c r="DD93" t="s">
        <v>3</v>
      </c>
      <c r="DE93" t="s">
        <v>3</v>
      </c>
      <c r="DF93">
        <f t="shared" si="17"/>
        <v>0</v>
      </c>
      <c r="DG93">
        <f t="shared" si="15"/>
        <v>131.26</v>
      </c>
      <c r="DH93">
        <f t="shared" si="16"/>
        <v>12.4</v>
      </c>
      <c r="DI93">
        <f t="shared" si="13"/>
        <v>0</v>
      </c>
      <c r="DJ93">
        <f>DG93</f>
        <v>131.26</v>
      </c>
      <c r="DK93">
        <v>0</v>
      </c>
      <c r="DL93" t="s">
        <v>489</v>
      </c>
      <c r="DM93">
        <v>0</v>
      </c>
      <c r="DN93" t="s">
        <v>484</v>
      </c>
      <c r="DO93">
        <v>16.93</v>
      </c>
    </row>
    <row r="94" spans="1:119" x14ac:dyDescent="0.2">
      <c r="A94">
        <f>ROW(Source!A111)</f>
        <v>111</v>
      </c>
      <c r="B94">
        <v>60255014</v>
      </c>
      <c r="C94">
        <v>60256155</v>
      </c>
      <c r="D94">
        <v>59038905</v>
      </c>
      <c r="E94">
        <v>1</v>
      </c>
      <c r="F94">
        <v>1</v>
      </c>
      <c r="G94">
        <v>1080</v>
      </c>
      <c r="H94">
        <v>3</v>
      </c>
      <c r="I94" t="s">
        <v>506</v>
      </c>
      <c r="J94" t="s">
        <v>507</v>
      </c>
      <c r="K94" t="s">
        <v>508</v>
      </c>
      <c r="L94">
        <v>1339</v>
      </c>
      <c r="N94">
        <v>1007</v>
      </c>
      <c r="O94" t="s">
        <v>509</v>
      </c>
      <c r="P94" t="s">
        <v>509</v>
      </c>
      <c r="Q94">
        <v>1</v>
      </c>
      <c r="W94">
        <v>0</v>
      </c>
      <c r="X94">
        <v>-744103292</v>
      </c>
      <c r="Y94">
        <f>AT94</f>
        <v>0.22700000000000001</v>
      </c>
      <c r="AA94">
        <v>7.07</v>
      </c>
      <c r="AB94">
        <v>0</v>
      </c>
      <c r="AC94">
        <v>0</v>
      </c>
      <c r="AD94">
        <v>0</v>
      </c>
      <c r="AE94">
        <v>7.07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0.22700000000000001</v>
      </c>
      <c r="AU94" t="s">
        <v>3</v>
      </c>
      <c r="AV94">
        <v>0</v>
      </c>
      <c r="AW94">
        <v>2</v>
      </c>
      <c r="AX94">
        <v>60256171</v>
      </c>
      <c r="AY94">
        <v>1</v>
      </c>
      <c r="AZ94">
        <v>0</v>
      </c>
      <c r="BA94">
        <v>104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ROUND(Y94*Source!I111,9)</f>
        <v>0.32688</v>
      </c>
      <c r="CY94">
        <f>AA94</f>
        <v>7.07</v>
      </c>
      <c r="CZ94">
        <f>AE94</f>
        <v>7.07</v>
      </c>
      <c r="DA94">
        <f>AI94</f>
        <v>1</v>
      </c>
      <c r="DB94">
        <f>ROUND(ROUND(AT94*CZ94,2),6)</f>
        <v>1.6</v>
      </c>
      <c r="DC94">
        <f>ROUND(ROUND(AT94*AG94,2),6)</f>
        <v>0</v>
      </c>
      <c r="DD94" t="s">
        <v>3</v>
      </c>
      <c r="DE94" t="s">
        <v>3</v>
      </c>
      <c r="DF94">
        <f t="shared" si="17"/>
        <v>2.31</v>
      </c>
      <c r="DG94">
        <f t="shared" si="15"/>
        <v>0</v>
      </c>
      <c r="DH94">
        <f t="shared" si="16"/>
        <v>0</v>
      </c>
      <c r="DI94">
        <f t="shared" si="13"/>
        <v>0</v>
      </c>
      <c r="DJ94">
        <f>DF94</f>
        <v>2.31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ROW(Source!A111)</f>
        <v>111</v>
      </c>
      <c r="B95">
        <v>60255014</v>
      </c>
      <c r="C95">
        <v>60256155</v>
      </c>
      <c r="D95">
        <v>59045898</v>
      </c>
      <c r="E95">
        <v>1</v>
      </c>
      <c r="F95">
        <v>1</v>
      </c>
      <c r="G95">
        <v>1080</v>
      </c>
      <c r="H95">
        <v>3</v>
      </c>
      <c r="I95" t="s">
        <v>510</v>
      </c>
      <c r="J95" t="s">
        <v>511</v>
      </c>
      <c r="K95" t="s">
        <v>512</v>
      </c>
      <c r="L95">
        <v>1355</v>
      </c>
      <c r="N95">
        <v>1010</v>
      </c>
      <c r="O95" t="s">
        <v>96</v>
      </c>
      <c r="P95" t="s">
        <v>96</v>
      </c>
      <c r="Q95">
        <v>100</v>
      </c>
      <c r="W95">
        <v>0</v>
      </c>
      <c r="X95">
        <v>2062705997</v>
      </c>
      <c r="Y95">
        <f>AT95</f>
        <v>4.04</v>
      </c>
      <c r="AA95">
        <v>154.72</v>
      </c>
      <c r="AB95">
        <v>0</v>
      </c>
      <c r="AC95">
        <v>0</v>
      </c>
      <c r="AD95">
        <v>0</v>
      </c>
      <c r="AE95">
        <v>154.72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4.04</v>
      </c>
      <c r="AU95" t="s">
        <v>3</v>
      </c>
      <c r="AV95">
        <v>0</v>
      </c>
      <c r="AW95">
        <v>2</v>
      </c>
      <c r="AX95">
        <v>60256172</v>
      </c>
      <c r="AY95">
        <v>1</v>
      </c>
      <c r="AZ95">
        <v>0</v>
      </c>
      <c r="BA95">
        <v>105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ROUND(Y95*Source!I111,9)</f>
        <v>5.8175999999999997</v>
      </c>
      <c r="CY95">
        <f>AA95</f>
        <v>154.72</v>
      </c>
      <c r="CZ95">
        <f>AE95</f>
        <v>154.72</v>
      </c>
      <c r="DA95">
        <f>AI95</f>
        <v>1</v>
      </c>
      <c r="DB95">
        <f>ROUND(ROUND(AT95*CZ95,2),6)</f>
        <v>625.07000000000005</v>
      </c>
      <c r="DC95">
        <f>ROUND(ROUND(AT95*AG95,2),6)</f>
        <v>0</v>
      </c>
      <c r="DD95" t="s">
        <v>3</v>
      </c>
      <c r="DE95" t="s">
        <v>3</v>
      </c>
      <c r="DF95">
        <f t="shared" si="17"/>
        <v>900.1</v>
      </c>
      <c r="DG95">
        <f t="shared" si="15"/>
        <v>0</v>
      </c>
      <c r="DH95">
        <f t="shared" si="16"/>
        <v>0</v>
      </c>
      <c r="DI95">
        <f t="shared" si="13"/>
        <v>0</v>
      </c>
      <c r="DJ95">
        <f>DF95</f>
        <v>900.1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ROW(Source!A111)</f>
        <v>111</v>
      </c>
      <c r="B96">
        <v>60255014</v>
      </c>
      <c r="C96">
        <v>60256155</v>
      </c>
      <c r="D96">
        <v>59056195</v>
      </c>
      <c r="E96">
        <v>1</v>
      </c>
      <c r="F96">
        <v>1</v>
      </c>
      <c r="G96">
        <v>1080</v>
      </c>
      <c r="H96">
        <v>3</v>
      </c>
      <c r="I96" t="s">
        <v>513</v>
      </c>
      <c r="J96" t="s">
        <v>514</v>
      </c>
      <c r="K96" t="s">
        <v>515</v>
      </c>
      <c r="L96">
        <v>1354</v>
      </c>
      <c r="N96">
        <v>1010</v>
      </c>
      <c r="O96" t="s">
        <v>31</v>
      </c>
      <c r="P96" t="s">
        <v>31</v>
      </c>
      <c r="Q96">
        <v>1</v>
      </c>
      <c r="W96">
        <v>0</v>
      </c>
      <c r="X96">
        <v>-572380273</v>
      </c>
      <c r="Y96">
        <f>AT96</f>
        <v>200</v>
      </c>
      <c r="AA96">
        <v>7.24</v>
      </c>
      <c r="AB96">
        <v>0</v>
      </c>
      <c r="AC96">
        <v>0</v>
      </c>
      <c r="AD96">
        <v>0</v>
      </c>
      <c r="AE96">
        <v>7.24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200</v>
      </c>
      <c r="AU96" t="s">
        <v>3</v>
      </c>
      <c r="AV96">
        <v>0</v>
      </c>
      <c r="AW96">
        <v>2</v>
      </c>
      <c r="AX96">
        <v>60256173</v>
      </c>
      <c r="AY96">
        <v>1</v>
      </c>
      <c r="AZ96">
        <v>0</v>
      </c>
      <c r="BA96">
        <v>106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ROUND(Y96*Source!I111,9)</f>
        <v>288</v>
      </c>
      <c r="CY96">
        <f>AA96</f>
        <v>7.24</v>
      </c>
      <c r="CZ96">
        <f>AE96</f>
        <v>7.24</v>
      </c>
      <c r="DA96">
        <f>AI96</f>
        <v>1</v>
      </c>
      <c r="DB96">
        <f>ROUND(ROUND(AT96*CZ96,2),6)</f>
        <v>1448</v>
      </c>
      <c r="DC96">
        <f>ROUND(ROUND(AT96*AG96,2),6)</f>
        <v>0</v>
      </c>
      <c r="DD96" t="s">
        <v>3</v>
      </c>
      <c r="DE96" t="s">
        <v>3</v>
      </c>
      <c r="DF96">
        <f t="shared" si="17"/>
        <v>2085.12</v>
      </c>
      <c r="DG96">
        <f t="shared" si="15"/>
        <v>0</v>
      </c>
      <c r="DH96">
        <f t="shared" si="16"/>
        <v>0</v>
      </c>
      <c r="DI96">
        <f t="shared" si="13"/>
        <v>0</v>
      </c>
      <c r="DJ96">
        <f>DF96</f>
        <v>2085.12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ROW(Source!A111)</f>
        <v>111</v>
      </c>
      <c r="B97">
        <v>60255014</v>
      </c>
      <c r="C97">
        <v>60256155</v>
      </c>
      <c r="D97">
        <v>59049377</v>
      </c>
      <c r="E97">
        <v>1</v>
      </c>
      <c r="F97">
        <v>1</v>
      </c>
      <c r="G97">
        <v>1080</v>
      </c>
      <c r="H97">
        <v>3</v>
      </c>
      <c r="I97" t="s">
        <v>516</v>
      </c>
      <c r="J97" t="s">
        <v>517</v>
      </c>
      <c r="K97" t="s">
        <v>518</v>
      </c>
      <c r="L97">
        <v>1354</v>
      </c>
      <c r="N97">
        <v>1010</v>
      </c>
      <c r="O97" t="s">
        <v>31</v>
      </c>
      <c r="P97" t="s">
        <v>31</v>
      </c>
      <c r="Q97">
        <v>1</v>
      </c>
      <c r="W97">
        <v>0</v>
      </c>
      <c r="X97">
        <v>501598144</v>
      </c>
      <c r="Y97">
        <f>AT97</f>
        <v>0.68400000000000005</v>
      </c>
      <c r="AA97">
        <v>6.12</v>
      </c>
      <c r="AB97">
        <v>0</v>
      </c>
      <c r="AC97">
        <v>0</v>
      </c>
      <c r="AD97">
        <v>0</v>
      </c>
      <c r="AE97">
        <v>6.12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0.68400000000000005</v>
      </c>
      <c r="AU97" t="s">
        <v>3</v>
      </c>
      <c r="AV97">
        <v>0</v>
      </c>
      <c r="AW97">
        <v>2</v>
      </c>
      <c r="AX97">
        <v>60256174</v>
      </c>
      <c r="AY97">
        <v>1</v>
      </c>
      <c r="AZ97">
        <v>0</v>
      </c>
      <c r="BA97">
        <v>107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ROUND(Y97*Source!I111,9)</f>
        <v>0.98495999999999995</v>
      </c>
      <c r="CY97">
        <f>AA97</f>
        <v>6.12</v>
      </c>
      <c r="CZ97">
        <f>AE97</f>
        <v>6.12</v>
      </c>
      <c r="DA97">
        <f>AI97</f>
        <v>1</v>
      </c>
      <c r="DB97">
        <f>ROUND(ROUND(AT97*CZ97,2),6)</f>
        <v>4.1900000000000004</v>
      </c>
      <c r="DC97">
        <f>ROUND(ROUND(AT97*AG97,2),6)</f>
        <v>0</v>
      </c>
      <c r="DD97" t="s">
        <v>3</v>
      </c>
      <c r="DE97" t="s">
        <v>3</v>
      </c>
      <c r="DF97">
        <f t="shared" si="17"/>
        <v>6.03</v>
      </c>
      <c r="DG97">
        <f t="shared" si="15"/>
        <v>0</v>
      </c>
      <c r="DH97">
        <f t="shared" si="16"/>
        <v>0</v>
      </c>
      <c r="DI97">
        <f t="shared" si="13"/>
        <v>0</v>
      </c>
      <c r="DJ97">
        <f>DF97</f>
        <v>6.03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ROW(Source!A111)</f>
        <v>111</v>
      </c>
      <c r="B98">
        <v>60255014</v>
      </c>
      <c r="C98">
        <v>60256155</v>
      </c>
      <c r="D98">
        <v>59004259</v>
      </c>
      <c r="E98">
        <v>1080</v>
      </c>
      <c r="F98">
        <v>1</v>
      </c>
      <c r="G98">
        <v>1080</v>
      </c>
      <c r="H98">
        <v>3</v>
      </c>
      <c r="I98" t="s">
        <v>519</v>
      </c>
      <c r="J98" t="s">
        <v>3</v>
      </c>
      <c r="K98" t="s">
        <v>520</v>
      </c>
      <c r="L98">
        <v>1344</v>
      </c>
      <c r="N98">
        <v>1008</v>
      </c>
      <c r="O98" t="s">
        <v>521</v>
      </c>
      <c r="P98" t="s">
        <v>521</v>
      </c>
      <c r="Q98">
        <v>1</v>
      </c>
      <c r="W98">
        <v>0</v>
      </c>
      <c r="X98">
        <v>-94250534</v>
      </c>
      <c r="Y98">
        <f>AT98</f>
        <v>0.04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0.04</v>
      </c>
      <c r="AU98" t="s">
        <v>3</v>
      </c>
      <c r="AV98">
        <v>0</v>
      </c>
      <c r="AW98">
        <v>2</v>
      </c>
      <c r="AX98">
        <v>60256176</v>
      </c>
      <c r="AY98">
        <v>1</v>
      </c>
      <c r="AZ98">
        <v>0</v>
      </c>
      <c r="BA98">
        <v>109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ROUND(Y98*Source!I111,9)</f>
        <v>5.7599999999999998E-2</v>
      </c>
      <c r="CY98">
        <f>AA98</f>
        <v>1</v>
      </c>
      <c r="CZ98">
        <f>AE98</f>
        <v>1</v>
      </c>
      <c r="DA98">
        <f>AI98</f>
        <v>1</v>
      </c>
      <c r="DB98">
        <f>ROUND(ROUND(AT98*CZ98,2),6)</f>
        <v>0.04</v>
      </c>
      <c r="DC98">
        <f>ROUND(ROUND(AT98*AG98,2),6)</f>
        <v>0</v>
      </c>
      <c r="DD98" t="s">
        <v>3</v>
      </c>
      <c r="DE98" t="s">
        <v>3</v>
      </c>
      <c r="DF98">
        <f t="shared" si="17"/>
        <v>0.06</v>
      </c>
      <c r="DG98">
        <f t="shared" si="15"/>
        <v>0</v>
      </c>
      <c r="DH98">
        <f t="shared" si="16"/>
        <v>0</v>
      </c>
      <c r="DI98">
        <f t="shared" si="13"/>
        <v>0</v>
      </c>
      <c r="DJ98">
        <f>DF98</f>
        <v>0.06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ROW(Source!A112)</f>
        <v>112</v>
      </c>
      <c r="B99">
        <v>60255011</v>
      </c>
      <c r="C99">
        <v>60256155</v>
      </c>
      <c r="D99">
        <v>58999254</v>
      </c>
      <c r="E99">
        <v>1080</v>
      </c>
      <c r="F99">
        <v>1</v>
      </c>
      <c r="G99">
        <v>1080</v>
      </c>
      <c r="H99">
        <v>1</v>
      </c>
      <c r="I99" t="s">
        <v>482</v>
      </c>
      <c r="J99" t="s">
        <v>3</v>
      </c>
      <c r="K99" t="s">
        <v>483</v>
      </c>
      <c r="L99">
        <v>1191</v>
      </c>
      <c r="N99">
        <v>1013</v>
      </c>
      <c r="O99" t="s">
        <v>484</v>
      </c>
      <c r="P99" t="s">
        <v>484</v>
      </c>
      <c r="Q99">
        <v>1</v>
      </c>
      <c r="W99">
        <v>0</v>
      </c>
      <c r="X99">
        <v>476480486</v>
      </c>
      <c r="Y99">
        <f>((AT99*1.15)*1.1)</f>
        <v>94.495500000000007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74.7</v>
      </c>
      <c r="AU99" t="s">
        <v>99</v>
      </c>
      <c r="AV99">
        <v>1</v>
      </c>
      <c r="AW99">
        <v>2</v>
      </c>
      <c r="AX99">
        <v>60256166</v>
      </c>
      <c r="AY99">
        <v>1</v>
      </c>
      <c r="AZ99">
        <v>0</v>
      </c>
      <c r="BA99">
        <v>110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ROUND(AT99*Source!I112*AH99*AL99,2)</f>
        <v>0</v>
      </c>
      <c r="CV99">
        <f>ROUND(Y99*Source!I112,9)</f>
        <v>136.07352</v>
      </c>
      <c r="CW99">
        <v>0</v>
      </c>
      <c r="CX99">
        <f>ROUND(Y99*Source!I112,9)</f>
        <v>136.07352</v>
      </c>
      <c r="CY99">
        <f>AD99</f>
        <v>0</v>
      </c>
      <c r="CZ99">
        <f>AH99</f>
        <v>0</v>
      </c>
      <c r="DA99">
        <f>AL99</f>
        <v>1</v>
      </c>
      <c r="DB99">
        <f>ROUND(((ROUND(AT99*CZ99,2)*1.15)*1.1),6)</f>
        <v>0</v>
      </c>
      <c r="DC99">
        <f>ROUND(((ROUND(AT99*AG99,2)*1.15)*1.1),6)</f>
        <v>0</v>
      </c>
      <c r="DD99" t="s">
        <v>3</v>
      </c>
      <c r="DE99" t="s">
        <v>3</v>
      </c>
      <c r="DF99">
        <f t="shared" si="17"/>
        <v>0</v>
      </c>
      <c r="DG99">
        <f t="shared" si="15"/>
        <v>0</v>
      </c>
      <c r="DH99">
        <f t="shared" si="16"/>
        <v>0</v>
      </c>
      <c r="DI99">
        <f t="shared" si="13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ROW(Source!A112)</f>
        <v>112</v>
      </c>
      <c r="B100">
        <v>60255011</v>
      </c>
      <c r="C100">
        <v>60256155</v>
      </c>
      <c r="D100">
        <v>59070669</v>
      </c>
      <c r="E100">
        <v>1</v>
      </c>
      <c r="F100">
        <v>1</v>
      </c>
      <c r="G100">
        <v>1080</v>
      </c>
      <c r="H100">
        <v>2</v>
      </c>
      <c r="I100" t="s">
        <v>485</v>
      </c>
      <c r="J100" t="s">
        <v>486</v>
      </c>
      <c r="K100" t="s">
        <v>487</v>
      </c>
      <c r="L100">
        <v>1368</v>
      </c>
      <c r="N100">
        <v>1011</v>
      </c>
      <c r="O100" t="s">
        <v>488</v>
      </c>
      <c r="P100" t="s">
        <v>488</v>
      </c>
      <c r="Q100">
        <v>1</v>
      </c>
      <c r="W100">
        <v>0</v>
      </c>
      <c r="X100">
        <v>-1985943078</v>
      </c>
      <c r="Y100">
        <f>((AT100*1.25)*1.1)</f>
        <v>0.44000000000000006</v>
      </c>
      <c r="AA100">
        <v>0</v>
      </c>
      <c r="AB100">
        <v>1445.28</v>
      </c>
      <c r="AC100">
        <v>740.47</v>
      </c>
      <c r="AD100">
        <v>0</v>
      </c>
      <c r="AE100">
        <v>0</v>
      </c>
      <c r="AF100">
        <v>83.1</v>
      </c>
      <c r="AG100">
        <v>12.62</v>
      </c>
      <c r="AH100">
        <v>0</v>
      </c>
      <c r="AI100">
        <v>1</v>
      </c>
      <c r="AJ100">
        <v>16.3</v>
      </c>
      <c r="AK100">
        <v>54.99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0.32</v>
      </c>
      <c r="AU100" t="s">
        <v>496</v>
      </c>
      <c r="AV100">
        <v>0</v>
      </c>
      <c r="AW100">
        <v>2</v>
      </c>
      <c r="AX100">
        <v>60256167</v>
      </c>
      <c r="AY100">
        <v>1</v>
      </c>
      <c r="AZ100">
        <v>0</v>
      </c>
      <c r="BA100">
        <v>111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ROUND(Y100*Source!I112*DO100,9)</f>
        <v>7.9960319999999996</v>
      </c>
      <c r="CX100">
        <f>ROUND(Y100*Source!I112,9)</f>
        <v>0.63360000000000005</v>
      </c>
      <c r="CY100">
        <f>AB100</f>
        <v>1445.28</v>
      </c>
      <c r="CZ100">
        <f>AF100</f>
        <v>83.1</v>
      </c>
      <c r="DA100">
        <f>AJ100</f>
        <v>16.3</v>
      </c>
      <c r="DB100">
        <f>ROUND(((ROUND(AT100*CZ100,2)*1.25)*1.1),6)</f>
        <v>36.561250000000001</v>
      </c>
      <c r="DC100">
        <f>ROUND(((ROUND(AT100*AG100,2)*1.25)*1.1),6)</f>
        <v>5.5549999999999997</v>
      </c>
      <c r="DD100" t="s">
        <v>3</v>
      </c>
      <c r="DE100" t="s">
        <v>3</v>
      </c>
      <c r="DF100">
        <f t="shared" si="17"/>
        <v>0</v>
      </c>
      <c r="DG100">
        <f>ROUND(ROUND(AF100*AJ100,2)*CX100,2)</f>
        <v>858.23</v>
      </c>
      <c r="DH100">
        <f>ROUND(ROUND(AG100*AK100,2)*CX100,2)</f>
        <v>439.7</v>
      </c>
      <c r="DI100">
        <f t="shared" si="13"/>
        <v>0</v>
      </c>
      <c r="DJ100">
        <f>DG100</f>
        <v>858.23</v>
      </c>
      <c r="DK100">
        <v>0</v>
      </c>
      <c r="DL100" t="s">
        <v>489</v>
      </c>
      <c r="DM100">
        <v>0</v>
      </c>
      <c r="DN100" t="s">
        <v>484</v>
      </c>
      <c r="DO100">
        <v>12.62</v>
      </c>
    </row>
    <row r="101" spans="1:119" x14ac:dyDescent="0.2">
      <c r="A101">
        <f>ROW(Source!A112)</f>
        <v>112</v>
      </c>
      <c r="B101">
        <v>60255011</v>
      </c>
      <c r="C101">
        <v>60256155</v>
      </c>
      <c r="D101">
        <v>59070721</v>
      </c>
      <c r="E101">
        <v>1</v>
      </c>
      <c r="F101">
        <v>1</v>
      </c>
      <c r="G101">
        <v>1080</v>
      </c>
      <c r="H101">
        <v>2</v>
      </c>
      <c r="I101" t="s">
        <v>497</v>
      </c>
      <c r="J101" t="s">
        <v>498</v>
      </c>
      <c r="K101" t="s">
        <v>499</v>
      </c>
      <c r="L101">
        <v>1368</v>
      </c>
      <c r="N101">
        <v>1011</v>
      </c>
      <c r="O101" t="s">
        <v>488</v>
      </c>
      <c r="P101" t="s">
        <v>488</v>
      </c>
      <c r="Q101">
        <v>1</v>
      </c>
      <c r="W101">
        <v>0</v>
      </c>
      <c r="X101">
        <v>1387779639</v>
      </c>
      <c r="Y101">
        <f>((AT101*1.25)*1.1)</f>
        <v>1.7050000000000003</v>
      </c>
      <c r="AA101">
        <v>0</v>
      </c>
      <c r="AB101">
        <v>7.11</v>
      </c>
      <c r="AC101">
        <v>0</v>
      </c>
      <c r="AD101">
        <v>0</v>
      </c>
      <c r="AE101">
        <v>0</v>
      </c>
      <c r="AF101">
        <v>0.77</v>
      </c>
      <c r="AG101">
        <v>0</v>
      </c>
      <c r="AH101">
        <v>0</v>
      </c>
      <c r="AI101">
        <v>1</v>
      </c>
      <c r="AJ101">
        <v>8.66</v>
      </c>
      <c r="AK101">
        <v>54.99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1.24</v>
      </c>
      <c r="AU101" t="s">
        <v>496</v>
      </c>
      <c r="AV101">
        <v>0</v>
      </c>
      <c r="AW101">
        <v>2</v>
      </c>
      <c r="AX101">
        <v>60256169</v>
      </c>
      <c r="AY101">
        <v>1</v>
      </c>
      <c r="AZ101">
        <v>0</v>
      </c>
      <c r="BA101">
        <v>112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f>ROUND(Y101*Source!I112*DO101,9)</f>
        <v>0</v>
      </c>
      <c r="CX101">
        <f>ROUND(Y101*Source!I112,9)</f>
        <v>2.4552</v>
      </c>
      <c r="CY101">
        <f>AB101</f>
        <v>7.11</v>
      </c>
      <c r="CZ101">
        <f>AF101</f>
        <v>0.77</v>
      </c>
      <c r="DA101">
        <f>AJ101</f>
        <v>8.66</v>
      </c>
      <c r="DB101">
        <f>ROUND(((ROUND(AT101*CZ101,2)*1.25)*1.1),6)</f>
        <v>1.3062499999999999</v>
      </c>
      <c r="DC101">
        <f>ROUND(((ROUND(AT101*AG101,2)*1.25)*1.1),6)</f>
        <v>0</v>
      </c>
      <c r="DD101" t="s">
        <v>3</v>
      </c>
      <c r="DE101" t="s">
        <v>3</v>
      </c>
      <c r="DF101">
        <f t="shared" si="17"/>
        <v>0</v>
      </c>
      <c r="DG101">
        <f>ROUND(ROUND(AF101*AJ101,2)*CX101,2)</f>
        <v>16.38</v>
      </c>
      <c r="DH101">
        <f>ROUND(ROUND(AG101*AK101,2)*CX101,2)</f>
        <v>0</v>
      </c>
      <c r="DI101">
        <f t="shared" si="13"/>
        <v>0</v>
      </c>
      <c r="DJ101">
        <f>DG101</f>
        <v>16.38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ROW(Source!A112)</f>
        <v>112</v>
      </c>
      <c r="B102">
        <v>60255011</v>
      </c>
      <c r="C102">
        <v>60256155</v>
      </c>
      <c r="D102">
        <v>59070754</v>
      </c>
      <c r="E102">
        <v>1</v>
      </c>
      <c r="F102">
        <v>1</v>
      </c>
      <c r="G102">
        <v>1080</v>
      </c>
      <c r="H102">
        <v>2</v>
      </c>
      <c r="I102" t="s">
        <v>500</v>
      </c>
      <c r="J102" t="s">
        <v>501</v>
      </c>
      <c r="K102" t="s">
        <v>502</v>
      </c>
      <c r="L102">
        <v>1368</v>
      </c>
      <c r="N102">
        <v>1011</v>
      </c>
      <c r="O102" t="s">
        <v>488</v>
      </c>
      <c r="P102" t="s">
        <v>488</v>
      </c>
      <c r="Q102">
        <v>1</v>
      </c>
      <c r="W102">
        <v>0</v>
      </c>
      <c r="X102">
        <v>1645565003</v>
      </c>
      <c r="Y102">
        <f>((AT102*1.25)*1.1)</f>
        <v>4.4275000000000011</v>
      </c>
      <c r="AA102">
        <v>0</v>
      </c>
      <c r="AB102">
        <v>4.38</v>
      </c>
      <c r="AC102">
        <v>0</v>
      </c>
      <c r="AD102">
        <v>0</v>
      </c>
      <c r="AE102">
        <v>0</v>
      </c>
      <c r="AF102">
        <v>0.47</v>
      </c>
      <c r="AG102">
        <v>0</v>
      </c>
      <c r="AH102">
        <v>0</v>
      </c>
      <c r="AI102">
        <v>1</v>
      </c>
      <c r="AJ102">
        <v>8.74</v>
      </c>
      <c r="AK102">
        <v>54.99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3.22</v>
      </c>
      <c r="AU102" t="s">
        <v>496</v>
      </c>
      <c r="AV102">
        <v>0</v>
      </c>
      <c r="AW102">
        <v>2</v>
      </c>
      <c r="AX102">
        <v>60256170</v>
      </c>
      <c r="AY102">
        <v>1</v>
      </c>
      <c r="AZ102">
        <v>0</v>
      </c>
      <c r="BA102">
        <v>113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f>ROUND(Y102*Source!I112*DO102,9)</f>
        <v>0</v>
      </c>
      <c r="CX102">
        <f>ROUND(Y102*Source!I112,9)</f>
        <v>6.3756000000000004</v>
      </c>
      <c r="CY102">
        <f>AB102</f>
        <v>4.38</v>
      </c>
      <c r="CZ102">
        <f>AF102</f>
        <v>0.47</v>
      </c>
      <c r="DA102">
        <f>AJ102</f>
        <v>8.74</v>
      </c>
      <c r="DB102">
        <f>ROUND(((ROUND(AT102*CZ102,2)*1.25)*1.1),6)</f>
        <v>2.0762499999999999</v>
      </c>
      <c r="DC102">
        <f>ROUND(((ROUND(AT102*AG102,2)*1.25)*1.1),6)</f>
        <v>0</v>
      </c>
      <c r="DD102" t="s">
        <v>3</v>
      </c>
      <c r="DE102" t="s">
        <v>3</v>
      </c>
      <c r="DF102">
        <f t="shared" si="17"/>
        <v>0</v>
      </c>
      <c r="DG102">
        <f>ROUND(ROUND(AF102*AJ102,2)*CX102,2)</f>
        <v>26.2</v>
      </c>
      <c r="DH102">
        <f>ROUND(ROUND(AG102*AK102,2)*CX102,2)</f>
        <v>0</v>
      </c>
      <c r="DI102">
        <f t="shared" si="13"/>
        <v>0</v>
      </c>
      <c r="DJ102">
        <f>DG102</f>
        <v>26.2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ROW(Source!A112)</f>
        <v>112</v>
      </c>
      <c r="B103">
        <v>60255011</v>
      </c>
      <c r="C103">
        <v>60256155</v>
      </c>
      <c r="D103">
        <v>59069905</v>
      </c>
      <c r="E103">
        <v>1</v>
      </c>
      <c r="F103">
        <v>1</v>
      </c>
      <c r="G103">
        <v>1080</v>
      </c>
      <c r="H103">
        <v>2</v>
      </c>
      <c r="I103" t="s">
        <v>503</v>
      </c>
      <c r="J103" t="s">
        <v>504</v>
      </c>
      <c r="K103" t="s">
        <v>505</v>
      </c>
      <c r="L103">
        <v>1368</v>
      </c>
      <c r="N103">
        <v>1011</v>
      </c>
      <c r="O103" t="s">
        <v>488</v>
      </c>
      <c r="P103" t="s">
        <v>488</v>
      </c>
      <c r="Q103">
        <v>1</v>
      </c>
      <c r="W103">
        <v>0</v>
      </c>
      <c r="X103">
        <v>1087580389</v>
      </c>
      <c r="Y103">
        <f>((AT103*1.25)*1.1)</f>
        <v>0.50875000000000004</v>
      </c>
      <c r="AA103">
        <v>0</v>
      </c>
      <c r="AB103">
        <v>2628.65</v>
      </c>
      <c r="AC103">
        <v>993.36</v>
      </c>
      <c r="AD103">
        <v>0</v>
      </c>
      <c r="AE103">
        <v>0</v>
      </c>
      <c r="AF103">
        <v>179.17</v>
      </c>
      <c r="AG103">
        <v>16.93</v>
      </c>
      <c r="AH103">
        <v>0</v>
      </c>
      <c r="AI103">
        <v>1</v>
      </c>
      <c r="AJ103">
        <v>13.75</v>
      </c>
      <c r="AK103">
        <v>54.99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0.37</v>
      </c>
      <c r="AU103" t="s">
        <v>496</v>
      </c>
      <c r="AV103">
        <v>0</v>
      </c>
      <c r="AW103">
        <v>2</v>
      </c>
      <c r="AX103">
        <v>60256168</v>
      </c>
      <c r="AY103">
        <v>1</v>
      </c>
      <c r="AZ103">
        <v>0</v>
      </c>
      <c r="BA103">
        <v>114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ROUND(Y103*Source!I112*DO103,9)</f>
        <v>12.402918</v>
      </c>
      <c r="CX103">
        <f>ROUND(Y103*Source!I112,9)</f>
        <v>0.73260000000000003</v>
      </c>
      <c r="CY103">
        <f>AB103</f>
        <v>2628.65</v>
      </c>
      <c r="CZ103">
        <f>AF103</f>
        <v>179.17</v>
      </c>
      <c r="DA103">
        <f>AJ103</f>
        <v>13.75</v>
      </c>
      <c r="DB103">
        <f>ROUND(((ROUND(AT103*CZ103,2)*1.25)*1.1),6)</f>
        <v>91.148750000000007</v>
      </c>
      <c r="DC103">
        <f>ROUND(((ROUND(AT103*AG103,2)*1.25)*1.1),6)</f>
        <v>8.6074999999999999</v>
      </c>
      <c r="DD103" t="s">
        <v>3</v>
      </c>
      <c r="DE103" t="s">
        <v>3</v>
      </c>
      <c r="DF103">
        <f t="shared" si="17"/>
        <v>0</v>
      </c>
      <c r="DG103">
        <f>ROUND(ROUND(AF103*AJ103,2)*CX103,2)</f>
        <v>1804.83</v>
      </c>
      <c r="DH103">
        <f>ROUND(ROUND(AG103*AK103,2)*CX103,2)</f>
        <v>682.04</v>
      </c>
      <c r="DI103">
        <f t="shared" si="13"/>
        <v>0</v>
      </c>
      <c r="DJ103">
        <f>DG103</f>
        <v>1804.83</v>
      </c>
      <c r="DK103">
        <v>0</v>
      </c>
      <c r="DL103" t="s">
        <v>489</v>
      </c>
      <c r="DM103">
        <v>0</v>
      </c>
      <c r="DN103" t="s">
        <v>484</v>
      </c>
      <c r="DO103">
        <v>16.93</v>
      </c>
    </row>
    <row r="104" spans="1:119" x14ac:dyDescent="0.2">
      <c r="A104">
        <f>ROW(Source!A112)</f>
        <v>112</v>
      </c>
      <c r="B104">
        <v>60255011</v>
      </c>
      <c r="C104">
        <v>60256155</v>
      </c>
      <c r="D104">
        <v>59038905</v>
      </c>
      <c r="E104">
        <v>1</v>
      </c>
      <c r="F104">
        <v>1</v>
      </c>
      <c r="G104">
        <v>1080</v>
      </c>
      <c r="H104">
        <v>3</v>
      </c>
      <c r="I104" t="s">
        <v>506</v>
      </c>
      <c r="J104" t="s">
        <v>507</v>
      </c>
      <c r="K104" t="s">
        <v>508</v>
      </c>
      <c r="L104">
        <v>1339</v>
      </c>
      <c r="N104">
        <v>1007</v>
      </c>
      <c r="O104" t="s">
        <v>509</v>
      </c>
      <c r="P104" t="s">
        <v>509</v>
      </c>
      <c r="Q104">
        <v>1</v>
      </c>
      <c r="W104">
        <v>0</v>
      </c>
      <c r="X104">
        <v>-744103292</v>
      </c>
      <c r="Y104">
        <f>AT104</f>
        <v>0.22700000000000001</v>
      </c>
      <c r="AA104">
        <v>54.79</v>
      </c>
      <c r="AB104">
        <v>0</v>
      </c>
      <c r="AC104">
        <v>0</v>
      </c>
      <c r="AD104">
        <v>0</v>
      </c>
      <c r="AE104">
        <v>7.07</v>
      </c>
      <c r="AF104">
        <v>0</v>
      </c>
      <c r="AG104">
        <v>0</v>
      </c>
      <c r="AH104">
        <v>0</v>
      </c>
      <c r="AI104">
        <v>7.75</v>
      </c>
      <c r="AJ104">
        <v>1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0.22700000000000001</v>
      </c>
      <c r="AU104" t="s">
        <v>3</v>
      </c>
      <c r="AV104">
        <v>0</v>
      </c>
      <c r="AW104">
        <v>2</v>
      </c>
      <c r="AX104">
        <v>60256171</v>
      </c>
      <c r="AY104">
        <v>1</v>
      </c>
      <c r="AZ104">
        <v>0</v>
      </c>
      <c r="BA104">
        <v>115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ROUND(Y104*Source!I112,9)</f>
        <v>0.32688</v>
      </c>
      <c r="CY104">
        <f>AA104</f>
        <v>54.79</v>
      </c>
      <c r="CZ104">
        <f>AE104</f>
        <v>7.07</v>
      </c>
      <c r="DA104">
        <f>AI104</f>
        <v>7.75</v>
      </c>
      <c r="DB104">
        <f>ROUND(ROUND(AT104*CZ104,2),6)</f>
        <v>1.6</v>
      </c>
      <c r="DC104">
        <f>ROUND(ROUND(AT104*AG104,2),6)</f>
        <v>0</v>
      </c>
      <c r="DD104" t="s">
        <v>3</v>
      </c>
      <c r="DE104" t="s">
        <v>3</v>
      </c>
      <c r="DF104">
        <f>ROUND(ROUND(AE104*AI104,2)*CX104,2)</f>
        <v>17.91</v>
      </c>
      <c r="DG104">
        <f t="shared" ref="DG104:DG119" si="18">ROUND(ROUND(AF104,2)*CX104,2)</f>
        <v>0</v>
      </c>
      <c r="DH104">
        <f t="shared" ref="DH104:DH119" si="19">ROUND(ROUND(AG104,2)*CX104,2)</f>
        <v>0</v>
      </c>
      <c r="DI104">
        <f t="shared" si="13"/>
        <v>0</v>
      </c>
      <c r="DJ104">
        <f>DF104</f>
        <v>17.91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ROW(Source!A112)</f>
        <v>112</v>
      </c>
      <c r="B105">
        <v>60255011</v>
      </c>
      <c r="C105">
        <v>60256155</v>
      </c>
      <c r="D105">
        <v>59045898</v>
      </c>
      <c r="E105">
        <v>1</v>
      </c>
      <c r="F105">
        <v>1</v>
      </c>
      <c r="G105">
        <v>1080</v>
      </c>
      <c r="H105">
        <v>3</v>
      </c>
      <c r="I105" t="s">
        <v>510</v>
      </c>
      <c r="J105" t="s">
        <v>511</v>
      </c>
      <c r="K105" t="s">
        <v>512</v>
      </c>
      <c r="L105">
        <v>1355</v>
      </c>
      <c r="N105">
        <v>1010</v>
      </c>
      <c r="O105" t="s">
        <v>96</v>
      </c>
      <c r="P105" t="s">
        <v>96</v>
      </c>
      <c r="Q105">
        <v>100</v>
      </c>
      <c r="W105">
        <v>0</v>
      </c>
      <c r="X105">
        <v>2062705997</v>
      </c>
      <c r="Y105">
        <f>AT105</f>
        <v>4.04</v>
      </c>
      <c r="AA105">
        <v>1401.76</v>
      </c>
      <c r="AB105">
        <v>0</v>
      </c>
      <c r="AC105">
        <v>0</v>
      </c>
      <c r="AD105">
        <v>0</v>
      </c>
      <c r="AE105">
        <v>154.72</v>
      </c>
      <c r="AF105">
        <v>0</v>
      </c>
      <c r="AG105">
        <v>0</v>
      </c>
      <c r="AH105">
        <v>0</v>
      </c>
      <c r="AI105">
        <v>9.06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4.04</v>
      </c>
      <c r="AU105" t="s">
        <v>3</v>
      </c>
      <c r="AV105">
        <v>0</v>
      </c>
      <c r="AW105">
        <v>2</v>
      </c>
      <c r="AX105">
        <v>60256172</v>
      </c>
      <c r="AY105">
        <v>1</v>
      </c>
      <c r="AZ105">
        <v>0</v>
      </c>
      <c r="BA105">
        <v>116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ROUND(Y105*Source!I112,9)</f>
        <v>5.8175999999999997</v>
      </c>
      <c r="CY105">
        <f>AA105</f>
        <v>1401.76</v>
      </c>
      <c r="CZ105">
        <f>AE105</f>
        <v>154.72</v>
      </c>
      <c r="DA105">
        <f>AI105</f>
        <v>9.06</v>
      </c>
      <c r="DB105">
        <f>ROUND(ROUND(AT105*CZ105,2),6)</f>
        <v>625.07000000000005</v>
      </c>
      <c r="DC105">
        <f>ROUND(ROUND(AT105*AG105,2),6)</f>
        <v>0</v>
      </c>
      <c r="DD105" t="s">
        <v>3</v>
      </c>
      <c r="DE105" t="s">
        <v>3</v>
      </c>
      <c r="DF105">
        <f>ROUND(ROUND(AE105*AI105,2)*CX105,2)</f>
        <v>8154.88</v>
      </c>
      <c r="DG105">
        <f t="shared" si="18"/>
        <v>0</v>
      </c>
      <c r="DH105">
        <f t="shared" si="19"/>
        <v>0</v>
      </c>
      <c r="DI105">
        <f t="shared" si="13"/>
        <v>0</v>
      </c>
      <c r="DJ105">
        <f>DF105</f>
        <v>8154.88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ROW(Source!A112)</f>
        <v>112</v>
      </c>
      <c r="B106">
        <v>60255011</v>
      </c>
      <c r="C106">
        <v>60256155</v>
      </c>
      <c r="D106">
        <v>59056195</v>
      </c>
      <c r="E106">
        <v>1</v>
      </c>
      <c r="F106">
        <v>1</v>
      </c>
      <c r="G106">
        <v>1080</v>
      </c>
      <c r="H106">
        <v>3</v>
      </c>
      <c r="I106" t="s">
        <v>513</v>
      </c>
      <c r="J106" t="s">
        <v>514</v>
      </c>
      <c r="K106" t="s">
        <v>515</v>
      </c>
      <c r="L106">
        <v>1354</v>
      </c>
      <c r="N106">
        <v>1010</v>
      </c>
      <c r="O106" t="s">
        <v>31</v>
      </c>
      <c r="P106" t="s">
        <v>31</v>
      </c>
      <c r="Q106">
        <v>1</v>
      </c>
      <c r="W106">
        <v>0</v>
      </c>
      <c r="X106">
        <v>-572380273</v>
      </c>
      <c r="Y106">
        <f>AT106</f>
        <v>200</v>
      </c>
      <c r="AA106">
        <v>185.42</v>
      </c>
      <c r="AB106">
        <v>0</v>
      </c>
      <c r="AC106">
        <v>0</v>
      </c>
      <c r="AD106">
        <v>0</v>
      </c>
      <c r="AE106">
        <v>7.24</v>
      </c>
      <c r="AF106">
        <v>0</v>
      </c>
      <c r="AG106">
        <v>0</v>
      </c>
      <c r="AH106">
        <v>0</v>
      </c>
      <c r="AI106">
        <v>25.61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200</v>
      </c>
      <c r="AU106" t="s">
        <v>3</v>
      </c>
      <c r="AV106">
        <v>0</v>
      </c>
      <c r="AW106">
        <v>2</v>
      </c>
      <c r="AX106">
        <v>60256173</v>
      </c>
      <c r="AY106">
        <v>1</v>
      </c>
      <c r="AZ106">
        <v>0</v>
      </c>
      <c r="BA106">
        <v>117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ROUND(Y106*Source!I112,9)</f>
        <v>288</v>
      </c>
      <c r="CY106">
        <f>AA106</f>
        <v>185.42</v>
      </c>
      <c r="CZ106">
        <f>AE106</f>
        <v>7.24</v>
      </c>
      <c r="DA106">
        <f>AI106</f>
        <v>25.61</v>
      </c>
      <c r="DB106">
        <f>ROUND(ROUND(AT106*CZ106,2),6)</f>
        <v>1448</v>
      </c>
      <c r="DC106">
        <f>ROUND(ROUND(AT106*AG106,2),6)</f>
        <v>0</v>
      </c>
      <c r="DD106" t="s">
        <v>3</v>
      </c>
      <c r="DE106" t="s">
        <v>3</v>
      </c>
      <c r="DF106">
        <f>ROUND(ROUND(AE106*AI106,2)*CX106,2)</f>
        <v>53400.959999999999</v>
      </c>
      <c r="DG106">
        <f t="shared" si="18"/>
        <v>0</v>
      </c>
      <c r="DH106">
        <f t="shared" si="19"/>
        <v>0</v>
      </c>
      <c r="DI106">
        <f t="shared" si="13"/>
        <v>0</v>
      </c>
      <c r="DJ106">
        <f>DF106</f>
        <v>53400.959999999999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ROW(Source!A112)</f>
        <v>112</v>
      </c>
      <c r="B107">
        <v>60255011</v>
      </c>
      <c r="C107">
        <v>60256155</v>
      </c>
      <c r="D107">
        <v>59049377</v>
      </c>
      <c r="E107">
        <v>1</v>
      </c>
      <c r="F107">
        <v>1</v>
      </c>
      <c r="G107">
        <v>1080</v>
      </c>
      <c r="H107">
        <v>3</v>
      </c>
      <c r="I107" t="s">
        <v>516</v>
      </c>
      <c r="J107" t="s">
        <v>517</v>
      </c>
      <c r="K107" t="s">
        <v>518</v>
      </c>
      <c r="L107">
        <v>1354</v>
      </c>
      <c r="N107">
        <v>1010</v>
      </c>
      <c r="O107" t="s">
        <v>31</v>
      </c>
      <c r="P107" t="s">
        <v>31</v>
      </c>
      <c r="Q107">
        <v>1</v>
      </c>
      <c r="W107">
        <v>0</v>
      </c>
      <c r="X107">
        <v>501598144</v>
      </c>
      <c r="Y107">
        <f>AT107</f>
        <v>0.68400000000000005</v>
      </c>
      <c r="AA107">
        <v>63.83</v>
      </c>
      <c r="AB107">
        <v>0</v>
      </c>
      <c r="AC107">
        <v>0</v>
      </c>
      <c r="AD107">
        <v>0</v>
      </c>
      <c r="AE107">
        <v>6.12</v>
      </c>
      <c r="AF107">
        <v>0</v>
      </c>
      <c r="AG107">
        <v>0</v>
      </c>
      <c r="AH107">
        <v>0</v>
      </c>
      <c r="AI107">
        <v>10.43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0.68400000000000005</v>
      </c>
      <c r="AU107" t="s">
        <v>3</v>
      </c>
      <c r="AV107">
        <v>0</v>
      </c>
      <c r="AW107">
        <v>2</v>
      </c>
      <c r="AX107">
        <v>60256174</v>
      </c>
      <c r="AY107">
        <v>1</v>
      </c>
      <c r="AZ107">
        <v>0</v>
      </c>
      <c r="BA107">
        <v>118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ROUND(Y107*Source!I112,9)</f>
        <v>0.98495999999999995</v>
      </c>
      <c r="CY107">
        <f>AA107</f>
        <v>63.83</v>
      </c>
      <c r="CZ107">
        <f>AE107</f>
        <v>6.12</v>
      </c>
      <c r="DA107">
        <f>AI107</f>
        <v>10.43</v>
      </c>
      <c r="DB107">
        <f>ROUND(ROUND(AT107*CZ107,2),6)</f>
        <v>4.1900000000000004</v>
      </c>
      <c r="DC107">
        <f>ROUND(ROUND(AT107*AG107,2),6)</f>
        <v>0</v>
      </c>
      <c r="DD107" t="s">
        <v>3</v>
      </c>
      <c r="DE107" t="s">
        <v>3</v>
      </c>
      <c r="DF107">
        <f>ROUND(ROUND(AE107*AI107,2)*CX107,2)</f>
        <v>62.87</v>
      </c>
      <c r="DG107">
        <f t="shared" si="18"/>
        <v>0</v>
      </c>
      <c r="DH107">
        <f t="shared" si="19"/>
        <v>0</v>
      </c>
      <c r="DI107">
        <f t="shared" si="13"/>
        <v>0</v>
      </c>
      <c r="DJ107">
        <f>DF107</f>
        <v>62.87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ROW(Source!A112)</f>
        <v>112</v>
      </c>
      <c r="B108">
        <v>60255011</v>
      </c>
      <c r="C108">
        <v>60256155</v>
      </c>
      <c r="D108">
        <v>59004259</v>
      </c>
      <c r="E108">
        <v>1080</v>
      </c>
      <c r="F108">
        <v>1</v>
      </c>
      <c r="G108">
        <v>1080</v>
      </c>
      <c r="H108">
        <v>3</v>
      </c>
      <c r="I108" t="s">
        <v>519</v>
      </c>
      <c r="J108" t="s">
        <v>3</v>
      </c>
      <c r="K108" t="s">
        <v>520</v>
      </c>
      <c r="L108">
        <v>1344</v>
      </c>
      <c r="N108">
        <v>1008</v>
      </c>
      <c r="O108" t="s">
        <v>521</v>
      </c>
      <c r="P108" t="s">
        <v>521</v>
      </c>
      <c r="Q108">
        <v>1</v>
      </c>
      <c r="W108">
        <v>0</v>
      </c>
      <c r="X108">
        <v>-94250534</v>
      </c>
      <c r="Y108">
        <f>AT108</f>
        <v>0.04</v>
      </c>
      <c r="AA108">
        <v>9.8800000000000008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9.8800000000000008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0.04</v>
      </c>
      <c r="AU108" t="s">
        <v>3</v>
      </c>
      <c r="AV108">
        <v>0</v>
      </c>
      <c r="AW108">
        <v>2</v>
      </c>
      <c r="AX108">
        <v>60256176</v>
      </c>
      <c r="AY108">
        <v>1</v>
      </c>
      <c r="AZ108">
        <v>0</v>
      </c>
      <c r="BA108">
        <v>120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ROUND(Y108*Source!I112,9)</f>
        <v>5.7599999999999998E-2</v>
      </c>
      <c r="CY108">
        <f>AA108</f>
        <v>9.8800000000000008</v>
      </c>
      <c r="CZ108">
        <f>AE108</f>
        <v>1</v>
      </c>
      <c r="DA108">
        <f>AI108</f>
        <v>9.8800000000000008</v>
      </c>
      <c r="DB108">
        <f>ROUND(ROUND(AT108*CZ108,2),6)</f>
        <v>0.04</v>
      </c>
      <c r="DC108">
        <f>ROUND(ROUND(AT108*AG108,2),6)</f>
        <v>0</v>
      </c>
      <c r="DD108" t="s">
        <v>3</v>
      </c>
      <c r="DE108" t="s">
        <v>3</v>
      </c>
      <c r="DF108">
        <f>ROUND(ROUND(AE108*AI108,2)*CX108,2)</f>
        <v>0.56999999999999995</v>
      </c>
      <c r="DG108">
        <f t="shared" si="18"/>
        <v>0</v>
      </c>
      <c r="DH108">
        <f t="shared" si="19"/>
        <v>0</v>
      </c>
      <c r="DI108">
        <f t="shared" si="13"/>
        <v>0</v>
      </c>
      <c r="DJ108">
        <f>DF108</f>
        <v>0.56999999999999995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ROW(Source!A121)</f>
        <v>121</v>
      </c>
      <c r="B109">
        <v>60255014</v>
      </c>
      <c r="C109">
        <v>60256177</v>
      </c>
      <c r="D109">
        <v>58999254</v>
      </c>
      <c r="E109">
        <v>1080</v>
      </c>
      <c r="F109">
        <v>1</v>
      </c>
      <c r="G109">
        <v>1080</v>
      </c>
      <c r="H109">
        <v>1</v>
      </c>
      <c r="I109" t="s">
        <v>482</v>
      </c>
      <c r="J109" t="s">
        <v>3</v>
      </c>
      <c r="K109" t="s">
        <v>483</v>
      </c>
      <c r="L109">
        <v>1191</v>
      </c>
      <c r="N109">
        <v>1013</v>
      </c>
      <c r="O109" t="s">
        <v>484</v>
      </c>
      <c r="P109" t="s">
        <v>484</v>
      </c>
      <c r="Q109">
        <v>1</v>
      </c>
      <c r="W109">
        <v>0</v>
      </c>
      <c r="X109">
        <v>476480486</v>
      </c>
      <c r="Y109">
        <f>((AT109*1.1)*1.15)</f>
        <v>123.40075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97.55</v>
      </c>
      <c r="AU109" t="s">
        <v>199</v>
      </c>
      <c r="AV109">
        <v>1</v>
      </c>
      <c r="AW109">
        <v>2</v>
      </c>
      <c r="AX109">
        <v>60256178</v>
      </c>
      <c r="AY109">
        <v>1</v>
      </c>
      <c r="AZ109">
        <v>0</v>
      </c>
      <c r="BA109">
        <v>121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ROUND(AT109*Source!I121*AH109*AL109,2)</f>
        <v>0</v>
      </c>
      <c r="CV109">
        <f>ROUND(Y109*Source!I121,9)</f>
        <v>86.380525000000006</v>
      </c>
      <c r="CW109">
        <v>0</v>
      </c>
      <c r="CX109">
        <f>ROUND(Y109*Source!I121,9)</f>
        <v>86.380525000000006</v>
      </c>
      <c r="CY109">
        <f>AD109</f>
        <v>0</v>
      </c>
      <c r="CZ109">
        <f>AH109</f>
        <v>0</v>
      </c>
      <c r="DA109">
        <f>AL109</f>
        <v>1</v>
      </c>
      <c r="DB109">
        <f>ROUND(((ROUND(AT109*CZ109,2)*1.1)*1.15),6)</f>
        <v>0</v>
      </c>
      <c r="DC109">
        <f>ROUND(((ROUND(AT109*AG109,2)*1.1)*1.15),6)</f>
        <v>0</v>
      </c>
      <c r="DD109" t="s">
        <v>3</v>
      </c>
      <c r="DE109" t="s">
        <v>3</v>
      </c>
      <c r="DF109">
        <f t="shared" ref="DF109:DF123" si="20">ROUND(ROUND(AE109,2)*CX109,2)</f>
        <v>0</v>
      </c>
      <c r="DG109">
        <f t="shared" si="18"/>
        <v>0</v>
      </c>
      <c r="DH109">
        <f t="shared" si="19"/>
        <v>0</v>
      </c>
      <c r="DI109">
        <f t="shared" si="13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ROW(Source!A121)</f>
        <v>121</v>
      </c>
      <c r="B110">
        <v>60255014</v>
      </c>
      <c r="C110">
        <v>60256177</v>
      </c>
      <c r="D110">
        <v>59070669</v>
      </c>
      <c r="E110">
        <v>1</v>
      </c>
      <c r="F110">
        <v>1</v>
      </c>
      <c r="G110">
        <v>1080</v>
      </c>
      <c r="H110">
        <v>2</v>
      </c>
      <c r="I110" t="s">
        <v>485</v>
      </c>
      <c r="J110" t="s">
        <v>486</v>
      </c>
      <c r="K110" t="s">
        <v>487</v>
      </c>
      <c r="L110">
        <v>1368</v>
      </c>
      <c r="N110">
        <v>1011</v>
      </c>
      <c r="O110" t="s">
        <v>488</v>
      </c>
      <c r="P110" t="s">
        <v>488</v>
      </c>
      <c r="Q110">
        <v>1</v>
      </c>
      <c r="W110">
        <v>0</v>
      </c>
      <c r="X110">
        <v>-1985943078</v>
      </c>
      <c r="Y110">
        <f>((AT110*1.1)*1.25)</f>
        <v>0.77000000000000013</v>
      </c>
      <c r="AA110">
        <v>0</v>
      </c>
      <c r="AB110">
        <v>88.67</v>
      </c>
      <c r="AC110">
        <v>13.47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0.56000000000000005</v>
      </c>
      <c r="AU110" t="s">
        <v>198</v>
      </c>
      <c r="AV110">
        <v>0</v>
      </c>
      <c r="AW110">
        <v>2</v>
      </c>
      <c r="AX110">
        <v>60256179</v>
      </c>
      <c r="AY110">
        <v>1</v>
      </c>
      <c r="AZ110">
        <v>0</v>
      </c>
      <c r="BA110">
        <v>122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ROUND(Y110*Source!I121*DO110,9)</f>
        <v>6.8021799999999999</v>
      </c>
      <c r="CX110">
        <f>ROUND(Y110*Source!I121,9)</f>
        <v>0.53900000000000003</v>
      </c>
      <c r="CY110">
        <f>AB110</f>
        <v>88.67</v>
      </c>
      <c r="CZ110">
        <f>AF110</f>
        <v>83.1</v>
      </c>
      <c r="DA110">
        <f>AJ110</f>
        <v>1</v>
      </c>
      <c r="DB110">
        <f>ROUND(((ROUND(AT110*CZ110,2)*1.1)*1.25),6)</f>
        <v>63.9925</v>
      </c>
      <c r="DC110">
        <f>ROUND(((ROUND(AT110*AG110,2)*1.1)*1.25),6)</f>
        <v>9.7212499999999995</v>
      </c>
      <c r="DD110" t="s">
        <v>3</v>
      </c>
      <c r="DE110" t="s">
        <v>3</v>
      </c>
      <c r="DF110">
        <f t="shared" si="20"/>
        <v>0</v>
      </c>
      <c r="DG110">
        <f t="shared" si="18"/>
        <v>44.79</v>
      </c>
      <c r="DH110">
        <f t="shared" si="19"/>
        <v>6.8</v>
      </c>
      <c r="DI110">
        <f t="shared" si="13"/>
        <v>0</v>
      </c>
      <c r="DJ110">
        <f>DG110</f>
        <v>44.79</v>
      </c>
      <c r="DK110">
        <v>0</v>
      </c>
      <c r="DL110" t="s">
        <v>489</v>
      </c>
      <c r="DM110">
        <v>0</v>
      </c>
      <c r="DN110" t="s">
        <v>484</v>
      </c>
      <c r="DO110">
        <v>12.62</v>
      </c>
    </row>
    <row r="111" spans="1:119" x14ac:dyDescent="0.2">
      <c r="A111">
        <f>ROW(Source!A121)</f>
        <v>121</v>
      </c>
      <c r="B111">
        <v>60255014</v>
      </c>
      <c r="C111">
        <v>60256177</v>
      </c>
      <c r="D111">
        <v>59070721</v>
      </c>
      <c r="E111">
        <v>1</v>
      </c>
      <c r="F111">
        <v>1</v>
      </c>
      <c r="G111">
        <v>1080</v>
      </c>
      <c r="H111">
        <v>2</v>
      </c>
      <c r="I111" t="s">
        <v>497</v>
      </c>
      <c r="J111" t="s">
        <v>498</v>
      </c>
      <c r="K111" t="s">
        <v>499</v>
      </c>
      <c r="L111">
        <v>1368</v>
      </c>
      <c r="N111">
        <v>1011</v>
      </c>
      <c r="O111" t="s">
        <v>488</v>
      </c>
      <c r="P111" t="s">
        <v>488</v>
      </c>
      <c r="Q111">
        <v>1</v>
      </c>
      <c r="W111">
        <v>0</v>
      </c>
      <c r="X111">
        <v>1387779639</v>
      </c>
      <c r="Y111">
        <f>((AT111*1.1)*1.25)</f>
        <v>2.5575000000000001</v>
      </c>
      <c r="AA111">
        <v>0</v>
      </c>
      <c r="AB111">
        <v>0.82</v>
      </c>
      <c r="AC111">
        <v>0</v>
      </c>
      <c r="AD111">
        <v>0</v>
      </c>
      <c r="AE111">
        <v>0</v>
      </c>
      <c r="AF111">
        <v>0.77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1.86</v>
      </c>
      <c r="AU111" t="s">
        <v>198</v>
      </c>
      <c r="AV111">
        <v>0</v>
      </c>
      <c r="AW111">
        <v>2</v>
      </c>
      <c r="AX111">
        <v>60256181</v>
      </c>
      <c r="AY111">
        <v>1</v>
      </c>
      <c r="AZ111">
        <v>0</v>
      </c>
      <c r="BA111">
        <v>123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ROUND(Y111*Source!I121*DO111,9)</f>
        <v>0</v>
      </c>
      <c r="CX111">
        <f>ROUND(Y111*Source!I121,9)</f>
        <v>1.7902499999999999</v>
      </c>
      <c r="CY111">
        <f>AB111</f>
        <v>0.82</v>
      </c>
      <c r="CZ111">
        <f>AF111</f>
        <v>0.77</v>
      </c>
      <c r="DA111">
        <f>AJ111</f>
        <v>1</v>
      </c>
      <c r="DB111">
        <f>ROUND(((ROUND(AT111*CZ111,2)*1.1)*1.25),6)</f>
        <v>1.9662500000000001</v>
      </c>
      <c r="DC111">
        <f>ROUND(((ROUND(AT111*AG111,2)*1.1)*1.25),6)</f>
        <v>0</v>
      </c>
      <c r="DD111" t="s">
        <v>3</v>
      </c>
      <c r="DE111" t="s">
        <v>3</v>
      </c>
      <c r="DF111">
        <f t="shared" si="20"/>
        <v>0</v>
      </c>
      <c r="DG111">
        <f t="shared" si="18"/>
        <v>1.38</v>
      </c>
      <c r="DH111">
        <f t="shared" si="19"/>
        <v>0</v>
      </c>
      <c r="DI111">
        <f t="shared" si="13"/>
        <v>0</v>
      </c>
      <c r="DJ111">
        <f>DG111</f>
        <v>1.38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ROW(Source!A121)</f>
        <v>121</v>
      </c>
      <c r="B112">
        <v>60255014</v>
      </c>
      <c r="C112">
        <v>60256177</v>
      </c>
      <c r="D112">
        <v>59070754</v>
      </c>
      <c r="E112">
        <v>1</v>
      </c>
      <c r="F112">
        <v>1</v>
      </c>
      <c r="G112">
        <v>1080</v>
      </c>
      <c r="H112">
        <v>2</v>
      </c>
      <c r="I112" t="s">
        <v>500</v>
      </c>
      <c r="J112" t="s">
        <v>501</v>
      </c>
      <c r="K112" t="s">
        <v>502</v>
      </c>
      <c r="L112">
        <v>1368</v>
      </c>
      <c r="N112">
        <v>1011</v>
      </c>
      <c r="O112" t="s">
        <v>488</v>
      </c>
      <c r="P112" t="s">
        <v>488</v>
      </c>
      <c r="Q112">
        <v>1</v>
      </c>
      <c r="W112">
        <v>0</v>
      </c>
      <c r="X112">
        <v>1645565003</v>
      </c>
      <c r="Y112">
        <f>((AT112*1.1)*1.25)</f>
        <v>6.6412500000000012</v>
      </c>
      <c r="AA112">
        <v>0</v>
      </c>
      <c r="AB112">
        <v>0.5</v>
      </c>
      <c r="AC112">
        <v>0</v>
      </c>
      <c r="AD112">
        <v>0</v>
      </c>
      <c r="AE112">
        <v>0</v>
      </c>
      <c r="AF112">
        <v>0.47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4.83</v>
      </c>
      <c r="AU112" t="s">
        <v>198</v>
      </c>
      <c r="AV112">
        <v>0</v>
      </c>
      <c r="AW112">
        <v>2</v>
      </c>
      <c r="AX112">
        <v>60256182</v>
      </c>
      <c r="AY112">
        <v>1</v>
      </c>
      <c r="AZ112">
        <v>0</v>
      </c>
      <c r="BA112">
        <v>124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ROUND(Y112*Source!I121*DO112,9)</f>
        <v>0</v>
      </c>
      <c r="CX112">
        <f>ROUND(Y112*Source!I121,9)</f>
        <v>4.6488750000000003</v>
      </c>
      <c r="CY112">
        <f>AB112</f>
        <v>0.5</v>
      </c>
      <c r="CZ112">
        <f>AF112</f>
        <v>0.47</v>
      </c>
      <c r="DA112">
        <f>AJ112</f>
        <v>1</v>
      </c>
      <c r="DB112">
        <f>ROUND(((ROUND(AT112*CZ112,2)*1.1)*1.25),6)</f>
        <v>3.1212499999999999</v>
      </c>
      <c r="DC112">
        <f>ROUND(((ROUND(AT112*AG112,2)*1.1)*1.25),6)</f>
        <v>0</v>
      </c>
      <c r="DD112" t="s">
        <v>3</v>
      </c>
      <c r="DE112" t="s">
        <v>3</v>
      </c>
      <c r="DF112">
        <f t="shared" si="20"/>
        <v>0</v>
      </c>
      <c r="DG112">
        <f t="shared" si="18"/>
        <v>2.1800000000000002</v>
      </c>
      <c r="DH112">
        <f t="shared" si="19"/>
        <v>0</v>
      </c>
      <c r="DI112">
        <f t="shared" si="13"/>
        <v>0</v>
      </c>
      <c r="DJ112">
        <f>DG112</f>
        <v>2.1800000000000002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ROW(Source!A121)</f>
        <v>121</v>
      </c>
      <c r="B113">
        <v>60255014</v>
      </c>
      <c r="C113">
        <v>60256177</v>
      </c>
      <c r="D113">
        <v>59069905</v>
      </c>
      <c r="E113">
        <v>1</v>
      </c>
      <c r="F113">
        <v>1</v>
      </c>
      <c r="G113">
        <v>1080</v>
      </c>
      <c r="H113">
        <v>2</v>
      </c>
      <c r="I113" t="s">
        <v>503</v>
      </c>
      <c r="J113" t="s">
        <v>504</v>
      </c>
      <c r="K113" t="s">
        <v>505</v>
      </c>
      <c r="L113">
        <v>1368</v>
      </c>
      <c r="N113">
        <v>1011</v>
      </c>
      <c r="O113" t="s">
        <v>488</v>
      </c>
      <c r="P113" t="s">
        <v>488</v>
      </c>
      <c r="Q113">
        <v>1</v>
      </c>
      <c r="W113">
        <v>0</v>
      </c>
      <c r="X113">
        <v>1087580389</v>
      </c>
      <c r="Y113">
        <f>((AT113*1.1)*1.25)</f>
        <v>0.89375000000000004</v>
      </c>
      <c r="AA113">
        <v>0</v>
      </c>
      <c r="AB113">
        <v>191.17</v>
      </c>
      <c r="AC113">
        <v>18.059999999999999</v>
      </c>
      <c r="AD113">
        <v>0</v>
      </c>
      <c r="AE113">
        <v>0</v>
      </c>
      <c r="AF113">
        <v>179.17</v>
      </c>
      <c r="AG113">
        <v>16.93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0.65</v>
      </c>
      <c r="AU113" t="s">
        <v>198</v>
      </c>
      <c r="AV113">
        <v>0</v>
      </c>
      <c r="AW113">
        <v>2</v>
      </c>
      <c r="AX113">
        <v>60256180</v>
      </c>
      <c r="AY113">
        <v>1</v>
      </c>
      <c r="AZ113">
        <v>0</v>
      </c>
      <c r="BA113">
        <v>125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ROUND(Y113*Source!I121*DO113,9)</f>
        <v>10.59183125</v>
      </c>
      <c r="CX113">
        <f>ROUND(Y113*Source!I121,9)</f>
        <v>0.62562499999999999</v>
      </c>
      <c r="CY113">
        <f>AB113</f>
        <v>191.17</v>
      </c>
      <c r="CZ113">
        <f>AF113</f>
        <v>179.17</v>
      </c>
      <c r="DA113">
        <f>AJ113</f>
        <v>1</v>
      </c>
      <c r="DB113">
        <f>ROUND(((ROUND(AT113*CZ113,2)*1.1)*1.25),6)</f>
        <v>160.13249999999999</v>
      </c>
      <c r="DC113">
        <f>ROUND(((ROUND(AT113*AG113,2)*1.1)*1.25),6)</f>
        <v>15.125</v>
      </c>
      <c r="DD113" t="s">
        <v>3</v>
      </c>
      <c r="DE113" t="s">
        <v>3</v>
      </c>
      <c r="DF113">
        <f t="shared" si="20"/>
        <v>0</v>
      </c>
      <c r="DG113">
        <f t="shared" si="18"/>
        <v>112.09</v>
      </c>
      <c r="DH113">
        <f t="shared" si="19"/>
        <v>10.59</v>
      </c>
      <c r="DI113">
        <f t="shared" si="13"/>
        <v>0</v>
      </c>
      <c r="DJ113">
        <f>DG113</f>
        <v>112.09</v>
      </c>
      <c r="DK113">
        <v>0</v>
      </c>
      <c r="DL113" t="s">
        <v>489</v>
      </c>
      <c r="DM113">
        <v>0</v>
      </c>
      <c r="DN113" t="s">
        <v>484</v>
      </c>
      <c r="DO113">
        <v>16.93</v>
      </c>
    </row>
    <row r="114" spans="1:119" x14ac:dyDescent="0.2">
      <c r="A114">
        <f>ROW(Source!A121)</f>
        <v>121</v>
      </c>
      <c r="B114">
        <v>60255014</v>
      </c>
      <c r="C114">
        <v>60256177</v>
      </c>
      <c r="D114">
        <v>59038905</v>
      </c>
      <c r="E114">
        <v>1</v>
      </c>
      <c r="F114">
        <v>1</v>
      </c>
      <c r="G114">
        <v>1080</v>
      </c>
      <c r="H114">
        <v>3</v>
      </c>
      <c r="I114" t="s">
        <v>506</v>
      </c>
      <c r="J114" t="s">
        <v>507</v>
      </c>
      <c r="K114" t="s">
        <v>508</v>
      </c>
      <c r="L114">
        <v>1339</v>
      </c>
      <c r="N114">
        <v>1007</v>
      </c>
      <c r="O114" t="s">
        <v>509</v>
      </c>
      <c r="P114" t="s">
        <v>509</v>
      </c>
      <c r="Q114">
        <v>1</v>
      </c>
      <c r="W114">
        <v>0</v>
      </c>
      <c r="X114">
        <v>-744103292</v>
      </c>
      <c r="Y114">
        <f>AT114</f>
        <v>0.44800000000000001</v>
      </c>
      <c r="AA114">
        <v>7.07</v>
      </c>
      <c r="AB114">
        <v>0</v>
      </c>
      <c r="AC114">
        <v>0</v>
      </c>
      <c r="AD114">
        <v>0</v>
      </c>
      <c r="AE114">
        <v>7.07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0.44800000000000001</v>
      </c>
      <c r="AU114" t="s">
        <v>3</v>
      </c>
      <c r="AV114">
        <v>0</v>
      </c>
      <c r="AW114">
        <v>2</v>
      </c>
      <c r="AX114">
        <v>60256183</v>
      </c>
      <c r="AY114">
        <v>1</v>
      </c>
      <c r="AZ114">
        <v>0</v>
      </c>
      <c r="BA114">
        <v>126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ROUND(Y114*Source!I121,9)</f>
        <v>0.31359999999999999</v>
      </c>
      <c r="CY114">
        <f>AA114</f>
        <v>7.07</v>
      </c>
      <c r="CZ114">
        <f>AE114</f>
        <v>7.07</v>
      </c>
      <c r="DA114">
        <f>AI114</f>
        <v>1</v>
      </c>
      <c r="DB114">
        <f>ROUND(ROUND(AT114*CZ114,2),6)</f>
        <v>3.17</v>
      </c>
      <c r="DC114">
        <f>ROUND(ROUND(AT114*AG114,2),6)</f>
        <v>0</v>
      </c>
      <c r="DD114" t="s">
        <v>3</v>
      </c>
      <c r="DE114" t="s">
        <v>3</v>
      </c>
      <c r="DF114">
        <f t="shared" si="20"/>
        <v>2.2200000000000002</v>
      </c>
      <c r="DG114">
        <f t="shared" si="18"/>
        <v>0</v>
      </c>
      <c r="DH114">
        <f t="shared" si="19"/>
        <v>0</v>
      </c>
      <c r="DI114">
        <f t="shared" si="13"/>
        <v>0</v>
      </c>
      <c r="DJ114">
        <f>DF114</f>
        <v>2.2200000000000002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ROW(Source!A121)</f>
        <v>121</v>
      </c>
      <c r="B115">
        <v>60255014</v>
      </c>
      <c r="C115">
        <v>60256177</v>
      </c>
      <c r="D115">
        <v>59045898</v>
      </c>
      <c r="E115">
        <v>1</v>
      </c>
      <c r="F115">
        <v>1</v>
      </c>
      <c r="G115">
        <v>1080</v>
      </c>
      <c r="H115">
        <v>3</v>
      </c>
      <c r="I115" t="s">
        <v>510</v>
      </c>
      <c r="J115" t="s">
        <v>511</v>
      </c>
      <c r="K115" t="s">
        <v>512</v>
      </c>
      <c r="L115">
        <v>1355</v>
      </c>
      <c r="N115">
        <v>1010</v>
      </c>
      <c r="O115" t="s">
        <v>96</v>
      </c>
      <c r="P115" t="s">
        <v>96</v>
      </c>
      <c r="Q115">
        <v>100</v>
      </c>
      <c r="W115">
        <v>0</v>
      </c>
      <c r="X115">
        <v>2062705997</v>
      </c>
      <c r="Y115">
        <f>AT115</f>
        <v>6.06</v>
      </c>
      <c r="AA115">
        <v>154.72</v>
      </c>
      <c r="AB115">
        <v>0</v>
      </c>
      <c r="AC115">
        <v>0</v>
      </c>
      <c r="AD115">
        <v>0</v>
      </c>
      <c r="AE115">
        <v>154.72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6.06</v>
      </c>
      <c r="AU115" t="s">
        <v>3</v>
      </c>
      <c r="AV115">
        <v>0</v>
      </c>
      <c r="AW115">
        <v>2</v>
      </c>
      <c r="AX115">
        <v>60256184</v>
      </c>
      <c r="AY115">
        <v>1</v>
      </c>
      <c r="AZ115">
        <v>0</v>
      </c>
      <c r="BA115">
        <v>127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ROUND(Y115*Source!I121,9)</f>
        <v>4.242</v>
      </c>
      <c r="CY115">
        <f>AA115</f>
        <v>154.72</v>
      </c>
      <c r="CZ115">
        <f>AE115</f>
        <v>154.72</v>
      </c>
      <c r="DA115">
        <f>AI115</f>
        <v>1</v>
      </c>
      <c r="DB115">
        <f>ROUND(ROUND(AT115*CZ115,2),6)</f>
        <v>937.6</v>
      </c>
      <c r="DC115">
        <f>ROUND(ROUND(AT115*AG115,2),6)</f>
        <v>0</v>
      </c>
      <c r="DD115" t="s">
        <v>3</v>
      </c>
      <c r="DE115" t="s">
        <v>3</v>
      </c>
      <c r="DF115">
        <f t="shared" si="20"/>
        <v>656.32</v>
      </c>
      <c r="DG115">
        <f t="shared" si="18"/>
        <v>0</v>
      </c>
      <c r="DH115">
        <f t="shared" si="19"/>
        <v>0</v>
      </c>
      <c r="DI115">
        <f t="shared" si="13"/>
        <v>0</v>
      </c>
      <c r="DJ115">
        <f>DF115</f>
        <v>656.32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ROW(Source!A121)</f>
        <v>121</v>
      </c>
      <c r="B116">
        <v>60255014</v>
      </c>
      <c r="C116">
        <v>60256177</v>
      </c>
      <c r="D116">
        <v>59056195</v>
      </c>
      <c r="E116">
        <v>1</v>
      </c>
      <c r="F116">
        <v>1</v>
      </c>
      <c r="G116">
        <v>1080</v>
      </c>
      <c r="H116">
        <v>3</v>
      </c>
      <c r="I116" t="s">
        <v>513</v>
      </c>
      <c r="J116" t="s">
        <v>514</v>
      </c>
      <c r="K116" t="s">
        <v>515</v>
      </c>
      <c r="L116">
        <v>1354</v>
      </c>
      <c r="N116">
        <v>1010</v>
      </c>
      <c r="O116" t="s">
        <v>31</v>
      </c>
      <c r="P116" t="s">
        <v>31</v>
      </c>
      <c r="Q116">
        <v>1</v>
      </c>
      <c r="W116">
        <v>0</v>
      </c>
      <c r="X116">
        <v>-572380273</v>
      </c>
      <c r="Y116">
        <f>AT116</f>
        <v>300</v>
      </c>
      <c r="AA116">
        <v>7.24</v>
      </c>
      <c r="AB116">
        <v>0</v>
      </c>
      <c r="AC116">
        <v>0</v>
      </c>
      <c r="AD116">
        <v>0</v>
      </c>
      <c r="AE116">
        <v>7.24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300</v>
      </c>
      <c r="AU116" t="s">
        <v>3</v>
      </c>
      <c r="AV116">
        <v>0</v>
      </c>
      <c r="AW116">
        <v>2</v>
      </c>
      <c r="AX116">
        <v>60256185</v>
      </c>
      <c r="AY116">
        <v>1</v>
      </c>
      <c r="AZ116">
        <v>0</v>
      </c>
      <c r="BA116">
        <v>128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ROUND(Y116*Source!I121,9)</f>
        <v>210</v>
      </c>
      <c r="CY116">
        <f>AA116</f>
        <v>7.24</v>
      </c>
      <c r="CZ116">
        <f>AE116</f>
        <v>7.24</v>
      </c>
      <c r="DA116">
        <f>AI116</f>
        <v>1</v>
      </c>
      <c r="DB116">
        <f>ROUND(ROUND(AT116*CZ116,2),6)</f>
        <v>2172</v>
      </c>
      <c r="DC116">
        <f>ROUND(ROUND(AT116*AG116,2),6)</f>
        <v>0</v>
      </c>
      <c r="DD116" t="s">
        <v>3</v>
      </c>
      <c r="DE116" t="s">
        <v>3</v>
      </c>
      <c r="DF116">
        <f t="shared" si="20"/>
        <v>1520.4</v>
      </c>
      <c r="DG116">
        <f t="shared" si="18"/>
        <v>0</v>
      </c>
      <c r="DH116">
        <f t="shared" si="19"/>
        <v>0</v>
      </c>
      <c r="DI116">
        <f t="shared" si="13"/>
        <v>0</v>
      </c>
      <c r="DJ116">
        <f>DF116</f>
        <v>1520.4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ROW(Source!A121)</f>
        <v>121</v>
      </c>
      <c r="B117">
        <v>60255014</v>
      </c>
      <c r="C117">
        <v>60256177</v>
      </c>
      <c r="D117">
        <v>59049377</v>
      </c>
      <c r="E117">
        <v>1</v>
      </c>
      <c r="F117">
        <v>1</v>
      </c>
      <c r="G117">
        <v>1080</v>
      </c>
      <c r="H117">
        <v>3</v>
      </c>
      <c r="I117" t="s">
        <v>516</v>
      </c>
      <c r="J117" t="s">
        <v>517</v>
      </c>
      <c r="K117" t="s">
        <v>518</v>
      </c>
      <c r="L117">
        <v>1354</v>
      </c>
      <c r="N117">
        <v>1010</v>
      </c>
      <c r="O117" t="s">
        <v>31</v>
      </c>
      <c r="P117" t="s">
        <v>31</v>
      </c>
      <c r="Q117">
        <v>1</v>
      </c>
      <c r="W117">
        <v>0</v>
      </c>
      <c r="X117">
        <v>501598144</v>
      </c>
      <c r="Y117">
        <f>AT117</f>
        <v>1.026</v>
      </c>
      <c r="AA117">
        <v>6.12</v>
      </c>
      <c r="AB117">
        <v>0</v>
      </c>
      <c r="AC117">
        <v>0</v>
      </c>
      <c r="AD117">
        <v>0</v>
      </c>
      <c r="AE117">
        <v>6.12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1.026</v>
      </c>
      <c r="AU117" t="s">
        <v>3</v>
      </c>
      <c r="AV117">
        <v>0</v>
      </c>
      <c r="AW117">
        <v>2</v>
      </c>
      <c r="AX117">
        <v>60256186</v>
      </c>
      <c r="AY117">
        <v>1</v>
      </c>
      <c r="AZ117">
        <v>0</v>
      </c>
      <c r="BA117">
        <v>129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ROUND(Y117*Source!I121,9)</f>
        <v>0.71819999999999995</v>
      </c>
      <c r="CY117">
        <f>AA117</f>
        <v>6.12</v>
      </c>
      <c r="CZ117">
        <f>AE117</f>
        <v>6.12</v>
      </c>
      <c r="DA117">
        <f>AI117</f>
        <v>1</v>
      </c>
      <c r="DB117">
        <f>ROUND(ROUND(AT117*CZ117,2),6)</f>
        <v>6.28</v>
      </c>
      <c r="DC117">
        <f>ROUND(ROUND(AT117*AG117,2),6)</f>
        <v>0</v>
      </c>
      <c r="DD117" t="s">
        <v>3</v>
      </c>
      <c r="DE117" t="s">
        <v>3</v>
      </c>
      <c r="DF117">
        <f t="shared" si="20"/>
        <v>4.4000000000000004</v>
      </c>
      <c r="DG117">
        <f t="shared" si="18"/>
        <v>0</v>
      </c>
      <c r="DH117">
        <f t="shared" si="19"/>
        <v>0</v>
      </c>
      <c r="DI117">
        <f t="shared" si="13"/>
        <v>0</v>
      </c>
      <c r="DJ117">
        <f>DF117</f>
        <v>4.4000000000000004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ROW(Source!A121)</f>
        <v>121</v>
      </c>
      <c r="B118">
        <v>60255014</v>
      </c>
      <c r="C118">
        <v>60256177</v>
      </c>
      <c r="D118">
        <v>59004259</v>
      </c>
      <c r="E118">
        <v>1080</v>
      </c>
      <c r="F118">
        <v>1</v>
      </c>
      <c r="G118">
        <v>1080</v>
      </c>
      <c r="H118">
        <v>3</v>
      </c>
      <c r="I118" t="s">
        <v>519</v>
      </c>
      <c r="J118" t="s">
        <v>3</v>
      </c>
      <c r="K118" t="s">
        <v>520</v>
      </c>
      <c r="L118">
        <v>1344</v>
      </c>
      <c r="N118">
        <v>1008</v>
      </c>
      <c r="O118" t="s">
        <v>521</v>
      </c>
      <c r="P118" t="s">
        <v>521</v>
      </c>
      <c r="Q118">
        <v>1</v>
      </c>
      <c r="W118">
        <v>0</v>
      </c>
      <c r="X118">
        <v>-94250534</v>
      </c>
      <c r="Y118">
        <f>AT118</f>
        <v>0.06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0.06</v>
      </c>
      <c r="AU118" t="s">
        <v>3</v>
      </c>
      <c r="AV118">
        <v>0</v>
      </c>
      <c r="AW118">
        <v>2</v>
      </c>
      <c r="AX118">
        <v>60256188</v>
      </c>
      <c r="AY118">
        <v>1</v>
      </c>
      <c r="AZ118">
        <v>0</v>
      </c>
      <c r="BA118">
        <v>131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ROUND(Y118*Source!I121,9)</f>
        <v>4.2000000000000003E-2</v>
      </c>
      <c r="CY118">
        <f>AA118</f>
        <v>1</v>
      </c>
      <c r="CZ118">
        <f>AE118</f>
        <v>1</v>
      </c>
      <c r="DA118">
        <f>AI118</f>
        <v>1</v>
      </c>
      <c r="DB118">
        <f>ROUND(ROUND(AT118*CZ118,2),6)</f>
        <v>0.06</v>
      </c>
      <c r="DC118">
        <f>ROUND(ROUND(AT118*AG118,2),6)</f>
        <v>0</v>
      </c>
      <c r="DD118" t="s">
        <v>3</v>
      </c>
      <c r="DE118" t="s">
        <v>3</v>
      </c>
      <c r="DF118">
        <f t="shared" si="20"/>
        <v>0.04</v>
      </c>
      <c r="DG118">
        <f t="shared" si="18"/>
        <v>0</v>
      </c>
      <c r="DH118">
        <f t="shared" si="19"/>
        <v>0</v>
      </c>
      <c r="DI118">
        <f t="shared" si="13"/>
        <v>0</v>
      </c>
      <c r="DJ118">
        <f>DF118</f>
        <v>0.04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ROW(Source!A122)</f>
        <v>122</v>
      </c>
      <c r="B119">
        <v>60255011</v>
      </c>
      <c r="C119">
        <v>60256177</v>
      </c>
      <c r="D119">
        <v>58999254</v>
      </c>
      <c r="E119">
        <v>1080</v>
      </c>
      <c r="F119">
        <v>1</v>
      </c>
      <c r="G119">
        <v>1080</v>
      </c>
      <c r="H119">
        <v>1</v>
      </c>
      <c r="I119" t="s">
        <v>482</v>
      </c>
      <c r="J119" t="s">
        <v>3</v>
      </c>
      <c r="K119" t="s">
        <v>483</v>
      </c>
      <c r="L119">
        <v>1191</v>
      </c>
      <c r="N119">
        <v>1013</v>
      </c>
      <c r="O119" t="s">
        <v>484</v>
      </c>
      <c r="P119" t="s">
        <v>484</v>
      </c>
      <c r="Q119">
        <v>1</v>
      </c>
      <c r="W119">
        <v>0</v>
      </c>
      <c r="X119">
        <v>476480486</v>
      </c>
      <c r="Y119">
        <f>((AT119*1.1)*1.15)</f>
        <v>123.40075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97.55</v>
      </c>
      <c r="AU119" t="s">
        <v>199</v>
      </c>
      <c r="AV119">
        <v>1</v>
      </c>
      <c r="AW119">
        <v>2</v>
      </c>
      <c r="AX119">
        <v>60256178</v>
      </c>
      <c r="AY119">
        <v>1</v>
      </c>
      <c r="AZ119">
        <v>0</v>
      </c>
      <c r="BA119">
        <v>132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ROUND(AT119*Source!I122*AH119*AL119,2)</f>
        <v>0</v>
      </c>
      <c r="CV119">
        <f>ROUND(Y119*Source!I122,9)</f>
        <v>86.380525000000006</v>
      </c>
      <c r="CW119">
        <v>0</v>
      </c>
      <c r="CX119">
        <f>ROUND(Y119*Source!I122,9)</f>
        <v>86.380525000000006</v>
      </c>
      <c r="CY119">
        <f>AD119</f>
        <v>0</v>
      </c>
      <c r="CZ119">
        <f>AH119</f>
        <v>0</v>
      </c>
      <c r="DA119">
        <f>AL119</f>
        <v>1</v>
      </c>
      <c r="DB119">
        <f>ROUND(((ROUND(AT119*CZ119,2)*1.1)*1.15),6)</f>
        <v>0</v>
      </c>
      <c r="DC119">
        <f>ROUND(((ROUND(AT119*AG119,2)*1.1)*1.15),6)</f>
        <v>0</v>
      </c>
      <c r="DD119" t="s">
        <v>3</v>
      </c>
      <c r="DE119" t="s">
        <v>3</v>
      </c>
      <c r="DF119">
        <f t="shared" si="20"/>
        <v>0</v>
      </c>
      <c r="DG119">
        <f t="shared" si="18"/>
        <v>0</v>
      </c>
      <c r="DH119">
        <f t="shared" si="19"/>
        <v>0</v>
      </c>
      <c r="DI119">
        <f t="shared" si="13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ROW(Source!A122)</f>
        <v>122</v>
      </c>
      <c r="B120">
        <v>60255011</v>
      </c>
      <c r="C120">
        <v>60256177</v>
      </c>
      <c r="D120">
        <v>59070669</v>
      </c>
      <c r="E120">
        <v>1</v>
      </c>
      <c r="F120">
        <v>1</v>
      </c>
      <c r="G120">
        <v>1080</v>
      </c>
      <c r="H120">
        <v>2</v>
      </c>
      <c r="I120" t="s">
        <v>485</v>
      </c>
      <c r="J120" t="s">
        <v>486</v>
      </c>
      <c r="K120" t="s">
        <v>487</v>
      </c>
      <c r="L120">
        <v>1368</v>
      </c>
      <c r="N120">
        <v>1011</v>
      </c>
      <c r="O120" t="s">
        <v>488</v>
      </c>
      <c r="P120" t="s">
        <v>488</v>
      </c>
      <c r="Q120">
        <v>1</v>
      </c>
      <c r="W120">
        <v>0</v>
      </c>
      <c r="X120">
        <v>-1985943078</v>
      </c>
      <c r="Y120">
        <f>((AT120*1.1)*1.25)</f>
        <v>0.77000000000000013</v>
      </c>
      <c r="AA120">
        <v>0</v>
      </c>
      <c r="AB120">
        <v>1445.28</v>
      </c>
      <c r="AC120">
        <v>740.47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16.3</v>
      </c>
      <c r="AK120">
        <v>54.99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0.56000000000000005</v>
      </c>
      <c r="AU120" t="s">
        <v>198</v>
      </c>
      <c r="AV120">
        <v>0</v>
      </c>
      <c r="AW120">
        <v>2</v>
      </c>
      <c r="AX120">
        <v>60256179</v>
      </c>
      <c r="AY120">
        <v>1</v>
      </c>
      <c r="AZ120">
        <v>0</v>
      </c>
      <c r="BA120">
        <v>133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ROUND(Y120*Source!I122*DO120,9)</f>
        <v>6.8021799999999999</v>
      </c>
      <c r="CX120">
        <f>ROUND(Y120*Source!I122,9)</f>
        <v>0.53900000000000003</v>
      </c>
      <c r="CY120">
        <f>AB120</f>
        <v>1445.28</v>
      </c>
      <c r="CZ120">
        <f>AF120</f>
        <v>83.1</v>
      </c>
      <c r="DA120">
        <f>AJ120</f>
        <v>16.3</v>
      </c>
      <c r="DB120">
        <f>ROUND(((ROUND(AT120*CZ120,2)*1.1)*1.25),6)</f>
        <v>63.9925</v>
      </c>
      <c r="DC120">
        <f>ROUND(((ROUND(AT120*AG120,2)*1.1)*1.25),6)</f>
        <v>9.7212499999999995</v>
      </c>
      <c r="DD120" t="s">
        <v>3</v>
      </c>
      <c r="DE120" t="s">
        <v>3</v>
      </c>
      <c r="DF120">
        <f t="shared" si="20"/>
        <v>0</v>
      </c>
      <c r="DG120">
        <f>ROUND(ROUND(AF120*AJ120,2)*CX120,2)</f>
        <v>730.09</v>
      </c>
      <c r="DH120">
        <f>ROUND(ROUND(AG120*AK120,2)*CX120,2)</f>
        <v>374.05</v>
      </c>
      <c r="DI120">
        <f t="shared" si="13"/>
        <v>0</v>
      </c>
      <c r="DJ120">
        <f>DG120</f>
        <v>730.09</v>
      </c>
      <c r="DK120">
        <v>0</v>
      </c>
      <c r="DL120" t="s">
        <v>489</v>
      </c>
      <c r="DM120">
        <v>0</v>
      </c>
      <c r="DN120" t="s">
        <v>484</v>
      </c>
      <c r="DO120">
        <v>12.62</v>
      </c>
    </row>
    <row r="121" spans="1:119" x14ac:dyDescent="0.2">
      <c r="A121">
        <f>ROW(Source!A122)</f>
        <v>122</v>
      </c>
      <c r="B121">
        <v>60255011</v>
      </c>
      <c r="C121">
        <v>60256177</v>
      </c>
      <c r="D121">
        <v>59070721</v>
      </c>
      <c r="E121">
        <v>1</v>
      </c>
      <c r="F121">
        <v>1</v>
      </c>
      <c r="G121">
        <v>1080</v>
      </c>
      <c r="H121">
        <v>2</v>
      </c>
      <c r="I121" t="s">
        <v>497</v>
      </c>
      <c r="J121" t="s">
        <v>498</v>
      </c>
      <c r="K121" t="s">
        <v>499</v>
      </c>
      <c r="L121">
        <v>1368</v>
      </c>
      <c r="N121">
        <v>1011</v>
      </c>
      <c r="O121" t="s">
        <v>488</v>
      </c>
      <c r="P121" t="s">
        <v>488</v>
      </c>
      <c r="Q121">
        <v>1</v>
      </c>
      <c r="W121">
        <v>0</v>
      </c>
      <c r="X121">
        <v>1387779639</v>
      </c>
      <c r="Y121">
        <f>((AT121*1.1)*1.25)</f>
        <v>2.5575000000000001</v>
      </c>
      <c r="AA121">
        <v>0</v>
      </c>
      <c r="AB121">
        <v>7.11</v>
      </c>
      <c r="AC121">
        <v>0</v>
      </c>
      <c r="AD121">
        <v>0</v>
      </c>
      <c r="AE121">
        <v>0</v>
      </c>
      <c r="AF121">
        <v>0.77</v>
      </c>
      <c r="AG121">
        <v>0</v>
      </c>
      <c r="AH121">
        <v>0</v>
      </c>
      <c r="AI121">
        <v>1</v>
      </c>
      <c r="AJ121">
        <v>8.66</v>
      </c>
      <c r="AK121">
        <v>54.99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1.86</v>
      </c>
      <c r="AU121" t="s">
        <v>198</v>
      </c>
      <c r="AV121">
        <v>0</v>
      </c>
      <c r="AW121">
        <v>2</v>
      </c>
      <c r="AX121">
        <v>60256181</v>
      </c>
      <c r="AY121">
        <v>1</v>
      </c>
      <c r="AZ121">
        <v>0</v>
      </c>
      <c r="BA121">
        <v>134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ROUND(Y121*Source!I122*DO121,9)</f>
        <v>0</v>
      </c>
      <c r="CX121">
        <f>ROUND(Y121*Source!I122,9)</f>
        <v>1.7902499999999999</v>
      </c>
      <c r="CY121">
        <f>AB121</f>
        <v>7.11</v>
      </c>
      <c r="CZ121">
        <f>AF121</f>
        <v>0.77</v>
      </c>
      <c r="DA121">
        <f>AJ121</f>
        <v>8.66</v>
      </c>
      <c r="DB121">
        <f>ROUND(((ROUND(AT121*CZ121,2)*1.1)*1.25),6)</f>
        <v>1.9662500000000001</v>
      </c>
      <c r="DC121">
        <f>ROUND(((ROUND(AT121*AG121,2)*1.1)*1.25),6)</f>
        <v>0</v>
      </c>
      <c r="DD121" t="s">
        <v>3</v>
      </c>
      <c r="DE121" t="s">
        <v>3</v>
      </c>
      <c r="DF121">
        <f t="shared" si="20"/>
        <v>0</v>
      </c>
      <c r="DG121">
        <f>ROUND(ROUND(AF121*AJ121,2)*CX121,2)</f>
        <v>11.94</v>
      </c>
      <c r="DH121">
        <f>ROUND(ROUND(AG121*AK121,2)*CX121,2)</f>
        <v>0</v>
      </c>
      <c r="DI121">
        <f t="shared" si="13"/>
        <v>0</v>
      </c>
      <c r="DJ121">
        <f>DG121</f>
        <v>11.94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ROW(Source!A122)</f>
        <v>122</v>
      </c>
      <c r="B122">
        <v>60255011</v>
      </c>
      <c r="C122">
        <v>60256177</v>
      </c>
      <c r="D122">
        <v>59070754</v>
      </c>
      <c r="E122">
        <v>1</v>
      </c>
      <c r="F122">
        <v>1</v>
      </c>
      <c r="G122">
        <v>1080</v>
      </c>
      <c r="H122">
        <v>2</v>
      </c>
      <c r="I122" t="s">
        <v>500</v>
      </c>
      <c r="J122" t="s">
        <v>501</v>
      </c>
      <c r="K122" t="s">
        <v>502</v>
      </c>
      <c r="L122">
        <v>1368</v>
      </c>
      <c r="N122">
        <v>1011</v>
      </c>
      <c r="O122" t="s">
        <v>488</v>
      </c>
      <c r="P122" t="s">
        <v>488</v>
      </c>
      <c r="Q122">
        <v>1</v>
      </c>
      <c r="W122">
        <v>0</v>
      </c>
      <c r="X122">
        <v>1645565003</v>
      </c>
      <c r="Y122">
        <f>((AT122*1.1)*1.25)</f>
        <v>6.6412500000000012</v>
      </c>
      <c r="AA122">
        <v>0</v>
      </c>
      <c r="AB122">
        <v>4.38</v>
      </c>
      <c r="AC122">
        <v>0</v>
      </c>
      <c r="AD122">
        <v>0</v>
      </c>
      <c r="AE122">
        <v>0</v>
      </c>
      <c r="AF122">
        <v>0.47</v>
      </c>
      <c r="AG122">
        <v>0</v>
      </c>
      <c r="AH122">
        <v>0</v>
      </c>
      <c r="AI122">
        <v>1</v>
      </c>
      <c r="AJ122">
        <v>8.74</v>
      </c>
      <c r="AK122">
        <v>54.99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4.83</v>
      </c>
      <c r="AU122" t="s">
        <v>198</v>
      </c>
      <c r="AV122">
        <v>0</v>
      </c>
      <c r="AW122">
        <v>2</v>
      </c>
      <c r="AX122">
        <v>60256182</v>
      </c>
      <c r="AY122">
        <v>1</v>
      </c>
      <c r="AZ122">
        <v>0</v>
      </c>
      <c r="BA122">
        <v>135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ROUND(Y122*Source!I122*DO122,9)</f>
        <v>0</v>
      </c>
      <c r="CX122">
        <f>ROUND(Y122*Source!I122,9)</f>
        <v>4.6488750000000003</v>
      </c>
      <c r="CY122">
        <f>AB122</f>
        <v>4.38</v>
      </c>
      <c r="CZ122">
        <f>AF122</f>
        <v>0.47</v>
      </c>
      <c r="DA122">
        <f>AJ122</f>
        <v>8.74</v>
      </c>
      <c r="DB122">
        <f>ROUND(((ROUND(AT122*CZ122,2)*1.1)*1.25),6)</f>
        <v>3.1212499999999999</v>
      </c>
      <c r="DC122">
        <f>ROUND(((ROUND(AT122*AG122,2)*1.1)*1.25),6)</f>
        <v>0</v>
      </c>
      <c r="DD122" t="s">
        <v>3</v>
      </c>
      <c r="DE122" t="s">
        <v>3</v>
      </c>
      <c r="DF122">
        <f t="shared" si="20"/>
        <v>0</v>
      </c>
      <c r="DG122">
        <f>ROUND(ROUND(AF122*AJ122,2)*CX122,2)</f>
        <v>19.11</v>
      </c>
      <c r="DH122">
        <f>ROUND(ROUND(AG122*AK122,2)*CX122,2)</f>
        <v>0</v>
      </c>
      <c r="DI122">
        <f t="shared" si="13"/>
        <v>0</v>
      </c>
      <c r="DJ122">
        <f>DG122</f>
        <v>19.11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ROW(Source!A122)</f>
        <v>122</v>
      </c>
      <c r="B123">
        <v>60255011</v>
      </c>
      <c r="C123">
        <v>60256177</v>
      </c>
      <c r="D123">
        <v>59069905</v>
      </c>
      <c r="E123">
        <v>1</v>
      </c>
      <c r="F123">
        <v>1</v>
      </c>
      <c r="G123">
        <v>1080</v>
      </c>
      <c r="H123">
        <v>2</v>
      </c>
      <c r="I123" t="s">
        <v>503</v>
      </c>
      <c r="J123" t="s">
        <v>504</v>
      </c>
      <c r="K123" t="s">
        <v>505</v>
      </c>
      <c r="L123">
        <v>1368</v>
      </c>
      <c r="N123">
        <v>1011</v>
      </c>
      <c r="O123" t="s">
        <v>488</v>
      </c>
      <c r="P123" t="s">
        <v>488</v>
      </c>
      <c r="Q123">
        <v>1</v>
      </c>
      <c r="W123">
        <v>0</v>
      </c>
      <c r="X123">
        <v>1087580389</v>
      </c>
      <c r="Y123">
        <f>((AT123*1.1)*1.25)</f>
        <v>0.89375000000000004</v>
      </c>
      <c r="AA123">
        <v>0</v>
      </c>
      <c r="AB123">
        <v>2628.65</v>
      </c>
      <c r="AC123">
        <v>993.36</v>
      </c>
      <c r="AD123">
        <v>0</v>
      </c>
      <c r="AE123">
        <v>0</v>
      </c>
      <c r="AF123">
        <v>179.17</v>
      </c>
      <c r="AG123">
        <v>16.93</v>
      </c>
      <c r="AH123">
        <v>0</v>
      </c>
      <c r="AI123">
        <v>1</v>
      </c>
      <c r="AJ123">
        <v>13.75</v>
      </c>
      <c r="AK123">
        <v>54.99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0.65</v>
      </c>
      <c r="AU123" t="s">
        <v>198</v>
      </c>
      <c r="AV123">
        <v>0</v>
      </c>
      <c r="AW123">
        <v>2</v>
      </c>
      <c r="AX123">
        <v>60256180</v>
      </c>
      <c r="AY123">
        <v>1</v>
      </c>
      <c r="AZ123">
        <v>0</v>
      </c>
      <c r="BA123">
        <v>136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ROUND(Y123*Source!I122*DO123,9)</f>
        <v>10.59183125</v>
      </c>
      <c r="CX123">
        <f>ROUND(Y123*Source!I122,9)</f>
        <v>0.62562499999999999</v>
      </c>
      <c r="CY123">
        <f>AB123</f>
        <v>2628.65</v>
      </c>
      <c r="CZ123">
        <f>AF123</f>
        <v>179.17</v>
      </c>
      <c r="DA123">
        <f>AJ123</f>
        <v>13.75</v>
      </c>
      <c r="DB123">
        <f>ROUND(((ROUND(AT123*CZ123,2)*1.1)*1.25),6)</f>
        <v>160.13249999999999</v>
      </c>
      <c r="DC123">
        <f>ROUND(((ROUND(AT123*AG123,2)*1.1)*1.25),6)</f>
        <v>15.125</v>
      </c>
      <c r="DD123" t="s">
        <v>3</v>
      </c>
      <c r="DE123" t="s">
        <v>3</v>
      </c>
      <c r="DF123">
        <f t="shared" si="20"/>
        <v>0</v>
      </c>
      <c r="DG123">
        <f>ROUND(ROUND(AF123*AJ123,2)*CX123,2)</f>
        <v>1541.28</v>
      </c>
      <c r="DH123">
        <f>ROUND(ROUND(AG123*AK123,2)*CX123,2)</f>
        <v>582.44000000000005</v>
      </c>
      <c r="DI123">
        <f t="shared" si="13"/>
        <v>0</v>
      </c>
      <c r="DJ123">
        <f>DG123</f>
        <v>1541.28</v>
      </c>
      <c r="DK123">
        <v>0</v>
      </c>
      <c r="DL123" t="s">
        <v>489</v>
      </c>
      <c r="DM123">
        <v>0</v>
      </c>
      <c r="DN123" t="s">
        <v>484</v>
      </c>
      <c r="DO123">
        <v>16.93</v>
      </c>
    </row>
    <row r="124" spans="1:119" x14ac:dyDescent="0.2">
      <c r="A124">
        <f>ROW(Source!A122)</f>
        <v>122</v>
      </c>
      <c r="B124">
        <v>60255011</v>
      </c>
      <c r="C124">
        <v>60256177</v>
      </c>
      <c r="D124">
        <v>59038905</v>
      </c>
      <c r="E124">
        <v>1</v>
      </c>
      <c r="F124">
        <v>1</v>
      </c>
      <c r="G124">
        <v>1080</v>
      </c>
      <c r="H124">
        <v>3</v>
      </c>
      <c r="I124" t="s">
        <v>506</v>
      </c>
      <c r="J124" t="s">
        <v>507</v>
      </c>
      <c r="K124" t="s">
        <v>508</v>
      </c>
      <c r="L124">
        <v>1339</v>
      </c>
      <c r="N124">
        <v>1007</v>
      </c>
      <c r="O124" t="s">
        <v>509</v>
      </c>
      <c r="P124" t="s">
        <v>509</v>
      </c>
      <c r="Q124">
        <v>1</v>
      </c>
      <c r="W124">
        <v>0</v>
      </c>
      <c r="X124">
        <v>-744103292</v>
      </c>
      <c r="Y124">
        <f>AT124</f>
        <v>0.44800000000000001</v>
      </c>
      <c r="AA124">
        <v>54.79</v>
      </c>
      <c r="AB124">
        <v>0</v>
      </c>
      <c r="AC124">
        <v>0</v>
      </c>
      <c r="AD124">
        <v>0</v>
      </c>
      <c r="AE124">
        <v>7.07</v>
      </c>
      <c r="AF124">
        <v>0</v>
      </c>
      <c r="AG124">
        <v>0</v>
      </c>
      <c r="AH124">
        <v>0</v>
      </c>
      <c r="AI124">
        <v>7.75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0.44800000000000001</v>
      </c>
      <c r="AU124" t="s">
        <v>3</v>
      </c>
      <c r="AV124">
        <v>0</v>
      </c>
      <c r="AW124">
        <v>2</v>
      </c>
      <c r="AX124">
        <v>60256183</v>
      </c>
      <c r="AY124">
        <v>1</v>
      </c>
      <c r="AZ124">
        <v>0</v>
      </c>
      <c r="BA124">
        <v>137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ROUND(Y124*Source!I122,9)</f>
        <v>0.31359999999999999</v>
      </c>
      <c r="CY124">
        <f>AA124</f>
        <v>54.79</v>
      </c>
      <c r="CZ124">
        <f>AE124</f>
        <v>7.07</v>
      </c>
      <c r="DA124">
        <f>AI124</f>
        <v>7.75</v>
      </c>
      <c r="DB124">
        <f>ROUND(ROUND(AT124*CZ124,2),6)</f>
        <v>3.17</v>
      </c>
      <c r="DC124">
        <f>ROUND(ROUND(AT124*AG124,2),6)</f>
        <v>0</v>
      </c>
      <c r="DD124" t="s">
        <v>3</v>
      </c>
      <c r="DE124" t="s">
        <v>3</v>
      </c>
      <c r="DF124">
        <f>ROUND(ROUND(AE124*AI124,2)*CX124,2)</f>
        <v>17.18</v>
      </c>
      <c r="DG124">
        <f t="shared" ref="DG124:DG139" si="21">ROUND(ROUND(AF124,2)*CX124,2)</f>
        <v>0</v>
      </c>
      <c r="DH124">
        <f t="shared" ref="DH124:DH139" si="22">ROUND(ROUND(AG124,2)*CX124,2)</f>
        <v>0</v>
      </c>
      <c r="DI124">
        <f t="shared" si="13"/>
        <v>0</v>
      </c>
      <c r="DJ124">
        <f>DF124</f>
        <v>17.18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ROW(Source!A122)</f>
        <v>122</v>
      </c>
      <c r="B125">
        <v>60255011</v>
      </c>
      <c r="C125">
        <v>60256177</v>
      </c>
      <c r="D125">
        <v>59045898</v>
      </c>
      <c r="E125">
        <v>1</v>
      </c>
      <c r="F125">
        <v>1</v>
      </c>
      <c r="G125">
        <v>1080</v>
      </c>
      <c r="H125">
        <v>3</v>
      </c>
      <c r="I125" t="s">
        <v>510</v>
      </c>
      <c r="J125" t="s">
        <v>511</v>
      </c>
      <c r="K125" t="s">
        <v>512</v>
      </c>
      <c r="L125">
        <v>1355</v>
      </c>
      <c r="N125">
        <v>1010</v>
      </c>
      <c r="O125" t="s">
        <v>96</v>
      </c>
      <c r="P125" t="s">
        <v>96</v>
      </c>
      <c r="Q125">
        <v>100</v>
      </c>
      <c r="W125">
        <v>0</v>
      </c>
      <c r="X125">
        <v>2062705997</v>
      </c>
      <c r="Y125">
        <f>AT125</f>
        <v>6.06</v>
      </c>
      <c r="AA125">
        <v>1401.76</v>
      </c>
      <c r="AB125">
        <v>0</v>
      </c>
      <c r="AC125">
        <v>0</v>
      </c>
      <c r="AD125">
        <v>0</v>
      </c>
      <c r="AE125">
        <v>154.72</v>
      </c>
      <c r="AF125">
        <v>0</v>
      </c>
      <c r="AG125">
        <v>0</v>
      </c>
      <c r="AH125">
        <v>0</v>
      </c>
      <c r="AI125">
        <v>9.06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6.06</v>
      </c>
      <c r="AU125" t="s">
        <v>3</v>
      </c>
      <c r="AV125">
        <v>0</v>
      </c>
      <c r="AW125">
        <v>2</v>
      </c>
      <c r="AX125">
        <v>60256184</v>
      </c>
      <c r="AY125">
        <v>1</v>
      </c>
      <c r="AZ125">
        <v>0</v>
      </c>
      <c r="BA125">
        <v>138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ROUND(Y125*Source!I122,9)</f>
        <v>4.242</v>
      </c>
      <c r="CY125">
        <f>AA125</f>
        <v>1401.76</v>
      </c>
      <c r="CZ125">
        <f>AE125</f>
        <v>154.72</v>
      </c>
      <c r="DA125">
        <f>AI125</f>
        <v>9.06</v>
      </c>
      <c r="DB125">
        <f>ROUND(ROUND(AT125*CZ125,2),6)</f>
        <v>937.6</v>
      </c>
      <c r="DC125">
        <f>ROUND(ROUND(AT125*AG125,2),6)</f>
        <v>0</v>
      </c>
      <c r="DD125" t="s">
        <v>3</v>
      </c>
      <c r="DE125" t="s">
        <v>3</v>
      </c>
      <c r="DF125">
        <f>ROUND(ROUND(AE125*AI125,2)*CX125,2)</f>
        <v>5946.27</v>
      </c>
      <c r="DG125">
        <f t="shared" si="21"/>
        <v>0</v>
      </c>
      <c r="DH125">
        <f t="shared" si="22"/>
        <v>0</v>
      </c>
      <c r="DI125">
        <f t="shared" si="13"/>
        <v>0</v>
      </c>
      <c r="DJ125">
        <f>DF125</f>
        <v>5946.27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ROW(Source!A122)</f>
        <v>122</v>
      </c>
      <c r="B126">
        <v>60255011</v>
      </c>
      <c r="C126">
        <v>60256177</v>
      </c>
      <c r="D126">
        <v>59056195</v>
      </c>
      <c r="E126">
        <v>1</v>
      </c>
      <c r="F126">
        <v>1</v>
      </c>
      <c r="G126">
        <v>1080</v>
      </c>
      <c r="H126">
        <v>3</v>
      </c>
      <c r="I126" t="s">
        <v>513</v>
      </c>
      <c r="J126" t="s">
        <v>514</v>
      </c>
      <c r="K126" t="s">
        <v>515</v>
      </c>
      <c r="L126">
        <v>1354</v>
      </c>
      <c r="N126">
        <v>1010</v>
      </c>
      <c r="O126" t="s">
        <v>31</v>
      </c>
      <c r="P126" t="s">
        <v>31</v>
      </c>
      <c r="Q126">
        <v>1</v>
      </c>
      <c r="W126">
        <v>0</v>
      </c>
      <c r="X126">
        <v>-572380273</v>
      </c>
      <c r="Y126">
        <f>AT126</f>
        <v>300</v>
      </c>
      <c r="AA126">
        <v>185.42</v>
      </c>
      <c r="AB126">
        <v>0</v>
      </c>
      <c r="AC126">
        <v>0</v>
      </c>
      <c r="AD126">
        <v>0</v>
      </c>
      <c r="AE126">
        <v>7.24</v>
      </c>
      <c r="AF126">
        <v>0</v>
      </c>
      <c r="AG126">
        <v>0</v>
      </c>
      <c r="AH126">
        <v>0</v>
      </c>
      <c r="AI126">
        <v>25.61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300</v>
      </c>
      <c r="AU126" t="s">
        <v>3</v>
      </c>
      <c r="AV126">
        <v>0</v>
      </c>
      <c r="AW126">
        <v>2</v>
      </c>
      <c r="AX126">
        <v>60256185</v>
      </c>
      <c r="AY126">
        <v>1</v>
      </c>
      <c r="AZ126">
        <v>0</v>
      </c>
      <c r="BA126">
        <v>139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ROUND(Y126*Source!I122,9)</f>
        <v>210</v>
      </c>
      <c r="CY126">
        <f>AA126</f>
        <v>185.42</v>
      </c>
      <c r="CZ126">
        <f>AE126</f>
        <v>7.24</v>
      </c>
      <c r="DA126">
        <f>AI126</f>
        <v>25.61</v>
      </c>
      <c r="DB126">
        <f>ROUND(ROUND(AT126*CZ126,2),6)</f>
        <v>2172</v>
      </c>
      <c r="DC126">
        <f>ROUND(ROUND(AT126*AG126,2),6)</f>
        <v>0</v>
      </c>
      <c r="DD126" t="s">
        <v>3</v>
      </c>
      <c r="DE126" t="s">
        <v>3</v>
      </c>
      <c r="DF126">
        <f>ROUND(ROUND(AE126*AI126,2)*CX126,2)</f>
        <v>38938.199999999997</v>
      </c>
      <c r="DG126">
        <f t="shared" si="21"/>
        <v>0</v>
      </c>
      <c r="DH126">
        <f t="shared" si="22"/>
        <v>0</v>
      </c>
      <c r="DI126">
        <f t="shared" si="13"/>
        <v>0</v>
      </c>
      <c r="DJ126">
        <f>DF126</f>
        <v>38938.199999999997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ROW(Source!A122)</f>
        <v>122</v>
      </c>
      <c r="B127">
        <v>60255011</v>
      </c>
      <c r="C127">
        <v>60256177</v>
      </c>
      <c r="D127">
        <v>59049377</v>
      </c>
      <c r="E127">
        <v>1</v>
      </c>
      <c r="F127">
        <v>1</v>
      </c>
      <c r="G127">
        <v>1080</v>
      </c>
      <c r="H127">
        <v>3</v>
      </c>
      <c r="I127" t="s">
        <v>516</v>
      </c>
      <c r="J127" t="s">
        <v>517</v>
      </c>
      <c r="K127" t="s">
        <v>518</v>
      </c>
      <c r="L127">
        <v>1354</v>
      </c>
      <c r="N127">
        <v>1010</v>
      </c>
      <c r="O127" t="s">
        <v>31</v>
      </c>
      <c r="P127" t="s">
        <v>31</v>
      </c>
      <c r="Q127">
        <v>1</v>
      </c>
      <c r="W127">
        <v>0</v>
      </c>
      <c r="X127">
        <v>501598144</v>
      </c>
      <c r="Y127">
        <f>AT127</f>
        <v>1.026</v>
      </c>
      <c r="AA127">
        <v>63.83</v>
      </c>
      <c r="AB127">
        <v>0</v>
      </c>
      <c r="AC127">
        <v>0</v>
      </c>
      <c r="AD127">
        <v>0</v>
      </c>
      <c r="AE127">
        <v>6.12</v>
      </c>
      <c r="AF127">
        <v>0</v>
      </c>
      <c r="AG127">
        <v>0</v>
      </c>
      <c r="AH127">
        <v>0</v>
      </c>
      <c r="AI127">
        <v>10.43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1.026</v>
      </c>
      <c r="AU127" t="s">
        <v>3</v>
      </c>
      <c r="AV127">
        <v>0</v>
      </c>
      <c r="AW127">
        <v>2</v>
      </c>
      <c r="AX127">
        <v>60256186</v>
      </c>
      <c r="AY127">
        <v>1</v>
      </c>
      <c r="AZ127">
        <v>0</v>
      </c>
      <c r="BA127">
        <v>140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ROUND(Y127*Source!I122,9)</f>
        <v>0.71819999999999995</v>
      </c>
      <c r="CY127">
        <f>AA127</f>
        <v>63.83</v>
      </c>
      <c r="CZ127">
        <f>AE127</f>
        <v>6.12</v>
      </c>
      <c r="DA127">
        <f>AI127</f>
        <v>10.43</v>
      </c>
      <c r="DB127">
        <f>ROUND(ROUND(AT127*CZ127,2),6)</f>
        <v>6.28</v>
      </c>
      <c r="DC127">
        <f>ROUND(ROUND(AT127*AG127,2),6)</f>
        <v>0</v>
      </c>
      <c r="DD127" t="s">
        <v>3</v>
      </c>
      <c r="DE127" t="s">
        <v>3</v>
      </c>
      <c r="DF127">
        <f>ROUND(ROUND(AE127*AI127,2)*CX127,2)</f>
        <v>45.84</v>
      </c>
      <c r="DG127">
        <f t="shared" si="21"/>
        <v>0</v>
      </c>
      <c r="DH127">
        <f t="shared" si="22"/>
        <v>0</v>
      </c>
      <c r="DI127">
        <f t="shared" si="13"/>
        <v>0</v>
      </c>
      <c r="DJ127">
        <f>DF127</f>
        <v>45.84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ROW(Source!A122)</f>
        <v>122</v>
      </c>
      <c r="B128">
        <v>60255011</v>
      </c>
      <c r="C128">
        <v>60256177</v>
      </c>
      <c r="D128">
        <v>59004259</v>
      </c>
      <c r="E128">
        <v>1080</v>
      </c>
      <c r="F128">
        <v>1</v>
      </c>
      <c r="G128">
        <v>1080</v>
      </c>
      <c r="H128">
        <v>3</v>
      </c>
      <c r="I128" t="s">
        <v>519</v>
      </c>
      <c r="J128" t="s">
        <v>3</v>
      </c>
      <c r="K128" t="s">
        <v>520</v>
      </c>
      <c r="L128">
        <v>1344</v>
      </c>
      <c r="N128">
        <v>1008</v>
      </c>
      <c r="O128" t="s">
        <v>521</v>
      </c>
      <c r="P128" t="s">
        <v>521</v>
      </c>
      <c r="Q128">
        <v>1</v>
      </c>
      <c r="W128">
        <v>0</v>
      </c>
      <c r="X128">
        <v>-94250534</v>
      </c>
      <c r="Y128">
        <f>AT128</f>
        <v>0.06</v>
      </c>
      <c r="AA128">
        <v>9.8800000000000008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9.8800000000000008</v>
      </c>
      <c r="AJ128">
        <v>1</v>
      </c>
      <c r="AK128">
        <v>1</v>
      </c>
      <c r="AL128">
        <v>1</v>
      </c>
      <c r="AM128">
        <v>5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0.06</v>
      </c>
      <c r="AU128" t="s">
        <v>3</v>
      </c>
      <c r="AV128">
        <v>0</v>
      </c>
      <c r="AW128">
        <v>2</v>
      </c>
      <c r="AX128">
        <v>60256188</v>
      </c>
      <c r="AY128">
        <v>1</v>
      </c>
      <c r="AZ128">
        <v>0</v>
      </c>
      <c r="BA128">
        <v>142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ROUND(Y128*Source!I122,9)</f>
        <v>4.2000000000000003E-2</v>
      </c>
      <c r="CY128">
        <f>AA128</f>
        <v>9.8800000000000008</v>
      </c>
      <c r="CZ128">
        <f>AE128</f>
        <v>1</v>
      </c>
      <c r="DA128">
        <f>AI128</f>
        <v>9.8800000000000008</v>
      </c>
      <c r="DB128">
        <f>ROUND(ROUND(AT128*CZ128,2),6)</f>
        <v>0.06</v>
      </c>
      <c r="DC128">
        <f>ROUND(ROUND(AT128*AG128,2),6)</f>
        <v>0</v>
      </c>
      <c r="DD128" t="s">
        <v>3</v>
      </c>
      <c r="DE128" t="s">
        <v>3</v>
      </c>
      <c r="DF128">
        <f>ROUND(ROUND(AE128*AI128,2)*CX128,2)</f>
        <v>0.41</v>
      </c>
      <c r="DG128">
        <f t="shared" si="21"/>
        <v>0</v>
      </c>
      <c r="DH128">
        <f t="shared" si="22"/>
        <v>0</v>
      </c>
      <c r="DI128">
        <f t="shared" si="13"/>
        <v>0</v>
      </c>
      <c r="DJ128">
        <f>DF128</f>
        <v>0.41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ROW(Source!A125)</f>
        <v>125</v>
      </c>
      <c r="B129">
        <v>60255014</v>
      </c>
      <c r="C129">
        <v>60256234</v>
      </c>
      <c r="D129">
        <v>58999254</v>
      </c>
      <c r="E129">
        <v>1080</v>
      </c>
      <c r="F129">
        <v>1</v>
      </c>
      <c r="G129">
        <v>1080</v>
      </c>
      <c r="H129">
        <v>1</v>
      </c>
      <c r="I129" t="s">
        <v>482</v>
      </c>
      <c r="J129" t="s">
        <v>3</v>
      </c>
      <c r="K129" t="s">
        <v>483</v>
      </c>
      <c r="L129">
        <v>1191</v>
      </c>
      <c r="N129">
        <v>1013</v>
      </c>
      <c r="O129" t="s">
        <v>484</v>
      </c>
      <c r="P129" t="s">
        <v>484</v>
      </c>
      <c r="Q129">
        <v>1</v>
      </c>
      <c r="W129">
        <v>0</v>
      </c>
      <c r="X129">
        <v>476480486</v>
      </c>
      <c r="Y129">
        <f>((AT129*1.15)*1.1)</f>
        <v>94.495500000000007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74.7</v>
      </c>
      <c r="AU129" t="s">
        <v>99</v>
      </c>
      <c r="AV129">
        <v>1</v>
      </c>
      <c r="AW129">
        <v>2</v>
      </c>
      <c r="AX129">
        <v>60256245</v>
      </c>
      <c r="AY129">
        <v>1</v>
      </c>
      <c r="AZ129">
        <v>0</v>
      </c>
      <c r="BA129">
        <v>143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U129">
        <f>ROUND(AT129*Source!I125*AH129*AL129,2)</f>
        <v>0</v>
      </c>
      <c r="CV129">
        <f>ROUND(Y129*Source!I125,9)</f>
        <v>7.5596399999999999</v>
      </c>
      <c r="CW129">
        <v>0</v>
      </c>
      <c r="CX129">
        <f>ROUND(Y129*Source!I125,9)</f>
        <v>7.5596399999999999</v>
      </c>
      <c r="CY129">
        <f>AD129</f>
        <v>0</v>
      </c>
      <c r="CZ129">
        <f>AH129</f>
        <v>0</v>
      </c>
      <c r="DA129">
        <f>AL129</f>
        <v>1</v>
      </c>
      <c r="DB129">
        <f>ROUND(((ROUND(AT129*CZ129,2)*1.15)*1.1),6)</f>
        <v>0</v>
      </c>
      <c r="DC129">
        <f>ROUND(((ROUND(AT129*AG129,2)*1.15)*1.1),6)</f>
        <v>0</v>
      </c>
      <c r="DD129" t="s">
        <v>3</v>
      </c>
      <c r="DE129" t="s">
        <v>3</v>
      </c>
      <c r="DF129">
        <f t="shared" ref="DF129:DF143" si="23">ROUND(ROUND(AE129,2)*CX129,2)</f>
        <v>0</v>
      </c>
      <c r="DG129">
        <f t="shared" si="21"/>
        <v>0</v>
      </c>
      <c r="DH129">
        <f t="shared" si="22"/>
        <v>0</v>
      </c>
      <c r="DI129">
        <f t="shared" ref="DI129:DI192" si="24">ROUND(ROUND(AH129,2)*CX129,2)</f>
        <v>0</v>
      </c>
      <c r="DJ129">
        <f>DI129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ROW(Source!A125)</f>
        <v>125</v>
      </c>
      <c r="B130">
        <v>60255014</v>
      </c>
      <c r="C130">
        <v>60256234</v>
      </c>
      <c r="D130">
        <v>59070669</v>
      </c>
      <c r="E130">
        <v>1</v>
      </c>
      <c r="F130">
        <v>1</v>
      </c>
      <c r="G130">
        <v>1080</v>
      </c>
      <c r="H130">
        <v>2</v>
      </c>
      <c r="I130" t="s">
        <v>485</v>
      </c>
      <c r="J130" t="s">
        <v>486</v>
      </c>
      <c r="K130" t="s">
        <v>487</v>
      </c>
      <c r="L130">
        <v>1368</v>
      </c>
      <c r="N130">
        <v>1011</v>
      </c>
      <c r="O130" t="s">
        <v>488</v>
      </c>
      <c r="P130" t="s">
        <v>488</v>
      </c>
      <c r="Q130">
        <v>1</v>
      </c>
      <c r="W130">
        <v>0</v>
      </c>
      <c r="X130">
        <v>-1985943078</v>
      </c>
      <c r="Y130">
        <f>((AT130*1.25)*1.1)</f>
        <v>0.44000000000000006</v>
      </c>
      <c r="AA130">
        <v>0</v>
      </c>
      <c r="AB130">
        <v>88.67</v>
      </c>
      <c r="AC130">
        <v>13.47</v>
      </c>
      <c r="AD130">
        <v>0</v>
      </c>
      <c r="AE130">
        <v>0</v>
      </c>
      <c r="AF130">
        <v>83.1</v>
      </c>
      <c r="AG130">
        <v>12.62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0.32</v>
      </c>
      <c r="AU130" t="s">
        <v>496</v>
      </c>
      <c r="AV130">
        <v>0</v>
      </c>
      <c r="AW130">
        <v>2</v>
      </c>
      <c r="AX130">
        <v>60256246</v>
      </c>
      <c r="AY130">
        <v>1</v>
      </c>
      <c r="AZ130">
        <v>0</v>
      </c>
      <c r="BA130">
        <v>144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f>ROUND(Y130*Source!I125*DO130,9)</f>
        <v>0.44422400000000001</v>
      </c>
      <c r="CX130">
        <f>ROUND(Y130*Source!I125,9)</f>
        <v>3.5200000000000002E-2</v>
      </c>
      <c r="CY130">
        <f>AB130</f>
        <v>88.67</v>
      </c>
      <c r="CZ130">
        <f>AF130</f>
        <v>83.1</v>
      </c>
      <c r="DA130">
        <f>AJ130</f>
        <v>1</v>
      </c>
      <c r="DB130">
        <f>ROUND(((ROUND(AT130*CZ130,2)*1.25)*1.1),6)</f>
        <v>36.561250000000001</v>
      </c>
      <c r="DC130">
        <f>ROUND(((ROUND(AT130*AG130,2)*1.25)*1.1),6)</f>
        <v>5.5549999999999997</v>
      </c>
      <c r="DD130" t="s">
        <v>3</v>
      </c>
      <c r="DE130" t="s">
        <v>3</v>
      </c>
      <c r="DF130">
        <f t="shared" si="23"/>
        <v>0</v>
      </c>
      <c r="DG130">
        <f t="shared" si="21"/>
        <v>2.93</v>
      </c>
      <c r="DH130">
        <f t="shared" si="22"/>
        <v>0.44</v>
      </c>
      <c r="DI130">
        <f t="shared" si="24"/>
        <v>0</v>
      </c>
      <c r="DJ130">
        <f>DG130</f>
        <v>2.93</v>
      </c>
      <c r="DK130">
        <v>0</v>
      </c>
      <c r="DL130" t="s">
        <v>489</v>
      </c>
      <c r="DM130">
        <v>0</v>
      </c>
      <c r="DN130" t="s">
        <v>484</v>
      </c>
      <c r="DO130">
        <v>12.62</v>
      </c>
    </row>
    <row r="131" spans="1:119" x14ac:dyDescent="0.2">
      <c r="A131">
        <f>ROW(Source!A125)</f>
        <v>125</v>
      </c>
      <c r="B131">
        <v>60255014</v>
      </c>
      <c r="C131">
        <v>60256234</v>
      </c>
      <c r="D131">
        <v>59070721</v>
      </c>
      <c r="E131">
        <v>1</v>
      </c>
      <c r="F131">
        <v>1</v>
      </c>
      <c r="G131">
        <v>1080</v>
      </c>
      <c r="H131">
        <v>2</v>
      </c>
      <c r="I131" t="s">
        <v>497</v>
      </c>
      <c r="J131" t="s">
        <v>498</v>
      </c>
      <c r="K131" t="s">
        <v>499</v>
      </c>
      <c r="L131">
        <v>1368</v>
      </c>
      <c r="N131">
        <v>1011</v>
      </c>
      <c r="O131" t="s">
        <v>488</v>
      </c>
      <c r="P131" t="s">
        <v>488</v>
      </c>
      <c r="Q131">
        <v>1</v>
      </c>
      <c r="W131">
        <v>0</v>
      </c>
      <c r="X131">
        <v>1387779639</v>
      </c>
      <c r="Y131">
        <f>((AT131*1.25)*1.1)</f>
        <v>1.7050000000000003</v>
      </c>
      <c r="AA131">
        <v>0</v>
      </c>
      <c r="AB131">
        <v>0.82</v>
      </c>
      <c r="AC131">
        <v>0</v>
      </c>
      <c r="AD131">
        <v>0</v>
      </c>
      <c r="AE131">
        <v>0</v>
      </c>
      <c r="AF131">
        <v>0.77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1.24</v>
      </c>
      <c r="AU131" t="s">
        <v>496</v>
      </c>
      <c r="AV131">
        <v>0</v>
      </c>
      <c r="AW131">
        <v>2</v>
      </c>
      <c r="AX131">
        <v>60256248</v>
      </c>
      <c r="AY131">
        <v>1</v>
      </c>
      <c r="AZ131">
        <v>0</v>
      </c>
      <c r="BA131">
        <v>145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ROUND(Y131*Source!I125*DO131,9)</f>
        <v>0</v>
      </c>
      <c r="CX131">
        <f>ROUND(Y131*Source!I125,9)</f>
        <v>0.13639999999999999</v>
      </c>
      <c r="CY131">
        <f>AB131</f>
        <v>0.82</v>
      </c>
      <c r="CZ131">
        <f>AF131</f>
        <v>0.77</v>
      </c>
      <c r="DA131">
        <f>AJ131</f>
        <v>1</v>
      </c>
      <c r="DB131">
        <f>ROUND(((ROUND(AT131*CZ131,2)*1.25)*1.1),6)</f>
        <v>1.3062499999999999</v>
      </c>
      <c r="DC131">
        <f>ROUND(((ROUND(AT131*AG131,2)*1.25)*1.1),6)</f>
        <v>0</v>
      </c>
      <c r="DD131" t="s">
        <v>3</v>
      </c>
      <c r="DE131" t="s">
        <v>3</v>
      </c>
      <c r="DF131">
        <f t="shared" si="23"/>
        <v>0</v>
      </c>
      <c r="DG131">
        <f t="shared" si="21"/>
        <v>0.11</v>
      </c>
      <c r="DH131">
        <f t="shared" si="22"/>
        <v>0</v>
      </c>
      <c r="DI131">
        <f t="shared" si="24"/>
        <v>0</v>
      </c>
      <c r="DJ131">
        <f>DG131</f>
        <v>0.11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ROW(Source!A125)</f>
        <v>125</v>
      </c>
      <c r="B132">
        <v>60255014</v>
      </c>
      <c r="C132">
        <v>60256234</v>
      </c>
      <c r="D132">
        <v>59070754</v>
      </c>
      <c r="E132">
        <v>1</v>
      </c>
      <c r="F132">
        <v>1</v>
      </c>
      <c r="G132">
        <v>1080</v>
      </c>
      <c r="H132">
        <v>2</v>
      </c>
      <c r="I132" t="s">
        <v>500</v>
      </c>
      <c r="J132" t="s">
        <v>501</v>
      </c>
      <c r="K132" t="s">
        <v>502</v>
      </c>
      <c r="L132">
        <v>1368</v>
      </c>
      <c r="N132">
        <v>1011</v>
      </c>
      <c r="O132" t="s">
        <v>488</v>
      </c>
      <c r="P132" t="s">
        <v>488</v>
      </c>
      <c r="Q132">
        <v>1</v>
      </c>
      <c r="W132">
        <v>0</v>
      </c>
      <c r="X132">
        <v>1645565003</v>
      </c>
      <c r="Y132">
        <f>((AT132*1.25)*1.1)</f>
        <v>4.4275000000000011</v>
      </c>
      <c r="AA132">
        <v>0</v>
      </c>
      <c r="AB132">
        <v>0.5</v>
      </c>
      <c r="AC132">
        <v>0</v>
      </c>
      <c r="AD132">
        <v>0</v>
      </c>
      <c r="AE132">
        <v>0</v>
      </c>
      <c r="AF132">
        <v>0.47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3.22</v>
      </c>
      <c r="AU132" t="s">
        <v>496</v>
      </c>
      <c r="AV132">
        <v>0</v>
      </c>
      <c r="AW132">
        <v>2</v>
      </c>
      <c r="AX132">
        <v>60256249</v>
      </c>
      <c r="AY132">
        <v>1</v>
      </c>
      <c r="AZ132">
        <v>0</v>
      </c>
      <c r="BA132">
        <v>146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ROUND(Y132*Source!I125*DO132,9)</f>
        <v>0</v>
      </c>
      <c r="CX132">
        <f>ROUND(Y132*Source!I125,9)</f>
        <v>0.35420000000000001</v>
      </c>
      <c r="CY132">
        <f>AB132</f>
        <v>0.5</v>
      </c>
      <c r="CZ132">
        <f>AF132</f>
        <v>0.47</v>
      </c>
      <c r="DA132">
        <f>AJ132</f>
        <v>1</v>
      </c>
      <c r="DB132">
        <f>ROUND(((ROUND(AT132*CZ132,2)*1.25)*1.1),6)</f>
        <v>2.0762499999999999</v>
      </c>
      <c r="DC132">
        <f>ROUND(((ROUND(AT132*AG132,2)*1.25)*1.1),6)</f>
        <v>0</v>
      </c>
      <c r="DD132" t="s">
        <v>3</v>
      </c>
      <c r="DE132" t="s">
        <v>3</v>
      </c>
      <c r="DF132">
        <f t="shared" si="23"/>
        <v>0</v>
      </c>
      <c r="DG132">
        <f t="shared" si="21"/>
        <v>0.17</v>
      </c>
      <c r="DH132">
        <f t="shared" si="22"/>
        <v>0</v>
      </c>
      <c r="DI132">
        <f t="shared" si="24"/>
        <v>0</v>
      </c>
      <c r="DJ132">
        <f>DG132</f>
        <v>0.17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ROW(Source!A125)</f>
        <v>125</v>
      </c>
      <c r="B133">
        <v>60255014</v>
      </c>
      <c r="C133">
        <v>60256234</v>
      </c>
      <c r="D133">
        <v>59069905</v>
      </c>
      <c r="E133">
        <v>1</v>
      </c>
      <c r="F133">
        <v>1</v>
      </c>
      <c r="G133">
        <v>1080</v>
      </c>
      <c r="H133">
        <v>2</v>
      </c>
      <c r="I133" t="s">
        <v>503</v>
      </c>
      <c r="J133" t="s">
        <v>504</v>
      </c>
      <c r="K133" t="s">
        <v>505</v>
      </c>
      <c r="L133">
        <v>1368</v>
      </c>
      <c r="N133">
        <v>1011</v>
      </c>
      <c r="O133" t="s">
        <v>488</v>
      </c>
      <c r="P133" t="s">
        <v>488</v>
      </c>
      <c r="Q133">
        <v>1</v>
      </c>
      <c r="W133">
        <v>0</v>
      </c>
      <c r="X133">
        <v>1087580389</v>
      </c>
      <c r="Y133">
        <f>((AT133*1.25)*1.1)</f>
        <v>0.50875000000000004</v>
      </c>
      <c r="AA133">
        <v>0</v>
      </c>
      <c r="AB133">
        <v>191.17</v>
      </c>
      <c r="AC133">
        <v>18.059999999999999</v>
      </c>
      <c r="AD133">
        <v>0</v>
      </c>
      <c r="AE133">
        <v>0</v>
      </c>
      <c r="AF133">
        <v>179.17</v>
      </c>
      <c r="AG133">
        <v>16.93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0.37</v>
      </c>
      <c r="AU133" t="s">
        <v>496</v>
      </c>
      <c r="AV133">
        <v>0</v>
      </c>
      <c r="AW133">
        <v>2</v>
      </c>
      <c r="AX133">
        <v>60256247</v>
      </c>
      <c r="AY133">
        <v>1</v>
      </c>
      <c r="AZ133">
        <v>0</v>
      </c>
      <c r="BA133">
        <v>147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ROUND(Y133*Source!I125*DO133,9)</f>
        <v>0.68905099999999997</v>
      </c>
      <c r="CX133">
        <f>ROUND(Y133*Source!I125,9)</f>
        <v>4.07E-2</v>
      </c>
      <c r="CY133">
        <f>AB133</f>
        <v>191.17</v>
      </c>
      <c r="CZ133">
        <f>AF133</f>
        <v>179.17</v>
      </c>
      <c r="DA133">
        <f>AJ133</f>
        <v>1</v>
      </c>
      <c r="DB133">
        <f>ROUND(((ROUND(AT133*CZ133,2)*1.25)*1.1),6)</f>
        <v>91.148750000000007</v>
      </c>
      <c r="DC133">
        <f>ROUND(((ROUND(AT133*AG133,2)*1.25)*1.1),6)</f>
        <v>8.6074999999999999</v>
      </c>
      <c r="DD133" t="s">
        <v>3</v>
      </c>
      <c r="DE133" t="s">
        <v>3</v>
      </c>
      <c r="DF133">
        <f t="shared" si="23"/>
        <v>0</v>
      </c>
      <c r="DG133">
        <f t="shared" si="21"/>
        <v>7.29</v>
      </c>
      <c r="DH133">
        <f t="shared" si="22"/>
        <v>0.69</v>
      </c>
      <c r="DI133">
        <f t="shared" si="24"/>
        <v>0</v>
      </c>
      <c r="DJ133">
        <f>DG133</f>
        <v>7.29</v>
      </c>
      <c r="DK133">
        <v>0</v>
      </c>
      <c r="DL133" t="s">
        <v>489</v>
      </c>
      <c r="DM133">
        <v>0</v>
      </c>
      <c r="DN133" t="s">
        <v>484</v>
      </c>
      <c r="DO133">
        <v>16.93</v>
      </c>
    </row>
    <row r="134" spans="1:119" x14ac:dyDescent="0.2">
      <c r="A134">
        <f>ROW(Source!A125)</f>
        <v>125</v>
      </c>
      <c r="B134">
        <v>60255014</v>
      </c>
      <c r="C134">
        <v>60256234</v>
      </c>
      <c r="D134">
        <v>59038905</v>
      </c>
      <c r="E134">
        <v>1</v>
      </c>
      <c r="F134">
        <v>1</v>
      </c>
      <c r="G134">
        <v>1080</v>
      </c>
      <c r="H134">
        <v>3</v>
      </c>
      <c r="I134" t="s">
        <v>506</v>
      </c>
      <c r="J134" t="s">
        <v>507</v>
      </c>
      <c r="K134" t="s">
        <v>508</v>
      </c>
      <c r="L134">
        <v>1339</v>
      </c>
      <c r="N134">
        <v>1007</v>
      </c>
      <c r="O134" t="s">
        <v>509</v>
      </c>
      <c r="P134" t="s">
        <v>509</v>
      </c>
      <c r="Q134">
        <v>1</v>
      </c>
      <c r="W134">
        <v>0</v>
      </c>
      <c r="X134">
        <v>-744103292</v>
      </c>
      <c r="Y134">
        <f>AT134</f>
        <v>0.22700000000000001</v>
      </c>
      <c r="AA134">
        <v>7.07</v>
      </c>
      <c r="AB134">
        <v>0</v>
      </c>
      <c r="AC134">
        <v>0</v>
      </c>
      <c r="AD134">
        <v>0</v>
      </c>
      <c r="AE134">
        <v>7.07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0.22700000000000001</v>
      </c>
      <c r="AU134" t="s">
        <v>3</v>
      </c>
      <c r="AV134">
        <v>0</v>
      </c>
      <c r="AW134">
        <v>2</v>
      </c>
      <c r="AX134">
        <v>60256250</v>
      </c>
      <c r="AY134">
        <v>1</v>
      </c>
      <c r="AZ134">
        <v>0</v>
      </c>
      <c r="BA134">
        <v>148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ROUND(Y134*Source!I125,9)</f>
        <v>1.8159999999999999E-2</v>
      </c>
      <c r="CY134">
        <f>AA134</f>
        <v>7.07</v>
      </c>
      <c r="CZ134">
        <f>AE134</f>
        <v>7.07</v>
      </c>
      <c r="DA134">
        <f>AI134</f>
        <v>1</v>
      </c>
      <c r="DB134">
        <f>ROUND(ROUND(AT134*CZ134,2),6)</f>
        <v>1.6</v>
      </c>
      <c r="DC134">
        <f>ROUND(ROUND(AT134*AG134,2),6)</f>
        <v>0</v>
      </c>
      <c r="DD134" t="s">
        <v>3</v>
      </c>
      <c r="DE134" t="s">
        <v>3</v>
      </c>
      <c r="DF134">
        <f t="shared" si="23"/>
        <v>0.13</v>
      </c>
      <c r="DG134">
        <f t="shared" si="21"/>
        <v>0</v>
      </c>
      <c r="DH134">
        <f t="shared" si="22"/>
        <v>0</v>
      </c>
      <c r="DI134">
        <f t="shared" si="24"/>
        <v>0</v>
      </c>
      <c r="DJ134">
        <f>DF134</f>
        <v>0.13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ROW(Source!A125)</f>
        <v>125</v>
      </c>
      <c r="B135">
        <v>60255014</v>
      </c>
      <c r="C135">
        <v>60256234</v>
      </c>
      <c r="D135">
        <v>59045898</v>
      </c>
      <c r="E135">
        <v>1</v>
      </c>
      <c r="F135">
        <v>1</v>
      </c>
      <c r="G135">
        <v>1080</v>
      </c>
      <c r="H135">
        <v>3</v>
      </c>
      <c r="I135" t="s">
        <v>510</v>
      </c>
      <c r="J135" t="s">
        <v>511</v>
      </c>
      <c r="K135" t="s">
        <v>512</v>
      </c>
      <c r="L135">
        <v>1355</v>
      </c>
      <c r="N135">
        <v>1010</v>
      </c>
      <c r="O135" t="s">
        <v>96</v>
      </c>
      <c r="P135" t="s">
        <v>96</v>
      </c>
      <c r="Q135">
        <v>100</v>
      </c>
      <c r="W135">
        <v>0</v>
      </c>
      <c r="X135">
        <v>2062705997</v>
      </c>
      <c r="Y135">
        <f>AT135</f>
        <v>4.04</v>
      </c>
      <c r="AA135">
        <v>154.72</v>
      </c>
      <c r="AB135">
        <v>0</v>
      </c>
      <c r="AC135">
        <v>0</v>
      </c>
      <c r="AD135">
        <v>0</v>
      </c>
      <c r="AE135">
        <v>154.72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4.04</v>
      </c>
      <c r="AU135" t="s">
        <v>3</v>
      </c>
      <c r="AV135">
        <v>0</v>
      </c>
      <c r="AW135">
        <v>2</v>
      </c>
      <c r="AX135">
        <v>60256251</v>
      </c>
      <c r="AY135">
        <v>1</v>
      </c>
      <c r="AZ135">
        <v>0</v>
      </c>
      <c r="BA135">
        <v>149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ROUND(Y135*Source!I125,9)</f>
        <v>0.32319999999999999</v>
      </c>
      <c r="CY135">
        <f>AA135</f>
        <v>154.72</v>
      </c>
      <c r="CZ135">
        <f>AE135</f>
        <v>154.72</v>
      </c>
      <c r="DA135">
        <f>AI135</f>
        <v>1</v>
      </c>
      <c r="DB135">
        <f>ROUND(ROUND(AT135*CZ135,2),6)</f>
        <v>625.07000000000005</v>
      </c>
      <c r="DC135">
        <f>ROUND(ROUND(AT135*AG135,2),6)</f>
        <v>0</v>
      </c>
      <c r="DD135" t="s">
        <v>3</v>
      </c>
      <c r="DE135" t="s">
        <v>3</v>
      </c>
      <c r="DF135">
        <f t="shared" si="23"/>
        <v>50.01</v>
      </c>
      <c r="DG135">
        <f t="shared" si="21"/>
        <v>0</v>
      </c>
      <c r="DH135">
        <f t="shared" si="22"/>
        <v>0</v>
      </c>
      <c r="DI135">
        <f t="shared" si="24"/>
        <v>0</v>
      </c>
      <c r="DJ135">
        <f>DF135</f>
        <v>50.01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ROW(Source!A125)</f>
        <v>125</v>
      </c>
      <c r="B136">
        <v>60255014</v>
      </c>
      <c r="C136">
        <v>60256234</v>
      </c>
      <c r="D136">
        <v>59056195</v>
      </c>
      <c r="E136">
        <v>1</v>
      </c>
      <c r="F136">
        <v>1</v>
      </c>
      <c r="G136">
        <v>1080</v>
      </c>
      <c r="H136">
        <v>3</v>
      </c>
      <c r="I136" t="s">
        <v>513</v>
      </c>
      <c r="J136" t="s">
        <v>514</v>
      </c>
      <c r="K136" t="s">
        <v>515</v>
      </c>
      <c r="L136">
        <v>1354</v>
      </c>
      <c r="N136">
        <v>1010</v>
      </c>
      <c r="O136" t="s">
        <v>31</v>
      </c>
      <c r="P136" t="s">
        <v>31</v>
      </c>
      <c r="Q136">
        <v>1</v>
      </c>
      <c r="W136">
        <v>0</v>
      </c>
      <c r="X136">
        <v>-572380273</v>
      </c>
      <c r="Y136">
        <f>AT136</f>
        <v>200</v>
      </c>
      <c r="AA136">
        <v>7.24</v>
      </c>
      <c r="AB136">
        <v>0</v>
      </c>
      <c r="AC136">
        <v>0</v>
      </c>
      <c r="AD136">
        <v>0</v>
      </c>
      <c r="AE136">
        <v>7.24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200</v>
      </c>
      <c r="AU136" t="s">
        <v>3</v>
      </c>
      <c r="AV136">
        <v>0</v>
      </c>
      <c r="AW136">
        <v>2</v>
      </c>
      <c r="AX136">
        <v>60256252</v>
      </c>
      <c r="AY136">
        <v>1</v>
      </c>
      <c r="AZ136">
        <v>0</v>
      </c>
      <c r="BA136">
        <v>150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ROUND(Y136*Source!I125,9)</f>
        <v>16</v>
      </c>
      <c r="CY136">
        <f>AA136</f>
        <v>7.24</v>
      </c>
      <c r="CZ136">
        <f>AE136</f>
        <v>7.24</v>
      </c>
      <c r="DA136">
        <f>AI136</f>
        <v>1</v>
      </c>
      <c r="DB136">
        <f>ROUND(ROUND(AT136*CZ136,2),6)</f>
        <v>1448</v>
      </c>
      <c r="DC136">
        <f>ROUND(ROUND(AT136*AG136,2),6)</f>
        <v>0</v>
      </c>
      <c r="DD136" t="s">
        <v>3</v>
      </c>
      <c r="DE136" t="s">
        <v>3</v>
      </c>
      <c r="DF136">
        <f t="shared" si="23"/>
        <v>115.84</v>
      </c>
      <c r="DG136">
        <f t="shared" si="21"/>
        <v>0</v>
      </c>
      <c r="DH136">
        <f t="shared" si="22"/>
        <v>0</v>
      </c>
      <c r="DI136">
        <f t="shared" si="24"/>
        <v>0</v>
      </c>
      <c r="DJ136">
        <f>DF136</f>
        <v>115.84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ROW(Source!A125)</f>
        <v>125</v>
      </c>
      <c r="B137">
        <v>60255014</v>
      </c>
      <c r="C137">
        <v>60256234</v>
      </c>
      <c r="D137">
        <v>59049377</v>
      </c>
      <c r="E137">
        <v>1</v>
      </c>
      <c r="F137">
        <v>1</v>
      </c>
      <c r="G137">
        <v>1080</v>
      </c>
      <c r="H137">
        <v>3</v>
      </c>
      <c r="I137" t="s">
        <v>516</v>
      </c>
      <c r="J137" t="s">
        <v>517</v>
      </c>
      <c r="K137" t="s">
        <v>518</v>
      </c>
      <c r="L137">
        <v>1354</v>
      </c>
      <c r="N137">
        <v>1010</v>
      </c>
      <c r="O137" t="s">
        <v>31</v>
      </c>
      <c r="P137" t="s">
        <v>31</v>
      </c>
      <c r="Q137">
        <v>1</v>
      </c>
      <c r="W137">
        <v>0</v>
      </c>
      <c r="X137">
        <v>501598144</v>
      </c>
      <c r="Y137">
        <f>AT137</f>
        <v>0.68400000000000005</v>
      </c>
      <c r="AA137">
        <v>6.12</v>
      </c>
      <c r="AB137">
        <v>0</v>
      </c>
      <c r="AC137">
        <v>0</v>
      </c>
      <c r="AD137">
        <v>0</v>
      </c>
      <c r="AE137">
        <v>6.12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0.68400000000000005</v>
      </c>
      <c r="AU137" t="s">
        <v>3</v>
      </c>
      <c r="AV137">
        <v>0</v>
      </c>
      <c r="AW137">
        <v>2</v>
      </c>
      <c r="AX137">
        <v>60256253</v>
      </c>
      <c r="AY137">
        <v>1</v>
      </c>
      <c r="AZ137">
        <v>0</v>
      </c>
      <c r="BA137">
        <v>151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ROUND(Y137*Source!I125,9)</f>
        <v>5.4719999999999998E-2</v>
      </c>
      <c r="CY137">
        <f>AA137</f>
        <v>6.12</v>
      </c>
      <c r="CZ137">
        <f>AE137</f>
        <v>6.12</v>
      </c>
      <c r="DA137">
        <f>AI137</f>
        <v>1</v>
      </c>
      <c r="DB137">
        <f>ROUND(ROUND(AT137*CZ137,2),6)</f>
        <v>4.1900000000000004</v>
      </c>
      <c r="DC137">
        <f>ROUND(ROUND(AT137*AG137,2),6)</f>
        <v>0</v>
      </c>
      <c r="DD137" t="s">
        <v>3</v>
      </c>
      <c r="DE137" t="s">
        <v>3</v>
      </c>
      <c r="DF137">
        <f t="shared" si="23"/>
        <v>0.33</v>
      </c>
      <c r="DG137">
        <f t="shared" si="21"/>
        <v>0</v>
      </c>
      <c r="DH137">
        <f t="shared" si="22"/>
        <v>0</v>
      </c>
      <c r="DI137">
        <f t="shared" si="24"/>
        <v>0</v>
      </c>
      <c r="DJ137">
        <f>DF137</f>
        <v>0.33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ROW(Source!A125)</f>
        <v>125</v>
      </c>
      <c r="B138">
        <v>60255014</v>
      </c>
      <c r="C138">
        <v>60256234</v>
      </c>
      <c r="D138">
        <v>59004259</v>
      </c>
      <c r="E138">
        <v>1080</v>
      </c>
      <c r="F138">
        <v>1</v>
      </c>
      <c r="G138">
        <v>1080</v>
      </c>
      <c r="H138">
        <v>3</v>
      </c>
      <c r="I138" t="s">
        <v>519</v>
      </c>
      <c r="J138" t="s">
        <v>3</v>
      </c>
      <c r="K138" t="s">
        <v>520</v>
      </c>
      <c r="L138">
        <v>1344</v>
      </c>
      <c r="N138">
        <v>1008</v>
      </c>
      <c r="O138" t="s">
        <v>521</v>
      </c>
      <c r="P138" t="s">
        <v>521</v>
      </c>
      <c r="Q138">
        <v>1</v>
      </c>
      <c r="W138">
        <v>0</v>
      </c>
      <c r="X138">
        <v>-94250534</v>
      </c>
      <c r="Y138">
        <f>AT138</f>
        <v>0.04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0.04</v>
      </c>
      <c r="AU138" t="s">
        <v>3</v>
      </c>
      <c r="AV138">
        <v>0</v>
      </c>
      <c r="AW138">
        <v>2</v>
      </c>
      <c r="AX138">
        <v>60256255</v>
      </c>
      <c r="AY138">
        <v>1</v>
      </c>
      <c r="AZ138">
        <v>0</v>
      </c>
      <c r="BA138">
        <v>153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ROUND(Y138*Source!I125,9)</f>
        <v>3.2000000000000002E-3</v>
      </c>
      <c r="CY138">
        <f>AA138</f>
        <v>1</v>
      </c>
      <c r="CZ138">
        <f>AE138</f>
        <v>1</v>
      </c>
      <c r="DA138">
        <f>AI138</f>
        <v>1</v>
      </c>
      <c r="DB138">
        <f>ROUND(ROUND(AT138*CZ138,2),6)</f>
        <v>0.04</v>
      </c>
      <c r="DC138">
        <f>ROUND(ROUND(AT138*AG138,2),6)</f>
        <v>0</v>
      </c>
      <c r="DD138" t="s">
        <v>3</v>
      </c>
      <c r="DE138" t="s">
        <v>3</v>
      </c>
      <c r="DF138">
        <f t="shared" si="23"/>
        <v>0</v>
      </c>
      <c r="DG138">
        <f t="shared" si="21"/>
        <v>0</v>
      </c>
      <c r="DH138">
        <f t="shared" si="22"/>
        <v>0</v>
      </c>
      <c r="DI138">
        <f t="shared" si="24"/>
        <v>0</v>
      </c>
      <c r="DJ138">
        <f>DF138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ROW(Source!A126)</f>
        <v>126</v>
      </c>
      <c r="B139">
        <v>60255011</v>
      </c>
      <c r="C139">
        <v>60256234</v>
      </c>
      <c r="D139">
        <v>58999254</v>
      </c>
      <c r="E139">
        <v>1080</v>
      </c>
      <c r="F139">
        <v>1</v>
      </c>
      <c r="G139">
        <v>1080</v>
      </c>
      <c r="H139">
        <v>1</v>
      </c>
      <c r="I139" t="s">
        <v>482</v>
      </c>
      <c r="J139" t="s">
        <v>3</v>
      </c>
      <c r="K139" t="s">
        <v>483</v>
      </c>
      <c r="L139">
        <v>1191</v>
      </c>
      <c r="N139">
        <v>1013</v>
      </c>
      <c r="O139" t="s">
        <v>484</v>
      </c>
      <c r="P139" t="s">
        <v>484</v>
      </c>
      <c r="Q139">
        <v>1</v>
      </c>
      <c r="W139">
        <v>0</v>
      </c>
      <c r="X139">
        <v>476480486</v>
      </c>
      <c r="Y139">
        <f>((AT139*1.15)*1.1)</f>
        <v>94.495500000000007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5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74.7</v>
      </c>
      <c r="AU139" t="s">
        <v>99</v>
      </c>
      <c r="AV139">
        <v>1</v>
      </c>
      <c r="AW139">
        <v>2</v>
      </c>
      <c r="AX139">
        <v>60256245</v>
      </c>
      <c r="AY139">
        <v>1</v>
      </c>
      <c r="AZ139">
        <v>0</v>
      </c>
      <c r="BA139">
        <v>154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ROUND(AT139*Source!I126*AH139*AL139,2)</f>
        <v>0</v>
      </c>
      <c r="CV139">
        <f>ROUND(Y139*Source!I126,9)</f>
        <v>7.5596399999999999</v>
      </c>
      <c r="CW139">
        <v>0</v>
      </c>
      <c r="CX139">
        <f>ROUND(Y139*Source!I126,9)</f>
        <v>7.5596399999999999</v>
      </c>
      <c r="CY139">
        <f>AD139</f>
        <v>0</v>
      </c>
      <c r="CZ139">
        <f>AH139</f>
        <v>0</v>
      </c>
      <c r="DA139">
        <f>AL139</f>
        <v>1</v>
      </c>
      <c r="DB139">
        <f>ROUND(((ROUND(AT139*CZ139,2)*1.15)*1.1),6)</f>
        <v>0</v>
      </c>
      <c r="DC139">
        <f>ROUND(((ROUND(AT139*AG139,2)*1.15)*1.1),6)</f>
        <v>0</v>
      </c>
      <c r="DD139" t="s">
        <v>3</v>
      </c>
      <c r="DE139" t="s">
        <v>3</v>
      </c>
      <c r="DF139">
        <f t="shared" si="23"/>
        <v>0</v>
      </c>
      <c r="DG139">
        <f t="shared" si="21"/>
        <v>0</v>
      </c>
      <c r="DH139">
        <f t="shared" si="22"/>
        <v>0</v>
      </c>
      <c r="DI139">
        <f t="shared" si="24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ROW(Source!A126)</f>
        <v>126</v>
      </c>
      <c r="B140">
        <v>60255011</v>
      </c>
      <c r="C140">
        <v>60256234</v>
      </c>
      <c r="D140">
        <v>59070669</v>
      </c>
      <c r="E140">
        <v>1</v>
      </c>
      <c r="F140">
        <v>1</v>
      </c>
      <c r="G140">
        <v>1080</v>
      </c>
      <c r="H140">
        <v>2</v>
      </c>
      <c r="I140" t="s">
        <v>485</v>
      </c>
      <c r="J140" t="s">
        <v>486</v>
      </c>
      <c r="K140" t="s">
        <v>487</v>
      </c>
      <c r="L140">
        <v>1368</v>
      </c>
      <c r="N140">
        <v>1011</v>
      </c>
      <c r="O140" t="s">
        <v>488</v>
      </c>
      <c r="P140" t="s">
        <v>488</v>
      </c>
      <c r="Q140">
        <v>1</v>
      </c>
      <c r="W140">
        <v>0</v>
      </c>
      <c r="X140">
        <v>-1985943078</v>
      </c>
      <c r="Y140">
        <f>((AT140*1.25)*1.1)</f>
        <v>0.44000000000000006</v>
      </c>
      <c r="AA140">
        <v>0</v>
      </c>
      <c r="AB140">
        <v>1445.28</v>
      </c>
      <c r="AC140">
        <v>740.47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16.3</v>
      </c>
      <c r="AK140">
        <v>54.99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0.32</v>
      </c>
      <c r="AU140" t="s">
        <v>496</v>
      </c>
      <c r="AV140">
        <v>0</v>
      </c>
      <c r="AW140">
        <v>2</v>
      </c>
      <c r="AX140">
        <v>60256246</v>
      </c>
      <c r="AY140">
        <v>1</v>
      </c>
      <c r="AZ140">
        <v>0</v>
      </c>
      <c r="BA140">
        <v>155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ROUND(Y140*Source!I126*DO140,9)</f>
        <v>0.44422400000000001</v>
      </c>
      <c r="CX140">
        <f>ROUND(Y140*Source!I126,9)</f>
        <v>3.5200000000000002E-2</v>
      </c>
      <c r="CY140">
        <f>AB140</f>
        <v>1445.28</v>
      </c>
      <c r="CZ140">
        <f>AF140</f>
        <v>83.1</v>
      </c>
      <c r="DA140">
        <f>AJ140</f>
        <v>16.3</v>
      </c>
      <c r="DB140">
        <f>ROUND(((ROUND(AT140*CZ140,2)*1.25)*1.1),6)</f>
        <v>36.561250000000001</v>
      </c>
      <c r="DC140">
        <f>ROUND(((ROUND(AT140*AG140,2)*1.25)*1.1),6)</f>
        <v>5.5549999999999997</v>
      </c>
      <c r="DD140" t="s">
        <v>3</v>
      </c>
      <c r="DE140" t="s">
        <v>3</v>
      </c>
      <c r="DF140">
        <f t="shared" si="23"/>
        <v>0</v>
      </c>
      <c r="DG140">
        <f>ROUND(ROUND(AF140*AJ140,2)*CX140,2)</f>
        <v>47.68</v>
      </c>
      <c r="DH140">
        <f>ROUND(ROUND(AG140*AK140,2)*CX140,2)</f>
        <v>24.43</v>
      </c>
      <c r="DI140">
        <f t="shared" si="24"/>
        <v>0</v>
      </c>
      <c r="DJ140">
        <f>DG140</f>
        <v>47.68</v>
      </c>
      <c r="DK140">
        <v>0</v>
      </c>
      <c r="DL140" t="s">
        <v>489</v>
      </c>
      <c r="DM140">
        <v>0</v>
      </c>
      <c r="DN140" t="s">
        <v>484</v>
      </c>
      <c r="DO140">
        <v>12.62</v>
      </c>
    </row>
    <row r="141" spans="1:119" x14ac:dyDescent="0.2">
      <c r="A141">
        <f>ROW(Source!A126)</f>
        <v>126</v>
      </c>
      <c r="B141">
        <v>60255011</v>
      </c>
      <c r="C141">
        <v>60256234</v>
      </c>
      <c r="D141">
        <v>59070721</v>
      </c>
      <c r="E141">
        <v>1</v>
      </c>
      <c r="F141">
        <v>1</v>
      </c>
      <c r="G141">
        <v>1080</v>
      </c>
      <c r="H141">
        <v>2</v>
      </c>
      <c r="I141" t="s">
        <v>497</v>
      </c>
      <c r="J141" t="s">
        <v>498</v>
      </c>
      <c r="K141" t="s">
        <v>499</v>
      </c>
      <c r="L141">
        <v>1368</v>
      </c>
      <c r="N141">
        <v>1011</v>
      </c>
      <c r="O141" t="s">
        <v>488</v>
      </c>
      <c r="P141" t="s">
        <v>488</v>
      </c>
      <c r="Q141">
        <v>1</v>
      </c>
      <c r="W141">
        <v>0</v>
      </c>
      <c r="X141">
        <v>1387779639</v>
      </c>
      <c r="Y141">
        <f>((AT141*1.25)*1.1)</f>
        <v>1.7050000000000003</v>
      </c>
      <c r="AA141">
        <v>0</v>
      </c>
      <c r="AB141">
        <v>7.11</v>
      </c>
      <c r="AC141">
        <v>0</v>
      </c>
      <c r="AD141">
        <v>0</v>
      </c>
      <c r="AE141">
        <v>0</v>
      </c>
      <c r="AF141">
        <v>0.77</v>
      </c>
      <c r="AG141">
        <v>0</v>
      </c>
      <c r="AH141">
        <v>0</v>
      </c>
      <c r="AI141">
        <v>1</v>
      </c>
      <c r="AJ141">
        <v>8.66</v>
      </c>
      <c r="AK141">
        <v>54.99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1.24</v>
      </c>
      <c r="AU141" t="s">
        <v>496</v>
      </c>
      <c r="AV141">
        <v>0</v>
      </c>
      <c r="AW141">
        <v>2</v>
      </c>
      <c r="AX141">
        <v>60256248</v>
      </c>
      <c r="AY141">
        <v>1</v>
      </c>
      <c r="AZ141">
        <v>0</v>
      </c>
      <c r="BA141">
        <v>156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ROUND(Y141*Source!I126*DO141,9)</f>
        <v>0</v>
      </c>
      <c r="CX141">
        <f>ROUND(Y141*Source!I126,9)</f>
        <v>0.13639999999999999</v>
      </c>
      <c r="CY141">
        <f>AB141</f>
        <v>7.11</v>
      </c>
      <c r="CZ141">
        <f>AF141</f>
        <v>0.77</v>
      </c>
      <c r="DA141">
        <f>AJ141</f>
        <v>8.66</v>
      </c>
      <c r="DB141">
        <f>ROUND(((ROUND(AT141*CZ141,2)*1.25)*1.1),6)</f>
        <v>1.3062499999999999</v>
      </c>
      <c r="DC141">
        <f>ROUND(((ROUND(AT141*AG141,2)*1.25)*1.1),6)</f>
        <v>0</v>
      </c>
      <c r="DD141" t="s">
        <v>3</v>
      </c>
      <c r="DE141" t="s">
        <v>3</v>
      </c>
      <c r="DF141">
        <f t="shared" si="23"/>
        <v>0</v>
      </c>
      <c r="DG141">
        <f>ROUND(ROUND(AF141*AJ141,2)*CX141,2)</f>
        <v>0.91</v>
      </c>
      <c r="DH141">
        <f>ROUND(ROUND(AG141*AK141,2)*CX141,2)</f>
        <v>0</v>
      </c>
      <c r="DI141">
        <f t="shared" si="24"/>
        <v>0</v>
      </c>
      <c r="DJ141">
        <f>DG141</f>
        <v>0.91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ROW(Source!A126)</f>
        <v>126</v>
      </c>
      <c r="B142">
        <v>60255011</v>
      </c>
      <c r="C142">
        <v>60256234</v>
      </c>
      <c r="D142">
        <v>59070754</v>
      </c>
      <c r="E142">
        <v>1</v>
      </c>
      <c r="F142">
        <v>1</v>
      </c>
      <c r="G142">
        <v>1080</v>
      </c>
      <c r="H142">
        <v>2</v>
      </c>
      <c r="I142" t="s">
        <v>500</v>
      </c>
      <c r="J142" t="s">
        <v>501</v>
      </c>
      <c r="K142" t="s">
        <v>502</v>
      </c>
      <c r="L142">
        <v>1368</v>
      </c>
      <c r="N142">
        <v>1011</v>
      </c>
      <c r="O142" t="s">
        <v>488</v>
      </c>
      <c r="P142" t="s">
        <v>488</v>
      </c>
      <c r="Q142">
        <v>1</v>
      </c>
      <c r="W142">
        <v>0</v>
      </c>
      <c r="X142">
        <v>1645565003</v>
      </c>
      <c r="Y142">
        <f>((AT142*1.25)*1.1)</f>
        <v>4.4275000000000011</v>
      </c>
      <c r="AA142">
        <v>0</v>
      </c>
      <c r="AB142">
        <v>4.38</v>
      </c>
      <c r="AC142">
        <v>0</v>
      </c>
      <c r="AD142">
        <v>0</v>
      </c>
      <c r="AE142">
        <v>0</v>
      </c>
      <c r="AF142">
        <v>0.47</v>
      </c>
      <c r="AG142">
        <v>0</v>
      </c>
      <c r="AH142">
        <v>0</v>
      </c>
      <c r="AI142">
        <v>1</v>
      </c>
      <c r="AJ142">
        <v>8.74</v>
      </c>
      <c r="AK142">
        <v>54.99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3.22</v>
      </c>
      <c r="AU142" t="s">
        <v>496</v>
      </c>
      <c r="AV142">
        <v>0</v>
      </c>
      <c r="AW142">
        <v>2</v>
      </c>
      <c r="AX142">
        <v>60256249</v>
      </c>
      <c r="AY142">
        <v>1</v>
      </c>
      <c r="AZ142">
        <v>0</v>
      </c>
      <c r="BA142">
        <v>157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ROUND(Y142*Source!I126*DO142,9)</f>
        <v>0</v>
      </c>
      <c r="CX142">
        <f>ROUND(Y142*Source!I126,9)</f>
        <v>0.35420000000000001</v>
      </c>
      <c r="CY142">
        <f>AB142</f>
        <v>4.38</v>
      </c>
      <c r="CZ142">
        <f>AF142</f>
        <v>0.47</v>
      </c>
      <c r="DA142">
        <f>AJ142</f>
        <v>8.74</v>
      </c>
      <c r="DB142">
        <f>ROUND(((ROUND(AT142*CZ142,2)*1.25)*1.1),6)</f>
        <v>2.0762499999999999</v>
      </c>
      <c r="DC142">
        <f>ROUND(((ROUND(AT142*AG142,2)*1.25)*1.1),6)</f>
        <v>0</v>
      </c>
      <c r="DD142" t="s">
        <v>3</v>
      </c>
      <c r="DE142" t="s">
        <v>3</v>
      </c>
      <c r="DF142">
        <f t="shared" si="23"/>
        <v>0</v>
      </c>
      <c r="DG142">
        <f>ROUND(ROUND(AF142*AJ142,2)*CX142,2)</f>
        <v>1.46</v>
      </c>
      <c r="DH142">
        <f>ROUND(ROUND(AG142*AK142,2)*CX142,2)</f>
        <v>0</v>
      </c>
      <c r="DI142">
        <f t="shared" si="24"/>
        <v>0</v>
      </c>
      <c r="DJ142">
        <f>DG142</f>
        <v>1.46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ROW(Source!A126)</f>
        <v>126</v>
      </c>
      <c r="B143">
        <v>60255011</v>
      </c>
      <c r="C143">
        <v>60256234</v>
      </c>
      <c r="D143">
        <v>59069905</v>
      </c>
      <c r="E143">
        <v>1</v>
      </c>
      <c r="F143">
        <v>1</v>
      </c>
      <c r="G143">
        <v>1080</v>
      </c>
      <c r="H143">
        <v>2</v>
      </c>
      <c r="I143" t="s">
        <v>503</v>
      </c>
      <c r="J143" t="s">
        <v>504</v>
      </c>
      <c r="K143" t="s">
        <v>505</v>
      </c>
      <c r="L143">
        <v>1368</v>
      </c>
      <c r="N143">
        <v>1011</v>
      </c>
      <c r="O143" t="s">
        <v>488</v>
      </c>
      <c r="P143" t="s">
        <v>488</v>
      </c>
      <c r="Q143">
        <v>1</v>
      </c>
      <c r="W143">
        <v>0</v>
      </c>
      <c r="X143">
        <v>1087580389</v>
      </c>
      <c r="Y143">
        <f>((AT143*1.25)*1.1)</f>
        <v>0.50875000000000004</v>
      </c>
      <c r="AA143">
        <v>0</v>
      </c>
      <c r="AB143">
        <v>2628.65</v>
      </c>
      <c r="AC143">
        <v>993.36</v>
      </c>
      <c r="AD143">
        <v>0</v>
      </c>
      <c r="AE143">
        <v>0</v>
      </c>
      <c r="AF143">
        <v>179.17</v>
      </c>
      <c r="AG143">
        <v>16.93</v>
      </c>
      <c r="AH143">
        <v>0</v>
      </c>
      <c r="AI143">
        <v>1</v>
      </c>
      <c r="AJ143">
        <v>13.75</v>
      </c>
      <c r="AK143">
        <v>54.99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0.37</v>
      </c>
      <c r="AU143" t="s">
        <v>496</v>
      </c>
      <c r="AV143">
        <v>0</v>
      </c>
      <c r="AW143">
        <v>2</v>
      </c>
      <c r="AX143">
        <v>60256247</v>
      </c>
      <c r="AY143">
        <v>1</v>
      </c>
      <c r="AZ143">
        <v>0</v>
      </c>
      <c r="BA143">
        <v>158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ROUND(Y143*Source!I126*DO143,9)</f>
        <v>0.68905099999999997</v>
      </c>
      <c r="CX143">
        <f>ROUND(Y143*Source!I126,9)</f>
        <v>4.07E-2</v>
      </c>
      <c r="CY143">
        <f>AB143</f>
        <v>2628.65</v>
      </c>
      <c r="CZ143">
        <f>AF143</f>
        <v>179.17</v>
      </c>
      <c r="DA143">
        <f>AJ143</f>
        <v>13.75</v>
      </c>
      <c r="DB143">
        <f>ROUND(((ROUND(AT143*CZ143,2)*1.25)*1.1),6)</f>
        <v>91.148750000000007</v>
      </c>
      <c r="DC143">
        <f>ROUND(((ROUND(AT143*AG143,2)*1.25)*1.1),6)</f>
        <v>8.6074999999999999</v>
      </c>
      <c r="DD143" t="s">
        <v>3</v>
      </c>
      <c r="DE143" t="s">
        <v>3</v>
      </c>
      <c r="DF143">
        <f t="shared" si="23"/>
        <v>0</v>
      </c>
      <c r="DG143">
        <f>ROUND(ROUND(AF143*AJ143,2)*CX143,2)</f>
        <v>100.27</v>
      </c>
      <c r="DH143">
        <f>ROUND(ROUND(AG143*AK143,2)*CX143,2)</f>
        <v>37.89</v>
      </c>
      <c r="DI143">
        <f t="shared" si="24"/>
        <v>0</v>
      </c>
      <c r="DJ143">
        <f>DG143</f>
        <v>100.27</v>
      </c>
      <c r="DK143">
        <v>0</v>
      </c>
      <c r="DL143" t="s">
        <v>489</v>
      </c>
      <c r="DM143">
        <v>0</v>
      </c>
      <c r="DN143" t="s">
        <v>484</v>
      </c>
      <c r="DO143">
        <v>16.93</v>
      </c>
    </row>
    <row r="144" spans="1:119" x14ac:dyDescent="0.2">
      <c r="A144">
        <f>ROW(Source!A126)</f>
        <v>126</v>
      </c>
      <c r="B144">
        <v>60255011</v>
      </c>
      <c r="C144">
        <v>60256234</v>
      </c>
      <c r="D144">
        <v>59038905</v>
      </c>
      <c r="E144">
        <v>1</v>
      </c>
      <c r="F144">
        <v>1</v>
      </c>
      <c r="G144">
        <v>1080</v>
      </c>
      <c r="H144">
        <v>3</v>
      </c>
      <c r="I144" t="s">
        <v>506</v>
      </c>
      <c r="J144" t="s">
        <v>507</v>
      </c>
      <c r="K144" t="s">
        <v>508</v>
      </c>
      <c r="L144">
        <v>1339</v>
      </c>
      <c r="N144">
        <v>1007</v>
      </c>
      <c r="O144" t="s">
        <v>509</v>
      </c>
      <c r="P144" t="s">
        <v>509</v>
      </c>
      <c r="Q144">
        <v>1</v>
      </c>
      <c r="W144">
        <v>0</v>
      </c>
      <c r="X144">
        <v>-744103292</v>
      </c>
      <c r="Y144">
        <f>AT144</f>
        <v>0.22700000000000001</v>
      </c>
      <c r="AA144">
        <v>54.79</v>
      </c>
      <c r="AB144">
        <v>0</v>
      </c>
      <c r="AC144">
        <v>0</v>
      </c>
      <c r="AD144">
        <v>0</v>
      </c>
      <c r="AE144">
        <v>7.07</v>
      </c>
      <c r="AF144">
        <v>0</v>
      </c>
      <c r="AG144">
        <v>0</v>
      </c>
      <c r="AH144">
        <v>0</v>
      </c>
      <c r="AI144">
        <v>7.75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0.22700000000000001</v>
      </c>
      <c r="AU144" t="s">
        <v>3</v>
      </c>
      <c r="AV144">
        <v>0</v>
      </c>
      <c r="AW144">
        <v>2</v>
      </c>
      <c r="AX144">
        <v>60256250</v>
      </c>
      <c r="AY144">
        <v>1</v>
      </c>
      <c r="AZ144">
        <v>0</v>
      </c>
      <c r="BA144">
        <v>159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ROUND(Y144*Source!I126,9)</f>
        <v>1.8159999999999999E-2</v>
      </c>
      <c r="CY144">
        <f>AA144</f>
        <v>54.79</v>
      </c>
      <c r="CZ144">
        <f>AE144</f>
        <v>7.07</v>
      </c>
      <c r="DA144">
        <f>AI144</f>
        <v>7.75</v>
      </c>
      <c r="DB144">
        <f>ROUND(ROUND(AT144*CZ144,2),6)</f>
        <v>1.6</v>
      </c>
      <c r="DC144">
        <f>ROUND(ROUND(AT144*AG144,2),6)</f>
        <v>0</v>
      </c>
      <c r="DD144" t="s">
        <v>3</v>
      </c>
      <c r="DE144" t="s">
        <v>3</v>
      </c>
      <c r="DF144">
        <f>ROUND(ROUND(AE144*AI144,2)*CX144,2)</f>
        <v>0.99</v>
      </c>
      <c r="DG144">
        <f t="shared" ref="DG144:DG159" si="25">ROUND(ROUND(AF144,2)*CX144,2)</f>
        <v>0</v>
      </c>
      <c r="DH144">
        <f t="shared" ref="DH144:DH159" si="26">ROUND(ROUND(AG144,2)*CX144,2)</f>
        <v>0</v>
      </c>
      <c r="DI144">
        <f t="shared" si="24"/>
        <v>0</v>
      </c>
      <c r="DJ144">
        <f>DF144</f>
        <v>0.99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ROW(Source!A126)</f>
        <v>126</v>
      </c>
      <c r="B145">
        <v>60255011</v>
      </c>
      <c r="C145">
        <v>60256234</v>
      </c>
      <c r="D145">
        <v>59045898</v>
      </c>
      <c r="E145">
        <v>1</v>
      </c>
      <c r="F145">
        <v>1</v>
      </c>
      <c r="G145">
        <v>1080</v>
      </c>
      <c r="H145">
        <v>3</v>
      </c>
      <c r="I145" t="s">
        <v>510</v>
      </c>
      <c r="J145" t="s">
        <v>511</v>
      </c>
      <c r="K145" t="s">
        <v>512</v>
      </c>
      <c r="L145">
        <v>1355</v>
      </c>
      <c r="N145">
        <v>1010</v>
      </c>
      <c r="O145" t="s">
        <v>96</v>
      </c>
      <c r="P145" t="s">
        <v>96</v>
      </c>
      <c r="Q145">
        <v>100</v>
      </c>
      <c r="W145">
        <v>0</v>
      </c>
      <c r="X145">
        <v>2062705997</v>
      </c>
      <c r="Y145">
        <f>AT145</f>
        <v>4.04</v>
      </c>
      <c r="AA145">
        <v>1401.76</v>
      </c>
      <c r="AB145">
        <v>0</v>
      </c>
      <c r="AC145">
        <v>0</v>
      </c>
      <c r="AD145">
        <v>0</v>
      </c>
      <c r="AE145">
        <v>154.72</v>
      </c>
      <c r="AF145">
        <v>0</v>
      </c>
      <c r="AG145">
        <v>0</v>
      </c>
      <c r="AH145">
        <v>0</v>
      </c>
      <c r="AI145">
        <v>9.06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4.04</v>
      </c>
      <c r="AU145" t="s">
        <v>3</v>
      </c>
      <c r="AV145">
        <v>0</v>
      </c>
      <c r="AW145">
        <v>2</v>
      </c>
      <c r="AX145">
        <v>60256251</v>
      </c>
      <c r="AY145">
        <v>1</v>
      </c>
      <c r="AZ145">
        <v>0</v>
      </c>
      <c r="BA145">
        <v>160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ROUND(Y145*Source!I126,9)</f>
        <v>0.32319999999999999</v>
      </c>
      <c r="CY145">
        <f>AA145</f>
        <v>1401.76</v>
      </c>
      <c r="CZ145">
        <f>AE145</f>
        <v>154.72</v>
      </c>
      <c r="DA145">
        <f>AI145</f>
        <v>9.06</v>
      </c>
      <c r="DB145">
        <f>ROUND(ROUND(AT145*CZ145,2),6)</f>
        <v>625.07000000000005</v>
      </c>
      <c r="DC145">
        <f>ROUND(ROUND(AT145*AG145,2),6)</f>
        <v>0</v>
      </c>
      <c r="DD145" t="s">
        <v>3</v>
      </c>
      <c r="DE145" t="s">
        <v>3</v>
      </c>
      <c r="DF145">
        <f>ROUND(ROUND(AE145*AI145,2)*CX145,2)</f>
        <v>453.05</v>
      </c>
      <c r="DG145">
        <f t="shared" si="25"/>
        <v>0</v>
      </c>
      <c r="DH145">
        <f t="shared" si="26"/>
        <v>0</v>
      </c>
      <c r="DI145">
        <f t="shared" si="24"/>
        <v>0</v>
      </c>
      <c r="DJ145">
        <f>DF145</f>
        <v>453.05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ROW(Source!A126)</f>
        <v>126</v>
      </c>
      <c r="B146">
        <v>60255011</v>
      </c>
      <c r="C146">
        <v>60256234</v>
      </c>
      <c r="D146">
        <v>59056195</v>
      </c>
      <c r="E146">
        <v>1</v>
      </c>
      <c r="F146">
        <v>1</v>
      </c>
      <c r="G146">
        <v>1080</v>
      </c>
      <c r="H146">
        <v>3</v>
      </c>
      <c r="I146" t="s">
        <v>513</v>
      </c>
      <c r="J146" t="s">
        <v>514</v>
      </c>
      <c r="K146" t="s">
        <v>515</v>
      </c>
      <c r="L146">
        <v>1354</v>
      </c>
      <c r="N146">
        <v>1010</v>
      </c>
      <c r="O146" t="s">
        <v>31</v>
      </c>
      <c r="P146" t="s">
        <v>31</v>
      </c>
      <c r="Q146">
        <v>1</v>
      </c>
      <c r="W146">
        <v>0</v>
      </c>
      <c r="X146">
        <v>-572380273</v>
      </c>
      <c r="Y146">
        <f>AT146</f>
        <v>200</v>
      </c>
      <c r="AA146">
        <v>185.42</v>
      </c>
      <c r="AB146">
        <v>0</v>
      </c>
      <c r="AC146">
        <v>0</v>
      </c>
      <c r="AD146">
        <v>0</v>
      </c>
      <c r="AE146">
        <v>7.24</v>
      </c>
      <c r="AF146">
        <v>0</v>
      </c>
      <c r="AG146">
        <v>0</v>
      </c>
      <c r="AH146">
        <v>0</v>
      </c>
      <c r="AI146">
        <v>25.61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200</v>
      </c>
      <c r="AU146" t="s">
        <v>3</v>
      </c>
      <c r="AV146">
        <v>0</v>
      </c>
      <c r="AW146">
        <v>2</v>
      </c>
      <c r="AX146">
        <v>60256252</v>
      </c>
      <c r="AY146">
        <v>1</v>
      </c>
      <c r="AZ146">
        <v>0</v>
      </c>
      <c r="BA146">
        <v>161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ROUND(Y146*Source!I126,9)</f>
        <v>16</v>
      </c>
      <c r="CY146">
        <f>AA146</f>
        <v>185.42</v>
      </c>
      <c r="CZ146">
        <f>AE146</f>
        <v>7.24</v>
      </c>
      <c r="DA146">
        <f>AI146</f>
        <v>25.61</v>
      </c>
      <c r="DB146">
        <f>ROUND(ROUND(AT146*CZ146,2),6)</f>
        <v>1448</v>
      </c>
      <c r="DC146">
        <f>ROUND(ROUND(AT146*AG146,2),6)</f>
        <v>0</v>
      </c>
      <c r="DD146" t="s">
        <v>3</v>
      </c>
      <c r="DE146" t="s">
        <v>3</v>
      </c>
      <c r="DF146">
        <f>ROUND(ROUND(AE146*AI146,2)*CX146,2)</f>
        <v>2966.72</v>
      </c>
      <c r="DG146">
        <f t="shared" si="25"/>
        <v>0</v>
      </c>
      <c r="DH146">
        <f t="shared" si="26"/>
        <v>0</v>
      </c>
      <c r="DI146">
        <f t="shared" si="24"/>
        <v>0</v>
      </c>
      <c r="DJ146">
        <f>DF146</f>
        <v>2966.72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ROW(Source!A126)</f>
        <v>126</v>
      </c>
      <c r="B147">
        <v>60255011</v>
      </c>
      <c r="C147">
        <v>60256234</v>
      </c>
      <c r="D147">
        <v>59049377</v>
      </c>
      <c r="E147">
        <v>1</v>
      </c>
      <c r="F147">
        <v>1</v>
      </c>
      <c r="G147">
        <v>1080</v>
      </c>
      <c r="H147">
        <v>3</v>
      </c>
      <c r="I147" t="s">
        <v>516</v>
      </c>
      <c r="J147" t="s">
        <v>517</v>
      </c>
      <c r="K147" t="s">
        <v>518</v>
      </c>
      <c r="L147">
        <v>1354</v>
      </c>
      <c r="N147">
        <v>1010</v>
      </c>
      <c r="O147" t="s">
        <v>31</v>
      </c>
      <c r="P147" t="s">
        <v>31</v>
      </c>
      <c r="Q147">
        <v>1</v>
      </c>
      <c r="W147">
        <v>0</v>
      </c>
      <c r="X147">
        <v>501598144</v>
      </c>
      <c r="Y147">
        <f>AT147</f>
        <v>0.68400000000000005</v>
      </c>
      <c r="AA147">
        <v>63.83</v>
      </c>
      <c r="AB147">
        <v>0</v>
      </c>
      <c r="AC147">
        <v>0</v>
      </c>
      <c r="AD147">
        <v>0</v>
      </c>
      <c r="AE147">
        <v>6.12</v>
      </c>
      <c r="AF147">
        <v>0</v>
      </c>
      <c r="AG147">
        <v>0</v>
      </c>
      <c r="AH147">
        <v>0</v>
      </c>
      <c r="AI147">
        <v>10.43</v>
      </c>
      <c r="AJ147">
        <v>1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0.68400000000000005</v>
      </c>
      <c r="AU147" t="s">
        <v>3</v>
      </c>
      <c r="AV147">
        <v>0</v>
      </c>
      <c r="AW147">
        <v>2</v>
      </c>
      <c r="AX147">
        <v>60256253</v>
      </c>
      <c r="AY147">
        <v>1</v>
      </c>
      <c r="AZ147">
        <v>0</v>
      </c>
      <c r="BA147">
        <v>162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ROUND(Y147*Source!I126,9)</f>
        <v>5.4719999999999998E-2</v>
      </c>
      <c r="CY147">
        <f>AA147</f>
        <v>63.83</v>
      </c>
      <c r="CZ147">
        <f>AE147</f>
        <v>6.12</v>
      </c>
      <c r="DA147">
        <f>AI147</f>
        <v>10.43</v>
      </c>
      <c r="DB147">
        <f>ROUND(ROUND(AT147*CZ147,2),6)</f>
        <v>4.1900000000000004</v>
      </c>
      <c r="DC147">
        <f>ROUND(ROUND(AT147*AG147,2),6)</f>
        <v>0</v>
      </c>
      <c r="DD147" t="s">
        <v>3</v>
      </c>
      <c r="DE147" t="s">
        <v>3</v>
      </c>
      <c r="DF147">
        <f>ROUND(ROUND(AE147*AI147,2)*CX147,2)</f>
        <v>3.49</v>
      </c>
      <c r="DG147">
        <f t="shared" si="25"/>
        <v>0</v>
      </c>
      <c r="DH147">
        <f t="shared" si="26"/>
        <v>0</v>
      </c>
      <c r="DI147">
        <f t="shared" si="24"/>
        <v>0</v>
      </c>
      <c r="DJ147">
        <f>DF147</f>
        <v>3.49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ROW(Source!A126)</f>
        <v>126</v>
      </c>
      <c r="B148">
        <v>60255011</v>
      </c>
      <c r="C148">
        <v>60256234</v>
      </c>
      <c r="D148">
        <v>59004259</v>
      </c>
      <c r="E148">
        <v>1080</v>
      </c>
      <c r="F148">
        <v>1</v>
      </c>
      <c r="G148">
        <v>1080</v>
      </c>
      <c r="H148">
        <v>3</v>
      </c>
      <c r="I148" t="s">
        <v>519</v>
      </c>
      <c r="J148" t="s">
        <v>3</v>
      </c>
      <c r="K148" t="s">
        <v>520</v>
      </c>
      <c r="L148">
        <v>1344</v>
      </c>
      <c r="N148">
        <v>1008</v>
      </c>
      <c r="O148" t="s">
        <v>521</v>
      </c>
      <c r="P148" t="s">
        <v>521</v>
      </c>
      <c r="Q148">
        <v>1</v>
      </c>
      <c r="W148">
        <v>0</v>
      </c>
      <c r="X148">
        <v>-94250534</v>
      </c>
      <c r="Y148">
        <f>AT148</f>
        <v>0.04</v>
      </c>
      <c r="AA148">
        <v>9.8800000000000008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9.8800000000000008</v>
      </c>
      <c r="AJ148">
        <v>1</v>
      </c>
      <c r="AK148">
        <v>1</v>
      </c>
      <c r="AL148">
        <v>1</v>
      </c>
      <c r="AM148">
        <v>5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0.04</v>
      </c>
      <c r="AU148" t="s">
        <v>3</v>
      </c>
      <c r="AV148">
        <v>0</v>
      </c>
      <c r="AW148">
        <v>2</v>
      </c>
      <c r="AX148">
        <v>60256255</v>
      </c>
      <c r="AY148">
        <v>1</v>
      </c>
      <c r="AZ148">
        <v>0</v>
      </c>
      <c r="BA148">
        <v>164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ROUND(Y148*Source!I126,9)</f>
        <v>3.2000000000000002E-3</v>
      </c>
      <c r="CY148">
        <f>AA148</f>
        <v>9.8800000000000008</v>
      </c>
      <c r="CZ148">
        <f>AE148</f>
        <v>1</v>
      </c>
      <c r="DA148">
        <f>AI148</f>
        <v>9.8800000000000008</v>
      </c>
      <c r="DB148">
        <f>ROUND(ROUND(AT148*CZ148,2),6)</f>
        <v>0.04</v>
      </c>
      <c r="DC148">
        <f>ROUND(ROUND(AT148*AG148,2),6)</f>
        <v>0</v>
      </c>
      <c r="DD148" t="s">
        <v>3</v>
      </c>
      <c r="DE148" t="s">
        <v>3</v>
      </c>
      <c r="DF148">
        <f>ROUND(ROUND(AE148*AI148,2)*CX148,2)</f>
        <v>0.03</v>
      </c>
      <c r="DG148">
        <f t="shared" si="25"/>
        <v>0</v>
      </c>
      <c r="DH148">
        <f t="shared" si="26"/>
        <v>0</v>
      </c>
      <c r="DI148">
        <f t="shared" si="24"/>
        <v>0</v>
      </c>
      <c r="DJ148">
        <f>DF148</f>
        <v>0.03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ROW(Source!A135)</f>
        <v>135</v>
      </c>
      <c r="B149">
        <v>60255014</v>
      </c>
      <c r="C149">
        <v>60256256</v>
      </c>
      <c r="D149">
        <v>58999254</v>
      </c>
      <c r="E149">
        <v>1080</v>
      </c>
      <c r="F149">
        <v>1</v>
      </c>
      <c r="G149">
        <v>1080</v>
      </c>
      <c r="H149">
        <v>1</v>
      </c>
      <c r="I149" t="s">
        <v>482</v>
      </c>
      <c r="J149" t="s">
        <v>3</v>
      </c>
      <c r="K149" t="s">
        <v>483</v>
      </c>
      <c r="L149">
        <v>1191</v>
      </c>
      <c r="N149">
        <v>1013</v>
      </c>
      <c r="O149" t="s">
        <v>484</v>
      </c>
      <c r="P149" t="s">
        <v>484</v>
      </c>
      <c r="Q149">
        <v>1</v>
      </c>
      <c r="W149">
        <v>0</v>
      </c>
      <c r="X149">
        <v>476480486</v>
      </c>
      <c r="Y149">
        <f>((AT149*1.1)*1.15)</f>
        <v>123.40075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97.55</v>
      </c>
      <c r="AU149" t="s">
        <v>199</v>
      </c>
      <c r="AV149">
        <v>1</v>
      </c>
      <c r="AW149">
        <v>2</v>
      </c>
      <c r="AX149">
        <v>60256267</v>
      </c>
      <c r="AY149">
        <v>1</v>
      </c>
      <c r="AZ149">
        <v>0</v>
      </c>
      <c r="BA149">
        <v>165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ROUND(AT149*Source!I135*AH149*AL149,2)</f>
        <v>0</v>
      </c>
      <c r="CV149">
        <f>ROUND(Y149*Source!I135,9)</f>
        <v>12.340075000000001</v>
      </c>
      <c r="CW149">
        <v>0</v>
      </c>
      <c r="CX149">
        <f>ROUND(Y149*Source!I135,9)</f>
        <v>12.340075000000001</v>
      </c>
      <c r="CY149">
        <f>AD149</f>
        <v>0</v>
      </c>
      <c r="CZ149">
        <f>AH149</f>
        <v>0</v>
      </c>
      <c r="DA149">
        <f>AL149</f>
        <v>1</v>
      </c>
      <c r="DB149">
        <f>ROUND(((ROUND(AT149*CZ149,2)*1.1)*1.15),6)</f>
        <v>0</v>
      </c>
      <c r="DC149">
        <f>ROUND(((ROUND(AT149*AG149,2)*1.1)*1.15),6)</f>
        <v>0</v>
      </c>
      <c r="DD149" t="s">
        <v>3</v>
      </c>
      <c r="DE149" t="s">
        <v>3</v>
      </c>
      <c r="DF149">
        <f t="shared" ref="DF149:DF163" si="27">ROUND(ROUND(AE149,2)*CX149,2)</f>
        <v>0</v>
      </c>
      <c r="DG149">
        <f t="shared" si="25"/>
        <v>0</v>
      </c>
      <c r="DH149">
        <f t="shared" si="26"/>
        <v>0</v>
      </c>
      <c r="DI149">
        <f t="shared" si="24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ROW(Source!A135)</f>
        <v>135</v>
      </c>
      <c r="B150">
        <v>60255014</v>
      </c>
      <c r="C150">
        <v>60256256</v>
      </c>
      <c r="D150">
        <v>59070669</v>
      </c>
      <c r="E150">
        <v>1</v>
      </c>
      <c r="F150">
        <v>1</v>
      </c>
      <c r="G150">
        <v>1080</v>
      </c>
      <c r="H150">
        <v>2</v>
      </c>
      <c r="I150" t="s">
        <v>485</v>
      </c>
      <c r="J150" t="s">
        <v>486</v>
      </c>
      <c r="K150" t="s">
        <v>487</v>
      </c>
      <c r="L150">
        <v>1368</v>
      </c>
      <c r="N150">
        <v>1011</v>
      </c>
      <c r="O150" t="s">
        <v>488</v>
      </c>
      <c r="P150" t="s">
        <v>488</v>
      </c>
      <c r="Q150">
        <v>1</v>
      </c>
      <c r="W150">
        <v>0</v>
      </c>
      <c r="X150">
        <v>-1985943078</v>
      </c>
      <c r="Y150">
        <f>((AT150*1.1)*1.25)</f>
        <v>0.77000000000000013</v>
      </c>
      <c r="AA150">
        <v>0</v>
      </c>
      <c r="AB150">
        <v>88.67</v>
      </c>
      <c r="AC150">
        <v>13.47</v>
      </c>
      <c r="AD150">
        <v>0</v>
      </c>
      <c r="AE150">
        <v>0</v>
      </c>
      <c r="AF150">
        <v>83.1</v>
      </c>
      <c r="AG150">
        <v>12.62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0.56000000000000005</v>
      </c>
      <c r="AU150" t="s">
        <v>198</v>
      </c>
      <c r="AV150">
        <v>0</v>
      </c>
      <c r="AW150">
        <v>2</v>
      </c>
      <c r="AX150">
        <v>60256268</v>
      </c>
      <c r="AY150">
        <v>1</v>
      </c>
      <c r="AZ150">
        <v>0</v>
      </c>
      <c r="BA150">
        <v>166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ROUND(Y150*Source!I135*DO150,9)</f>
        <v>0.97174000000000005</v>
      </c>
      <c r="CX150">
        <f>ROUND(Y150*Source!I135,9)</f>
        <v>7.6999999999999999E-2</v>
      </c>
      <c r="CY150">
        <f>AB150</f>
        <v>88.67</v>
      </c>
      <c r="CZ150">
        <f>AF150</f>
        <v>83.1</v>
      </c>
      <c r="DA150">
        <f>AJ150</f>
        <v>1</v>
      </c>
      <c r="DB150">
        <f>ROUND(((ROUND(AT150*CZ150,2)*1.1)*1.25),6)</f>
        <v>63.9925</v>
      </c>
      <c r="DC150">
        <f>ROUND(((ROUND(AT150*AG150,2)*1.1)*1.25),6)</f>
        <v>9.7212499999999995</v>
      </c>
      <c r="DD150" t="s">
        <v>3</v>
      </c>
      <c r="DE150" t="s">
        <v>3</v>
      </c>
      <c r="DF150">
        <f t="shared" si="27"/>
        <v>0</v>
      </c>
      <c r="DG150">
        <f t="shared" si="25"/>
        <v>6.4</v>
      </c>
      <c r="DH150">
        <f t="shared" si="26"/>
        <v>0.97</v>
      </c>
      <c r="DI150">
        <f t="shared" si="24"/>
        <v>0</v>
      </c>
      <c r="DJ150">
        <f>DG150</f>
        <v>6.4</v>
      </c>
      <c r="DK150">
        <v>0</v>
      </c>
      <c r="DL150" t="s">
        <v>489</v>
      </c>
      <c r="DM150">
        <v>0</v>
      </c>
      <c r="DN150" t="s">
        <v>484</v>
      </c>
      <c r="DO150">
        <v>12.62</v>
      </c>
    </row>
    <row r="151" spans="1:119" x14ac:dyDescent="0.2">
      <c r="A151">
        <f>ROW(Source!A135)</f>
        <v>135</v>
      </c>
      <c r="B151">
        <v>60255014</v>
      </c>
      <c r="C151">
        <v>60256256</v>
      </c>
      <c r="D151">
        <v>59070721</v>
      </c>
      <c r="E151">
        <v>1</v>
      </c>
      <c r="F151">
        <v>1</v>
      </c>
      <c r="G151">
        <v>1080</v>
      </c>
      <c r="H151">
        <v>2</v>
      </c>
      <c r="I151" t="s">
        <v>497</v>
      </c>
      <c r="J151" t="s">
        <v>498</v>
      </c>
      <c r="K151" t="s">
        <v>499</v>
      </c>
      <c r="L151">
        <v>1368</v>
      </c>
      <c r="N151">
        <v>1011</v>
      </c>
      <c r="O151" t="s">
        <v>488</v>
      </c>
      <c r="P151" t="s">
        <v>488</v>
      </c>
      <c r="Q151">
        <v>1</v>
      </c>
      <c r="W151">
        <v>0</v>
      </c>
      <c r="X151">
        <v>1387779639</v>
      </c>
      <c r="Y151">
        <f>((AT151*1.1)*1.25)</f>
        <v>2.5575000000000001</v>
      </c>
      <c r="AA151">
        <v>0</v>
      </c>
      <c r="AB151">
        <v>0.82</v>
      </c>
      <c r="AC151">
        <v>0</v>
      </c>
      <c r="AD151">
        <v>0</v>
      </c>
      <c r="AE151">
        <v>0</v>
      </c>
      <c r="AF151">
        <v>0.77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1.86</v>
      </c>
      <c r="AU151" t="s">
        <v>198</v>
      </c>
      <c r="AV151">
        <v>0</v>
      </c>
      <c r="AW151">
        <v>2</v>
      </c>
      <c r="AX151">
        <v>60256270</v>
      </c>
      <c r="AY151">
        <v>1</v>
      </c>
      <c r="AZ151">
        <v>0</v>
      </c>
      <c r="BA151">
        <v>167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ROUND(Y151*Source!I135*DO151,9)</f>
        <v>0</v>
      </c>
      <c r="CX151">
        <f>ROUND(Y151*Source!I135,9)</f>
        <v>0.25574999999999998</v>
      </c>
      <c r="CY151">
        <f>AB151</f>
        <v>0.82</v>
      </c>
      <c r="CZ151">
        <f>AF151</f>
        <v>0.77</v>
      </c>
      <c r="DA151">
        <f>AJ151</f>
        <v>1</v>
      </c>
      <c r="DB151">
        <f>ROUND(((ROUND(AT151*CZ151,2)*1.1)*1.25),6)</f>
        <v>1.9662500000000001</v>
      </c>
      <c r="DC151">
        <f>ROUND(((ROUND(AT151*AG151,2)*1.1)*1.25),6)</f>
        <v>0</v>
      </c>
      <c r="DD151" t="s">
        <v>3</v>
      </c>
      <c r="DE151" t="s">
        <v>3</v>
      </c>
      <c r="DF151">
        <f t="shared" si="27"/>
        <v>0</v>
      </c>
      <c r="DG151">
        <f t="shared" si="25"/>
        <v>0.2</v>
      </c>
      <c r="DH151">
        <f t="shared" si="26"/>
        <v>0</v>
      </c>
      <c r="DI151">
        <f t="shared" si="24"/>
        <v>0</v>
      </c>
      <c r="DJ151">
        <f>DG151</f>
        <v>0.2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ROW(Source!A135)</f>
        <v>135</v>
      </c>
      <c r="B152">
        <v>60255014</v>
      </c>
      <c r="C152">
        <v>60256256</v>
      </c>
      <c r="D152">
        <v>59070754</v>
      </c>
      <c r="E152">
        <v>1</v>
      </c>
      <c r="F152">
        <v>1</v>
      </c>
      <c r="G152">
        <v>1080</v>
      </c>
      <c r="H152">
        <v>2</v>
      </c>
      <c r="I152" t="s">
        <v>500</v>
      </c>
      <c r="J152" t="s">
        <v>501</v>
      </c>
      <c r="K152" t="s">
        <v>502</v>
      </c>
      <c r="L152">
        <v>1368</v>
      </c>
      <c r="N152">
        <v>1011</v>
      </c>
      <c r="O152" t="s">
        <v>488</v>
      </c>
      <c r="P152" t="s">
        <v>488</v>
      </c>
      <c r="Q152">
        <v>1</v>
      </c>
      <c r="W152">
        <v>0</v>
      </c>
      <c r="X152">
        <v>1645565003</v>
      </c>
      <c r="Y152">
        <f>((AT152*1.1)*1.25)</f>
        <v>6.6412500000000012</v>
      </c>
      <c r="AA152">
        <v>0</v>
      </c>
      <c r="AB152">
        <v>0.5</v>
      </c>
      <c r="AC152">
        <v>0</v>
      </c>
      <c r="AD152">
        <v>0</v>
      </c>
      <c r="AE152">
        <v>0</v>
      </c>
      <c r="AF152">
        <v>0.47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4.83</v>
      </c>
      <c r="AU152" t="s">
        <v>198</v>
      </c>
      <c r="AV152">
        <v>0</v>
      </c>
      <c r="AW152">
        <v>2</v>
      </c>
      <c r="AX152">
        <v>60256271</v>
      </c>
      <c r="AY152">
        <v>1</v>
      </c>
      <c r="AZ152">
        <v>0</v>
      </c>
      <c r="BA152">
        <v>168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ROUND(Y152*Source!I135*DO152,9)</f>
        <v>0</v>
      </c>
      <c r="CX152">
        <f>ROUND(Y152*Source!I135,9)</f>
        <v>0.66412499999999997</v>
      </c>
      <c r="CY152">
        <f>AB152</f>
        <v>0.5</v>
      </c>
      <c r="CZ152">
        <f>AF152</f>
        <v>0.47</v>
      </c>
      <c r="DA152">
        <f>AJ152</f>
        <v>1</v>
      </c>
      <c r="DB152">
        <f>ROUND(((ROUND(AT152*CZ152,2)*1.1)*1.25),6)</f>
        <v>3.1212499999999999</v>
      </c>
      <c r="DC152">
        <f>ROUND(((ROUND(AT152*AG152,2)*1.1)*1.25),6)</f>
        <v>0</v>
      </c>
      <c r="DD152" t="s">
        <v>3</v>
      </c>
      <c r="DE152" t="s">
        <v>3</v>
      </c>
      <c r="DF152">
        <f t="shared" si="27"/>
        <v>0</v>
      </c>
      <c r="DG152">
        <f t="shared" si="25"/>
        <v>0.31</v>
      </c>
      <c r="DH152">
        <f t="shared" si="26"/>
        <v>0</v>
      </c>
      <c r="DI152">
        <f t="shared" si="24"/>
        <v>0</v>
      </c>
      <c r="DJ152">
        <f>DG152</f>
        <v>0.31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ROW(Source!A135)</f>
        <v>135</v>
      </c>
      <c r="B153">
        <v>60255014</v>
      </c>
      <c r="C153">
        <v>60256256</v>
      </c>
      <c r="D153">
        <v>59069905</v>
      </c>
      <c r="E153">
        <v>1</v>
      </c>
      <c r="F153">
        <v>1</v>
      </c>
      <c r="G153">
        <v>1080</v>
      </c>
      <c r="H153">
        <v>2</v>
      </c>
      <c r="I153" t="s">
        <v>503</v>
      </c>
      <c r="J153" t="s">
        <v>504</v>
      </c>
      <c r="K153" t="s">
        <v>505</v>
      </c>
      <c r="L153">
        <v>1368</v>
      </c>
      <c r="N153">
        <v>1011</v>
      </c>
      <c r="O153" t="s">
        <v>488</v>
      </c>
      <c r="P153" t="s">
        <v>488</v>
      </c>
      <c r="Q153">
        <v>1</v>
      </c>
      <c r="W153">
        <v>0</v>
      </c>
      <c r="X153">
        <v>1087580389</v>
      </c>
      <c r="Y153">
        <f>((AT153*1.1)*1.25)</f>
        <v>0.89375000000000004</v>
      </c>
      <c r="AA153">
        <v>0</v>
      </c>
      <c r="AB153">
        <v>191.17</v>
      </c>
      <c r="AC153">
        <v>18.059999999999999</v>
      </c>
      <c r="AD153">
        <v>0</v>
      </c>
      <c r="AE153">
        <v>0</v>
      </c>
      <c r="AF153">
        <v>179.17</v>
      </c>
      <c r="AG153">
        <v>16.93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0.65</v>
      </c>
      <c r="AU153" t="s">
        <v>198</v>
      </c>
      <c r="AV153">
        <v>0</v>
      </c>
      <c r="AW153">
        <v>2</v>
      </c>
      <c r="AX153">
        <v>60256269</v>
      </c>
      <c r="AY153">
        <v>1</v>
      </c>
      <c r="AZ153">
        <v>0</v>
      </c>
      <c r="BA153">
        <v>169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ROUND(Y153*Source!I135*DO153,9)</f>
        <v>1.5131187500000001</v>
      </c>
      <c r="CX153">
        <f>ROUND(Y153*Source!I135,9)</f>
        <v>8.9374999999999996E-2</v>
      </c>
      <c r="CY153">
        <f>AB153</f>
        <v>191.17</v>
      </c>
      <c r="CZ153">
        <f>AF153</f>
        <v>179.17</v>
      </c>
      <c r="DA153">
        <f>AJ153</f>
        <v>1</v>
      </c>
      <c r="DB153">
        <f>ROUND(((ROUND(AT153*CZ153,2)*1.1)*1.25),6)</f>
        <v>160.13249999999999</v>
      </c>
      <c r="DC153">
        <f>ROUND(((ROUND(AT153*AG153,2)*1.1)*1.25),6)</f>
        <v>15.125</v>
      </c>
      <c r="DD153" t="s">
        <v>3</v>
      </c>
      <c r="DE153" t="s">
        <v>3</v>
      </c>
      <c r="DF153">
        <f t="shared" si="27"/>
        <v>0</v>
      </c>
      <c r="DG153">
        <f t="shared" si="25"/>
        <v>16.010000000000002</v>
      </c>
      <c r="DH153">
        <f t="shared" si="26"/>
        <v>1.51</v>
      </c>
      <c r="DI153">
        <f t="shared" si="24"/>
        <v>0</v>
      </c>
      <c r="DJ153">
        <f>DG153</f>
        <v>16.010000000000002</v>
      </c>
      <c r="DK153">
        <v>0</v>
      </c>
      <c r="DL153" t="s">
        <v>489</v>
      </c>
      <c r="DM153">
        <v>0</v>
      </c>
      <c r="DN153" t="s">
        <v>484</v>
      </c>
      <c r="DO153">
        <v>16.93</v>
      </c>
    </row>
    <row r="154" spans="1:119" x14ac:dyDescent="0.2">
      <c r="A154">
        <f>ROW(Source!A135)</f>
        <v>135</v>
      </c>
      <c r="B154">
        <v>60255014</v>
      </c>
      <c r="C154">
        <v>60256256</v>
      </c>
      <c r="D154">
        <v>59038905</v>
      </c>
      <c r="E154">
        <v>1</v>
      </c>
      <c r="F154">
        <v>1</v>
      </c>
      <c r="G154">
        <v>1080</v>
      </c>
      <c r="H154">
        <v>3</v>
      </c>
      <c r="I154" t="s">
        <v>506</v>
      </c>
      <c r="J154" t="s">
        <v>507</v>
      </c>
      <c r="K154" t="s">
        <v>508</v>
      </c>
      <c r="L154">
        <v>1339</v>
      </c>
      <c r="N154">
        <v>1007</v>
      </c>
      <c r="O154" t="s">
        <v>509</v>
      </c>
      <c r="P154" t="s">
        <v>509</v>
      </c>
      <c r="Q154">
        <v>1</v>
      </c>
      <c r="W154">
        <v>0</v>
      </c>
      <c r="X154">
        <v>-744103292</v>
      </c>
      <c r="Y154">
        <f>AT154</f>
        <v>0.44800000000000001</v>
      </c>
      <c r="AA154">
        <v>7.07</v>
      </c>
      <c r="AB154">
        <v>0</v>
      </c>
      <c r="AC154">
        <v>0</v>
      </c>
      <c r="AD154">
        <v>0</v>
      </c>
      <c r="AE154">
        <v>7.07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0.44800000000000001</v>
      </c>
      <c r="AU154" t="s">
        <v>3</v>
      </c>
      <c r="AV154">
        <v>0</v>
      </c>
      <c r="AW154">
        <v>2</v>
      </c>
      <c r="AX154">
        <v>60256272</v>
      </c>
      <c r="AY154">
        <v>1</v>
      </c>
      <c r="AZ154">
        <v>0</v>
      </c>
      <c r="BA154">
        <v>170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ROUND(Y154*Source!I135,9)</f>
        <v>4.48E-2</v>
      </c>
      <c r="CY154">
        <f>AA154</f>
        <v>7.07</v>
      </c>
      <c r="CZ154">
        <f>AE154</f>
        <v>7.07</v>
      </c>
      <c r="DA154">
        <f>AI154</f>
        <v>1</v>
      </c>
      <c r="DB154">
        <f>ROUND(ROUND(AT154*CZ154,2),6)</f>
        <v>3.17</v>
      </c>
      <c r="DC154">
        <f>ROUND(ROUND(AT154*AG154,2),6)</f>
        <v>0</v>
      </c>
      <c r="DD154" t="s">
        <v>3</v>
      </c>
      <c r="DE154" t="s">
        <v>3</v>
      </c>
      <c r="DF154">
        <f t="shared" si="27"/>
        <v>0.32</v>
      </c>
      <c r="DG154">
        <f t="shared" si="25"/>
        <v>0</v>
      </c>
      <c r="DH154">
        <f t="shared" si="26"/>
        <v>0</v>
      </c>
      <c r="DI154">
        <f t="shared" si="24"/>
        <v>0</v>
      </c>
      <c r="DJ154">
        <f>DF154</f>
        <v>0.32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ROW(Source!A135)</f>
        <v>135</v>
      </c>
      <c r="B155">
        <v>60255014</v>
      </c>
      <c r="C155">
        <v>60256256</v>
      </c>
      <c r="D155">
        <v>59045898</v>
      </c>
      <c r="E155">
        <v>1</v>
      </c>
      <c r="F155">
        <v>1</v>
      </c>
      <c r="G155">
        <v>1080</v>
      </c>
      <c r="H155">
        <v>3</v>
      </c>
      <c r="I155" t="s">
        <v>510</v>
      </c>
      <c r="J155" t="s">
        <v>511</v>
      </c>
      <c r="K155" t="s">
        <v>512</v>
      </c>
      <c r="L155">
        <v>1355</v>
      </c>
      <c r="N155">
        <v>1010</v>
      </c>
      <c r="O155" t="s">
        <v>96</v>
      </c>
      <c r="P155" t="s">
        <v>96</v>
      </c>
      <c r="Q155">
        <v>100</v>
      </c>
      <c r="W155">
        <v>0</v>
      </c>
      <c r="X155">
        <v>2062705997</v>
      </c>
      <c r="Y155">
        <f>AT155</f>
        <v>6.06</v>
      </c>
      <c r="AA155">
        <v>154.72</v>
      </c>
      <c r="AB155">
        <v>0</v>
      </c>
      <c r="AC155">
        <v>0</v>
      </c>
      <c r="AD155">
        <v>0</v>
      </c>
      <c r="AE155">
        <v>154.72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6.06</v>
      </c>
      <c r="AU155" t="s">
        <v>3</v>
      </c>
      <c r="AV155">
        <v>0</v>
      </c>
      <c r="AW155">
        <v>2</v>
      </c>
      <c r="AX155">
        <v>60256273</v>
      </c>
      <c r="AY155">
        <v>1</v>
      </c>
      <c r="AZ155">
        <v>0</v>
      </c>
      <c r="BA155">
        <v>171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ROUND(Y155*Source!I135,9)</f>
        <v>0.60599999999999998</v>
      </c>
      <c r="CY155">
        <f>AA155</f>
        <v>154.72</v>
      </c>
      <c r="CZ155">
        <f>AE155</f>
        <v>154.72</v>
      </c>
      <c r="DA155">
        <f>AI155</f>
        <v>1</v>
      </c>
      <c r="DB155">
        <f>ROUND(ROUND(AT155*CZ155,2),6)</f>
        <v>937.6</v>
      </c>
      <c r="DC155">
        <f>ROUND(ROUND(AT155*AG155,2),6)</f>
        <v>0</v>
      </c>
      <c r="DD155" t="s">
        <v>3</v>
      </c>
      <c r="DE155" t="s">
        <v>3</v>
      </c>
      <c r="DF155">
        <f t="shared" si="27"/>
        <v>93.76</v>
      </c>
      <c r="DG155">
        <f t="shared" si="25"/>
        <v>0</v>
      </c>
      <c r="DH155">
        <f t="shared" si="26"/>
        <v>0</v>
      </c>
      <c r="DI155">
        <f t="shared" si="24"/>
        <v>0</v>
      </c>
      <c r="DJ155">
        <f>DF155</f>
        <v>93.76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ROW(Source!A135)</f>
        <v>135</v>
      </c>
      <c r="B156">
        <v>60255014</v>
      </c>
      <c r="C156">
        <v>60256256</v>
      </c>
      <c r="D156">
        <v>59056195</v>
      </c>
      <c r="E156">
        <v>1</v>
      </c>
      <c r="F156">
        <v>1</v>
      </c>
      <c r="G156">
        <v>1080</v>
      </c>
      <c r="H156">
        <v>3</v>
      </c>
      <c r="I156" t="s">
        <v>513</v>
      </c>
      <c r="J156" t="s">
        <v>514</v>
      </c>
      <c r="K156" t="s">
        <v>515</v>
      </c>
      <c r="L156">
        <v>1354</v>
      </c>
      <c r="N156">
        <v>1010</v>
      </c>
      <c r="O156" t="s">
        <v>31</v>
      </c>
      <c r="P156" t="s">
        <v>31</v>
      </c>
      <c r="Q156">
        <v>1</v>
      </c>
      <c r="W156">
        <v>0</v>
      </c>
      <c r="X156">
        <v>-572380273</v>
      </c>
      <c r="Y156">
        <f>AT156</f>
        <v>300</v>
      </c>
      <c r="AA156">
        <v>7.24</v>
      </c>
      <c r="AB156">
        <v>0</v>
      </c>
      <c r="AC156">
        <v>0</v>
      </c>
      <c r="AD156">
        <v>0</v>
      </c>
      <c r="AE156">
        <v>7.24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300</v>
      </c>
      <c r="AU156" t="s">
        <v>3</v>
      </c>
      <c r="AV156">
        <v>0</v>
      </c>
      <c r="AW156">
        <v>2</v>
      </c>
      <c r="AX156">
        <v>60256274</v>
      </c>
      <c r="AY156">
        <v>1</v>
      </c>
      <c r="AZ156">
        <v>0</v>
      </c>
      <c r="BA156">
        <v>172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ROUND(Y156*Source!I135,9)</f>
        <v>30</v>
      </c>
      <c r="CY156">
        <f>AA156</f>
        <v>7.24</v>
      </c>
      <c r="CZ156">
        <f>AE156</f>
        <v>7.24</v>
      </c>
      <c r="DA156">
        <f>AI156</f>
        <v>1</v>
      </c>
      <c r="DB156">
        <f>ROUND(ROUND(AT156*CZ156,2),6)</f>
        <v>2172</v>
      </c>
      <c r="DC156">
        <f>ROUND(ROUND(AT156*AG156,2),6)</f>
        <v>0</v>
      </c>
      <c r="DD156" t="s">
        <v>3</v>
      </c>
      <c r="DE156" t="s">
        <v>3</v>
      </c>
      <c r="DF156">
        <f t="shared" si="27"/>
        <v>217.2</v>
      </c>
      <c r="DG156">
        <f t="shared" si="25"/>
        <v>0</v>
      </c>
      <c r="DH156">
        <f t="shared" si="26"/>
        <v>0</v>
      </c>
      <c r="DI156">
        <f t="shared" si="24"/>
        <v>0</v>
      </c>
      <c r="DJ156">
        <f>DF156</f>
        <v>217.2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ROW(Source!A135)</f>
        <v>135</v>
      </c>
      <c r="B157">
        <v>60255014</v>
      </c>
      <c r="C157">
        <v>60256256</v>
      </c>
      <c r="D157">
        <v>59049377</v>
      </c>
      <c r="E157">
        <v>1</v>
      </c>
      <c r="F157">
        <v>1</v>
      </c>
      <c r="G157">
        <v>1080</v>
      </c>
      <c r="H157">
        <v>3</v>
      </c>
      <c r="I157" t="s">
        <v>516</v>
      </c>
      <c r="J157" t="s">
        <v>517</v>
      </c>
      <c r="K157" t="s">
        <v>518</v>
      </c>
      <c r="L157">
        <v>1354</v>
      </c>
      <c r="N157">
        <v>1010</v>
      </c>
      <c r="O157" t="s">
        <v>31</v>
      </c>
      <c r="P157" t="s">
        <v>31</v>
      </c>
      <c r="Q157">
        <v>1</v>
      </c>
      <c r="W157">
        <v>0</v>
      </c>
      <c r="X157">
        <v>501598144</v>
      </c>
      <c r="Y157">
        <f>AT157</f>
        <v>1.026</v>
      </c>
      <c r="AA157">
        <v>6.12</v>
      </c>
      <c r="AB157">
        <v>0</v>
      </c>
      <c r="AC157">
        <v>0</v>
      </c>
      <c r="AD157">
        <v>0</v>
      </c>
      <c r="AE157">
        <v>6.12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1.026</v>
      </c>
      <c r="AU157" t="s">
        <v>3</v>
      </c>
      <c r="AV157">
        <v>0</v>
      </c>
      <c r="AW157">
        <v>2</v>
      </c>
      <c r="AX157">
        <v>60256275</v>
      </c>
      <c r="AY157">
        <v>1</v>
      </c>
      <c r="AZ157">
        <v>0</v>
      </c>
      <c r="BA157">
        <v>173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ROUND(Y157*Source!I135,9)</f>
        <v>0.1026</v>
      </c>
      <c r="CY157">
        <f>AA157</f>
        <v>6.12</v>
      </c>
      <c r="CZ157">
        <f>AE157</f>
        <v>6.12</v>
      </c>
      <c r="DA157">
        <f>AI157</f>
        <v>1</v>
      </c>
      <c r="DB157">
        <f>ROUND(ROUND(AT157*CZ157,2),6)</f>
        <v>6.28</v>
      </c>
      <c r="DC157">
        <f>ROUND(ROUND(AT157*AG157,2),6)</f>
        <v>0</v>
      </c>
      <c r="DD157" t="s">
        <v>3</v>
      </c>
      <c r="DE157" t="s">
        <v>3</v>
      </c>
      <c r="DF157">
        <f t="shared" si="27"/>
        <v>0.63</v>
      </c>
      <c r="DG157">
        <f t="shared" si="25"/>
        <v>0</v>
      </c>
      <c r="DH157">
        <f t="shared" si="26"/>
        <v>0</v>
      </c>
      <c r="DI157">
        <f t="shared" si="24"/>
        <v>0</v>
      </c>
      <c r="DJ157">
        <f>DF157</f>
        <v>0.63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ROW(Source!A135)</f>
        <v>135</v>
      </c>
      <c r="B158">
        <v>60255014</v>
      </c>
      <c r="C158">
        <v>60256256</v>
      </c>
      <c r="D158">
        <v>59004259</v>
      </c>
      <c r="E158">
        <v>1080</v>
      </c>
      <c r="F158">
        <v>1</v>
      </c>
      <c r="G158">
        <v>1080</v>
      </c>
      <c r="H158">
        <v>3</v>
      </c>
      <c r="I158" t="s">
        <v>519</v>
      </c>
      <c r="J158" t="s">
        <v>3</v>
      </c>
      <c r="K158" t="s">
        <v>520</v>
      </c>
      <c r="L158">
        <v>1344</v>
      </c>
      <c r="N158">
        <v>1008</v>
      </c>
      <c r="O158" t="s">
        <v>521</v>
      </c>
      <c r="P158" t="s">
        <v>521</v>
      </c>
      <c r="Q158">
        <v>1</v>
      </c>
      <c r="W158">
        <v>0</v>
      </c>
      <c r="X158">
        <v>-94250534</v>
      </c>
      <c r="Y158">
        <f>AT158</f>
        <v>0.06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0.06</v>
      </c>
      <c r="AU158" t="s">
        <v>3</v>
      </c>
      <c r="AV158">
        <v>0</v>
      </c>
      <c r="AW158">
        <v>2</v>
      </c>
      <c r="AX158">
        <v>60256277</v>
      </c>
      <c r="AY158">
        <v>1</v>
      </c>
      <c r="AZ158">
        <v>0</v>
      </c>
      <c r="BA158">
        <v>175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ROUND(Y158*Source!I135,9)</f>
        <v>6.0000000000000001E-3</v>
      </c>
      <c r="CY158">
        <f>AA158</f>
        <v>1</v>
      </c>
      <c r="CZ158">
        <f>AE158</f>
        <v>1</v>
      </c>
      <c r="DA158">
        <f>AI158</f>
        <v>1</v>
      </c>
      <c r="DB158">
        <f>ROUND(ROUND(AT158*CZ158,2),6)</f>
        <v>0.06</v>
      </c>
      <c r="DC158">
        <f>ROUND(ROUND(AT158*AG158,2),6)</f>
        <v>0</v>
      </c>
      <c r="DD158" t="s">
        <v>3</v>
      </c>
      <c r="DE158" t="s">
        <v>3</v>
      </c>
      <c r="DF158">
        <f t="shared" si="27"/>
        <v>0.01</v>
      </c>
      <c r="DG158">
        <f t="shared" si="25"/>
        <v>0</v>
      </c>
      <c r="DH158">
        <f t="shared" si="26"/>
        <v>0</v>
      </c>
      <c r="DI158">
        <f t="shared" si="24"/>
        <v>0</v>
      </c>
      <c r="DJ158">
        <f>DF158</f>
        <v>0.01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ROW(Source!A136)</f>
        <v>136</v>
      </c>
      <c r="B159">
        <v>60255011</v>
      </c>
      <c r="C159">
        <v>60256256</v>
      </c>
      <c r="D159">
        <v>58999254</v>
      </c>
      <c r="E159">
        <v>1080</v>
      </c>
      <c r="F159">
        <v>1</v>
      </c>
      <c r="G159">
        <v>1080</v>
      </c>
      <c r="H159">
        <v>1</v>
      </c>
      <c r="I159" t="s">
        <v>482</v>
      </c>
      <c r="J159" t="s">
        <v>3</v>
      </c>
      <c r="K159" t="s">
        <v>483</v>
      </c>
      <c r="L159">
        <v>1191</v>
      </c>
      <c r="N159">
        <v>1013</v>
      </c>
      <c r="O159" t="s">
        <v>484</v>
      </c>
      <c r="P159" t="s">
        <v>484</v>
      </c>
      <c r="Q159">
        <v>1</v>
      </c>
      <c r="W159">
        <v>0</v>
      </c>
      <c r="X159">
        <v>476480486</v>
      </c>
      <c r="Y159">
        <f>((AT159*1.1)*1.15)</f>
        <v>123.40075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97.55</v>
      </c>
      <c r="AU159" t="s">
        <v>199</v>
      </c>
      <c r="AV159">
        <v>1</v>
      </c>
      <c r="AW159">
        <v>2</v>
      </c>
      <c r="AX159">
        <v>60256267</v>
      </c>
      <c r="AY159">
        <v>1</v>
      </c>
      <c r="AZ159">
        <v>0</v>
      </c>
      <c r="BA159">
        <v>176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ROUND(AT159*Source!I136*AH159*AL159,2)</f>
        <v>0</v>
      </c>
      <c r="CV159">
        <f>ROUND(Y159*Source!I136,9)</f>
        <v>12.340075000000001</v>
      </c>
      <c r="CW159">
        <v>0</v>
      </c>
      <c r="CX159">
        <f>ROUND(Y159*Source!I136,9)</f>
        <v>12.340075000000001</v>
      </c>
      <c r="CY159">
        <f>AD159</f>
        <v>0</v>
      </c>
      <c r="CZ159">
        <f>AH159</f>
        <v>0</v>
      </c>
      <c r="DA159">
        <f>AL159</f>
        <v>1</v>
      </c>
      <c r="DB159">
        <f>ROUND(((ROUND(AT159*CZ159,2)*1.1)*1.15),6)</f>
        <v>0</v>
      </c>
      <c r="DC159">
        <f>ROUND(((ROUND(AT159*AG159,2)*1.1)*1.15),6)</f>
        <v>0</v>
      </c>
      <c r="DD159" t="s">
        <v>3</v>
      </c>
      <c r="DE159" t="s">
        <v>3</v>
      </c>
      <c r="DF159">
        <f t="shared" si="27"/>
        <v>0</v>
      </c>
      <c r="DG159">
        <f t="shared" si="25"/>
        <v>0</v>
      </c>
      <c r="DH159">
        <f t="shared" si="26"/>
        <v>0</v>
      </c>
      <c r="DI159">
        <f t="shared" si="24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ROW(Source!A136)</f>
        <v>136</v>
      </c>
      <c r="B160">
        <v>60255011</v>
      </c>
      <c r="C160">
        <v>60256256</v>
      </c>
      <c r="D160">
        <v>59070669</v>
      </c>
      <c r="E160">
        <v>1</v>
      </c>
      <c r="F160">
        <v>1</v>
      </c>
      <c r="G160">
        <v>1080</v>
      </c>
      <c r="H160">
        <v>2</v>
      </c>
      <c r="I160" t="s">
        <v>485</v>
      </c>
      <c r="J160" t="s">
        <v>486</v>
      </c>
      <c r="K160" t="s">
        <v>487</v>
      </c>
      <c r="L160">
        <v>1368</v>
      </c>
      <c r="N160">
        <v>1011</v>
      </c>
      <c r="O160" t="s">
        <v>488</v>
      </c>
      <c r="P160" t="s">
        <v>488</v>
      </c>
      <c r="Q160">
        <v>1</v>
      </c>
      <c r="W160">
        <v>0</v>
      </c>
      <c r="X160">
        <v>-1985943078</v>
      </c>
      <c r="Y160">
        <f>((AT160*1.1)*1.25)</f>
        <v>0.77000000000000013</v>
      </c>
      <c r="AA160">
        <v>0</v>
      </c>
      <c r="AB160">
        <v>1445.28</v>
      </c>
      <c r="AC160">
        <v>740.47</v>
      </c>
      <c r="AD160">
        <v>0</v>
      </c>
      <c r="AE160">
        <v>0</v>
      </c>
      <c r="AF160">
        <v>83.1</v>
      </c>
      <c r="AG160">
        <v>12.62</v>
      </c>
      <c r="AH160">
        <v>0</v>
      </c>
      <c r="AI160">
        <v>1</v>
      </c>
      <c r="AJ160">
        <v>16.3</v>
      </c>
      <c r="AK160">
        <v>54.99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0.56000000000000005</v>
      </c>
      <c r="AU160" t="s">
        <v>198</v>
      </c>
      <c r="AV160">
        <v>0</v>
      </c>
      <c r="AW160">
        <v>2</v>
      </c>
      <c r="AX160">
        <v>60256268</v>
      </c>
      <c r="AY160">
        <v>1</v>
      </c>
      <c r="AZ160">
        <v>0</v>
      </c>
      <c r="BA160">
        <v>177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ROUND(Y160*Source!I136*DO160,9)</f>
        <v>0.97174000000000005</v>
      </c>
      <c r="CX160">
        <f>ROUND(Y160*Source!I136,9)</f>
        <v>7.6999999999999999E-2</v>
      </c>
      <c r="CY160">
        <f>AB160</f>
        <v>1445.28</v>
      </c>
      <c r="CZ160">
        <f>AF160</f>
        <v>83.1</v>
      </c>
      <c r="DA160">
        <f>AJ160</f>
        <v>16.3</v>
      </c>
      <c r="DB160">
        <f>ROUND(((ROUND(AT160*CZ160,2)*1.1)*1.25),6)</f>
        <v>63.9925</v>
      </c>
      <c r="DC160">
        <f>ROUND(((ROUND(AT160*AG160,2)*1.1)*1.25),6)</f>
        <v>9.7212499999999995</v>
      </c>
      <c r="DD160" t="s">
        <v>3</v>
      </c>
      <c r="DE160" t="s">
        <v>3</v>
      </c>
      <c r="DF160">
        <f t="shared" si="27"/>
        <v>0</v>
      </c>
      <c r="DG160">
        <f>ROUND(ROUND(AF160*AJ160,2)*CX160,2)</f>
        <v>104.3</v>
      </c>
      <c r="DH160">
        <f>ROUND(ROUND(AG160*AK160,2)*CX160,2)</f>
        <v>53.44</v>
      </c>
      <c r="DI160">
        <f t="shared" si="24"/>
        <v>0</v>
      </c>
      <c r="DJ160">
        <f>DG160</f>
        <v>104.3</v>
      </c>
      <c r="DK160">
        <v>0</v>
      </c>
      <c r="DL160" t="s">
        <v>489</v>
      </c>
      <c r="DM160">
        <v>0</v>
      </c>
      <c r="DN160" t="s">
        <v>484</v>
      </c>
      <c r="DO160">
        <v>12.62</v>
      </c>
    </row>
    <row r="161" spans="1:119" x14ac:dyDescent="0.2">
      <c r="A161">
        <f>ROW(Source!A136)</f>
        <v>136</v>
      </c>
      <c r="B161">
        <v>60255011</v>
      </c>
      <c r="C161">
        <v>60256256</v>
      </c>
      <c r="D161">
        <v>59070721</v>
      </c>
      <c r="E161">
        <v>1</v>
      </c>
      <c r="F161">
        <v>1</v>
      </c>
      <c r="G161">
        <v>1080</v>
      </c>
      <c r="H161">
        <v>2</v>
      </c>
      <c r="I161" t="s">
        <v>497</v>
      </c>
      <c r="J161" t="s">
        <v>498</v>
      </c>
      <c r="K161" t="s">
        <v>499</v>
      </c>
      <c r="L161">
        <v>1368</v>
      </c>
      <c r="N161">
        <v>1011</v>
      </c>
      <c r="O161" t="s">
        <v>488</v>
      </c>
      <c r="P161" t="s">
        <v>488</v>
      </c>
      <c r="Q161">
        <v>1</v>
      </c>
      <c r="W161">
        <v>0</v>
      </c>
      <c r="X161">
        <v>1387779639</v>
      </c>
      <c r="Y161">
        <f>((AT161*1.1)*1.25)</f>
        <v>2.5575000000000001</v>
      </c>
      <c r="AA161">
        <v>0</v>
      </c>
      <c r="AB161">
        <v>7.11</v>
      </c>
      <c r="AC161">
        <v>0</v>
      </c>
      <c r="AD161">
        <v>0</v>
      </c>
      <c r="AE161">
        <v>0</v>
      </c>
      <c r="AF161">
        <v>0.77</v>
      </c>
      <c r="AG161">
        <v>0</v>
      </c>
      <c r="AH161">
        <v>0</v>
      </c>
      <c r="AI161">
        <v>1</v>
      </c>
      <c r="AJ161">
        <v>8.66</v>
      </c>
      <c r="AK161">
        <v>54.99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1.86</v>
      </c>
      <c r="AU161" t="s">
        <v>198</v>
      </c>
      <c r="AV161">
        <v>0</v>
      </c>
      <c r="AW161">
        <v>2</v>
      </c>
      <c r="AX161">
        <v>60256270</v>
      </c>
      <c r="AY161">
        <v>1</v>
      </c>
      <c r="AZ161">
        <v>0</v>
      </c>
      <c r="BA161">
        <v>178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ROUND(Y161*Source!I136*DO161,9)</f>
        <v>0</v>
      </c>
      <c r="CX161">
        <f>ROUND(Y161*Source!I136,9)</f>
        <v>0.25574999999999998</v>
      </c>
      <c r="CY161">
        <f>AB161</f>
        <v>7.11</v>
      </c>
      <c r="CZ161">
        <f>AF161</f>
        <v>0.77</v>
      </c>
      <c r="DA161">
        <f>AJ161</f>
        <v>8.66</v>
      </c>
      <c r="DB161">
        <f>ROUND(((ROUND(AT161*CZ161,2)*1.1)*1.25),6)</f>
        <v>1.9662500000000001</v>
      </c>
      <c r="DC161">
        <f>ROUND(((ROUND(AT161*AG161,2)*1.1)*1.25),6)</f>
        <v>0</v>
      </c>
      <c r="DD161" t="s">
        <v>3</v>
      </c>
      <c r="DE161" t="s">
        <v>3</v>
      </c>
      <c r="DF161">
        <f t="shared" si="27"/>
        <v>0</v>
      </c>
      <c r="DG161">
        <f>ROUND(ROUND(AF161*AJ161,2)*CX161,2)</f>
        <v>1.71</v>
      </c>
      <c r="DH161">
        <f>ROUND(ROUND(AG161*AK161,2)*CX161,2)</f>
        <v>0</v>
      </c>
      <c r="DI161">
        <f t="shared" si="24"/>
        <v>0</v>
      </c>
      <c r="DJ161">
        <f>DG161</f>
        <v>1.71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ROW(Source!A136)</f>
        <v>136</v>
      </c>
      <c r="B162">
        <v>60255011</v>
      </c>
      <c r="C162">
        <v>60256256</v>
      </c>
      <c r="D162">
        <v>59070754</v>
      </c>
      <c r="E162">
        <v>1</v>
      </c>
      <c r="F162">
        <v>1</v>
      </c>
      <c r="G162">
        <v>1080</v>
      </c>
      <c r="H162">
        <v>2</v>
      </c>
      <c r="I162" t="s">
        <v>500</v>
      </c>
      <c r="J162" t="s">
        <v>501</v>
      </c>
      <c r="K162" t="s">
        <v>502</v>
      </c>
      <c r="L162">
        <v>1368</v>
      </c>
      <c r="N162">
        <v>1011</v>
      </c>
      <c r="O162" t="s">
        <v>488</v>
      </c>
      <c r="P162" t="s">
        <v>488</v>
      </c>
      <c r="Q162">
        <v>1</v>
      </c>
      <c r="W162">
        <v>0</v>
      </c>
      <c r="X162">
        <v>1645565003</v>
      </c>
      <c r="Y162">
        <f>((AT162*1.1)*1.25)</f>
        <v>6.6412500000000012</v>
      </c>
      <c r="AA162">
        <v>0</v>
      </c>
      <c r="AB162">
        <v>4.38</v>
      </c>
      <c r="AC162">
        <v>0</v>
      </c>
      <c r="AD162">
        <v>0</v>
      </c>
      <c r="AE162">
        <v>0</v>
      </c>
      <c r="AF162">
        <v>0.47</v>
      </c>
      <c r="AG162">
        <v>0</v>
      </c>
      <c r="AH162">
        <v>0</v>
      </c>
      <c r="AI162">
        <v>1</v>
      </c>
      <c r="AJ162">
        <v>8.74</v>
      </c>
      <c r="AK162">
        <v>54.99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4.83</v>
      </c>
      <c r="AU162" t="s">
        <v>198</v>
      </c>
      <c r="AV162">
        <v>0</v>
      </c>
      <c r="AW162">
        <v>2</v>
      </c>
      <c r="AX162">
        <v>60256271</v>
      </c>
      <c r="AY162">
        <v>1</v>
      </c>
      <c r="AZ162">
        <v>0</v>
      </c>
      <c r="BA162">
        <v>179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ROUND(Y162*Source!I136*DO162,9)</f>
        <v>0</v>
      </c>
      <c r="CX162">
        <f>ROUND(Y162*Source!I136,9)</f>
        <v>0.66412499999999997</v>
      </c>
      <c r="CY162">
        <f>AB162</f>
        <v>4.38</v>
      </c>
      <c r="CZ162">
        <f>AF162</f>
        <v>0.47</v>
      </c>
      <c r="DA162">
        <f>AJ162</f>
        <v>8.74</v>
      </c>
      <c r="DB162">
        <f>ROUND(((ROUND(AT162*CZ162,2)*1.1)*1.25),6)</f>
        <v>3.1212499999999999</v>
      </c>
      <c r="DC162">
        <f>ROUND(((ROUND(AT162*AG162,2)*1.1)*1.25),6)</f>
        <v>0</v>
      </c>
      <c r="DD162" t="s">
        <v>3</v>
      </c>
      <c r="DE162" t="s">
        <v>3</v>
      </c>
      <c r="DF162">
        <f t="shared" si="27"/>
        <v>0</v>
      </c>
      <c r="DG162">
        <f>ROUND(ROUND(AF162*AJ162,2)*CX162,2)</f>
        <v>2.73</v>
      </c>
      <c r="DH162">
        <f>ROUND(ROUND(AG162*AK162,2)*CX162,2)</f>
        <v>0</v>
      </c>
      <c r="DI162">
        <f t="shared" si="24"/>
        <v>0</v>
      </c>
      <c r="DJ162">
        <f>DG162</f>
        <v>2.73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ROW(Source!A136)</f>
        <v>136</v>
      </c>
      <c r="B163">
        <v>60255011</v>
      </c>
      <c r="C163">
        <v>60256256</v>
      </c>
      <c r="D163">
        <v>59069905</v>
      </c>
      <c r="E163">
        <v>1</v>
      </c>
      <c r="F163">
        <v>1</v>
      </c>
      <c r="G163">
        <v>1080</v>
      </c>
      <c r="H163">
        <v>2</v>
      </c>
      <c r="I163" t="s">
        <v>503</v>
      </c>
      <c r="J163" t="s">
        <v>504</v>
      </c>
      <c r="K163" t="s">
        <v>505</v>
      </c>
      <c r="L163">
        <v>1368</v>
      </c>
      <c r="N163">
        <v>1011</v>
      </c>
      <c r="O163" t="s">
        <v>488</v>
      </c>
      <c r="P163" t="s">
        <v>488</v>
      </c>
      <c r="Q163">
        <v>1</v>
      </c>
      <c r="W163">
        <v>0</v>
      </c>
      <c r="X163">
        <v>1087580389</v>
      </c>
      <c r="Y163">
        <f>((AT163*1.1)*1.25)</f>
        <v>0.89375000000000004</v>
      </c>
      <c r="AA163">
        <v>0</v>
      </c>
      <c r="AB163">
        <v>2628.65</v>
      </c>
      <c r="AC163">
        <v>993.36</v>
      </c>
      <c r="AD163">
        <v>0</v>
      </c>
      <c r="AE163">
        <v>0</v>
      </c>
      <c r="AF163">
        <v>179.17</v>
      </c>
      <c r="AG163">
        <v>16.93</v>
      </c>
      <c r="AH163">
        <v>0</v>
      </c>
      <c r="AI163">
        <v>1</v>
      </c>
      <c r="AJ163">
        <v>13.75</v>
      </c>
      <c r="AK163">
        <v>54.99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0.65</v>
      </c>
      <c r="AU163" t="s">
        <v>198</v>
      </c>
      <c r="AV163">
        <v>0</v>
      </c>
      <c r="AW163">
        <v>2</v>
      </c>
      <c r="AX163">
        <v>60256269</v>
      </c>
      <c r="AY163">
        <v>1</v>
      </c>
      <c r="AZ163">
        <v>0</v>
      </c>
      <c r="BA163">
        <v>180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ROUND(Y163*Source!I136*DO163,9)</f>
        <v>1.5131187500000001</v>
      </c>
      <c r="CX163">
        <f>ROUND(Y163*Source!I136,9)</f>
        <v>8.9374999999999996E-2</v>
      </c>
      <c r="CY163">
        <f>AB163</f>
        <v>2628.65</v>
      </c>
      <c r="CZ163">
        <f>AF163</f>
        <v>179.17</v>
      </c>
      <c r="DA163">
        <f>AJ163</f>
        <v>13.75</v>
      </c>
      <c r="DB163">
        <f>ROUND(((ROUND(AT163*CZ163,2)*1.1)*1.25),6)</f>
        <v>160.13249999999999</v>
      </c>
      <c r="DC163">
        <f>ROUND(((ROUND(AT163*AG163,2)*1.1)*1.25),6)</f>
        <v>15.125</v>
      </c>
      <c r="DD163" t="s">
        <v>3</v>
      </c>
      <c r="DE163" t="s">
        <v>3</v>
      </c>
      <c r="DF163">
        <f t="shared" si="27"/>
        <v>0</v>
      </c>
      <c r="DG163">
        <f>ROUND(ROUND(AF163*AJ163,2)*CX163,2)</f>
        <v>220.18</v>
      </c>
      <c r="DH163">
        <f>ROUND(ROUND(AG163*AK163,2)*CX163,2)</f>
        <v>83.21</v>
      </c>
      <c r="DI163">
        <f t="shared" si="24"/>
        <v>0</v>
      </c>
      <c r="DJ163">
        <f>DG163</f>
        <v>220.18</v>
      </c>
      <c r="DK163">
        <v>0</v>
      </c>
      <c r="DL163" t="s">
        <v>489</v>
      </c>
      <c r="DM163">
        <v>0</v>
      </c>
      <c r="DN163" t="s">
        <v>484</v>
      </c>
      <c r="DO163">
        <v>16.93</v>
      </c>
    </row>
    <row r="164" spans="1:119" x14ac:dyDescent="0.2">
      <c r="A164">
        <f>ROW(Source!A136)</f>
        <v>136</v>
      </c>
      <c r="B164">
        <v>60255011</v>
      </c>
      <c r="C164">
        <v>60256256</v>
      </c>
      <c r="D164">
        <v>59038905</v>
      </c>
      <c r="E164">
        <v>1</v>
      </c>
      <c r="F164">
        <v>1</v>
      </c>
      <c r="G164">
        <v>1080</v>
      </c>
      <c r="H164">
        <v>3</v>
      </c>
      <c r="I164" t="s">
        <v>506</v>
      </c>
      <c r="J164" t="s">
        <v>507</v>
      </c>
      <c r="K164" t="s">
        <v>508</v>
      </c>
      <c r="L164">
        <v>1339</v>
      </c>
      <c r="N164">
        <v>1007</v>
      </c>
      <c r="O164" t="s">
        <v>509</v>
      </c>
      <c r="P164" t="s">
        <v>509</v>
      </c>
      <c r="Q164">
        <v>1</v>
      </c>
      <c r="W164">
        <v>0</v>
      </c>
      <c r="X164">
        <v>-744103292</v>
      </c>
      <c r="Y164">
        <f>AT164</f>
        <v>0.44800000000000001</v>
      </c>
      <c r="AA164">
        <v>54.79</v>
      </c>
      <c r="AB164">
        <v>0</v>
      </c>
      <c r="AC164">
        <v>0</v>
      </c>
      <c r="AD164">
        <v>0</v>
      </c>
      <c r="AE164">
        <v>7.07</v>
      </c>
      <c r="AF164">
        <v>0</v>
      </c>
      <c r="AG164">
        <v>0</v>
      </c>
      <c r="AH164">
        <v>0</v>
      </c>
      <c r="AI164">
        <v>7.75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0.44800000000000001</v>
      </c>
      <c r="AU164" t="s">
        <v>3</v>
      </c>
      <c r="AV164">
        <v>0</v>
      </c>
      <c r="AW164">
        <v>2</v>
      </c>
      <c r="AX164">
        <v>60256272</v>
      </c>
      <c r="AY164">
        <v>1</v>
      </c>
      <c r="AZ164">
        <v>0</v>
      </c>
      <c r="BA164">
        <v>181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ROUND(Y164*Source!I136,9)</f>
        <v>4.48E-2</v>
      </c>
      <c r="CY164">
        <f>AA164</f>
        <v>54.79</v>
      </c>
      <c r="CZ164">
        <f>AE164</f>
        <v>7.07</v>
      </c>
      <c r="DA164">
        <f>AI164</f>
        <v>7.75</v>
      </c>
      <c r="DB164">
        <f>ROUND(ROUND(AT164*CZ164,2),6)</f>
        <v>3.17</v>
      </c>
      <c r="DC164">
        <f>ROUND(ROUND(AT164*AG164,2),6)</f>
        <v>0</v>
      </c>
      <c r="DD164" t="s">
        <v>3</v>
      </c>
      <c r="DE164" t="s">
        <v>3</v>
      </c>
      <c r="DF164">
        <f>ROUND(ROUND(AE164*AI164,2)*CX164,2)</f>
        <v>2.4500000000000002</v>
      </c>
      <c r="DG164">
        <f t="shared" ref="DG164:DG179" si="28">ROUND(ROUND(AF164,2)*CX164,2)</f>
        <v>0</v>
      </c>
      <c r="DH164">
        <f t="shared" ref="DH164:DH179" si="29">ROUND(ROUND(AG164,2)*CX164,2)</f>
        <v>0</v>
      </c>
      <c r="DI164">
        <f t="shared" si="24"/>
        <v>0</v>
      </c>
      <c r="DJ164">
        <f>DF164</f>
        <v>2.4500000000000002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ROW(Source!A136)</f>
        <v>136</v>
      </c>
      <c r="B165">
        <v>60255011</v>
      </c>
      <c r="C165">
        <v>60256256</v>
      </c>
      <c r="D165">
        <v>59045898</v>
      </c>
      <c r="E165">
        <v>1</v>
      </c>
      <c r="F165">
        <v>1</v>
      </c>
      <c r="G165">
        <v>1080</v>
      </c>
      <c r="H165">
        <v>3</v>
      </c>
      <c r="I165" t="s">
        <v>510</v>
      </c>
      <c r="J165" t="s">
        <v>511</v>
      </c>
      <c r="K165" t="s">
        <v>512</v>
      </c>
      <c r="L165">
        <v>1355</v>
      </c>
      <c r="N165">
        <v>1010</v>
      </c>
      <c r="O165" t="s">
        <v>96</v>
      </c>
      <c r="P165" t="s">
        <v>96</v>
      </c>
      <c r="Q165">
        <v>100</v>
      </c>
      <c r="W165">
        <v>0</v>
      </c>
      <c r="X165">
        <v>2062705997</v>
      </c>
      <c r="Y165">
        <f>AT165</f>
        <v>6.06</v>
      </c>
      <c r="AA165">
        <v>1401.76</v>
      </c>
      <c r="AB165">
        <v>0</v>
      </c>
      <c r="AC165">
        <v>0</v>
      </c>
      <c r="AD165">
        <v>0</v>
      </c>
      <c r="AE165">
        <v>154.72</v>
      </c>
      <c r="AF165">
        <v>0</v>
      </c>
      <c r="AG165">
        <v>0</v>
      </c>
      <c r="AH165">
        <v>0</v>
      </c>
      <c r="AI165">
        <v>9.06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6.06</v>
      </c>
      <c r="AU165" t="s">
        <v>3</v>
      </c>
      <c r="AV165">
        <v>0</v>
      </c>
      <c r="AW165">
        <v>2</v>
      </c>
      <c r="AX165">
        <v>60256273</v>
      </c>
      <c r="AY165">
        <v>1</v>
      </c>
      <c r="AZ165">
        <v>0</v>
      </c>
      <c r="BA165">
        <v>182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ROUND(Y165*Source!I136,9)</f>
        <v>0.60599999999999998</v>
      </c>
      <c r="CY165">
        <f>AA165</f>
        <v>1401.76</v>
      </c>
      <c r="CZ165">
        <f>AE165</f>
        <v>154.72</v>
      </c>
      <c r="DA165">
        <f>AI165</f>
        <v>9.06</v>
      </c>
      <c r="DB165">
        <f>ROUND(ROUND(AT165*CZ165,2),6)</f>
        <v>937.6</v>
      </c>
      <c r="DC165">
        <f>ROUND(ROUND(AT165*AG165,2),6)</f>
        <v>0</v>
      </c>
      <c r="DD165" t="s">
        <v>3</v>
      </c>
      <c r="DE165" t="s">
        <v>3</v>
      </c>
      <c r="DF165">
        <f>ROUND(ROUND(AE165*AI165,2)*CX165,2)</f>
        <v>849.47</v>
      </c>
      <c r="DG165">
        <f t="shared" si="28"/>
        <v>0</v>
      </c>
      <c r="DH165">
        <f t="shared" si="29"/>
        <v>0</v>
      </c>
      <c r="DI165">
        <f t="shared" si="24"/>
        <v>0</v>
      </c>
      <c r="DJ165">
        <f>DF165</f>
        <v>849.47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ROW(Source!A136)</f>
        <v>136</v>
      </c>
      <c r="B166">
        <v>60255011</v>
      </c>
      <c r="C166">
        <v>60256256</v>
      </c>
      <c r="D166">
        <v>59056195</v>
      </c>
      <c r="E166">
        <v>1</v>
      </c>
      <c r="F166">
        <v>1</v>
      </c>
      <c r="G166">
        <v>1080</v>
      </c>
      <c r="H166">
        <v>3</v>
      </c>
      <c r="I166" t="s">
        <v>513</v>
      </c>
      <c r="J166" t="s">
        <v>514</v>
      </c>
      <c r="K166" t="s">
        <v>515</v>
      </c>
      <c r="L166">
        <v>1354</v>
      </c>
      <c r="N166">
        <v>1010</v>
      </c>
      <c r="O166" t="s">
        <v>31</v>
      </c>
      <c r="P166" t="s">
        <v>31</v>
      </c>
      <c r="Q166">
        <v>1</v>
      </c>
      <c r="W166">
        <v>0</v>
      </c>
      <c r="X166">
        <v>-572380273</v>
      </c>
      <c r="Y166">
        <f>AT166</f>
        <v>300</v>
      </c>
      <c r="AA166">
        <v>185.42</v>
      </c>
      <c r="AB166">
        <v>0</v>
      </c>
      <c r="AC166">
        <v>0</v>
      </c>
      <c r="AD166">
        <v>0</v>
      </c>
      <c r="AE166">
        <v>7.24</v>
      </c>
      <c r="AF166">
        <v>0</v>
      </c>
      <c r="AG166">
        <v>0</v>
      </c>
      <c r="AH166">
        <v>0</v>
      </c>
      <c r="AI166">
        <v>25.61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300</v>
      </c>
      <c r="AU166" t="s">
        <v>3</v>
      </c>
      <c r="AV166">
        <v>0</v>
      </c>
      <c r="AW166">
        <v>2</v>
      </c>
      <c r="AX166">
        <v>60256274</v>
      </c>
      <c r="AY166">
        <v>1</v>
      </c>
      <c r="AZ166">
        <v>0</v>
      </c>
      <c r="BA166">
        <v>183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ROUND(Y166*Source!I136,9)</f>
        <v>30</v>
      </c>
      <c r="CY166">
        <f>AA166</f>
        <v>185.42</v>
      </c>
      <c r="CZ166">
        <f>AE166</f>
        <v>7.24</v>
      </c>
      <c r="DA166">
        <f>AI166</f>
        <v>25.61</v>
      </c>
      <c r="DB166">
        <f>ROUND(ROUND(AT166*CZ166,2),6)</f>
        <v>2172</v>
      </c>
      <c r="DC166">
        <f>ROUND(ROUND(AT166*AG166,2),6)</f>
        <v>0</v>
      </c>
      <c r="DD166" t="s">
        <v>3</v>
      </c>
      <c r="DE166" t="s">
        <v>3</v>
      </c>
      <c r="DF166">
        <f>ROUND(ROUND(AE166*AI166,2)*CX166,2)</f>
        <v>5562.6</v>
      </c>
      <c r="DG166">
        <f t="shared" si="28"/>
        <v>0</v>
      </c>
      <c r="DH166">
        <f t="shared" si="29"/>
        <v>0</v>
      </c>
      <c r="DI166">
        <f t="shared" si="24"/>
        <v>0</v>
      </c>
      <c r="DJ166">
        <f>DF166</f>
        <v>5562.6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ROW(Source!A136)</f>
        <v>136</v>
      </c>
      <c r="B167">
        <v>60255011</v>
      </c>
      <c r="C167">
        <v>60256256</v>
      </c>
      <c r="D167">
        <v>59049377</v>
      </c>
      <c r="E167">
        <v>1</v>
      </c>
      <c r="F167">
        <v>1</v>
      </c>
      <c r="G167">
        <v>1080</v>
      </c>
      <c r="H167">
        <v>3</v>
      </c>
      <c r="I167" t="s">
        <v>516</v>
      </c>
      <c r="J167" t="s">
        <v>517</v>
      </c>
      <c r="K167" t="s">
        <v>518</v>
      </c>
      <c r="L167">
        <v>1354</v>
      </c>
      <c r="N167">
        <v>1010</v>
      </c>
      <c r="O167" t="s">
        <v>31</v>
      </c>
      <c r="P167" t="s">
        <v>31</v>
      </c>
      <c r="Q167">
        <v>1</v>
      </c>
      <c r="W167">
        <v>0</v>
      </c>
      <c r="X167">
        <v>501598144</v>
      </c>
      <c r="Y167">
        <f>AT167</f>
        <v>1.026</v>
      </c>
      <c r="AA167">
        <v>63.83</v>
      </c>
      <c r="AB167">
        <v>0</v>
      </c>
      <c r="AC167">
        <v>0</v>
      </c>
      <c r="AD167">
        <v>0</v>
      </c>
      <c r="AE167">
        <v>6.12</v>
      </c>
      <c r="AF167">
        <v>0</v>
      </c>
      <c r="AG167">
        <v>0</v>
      </c>
      <c r="AH167">
        <v>0</v>
      </c>
      <c r="AI167">
        <v>10.43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1.026</v>
      </c>
      <c r="AU167" t="s">
        <v>3</v>
      </c>
      <c r="AV167">
        <v>0</v>
      </c>
      <c r="AW167">
        <v>2</v>
      </c>
      <c r="AX167">
        <v>60256275</v>
      </c>
      <c r="AY167">
        <v>1</v>
      </c>
      <c r="AZ167">
        <v>0</v>
      </c>
      <c r="BA167">
        <v>184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ROUND(Y167*Source!I136,9)</f>
        <v>0.1026</v>
      </c>
      <c r="CY167">
        <f>AA167</f>
        <v>63.83</v>
      </c>
      <c r="CZ167">
        <f>AE167</f>
        <v>6.12</v>
      </c>
      <c r="DA167">
        <f>AI167</f>
        <v>10.43</v>
      </c>
      <c r="DB167">
        <f>ROUND(ROUND(AT167*CZ167,2),6)</f>
        <v>6.28</v>
      </c>
      <c r="DC167">
        <f>ROUND(ROUND(AT167*AG167,2),6)</f>
        <v>0</v>
      </c>
      <c r="DD167" t="s">
        <v>3</v>
      </c>
      <c r="DE167" t="s">
        <v>3</v>
      </c>
      <c r="DF167">
        <f>ROUND(ROUND(AE167*AI167,2)*CX167,2)</f>
        <v>6.55</v>
      </c>
      <c r="DG167">
        <f t="shared" si="28"/>
        <v>0</v>
      </c>
      <c r="DH167">
        <f t="shared" si="29"/>
        <v>0</v>
      </c>
      <c r="DI167">
        <f t="shared" si="24"/>
        <v>0</v>
      </c>
      <c r="DJ167">
        <f>DF167</f>
        <v>6.55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ROW(Source!A136)</f>
        <v>136</v>
      </c>
      <c r="B168">
        <v>60255011</v>
      </c>
      <c r="C168">
        <v>60256256</v>
      </c>
      <c r="D168">
        <v>59004259</v>
      </c>
      <c r="E168">
        <v>1080</v>
      </c>
      <c r="F168">
        <v>1</v>
      </c>
      <c r="G168">
        <v>1080</v>
      </c>
      <c r="H168">
        <v>3</v>
      </c>
      <c r="I168" t="s">
        <v>519</v>
      </c>
      <c r="J168" t="s">
        <v>3</v>
      </c>
      <c r="K168" t="s">
        <v>520</v>
      </c>
      <c r="L168">
        <v>1344</v>
      </c>
      <c r="N168">
        <v>1008</v>
      </c>
      <c r="O168" t="s">
        <v>521</v>
      </c>
      <c r="P168" t="s">
        <v>521</v>
      </c>
      <c r="Q168">
        <v>1</v>
      </c>
      <c r="W168">
        <v>0</v>
      </c>
      <c r="X168">
        <v>-94250534</v>
      </c>
      <c r="Y168">
        <f>AT168</f>
        <v>0.06</v>
      </c>
      <c r="AA168">
        <v>9.8800000000000008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9.8800000000000008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0.06</v>
      </c>
      <c r="AU168" t="s">
        <v>3</v>
      </c>
      <c r="AV168">
        <v>0</v>
      </c>
      <c r="AW168">
        <v>2</v>
      </c>
      <c r="AX168">
        <v>60256277</v>
      </c>
      <c r="AY168">
        <v>1</v>
      </c>
      <c r="AZ168">
        <v>0</v>
      </c>
      <c r="BA168">
        <v>186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ROUND(Y168*Source!I136,9)</f>
        <v>6.0000000000000001E-3</v>
      </c>
      <c r="CY168">
        <f>AA168</f>
        <v>9.8800000000000008</v>
      </c>
      <c r="CZ168">
        <f>AE168</f>
        <v>1</v>
      </c>
      <c r="DA168">
        <f>AI168</f>
        <v>9.8800000000000008</v>
      </c>
      <c r="DB168">
        <f>ROUND(ROUND(AT168*CZ168,2),6)</f>
        <v>0.06</v>
      </c>
      <c r="DC168">
        <f>ROUND(ROUND(AT168*AG168,2),6)</f>
        <v>0</v>
      </c>
      <c r="DD168" t="s">
        <v>3</v>
      </c>
      <c r="DE168" t="s">
        <v>3</v>
      </c>
      <c r="DF168">
        <f>ROUND(ROUND(AE168*AI168,2)*CX168,2)</f>
        <v>0.06</v>
      </c>
      <c r="DG168">
        <f t="shared" si="28"/>
        <v>0</v>
      </c>
      <c r="DH168">
        <f t="shared" si="29"/>
        <v>0</v>
      </c>
      <c r="DI168">
        <f t="shared" si="24"/>
        <v>0</v>
      </c>
      <c r="DJ168">
        <f>DF168</f>
        <v>0.06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ROW(Source!A141)</f>
        <v>141</v>
      </c>
      <c r="B169">
        <v>60255014</v>
      </c>
      <c r="C169">
        <v>60256278</v>
      </c>
      <c r="D169">
        <v>58999254</v>
      </c>
      <c r="E169">
        <v>1080</v>
      </c>
      <c r="F169">
        <v>1</v>
      </c>
      <c r="G169">
        <v>1080</v>
      </c>
      <c r="H169">
        <v>1</v>
      </c>
      <c r="I169" t="s">
        <v>482</v>
      </c>
      <c r="J169" t="s">
        <v>3</v>
      </c>
      <c r="K169" t="s">
        <v>483</v>
      </c>
      <c r="L169">
        <v>1191</v>
      </c>
      <c r="N169">
        <v>1013</v>
      </c>
      <c r="O169" t="s">
        <v>484</v>
      </c>
      <c r="P169" t="s">
        <v>484</v>
      </c>
      <c r="Q169">
        <v>1</v>
      </c>
      <c r="W169">
        <v>0</v>
      </c>
      <c r="X169">
        <v>476480486</v>
      </c>
      <c r="Y169">
        <f>((AT169*1.15)*1.1)</f>
        <v>94.495500000000007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74.7</v>
      </c>
      <c r="AU169" t="s">
        <v>99</v>
      </c>
      <c r="AV169">
        <v>1</v>
      </c>
      <c r="AW169">
        <v>2</v>
      </c>
      <c r="AX169">
        <v>60256289</v>
      </c>
      <c r="AY169">
        <v>1</v>
      </c>
      <c r="AZ169">
        <v>0</v>
      </c>
      <c r="BA169">
        <v>187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ROUND(AT169*Source!I141*AH169*AL169,2)</f>
        <v>0</v>
      </c>
      <c r="CV169">
        <f>ROUND(Y169*Source!I141,9)</f>
        <v>17.954145</v>
      </c>
      <c r="CW169">
        <v>0</v>
      </c>
      <c r="CX169">
        <f>ROUND(Y169*Source!I141,9)</f>
        <v>17.954145</v>
      </c>
      <c r="CY169">
        <f>AD169</f>
        <v>0</v>
      </c>
      <c r="CZ169">
        <f>AH169</f>
        <v>0</v>
      </c>
      <c r="DA169">
        <f>AL169</f>
        <v>1</v>
      </c>
      <c r="DB169">
        <f>ROUND(((ROUND(AT169*CZ169,2)*1.15)*1.1),6)</f>
        <v>0</v>
      </c>
      <c r="DC169">
        <f>ROUND(((ROUND(AT169*AG169,2)*1.15)*1.1),6)</f>
        <v>0</v>
      </c>
      <c r="DD169" t="s">
        <v>3</v>
      </c>
      <c r="DE169" t="s">
        <v>3</v>
      </c>
      <c r="DF169">
        <f t="shared" ref="DF169:DF183" si="30">ROUND(ROUND(AE169,2)*CX169,2)</f>
        <v>0</v>
      </c>
      <c r="DG169">
        <f t="shared" si="28"/>
        <v>0</v>
      </c>
      <c r="DH169">
        <f t="shared" si="29"/>
        <v>0</v>
      </c>
      <c r="DI169">
        <f t="shared" si="24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ROW(Source!A141)</f>
        <v>141</v>
      </c>
      <c r="B170">
        <v>60255014</v>
      </c>
      <c r="C170">
        <v>60256278</v>
      </c>
      <c r="D170">
        <v>59070669</v>
      </c>
      <c r="E170">
        <v>1</v>
      </c>
      <c r="F170">
        <v>1</v>
      </c>
      <c r="G170">
        <v>1080</v>
      </c>
      <c r="H170">
        <v>2</v>
      </c>
      <c r="I170" t="s">
        <v>485</v>
      </c>
      <c r="J170" t="s">
        <v>486</v>
      </c>
      <c r="K170" t="s">
        <v>487</v>
      </c>
      <c r="L170">
        <v>1368</v>
      </c>
      <c r="N170">
        <v>1011</v>
      </c>
      <c r="O170" t="s">
        <v>488</v>
      </c>
      <c r="P170" t="s">
        <v>488</v>
      </c>
      <c r="Q170">
        <v>1</v>
      </c>
      <c r="W170">
        <v>0</v>
      </c>
      <c r="X170">
        <v>-1985943078</v>
      </c>
      <c r="Y170">
        <f>((AT170*1.25)*1.1)</f>
        <v>0.44000000000000006</v>
      </c>
      <c r="AA170">
        <v>0</v>
      </c>
      <c r="AB170">
        <v>88.67</v>
      </c>
      <c r="AC170">
        <v>13.47</v>
      </c>
      <c r="AD170">
        <v>0</v>
      </c>
      <c r="AE170">
        <v>0</v>
      </c>
      <c r="AF170">
        <v>83.1</v>
      </c>
      <c r="AG170">
        <v>12.62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0.32</v>
      </c>
      <c r="AU170" t="s">
        <v>496</v>
      </c>
      <c r="AV170">
        <v>0</v>
      </c>
      <c r="AW170">
        <v>2</v>
      </c>
      <c r="AX170">
        <v>60256290</v>
      </c>
      <c r="AY170">
        <v>1</v>
      </c>
      <c r="AZ170">
        <v>0</v>
      </c>
      <c r="BA170">
        <v>188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ROUND(Y170*Source!I141*DO170,9)</f>
        <v>1.055032</v>
      </c>
      <c r="CX170">
        <f>ROUND(Y170*Source!I141,9)</f>
        <v>8.3599999999999994E-2</v>
      </c>
      <c r="CY170">
        <f>AB170</f>
        <v>88.67</v>
      </c>
      <c r="CZ170">
        <f>AF170</f>
        <v>83.1</v>
      </c>
      <c r="DA170">
        <f>AJ170</f>
        <v>1</v>
      </c>
      <c r="DB170">
        <f>ROUND(((ROUND(AT170*CZ170,2)*1.25)*1.1),6)</f>
        <v>36.561250000000001</v>
      </c>
      <c r="DC170">
        <f>ROUND(((ROUND(AT170*AG170,2)*1.25)*1.1),6)</f>
        <v>5.5549999999999997</v>
      </c>
      <c r="DD170" t="s">
        <v>3</v>
      </c>
      <c r="DE170" t="s">
        <v>3</v>
      </c>
      <c r="DF170">
        <f t="shared" si="30"/>
        <v>0</v>
      </c>
      <c r="DG170">
        <f t="shared" si="28"/>
        <v>6.95</v>
      </c>
      <c r="DH170">
        <f t="shared" si="29"/>
        <v>1.06</v>
      </c>
      <c r="DI170">
        <f t="shared" si="24"/>
        <v>0</v>
      </c>
      <c r="DJ170">
        <f>DG170</f>
        <v>6.95</v>
      </c>
      <c r="DK170">
        <v>0</v>
      </c>
      <c r="DL170" t="s">
        <v>489</v>
      </c>
      <c r="DM170">
        <v>0</v>
      </c>
      <c r="DN170" t="s">
        <v>484</v>
      </c>
      <c r="DO170">
        <v>12.62</v>
      </c>
    </row>
    <row r="171" spans="1:119" x14ac:dyDescent="0.2">
      <c r="A171">
        <f>ROW(Source!A141)</f>
        <v>141</v>
      </c>
      <c r="B171">
        <v>60255014</v>
      </c>
      <c r="C171">
        <v>60256278</v>
      </c>
      <c r="D171">
        <v>59070721</v>
      </c>
      <c r="E171">
        <v>1</v>
      </c>
      <c r="F171">
        <v>1</v>
      </c>
      <c r="G171">
        <v>1080</v>
      </c>
      <c r="H171">
        <v>2</v>
      </c>
      <c r="I171" t="s">
        <v>497</v>
      </c>
      <c r="J171" t="s">
        <v>498</v>
      </c>
      <c r="K171" t="s">
        <v>499</v>
      </c>
      <c r="L171">
        <v>1368</v>
      </c>
      <c r="N171">
        <v>1011</v>
      </c>
      <c r="O171" t="s">
        <v>488</v>
      </c>
      <c r="P171" t="s">
        <v>488</v>
      </c>
      <c r="Q171">
        <v>1</v>
      </c>
      <c r="W171">
        <v>0</v>
      </c>
      <c r="X171">
        <v>1387779639</v>
      </c>
      <c r="Y171">
        <f>((AT171*1.25)*1.1)</f>
        <v>1.7050000000000003</v>
      </c>
      <c r="AA171">
        <v>0</v>
      </c>
      <c r="AB171">
        <v>0.82</v>
      </c>
      <c r="AC171">
        <v>0</v>
      </c>
      <c r="AD171">
        <v>0</v>
      </c>
      <c r="AE171">
        <v>0</v>
      </c>
      <c r="AF171">
        <v>0.77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1.24</v>
      </c>
      <c r="AU171" t="s">
        <v>496</v>
      </c>
      <c r="AV171">
        <v>0</v>
      </c>
      <c r="AW171">
        <v>2</v>
      </c>
      <c r="AX171">
        <v>60256292</v>
      </c>
      <c r="AY171">
        <v>1</v>
      </c>
      <c r="AZ171">
        <v>0</v>
      </c>
      <c r="BA171">
        <v>189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ROUND(Y171*Source!I141*DO171,9)</f>
        <v>0</v>
      </c>
      <c r="CX171">
        <f>ROUND(Y171*Source!I141,9)</f>
        <v>0.32395000000000002</v>
      </c>
      <c r="CY171">
        <f>AB171</f>
        <v>0.82</v>
      </c>
      <c r="CZ171">
        <f>AF171</f>
        <v>0.77</v>
      </c>
      <c r="DA171">
        <f>AJ171</f>
        <v>1</v>
      </c>
      <c r="DB171">
        <f>ROUND(((ROUND(AT171*CZ171,2)*1.25)*1.1),6)</f>
        <v>1.3062499999999999</v>
      </c>
      <c r="DC171">
        <f>ROUND(((ROUND(AT171*AG171,2)*1.25)*1.1),6)</f>
        <v>0</v>
      </c>
      <c r="DD171" t="s">
        <v>3</v>
      </c>
      <c r="DE171" t="s">
        <v>3</v>
      </c>
      <c r="DF171">
        <f t="shared" si="30"/>
        <v>0</v>
      </c>
      <c r="DG171">
        <f t="shared" si="28"/>
        <v>0.25</v>
      </c>
      <c r="DH171">
        <f t="shared" si="29"/>
        <v>0</v>
      </c>
      <c r="DI171">
        <f t="shared" si="24"/>
        <v>0</v>
      </c>
      <c r="DJ171">
        <f>DG171</f>
        <v>0.25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ROW(Source!A141)</f>
        <v>141</v>
      </c>
      <c r="B172">
        <v>60255014</v>
      </c>
      <c r="C172">
        <v>60256278</v>
      </c>
      <c r="D172">
        <v>59070754</v>
      </c>
      <c r="E172">
        <v>1</v>
      </c>
      <c r="F172">
        <v>1</v>
      </c>
      <c r="G172">
        <v>1080</v>
      </c>
      <c r="H172">
        <v>2</v>
      </c>
      <c r="I172" t="s">
        <v>500</v>
      </c>
      <c r="J172" t="s">
        <v>501</v>
      </c>
      <c r="K172" t="s">
        <v>502</v>
      </c>
      <c r="L172">
        <v>1368</v>
      </c>
      <c r="N172">
        <v>1011</v>
      </c>
      <c r="O172" t="s">
        <v>488</v>
      </c>
      <c r="P172" t="s">
        <v>488</v>
      </c>
      <c r="Q172">
        <v>1</v>
      </c>
      <c r="W172">
        <v>0</v>
      </c>
      <c r="X172">
        <v>1645565003</v>
      </c>
      <c r="Y172">
        <f>((AT172*1.25)*1.1)</f>
        <v>4.4275000000000011</v>
      </c>
      <c r="AA172">
        <v>0</v>
      </c>
      <c r="AB172">
        <v>0.5</v>
      </c>
      <c r="AC172">
        <v>0</v>
      </c>
      <c r="AD172">
        <v>0</v>
      </c>
      <c r="AE172">
        <v>0</v>
      </c>
      <c r="AF172">
        <v>0.47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3.22</v>
      </c>
      <c r="AU172" t="s">
        <v>496</v>
      </c>
      <c r="AV172">
        <v>0</v>
      </c>
      <c r="AW172">
        <v>2</v>
      </c>
      <c r="AX172">
        <v>60256293</v>
      </c>
      <c r="AY172">
        <v>1</v>
      </c>
      <c r="AZ172">
        <v>0</v>
      </c>
      <c r="BA172">
        <v>190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ROUND(Y172*Source!I141*DO172,9)</f>
        <v>0</v>
      </c>
      <c r="CX172">
        <f>ROUND(Y172*Source!I141,9)</f>
        <v>0.841225</v>
      </c>
      <c r="CY172">
        <f>AB172</f>
        <v>0.5</v>
      </c>
      <c r="CZ172">
        <f>AF172</f>
        <v>0.47</v>
      </c>
      <c r="DA172">
        <f>AJ172</f>
        <v>1</v>
      </c>
      <c r="DB172">
        <f>ROUND(((ROUND(AT172*CZ172,2)*1.25)*1.1),6)</f>
        <v>2.0762499999999999</v>
      </c>
      <c r="DC172">
        <f>ROUND(((ROUND(AT172*AG172,2)*1.25)*1.1),6)</f>
        <v>0</v>
      </c>
      <c r="DD172" t="s">
        <v>3</v>
      </c>
      <c r="DE172" t="s">
        <v>3</v>
      </c>
      <c r="DF172">
        <f t="shared" si="30"/>
        <v>0</v>
      </c>
      <c r="DG172">
        <f t="shared" si="28"/>
        <v>0.4</v>
      </c>
      <c r="DH172">
        <f t="shared" si="29"/>
        <v>0</v>
      </c>
      <c r="DI172">
        <f t="shared" si="24"/>
        <v>0</v>
      </c>
      <c r="DJ172">
        <f>DG172</f>
        <v>0.4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ROW(Source!A141)</f>
        <v>141</v>
      </c>
      <c r="B173">
        <v>60255014</v>
      </c>
      <c r="C173">
        <v>60256278</v>
      </c>
      <c r="D173">
        <v>59069905</v>
      </c>
      <c r="E173">
        <v>1</v>
      </c>
      <c r="F173">
        <v>1</v>
      </c>
      <c r="G173">
        <v>1080</v>
      </c>
      <c r="H173">
        <v>2</v>
      </c>
      <c r="I173" t="s">
        <v>503</v>
      </c>
      <c r="J173" t="s">
        <v>504</v>
      </c>
      <c r="K173" t="s">
        <v>505</v>
      </c>
      <c r="L173">
        <v>1368</v>
      </c>
      <c r="N173">
        <v>1011</v>
      </c>
      <c r="O173" t="s">
        <v>488</v>
      </c>
      <c r="P173" t="s">
        <v>488</v>
      </c>
      <c r="Q173">
        <v>1</v>
      </c>
      <c r="W173">
        <v>0</v>
      </c>
      <c r="X173">
        <v>1087580389</v>
      </c>
      <c r="Y173">
        <f>((AT173*1.25)*1.1)</f>
        <v>0.50875000000000004</v>
      </c>
      <c r="AA173">
        <v>0</v>
      </c>
      <c r="AB173">
        <v>191.17</v>
      </c>
      <c r="AC173">
        <v>18.059999999999999</v>
      </c>
      <c r="AD173">
        <v>0</v>
      </c>
      <c r="AE173">
        <v>0</v>
      </c>
      <c r="AF173">
        <v>179.17</v>
      </c>
      <c r="AG173">
        <v>16.93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0.37</v>
      </c>
      <c r="AU173" t="s">
        <v>496</v>
      </c>
      <c r="AV173">
        <v>0</v>
      </c>
      <c r="AW173">
        <v>2</v>
      </c>
      <c r="AX173">
        <v>60256291</v>
      </c>
      <c r="AY173">
        <v>1</v>
      </c>
      <c r="AZ173">
        <v>0</v>
      </c>
      <c r="BA173">
        <v>191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ROUND(Y173*Source!I141*DO173,9)</f>
        <v>1.6364961250000001</v>
      </c>
      <c r="CX173">
        <f>ROUND(Y173*Source!I141,9)</f>
        <v>9.6662499999999998E-2</v>
      </c>
      <c r="CY173">
        <f>AB173</f>
        <v>191.17</v>
      </c>
      <c r="CZ173">
        <f>AF173</f>
        <v>179.17</v>
      </c>
      <c r="DA173">
        <f>AJ173</f>
        <v>1</v>
      </c>
      <c r="DB173">
        <f>ROUND(((ROUND(AT173*CZ173,2)*1.25)*1.1),6)</f>
        <v>91.148750000000007</v>
      </c>
      <c r="DC173">
        <f>ROUND(((ROUND(AT173*AG173,2)*1.25)*1.1),6)</f>
        <v>8.6074999999999999</v>
      </c>
      <c r="DD173" t="s">
        <v>3</v>
      </c>
      <c r="DE173" t="s">
        <v>3</v>
      </c>
      <c r="DF173">
        <f t="shared" si="30"/>
        <v>0</v>
      </c>
      <c r="DG173">
        <f t="shared" si="28"/>
        <v>17.32</v>
      </c>
      <c r="DH173">
        <f t="shared" si="29"/>
        <v>1.64</v>
      </c>
      <c r="DI173">
        <f t="shared" si="24"/>
        <v>0</v>
      </c>
      <c r="DJ173">
        <f>DG173</f>
        <v>17.32</v>
      </c>
      <c r="DK173">
        <v>0</v>
      </c>
      <c r="DL173" t="s">
        <v>489</v>
      </c>
      <c r="DM173">
        <v>0</v>
      </c>
      <c r="DN173" t="s">
        <v>484</v>
      </c>
      <c r="DO173">
        <v>16.93</v>
      </c>
    </row>
    <row r="174" spans="1:119" x14ac:dyDescent="0.2">
      <c r="A174">
        <f>ROW(Source!A141)</f>
        <v>141</v>
      </c>
      <c r="B174">
        <v>60255014</v>
      </c>
      <c r="C174">
        <v>60256278</v>
      </c>
      <c r="D174">
        <v>59038905</v>
      </c>
      <c r="E174">
        <v>1</v>
      </c>
      <c r="F174">
        <v>1</v>
      </c>
      <c r="G174">
        <v>1080</v>
      </c>
      <c r="H174">
        <v>3</v>
      </c>
      <c r="I174" t="s">
        <v>506</v>
      </c>
      <c r="J174" t="s">
        <v>507</v>
      </c>
      <c r="K174" t="s">
        <v>508</v>
      </c>
      <c r="L174">
        <v>1339</v>
      </c>
      <c r="N174">
        <v>1007</v>
      </c>
      <c r="O174" t="s">
        <v>509</v>
      </c>
      <c r="P174" t="s">
        <v>509</v>
      </c>
      <c r="Q174">
        <v>1</v>
      </c>
      <c r="W174">
        <v>0</v>
      </c>
      <c r="X174">
        <v>-744103292</v>
      </c>
      <c r="Y174">
        <f>AT174</f>
        <v>0.22700000000000001</v>
      </c>
      <c r="AA174">
        <v>7.07</v>
      </c>
      <c r="AB174">
        <v>0</v>
      </c>
      <c r="AC174">
        <v>0</v>
      </c>
      <c r="AD174">
        <v>0</v>
      </c>
      <c r="AE174">
        <v>7.07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0.22700000000000001</v>
      </c>
      <c r="AU174" t="s">
        <v>3</v>
      </c>
      <c r="AV174">
        <v>0</v>
      </c>
      <c r="AW174">
        <v>2</v>
      </c>
      <c r="AX174">
        <v>60256294</v>
      </c>
      <c r="AY174">
        <v>1</v>
      </c>
      <c r="AZ174">
        <v>0</v>
      </c>
      <c r="BA174">
        <v>192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ROUND(Y174*Source!I141,9)</f>
        <v>4.3130000000000002E-2</v>
      </c>
      <c r="CY174">
        <f>AA174</f>
        <v>7.07</v>
      </c>
      <c r="CZ174">
        <f>AE174</f>
        <v>7.07</v>
      </c>
      <c r="DA174">
        <f>AI174</f>
        <v>1</v>
      </c>
      <c r="DB174">
        <f>ROUND(ROUND(AT174*CZ174,2),6)</f>
        <v>1.6</v>
      </c>
      <c r="DC174">
        <f>ROUND(ROUND(AT174*AG174,2),6)</f>
        <v>0</v>
      </c>
      <c r="DD174" t="s">
        <v>3</v>
      </c>
      <c r="DE174" t="s">
        <v>3</v>
      </c>
      <c r="DF174">
        <f t="shared" si="30"/>
        <v>0.3</v>
      </c>
      <c r="DG174">
        <f t="shared" si="28"/>
        <v>0</v>
      </c>
      <c r="DH174">
        <f t="shared" si="29"/>
        <v>0</v>
      </c>
      <c r="DI174">
        <f t="shared" si="24"/>
        <v>0</v>
      </c>
      <c r="DJ174">
        <f>DF174</f>
        <v>0.3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ROW(Source!A141)</f>
        <v>141</v>
      </c>
      <c r="B175">
        <v>60255014</v>
      </c>
      <c r="C175">
        <v>60256278</v>
      </c>
      <c r="D175">
        <v>59045898</v>
      </c>
      <c r="E175">
        <v>1</v>
      </c>
      <c r="F175">
        <v>1</v>
      </c>
      <c r="G175">
        <v>1080</v>
      </c>
      <c r="H175">
        <v>3</v>
      </c>
      <c r="I175" t="s">
        <v>510</v>
      </c>
      <c r="J175" t="s">
        <v>511</v>
      </c>
      <c r="K175" t="s">
        <v>512</v>
      </c>
      <c r="L175">
        <v>1355</v>
      </c>
      <c r="N175">
        <v>1010</v>
      </c>
      <c r="O175" t="s">
        <v>96</v>
      </c>
      <c r="P175" t="s">
        <v>96</v>
      </c>
      <c r="Q175">
        <v>100</v>
      </c>
      <c r="W175">
        <v>0</v>
      </c>
      <c r="X175">
        <v>2062705997</v>
      </c>
      <c r="Y175">
        <f>AT175</f>
        <v>4.04</v>
      </c>
      <c r="AA175">
        <v>154.72</v>
      </c>
      <c r="AB175">
        <v>0</v>
      </c>
      <c r="AC175">
        <v>0</v>
      </c>
      <c r="AD175">
        <v>0</v>
      </c>
      <c r="AE175">
        <v>154.72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4.04</v>
      </c>
      <c r="AU175" t="s">
        <v>3</v>
      </c>
      <c r="AV175">
        <v>0</v>
      </c>
      <c r="AW175">
        <v>2</v>
      </c>
      <c r="AX175">
        <v>60256295</v>
      </c>
      <c r="AY175">
        <v>1</v>
      </c>
      <c r="AZ175">
        <v>0</v>
      </c>
      <c r="BA175">
        <v>193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ROUND(Y175*Source!I141,9)</f>
        <v>0.76759999999999995</v>
      </c>
      <c r="CY175">
        <f>AA175</f>
        <v>154.72</v>
      </c>
      <c r="CZ175">
        <f>AE175</f>
        <v>154.72</v>
      </c>
      <c r="DA175">
        <f>AI175</f>
        <v>1</v>
      </c>
      <c r="DB175">
        <f>ROUND(ROUND(AT175*CZ175,2),6)</f>
        <v>625.07000000000005</v>
      </c>
      <c r="DC175">
        <f>ROUND(ROUND(AT175*AG175,2),6)</f>
        <v>0</v>
      </c>
      <c r="DD175" t="s">
        <v>3</v>
      </c>
      <c r="DE175" t="s">
        <v>3</v>
      </c>
      <c r="DF175">
        <f t="shared" si="30"/>
        <v>118.76</v>
      </c>
      <c r="DG175">
        <f t="shared" si="28"/>
        <v>0</v>
      </c>
      <c r="DH175">
        <f t="shared" si="29"/>
        <v>0</v>
      </c>
      <c r="DI175">
        <f t="shared" si="24"/>
        <v>0</v>
      </c>
      <c r="DJ175">
        <f>DF175</f>
        <v>118.76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ROW(Source!A141)</f>
        <v>141</v>
      </c>
      <c r="B176">
        <v>60255014</v>
      </c>
      <c r="C176">
        <v>60256278</v>
      </c>
      <c r="D176">
        <v>59056195</v>
      </c>
      <c r="E176">
        <v>1</v>
      </c>
      <c r="F176">
        <v>1</v>
      </c>
      <c r="G176">
        <v>1080</v>
      </c>
      <c r="H176">
        <v>3</v>
      </c>
      <c r="I176" t="s">
        <v>513</v>
      </c>
      <c r="J176" t="s">
        <v>514</v>
      </c>
      <c r="K176" t="s">
        <v>515</v>
      </c>
      <c r="L176">
        <v>1354</v>
      </c>
      <c r="N176">
        <v>1010</v>
      </c>
      <c r="O176" t="s">
        <v>31</v>
      </c>
      <c r="P176" t="s">
        <v>31</v>
      </c>
      <c r="Q176">
        <v>1</v>
      </c>
      <c r="W176">
        <v>0</v>
      </c>
      <c r="X176">
        <v>-572380273</v>
      </c>
      <c r="Y176">
        <f>AT176</f>
        <v>200</v>
      </c>
      <c r="AA176">
        <v>7.24</v>
      </c>
      <c r="AB176">
        <v>0</v>
      </c>
      <c r="AC176">
        <v>0</v>
      </c>
      <c r="AD176">
        <v>0</v>
      </c>
      <c r="AE176">
        <v>7.24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200</v>
      </c>
      <c r="AU176" t="s">
        <v>3</v>
      </c>
      <c r="AV176">
        <v>0</v>
      </c>
      <c r="AW176">
        <v>2</v>
      </c>
      <c r="AX176">
        <v>60256296</v>
      </c>
      <c r="AY176">
        <v>1</v>
      </c>
      <c r="AZ176">
        <v>0</v>
      </c>
      <c r="BA176">
        <v>194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ROUND(Y176*Source!I141,9)</f>
        <v>38</v>
      </c>
      <c r="CY176">
        <f>AA176</f>
        <v>7.24</v>
      </c>
      <c r="CZ176">
        <f>AE176</f>
        <v>7.24</v>
      </c>
      <c r="DA176">
        <f>AI176</f>
        <v>1</v>
      </c>
      <c r="DB176">
        <f>ROUND(ROUND(AT176*CZ176,2),6)</f>
        <v>1448</v>
      </c>
      <c r="DC176">
        <f>ROUND(ROUND(AT176*AG176,2),6)</f>
        <v>0</v>
      </c>
      <c r="DD176" t="s">
        <v>3</v>
      </c>
      <c r="DE176" t="s">
        <v>3</v>
      </c>
      <c r="DF176">
        <f t="shared" si="30"/>
        <v>275.12</v>
      </c>
      <c r="DG176">
        <f t="shared" si="28"/>
        <v>0</v>
      </c>
      <c r="DH176">
        <f t="shared" si="29"/>
        <v>0</v>
      </c>
      <c r="DI176">
        <f t="shared" si="24"/>
        <v>0</v>
      </c>
      <c r="DJ176">
        <f>DF176</f>
        <v>275.12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ROW(Source!A141)</f>
        <v>141</v>
      </c>
      <c r="B177">
        <v>60255014</v>
      </c>
      <c r="C177">
        <v>60256278</v>
      </c>
      <c r="D177">
        <v>59049377</v>
      </c>
      <c r="E177">
        <v>1</v>
      </c>
      <c r="F177">
        <v>1</v>
      </c>
      <c r="G177">
        <v>1080</v>
      </c>
      <c r="H177">
        <v>3</v>
      </c>
      <c r="I177" t="s">
        <v>516</v>
      </c>
      <c r="J177" t="s">
        <v>517</v>
      </c>
      <c r="K177" t="s">
        <v>518</v>
      </c>
      <c r="L177">
        <v>1354</v>
      </c>
      <c r="N177">
        <v>1010</v>
      </c>
      <c r="O177" t="s">
        <v>31</v>
      </c>
      <c r="P177" t="s">
        <v>31</v>
      </c>
      <c r="Q177">
        <v>1</v>
      </c>
      <c r="W177">
        <v>0</v>
      </c>
      <c r="X177">
        <v>501598144</v>
      </c>
      <c r="Y177">
        <f>AT177</f>
        <v>0.68400000000000005</v>
      </c>
      <c r="AA177">
        <v>6.12</v>
      </c>
      <c r="AB177">
        <v>0</v>
      </c>
      <c r="AC177">
        <v>0</v>
      </c>
      <c r="AD177">
        <v>0</v>
      </c>
      <c r="AE177">
        <v>6.12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0.68400000000000005</v>
      </c>
      <c r="AU177" t="s">
        <v>3</v>
      </c>
      <c r="AV177">
        <v>0</v>
      </c>
      <c r="AW177">
        <v>2</v>
      </c>
      <c r="AX177">
        <v>60256297</v>
      </c>
      <c r="AY177">
        <v>1</v>
      </c>
      <c r="AZ177">
        <v>0</v>
      </c>
      <c r="BA177">
        <v>195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ROUND(Y177*Source!I141,9)</f>
        <v>0.12995999999999999</v>
      </c>
      <c r="CY177">
        <f>AA177</f>
        <v>6.12</v>
      </c>
      <c r="CZ177">
        <f>AE177</f>
        <v>6.12</v>
      </c>
      <c r="DA177">
        <f>AI177</f>
        <v>1</v>
      </c>
      <c r="DB177">
        <f>ROUND(ROUND(AT177*CZ177,2),6)</f>
        <v>4.1900000000000004</v>
      </c>
      <c r="DC177">
        <f>ROUND(ROUND(AT177*AG177,2),6)</f>
        <v>0</v>
      </c>
      <c r="DD177" t="s">
        <v>3</v>
      </c>
      <c r="DE177" t="s">
        <v>3</v>
      </c>
      <c r="DF177">
        <f t="shared" si="30"/>
        <v>0.8</v>
      </c>
      <c r="DG177">
        <f t="shared" si="28"/>
        <v>0</v>
      </c>
      <c r="DH177">
        <f t="shared" si="29"/>
        <v>0</v>
      </c>
      <c r="DI177">
        <f t="shared" si="24"/>
        <v>0</v>
      </c>
      <c r="DJ177">
        <f>DF177</f>
        <v>0.8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ROW(Source!A141)</f>
        <v>141</v>
      </c>
      <c r="B178">
        <v>60255014</v>
      </c>
      <c r="C178">
        <v>60256278</v>
      </c>
      <c r="D178">
        <v>59004259</v>
      </c>
      <c r="E178">
        <v>1080</v>
      </c>
      <c r="F178">
        <v>1</v>
      </c>
      <c r="G178">
        <v>1080</v>
      </c>
      <c r="H178">
        <v>3</v>
      </c>
      <c r="I178" t="s">
        <v>519</v>
      </c>
      <c r="J178" t="s">
        <v>3</v>
      </c>
      <c r="K178" t="s">
        <v>520</v>
      </c>
      <c r="L178">
        <v>1344</v>
      </c>
      <c r="N178">
        <v>1008</v>
      </c>
      <c r="O178" t="s">
        <v>521</v>
      </c>
      <c r="P178" t="s">
        <v>521</v>
      </c>
      <c r="Q178">
        <v>1</v>
      </c>
      <c r="W178">
        <v>0</v>
      </c>
      <c r="X178">
        <v>-94250534</v>
      </c>
      <c r="Y178">
        <f>AT178</f>
        <v>0.04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0.04</v>
      </c>
      <c r="AU178" t="s">
        <v>3</v>
      </c>
      <c r="AV178">
        <v>0</v>
      </c>
      <c r="AW178">
        <v>2</v>
      </c>
      <c r="AX178">
        <v>60256299</v>
      </c>
      <c r="AY178">
        <v>1</v>
      </c>
      <c r="AZ178">
        <v>0</v>
      </c>
      <c r="BA178">
        <v>197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ROUND(Y178*Source!I141,9)</f>
        <v>7.6E-3</v>
      </c>
      <c r="CY178">
        <f>AA178</f>
        <v>1</v>
      </c>
      <c r="CZ178">
        <f>AE178</f>
        <v>1</v>
      </c>
      <c r="DA178">
        <f>AI178</f>
        <v>1</v>
      </c>
      <c r="DB178">
        <f>ROUND(ROUND(AT178*CZ178,2),6)</f>
        <v>0.04</v>
      </c>
      <c r="DC178">
        <f>ROUND(ROUND(AT178*AG178,2),6)</f>
        <v>0</v>
      </c>
      <c r="DD178" t="s">
        <v>3</v>
      </c>
      <c r="DE178" t="s">
        <v>3</v>
      </c>
      <c r="DF178">
        <f t="shared" si="30"/>
        <v>0.01</v>
      </c>
      <c r="DG178">
        <f t="shared" si="28"/>
        <v>0</v>
      </c>
      <c r="DH178">
        <f t="shared" si="29"/>
        <v>0</v>
      </c>
      <c r="DI178">
        <f t="shared" si="24"/>
        <v>0</v>
      </c>
      <c r="DJ178">
        <f>DF178</f>
        <v>0.01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ROW(Source!A142)</f>
        <v>142</v>
      </c>
      <c r="B179">
        <v>60255011</v>
      </c>
      <c r="C179">
        <v>60256278</v>
      </c>
      <c r="D179">
        <v>58999254</v>
      </c>
      <c r="E179">
        <v>1080</v>
      </c>
      <c r="F179">
        <v>1</v>
      </c>
      <c r="G179">
        <v>1080</v>
      </c>
      <c r="H179">
        <v>1</v>
      </c>
      <c r="I179" t="s">
        <v>482</v>
      </c>
      <c r="J179" t="s">
        <v>3</v>
      </c>
      <c r="K179" t="s">
        <v>483</v>
      </c>
      <c r="L179">
        <v>1191</v>
      </c>
      <c r="N179">
        <v>1013</v>
      </c>
      <c r="O179" t="s">
        <v>484</v>
      </c>
      <c r="P179" t="s">
        <v>484</v>
      </c>
      <c r="Q179">
        <v>1</v>
      </c>
      <c r="W179">
        <v>0</v>
      </c>
      <c r="X179">
        <v>476480486</v>
      </c>
      <c r="Y179">
        <f>((AT179*1.15)*1.1)</f>
        <v>94.495500000000007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5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74.7</v>
      </c>
      <c r="AU179" t="s">
        <v>99</v>
      </c>
      <c r="AV179">
        <v>1</v>
      </c>
      <c r="AW179">
        <v>2</v>
      </c>
      <c r="AX179">
        <v>60256289</v>
      </c>
      <c r="AY179">
        <v>1</v>
      </c>
      <c r="AZ179">
        <v>0</v>
      </c>
      <c r="BA179">
        <v>198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ROUND(AT179*Source!I142*AH179*AL179,2)</f>
        <v>0</v>
      </c>
      <c r="CV179">
        <f>ROUND(Y179*Source!I142,9)</f>
        <v>17.954145</v>
      </c>
      <c r="CW179">
        <v>0</v>
      </c>
      <c r="CX179">
        <f>ROUND(Y179*Source!I142,9)</f>
        <v>17.954145</v>
      </c>
      <c r="CY179">
        <f>AD179</f>
        <v>0</v>
      </c>
      <c r="CZ179">
        <f>AH179</f>
        <v>0</v>
      </c>
      <c r="DA179">
        <f>AL179</f>
        <v>1</v>
      </c>
      <c r="DB179">
        <f>ROUND(((ROUND(AT179*CZ179,2)*1.15)*1.1),6)</f>
        <v>0</v>
      </c>
      <c r="DC179">
        <f>ROUND(((ROUND(AT179*AG179,2)*1.15)*1.1),6)</f>
        <v>0</v>
      </c>
      <c r="DD179" t="s">
        <v>3</v>
      </c>
      <c r="DE179" t="s">
        <v>3</v>
      </c>
      <c r="DF179">
        <f t="shared" si="30"/>
        <v>0</v>
      </c>
      <c r="DG179">
        <f t="shared" si="28"/>
        <v>0</v>
      </c>
      <c r="DH179">
        <f t="shared" si="29"/>
        <v>0</v>
      </c>
      <c r="DI179">
        <f t="shared" si="24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ROW(Source!A142)</f>
        <v>142</v>
      </c>
      <c r="B180">
        <v>60255011</v>
      </c>
      <c r="C180">
        <v>60256278</v>
      </c>
      <c r="D180">
        <v>59070669</v>
      </c>
      <c r="E180">
        <v>1</v>
      </c>
      <c r="F180">
        <v>1</v>
      </c>
      <c r="G180">
        <v>1080</v>
      </c>
      <c r="H180">
        <v>2</v>
      </c>
      <c r="I180" t="s">
        <v>485</v>
      </c>
      <c r="J180" t="s">
        <v>486</v>
      </c>
      <c r="K180" t="s">
        <v>487</v>
      </c>
      <c r="L180">
        <v>1368</v>
      </c>
      <c r="N180">
        <v>1011</v>
      </c>
      <c r="O180" t="s">
        <v>488</v>
      </c>
      <c r="P180" t="s">
        <v>488</v>
      </c>
      <c r="Q180">
        <v>1</v>
      </c>
      <c r="W180">
        <v>0</v>
      </c>
      <c r="X180">
        <v>-1985943078</v>
      </c>
      <c r="Y180">
        <f>((AT180*1.25)*1.1)</f>
        <v>0.44000000000000006</v>
      </c>
      <c r="AA180">
        <v>0</v>
      </c>
      <c r="AB180">
        <v>1445.28</v>
      </c>
      <c r="AC180">
        <v>740.47</v>
      </c>
      <c r="AD180">
        <v>0</v>
      </c>
      <c r="AE180">
        <v>0</v>
      </c>
      <c r="AF180">
        <v>83.1</v>
      </c>
      <c r="AG180">
        <v>12.62</v>
      </c>
      <c r="AH180">
        <v>0</v>
      </c>
      <c r="AI180">
        <v>1</v>
      </c>
      <c r="AJ180">
        <v>16.3</v>
      </c>
      <c r="AK180">
        <v>54.99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0.32</v>
      </c>
      <c r="AU180" t="s">
        <v>496</v>
      </c>
      <c r="AV180">
        <v>0</v>
      </c>
      <c r="AW180">
        <v>2</v>
      </c>
      <c r="AX180">
        <v>60256290</v>
      </c>
      <c r="AY180">
        <v>1</v>
      </c>
      <c r="AZ180">
        <v>0</v>
      </c>
      <c r="BA180">
        <v>199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ROUND(Y180*Source!I142*DO180,9)</f>
        <v>1.055032</v>
      </c>
      <c r="CX180">
        <f>ROUND(Y180*Source!I142,9)</f>
        <v>8.3599999999999994E-2</v>
      </c>
      <c r="CY180">
        <f>AB180</f>
        <v>1445.28</v>
      </c>
      <c r="CZ180">
        <f>AF180</f>
        <v>83.1</v>
      </c>
      <c r="DA180">
        <f>AJ180</f>
        <v>16.3</v>
      </c>
      <c r="DB180">
        <f>ROUND(((ROUND(AT180*CZ180,2)*1.25)*1.1),6)</f>
        <v>36.561250000000001</v>
      </c>
      <c r="DC180">
        <f>ROUND(((ROUND(AT180*AG180,2)*1.25)*1.1),6)</f>
        <v>5.5549999999999997</v>
      </c>
      <c r="DD180" t="s">
        <v>3</v>
      </c>
      <c r="DE180" t="s">
        <v>3</v>
      </c>
      <c r="DF180">
        <f t="shared" si="30"/>
        <v>0</v>
      </c>
      <c r="DG180">
        <f>ROUND(ROUND(AF180*AJ180,2)*CX180,2)</f>
        <v>113.24</v>
      </c>
      <c r="DH180">
        <f>ROUND(ROUND(AG180*AK180,2)*CX180,2)</f>
        <v>58.02</v>
      </c>
      <c r="DI180">
        <f t="shared" si="24"/>
        <v>0</v>
      </c>
      <c r="DJ180">
        <f>DG180</f>
        <v>113.24</v>
      </c>
      <c r="DK180">
        <v>0</v>
      </c>
      <c r="DL180" t="s">
        <v>489</v>
      </c>
      <c r="DM180">
        <v>0</v>
      </c>
      <c r="DN180" t="s">
        <v>484</v>
      </c>
      <c r="DO180">
        <v>12.62</v>
      </c>
    </row>
    <row r="181" spans="1:119" x14ac:dyDescent="0.2">
      <c r="A181">
        <f>ROW(Source!A142)</f>
        <v>142</v>
      </c>
      <c r="B181">
        <v>60255011</v>
      </c>
      <c r="C181">
        <v>60256278</v>
      </c>
      <c r="D181">
        <v>59070721</v>
      </c>
      <c r="E181">
        <v>1</v>
      </c>
      <c r="F181">
        <v>1</v>
      </c>
      <c r="G181">
        <v>1080</v>
      </c>
      <c r="H181">
        <v>2</v>
      </c>
      <c r="I181" t="s">
        <v>497</v>
      </c>
      <c r="J181" t="s">
        <v>498</v>
      </c>
      <c r="K181" t="s">
        <v>499</v>
      </c>
      <c r="L181">
        <v>1368</v>
      </c>
      <c r="N181">
        <v>1011</v>
      </c>
      <c r="O181" t="s">
        <v>488</v>
      </c>
      <c r="P181" t="s">
        <v>488</v>
      </c>
      <c r="Q181">
        <v>1</v>
      </c>
      <c r="W181">
        <v>0</v>
      </c>
      <c r="X181">
        <v>1387779639</v>
      </c>
      <c r="Y181">
        <f>((AT181*1.25)*1.1)</f>
        <v>1.7050000000000003</v>
      </c>
      <c r="AA181">
        <v>0</v>
      </c>
      <c r="AB181">
        <v>7.11</v>
      </c>
      <c r="AC181">
        <v>0</v>
      </c>
      <c r="AD181">
        <v>0</v>
      </c>
      <c r="AE181">
        <v>0</v>
      </c>
      <c r="AF181">
        <v>0.77</v>
      </c>
      <c r="AG181">
        <v>0</v>
      </c>
      <c r="AH181">
        <v>0</v>
      </c>
      <c r="AI181">
        <v>1</v>
      </c>
      <c r="AJ181">
        <v>8.66</v>
      </c>
      <c r="AK181">
        <v>54.99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1.24</v>
      </c>
      <c r="AU181" t="s">
        <v>496</v>
      </c>
      <c r="AV181">
        <v>0</v>
      </c>
      <c r="AW181">
        <v>2</v>
      </c>
      <c r="AX181">
        <v>60256292</v>
      </c>
      <c r="AY181">
        <v>1</v>
      </c>
      <c r="AZ181">
        <v>0</v>
      </c>
      <c r="BA181">
        <v>200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f>ROUND(Y181*Source!I142*DO181,9)</f>
        <v>0</v>
      </c>
      <c r="CX181">
        <f>ROUND(Y181*Source!I142,9)</f>
        <v>0.32395000000000002</v>
      </c>
      <c r="CY181">
        <f>AB181</f>
        <v>7.11</v>
      </c>
      <c r="CZ181">
        <f>AF181</f>
        <v>0.77</v>
      </c>
      <c r="DA181">
        <f>AJ181</f>
        <v>8.66</v>
      </c>
      <c r="DB181">
        <f>ROUND(((ROUND(AT181*CZ181,2)*1.25)*1.1),6)</f>
        <v>1.3062499999999999</v>
      </c>
      <c r="DC181">
        <f>ROUND(((ROUND(AT181*AG181,2)*1.25)*1.1),6)</f>
        <v>0</v>
      </c>
      <c r="DD181" t="s">
        <v>3</v>
      </c>
      <c r="DE181" t="s">
        <v>3</v>
      </c>
      <c r="DF181">
        <f t="shared" si="30"/>
        <v>0</v>
      </c>
      <c r="DG181">
        <f>ROUND(ROUND(AF181*AJ181,2)*CX181,2)</f>
        <v>2.16</v>
      </c>
      <c r="DH181">
        <f>ROUND(ROUND(AG181*AK181,2)*CX181,2)</f>
        <v>0</v>
      </c>
      <c r="DI181">
        <f t="shared" si="24"/>
        <v>0</v>
      </c>
      <c r="DJ181">
        <f>DG181</f>
        <v>2.16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ROW(Source!A142)</f>
        <v>142</v>
      </c>
      <c r="B182">
        <v>60255011</v>
      </c>
      <c r="C182">
        <v>60256278</v>
      </c>
      <c r="D182">
        <v>59070754</v>
      </c>
      <c r="E182">
        <v>1</v>
      </c>
      <c r="F182">
        <v>1</v>
      </c>
      <c r="G182">
        <v>1080</v>
      </c>
      <c r="H182">
        <v>2</v>
      </c>
      <c r="I182" t="s">
        <v>500</v>
      </c>
      <c r="J182" t="s">
        <v>501</v>
      </c>
      <c r="K182" t="s">
        <v>502</v>
      </c>
      <c r="L182">
        <v>1368</v>
      </c>
      <c r="N182">
        <v>1011</v>
      </c>
      <c r="O182" t="s">
        <v>488</v>
      </c>
      <c r="P182" t="s">
        <v>488</v>
      </c>
      <c r="Q182">
        <v>1</v>
      </c>
      <c r="W182">
        <v>0</v>
      </c>
      <c r="X182">
        <v>1645565003</v>
      </c>
      <c r="Y182">
        <f>((AT182*1.25)*1.1)</f>
        <v>4.4275000000000011</v>
      </c>
      <c r="AA182">
        <v>0</v>
      </c>
      <c r="AB182">
        <v>4.38</v>
      </c>
      <c r="AC182">
        <v>0</v>
      </c>
      <c r="AD182">
        <v>0</v>
      </c>
      <c r="AE182">
        <v>0</v>
      </c>
      <c r="AF182">
        <v>0.47</v>
      </c>
      <c r="AG182">
        <v>0</v>
      </c>
      <c r="AH182">
        <v>0</v>
      </c>
      <c r="AI182">
        <v>1</v>
      </c>
      <c r="AJ182">
        <v>8.74</v>
      </c>
      <c r="AK182">
        <v>54.99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3.22</v>
      </c>
      <c r="AU182" t="s">
        <v>496</v>
      </c>
      <c r="AV182">
        <v>0</v>
      </c>
      <c r="AW182">
        <v>2</v>
      </c>
      <c r="AX182">
        <v>60256293</v>
      </c>
      <c r="AY182">
        <v>1</v>
      </c>
      <c r="AZ182">
        <v>0</v>
      </c>
      <c r="BA182">
        <v>201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f>ROUND(Y182*Source!I142*DO182,9)</f>
        <v>0</v>
      </c>
      <c r="CX182">
        <f>ROUND(Y182*Source!I142,9)</f>
        <v>0.841225</v>
      </c>
      <c r="CY182">
        <f>AB182</f>
        <v>4.38</v>
      </c>
      <c r="CZ182">
        <f>AF182</f>
        <v>0.47</v>
      </c>
      <c r="DA182">
        <f>AJ182</f>
        <v>8.74</v>
      </c>
      <c r="DB182">
        <f>ROUND(((ROUND(AT182*CZ182,2)*1.25)*1.1),6)</f>
        <v>2.0762499999999999</v>
      </c>
      <c r="DC182">
        <f>ROUND(((ROUND(AT182*AG182,2)*1.25)*1.1),6)</f>
        <v>0</v>
      </c>
      <c r="DD182" t="s">
        <v>3</v>
      </c>
      <c r="DE182" t="s">
        <v>3</v>
      </c>
      <c r="DF182">
        <f t="shared" si="30"/>
        <v>0</v>
      </c>
      <c r="DG182">
        <f>ROUND(ROUND(AF182*AJ182,2)*CX182,2)</f>
        <v>3.46</v>
      </c>
      <c r="DH182">
        <f>ROUND(ROUND(AG182*AK182,2)*CX182,2)</f>
        <v>0</v>
      </c>
      <c r="DI182">
        <f t="shared" si="24"/>
        <v>0</v>
      </c>
      <c r="DJ182">
        <f>DG182</f>
        <v>3.46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ROW(Source!A142)</f>
        <v>142</v>
      </c>
      <c r="B183">
        <v>60255011</v>
      </c>
      <c r="C183">
        <v>60256278</v>
      </c>
      <c r="D183">
        <v>59069905</v>
      </c>
      <c r="E183">
        <v>1</v>
      </c>
      <c r="F183">
        <v>1</v>
      </c>
      <c r="G183">
        <v>1080</v>
      </c>
      <c r="H183">
        <v>2</v>
      </c>
      <c r="I183" t="s">
        <v>503</v>
      </c>
      <c r="J183" t="s">
        <v>504</v>
      </c>
      <c r="K183" t="s">
        <v>505</v>
      </c>
      <c r="L183">
        <v>1368</v>
      </c>
      <c r="N183">
        <v>1011</v>
      </c>
      <c r="O183" t="s">
        <v>488</v>
      </c>
      <c r="P183" t="s">
        <v>488</v>
      </c>
      <c r="Q183">
        <v>1</v>
      </c>
      <c r="W183">
        <v>0</v>
      </c>
      <c r="X183">
        <v>1087580389</v>
      </c>
      <c r="Y183">
        <f>((AT183*1.25)*1.1)</f>
        <v>0.50875000000000004</v>
      </c>
      <c r="AA183">
        <v>0</v>
      </c>
      <c r="AB183">
        <v>2628.65</v>
      </c>
      <c r="AC183">
        <v>993.36</v>
      </c>
      <c r="AD183">
        <v>0</v>
      </c>
      <c r="AE183">
        <v>0</v>
      </c>
      <c r="AF183">
        <v>179.17</v>
      </c>
      <c r="AG183">
        <v>16.93</v>
      </c>
      <c r="AH183">
        <v>0</v>
      </c>
      <c r="AI183">
        <v>1</v>
      </c>
      <c r="AJ183">
        <v>13.75</v>
      </c>
      <c r="AK183">
        <v>54.99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0.37</v>
      </c>
      <c r="AU183" t="s">
        <v>496</v>
      </c>
      <c r="AV183">
        <v>0</v>
      </c>
      <c r="AW183">
        <v>2</v>
      </c>
      <c r="AX183">
        <v>60256291</v>
      </c>
      <c r="AY183">
        <v>1</v>
      </c>
      <c r="AZ183">
        <v>0</v>
      </c>
      <c r="BA183">
        <v>202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f>ROUND(Y183*Source!I142*DO183,9)</f>
        <v>1.6364961250000001</v>
      </c>
      <c r="CX183">
        <f>ROUND(Y183*Source!I142,9)</f>
        <v>9.6662499999999998E-2</v>
      </c>
      <c r="CY183">
        <f>AB183</f>
        <v>2628.65</v>
      </c>
      <c r="CZ183">
        <f>AF183</f>
        <v>179.17</v>
      </c>
      <c r="DA183">
        <f>AJ183</f>
        <v>13.75</v>
      </c>
      <c r="DB183">
        <f>ROUND(((ROUND(AT183*CZ183,2)*1.25)*1.1),6)</f>
        <v>91.148750000000007</v>
      </c>
      <c r="DC183">
        <f>ROUND(((ROUND(AT183*AG183,2)*1.25)*1.1),6)</f>
        <v>8.6074999999999999</v>
      </c>
      <c r="DD183" t="s">
        <v>3</v>
      </c>
      <c r="DE183" t="s">
        <v>3</v>
      </c>
      <c r="DF183">
        <f t="shared" si="30"/>
        <v>0</v>
      </c>
      <c r="DG183">
        <f>ROUND(ROUND(AF183*AJ183,2)*CX183,2)</f>
        <v>238.14</v>
      </c>
      <c r="DH183">
        <f>ROUND(ROUND(AG183*AK183,2)*CX183,2)</f>
        <v>89.99</v>
      </c>
      <c r="DI183">
        <f t="shared" si="24"/>
        <v>0</v>
      </c>
      <c r="DJ183">
        <f>DG183</f>
        <v>238.14</v>
      </c>
      <c r="DK183">
        <v>0</v>
      </c>
      <c r="DL183" t="s">
        <v>489</v>
      </c>
      <c r="DM183">
        <v>0</v>
      </c>
      <c r="DN183" t="s">
        <v>484</v>
      </c>
      <c r="DO183">
        <v>16.93</v>
      </c>
    </row>
    <row r="184" spans="1:119" x14ac:dyDescent="0.2">
      <c r="A184">
        <f>ROW(Source!A142)</f>
        <v>142</v>
      </c>
      <c r="B184">
        <v>60255011</v>
      </c>
      <c r="C184">
        <v>60256278</v>
      </c>
      <c r="D184">
        <v>59038905</v>
      </c>
      <c r="E184">
        <v>1</v>
      </c>
      <c r="F184">
        <v>1</v>
      </c>
      <c r="G184">
        <v>1080</v>
      </c>
      <c r="H184">
        <v>3</v>
      </c>
      <c r="I184" t="s">
        <v>506</v>
      </c>
      <c r="J184" t="s">
        <v>507</v>
      </c>
      <c r="K184" t="s">
        <v>508</v>
      </c>
      <c r="L184">
        <v>1339</v>
      </c>
      <c r="N184">
        <v>1007</v>
      </c>
      <c r="O184" t="s">
        <v>509</v>
      </c>
      <c r="P184" t="s">
        <v>509</v>
      </c>
      <c r="Q184">
        <v>1</v>
      </c>
      <c r="W184">
        <v>0</v>
      </c>
      <c r="X184">
        <v>-744103292</v>
      </c>
      <c r="Y184">
        <f>AT184</f>
        <v>0.22700000000000001</v>
      </c>
      <c r="AA184">
        <v>54.79</v>
      </c>
      <c r="AB184">
        <v>0</v>
      </c>
      <c r="AC184">
        <v>0</v>
      </c>
      <c r="AD184">
        <v>0</v>
      </c>
      <c r="AE184">
        <v>7.07</v>
      </c>
      <c r="AF184">
        <v>0</v>
      </c>
      <c r="AG184">
        <v>0</v>
      </c>
      <c r="AH184">
        <v>0</v>
      </c>
      <c r="AI184">
        <v>7.75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0.22700000000000001</v>
      </c>
      <c r="AU184" t="s">
        <v>3</v>
      </c>
      <c r="AV184">
        <v>0</v>
      </c>
      <c r="AW184">
        <v>2</v>
      </c>
      <c r="AX184">
        <v>60256294</v>
      </c>
      <c r="AY184">
        <v>1</v>
      </c>
      <c r="AZ184">
        <v>0</v>
      </c>
      <c r="BA184">
        <v>203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ROUND(Y184*Source!I142,9)</f>
        <v>4.3130000000000002E-2</v>
      </c>
      <c r="CY184">
        <f>AA184</f>
        <v>54.79</v>
      </c>
      <c r="CZ184">
        <f>AE184</f>
        <v>7.07</v>
      </c>
      <c r="DA184">
        <f>AI184</f>
        <v>7.75</v>
      </c>
      <c r="DB184">
        <f>ROUND(ROUND(AT184*CZ184,2),6)</f>
        <v>1.6</v>
      </c>
      <c r="DC184">
        <f>ROUND(ROUND(AT184*AG184,2),6)</f>
        <v>0</v>
      </c>
      <c r="DD184" t="s">
        <v>3</v>
      </c>
      <c r="DE184" t="s">
        <v>3</v>
      </c>
      <c r="DF184">
        <f>ROUND(ROUND(AE184*AI184,2)*CX184,2)</f>
        <v>2.36</v>
      </c>
      <c r="DG184">
        <f t="shared" ref="DG184:DG199" si="31">ROUND(ROUND(AF184,2)*CX184,2)</f>
        <v>0</v>
      </c>
      <c r="DH184">
        <f t="shared" ref="DH184:DH199" si="32">ROUND(ROUND(AG184,2)*CX184,2)</f>
        <v>0</v>
      </c>
      <c r="DI184">
        <f t="shared" si="24"/>
        <v>0</v>
      </c>
      <c r="DJ184">
        <f>DF184</f>
        <v>2.36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ROW(Source!A142)</f>
        <v>142</v>
      </c>
      <c r="B185">
        <v>60255011</v>
      </c>
      <c r="C185">
        <v>60256278</v>
      </c>
      <c r="D185">
        <v>59045898</v>
      </c>
      <c r="E185">
        <v>1</v>
      </c>
      <c r="F185">
        <v>1</v>
      </c>
      <c r="G185">
        <v>1080</v>
      </c>
      <c r="H185">
        <v>3</v>
      </c>
      <c r="I185" t="s">
        <v>510</v>
      </c>
      <c r="J185" t="s">
        <v>511</v>
      </c>
      <c r="K185" t="s">
        <v>512</v>
      </c>
      <c r="L185">
        <v>1355</v>
      </c>
      <c r="N185">
        <v>1010</v>
      </c>
      <c r="O185" t="s">
        <v>96</v>
      </c>
      <c r="P185" t="s">
        <v>96</v>
      </c>
      <c r="Q185">
        <v>100</v>
      </c>
      <c r="W185">
        <v>0</v>
      </c>
      <c r="X185">
        <v>2062705997</v>
      </c>
      <c r="Y185">
        <f>AT185</f>
        <v>4.04</v>
      </c>
      <c r="AA185">
        <v>1401.76</v>
      </c>
      <c r="AB185">
        <v>0</v>
      </c>
      <c r="AC185">
        <v>0</v>
      </c>
      <c r="AD185">
        <v>0</v>
      </c>
      <c r="AE185">
        <v>154.72</v>
      </c>
      <c r="AF185">
        <v>0</v>
      </c>
      <c r="AG185">
        <v>0</v>
      </c>
      <c r="AH185">
        <v>0</v>
      </c>
      <c r="AI185">
        <v>9.06</v>
      </c>
      <c r="AJ185">
        <v>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4.04</v>
      </c>
      <c r="AU185" t="s">
        <v>3</v>
      </c>
      <c r="AV185">
        <v>0</v>
      </c>
      <c r="AW185">
        <v>2</v>
      </c>
      <c r="AX185">
        <v>60256295</v>
      </c>
      <c r="AY185">
        <v>1</v>
      </c>
      <c r="AZ185">
        <v>0</v>
      </c>
      <c r="BA185">
        <v>204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ROUND(Y185*Source!I142,9)</f>
        <v>0.76759999999999995</v>
      </c>
      <c r="CY185">
        <f>AA185</f>
        <v>1401.76</v>
      </c>
      <c r="CZ185">
        <f>AE185</f>
        <v>154.72</v>
      </c>
      <c r="DA185">
        <f>AI185</f>
        <v>9.06</v>
      </c>
      <c r="DB185">
        <f>ROUND(ROUND(AT185*CZ185,2),6)</f>
        <v>625.07000000000005</v>
      </c>
      <c r="DC185">
        <f>ROUND(ROUND(AT185*AG185,2),6)</f>
        <v>0</v>
      </c>
      <c r="DD185" t="s">
        <v>3</v>
      </c>
      <c r="DE185" t="s">
        <v>3</v>
      </c>
      <c r="DF185">
        <f>ROUND(ROUND(AE185*AI185,2)*CX185,2)</f>
        <v>1075.99</v>
      </c>
      <c r="DG185">
        <f t="shared" si="31"/>
        <v>0</v>
      </c>
      <c r="DH185">
        <f t="shared" si="32"/>
        <v>0</v>
      </c>
      <c r="DI185">
        <f t="shared" si="24"/>
        <v>0</v>
      </c>
      <c r="DJ185">
        <f>DF185</f>
        <v>1075.99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ROW(Source!A142)</f>
        <v>142</v>
      </c>
      <c r="B186">
        <v>60255011</v>
      </c>
      <c r="C186">
        <v>60256278</v>
      </c>
      <c r="D186">
        <v>59056195</v>
      </c>
      <c r="E186">
        <v>1</v>
      </c>
      <c r="F186">
        <v>1</v>
      </c>
      <c r="G186">
        <v>1080</v>
      </c>
      <c r="H186">
        <v>3</v>
      </c>
      <c r="I186" t="s">
        <v>513</v>
      </c>
      <c r="J186" t="s">
        <v>514</v>
      </c>
      <c r="K186" t="s">
        <v>515</v>
      </c>
      <c r="L186">
        <v>1354</v>
      </c>
      <c r="N186">
        <v>1010</v>
      </c>
      <c r="O186" t="s">
        <v>31</v>
      </c>
      <c r="P186" t="s">
        <v>31</v>
      </c>
      <c r="Q186">
        <v>1</v>
      </c>
      <c r="W186">
        <v>0</v>
      </c>
      <c r="X186">
        <v>-572380273</v>
      </c>
      <c r="Y186">
        <f>AT186</f>
        <v>200</v>
      </c>
      <c r="AA186">
        <v>185.42</v>
      </c>
      <c r="AB186">
        <v>0</v>
      </c>
      <c r="AC186">
        <v>0</v>
      </c>
      <c r="AD186">
        <v>0</v>
      </c>
      <c r="AE186">
        <v>7.24</v>
      </c>
      <c r="AF186">
        <v>0</v>
      </c>
      <c r="AG186">
        <v>0</v>
      </c>
      <c r="AH186">
        <v>0</v>
      </c>
      <c r="AI186">
        <v>25.61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200</v>
      </c>
      <c r="AU186" t="s">
        <v>3</v>
      </c>
      <c r="AV186">
        <v>0</v>
      </c>
      <c r="AW186">
        <v>2</v>
      </c>
      <c r="AX186">
        <v>60256296</v>
      </c>
      <c r="AY186">
        <v>1</v>
      </c>
      <c r="AZ186">
        <v>0</v>
      </c>
      <c r="BA186">
        <v>205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ROUND(Y186*Source!I142,9)</f>
        <v>38</v>
      </c>
      <c r="CY186">
        <f>AA186</f>
        <v>185.42</v>
      </c>
      <c r="CZ186">
        <f>AE186</f>
        <v>7.24</v>
      </c>
      <c r="DA186">
        <f>AI186</f>
        <v>25.61</v>
      </c>
      <c r="DB186">
        <f>ROUND(ROUND(AT186*CZ186,2),6)</f>
        <v>1448</v>
      </c>
      <c r="DC186">
        <f>ROUND(ROUND(AT186*AG186,2),6)</f>
        <v>0</v>
      </c>
      <c r="DD186" t="s">
        <v>3</v>
      </c>
      <c r="DE186" t="s">
        <v>3</v>
      </c>
      <c r="DF186">
        <f>ROUND(ROUND(AE186*AI186,2)*CX186,2)</f>
        <v>7045.96</v>
      </c>
      <c r="DG186">
        <f t="shared" si="31"/>
        <v>0</v>
      </c>
      <c r="DH186">
        <f t="shared" si="32"/>
        <v>0</v>
      </c>
      <c r="DI186">
        <f t="shared" si="24"/>
        <v>0</v>
      </c>
      <c r="DJ186">
        <f>DF186</f>
        <v>7045.96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ROW(Source!A142)</f>
        <v>142</v>
      </c>
      <c r="B187">
        <v>60255011</v>
      </c>
      <c r="C187">
        <v>60256278</v>
      </c>
      <c r="D187">
        <v>59049377</v>
      </c>
      <c r="E187">
        <v>1</v>
      </c>
      <c r="F187">
        <v>1</v>
      </c>
      <c r="G187">
        <v>1080</v>
      </c>
      <c r="H187">
        <v>3</v>
      </c>
      <c r="I187" t="s">
        <v>516</v>
      </c>
      <c r="J187" t="s">
        <v>517</v>
      </c>
      <c r="K187" t="s">
        <v>518</v>
      </c>
      <c r="L187">
        <v>1354</v>
      </c>
      <c r="N187">
        <v>1010</v>
      </c>
      <c r="O187" t="s">
        <v>31</v>
      </c>
      <c r="P187" t="s">
        <v>31</v>
      </c>
      <c r="Q187">
        <v>1</v>
      </c>
      <c r="W187">
        <v>0</v>
      </c>
      <c r="X187">
        <v>501598144</v>
      </c>
      <c r="Y187">
        <f>AT187</f>
        <v>0.68400000000000005</v>
      </c>
      <c r="AA187">
        <v>63.83</v>
      </c>
      <c r="AB187">
        <v>0</v>
      </c>
      <c r="AC187">
        <v>0</v>
      </c>
      <c r="AD187">
        <v>0</v>
      </c>
      <c r="AE187">
        <v>6.12</v>
      </c>
      <c r="AF187">
        <v>0</v>
      </c>
      <c r="AG187">
        <v>0</v>
      </c>
      <c r="AH187">
        <v>0</v>
      </c>
      <c r="AI187">
        <v>10.43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0.68400000000000005</v>
      </c>
      <c r="AU187" t="s">
        <v>3</v>
      </c>
      <c r="AV187">
        <v>0</v>
      </c>
      <c r="AW187">
        <v>2</v>
      </c>
      <c r="AX187">
        <v>60256297</v>
      </c>
      <c r="AY187">
        <v>1</v>
      </c>
      <c r="AZ187">
        <v>0</v>
      </c>
      <c r="BA187">
        <v>206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ROUND(Y187*Source!I142,9)</f>
        <v>0.12995999999999999</v>
      </c>
      <c r="CY187">
        <f>AA187</f>
        <v>63.83</v>
      </c>
      <c r="CZ187">
        <f>AE187</f>
        <v>6.12</v>
      </c>
      <c r="DA187">
        <f>AI187</f>
        <v>10.43</v>
      </c>
      <c r="DB187">
        <f>ROUND(ROUND(AT187*CZ187,2),6)</f>
        <v>4.1900000000000004</v>
      </c>
      <c r="DC187">
        <f>ROUND(ROUND(AT187*AG187,2),6)</f>
        <v>0</v>
      </c>
      <c r="DD187" t="s">
        <v>3</v>
      </c>
      <c r="DE187" t="s">
        <v>3</v>
      </c>
      <c r="DF187">
        <f>ROUND(ROUND(AE187*AI187,2)*CX187,2)</f>
        <v>8.3000000000000007</v>
      </c>
      <c r="DG187">
        <f t="shared" si="31"/>
        <v>0</v>
      </c>
      <c r="DH187">
        <f t="shared" si="32"/>
        <v>0</v>
      </c>
      <c r="DI187">
        <f t="shared" si="24"/>
        <v>0</v>
      </c>
      <c r="DJ187">
        <f>DF187</f>
        <v>8.3000000000000007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ROW(Source!A142)</f>
        <v>142</v>
      </c>
      <c r="B188">
        <v>60255011</v>
      </c>
      <c r="C188">
        <v>60256278</v>
      </c>
      <c r="D188">
        <v>59004259</v>
      </c>
      <c r="E188">
        <v>1080</v>
      </c>
      <c r="F188">
        <v>1</v>
      </c>
      <c r="G188">
        <v>1080</v>
      </c>
      <c r="H188">
        <v>3</v>
      </c>
      <c r="I188" t="s">
        <v>519</v>
      </c>
      <c r="J188" t="s">
        <v>3</v>
      </c>
      <c r="K188" t="s">
        <v>520</v>
      </c>
      <c r="L188">
        <v>1344</v>
      </c>
      <c r="N188">
        <v>1008</v>
      </c>
      <c r="O188" t="s">
        <v>521</v>
      </c>
      <c r="P188" t="s">
        <v>521</v>
      </c>
      <c r="Q188">
        <v>1</v>
      </c>
      <c r="W188">
        <v>0</v>
      </c>
      <c r="X188">
        <v>-94250534</v>
      </c>
      <c r="Y188">
        <f>AT188</f>
        <v>0.04</v>
      </c>
      <c r="AA188">
        <v>9.8800000000000008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9.8800000000000008</v>
      </c>
      <c r="AJ188">
        <v>1</v>
      </c>
      <c r="AK188">
        <v>1</v>
      </c>
      <c r="AL188">
        <v>1</v>
      </c>
      <c r="AM188">
        <v>5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0.04</v>
      </c>
      <c r="AU188" t="s">
        <v>3</v>
      </c>
      <c r="AV188">
        <v>0</v>
      </c>
      <c r="AW188">
        <v>2</v>
      </c>
      <c r="AX188">
        <v>60256299</v>
      </c>
      <c r="AY188">
        <v>1</v>
      </c>
      <c r="AZ188">
        <v>0</v>
      </c>
      <c r="BA188">
        <v>208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ROUND(Y188*Source!I142,9)</f>
        <v>7.6E-3</v>
      </c>
      <c r="CY188">
        <f>AA188</f>
        <v>9.8800000000000008</v>
      </c>
      <c r="CZ188">
        <f>AE188</f>
        <v>1</v>
      </c>
      <c r="DA188">
        <f>AI188</f>
        <v>9.8800000000000008</v>
      </c>
      <c r="DB188">
        <f>ROUND(ROUND(AT188*CZ188,2),6)</f>
        <v>0.04</v>
      </c>
      <c r="DC188">
        <f>ROUND(ROUND(AT188*AG188,2),6)</f>
        <v>0</v>
      </c>
      <c r="DD188" t="s">
        <v>3</v>
      </c>
      <c r="DE188" t="s">
        <v>3</v>
      </c>
      <c r="DF188">
        <f>ROUND(ROUND(AE188*AI188,2)*CX188,2)</f>
        <v>0.08</v>
      </c>
      <c r="DG188">
        <f t="shared" si="31"/>
        <v>0</v>
      </c>
      <c r="DH188">
        <f t="shared" si="32"/>
        <v>0</v>
      </c>
      <c r="DI188">
        <f t="shared" si="24"/>
        <v>0</v>
      </c>
      <c r="DJ188">
        <f>DF188</f>
        <v>0.08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ROW(Source!A147)</f>
        <v>147</v>
      </c>
      <c r="B189">
        <v>60255014</v>
      </c>
      <c r="C189">
        <v>60256300</v>
      </c>
      <c r="D189">
        <v>58999254</v>
      </c>
      <c r="E189">
        <v>1080</v>
      </c>
      <c r="F189">
        <v>1</v>
      </c>
      <c r="G189">
        <v>1080</v>
      </c>
      <c r="H189">
        <v>1</v>
      </c>
      <c r="I189" t="s">
        <v>482</v>
      </c>
      <c r="J189" t="s">
        <v>3</v>
      </c>
      <c r="K189" t="s">
        <v>483</v>
      </c>
      <c r="L189">
        <v>1191</v>
      </c>
      <c r="N189">
        <v>1013</v>
      </c>
      <c r="O189" t="s">
        <v>484</v>
      </c>
      <c r="P189" t="s">
        <v>484</v>
      </c>
      <c r="Q189">
        <v>1</v>
      </c>
      <c r="W189">
        <v>0</v>
      </c>
      <c r="X189">
        <v>476480486</v>
      </c>
      <c r="Y189">
        <f>((AT189*1.1)*1.15)</f>
        <v>123.40075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97.55</v>
      </c>
      <c r="AU189" t="s">
        <v>199</v>
      </c>
      <c r="AV189">
        <v>1</v>
      </c>
      <c r="AW189">
        <v>2</v>
      </c>
      <c r="AX189">
        <v>60256311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ROUND(AT189*Source!I147*AH189*AL189,2)</f>
        <v>0</v>
      </c>
      <c r="CV189">
        <f>ROUND(Y189*Source!I147,9)</f>
        <v>2.4680149999999998</v>
      </c>
      <c r="CW189">
        <v>0</v>
      </c>
      <c r="CX189">
        <f>ROUND(Y189*Source!I147,9)</f>
        <v>2.4680149999999998</v>
      </c>
      <c r="CY189">
        <f>AD189</f>
        <v>0</v>
      </c>
      <c r="CZ189">
        <f>AH189</f>
        <v>0</v>
      </c>
      <c r="DA189">
        <f>AL189</f>
        <v>1</v>
      </c>
      <c r="DB189">
        <f>ROUND(((ROUND(AT189*CZ189,2)*1.1)*1.15),6)</f>
        <v>0</v>
      </c>
      <c r="DC189">
        <f>ROUND(((ROUND(AT189*AG189,2)*1.1)*1.15),6)</f>
        <v>0</v>
      </c>
      <c r="DD189" t="s">
        <v>3</v>
      </c>
      <c r="DE189" t="s">
        <v>3</v>
      </c>
      <c r="DF189">
        <f t="shared" ref="DF189:DF203" si="33">ROUND(ROUND(AE189,2)*CX189,2)</f>
        <v>0</v>
      </c>
      <c r="DG189">
        <f t="shared" si="31"/>
        <v>0</v>
      </c>
      <c r="DH189">
        <f t="shared" si="32"/>
        <v>0</v>
      </c>
      <c r="DI189">
        <f t="shared" si="24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ROW(Source!A147)</f>
        <v>147</v>
      </c>
      <c r="B190">
        <v>60255014</v>
      </c>
      <c r="C190">
        <v>60256300</v>
      </c>
      <c r="D190">
        <v>59070669</v>
      </c>
      <c r="E190">
        <v>1</v>
      </c>
      <c r="F190">
        <v>1</v>
      </c>
      <c r="G190">
        <v>1080</v>
      </c>
      <c r="H190">
        <v>2</v>
      </c>
      <c r="I190" t="s">
        <v>485</v>
      </c>
      <c r="J190" t="s">
        <v>486</v>
      </c>
      <c r="K190" t="s">
        <v>487</v>
      </c>
      <c r="L190">
        <v>1368</v>
      </c>
      <c r="N190">
        <v>1011</v>
      </c>
      <c r="O190" t="s">
        <v>488</v>
      </c>
      <c r="P190" t="s">
        <v>488</v>
      </c>
      <c r="Q190">
        <v>1</v>
      </c>
      <c r="W190">
        <v>0</v>
      </c>
      <c r="X190">
        <v>-1985943078</v>
      </c>
      <c r="Y190">
        <f>((AT190*1.1)*1.25)</f>
        <v>0.77000000000000013</v>
      </c>
      <c r="AA190">
        <v>0</v>
      </c>
      <c r="AB190">
        <v>88.67</v>
      </c>
      <c r="AC190">
        <v>13.47</v>
      </c>
      <c r="AD190">
        <v>0</v>
      </c>
      <c r="AE190">
        <v>0</v>
      </c>
      <c r="AF190">
        <v>83.1</v>
      </c>
      <c r="AG190">
        <v>12.62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0.56000000000000005</v>
      </c>
      <c r="AU190" t="s">
        <v>198</v>
      </c>
      <c r="AV190">
        <v>0</v>
      </c>
      <c r="AW190">
        <v>2</v>
      </c>
      <c r="AX190">
        <v>60256312</v>
      </c>
      <c r="AY190">
        <v>1</v>
      </c>
      <c r="AZ190">
        <v>0</v>
      </c>
      <c r="BA190">
        <v>210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ROUND(Y190*Source!I147*DO190,9)</f>
        <v>0.19434799999999999</v>
      </c>
      <c r="CX190">
        <f>ROUND(Y190*Source!I147,9)</f>
        <v>1.54E-2</v>
      </c>
      <c r="CY190">
        <f>AB190</f>
        <v>88.67</v>
      </c>
      <c r="CZ190">
        <f>AF190</f>
        <v>83.1</v>
      </c>
      <c r="DA190">
        <f>AJ190</f>
        <v>1</v>
      </c>
      <c r="DB190">
        <f>ROUND(((ROUND(AT190*CZ190,2)*1.1)*1.25),6)</f>
        <v>63.9925</v>
      </c>
      <c r="DC190">
        <f>ROUND(((ROUND(AT190*AG190,2)*1.1)*1.25),6)</f>
        <v>9.7212499999999995</v>
      </c>
      <c r="DD190" t="s">
        <v>3</v>
      </c>
      <c r="DE190" t="s">
        <v>3</v>
      </c>
      <c r="DF190">
        <f t="shared" si="33"/>
        <v>0</v>
      </c>
      <c r="DG190">
        <f t="shared" si="31"/>
        <v>1.28</v>
      </c>
      <c r="DH190">
        <f t="shared" si="32"/>
        <v>0.19</v>
      </c>
      <c r="DI190">
        <f t="shared" si="24"/>
        <v>0</v>
      </c>
      <c r="DJ190">
        <f>DG190</f>
        <v>1.28</v>
      </c>
      <c r="DK190">
        <v>0</v>
      </c>
      <c r="DL190" t="s">
        <v>489</v>
      </c>
      <c r="DM190">
        <v>0</v>
      </c>
      <c r="DN190" t="s">
        <v>484</v>
      </c>
      <c r="DO190">
        <v>12.62</v>
      </c>
    </row>
    <row r="191" spans="1:119" x14ac:dyDescent="0.2">
      <c r="A191">
        <f>ROW(Source!A147)</f>
        <v>147</v>
      </c>
      <c r="B191">
        <v>60255014</v>
      </c>
      <c r="C191">
        <v>60256300</v>
      </c>
      <c r="D191">
        <v>59070721</v>
      </c>
      <c r="E191">
        <v>1</v>
      </c>
      <c r="F191">
        <v>1</v>
      </c>
      <c r="G191">
        <v>1080</v>
      </c>
      <c r="H191">
        <v>2</v>
      </c>
      <c r="I191" t="s">
        <v>497</v>
      </c>
      <c r="J191" t="s">
        <v>498</v>
      </c>
      <c r="K191" t="s">
        <v>499</v>
      </c>
      <c r="L191">
        <v>1368</v>
      </c>
      <c r="N191">
        <v>1011</v>
      </c>
      <c r="O191" t="s">
        <v>488</v>
      </c>
      <c r="P191" t="s">
        <v>488</v>
      </c>
      <c r="Q191">
        <v>1</v>
      </c>
      <c r="W191">
        <v>0</v>
      </c>
      <c r="X191">
        <v>1387779639</v>
      </c>
      <c r="Y191">
        <f>((AT191*1.1)*1.25)</f>
        <v>2.5575000000000001</v>
      </c>
      <c r="AA191">
        <v>0</v>
      </c>
      <c r="AB191">
        <v>0.82</v>
      </c>
      <c r="AC191">
        <v>0</v>
      </c>
      <c r="AD191">
        <v>0</v>
      </c>
      <c r="AE191">
        <v>0</v>
      </c>
      <c r="AF191">
        <v>0.77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1.86</v>
      </c>
      <c r="AU191" t="s">
        <v>198</v>
      </c>
      <c r="AV191">
        <v>0</v>
      </c>
      <c r="AW191">
        <v>2</v>
      </c>
      <c r="AX191">
        <v>60256314</v>
      </c>
      <c r="AY191">
        <v>1</v>
      </c>
      <c r="AZ191">
        <v>0</v>
      </c>
      <c r="BA191">
        <v>211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f>ROUND(Y191*Source!I147*DO191,9)</f>
        <v>0</v>
      </c>
      <c r="CX191">
        <f>ROUND(Y191*Source!I147,9)</f>
        <v>5.1150000000000001E-2</v>
      </c>
      <c r="CY191">
        <f>AB191</f>
        <v>0.82</v>
      </c>
      <c r="CZ191">
        <f>AF191</f>
        <v>0.77</v>
      </c>
      <c r="DA191">
        <f>AJ191</f>
        <v>1</v>
      </c>
      <c r="DB191">
        <f>ROUND(((ROUND(AT191*CZ191,2)*1.1)*1.25),6)</f>
        <v>1.9662500000000001</v>
      </c>
      <c r="DC191">
        <f>ROUND(((ROUND(AT191*AG191,2)*1.1)*1.25),6)</f>
        <v>0</v>
      </c>
      <c r="DD191" t="s">
        <v>3</v>
      </c>
      <c r="DE191" t="s">
        <v>3</v>
      </c>
      <c r="DF191">
        <f t="shared" si="33"/>
        <v>0</v>
      </c>
      <c r="DG191">
        <f t="shared" si="31"/>
        <v>0.04</v>
      </c>
      <c r="DH191">
        <f t="shared" si="32"/>
        <v>0</v>
      </c>
      <c r="DI191">
        <f t="shared" si="24"/>
        <v>0</v>
      </c>
      <c r="DJ191">
        <f>DG191</f>
        <v>0.04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ROW(Source!A147)</f>
        <v>147</v>
      </c>
      <c r="B192">
        <v>60255014</v>
      </c>
      <c r="C192">
        <v>60256300</v>
      </c>
      <c r="D192">
        <v>59070754</v>
      </c>
      <c r="E192">
        <v>1</v>
      </c>
      <c r="F192">
        <v>1</v>
      </c>
      <c r="G192">
        <v>1080</v>
      </c>
      <c r="H192">
        <v>2</v>
      </c>
      <c r="I192" t="s">
        <v>500</v>
      </c>
      <c r="J192" t="s">
        <v>501</v>
      </c>
      <c r="K192" t="s">
        <v>502</v>
      </c>
      <c r="L192">
        <v>1368</v>
      </c>
      <c r="N192">
        <v>1011</v>
      </c>
      <c r="O192" t="s">
        <v>488</v>
      </c>
      <c r="P192" t="s">
        <v>488</v>
      </c>
      <c r="Q192">
        <v>1</v>
      </c>
      <c r="W192">
        <v>0</v>
      </c>
      <c r="X192">
        <v>1645565003</v>
      </c>
      <c r="Y192">
        <f>((AT192*1.1)*1.25)</f>
        <v>6.6412500000000012</v>
      </c>
      <c r="AA192">
        <v>0</v>
      </c>
      <c r="AB192">
        <v>0.5</v>
      </c>
      <c r="AC192">
        <v>0</v>
      </c>
      <c r="AD192">
        <v>0</v>
      </c>
      <c r="AE192">
        <v>0</v>
      </c>
      <c r="AF192">
        <v>0.47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4.83</v>
      </c>
      <c r="AU192" t="s">
        <v>198</v>
      </c>
      <c r="AV192">
        <v>0</v>
      </c>
      <c r="AW192">
        <v>2</v>
      </c>
      <c r="AX192">
        <v>60256315</v>
      </c>
      <c r="AY192">
        <v>1</v>
      </c>
      <c r="AZ192">
        <v>0</v>
      </c>
      <c r="BA192">
        <v>212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ROUND(Y192*Source!I147*DO192,9)</f>
        <v>0</v>
      </c>
      <c r="CX192">
        <f>ROUND(Y192*Source!I147,9)</f>
        <v>0.132825</v>
      </c>
      <c r="CY192">
        <f>AB192</f>
        <v>0.5</v>
      </c>
      <c r="CZ192">
        <f>AF192</f>
        <v>0.47</v>
      </c>
      <c r="DA192">
        <f>AJ192</f>
        <v>1</v>
      </c>
      <c r="DB192">
        <f>ROUND(((ROUND(AT192*CZ192,2)*1.1)*1.25),6)</f>
        <v>3.1212499999999999</v>
      </c>
      <c r="DC192">
        <f>ROUND(((ROUND(AT192*AG192,2)*1.1)*1.25),6)</f>
        <v>0</v>
      </c>
      <c r="DD192" t="s">
        <v>3</v>
      </c>
      <c r="DE192" t="s">
        <v>3</v>
      </c>
      <c r="DF192">
        <f t="shared" si="33"/>
        <v>0</v>
      </c>
      <c r="DG192">
        <f t="shared" si="31"/>
        <v>0.06</v>
      </c>
      <c r="DH192">
        <f t="shared" si="32"/>
        <v>0</v>
      </c>
      <c r="DI192">
        <f t="shared" si="24"/>
        <v>0</v>
      </c>
      <c r="DJ192">
        <f>DG192</f>
        <v>0.06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ROW(Source!A147)</f>
        <v>147</v>
      </c>
      <c r="B193">
        <v>60255014</v>
      </c>
      <c r="C193">
        <v>60256300</v>
      </c>
      <c r="D193">
        <v>59069905</v>
      </c>
      <c r="E193">
        <v>1</v>
      </c>
      <c r="F193">
        <v>1</v>
      </c>
      <c r="G193">
        <v>1080</v>
      </c>
      <c r="H193">
        <v>2</v>
      </c>
      <c r="I193" t="s">
        <v>503</v>
      </c>
      <c r="J193" t="s">
        <v>504</v>
      </c>
      <c r="K193" t="s">
        <v>505</v>
      </c>
      <c r="L193">
        <v>1368</v>
      </c>
      <c r="N193">
        <v>1011</v>
      </c>
      <c r="O193" t="s">
        <v>488</v>
      </c>
      <c r="P193" t="s">
        <v>488</v>
      </c>
      <c r="Q193">
        <v>1</v>
      </c>
      <c r="W193">
        <v>0</v>
      </c>
      <c r="X193">
        <v>1087580389</v>
      </c>
      <c r="Y193">
        <f>((AT193*1.1)*1.25)</f>
        <v>0.89375000000000004</v>
      </c>
      <c r="AA193">
        <v>0</v>
      </c>
      <c r="AB193">
        <v>191.17</v>
      </c>
      <c r="AC193">
        <v>18.059999999999999</v>
      </c>
      <c r="AD193">
        <v>0</v>
      </c>
      <c r="AE193">
        <v>0</v>
      </c>
      <c r="AF193">
        <v>179.17</v>
      </c>
      <c r="AG193">
        <v>16.93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0.65</v>
      </c>
      <c r="AU193" t="s">
        <v>198</v>
      </c>
      <c r="AV193">
        <v>0</v>
      </c>
      <c r="AW193">
        <v>2</v>
      </c>
      <c r="AX193">
        <v>60256313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f>ROUND(Y193*Source!I147*DO193,9)</f>
        <v>0.30262375000000002</v>
      </c>
      <c r="CX193">
        <f>ROUND(Y193*Source!I147,9)</f>
        <v>1.7874999999999999E-2</v>
      </c>
      <c r="CY193">
        <f>AB193</f>
        <v>191.17</v>
      </c>
      <c r="CZ193">
        <f>AF193</f>
        <v>179.17</v>
      </c>
      <c r="DA193">
        <f>AJ193</f>
        <v>1</v>
      </c>
      <c r="DB193">
        <f>ROUND(((ROUND(AT193*CZ193,2)*1.1)*1.25),6)</f>
        <v>160.13249999999999</v>
      </c>
      <c r="DC193">
        <f>ROUND(((ROUND(AT193*AG193,2)*1.1)*1.25),6)</f>
        <v>15.125</v>
      </c>
      <c r="DD193" t="s">
        <v>3</v>
      </c>
      <c r="DE193" t="s">
        <v>3</v>
      </c>
      <c r="DF193">
        <f t="shared" si="33"/>
        <v>0</v>
      </c>
      <c r="DG193">
        <f t="shared" si="31"/>
        <v>3.2</v>
      </c>
      <c r="DH193">
        <f t="shared" si="32"/>
        <v>0.3</v>
      </c>
      <c r="DI193">
        <f t="shared" ref="DI193:DI256" si="34">ROUND(ROUND(AH193,2)*CX193,2)</f>
        <v>0</v>
      </c>
      <c r="DJ193">
        <f>DG193</f>
        <v>3.2</v>
      </c>
      <c r="DK193">
        <v>0</v>
      </c>
      <c r="DL193" t="s">
        <v>489</v>
      </c>
      <c r="DM193">
        <v>0</v>
      </c>
      <c r="DN193" t="s">
        <v>484</v>
      </c>
      <c r="DO193">
        <v>16.93</v>
      </c>
    </row>
    <row r="194" spans="1:119" x14ac:dyDescent="0.2">
      <c r="A194">
        <f>ROW(Source!A147)</f>
        <v>147</v>
      </c>
      <c r="B194">
        <v>60255014</v>
      </c>
      <c r="C194">
        <v>60256300</v>
      </c>
      <c r="D194">
        <v>59038905</v>
      </c>
      <c r="E194">
        <v>1</v>
      </c>
      <c r="F194">
        <v>1</v>
      </c>
      <c r="G194">
        <v>1080</v>
      </c>
      <c r="H194">
        <v>3</v>
      </c>
      <c r="I194" t="s">
        <v>506</v>
      </c>
      <c r="J194" t="s">
        <v>507</v>
      </c>
      <c r="K194" t="s">
        <v>508</v>
      </c>
      <c r="L194">
        <v>1339</v>
      </c>
      <c r="N194">
        <v>1007</v>
      </c>
      <c r="O194" t="s">
        <v>509</v>
      </c>
      <c r="P194" t="s">
        <v>509</v>
      </c>
      <c r="Q194">
        <v>1</v>
      </c>
      <c r="W194">
        <v>0</v>
      </c>
      <c r="X194">
        <v>-744103292</v>
      </c>
      <c r="Y194">
        <f>AT194</f>
        <v>0.44800000000000001</v>
      </c>
      <c r="AA194">
        <v>7.07</v>
      </c>
      <c r="AB194">
        <v>0</v>
      </c>
      <c r="AC194">
        <v>0</v>
      </c>
      <c r="AD194">
        <v>0</v>
      </c>
      <c r="AE194">
        <v>7.07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0.44800000000000001</v>
      </c>
      <c r="AU194" t="s">
        <v>3</v>
      </c>
      <c r="AV194">
        <v>0</v>
      </c>
      <c r="AW194">
        <v>2</v>
      </c>
      <c r="AX194">
        <v>60256316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ROUND(Y194*Source!I147,9)</f>
        <v>8.9599999999999992E-3</v>
      </c>
      <c r="CY194">
        <f>AA194</f>
        <v>7.07</v>
      </c>
      <c r="CZ194">
        <f>AE194</f>
        <v>7.07</v>
      </c>
      <c r="DA194">
        <f>AI194</f>
        <v>1</v>
      </c>
      <c r="DB194">
        <f>ROUND(ROUND(AT194*CZ194,2),6)</f>
        <v>3.17</v>
      </c>
      <c r="DC194">
        <f>ROUND(ROUND(AT194*AG194,2),6)</f>
        <v>0</v>
      </c>
      <c r="DD194" t="s">
        <v>3</v>
      </c>
      <c r="DE194" t="s">
        <v>3</v>
      </c>
      <c r="DF194">
        <f t="shared" si="33"/>
        <v>0.06</v>
      </c>
      <c r="DG194">
        <f t="shared" si="31"/>
        <v>0</v>
      </c>
      <c r="DH194">
        <f t="shared" si="32"/>
        <v>0</v>
      </c>
      <c r="DI194">
        <f t="shared" si="34"/>
        <v>0</v>
      </c>
      <c r="DJ194">
        <f>DF194</f>
        <v>0.06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ROW(Source!A147)</f>
        <v>147</v>
      </c>
      <c r="B195">
        <v>60255014</v>
      </c>
      <c r="C195">
        <v>60256300</v>
      </c>
      <c r="D195">
        <v>59045898</v>
      </c>
      <c r="E195">
        <v>1</v>
      </c>
      <c r="F195">
        <v>1</v>
      </c>
      <c r="G195">
        <v>1080</v>
      </c>
      <c r="H195">
        <v>3</v>
      </c>
      <c r="I195" t="s">
        <v>510</v>
      </c>
      <c r="J195" t="s">
        <v>511</v>
      </c>
      <c r="K195" t="s">
        <v>512</v>
      </c>
      <c r="L195">
        <v>1355</v>
      </c>
      <c r="N195">
        <v>1010</v>
      </c>
      <c r="O195" t="s">
        <v>96</v>
      </c>
      <c r="P195" t="s">
        <v>96</v>
      </c>
      <c r="Q195">
        <v>100</v>
      </c>
      <c r="W195">
        <v>0</v>
      </c>
      <c r="X195">
        <v>2062705997</v>
      </c>
      <c r="Y195">
        <f>AT195</f>
        <v>6.06</v>
      </c>
      <c r="AA195">
        <v>154.72</v>
      </c>
      <c r="AB195">
        <v>0</v>
      </c>
      <c r="AC195">
        <v>0</v>
      </c>
      <c r="AD195">
        <v>0</v>
      </c>
      <c r="AE195">
        <v>154.72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6.06</v>
      </c>
      <c r="AU195" t="s">
        <v>3</v>
      </c>
      <c r="AV195">
        <v>0</v>
      </c>
      <c r="AW195">
        <v>2</v>
      </c>
      <c r="AX195">
        <v>60256317</v>
      </c>
      <c r="AY195">
        <v>1</v>
      </c>
      <c r="AZ195">
        <v>0</v>
      </c>
      <c r="BA195">
        <v>215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ROUND(Y195*Source!I147,9)</f>
        <v>0.1212</v>
      </c>
      <c r="CY195">
        <f>AA195</f>
        <v>154.72</v>
      </c>
      <c r="CZ195">
        <f>AE195</f>
        <v>154.72</v>
      </c>
      <c r="DA195">
        <f>AI195</f>
        <v>1</v>
      </c>
      <c r="DB195">
        <f>ROUND(ROUND(AT195*CZ195,2),6)</f>
        <v>937.6</v>
      </c>
      <c r="DC195">
        <f>ROUND(ROUND(AT195*AG195,2),6)</f>
        <v>0</v>
      </c>
      <c r="DD195" t="s">
        <v>3</v>
      </c>
      <c r="DE195" t="s">
        <v>3</v>
      </c>
      <c r="DF195">
        <f t="shared" si="33"/>
        <v>18.75</v>
      </c>
      <c r="DG195">
        <f t="shared" si="31"/>
        <v>0</v>
      </c>
      <c r="DH195">
        <f t="shared" si="32"/>
        <v>0</v>
      </c>
      <c r="DI195">
        <f t="shared" si="34"/>
        <v>0</v>
      </c>
      <c r="DJ195">
        <f>DF195</f>
        <v>18.75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ROW(Source!A147)</f>
        <v>147</v>
      </c>
      <c r="B196">
        <v>60255014</v>
      </c>
      <c r="C196">
        <v>60256300</v>
      </c>
      <c r="D196">
        <v>59056195</v>
      </c>
      <c r="E196">
        <v>1</v>
      </c>
      <c r="F196">
        <v>1</v>
      </c>
      <c r="G196">
        <v>1080</v>
      </c>
      <c r="H196">
        <v>3</v>
      </c>
      <c r="I196" t="s">
        <v>513</v>
      </c>
      <c r="J196" t="s">
        <v>514</v>
      </c>
      <c r="K196" t="s">
        <v>515</v>
      </c>
      <c r="L196">
        <v>1354</v>
      </c>
      <c r="N196">
        <v>1010</v>
      </c>
      <c r="O196" t="s">
        <v>31</v>
      </c>
      <c r="P196" t="s">
        <v>31</v>
      </c>
      <c r="Q196">
        <v>1</v>
      </c>
      <c r="W196">
        <v>0</v>
      </c>
      <c r="X196">
        <v>-572380273</v>
      </c>
      <c r="Y196">
        <f>AT196</f>
        <v>300</v>
      </c>
      <c r="AA196">
        <v>7.24</v>
      </c>
      <c r="AB196">
        <v>0</v>
      </c>
      <c r="AC196">
        <v>0</v>
      </c>
      <c r="AD196">
        <v>0</v>
      </c>
      <c r="AE196">
        <v>7.24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300</v>
      </c>
      <c r="AU196" t="s">
        <v>3</v>
      </c>
      <c r="AV196">
        <v>0</v>
      </c>
      <c r="AW196">
        <v>2</v>
      </c>
      <c r="AX196">
        <v>60256318</v>
      </c>
      <c r="AY196">
        <v>1</v>
      </c>
      <c r="AZ196">
        <v>0</v>
      </c>
      <c r="BA196">
        <v>216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ROUND(Y196*Source!I147,9)</f>
        <v>6</v>
      </c>
      <c r="CY196">
        <f>AA196</f>
        <v>7.24</v>
      </c>
      <c r="CZ196">
        <f>AE196</f>
        <v>7.24</v>
      </c>
      <c r="DA196">
        <f>AI196</f>
        <v>1</v>
      </c>
      <c r="DB196">
        <f>ROUND(ROUND(AT196*CZ196,2),6)</f>
        <v>2172</v>
      </c>
      <c r="DC196">
        <f>ROUND(ROUND(AT196*AG196,2),6)</f>
        <v>0</v>
      </c>
      <c r="DD196" t="s">
        <v>3</v>
      </c>
      <c r="DE196" t="s">
        <v>3</v>
      </c>
      <c r="DF196">
        <f t="shared" si="33"/>
        <v>43.44</v>
      </c>
      <c r="DG196">
        <f t="shared" si="31"/>
        <v>0</v>
      </c>
      <c r="DH196">
        <f t="shared" si="32"/>
        <v>0</v>
      </c>
      <c r="DI196">
        <f t="shared" si="34"/>
        <v>0</v>
      </c>
      <c r="DJ196">
        <f>DF196</f>
        <v>43.44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ROW(Source!A147)</f>
        <v>147</v>
      </c>
      <c r="B197">
        <v>60255014</v>
      </c>
      <c r="C197">
        <v>60256300</v>
      </c>
      <c r="D197">
        <v>59049377</v>
      </c>
      <c r="E197">
        <v>1</v>
      </c>
      <c r="F197">
        <v>1</v>
      </c>
      <c r="G197">
        <v>1080</v>
      </c>
      <c r="H197">
        <v>3</v>
      </c>
      <c r="I197" t="s">
        <v>516</v>
      </c>
      <c r="J197" t="s">
        <v>517</v>
      </c>
      <c r="K197" t="s">
        <v>518</v>
      </c>
      <c r="L197">
        <v>1354</v>
      </c>
      <c r="N197">
        <v>1010</v>
      </c>
      <c r="O197" t="s">
        <v>31</v>
      </c>
      <c r="P197" t="s">
        <v>31</v>
      </c>
      <c r="Q197">
        <v>1</v>
      </c>
      <c r="W197">
        <v>0</v>
      </c>
      <c r="X197">
        <v>501598144</v>
      </c>
      <c r="Y197">
        <f>AT197</f>
        <v>1.026</v>
      </c>
      <c r="AA197">
        <v>6.12</v>
      </c>
      <c r="AB197">
        <v>0</v>
      </c>
      <c r="AC197">
        <v>0</v>
      </c>
      <c r="AD197">
        <v>0</v>
      </c>
      <c r="AE197">
        <v>6.12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1.026</v>
      </c>
      <c r="AU197" t="s">
        <v>3</v>
      </c>
      <c r="AV197">
        <v>0</v>
      </c>
      <c r="AW197">
        <v>2</v>
      </c>
      <c r="AX197">
        <v>60256319</v>
      </c>
      <c r="AY197">
        <v>1</v>
      </c>
      <c r="AZ197">
        <v>0</v>
      </c>
      <c r="BA197">
        <v>217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ROUND(Y197*Source!I147,9)</f>
        <v>2.052E-2</v>
      </c>
      <c r="CY197">
        <f>AA197</f>
        <v>6.12</v>
      </c>
      <c r="CZ197">
        <f>AE197</f>
        <v>6.12</v>
      </c>
      <c r="DA197">
        <f>AI197</f>
        <v>1</v>
      </c>
      <c r="DB197">
        <f>ROUND(ROUND(AT197*CZ197,2),6)</f>
        <v>6.28</v>
      </c>
      <c r="DC197">
        <f>ROUND(ROUND(AT197*AG197,2),6)</f>
        <v>0</v>
      </c>
      <c r="DD197" t="s">
        <v>3</v>
      </c>
      <c r="DE197" t="s">
        <v>3</v>
      </c>
      <c r="DF197">
        <f t="shared" si="33"/>
        <v>0.13</v>
      </c>
      <c r="DG197">
        <f t="shared" si="31"/>
        <v>0</v>
      </c>
      <c r="DH197">
        <f t="shared" si="32"/>
        <v>0</v>
      </c>
      <c r="DI197">
        <f t="shared" si="34"/>
        <v>0</v>
      </c>
      <c r="DJ197">
        <f>DF197</f>
        <v>0.13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ROW(Source!A147)</f>
        <v>147</v>
      </c>
      <c r="B198">
        <v>60255014</v>
      </c>
      <c r="C198">
        <v>60256300</v>
      </c>
      <c r="D198">
        <v>59004259</v>
      </c>
      <c r="E198">
        <v>1080</v>
      </c>
      <c r="F198">
        <v>1</v>
      </c>
      <c r="G198">
        <v>1080</v>
      </c>
      <c r="H198">
        <v>3</v>
      </c>
      <c r="I198" t="s">
        <v>519</v>
      </c>
      <c r="J198" t="s">
        <v>3</v>
      </c>
      <c r="K198" t="s">
        <v>520</v>
      </c>
      <c r="L198">
        <v>1344</v>
      </c>
      <c r="N198">
        <v>1008</v>
      </c>
      <c r="O198" t="s">
        <v>521</v>
      </c>
      <c r="P198" t="s">
        <v>521</v>
      </c>
      <c r="Q198">
        <v>1</v>
      </c>
      <c r="W198">
        <v>0</v>
      </c>
      <c r="X198">
        <v>-94250534</v>
      </c>
      <c r="Y198">
        <f>AT198</f>
        <v>0.06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0.06</v>
      </c>
      <c r="AU198" t="s">
        <v>3</v>
      </c>
      <c r="AV198">
        <v>0</v>
      </c>
      <c r="AW198">
        <v>2</v>
      </c>
      <c r="AX198">
        <v>60256321</v>
      </c>
      <c r="AY198">
        <v>1</v>
      </c>
      <c r="AZ198">
        <v>0</v>
      </c>
      <c r="BA198">
        <v>219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ROUND(Y198*Source!I147,9)</f>
        <v>1.1999999999999999E-3</v>
      </c>
      <c r="CY198">
        <f>AA198</f>
        <v>1</v>
      </c>
      <c r="CZ198">
        <f>AE198</f>
        <v>1</v>
      </c>
      <c r="DA198">
        <f>AI198</f>
        <v>1</v>
      </c>
      <c r="DB198">
        <f>ROUND(ROUND(AT198*CZ198,2),6)</f>
        <v>0.06</v>
      </c>
      <c r="DC198">
        <f>ROUND(ROUND(AT198*AG198,2),6)</f>
        <v>0</v>
      </c>
      <c r="DD198" t="s">
        <v>3</v>
      </c>
      <c r="DE198" t="s">
        <v>3</v>
      </c>
      <c r="DF198">
        <f t="shared" si="33"/>
        <v>0</v>
      </c>
      <c r="DG198">
        <f t="shared" si="31"/>
        <v>0</v>
      </c>
      <c r="DH198">
        <f t="shared" si="32"/>
        <v>0</v>
      </c>
      <c r="DI198">
        <f t="shared" si="34"/>
        <v>0</v>
      </c>
      <c r="DJ198">
        <f>DF198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ROW(Source!A148)</f>
        <v>148</v>
      </c>
      <c r="B199">
        <v>60255011</v>
      </c>
      <c r="C199">
        <v>60256300</v>
      </c>
      <c r="D199">
        <v>58999254</v>
      </c>
      <c r="E199">
        <v>1080</v>
      </c>
      <c r="F199">
        <v>1</v>
      </c>
      <c r="G199">
        <v>1080</v>
      </c>
      <c r="H199">
        <v>1</v>
      </c>
      <c r="I199" t="s">
        <v>482</v>
      </c>
      <c r="J199" t="s">
        <v>3</v>
      </c>
      <c r="K199" t="s">
        <v>483</v>
      </c>
      <c r="L199">
        <v>1191</v>
      </c>
      <c r="N199">
        <v>1013</v>
      </c>
      <c r="O199" t="s">
        <v>484</v>
      </c>
      <c r="P199" t="s">
        <v>484</v>
      </c>
      <c r="Q199">
        <v>1</v>
      </c>
      <c r="W199">
        <v>0</v>
      </c>
      <c r="X199">
        <v>476480486</v>
      </c>
      <c r="Y199">
        <f>((AT199*1.1)*1.15)</f>
        <v>123.40075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5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97.55</v>
      </c>
      <c r="AU199" t="s">
        <v>199</v>
      </c>
      <c r="AV199">
        <v>1</v>
      </c>
      <c r="AW199">
        <v>2</v>
      </c>
      <c r="AX199">
        <v>60256311</v>
      </c>
      <c r="AY199">
        <v>1</v>
      </c>
      <c r="AZ199">
        <v>0</v>
      </c>
      <c r="BA199">
        <v>220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U199">
        <f>ROUND(AT199*Source!I148*AH199*AL199,2)</f>
        <v>0</v>
      </c>
      <c r="CV199">
        <f>ROUND(Y199*Source!I148,9)</f>
        <v>2.4680149999999998</v>
      </c>
      <c r="CW199">
        <v>0</v>
      </c>
      <c r="CX199">
        <f>ROUND(Y199*Source!I148,9)</f>
        <v>2.4680149999999998</v>
      </c>
      <c r="CY199">
        <f>AD199</f>
        <v>0</v>
      </c>
      <c r="CZ199">
        <f>AH199</f>
        <v>0</v>
      </c>
      <c r="DA199">
        <f>AL199</f>
        <v>1</v>
      </c>
      <c r="DB199">
        <f>ROUND(((ROUND(AT199*CZ199,2)*1.1)*1.15),6)</f>
        <v>0</v>
      </c>
      <c r="DC199">
        <f>ROUND(((ROUND(AT199*AG199,2)*1.1)*1.15),6)</f>
        <v>0</v>
      </c>
      <c r="DD199" t="s">
        <v>3</v>
      </c>
      <c r="DE199" t="s">
        <v>3</v>
      </c>
      <c r="DF199">
        <f t="shared" si="33"/>
        <v>0</v>
      </c>
      <c r="DG199">
        <f t="shared" si="31"/>
        <v>0</v>
      </c>
      <c r="DH199">
        <f t="shared" si="32"/>
        <v>0</v>
      </c>
      <c r="DI199">
        <f t="shared" si="34"/>
        <v>0</v>
      </c>
      <c r="DJ199">
        <f>DI199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ROW(Source!A148)</f>
        <v>148</v>
      </c>
      <c r="B200">
        <v>60255011</v>
      </c>
      <c r="C200">
        <v>60256300</v>
      </c>
      <c r="D200">
        <v>59070669</v>
      </c>
      <c r="E200">
        <v>1</v>
      </c>
      <c r="F200">
        <v>1</v>
      </c>
      <c r="G200">
        <v>1080</v>
      </c>
      <c r="H200">
        <v>2</v>
      </c>
      <c r="I200" t="s">
        <v>485</v>
      </c>
      <c r="J200" t="s">
        <v>486</v>
      </c>
      <c r="K200" t="s">
        <v>487</v>
      </c>
      <c r="L200">
        <v>1368</v>
      </c>
      <c r="N200">
        <v>1011</v>
      </c>
      <c r="O200" t="s">
        <v>488</v>
      </c>
      <c r="P200" t="s">
        <v>488</v>
      </c>
      <c r="Q200">
        <v>1</v>
      </c>
      <c r="W200">
        <v>0</v>
      </c>
      <c r="X200">
        <v>-1985943078</v>
      </c>
      <c r="Y200">
        <f>((AT200*1.1)*1.25)</f>
        <v>0.77000000000000013</v>
      </c>
      <c r="AA200">
        <v>0</v>
      </c>
      <c r="AB200">
        <v>1445.28</v>
      </c>
      <c r="AC200">
        <v>740.47</v>
      </c>
      <c r="AD200">
        <v>0</v>
      </c>
      <c r="AE200">
        <v>0</v>
      </c>
      <c r="AF200">
        <v>83.1</v>
      </c>
      <c r="AG200">
        <v>12.62</v>
      </c>
      <c r="AH200">
        <v>0</v>
      </c>
      <c r="AI200">
        <v>1</v>
      </c>
      <c r="AJ200">
        <v>16.3</v>
      </c>
      <c r="AK200">
        <v>54.99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0.56000000000000005</v>
      </c>
      <c r="AU200" t="s">
        <v>198</v>
      </c>
      <c r="AV200">
        <v>0</v>
      </c>
      <c r="AW200">
        <v>2</v>
      </c>
      <c r="AX200">
        <v>60256312</v>
      </c>
      <c r="AY200">
        <v>1</v>
      </c>
      <c r="AZ200">
        <v>0</v>
      </c>
      <c r="BA200">
        <v>221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ROUND(Y200*Source!I148*DO200,9)</f>
        <v>0.19434799999999999</v>
      </c>
      <c r="CX200">
        <f>ROUND(Y200*Source!I148,9)</f>
        <v>1.54E-2</v>
      </c>
      <c r="CY200">
        <f>AB200</f>
        <v>1445.28</v>
      </c>
      <c r="CZ200">
        <f>AF200</f>
        <v>83.1</v>
      </c>
      <c r="DA200">
        <f>AJ200</f>
        <v>16.3</v>
      </c>
      <c r="DB200">
        <f>ROUND(((ROUND(AT200*CZ200,2)*1.1)*1.25),6)</f>
        <v>63.9925</v>
      </c>
      <c r="DC200">
        <f>ROUND(((ROUND(AT200*AG200,2)*1.1)*1.25),6)</f>
        <v>9.7212499999999995</v>
      </c>
      <c r="DD200" t="s">
        <v>3</v>
      </c>
      <c r="DE200" t="s">
        <v>3</v>
      </c>
      <c r="DF200">
        <f t="shared" si="33"/>
        <v>0</v>
      </c>
      <c r="DG200">
        <f>ROUND(ROUND(AF200*AJ200,2)*CX200,2)</f>
        <v>20.86</v>
      </c>
      <c r="DH200">
        <f>ROUND(ROUND(AG200*AK200,2)*CX200,2)</f>
        <v>10.69</v>
      </c>
      <c r="DI200">
        <f t="shared" si="34"/>
        <v>0</v>
      </c>
      <c r="DJ200">
        <f>DG200</f>
        <v>20.86</v>
      </c>
      <c r="DK200">
        <v>0</v>
      </c>
      <c r="DL200" t="s">
        <v>489</v>
      </c>
      <c r="DM200">
        <v>0</v>
      </c>
      <c r="DN200" t="s">
        <v>484</v>
      </c>
      <c r="DO200">
        <v>12.62</v>
      </c>
    </row>
    <row r="201" spans="1:119" x14ac:dyDescent="0.2">
      <c r="A201">
        <f>ROW(Source!A148)</f>
        <v>148</v>
      </c>
      <c r="B201">
        <v>60255011</v>
      </c>
      <c r="C201">
        <v>60256300</v>
      </c>
      <c r="D201">
        <v>59070721</v>
      </c>
      <c r="E201">
        <v>1</v>
      </c>
      <c r="F201">
        <v>1</v>
      </c>
      <c r="G201">
        <v>1080</v>
      </c>
      <c r="H201">
        <v>2</v>
      </c>
      <c r="I201" t="s">
        <v>497</v>
      </c>
      <c r="J201" t="s">
        <v>498</v>
      </c>
      <c r="K201" t="s">
        <v>499</v>
      </c>
      <c r="L201">
        <v>1368</v>
      </c>
      <c r="N201">
        <v>1011</v>
      </c>
      <c r="O201" t="s">
        <v>488</v>
      </c>
      <c r="P201" t="s">
        <v>488</v>
      </c>
      <c r="Q201">
        <v>1</v>
      </c>
      <c r="W201">
        <v>0</v>
      </c>
      <c r="X201">
        <v>1387779639</v>
      </c>
      <c r="Y201">
        <f>((AT201*1.1)*1.25)</f>
        <v>2.5575000000000001</v>
      </c>
      <c r="AA201">
        <v>0</v>
      </c>
      <c r="AB201">
        <v>7.11</v>
      </c>
      <c r="AC201">
        <v>0</v>
      </c>
      <c r="AD201">
        <v>0</v>
      </c>
      <c r="AE201">
        <v>0</v>
      </c>
      <c r="AF201">
        <v>0.77</v>
      </c>
      <c r="AG201">
        <v>0</v>
      </c>
      <c r="AH201">
        <v>0</v>
      </c>
      <c r="AI201">
        <v>1</v>
      </c>
      <c r="AJ201">
        <v>8.66</v>
      </c>
      <c r="AK201">
        <v>54.99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1.86</v>
      </c>
      <c r="AU201" t="s">
        <v>198</v>
      </c>
      <c r="AV201">
        <v>0</v>
      </c>
      <c r="AW201">
        <v>2</v>
      </c>
      <c r="AX201">
        <v>60256314</v>
      </c>
      <c r="AY201">
        <v>1</v>
      </c>
      <c r="AZ201">
        <v>0</v>
      </c>
      <c r="BA201">
        <v>222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ROUND(Y201*Source!I148*DO201,9)</f>
        <v>0</v>
      </c>
      <c r="CX201">
        <f>ROUND(Y201*Source!I148,9)</f>
        <v>5.1150000000000001E-2</v>
      </c>
      <c r="CY201">
        <f>AB201</f>
        <v>7.11</v>
      </c>
      <c r="CZ201">
        <f>AF201</f>
        <v>0.77</v>
      </c>
      <c r="DA201">
        <f>AJ201</f>
        <v>8.66</v>
      </c>
      <c r="DB201">
        <f>ROUND(((ROUND(AT201*CZ201,2)*1.1)*1.25),6)</f>
        <v>1.9662500000000001</v>
      </c>
      <c r="DC201">
        <f>ROUND(((ROUND(AT201*AG201,2)*1.1)*1.25),6)</f>
        <v>0</v>
      </c>
      <c r="DD201" t="s">
        <v>3</v>
      </c>
      <c r="DE201" t="s">
        <v>3</v>
      </c>
      <c r="DF201">
        <f t="shared" si="33"/>
        <v>0</v>
      </c>
      <c r="DG201">
        <f>ROUND(ROUND(AF201*AJ201,2)*CX201,2)</f>
        <v>0.34</v>
      </c>
      <c r="DH201">
        <f>ROUND(ROUND(AG201*AK201,2)*CX201,2)</f>
        <v>0</v>
      </c>
      <c r="DI201">
        <f t="shared" si="34"/>
        <v>0</v>
      </c>
      <c r="DJ201">
        <f>DG201</f>
        <v>0.34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ROW(Source!A148)</f>
        <v>148</v>
      </c>
      <c r="B202">
        <v>60255011</v>
      </c>
      <c r="C202">
        <v>60256300</v>
      </c>
      <c r="D202">
        <v>59070754</v>
      </c>
      <c r="E202">
        <v>1</v>
      </c>
      <c r="F202">
        <v>1</v>
      </c>
      <c r="G202">
        <v>1080</v>
      </c>
      <c r="H202">
        <v>2</v>
      </c>
      <c r="I202" t="s">
        <v>500</v>
      </c>
      <c r="J202" t="s">
        <v>501</v>
      </c>
      <c r="K202" t="s">
        <v>502</v>
      </c>
      <c r="L202">
        <v>1368</v>
      </c>
      <c r="N202">
        <v>1011</v>
      </c>
      <c r="O202" t="s">
        <v>488</v>
      </c>
      <c r="P202" t="s">
        <v>488</v>
      </c>
      <c r="Q202">
        <v>1</v>
      </c>
      <c r="W202">
        <v>0</v>
      </c>
      <c r="X202">
        <v>1645565003</v>
      </c>
      <c r="Y202">
        <f>((AT202*1.1)*1.25)</f>
        <v>6.6412500000000012</v>
      </c>
      <c r="AA202">
        <v>0</v>
      </c>
      <c r="AB202">
        <v>4.38</v>
      </c>
      <c r="AC202">
        <v>0</v>
      </c>
      <c r="AD202">
        <v>0</v>
      </c>
      <c r="AE202">
        <v>0</v>
      </c>
      <c r="AF202">
        <v>0.47</v>
      </c>
      <c r="AG202">
        <v>0</v>
      </c>
      <c r="AH202">
        <v>0</v>
      </c>
      <c r="AI202">
        <v>1</v>
      </c>
      <c r="AJ202">
        <v>8.74</v>
      </c>
      <c r="AK202">
        <v>54.99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4.83</v>
      </c>
      <c r="AU202" t="s">
        <v>198</v>
      </c>
      <c r="AV202">
        <v>0</v>
      </c>
      <c r="AW202">
        <v>2</v>
      </c>
      <c r="AX202">
        <v>60256315</v>
      </c>
      <c r="AY202">
        <v>1</v>
      </c>
      <c r="AZ202">
        <v>0</v>
      </c>
      <c r="BA202">
        <v>223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ROUND(Y202*Source!I148*DO202,9)</f>
        <v>0</v>
      </c>
      <c r="CX202">
        <f>ROUND(Y202*Source!I148,9)</f>
        <v>0.132825</v>
      </c>
      <c r="CY202">
        <f>AB202</f>
        <v>4.38</v>
      </c>
      <c r="CZ202">
        <f>AF202</f>
        <v>0.47</v>
      </c>
      <c r="DA202">
        <f>AJ202</f>
        <v>8.74</v>
      </c>
      <c r="DB202">
        <f>ROUND(((ROUND(AT202*CZ202,2)*1.1)*1.25),6)</f>
        <v>3.1212499999999999</v>
      </c>
      <c r="DC202">
        <f>ROUND(((ROUND(AT202*AG202,2)*1.1)*1.25),6)</f>
        <v>0</v>
      </c>
      <c r="DD202" t="s">
        <v>3</v>
      </c>
      <c r="DE202" t="s">
        <v>3</v>
      </c>
      <c r="DF202">
        <f t="shared" si="33"/>
        <v>0</v>
      </c>
      <c r="DG202">
        <f>ROUND(ROUND(AF202*AJ202,2)*CX202,2)</f>
        <v>0.55000000000000004</v>
      </c>
      <c r="DH202">
        <f>ROUND(ROUND(AG202*AK202,2)*CX202,2)</f>
        <v>0</v>
      </c>
      <c r="DI202">
        <f t="shared" si="34"/>
        <v>0</v>
      </c>
      <c r="DJ202">
        <f>DG202</f>
        <v>0.55000000000000004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ROW(Source!A148)</f>
        <v>148</v>
      </c>
      <c r="B203">
        <v>60255011</v>
      </c>
      <c r="C203">
        <v>60256300</v>
      </c>
      <c r="D203">
        <v>59069905</v>
      </c>
      <c r="E203">
        <v>1</v>
      </c>
      <c r="F203">
        <v>1</v>
      </c>
      <c r="G203">
        <v>1080</v>
      </c>
      <c r="H203">
        <v>2</v>
      </c>
      <c r="I203" t="s">
        <v>503</v>
      </c>
      <c r="J203" t="s">
        <v>504</v>
      </c>
      <c r="K203" t="s">
        <v>505</v>
      </c>
      <c r="L203">
        <v>1368</v>
      </c>
      <c r="N203">
        <v>1011</v>
      </c>
      <c r="O203" t="s">
        <v>488</v>
      </c>
      <c r="P203" t="s">
        <v>488</v>
      </c>
      <c r="Q203">
        <v>1</v>
      </c>
      <c r="W203">
        <v>0</v>
      </c>
      <c r="X203">
        <v>1087580389</v>
      </c>
      <c r="Y203">
        <f>((AT203*1.1)*1.25)</f>
        <v>0.89375000000000004</v>
      </c>
      <c r="AA203">
        <v>0</v>
      </c>
      <c r="AB203">
        <v>2628.65</v>
      </c>
      <c r="AC203">
        <v>993.36</v>
      </c>
      <c r="AD203">
        <v>0</v>
      </c>
      <c r="AE203">
        <v>0</v>
      </c>
      <c r="AF203">
        <v>179.17</v>
      </c>
      <c r="AG203">
        <v>16.93</v>
      </c>
      <c r="AH203">
        <v>0</v>
      </c>
      <c r="AI203">
        <v>1</v>
      </c>
      <c r="AJ203">
        <v>13.75</v>
      </c>
      <c r="AK203">
        <v>54.99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0.65</v>
      </c>
      <c r="AU203" t="s">
        <v>198</v>
      </c>
      <c r="AV203">
        <v>0</v>
      </c>
      <c r="AW203">
        <v>2</v>
      </c>
      <c r="AX203">
        <v>60256313</v>
      </c>
      <c r="AY203">
        <v>1</v>
      </c>
      <c r="AZ203">
        <v>0</v>
      </c>
      <c r="BA203">
        <v>224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ROUND(Y203*Source!I148*DO203,9)</f>
        <v>0.30262375000000002</v>
      </c>
      <c r="CX203">
        <f>ROUND(Y203*Source!I148,9)</f>
        <v>1.7874999999999999E-2</v>
      </c>
      <c r="CY203">
        <f>AB203</f>
        <v>2628.65</v>
      </c>
      <c r="CZ203">
        <f>AF203</f>
        <v>179.17</v>
      </c>
      <c r="DA203">
        <f>AJ203</f>
        <v>13.75</v>
      </c>
      <c r="DB203">
        <f>ROUND(((ROUND(AT203*CZ203,2)*1.1)*1.25),6)</f>
        <v>160.13249999999999</v>
      </c>
      <c r="DC203">
        <f>ROUND(((ROUND(AT203*AG203,2)*1.1)*1.25),6)</f>
        <v>15.125</v>
      </c>
      <c r="DD203" t="s">
        <v>3</v>
      </c>
      <c r="DE203" t="s">
        <v>3</v>
      </c>
      <c r="DF203">
        <f t="shared" si="33"/>
        <v>0</v>
      </c>
      <c r="DG203">
        <f>ROUND(ROUND(AF203*AJ203,2)*CX203,2)</f>
        <v>44.04</v>
      </c>
      <c r="DH203">
        <f>ROUND(ROUND(AG203*AK203,2)*CX203,2)</f>
        <v>16.64</v>
      </c>
      <c r="DI203">
        <f t="shared" si="34"/>
        <v>0</v>
      </c>
      <c r="DJ203">
        <f>DG203</f>
        <v>44.04</v>
      </c>
      <c r="DK203">
        <v>0</v>
      </c>
      <c r="DL203" t="s">
        <v>489</v>
      </c>
      <c r="DM203">
        <v>0</v>
      </c>
      <c r="DN203" t="s">
        <v>484</v>
      </c>
      <c r="DO203">
        <v>16.93</v>
      </c>
    </row>
    <row r="204" spans="1:119" x14ac:dyDescent="0.2">
      <c r="A204">
        <f>ROW(Source!A148)</f>
        <v>148</v>
      </c>
      <c r="B204">
        <v>60255011</v>
      </c>
      <c r="C204">
        <v>60256300</v>
      </c>
      <c r="D204">
        <v>59038905</v>
      </c>
      <c r="E204">
        <v>1</v>
      </c>
      <c r="F204">
        <v>1</v>
      </c>
      <c r="G204">
        <v>1080</v>
      </c>
      <c r="H204">
        <v>3</v>
      </c>
      <c r="I204" t="s">
        <v>506</v>
      </c>
      <c r="J204" t="s">
        <v>507</v>
      </c>
      <c r="K204" t="s">
        <v>508</v>
      </c>
      <c r="L204">
        <v>1339</v>
      </c>
      <c r="N204">
        <v>1007</v>
      </c>
      <c r="O204" t="s">
        <v>509</v>
      </c>
      <c r="P204" t="s">
        <v>509</v>
      </c>
      <c r="Q204">
        <v>1</v>
      </c>
      <c r="W204">
        <v>0</v>
      </c>
      <c r="X204">
        <v>-744103292</v>
      </c>
      <c r="Y204">
        <f>AT204</f>
        <v>0.44800000000000001</v>
      </c>
      <c r="AA204">
        <v>54.79</v>
      </c>
      <c r="AB204">
        <v>0</v>
      </c>
      <c r="AC204">
        <v>0</v>
      </c>
      <c r="AD204">
        <v>0</v>
      </c>
      <c r="AE204">
        <v>7.07</v>
      </c>
      <c r="AF204">
        <v>0</v>
      </c>
      <c r="AG204">
        <v>0</v>
      </c>
      <c r="AH204">
        <v>0</v>
      </c>
      <c r="AI204">
        <v>7.75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0.44800000000000001</v>
      </c>
      <c r="AU204" t="s">
        <v>3</v>
      </c>
      <c r="AV204">
        <v>0</v>
      </c>
      <c r="AW204">
        <v>2</v>
      </c>
      <c r="AX204">
        <v>60256316</v>
      </c>
      <c r="AY204">
        <v>1</v>
      </c>
      <c r="AZ204">
        <v>0</v>
      </c>
      <c r="BA204">
        <v>225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ROUND(Y204*Source!I148,9)</f>
        <v>8.9599999999999992E-3</v>
      </c>
      <c r="CY204">
        <f>AA204</f>
        <v>54.79</v>
      </c>
      <c r="CZ204">
        <f>AE204</f>
        <v>7.07</v>
      </c>
      <c r="DA204">
        <f>AI204</f>
        <v>7.75</v>
      </c>
      <c r="DB204">
        <f>ROUND(ROUND(AT204*CZ204,2),6)</f>
        <v>3.17</v>
      </c>
      <c r="DC204">
        <f>ROUND(ROUND(AT204*AG204,2),6)</f>
        <v>0</v>
      </c>
      <c r="DD204" t="s">
        <v>3</v>
      </c>
      <c r="DE204" t="s">
        <v>3</v>
      </c>
      <c r="DF204">
        <f>ROUND(ROUND(AE204*AI204,2)*CX204,2)</f>
        <v>0.49</v>
      </c>
      <c r="DG204">
        <f t="shared" ref="DG204:DG219" si="35">ROUND(ROUND(AF204,2)*CX204,2)</f>
        <v>0</v>
      </c>
      <c r="DH204">
        <f t="shared" ref="DH204:DH219" si="36">ROUND(ROUND(AG204,2)*CX204,2)</f>
        <v>0</v>
      </c>
      <c r="DI204">
        <f t="shared" si="34"/>
        <v>0</v>
      </c>
      <c r="DJ204">
        <f>DF204</f>
        <v>0.49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ROW(Source!A148)</f>
        <v>148</v>
      </c>
      <c r="B205">
        <v>60255011</v>
      </c>
      <c r="C205">
        <v>60256300</v>
      </c>
      <c r="D205">
        <v>59045898</v>
      </c>
      <c r="E205">
        <v>1</v>
      </c>
      <c r="F205">
        <v>1</v>
      </c>
      <c r="G205">
        <v>1080</v>
      </c>
      <c r="H205">
        <v>3</v>
      </c>
      <c r="I205" t="s">
        <v>510</v>
      </c>
      <c r="J205" t="s">
        <v>511</v>
      </c>
      <c r="K205" t="s">
        <v>512</v>
      </c>
      <c r="L205">
        <v>1355</v>
      </c>
      <c r="N205">
        <v>1010</v>
      </c>
      <c r="O205" t="s">
        <v>96</v>
      </c>
      <c r="P205" t="s">
        <v>96</v>
      </c>
      <c r="Q205">
        <v>100</v>
      </c>
      <c r="W205">
        <v>0</v>
      </c>
      <c r="X205">
        <v>2062705997</v>
      </c>
      <c r="Y205">
        <f>AT205</f>
        <v>6.06</v>
      </c>
      <c r="AA205">
        <v>1401.76</v>
      </c>
      <c r="AB205">
        <v>0</v>
      </c>
      <c r="AC205">
        <v>0</v>
      </c>
      <c r="AD205">
        <v>0</v>
      </c>
      <c r="AE205">
        <v>154.72</v>
      </c>
      <c r="AF205">
        <v>0</v>
      </c>
      <c r="AG205">
        <v>0</v>
      </c>
      <c r="AH205">
        <v>0</v>
      </c>
      <c r="AI205">
        <v>9.06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6.06</v>
      </c>
      <c r="AU205" t="s">
        <v>3</v>
      </c>
      <c r="AV205">
        <v>0</v>
      </c>
      <c r="AW205">
        <v>2</v>
      </c>
      <c r="AX205">
        <v>60256317</v>
      </c>
      <c r="AY205">
        <v>1</v>
      </c>
      <c r="AZ205">
        <v>0</v>
      </c>
      <c r="BA205">
        <v>226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ROUND(Y205*Source!I148,9)</f>
        <v>0.1212</v>
      </c>
      <c r="CY205">
        <f>AA205</f>
        <v>1401.76</v>
      </c>
      <c r="CZ205">
        <f>AE205</f>
        <v>154.72</v>
      </c>
      <c r="DA205">
        <f>AI205</f>
        <v>9.06</v>
      </c>
      <c r="DB205">
        <f>ROUND(ROUND(AT205*CZ205,2),6)</f>
        <v>937.6</v>
      </c>
      <c r="DC205">
        <f>ROUND(ROUND(AT205*AG205,2),6)</f>
        <v>0</v>
      </c>
      <c r="DD205" t="s">
        <v>3</v>
      </c>
      <c r="DE205" t="s">
        <v>3</v>
      </c>
      <c r="DF205">
        <f>ROUND(ROUND(AE205*AI205,2)*CX205,2)</f>
        <v>169.89</v>
      </c>
      <c r="DG205">
        <f t="shared" si="35"/>
        <v>0</v>
      </c>
      <c r="DH205">
        <f t="shared" si="36"/>
        <v>0</v>
      </c>
      <c r="DI205">
        <f t="shared" si="34"/>
        <v>0</v>
      </c>
      <c r="DJ205">
        <f>DF205</f>
        <v>169.89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ROW(Source!A148)</f>
        <v>148</v>
      </c>
      <c r="B206">
        <v>60255011</v>
      </c>
      <c r="C206">
        <v>60256300</v>
      </c>
      <c r="D206">
        <v>59056195</v>
      </c>
      <c r="E206">
        <v>1</v>
      </c>
      <c r="F206">
        <v>1</v>
      </c>
      <c r="G206">
        <v>1080</v>
      </c>
      <c r="H206">
        <v>3</v>
      </c>
      <c r="I206" t="s">
        <v>513</v>
      </c>
      <c r="J206" t="s">
        <v>514</v>
      </c>
      <c r="K206" t="s">
        <v>515</v>
      </c>
      <c r="L206">
        <v>1354</v>
      </c>
      <c r="N206">
        <v>1010</v>
      </c>
      <c r="O206" t="s">
        <v>31</v>
      </c>
      <c r="P206" t="s">
        <v>31</v>
      </c>
      <c r="Q206">
        <v>1</v>
      </c>
      <c r="W206">
        <v>0</v>
      </c>
      <c r="X206">
        <v>-572380273</v>
      </c>
      <c r="Y206">
        <f>AT206</f>
        <v>300</v>
      </c>
      <c r="AA206">
        <v>185.42</v>
      </c>
      <c r="AB206">
        <v>0</v>
      </c>
      <c r="AC206">
        <v>0</v>
      </c>
      <c r="AD206">
        <v>0</v>
      </c>
      <c r="AE206">
        <v>7.24</v>
      </c>
      <c r="AF206">
        <v>0</v>
      </c>
      <c r="AG206">
        <v>0</v>
      </c>
      <c r="AH206">
        <v>0</v>
      </c>
      <c r="AI206">
        <v>25.61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300</v>
      </c>
      <c r="AU206" t="s">
        <v>3</v>
      </c>
      <c r="AV206">
        <v>0</v>
      </c>
      <c r="AW206">
        <v>2</v>
      </c>
      <c r="AX206">
        <v>60256318</v>
      </c>
      <c r="AY206">
        <v>1</v>
      </c>
      <c r="AZ206">
        <v>0</v>
      </c>
      <c r="BA206">
        <v>227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ROUND(Y206*Source!I148,9)</f>
        <v>6</v>
      </c>
      <c r="CY206">
        <f>AA206</f>
        <v>185.42</v>
      </c>
      <c r="CZ206">
        <f>AE206</f>
        <v>7.24</v>
      </c>
      <c r="DA206">
        <f>AI206</f>
        <v>25.61</v>
      </c>
      <c r="DB206">
        <f>ROUND(ROUND(AT206*CZ206,2),6)</f>
        <v>2172</v>
      </c>
      <c r="DC206">
        <f>ROUND(ROUND(AT206*AG206,2),6)</f>
        <v>0</v>
      </c>
      <c r="DD206" t="s">
        <v>3</v>
      </c>
      <c r="DE206" t="s">
        <v>3</v>
      </c>
      <c r="DF206">
        <f>ROUND(ROUND(AE206*AI206,2)*CX206,2)</f>
        <v>1112.52</v>
      </c>
      <c r="DG206">
        <f t="shared" si="35"/>
        <v>0</v>
      </c>
      <c r="DH206">
        <f t="shared" si="36"/>
        <v>0</v>
      </c>
      <c r="DI206">
        <f t="shared" si="34"/>
        <v>0</v>
      </c>
      <c r="DJ206">
        <f>DF206</f>
        <v>1112.52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ROW(Source!A148)</f>
        <v>148</v>
      </c>
      <c r="B207">
        <v>60255011</v>
      </c>
      <c r="C207">
        <v>60256300</v>
      </c>
      <c r="D207">
        <v>59049377</v>
      </c>
      <c r="E207">
        <v>1</v>
      </c>
      <c r="F207">
        <v>1</v>
      </c>
      <c r="G207">
        <v>1080</v>
      </c>
      <c r="H207">
        <v>3</v>
      </c>
      <c r="I207" t="s">
        <v>516</v>
      </c>
      <c r="J207" t="s">
        <v>517</v>
      </c>
      <c r="K207" t="s">
        <v>518</v>
      </c>
      <c r="L207">
        <v>1354</v>
      </c>
      <c r="N207">
        <v>1010</v>
      </c>
      <c r="O207" t="s">
        <v>31</v>
      </c>
      <c r="P207" t="s">
        <v>31</v>
      </c>
      <c r="Q207">
        <v>1</v>
      </c>
      <c r="W207">
        <v>0</v>
      </c>
      <c r="X207">
        <v>501598144</v>
      </c>
      <c r="Y207">
        <f>AT207</f>
        <v>1.026</v>
      </c>
      <c r="AA207">
        <v>63.83</v>
      </c>
      <c r="AB207">
        <v>0</v>
      </c>
      <c r="AC207">
        <v>0</v>
      </c>
      <c r="AD207">
        <v>0</v>
      </c>
      <c r="AE207">
        <v>6.12</v>
      </c>
      <c r="AF207">
        <v>0</v>
      </c>
      <c r="AG207">
        <v>0</v>
      </c>
      <c r="AH207">
        <v>0</v>
      </c>
      <c r="AI207">
        <v>10.43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1.026</v>
      </c>
      <c r="AU207" t="s">
        <v>3</v>
      </c>
      <c r="AV207">
        <v>0</v>
      </c>
      <c r="AW207">
        <v>2</v>
      </c>
      <c r="AX207">
        <v>60256319</v>
      </c>
      <c r="AY207">
        <v>1</v>
      </c>
      <c r="AZ207">
        <v>0</v>
      </c>
      <c r="BA207">
        <v>228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ROUND(Y207*Source!I148,9)</f>
        <v>2.052E-2</v>
      </c>
      <c r="CY207">
        <f>AA207</f>
        <v>63.83</v>
      </c>
      <c r="CZ207">
        <f>AE207</f>
        <v>6.12</v>
      </c>
      <c r="DA207">
        <f>AI207</f>
        <v>10.43</v>
      </c>
      <c r="DB207">
        <f>ROUND(ROUND(AT207*CZ207,2),6)</f>
        <v>6.28</v>
      </c>
      <c r="DC207">
        <f>ROUND(ROUND(AT207*AG207,2),6)</f>
        <v>0</v>
      </c>
      <c r="DD207" t="s">
        <v>3</v>
      </c>
      <c r="DE207" t="s">
        <v>3</v>
      </c>
      <c r="DF207">
        <f>ROUND(ROUND(AE207*AI207,2)*CX207,2)</f>
        <v>1.31</v>
      </c>
      <c r="DG207">
        <f t="shared" si="35"/>
        <v>0</v>
      </c>
      <c r="DH207">
        <f t="shared" si="36"/>
        <v>0</v>
      </c>
      <c r="DI207">
        <f t="shared" si="34"/>
        <v>0</v>
      </c>
      <c r="DJ207">
        <f>DF207</f>
        <v>1.31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ROW(Source!A148)</f>
        <v>148</v>
      </c>
      <c r="B208">
        <v>60255011</v>
      </c>
      <c r="C208">
        <v>60256300</v>
      </c>
      <c r="D208">
        <v>59004259</v>
      </c>
      <c r="E208">
        <v>1080</v>
      </c>
      <c r="F208">
        <v>1</v>
      </c>
      <c r="G208">
        <v>1080</v>
      </c>
      <c r="H208">
        <v>3</v>
      </c>
      <c r="I208" t="s">
        <v>519</v>
      </c>
      <c r="J208" t="s">
        <v>3</v>
      </c>
      <c r="K208" t="s">
        <v>520</v>
      </c>
      <c r="L208">
        <v>1344</v>
      </c>
      <c r="N208">
        <v>1008</v>
      </c>
      <c r="O208" t="s">
        <v>521</v>
      </c>
      <c r="P208" t="s">
        <v>521</v>
      </c>
      <c r="Q208">
        <v>1</v>
      </c>
      <c r="W208">
        <v>0</v>
      </c>
      <c r="X208">
        <v>-94250534</v>
      </c>
      <c r="Y208">
        <f>AT208</f>
        <v>0.06</v>
      </c>
      <c r="AA208">
        <v>9.8800000000000008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9.8800000000000008</v>
      </c>
      <c r="AJ208">
        <v>1</v>
      </c>
      <c r="AK208">
        <v>1</v>
      </c>
      <c r="AL208">
        <v>1</v>
      </c>
      <c r="AM208">
        <v>5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0.06</v>
      </c>
      <c r="AU208" t="s">
        <v>3</v>
      </c>
      <c r="AV208">
        <v>0</v>
      </c>
      <c r="AW208">
        <v>2</v>
      </c>
      <c r="AX208">
        <v>60256321</v>
      </c>
      <c r="AY208">
        <v>1</v>
      </c>
      <c r="AZ208">
        <v>0</v>
      </c>
      <c r="BA208">
        <v>230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ROUND(Y208*Source!I148,9)</f>
        <v>1.1999999999999999E-3</v>
      </c>
      <c r="CY208">
        <f>AA208</f>
        <v>9.8800000000000008</v>
      </c>
      <c r="CZ208">
        <f>AE208</f>
        <v>1</v>
      </c>
      <c r="DA208">
        <f>AI208</f>
        <v>9.8800000000000008</v>
      </c>
      <c r="DB208">
        <f>ROUND(ROUND(AT208*CZ208,2),6)</f>
        <v>0.06</v>
      </c>
      <c r="DC208">
        <f>ROUND(ROUND(AT208*AG208,2),6)</f>
        <v>0</v>
      </c>
      <c r="DD208" t="s">
        <v>3</v>
      </c>
      <c r="DE208" t="s">
        <v>3</v>
      </c>
      <c r="DF208">
        <f>ROUND(ROUND(AE208*AI208,2)*CX208,2)</f>
        <v>0.01</v>
      </c>
      <c r="DG208">
        <f t="shared" si="35"/>
        <v>0</v>
      </c>
      <c r="DH208">
        <f t="shared" si="36"/>
        <v>0</v>
      </c>
      <c r="DI208">
        <f t="shared" si="34"/>
        <v>0</v>
      </c>
      <c r="DJ208">
        <f>DF208</f>
        <v>0.01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ROW(Source!A151)</f>
        <v>151</v>
      </c>
      <c r="B209">
        <v>60255014</v>
      </c>
      <c r="C209">
        <v>60256322</v>
      </c>
      <c r="D209">
        <v>58999254</v>
      </c>
      <c r="E209">
        <v>1080</v>
      </c>
      <c r="F209">
        <v>1</v>
      </c>
      <c r="G209">
        <v>1080</v>
      </c>
      <c r="H209">
        <v>1</v>
      </c>
      <c r="I209" t="s">
        <v>482</v>
      </c>
      <c r="J209" t="s">
        <v>3</v>
      </c>
      <c r="K209" t="s">
        <v>483</v>
      </c>
      <c r="L209">
        <v>1191</v>
      </c>
      <c r="N209">
        <v>1013</v>
      </c>
      <c r="O209" t="s">
        <v>484</v>
      </c>
      <c r="P209" t="s">
        <v>484</v>
      </c>
      <c r="Q209">
        <v>1</v>
      </c>
      <c r="W209">
        <v>0</v>
      </c>
      <c r="X209">
        <v>476480486</v>
      </c>
      <c r="Y209">
        <f>((AT209*1.15)*1.1)</f>
        <v>94.495500000000007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74.7</v>
      </c>
      <c r="AU209" t="s">
        <v>99</v>
      </c>
      <c r="AV209">
        <v>1</v>
      </c>
      <c r="AW209">
        <v>2</v>
      </c>
      <c r="AX209">
        <v>60256333</v>
      </c>
      <c r="AY209">
        <v>1</v>
      </c>
      <c r="AZ209">
        <v>0</v>
      </c>
      <c r="BA209">
        <v>231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ROUND(AT209*Source!I151*AH209*AL209,2)</f>
        <v>0</v>
      </c>
      <c r="CV209">
        <f>ROUND(Y209*Source!I151,9)</f>
        <v>29.293604999999999</v>
      </c>
      <c r="CW209">
        <v>0</v>
      </c>
      <c r="CX209">
        <f>ROUND(Y209*Source!I151,9)</f>
        <v>29.293604999999999</v>
      </c>
      <c r="CY209">
        <f>AD209</f>
        <v>0</v>
      </c>
      <c r="CZ209">
        <f>AH209</f>
        <v>0</v>
      </c>
      <c r="DA209">
        <f>AL209</f>
        <v>1</v>
      </c>
      <c r="DB209">
        <f>ROUND(((ROUND(AT209*CZ209,2)*1.15)*1.1),6)</f>
        <v>0</v>
      </c>
      <c r="DC209">
        <f>ROUND(((ROUND(AT209*AG209,2)*1.15)*1.1),6)</f>
        <v>0</v>
      </c>
      <c r="DD209" t="s">
        <v>3</v>
      </c>
      <c r="DE209" t="s">
        <v>3</v>
      </c>
      <c r="DF209">
        <f t="shared" ref="DF209:DF223" si="37">ROUND(ROUND(AE209,2)*CX209,2)</f>
        <v>0</v>
      </c>
      <c r="DG209">
        <f t="shared" si="35"/>
        <v>0</v>
      </c>
      <c r="DH209">
        <f t="shared" si="36"/>
        <v>0</v>
      </c>
      <c r="DI209">
        <f t="shared" si="34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ROW(Source!A151)</f>
        <v>151</v>
      </c>
      <c r="B210">
        <v>60255014</v>
      </c>
      <c r="C210">
        <v>60256322</v>
      </c>
      <c r="D210">
        <v>59070669</v>
      </c>
      <c r="E210">
        <v>1</v>
      </c>
      <c r="F210">
        <v>1</v>
      </c>
      <c r="G210">
        <v>1080</v>
      </c>
      <c r="H210">
        <v>2</v>
      </c>
      <c r="I210" t="s">
        <v>485</v>
      </c>
      <c r="J210" t="s">
        <v>486</v>
      </c>
      <c r="K210" t="s">
        <v>487</v>
      </c>
      <c r="L210">
        <v>1368</v>
      </c>
      <c r="N210">
        <v>1011</v>
      </c>
      <c r="O210" t="s">
        <v>488</v>
      </c>
      <c r="P210" t="s">
        <v>488</v>
      </c>
      <c r="Q210">
        <v>1</v>
      </c>
      <c r="W210">
        <v>0</v>
      </c>
      <c r="X210">
        <v>-1985943078</v>
      </c>
      <c r="Y210">
        <f>((AT210*1.25)*1.1)</f>
        <v>0.44000000000000006</v>
      </c>
      <c r="AA210">
        <v>0</v>
      </c>
      <c r="AB210">
        <v>88.67</v>
      </c>
      <c r="AC210">
        <v>13.47</v>
      </c>
      <c r="AD210">
        <v>0</v>
      </c>
      <c r="AE210">
        <v>0</v>
      </c>
      <c r="AF210">
        <v>83.1</v>
      </c>
      <c r="AG210">
        <v>12.62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0.32</v>
      </c>
      <c r="AU210" t="s">
        <v>496</v>
      </c>
      <c r="AV210">
        <v>0</v>
      </c>
      <c r="AW210">
        <v>2</v>
      </c>
      <c r="AX210">
        <v>60256334</v>
      </c>
      <c r="AY210">
        <v>1</v>
      </c>
      <c r="AZ210">
        <v>0</v>
      </c>
      <c r="BA210">
        <v>232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ROUND(Y210*Source!I151*DO210,9)</f>
        <v>1.721368</v>
      </c>
      <c r="CX210">
        <f>ROUND(Y210*Source!I151,9)</f>
        <v>0.13639999999999999</v>
      </c>
      <c r="CY210">
        <f>AB210</f>
        <v>88.67</v>
      </c>
      <c r="CZ210">
        <f>AF210</f>
        <v>83.1</v>
      </c>
      <c r="DA210">
        <f>AJ210</f>
        <v>1</v>
      </c>
      <c r="DB210">
        <f>ROUND(((ROUND(AT210*CZ210,2)*1.25)*1.1),6)</f>
        <v>36.561250000000001</v>
      </c>
      <c r="DC210">
        <f>ROUND(((ROUND(AT210*AG210,2)*1.25)*1.1),6)</f>
        <v>5.5549999999999997</v>
      </c>
      <c r="DD210" t="s">
        <v>3</v>
      </c>
      <c r="DE210" t="s">
        <v>3</v>
      </c>
      <c r="DF210">
        <f t="shared" si="37"/>
        <v>0</v>
      </c>
      <c r="DG210">
        <f t="shared" si="35"/>
        <v>11.33</v>
      </c>
      <c r="DH210">
        <f t="shared" si="36"/>
        <v>1.72</v>
      </c>
      <c r="DI210">
        <f t="shared" si="34"/>
        <v>0</v>
      </c>
      <c r="DJ210">
        <f>DG210</f>
        <v>11.33</v>
      </c>
      <c r="DK210">
        <v>0</v>
      </c>
      <c r="DL210" t="s">
        <v>489</v>
      </c>
      <c r="DM210">
        <v>0</v>
      </c>
      <c r="DN210" t="s">
        <v>484</v>
      </c>
      <c r="DO210">
        <v>12.62</v>
      </c>
    </row>
    <row r="211" spans="1:119" x14ac:dyDescent="0.2">
      <c r="A211">
        <f>ROW(Source!A151)</f>
        <v>151</v>
      </c>
      <c r="B211">
        <v>60255014</v>
      </c>
      <c r="C211">
        <v>60256322</v>
      </c>
      <c r="D211">
        <v>59070721</v>
      </c>
      <c r="E211">
        <v>1</v>
      </c>
      <c r="F211">
        <v>1</v>
      </c>
      <c r="G211">
        <v>1080</v>
      </c>
      <c r="H211">
        <v>2</v>
      </c>
      <c r="I211" t="s">
        <v>497</v>
      </c>
      <c r="J211" t="s">
        <v>498</v>
      </c>
      <c r="K211" t="s">
        <v>499</v>
      </c>
      <c r="L211">
        <v>1368</v>
      </c>
      <c r="N211">
        <v>1011</v>
      </c>
      <c r="O211" t="s">
        <v>488</v>
      </c>
      <c r="P211" t="s">
        <v>488</v>
      </c>
      <c r="Q211">
        <v>1</v>
      </c>
      <c r="W211">
        <v>0</v>
      </c>
      <c r="X211">
        <v>1387779639</v>
      </c>
      <c r="Y211">
        <f>((AT211*1.25)*1.1)</f>
        <v>1.7050000000000003</v>
      </c>
      <c r="AA211">
        <v>0</v>
      </c>
      <c r="AB211">
        <v>0.82</v>
      </c>
      <c r="AC211">
        <v>0</v>
      </c>
      <c r="AD211">
        <v>0</v>
      </c>
      <c r="AE211">
        <v>0</v>
      </c>
      <c r="AF211">
        <v>0.77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1.24</v>
      </c>
      <c r="AU211" t="s">
        <v>496</v>
      </c>
      <c r="AV211">
        <v>0</v>
      </c>
      <c r="AW211">
        <v>2</v>
      </c>
      <c r="AX211">
        <v>60256336</v>
      </c>
      <c r="AY211">
        <v>1</v>
      </c>
      <c r="AZ211">
        <v>0</v>
      </c>
      <c r="BA211">
        <v>233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f>ROUND(Y211*Source!I151*DO211,9)</f>
        <v>0</v>
      </c>
      <c r="CX211">
        <f>ROUND(Y211*Source!I151,9)</f>
        <v>0.52854999999999996</v>
      </c>
      <c r="CY211">
        <f>AB211</f>
        <v>0.82</v>
      </c>
      <c r="CZ211">
        <f>AF211</f>
        <v>0.77</v>
      </c>
      <c r="DA211">
        <f>AJ211</f>
        <v>1</v>
      </c>
      <c r="DB211">
        <f>ROUND(((ROUND(AT211*CZ211,2)*1.25)*1.1),6)</f>
        <v>1.3062499999999999</v>
      </c>
      <c r="DC211">
        <f>ROUND(((ROUND(AT211*AG211,2)*1.25)*1.1),6)</f>
        <v>0</v>
      </c>
      <c r="DD211" t="s">
        <v>3</v>
      </c>
      <c r="DE211" t="s">
        <v>3</v>
      </c>
      <c r="DF211">
        <f t="shared" si="37"/>
        <v>0</v>
      </c>
      <c r="DG211">
        <f t="shared" si="35"/>
        <v>0.41</v>
      </c>
      <c r="DH211">
        <f t="shared" si="36"/>
        <v>0</v>
      </c>
      <c r="DI211">
        <f t="shared" si="34"/>
        <v>0</v>
      </c>
      <c r="DJ211">
        <f>DG211</f>
        <v>0.41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ROW(Source!A151)</f>
        <v>151</v>
      </c>
      <c r="B212">
        <v>60255014</v>
      </c>
      <c r="C212">
        <v>60256322</v>
      </c>
      <c r="D212">
        <v>59070754</v>
      </c>
      <c r="E212">
        <v>1</v>
      </c>
      <c r="F212">
        <v>1</v>
      </c>
      <c r="G212">
        <v>1080</v>
      </c>
      <c r="H212">
        <v>2</v>
      </c>
      <c r="I212" t="s">
        <v>500</v>
      </c>
      <c r="J212" t="s">
        <v>501</v>
      </c>
      <c r="K212" t="s">
        <v>502</v>
      </c>
      <c r="L212">
        <v>1368</v>
      </c>
      <c r="N212">
        <v>1011</v>
      </c>
      <c r="O212" t="s">
        <v>488</v>
      </c>
      <c r="P212" t="s">
        <v>488</v>
      </c>
      <c r="Q212">
        <v>1</v>
      </c>
      <c r="W212">
        <v>0</v>
      </c>
      <c r="X212">
        <v>1645565003</v>
      </c>
      <c r="Y212">
        <f>((AT212*1.25)*1.1)</f>
        <v>4.4275000000000011</v>
      </c>
      <c r="AA212">
        <v>0</v>
      </c>
      <c r="AB212">
        <v>0.5</v>
      </c>
      <c r="AC212">
        <v>0</v>
      </c>
      <c r="AD212">
        <v>0</v>
      </c>
      <c r="AE212">
        <v>0</v>
      </c>
      <c r="AF212">
        <v>0.47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3.22</v>
      </c>
      <c r="AU212" t="s">
        <v>496</v>
      </c>
      <c r="AV212">
        <v>0</v>
      </c>
      <c r="AW212">
        <v>2</v>
      </c>
      <c r="AX212">
        <v>60256337</v>
      </c>
      <c r="AY212">
        <v>1</v>
      </c>
      <c r="AZ212">
        <v>0</v>
      </c>
      <c r="BA212">
        <v>234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ROUND(Y212*Source!I151*DO212,9)</f>
        <v>0</v>
      </c>
      <c r="CX212">
        <f>ROUND(Y212*Source!I151,9)</f>
        <v>1.372525</v>
      </c>
      <c r="CY212">
        <f>AB212</f>
        <v>0.5</v>
      </c>
      <c r="CZ212">
        <f>AF212</f>
        <v>0.47</v>
      </c>
      <c r="DA212">
        <f>AJ212</f>
        <v>1</v>
      </c>
      <c r="DB212">
        <f>ROUND(((ROUND(AT212*CZ212,2)*1.25)*1.1),6)</f>
        <v>2.0762499999999999</v>
      </c>
      <c r="DC212">
        <f>ROUND(((ROUND(AT212*AG212,2)*1.25)*1.1),6)</f>
        <v>0</v>
      </c>
      <c r="DD212" t="s">
        <v>3</v>
      </c>
      <c r="DE212" t="s">
        <v>3</v>
      </c>
      <c r="DF212">
        <f t="shared" si="37"/>
        <v>0</v>
      </c>
      <c r="DG212">
        <f t="shared" si="35"/>
        <v>0.65</v>
      </c>
      <c r="DH212">
        <f t="shared" si="36"/>
        <v>0</v>
      </c>
      <c r="DI212">
        <f t="shared" si="34"/>
        <v>0</v>
      </c>
      <c r="DJ212">
        <f>DG212</f>
        <v>0.65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ROW(Source!A151)</f>
        <v>151</v>
      </c>
      <c r="B213">
        <v>60255014</v>
      </c>
      <c r="C213">
        <v>60256322</v>
      </c>
      <c r="D213">
        <v>59069905</v>
      </c>
      <c r="E213">
        <v>1</v>
      </c>
      <c r="F213">
        <v>1</v>
      </c>
      <c r="G213">
        <v>1080</v>
      </c>
      <c r="H213">
        <v>2</v>
      </c>
      <c r="I213" t="s">
        <v>503</v>
      </c>
      <c r="J213" t="s">
        <v>504</v>
      </c>
      <c r="K213" t="s">
        <v>505</v>
      </c>
      <c r="L213">
        <v>1368</v>
      </c>
      <c r="N213">
        <v>1011</v>
      </c>
      <c r="O213" t="s">
        <v>488</v>
      </c>
      <c r="P213" t="s">
        <v>488</v>
      </c>
      <c r="Q213">
        <v>1</v>
      </c>
      <c r="W213">
        <v>0</v>
      </c>
      <c r="X213">
        <v>1087580389</v>
      </c>
      <c r="Y213">
        <f>((AT213*1.25)*1.1)</f>
        <v>0.50875000000000004</v>
      </c>
      <c r="AA213">
        <v>0</v>
      </c>
      <c r="AB213">
        <v>191.17</v>
      </c>
      <c r="AC213">
        <v>18.059999999999999</v>
      </c>
      <c r="AD213">
        <v>0</v>
      </c>
      <c r="AE213">
        <v>0</v>
      </c>
      <c r="AF213">
        <v>179.17</v>
      </c>
      <c r="AG213">
        <v>16.93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0.37</v>
      </c>
      <c r="AU213" t="s">
        <v>496</v>
      </c>
      <c r="AV213">
        <v>0</v>
      </c>
      <c r="AW213">
        <v>2</v>
      </c>
      <c r="AX213">
        <v>60256335</v>
      </c>
      <c r="AY213">
        <v>1</v>
      </c>
      <c r="AZ213">
        <v>0</v>
      </c>
      <c r="BA213">
        <v>235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ROUND(Y213*Source!I151*DO213,9)</f>
        <v>2.670072625</v>
      </c>
      <c r="CX213">
        <f>ROUND(Y213*Source!I151,9)</f>
        <v>0.15771250000000001</v>
      </c>
      <c r="CY213">
        <f>AB213</f>
        <v>191.17</v>
      </c>
      <c r="CZ213">
        <f>AF213</f>
        <v>179.17</v>
      </c>
      <c r="DA213">
        <f>AJ213</f>
        <v>1</v>
      </c>
      <c r="DB213">
        <f>ROUND(((ROUND(AT213*CZ213,2)*1.25)*1.1),6)</f>
        <v>91.148750000000007</v>
      </c>
      <c r="DC213">
        <f>ROUND(((ROUND(AT213*AG213,2)*1.25)*1.1),6)</f>
        <v>8.6074999999999999</v>
      </c>
      <c r="DD213" t="s">
        <v>3</v>
      </c>
      <c r="DE213" t="s">
        <v>3</v>
      </c>
      <c r="DF213">
        <f t="shared" si="37"/>
        <v>0</v>
      </c>
      <c r="DG213">
        <f t="shared" si="35"/>
        <v>28.26</v>
      </c>
      <c r="DH213">
        <f t="shared" si="36"/>
        <v>2.67</v>
      </c>
      <c r="DI213">
        <f t="shared" si="34"/>
        <v>0</v>
      </c>
      <c r="DJ213">
        <f>DG213</f>
        <v>28.26</v>
      </c>
      <c r="DK213">
        <v>0</v>
      </c>
      <c r="DL213" t="s">
        <v>489</v>
      </c>
      <c r="DM213">
        <v>0</v>
      </c>
      <c r="DN213" t="s">
        <v>484</v>
      </c>
      <c r="DO213">
        <v>16.93</v>
      </c>
    </row>
    <row r="214" spans="1:119" x14ac:dyDescent="0.2">
      <c r="A214">
        <f>ROW(Source!A151)</f>
        <v>151</v>
      </c>
      <c r="B214">
        <v>60255014</v>
      </c>
      <c r="C214">
        <v>60256322</v>
      </c>
      <c r="D214">
        <v>59038905</v>
      </c>
      <c r="E214">
        <v>1</v>
      </c>
      <c r="F214">
        <v>1</v>
      </c>
      <c r="G214">
        <v>1080</v>
      </c>
      <c r="H214">
        <v>3</v>
      </c>
      <c r="I214" t="s">
        <v>506</v>
      </c>
      <c r="J214" t="s">
        <v>507</v>
      </c>
      <c r="K214" t="s">
        <v>508</v>
      </c>
      <c r="L214">
        <v>1339</v>
      </c>
      <c r="N214">
        <v>1007</v>
      </c>
      <c r="O214" t="s">
        <v>509</v>
      </c>
      <c r="P214" t="s">
        <v>509</v>
      </c>
      <c r="Q214">
        <v>1</v>
      </c>
      <c r="W214">
        <v>0</v>
      </c>
      <c r="X214">
        <v>-744103292</v>
      </c>
      <c r="Y214">
        <f>AT214</f>
        <v>0.22700000000000001</v>
      </c>
      <c r="AA214">
        <v>7.07</v>
      </c>
      <c r="AB214">
        <v>0</v>
      </c>
      <c r="AC214">
        <v>0</v>
      </c>
      <c r="AD214">
        <v>0</v>
      </c>
      <c r="AE214">
        <v>7.07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0.22700000000000001</v>
      </c>
      <c r="AU214" t="s">
        <v>3</v>
      </c>
      <c r="AV214">
        <v>0</v>
      </c>
      <c r="AW214">
        <v>2</v>
      </c>
      <c r="AX214">
        <v>60256338</v>
      </c>
      <c r="AY214">
        <v>1</v>
      </c>
      <c r="AZ214">
        <v>0</v>
      </c>
      <c r="BA214">
        <v>236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ROUND(Y214*Source!I151,9)</f>
        <v>7.0370000000000002E-2</v>
      </c>
      <c r="CY214">
        <f>AA214</f>
        <v>7.07</v>
      </c>
      <c r="CZ214">
        <f>AE214</f>
        <v>7.07</v>
      </c>
      <c r="DA214">
        <f>AI214</f>
        <v>1</v>
      </c>
      <c r="DB214">
        <f>ROUND(ROUND(AT214*CZ214,2),6)</f>
        <v>1.6</v>
      </c>
      <c r="DC214">
        <f>ROUND(ROUND(AT214*AG214,2),6)</f>
        <v>0</v>
      </c>
      <c r="DD214" t="s">
        <v>3</v>
      </c>
      <c r="DE214" t="s">
        <v>3</v>
      </c>
      <c r="DF214">
        <f t="shared" si="37"/>
        <v>0.5</v>
      </c>
      <c r="DG214">
        <f t="shared" si="35"/>
        <v>0</v>
      </c>
      <c r="DH214">
        <f t="shared" si="36"/>
        <v>0</v>
      </c>
      <c r="DI214">
        <f t="shared" si="34"/>
        <v>0</v>
      </c>
      <c r="DJ214">
        <f>DF214</f>
        <v>0.5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ROW(Source!A151)</f>
        <v>151</v>
      </c>
      <c r="B215">
        <v>60255014</v>
      </c>
      <c r="C215">
        <v>60256322</v>
      </c>
      <c r="D215">
        <v>59045898</v>
      </c>
      <c r="E215">
        <v>1</v>
      </c>
      <c r="F215">
        <v>1</v>
      </c>
      <c r="G215">
        <v>1080</v>
      </c>
      <c r="H215">
        <v>3</v>
      </c>
      <c r="I215" t="s">
        <v>510</v>
      </c>
      <c r="J215" t="s">
        <v>511</v>
      </c>
      <c r="K215" t="s">
        <v>512</v>
      </c>
      <c r="L215">
        <v>1355</v>
      </c>
      <c r="N215">
        <v>1010</v>
      </c>
      <c r="O215" t="s">
        <v>96</v>
      </c>
      <c r="P215" t="s">
        <v>96</v>
      </c>
      <c r="Q215">
        <v>100</v>
      </c>
      <c r="W215">
        <v>0</v>
      </c>
      <c r="X215">
        <v>2062705997</v>
      </c>
      <c r="Y215">
        <f>AT215</f>
        <v>4.04</v>
      </c>
      <c r="AA215">
        <v>154.72</v>
      </c>
      <c r="AB215">
        <v>0</v>
      </c>
      <c r="AC215">
        <v>0</v>
      </c>
      <c r="AD215">
        <v>0</v>
      </c>
      <c r="AE215">
        <v>154.72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4.04</v>
      </c>
      <c r="AU215" t="s">
        <v>3</v>
      </c>
      <c r="AV215">
        <v>0</v>
      </c>
      <c r="AW215">
        <v>2</v>
      </c>
      <c r="AX215">
        <v>60256339</v>
      </c>
      <c r="AY215">
        <v>1</v>
      </c>
      <c r="AZ215">
        <v>0</v>
      </c>
      <c r="BA215">
        <v>237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ROUND(Y215*Source!I151,9)</f>
        <v>1.2524</v>
      </c>
      <c r="CY215">
        <f>AA215</f>
        <v>154.72</v>
      </c>
      <c r="CZ215">
        <f>AE215</f>
        <v>154.72</v>
      </c>
      <c r="DA215">
        <f>AI215</f>
        <v>1</v>
      </c>
      <c r="DB215">
        <f>ROUND(ROUND(AT215*CZ215,2),6)</f>
        <v>625.07000000000005</v>
      </c>
      <c r="DC215">
        <f>ROUND(ROUND(AT215*AG215,2),6)</f>
        <v>0</v>
      </c>
      <c r="DD215" t="s">
        <v>3</v>
      </c>
      <c r="DE215" t="s">
        <v>3</v>
      </c>
      <c r="DF215">
        <f t="shared" si="37"/>
        <v>193.77</v>
      </c>
      <c r="DG215">
        <f t="shared" si="35"/>
        <v>0</v>
      </c>
      <c r="DH215">
        <f t="shared" si="36"/>
        <v>0</v>
      </c>
      <c r="DI215">
        <f t="shared" si="34"/>
        <v>0</v>
      </c>
      <c r="DJ215">
        <f>DF215</f>
        <v>193.77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ROW(Source!A151)</f>
        <v>151</v>
      </c>
      <c r="B216">
        <v>60255014</v>
      </c>
      <c r="C216">
        <v>60256322</v>
      </c>
      <c r="D216">
        <v>59056195</v>
      </c>
      <c r="E216">
        <v>1</v>
      </c>
      <c r="F216">
        <v>1</v>
      </c>
      <c r="G216">
        <v>1080</v>
      </c>
      <c r="H216">
        <v>3</v>
      </c>
      <c r="I216" t="s">
        <v>513</v>
      </c>
      <c r="J216" t="s">
        <v>514</v>
      </c>
      <c r="K216" t="s">
        <v>515</v>
      </c>
      <c r="L216">
        <v>1354</v>
      </c>
      <c r="N216">
        <v>1010</v>
      </c>
      <c r="O216" t="s">
        <v>31</v>
      </c>
      <c r="P216" t="s">
        <v>31</v>
      </c>
      <c r="Q216">
        <v>1</v>
      </c>
      <c r="W216">
        <v>0</v>
      </c>
      <c r="X216">
        <v>-572380273</v>
      </c>
      <c r="Y216">
        <f>AT216</f>
        <v>200</v>
      </c>
      <c r="AA216">
        <v>7.24</v>
      </c>
      <c r="AB216">
        <v>0</v>
      </c>
      <c r="AC216">
        <v>0</v>
      </c>
      <c r="AD216">
        <v>0</v>
      </c>
      <c r="AE216">
        <v>7.24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-2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200</v>
      </c>
      <c r="AU216" t="s">
        <v>3</v>
      </c>
      <c r="AV216">
        <v>0</v>
      </c>
      <c r="AW216">
        <v>2</v>
      </c>
      <c r="AX216">
        <v>60256340</v>
      </c>
      <c r="AY216">
        <v>1</v>
      </c>
      <c r="AZ216">
        <v>0</v>
      </c>
      <c r="BA216">
        <v>238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ROUND(Y216*Source!I151,9)</f>
        <v>62</v>
      </c>
      <c r="CY216">
        <f>AA216</f>
        <v>7.24</v>
      </c>
      <c r="CZ216">
        <f>AE216</f>
        <v>7.24</v>
      </c>
      <c r="DA216">
        <f>AI216</f>
        <v>1</v>
      </c>
      <c r="DB216">
        <f>ROUND(ROUND(AT216*CZ216,2),6)</f>
        <v>1448</v>
      </c>
      <c r="DC216">
        <f>ROUND(ROUND(AT216*AG216,2),6)</f>
        <v>0</v>
      </c>
      <c r="DD216" t="s">
        <v>3</v>
      </c>
      <c r="DE216" t="s">
        <v>3</v>
      </c>
      <c r="DF216">
        <f t="shared" si="37"/>
        <v>448.88</v>
      </c>
      <c r="DG216">
        <f t="shared" si="35"/>
        <v>0</v>
      </c>
      <c r="DH216">
        <f t="shared" si="36"/>
        <v>0</v>
      </c>
      <c r="DI216">
        <f t="shared" si="34"/>
        <v>0</v>
      </c>
      <c r="DJ216">
        <f>DF216</f>
        <v>448.88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ROW(Source!A151)</f>
        <v>151</v>
      </c>
      <c r="B217">
        <v>60255014</v>
      </c>
      <c r="C217">
        <v>60256322</v>
      </c>
      <c r="D217">
        <v>59049377</v>
      </c>
      <c r="E217">
        <v>1</v>
      </c>
      <c r="F217">
        <v>1</v>
      </c>
      <c r="G217">
        <v>1080</v>
      </c>
      <c r="H217">
        <v>3</v>
      </c>
      <c r="I217" t="s">
        <v>516</v>
      </c>
      <c r="J217" t="s">
        <v>517</v>
      </c>
      <c r="K217" t="s">
        <v>518</v>
      </c>
      <c r="L217">
        <v>1354</v>
      </c>
      <c r="N217">
        <v>1010</v>
      </c>
      <c r="O217" t="s">
        <v>31</v>
      </c>
      <c r="P217" t="s">
        <v>31</v>
      </c>
      <c r="Q217">
        <v>1</v>
      </c>
      <c r="W217">
        <v>0</v>
      </c>
      <c r="X217">
        <v>501598144</v>
      </c>
      <c r="Y217">
        <f>AT217</f>
        <v>0.68400000000000005</v>
      </c>
      <c r="AA217">
        <v>6.12</v>
      </c>
      <c r="AB217">
        <v>0</v>
      </c>
      <c r="AC217">
        <v>0</v>
      </c>
      <c r="AD217">
        <v>0</v>
      </c>
      <c r="AE217">
        <v>6.12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0.68400000000000005</v>
      </c>
      <c r="AU217" t="s">
        <v>3</v>
      </c>
      <c r="AV217">
        <v>0</v>
      </c>
      <c r="AW217">
        <v>2</v>
      </c>
      <c r="AX217">
        <v>60256341</v>
      </c>
      <c r="AY217">
        <v>1</v>
      </c>
      <c r="AZ217">
        <v>0</v>
      </c>
      <c r="BA217">
        <v>239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ROUND(Y217*Source!I151,9)</f>
        <v>0.21204000000000001</v>
      </c>
      <c r="CY217">
        <f>AA217</f>
        <v>6.12</v>
      </c>
      <c r="CZ217">
        <f>AE217</f>
        <v>6.12</v>
      </c>
      <c r="DA217">
        <f>AI217</f>
        <v>1</v>
      </c>
      <c r="DB217">
        <f>ROUND(ROUND(AT217*CZ217,2),6)</f>
        <v>4.1900000000000004</v>
      </c>
      <c r="DC217">
        <f>ROUND(ROUND(AT217*AG217,2),6)</f>
        <v>0</v>
      </c>
      <c r="DD217" t="s">
        <v>3</v>
      </c>
      <c r="DE217" t="s">
        <v>3</v>
      </c>
      <c r="DF217">
        <f t="shared" si="37"/>
        <v>1.3</v>
      </c>
      <c r="DG217">
        <f t="shared" si="35"/>
        <v>0</v>
      </c>
      <c r="DH217">
        <f t="shared" si="36"/>
        <v>0</v>
      </c>
      <c r="DI217">
        <f t="shared" si="34"/>
        <v>0</v>
      </c>
      <c r="DJ217">
        <f>DF217</f>
        <v>1.3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ROW(Source!A151)</f>
        <v>151</v>
      </c>
      <c r="B218">
        <v>60255014</v>
      </c>
      <c r="C218">
        <v>60256322</v>
      </c>
      <c r="D218">
        <v>59004259</v>
      </c>
      <c r="E218">
        <v>1080</v>
      </c>
      <c r="F218">
        <v>1</v>
      </c>
      <c r="G218">
        <v>1080</v>
      </c>
      <c r="H218">
        <v>3</v>
      </c>
      <c r="I218" t="s">
        <v>519</v>
      </c>
      <c r="J218" t="s">
        <v>3</v>
      </c>
      <c r="K218" t="s">
        <v>520</v>
      </c>
      <c r="L218">
        <v>1344</v>
      </c>
      <c r="N218">
        <v>1008</v>
      </c>
      <c r="O218" t="s">
        <v>521</v>
      </c>
      <c r="P218" t="s">
        <v>521</v>
      </c>
      <c r="Q218">
        <v>1</v>
      </c>
      <c r="W218">
        <v>0</v>
      </c>
      <c r="X218">
        <v>-94250534</v>
      </c>
      <c r="Y218">
        <f>AT218</f>
        <v>0.04</v>
      </c>
      <c r="AA218">
        <v>1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0.04</v>
      </c>
      <c r="AU218" t="s">
        <v>3</v>
      </c>
      <c r="AV218">
        <v>0</v>
      </c>
      <c r="AW218">
        <v>2</v>
      </c>
      <c r="AX218">
        <v>60256343</v>
      </c>
      <c r="AY218">
        <v>1</v>
      </c>
      <c r="AZ218">
        <v>0</v>
      </c>
      <c r="BA218">
        <v>241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ROUND(Y218*Source!I151,9)</f>
        <v>1.24E-2</v>
      </c>
      <c r="CY218">
        <f>AA218</f>
        <v>1</v>
      </c>
      <c r="CZ218">
        <f>AE218</f>
        <v>1</v>
      </c>
      <c r="DA218">
        <f>AI218</f>
        <v>1</v>
      </c>
      <c r="DB218">
        <f>ROUND(ROUND(AT218*CZ218,2),6)</f>
        <v>0.04</v>
      </c>
      <c r="DC218">
        <f>ROUND(ROUND(AT218*AG218,2),6)</f>
        <v>0</v>
      </c>
      <c r="DD218" t="s">
        <v>3</v>
      </c>
      <c r="DE218" t="s">
        <v>3</v>
      </c>
      <c r="DF218">
        <f t="shared" si="37"/>
        <v>0.01</v>
      </c>
      <c r="DG218">
        <f t="shared" si="35"/>
        <v>0</v>
      </c>
      <c r="DH218">
        <f t="shared" si="36"/>
        <v>0</v>
      </c>
      <c r="DI218">
        <f t="shared" si="34"/>
        <v>0</v>
      </c>
      <c r="DJ218">
        <f>DF218</f>
        <v>0.01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ROW(Source!A152)</f>
        <v>152</v>
      </c>
      <c r="B219">
        <v>60255011</v>
      </c>
      <c r="C219">
        <v>60256322</v>
      </c>
      <c r="D219">
        <v>58999254</v>
      </c>
      <c r="E219">
        <v>1080</v>
      </c>
      <c r="F219">
        <v>1</v>
      </c>
      <c r="G219">
        <v>1080</v>
      </c>
      <c r="H219">
        <v>1</v>
      </c>
      <c r="I219" t="s">
        <v>482</v>
      </c>
      <c r="J219" t="s">
        <v>3</v>
      </c>
      <c r="K219" t="s">
        <v>483</v>
      </c>
      <c r="L219">
        <v>1191</v>
      </c>
      <c r="N219">
        <v>1013</v>
      </c>
      <c r="O219" t="s">
        <v>484</v>
      </c>
      <c r="P219" t="s">
        <v>484</v>
      </c>
      <c r="Q219">
        <v>1</v>
      </c>
      <c r="W219">
        <v>0</v>
      </c>
      <c r="X219">
        <v>476480486</v>
      </c>
      <c r="Y219">
        <f>((AT219*1.15)*1.1)</f>
        <v>94.495500000000007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5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74.7</v>
      </c>
      <c r="AU219" t="s">
        <v>99</v>
      </c>
      <c r="AV219">
        <v>1</v>
      </c>
      <c r="AW219">
        <v>2</v>
      </c>
      <c r="AX219">
        <v>60256333</v>
      </c>
      <c r="AY219">
        <v>1</v>
      </c>
      <c r="AZ219">
        <v>0</v>
      </c>
      <c r="BA219">
        <v>242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ROUND(AT219*Source!I152*AH219*AL219,2)</f>
        <v>0</v>
      </c>
      <c r="CV219">
        <f>ROUND(Y219*Source!I152,9)</f>
        <v>29.293604999999999</v>
      </c>
      <c r="CW219">
        <v>0</v>
      </c>
      <c r="CX219">
        <f>ROUND(Y219*Source!I152,9)</f>
        <v>29.293604999999999</v>
      </c>
      <c r="CY219">
        <f>AD219</f>
        <v>0</v>
      </c>
      <c r="CZ219">
        <f>AH219</f>
        <v>0</v>
      </c>
      <c r="DA219">
        <f>AL219</f>
        <v>1</v>
      </c>
      <c r="DB219">
        <f>ROUND(((ROUND(AT219*CZ219,2)*1.15)*1.1),6)</f>
        <v>0</v>
      </c>
      <c r="DC219">
        <f>ROUND(((ROUND(AT219*AG219,2)*1.15)*1.1),6)</f>
        <v>0</v>
      </c>
      <c r="DD219" t="s">
        <v>3</v>
      </c>
      <c r="DE219" t="s">
        <v>3</v>
      </c>
      <c r="DF219">
        <f t="shared" si="37"/>
        <v>0</v>
      </c>
      <c r="DG219">
        <f t="shared" si="35"/>
        <v>0</v>
      </c>
      <c r="DH219">
        <f t="shared" si="36"/>
        <v>0</v>
      </c>
      <c r="DI219">
        <f t="shared" si="34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ROW(Source!A152)</f>
        <v>152</v>
      </c>
      <c r="B220">
        <v>60255011</v>
      </c>
      <c r="C220">
        <v>60256322</v>
      </c>
      <c r="D220">
        <v>59070669</v>
      </c>
      <c r="E220">
        <v>1</v>
      </c>
      <c r="F220">
        <v>1</v>
      </c>
      <c r="G220">
        <v>1080</v>
      </c>
      <c r="H220">
        <v>2</v>
      </c>
      <c r="I220" t="s">
        <v>485</v>
      </c>
      <c r="J220" t="s">
        <v>486</v>
      </c>
      <c r="K220" t="s">
        <v>487</v>
      </c>
      <c r="L220">
        <v>1368</v>
      </c>
      <c r="N220">
        <v>1011</v>
      </c>
      <c r="O220" t="s">
        <v>488</v>
      </c>
      <c r="P220" t="s">
        <v>488</v>
      </c>
      <c r="Q220">
        <v>1</v>
      </c>
      <c r="W220">
        <v>0</v>
      </c>
      <c r="X220">
        <v>-1985943078</v>
      </c>
      <c r="Y220">
        <f>((AT220*1.25)*1.1)</f>
        <v>0.44000000000000006</v>
      </c>
      <c r="AA220">
        <v>0</v>
      </c>
      <c r="AB220">
        <v>1445.28</v>
      </c>
      <c r="AC220">
        <v>740.47</v>
      </c>
      <c r="AD220">
        <v>0</v>
      </c>
      <c r="AE220">
        <v>0</v>
      </c>
      <c r="AF220">
        <v>83.1</v>
      </c>
      <c r="AG220">
        <v>12.62</v>
      </c>
      <c r="AH220">
        <v>0</v>
      </c>
      <c r="AI220">
        <v>1</v>
      </c>
      <c r="AJ220">
        <v>16.3</v>
      </c>
      <c r="AK220">
        <v>54.99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0.32</v>
      </c>
      <c r="AU220" t="s">
        <v>496</v>
      </c>
      <c r="AV220">
        <v>0</v>
      </c>
      <c r="AW220">
        <v>2</v>
      </c>
      <c r="AX220">
        <v>60256334</v>
      </c>
      <c r="AY220">
        <v>1</v>
      </c>
      <c r="AZ220">
        <v>0</v>
      </c>
      <c r="BA220">
        <v>243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f>ROUND(Y220*Source!I152*DO220,9)</f>
        <v>1.721368</v>
      </c>
      <c r="CX220">
        <f>ROUND(Y220*Source!I152,9)</f>
        <v>0.13639999999999999</v>
      </c>
      <c r="CY220">
        <f>AB220</f>
        <v>1445.28</v>
      </c>
      <c r="CZ220">
        <f>AF220</f>
        <v>83.1</v>
      </c>
      <c r="DA220">
        <f>AJ220</f>
        <v>16.3</v>
      </c>
      <c r="DB220">
        <f>ROUND(((ROUND(AT220*CZ220,2)*1.25)*1.1),6)</f>
        <v>36.561250000000001</v>
      </c>
      <c r="DC220">
        <f>ROUND(((ROUND(AT220*AG220,2)*1.25)*1.1),6)</f>
        <v>5.5549999999999997</v>
      </c>
      <c r="DD220" t="s">
        <v>3</v>
      </c>
      <c r="DE220" t="s">
        <v>3</v>
      </c>
      <c r="DF220">
        <f t="shared" si="37"/>
        <v>0</v>
      </c>
      <c r="DG220">
        <f>ROUND(ROUND(AF220*AJ220,2)*CX220,2)</f>
        <v>184.76</v>
      </c>
      <c r="DH220">
        <f>ROUND(ROUND(AG220*AK220,2)*CX220,2)</f>
        <v>94.66</v>
      </c>
      <c r="DI220">
        <f t="shared" si="34"/>
        <v>0</v>
      </c>
      <c r="DJ220">
        <f>DG220</f>
        <v>184.76</v>
      </c>
      <c r="DK220">
        <v>0</v>
      </c>
      <c r="DL220" t="s">
        <v>489</v>
      </c>
      <c r="DM220">
        <v>0</v>
      </c>
      <c r="DN220" t="s">
        <v>484</v>
      </c>
      <c r="DO220">
        <v>12.62</v>
      </c>
    </row>
    <row r="221" spans="1:119" x14ac:dyDescent="0.2">
      <c r="A221">
        <f>ROW(Source!A152)</f>
        <v>152</v>
      </c>
      <c r="B221">
        <v>60255011</v>
      </c>
      <c r="C221">
        <v>60256322</v>
      </c>
      <c r="D221">
        <v>59070721</v>
      </c>
      <c r="E221">
        <v>1</v>
      </c>
      <c r="F221">
        <v>1</v>
      </c>
      <c r="G221">
        <v>1080</v>
      </c>
      <c r="H221">
        <v>2</v>
      </c>
      <c r="I221" t="s">
        <v>497</v>
      </c>
      <c r="J221" t="s">
        <v>498</v>
      </c>
      <c r="K221" t="s">
        <v>499</v>
      </c>
      <c r="L221">
        <v>1368</v>
      </c>
      <c r="N221">
        <v>1011</v>
      </c>
      <c r="O221" t="s">
        <v>488</v>
      </c>
      <c r="P221" t="s">
        <v>488</v>
      </c>
      <c r="Q221">
        <v>1</v>
      </c>
      <c r="W221">
        <v>0</v>
      </c>
      <c r="X221">
        <v>1387779639</v>
      </c>
      <c r="Y221">
        <f>((AT221*1.25)*1.1)</f>
        <v>1.7050000000000003</v>
      </c>
      <c r="AA221">
        <v>0</v>
      </c>
      <c r="AB221">
        <v>7.11</v>
      </c>
      <c r="AC221">
        <v>0</v>
      </c>
      <c r="AD221">
        <v>0</v>
      </c>
      <c r="AE221">
        <v>0</v>
      </c>
      <c r="AF221">
        <v>0.77</v>
      </c>
      <c r="AG221">
        <v>0</v>
      </c>
      <c r="AH221">
        <v>0</v>
      </c>
      <c r="AI221">
        <v>1</v>
      </c>
      <c r="AJ221">
        <v>8.66</v>
      </c>
      <c r="AK221">
        <v>54.99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1.24</v>
      </c>
      <c r="AU221" t="s">
        <v>496</v>
      </c>
      <c r="AV221">
        <v>0</v>
      </c>
      <c r="AW221">
        <v>2</v>
      </c>
      <c r="AX221">
        <v>60256336</v>
      </c>
      <c r="AY221">
        <v>1</v>
      </c>
      <c r="AZ221">
        <v>0</v>
      </c>
      <c r="BA221">
        <v>244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f>ROUND(Y221*Source!I152*DO221,9)</f>
        <v>0</v>
      </c>
      <c r="CX221">
        <f>ROUND(Y221*Source!I152,9)</f>
        <v>0.52854999999999996</v>
      </c>
      <c r="CY221">
        <f>AB221</f>
        <v>7.11</v>
      </c>
      <c r="CZ221">
        <f>AF221</f>
        <v>0.77</v>
      </c>
      <c r="DA221">
        <f>AJ221</f>
        <v>8.66</v>
      </c>
      <c r="DB221">
        <f>ROUND(((ROUND(AT221*CZ221,2)*1.25)*1.1),6)</f>
        <v>1.3062499999999999</v>
      </c>
      <c r="DC221">
        <f>ROUND(((ROUND(AT221*AG221,2)*1.25)*1.1),6)</f>
        <v>0</v>
      </c>
      <c r="DD221" t="s">
        <v>3</v>
      </c>
      <c r="DE221" t="s">
        <v>3</v>
      </c>
      <c r="DF221">
        <f t="shared" si="37"/>
        <v>0</v>
      </c>
      <c r="DG221">
        <f>ROUND(ROUND(AF221*AJ221,2)*CX221,2)</f>
        <v>3.53</v>
      </c>
      <c r="DH221">
        <f>ROUND(ROUND(AG221*AK221,2)*CX221,2)</f>
        <v>0</v>
      </c>
      <c r="DI221">
        <f t="shared" si="34"/>
        <v>0</v>
      </c>
      <c r="DJ221">
        <f>DG221</f>
        <v>3.53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ROW(Source!A152)</f>
        <v>152</v>
      </c>
      <c r="B222">
        <v>60255011</v>
      </c>
      <c r="C222">
        <v>60256322</v>
      </c>
      <c r="D222">
        <v>59070754</v>
      </c>
      <c r="E222">
        <v>1</v>
      </c>
      <c r="F222">
        <v>1</v>
      </c>
      <c r="G222">
        <v>1080</v>
      </c>
      <c r="H222">
        <v>2</v>
      </c>
      <c r="I222" t="s">
        <v>500</v>
      </c>
      <c r="J222" t="s">
        <v>501</v>
      </c>
      <c r="K222" t="s">
        <v>502</v>
      </c>
      <c r="L222">
        <v>1368</v>
      </c>
      <c r="N222">
        <v>1011</v>
      </c>
      <c r="O222" t="s">
        <v>488</v>
      </c>
      <c r="P222" t="s">
        <v>488</v>
      </c>
      <c r="Q222">
        <v>1</v>
      </c>
      <c r="W222">
        <v>0</v>
      </c>
      <c r="X222">
        <v>1645565003</v>
      </c>
      <c r="Y222">
        <f>((AT222*1.25)*1.1)</f>
        <v>4.4275000000000011</v>
      </c>
      <c r="AA222">
        <v>0</v>
      </c>
      <c r="AB222">
        <v>4.38</v>
      </c>
      <c r="AC222">
        <v>0</v>
      </c>
      <c r="AD222">
        <v>0</v>
      </c>
      <c r="AE222">
        <v>0</v>
      </c>
      <c r="AF222">
        <v>0.47</v>
      </c>
      <c r="AG222">
        <v>0</v>
      </c>
      <c r="AH222">
        <v>0</v>
      </c>
      <c r="AI222">
        <v>1</v>
      </c>
      <c r="AJ222">
        <v>8.74</v>
      </c>
      <c r="AK222">
        <v>54.99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3.22</v>
      </c>
      <c r="AU222" t="s">
        <v>496</v>
      </c>
      <c r="AV222">
        <v>0</v>
      </c>
      <c r="AW222">
        <v>2</v>
      </c>
      <c r="AX222">
        <v>60256337</v>
      </c>
      <c r="AY222">
        <v>1</v>
      </c>
      <c r="AZ222">
        <v>0</v>
      </c>
      <c r="BA222">
        <v>245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ROUND(Y222*Source!I152*DO222,9)</f>
        <v>0</v>
      </c>
      <c r="CX222">
        <f>ROUND(Y222*Source!I152,9)</f>
        <v>1.372525</v>
      </c>
      <c r="CY222">
        <f>AB222</f>
        <v>4.38</v>
      </c>
      <c r="CZ222">
        <f>AF222</f>
        <v>0.47</v>
      </c>
      <c r="DA222">
        <f>AJ222</f>
        <v>8.74</v>
      </c>
      <c r="DB222">
        <f>ROUND(((ROUND(AT222*CZ222,2)*1.25)*1.1),6)</f>
        <v>2.0762499999999999</v>
      </c>
      <c r="DC222">
        <f>ROUND(((ROUND(AT222*AG222,2)*1.25)*1.1),6)</f>
        <v>0</v>
      </c>
      <c r="DD222" t="s">
        <v>3</v>
      </c>
      <c r="DE222" t="s">
        <v>3</v>
      </c>
      <c r="DF222">
        <f t="shared" si="37"/>
        <v>0</v>
      </c>
      <c r="DG222">
        <f>ROUND(ROUND(AF222*AJ222,2)*CX222,2)</f>
        <v>5.64</v>
      </c>
      <c r="DH222">
        <f>ROUND(ROUND(AG222*AK222,2)*CX222,2)</f>
        <v>0</v>
      </c>
      <c r="DI222">
        <f t="shared" si="34"/>
        <v>0</v>
      </c>
      <c r="DJ222">
        <f>DG222</f>
        <v>5.64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ROW(Source!A152)</f>
        <v>152</v>
      </c>
      <c r="B223">
        <v>60255011</v>
      </c>
      <c r="C223">
        <v>60256322</v>
      </c>
      <c r="D223">
        <v>59069905</v>
      </c>
      <c r="E223">
        <v>1</v>
      </c>
      <c r="F223">
        <v>1</v>
      </c>
      <c r="G223">
        <v>1080</v>
      </c>
      <c r="H223">
        <v>2</v>
      </c>
      <c r="I223" t="s">
        <v>503</v>
      </c>
      <c r="J223" t="s">
        <v>504</v>
      </c>
      <c r="K223" t="s">
        <v>505</v>
      </c>
      <c r="L223">
        <v>1368</v>
      </c>
      <c r="N223">
        <v>1011</v>
      </c>
      <c r="O223" t="s">
        <v>488</v>
      </c>
      <c r="P223" t="s">
        <v>488</v>
      </c>
      <c r="Q223">
        <v>1</v>
      </c>
      <c r="W223">
        <v>0</v>
      </c>
      <c r="X223">
        <v>1087580389</v>
      </c>
      <c r="Y223">
        <f>((AT223*1.25)*1.1)</f>
        <v>0.50875000000000004</v>
      </c>
      <c r="AA223">
        <v>0</v>
      </c>
      <c r="AB223">
        <v>2628.65</v>
      </c>
      <c r="AC223">
        <v>993.36</v>
      </c>
      <c r="AD223">
        <v>0</v>
      </c>
      <c r="AE223">
        <v>0</v>
      </c>
      <c r="AF223">
        <v>179.17</v>
      </c>
      <c r="AG223">
        <v>16.93</v>
      </c>
      <c r="AH223">
        <v>0</v>
      </c>
      <c r="AI223">
        <v>1</v>
      </c>
      <c r="AJ223">
        <v>13.75</v>
      </c>
      <c r="AK223">
        <v>54.99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0.37</v>
      </c>
      <c r="AU223" t="s">
        <v>496</v>
      </c>
      <c r="AV223">
        <v>0</v>
      </c>
      <c r="AW223">
        <v>2</v>
      </c>
      <c r="AX223">
        <v>60256335</v>
      </c>
      <c r="AY223">
        <v>1</v>
      </c>
      <c r="AZ223">
        <v>0</v>
      </c>
      <c r="BA223">
        <v>246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f>ROUND(Y223*Source!I152*DO223,9)</f>
        <v>2.670072625</v>
      </c>
      <c r="CX223">
        <f>ROUND(Y223*Source!I152,9)</f>
        <v>0.15771250000000001</v>
      </c>
      <c r="CY223">
        <f>AB223</f>
        <v>2628.65</v>
      </c>
      <c r="CZ223">
        <f>AF223</f>
        <v>179.17</v>
      </c>
      <c r="DA223">
        <f>AJ223</f>
        <v>13.75</v>
      </c>
      <c r="DB223">
        <f>ROUND(((ROUND(AT223*CZ223,2)*1.25)*1.1),6)</f>
        <v>91.148750000000007</v>
      </c>
      <c r="DC223">
        <f>ROUND(((ROUND(AT223*AG223,2)*1.25)*1.1),6)</f>
        <v>8.6074999999999999</v>
      </c>
      <c r="DD223" t="s">
        <v>3</v>
      </c>
      <c r="DE223" t="s">
        <v>3</v>
      </c>
      <c r="DF223">
        <f t="shared" si="37"/>
        <v>0</v>
      </c>
      <c r="DG223">
        <f>ROUND(ROUND(AF223*AJ223,2)*CX223,2)</f>
        <v>388.54</v>
      </c>
      <c r="DH223">
        <f>ROUND(ROUND(AG223*AK223,2)*CX223,2)</f>
        <v>146.83000000000001</v>
      </c>
      <c r="DI223">
        <f t="shared" si="34"/>
        <v>0</v>
      </c>
      <c r="DJ223">
        <f>DG223</f>
        <v>388.54</v>
      </c>
      <c r="DK223">
        <v>0</v>
      </c>
      <c r="DL223" t="s">
        <v>489</v>
      </c>
      <c r="DM223">
        <v>0</v>
      </c>
      <c r="DN223" t="s">
        <v>484</v>
      </c>
      <c r="DO223">
        <v>16.93</v>
      </c>
    </row>
    <row r="224" spans="1:119" x14ac:dyDescent="0.2">
      <c r="A224">
        <f>ROW(Source!A152)</f>
        <v>152</v>
      </c>
      <c r="B224">
        <v>60255011</v>
      </c>
      <c r="C224">
        <v>60256322</v>
      </c>
      <c r="D224">
        <v>59038905</v>
      </c>
      <c r="E224">
        <v>1</v>
      </c>
      <c r="F224">
        <v>1</v>
      </c>
      <c r="G224">
        <v>1080</v>
      </c>
      <c r="H224">
        <v>3</v>
      </c>
      <c r="I224" t="s">
        <v>506</v>
      </c>
      <c r="J224" t="s">
        <v>507</v>
      </c>
      <c r="K224" t="s">
        <v>508</v>
      </c>
      <c r="L224">
        <v>1339</v>
      </c>
      <c r="N224">
        <v>1007</v>
      </c>
      <c r="O224" t="s">
        <v>509</v>
      </c>
      <c r="P224" t="s">
        <v>509</v>
      </c>
      <c r="Q224">
        <v>1</v>
      </c>
      <c r="W224">
        <v>0</v>
      </c>
      <c r="X224">
        <v>-744103292</v>
      </c>
      <c r="Y224">
        <f>AT224</f>
        <v>0.22700000000000001</v>
      </c>
      <c r="AA224">
        <v>54.79</v>
      </c>
      <c r="AB224">
        <v>0</v>
      </c>
      <c r="AC224">
        <v>0</v>
      </c>
      <c r="AD224">
        <v>0</v>
      </c>
      <c r="AE224">
        <v>7.07</v>
      </c>
      <c r="AF224">
        <v>0</v>
      </c>
      <c r="AG224">
        <v>0</v>
      </c>
      <c r="AH224">
        <v>0</v>
      </c>
      <c r="AI224">
        <v>7.75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0.22700000000000001</v>
      </c>
      <c r="AU224" t="s">
        <v>3</v>
      </c>
      <c r="AV224">
        <v>0</v>
      </c>
      <c r="AW224">
        <v>2</v>
      </c>
      <c r="AX224">
        <v>60256338</v>
      </c>
      <c r="AY224">
        <v>1</v>
      </c>
      <c r="AZ224">
        <v>0</v>
      </c>
      <c r="BA224">
        <v>247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ROUND(Y224*Source!I152,9)</f>
        <v>7.0370000000000002E-2</v>
      </c>
      <c r="CY224">
        <f>AA224</f>
        <v>54.79</v>
      </c>
      <c r="CZ224">
        <f>AE224</f>
        <v>7.07</v>
      </c>
      <c r="DA224">
        <f>AI224</f>
        <v>7.75</v>
      </c>
      <c r="DB224">
        <f>ROUND(ROUND(AT224*CZ224,2),6)</f>
        <v>1.6</v>
      </c>
      <c r="DC224">
        <f>ROUND(ROUND(AT224*AG224,2),6)</f>
        <v>0</v>
      </c>
      <c r="DD224" t="s">
        <v>3</v>
      </c>
      <c r="DE224" t="s">
        <v>3</v>
      </c>
      <c r="DF224">
        <f>ROUND(ROUND(AE224*AI224,2)*CX224,2)</f>
        <v>3.86</v>
      </c>
      <c r="DG224">
        <f t="shared" ref="DG224:DG236" si="38">ROUND(ROUND(AF224,2)*CX224,2)</f>
        <v>0</v>
      </c>
      <c r="DH224">
        <f t="shared" ref="DH224:DH236" si="39">ROUND(ROUND(AG224,2)*CX224,2)</f>
        <v>0</v>
      </c>
      <c r="DI224">
        <f t="shared" si="34"/>
        <v>0</v>
      </c>
      <c r="DJ224">
        <f>DF224</f>
        <v>3.86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ROW(Source!A152)</f>
        <v>152</v>
      </c>
      <c r="B225">
        <v>60255011</v>
      </c>
      <c r="C225">
        <v>60256322</v>
      </c>
      <c r="D225">
        <v>59045898</v>
      </c>
      <c r="E225">
        <v>1</v>
      </c>
      <c r="F225">
        <v>1</v>
      </c>
      <c r="G225">
        <v>1080</v>
      </c>
      <c r="H225">
        <v>3</v>
      </c>
      <c r="I225" t="s">
        <v>510</v>
      </c>
      <c r="J225" t="s">
        <v>511</v>
      </c>
      <c r="K225" t="s">
        <v>512</v>
      </c>
      <c r="L225">
        <v>1355</v>
      </c>
      <c r="N225">
        <v>1010</v>
      </c>
      <c r="O225" t="s">
        <v>96</v>
      </c>
      <c r="P225" t="s">
        <v>96</v>
      </c>
      <c r="Q225">
        <v>100</v>
      </c>
      <c r="W225">
        <v>0</v>
      </c>
      <c r="X225">
        <v>2062705997</v>
      </c>
      <c r="Y225">
        <f>AT225</f>
        <v>4.04</v>
      </c>
      <c r="AA225">
        <v>1401.76</v>
      </c>
      <c r="AB225">
        <v>0</v>
      </c>
      <c r="AC225">
        <v>0</v>
      </c>
      <c r="AD225">
        <v>0</v>
      </c>
      <c r="AE225">
        <v>154.72</v>
      </c>
      <c r="AF225">
        <v>0</v>
      </c>
      <c r="AG225">
        <v>0</v>
      </c>
      <c r="AH225">
        <v>0</v>
      </c>
      <c r="AI225">
        <v>9.06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4.04</v>
      </c>
      <c r="AU225" t="s">
        <v>3</v>
      </c>
      <c r="AV225">
        <v>0</v>
      </c>
      <c r="AW225">
        <v>2</v>
      </c>
      <c r="AX225">
        <v>60256339</v>
      </c>
      <c r="AY225">
        <v>1</v>
      </c>
      <c r="AZ225">
        <v>0</v>
      </c>
      <c r="BA225">
        <v>248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ROUND(Y225*Source!I152,9)</f>
        <v>1.2524</v>
      </c>
      <c r="CY225">
        <f>AA225</f>
        <v>1401.76</v>
      </c>
      <c r="CZ225">
        <f>AE225</f>
        <v>154.72</v>
      </c>
      <c r="DA225">
        <f>AI225</f>
        <v>9.06</v>
      </c>
      <c r="DB225">
        <f>ROUND(ROUND(AT225*CZ225,2),6)</f>
        <v>625.07000000000005</v>
      </c>
      <c r="DC225">
        <f>ROUND(ROUND(AT225*AG225,2),6)</f>
        <v>0</v>
      </c>
      <c r="DD225" t="s">
        <v>3</v>
      </c>
      <c r="DE225" t="s">
        <v>3</v>
      </c>
      <c r="DF225">
        <f>ROUND(ROUND(AE225*AI225,2)*CX225,2)</f>
        <v>1755.56</v>
      </c>
      <c r="DG225">
        <f t="shared" si="38"/>
        <v>0</v>
      </c>
      <c r="DH225">
        <f t="shared" si="39"/>
        <v>0</v>
      </c>
      <c r="DI225">
        <f t="shared" si="34"/>
        <v>0</v>
      </c>
      <c r="DJ225">
        <f>DF225</f>
        <v>1755.56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ROW(Source!A152)</f>
        <v>152</v>
      </c>
      <c r="B226">
        <v>60255011</v>
      </c>
      <c r="C226">
        <v>60256322</v>
      </c>
      <c r="D226">
        <v>59056195</v>
      </c>
      <c r="E226">
        <v>1</v>
      </c>
      <c r="F226">
        <v>1</v>
      </c>
      <c r="G226">
        <v>1080</v>
      </c>
      <c r="H226">
        <v>3</v>
      </c>
      <c r="I226" t="s">
        <v>513</v>
      </c>
      <c r="J226" t="s">
        <v>514</v>
      </c>
      <c r="K226" t="s">
        <v>515</v>
      </c>
      <c r="L226">
        <v>1354</v>
      </c>
      <c r="N226">
        <v>1010</v>
      </c>
      <c r="O226" t="s">
        <v>31</v>
      </c>
      <c r="P226" t="s">
        <v>31</v>
      </c>
      <c r="Q226">
        <v>1</v>
      </c>
      <c r="W226">
        <v>0</v>
      </c>
      <c r="X226">
        <v>-572380273</v>
      </c>
      <c r="Y226">
        <f>AT226</f>
        <v>200</v>
      </c>
      <c r="AA226">
        <v>185.42</v>
      </c>
      <c r="AB226">
        <v>0</v>
      </c>
      <c r="AC226">
        <v>0</v>
      </c>
      <c r="AD226">
        <v>0</v>
      </c>
      <c r="AE226">
        <v>7.24</v>
      </c>
      <c r="AF226">
        <v>0</v>
      </c>
      <c r="AG226">
        <v>0</v>
      </c>
      <c r="AH226">
        <v>0</v>
      </c>
      <c r="AI226">
        <v>25.61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200</v>
      </c>
      <c r="AU226" t="s">
        <v>3</v>
      </c>
      <c r="AV226">
        <v>0</v>
      </c>
      <c r="AW226">
        <v>2</v>
      </c>
      <c r="AX226">
        <v>60256340</v>
      </c>
      <c r="AY226">
        <v>1</v>
      </c>
      <c r="AZ226">
        <v>0</v>
      </c>
      <c r="BA226">
        <v>249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ROUND(Y226*Source!I152,9)</f>
        <v>62</v>
      </c>
      <c r="CY226">
        <f>AA226</f>
        <v>185.42</v>
      </c>
      <c r="CZ226">
        <f>AE226</f>
        <v>7.24</v>
      </c>
      <c r="DA226">
        <f>AI226</f>
        <v>25.61</v>
      </c>
      <c r="DB226">
        <f>ROUND(ROUND(AT226*CZ226,2),6)</f>
        <v>1448</v>
      </c>
      <c r="DC226">
        <f>ROUND(ROUND(AT226*AG226,2),6)</f>
        <v>0</v>
      </c>
      <c r="DD226" t="s">
        <v>3</v>
      </c>
      <c r="DE226" t="s">
        <v>3</v>
      </c>
      <c r="DF226">
        <f>ROUND(ROUND(AE226*AI226,2)*CX226,2)</f>
        <v>11496.04</v>
      </c>
      <c r="DG226">
        <f t="shared" si="38"/>
        <v>0</v>
      </c>
      <c r="DH226">
        <f t="shared" si="39"/>
        <v>0</v>
      </c>
      <c r="DI226">
        <f t="shared" si="34"/>
        <v>0</v>
      </c>
      <c r="DJ226">
        <f>DF226</f>
        <v>11496.04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ROW(Source!A152)</f>
        <v>152</v>
      </c>
      <c r="B227">
        <v>60255011</v>
      </c>
      <c r="C227">
        <v>60256322</v>
      </c>
      <c r="D227">
        <v>59049377</v>
      </c>
      <c r="E227">
        <v>1</v>
      </c>
      <c r="F227">
        <v>1</v>
      </c>
      <c r="G227">
        <v>1080</v>
      </c>
      <c r="H227">
        <v>3</v>
      </c>
      <c r="I227" t="s">
        <v>516</v>
      </c>
      <c r="J227" t="s">
        <v>517</v>
      </c>
      <c r="K227" t="s">
        <v>518</v>
      </c>
      <c r="L227">
        <v>1354</v>
      </c>
      <c r="N227">
        <v>1010</v>
      </c>
      <c r="O227" t="s">
        <v>31</v>
      </c>
      <c r="P227" t="s">
        <v>31</v>
      </c>
      <c r="Q227">
        <v>1</v>
      </c>
      <c r="W227">
        <v>0</v>
      </c>
      <c r="X227">
        <v>501598144</v>
      </c>
      <c r="Y227">
        <f>AT227</f>
        <v>0.68400000000000005</v>
      </c>
      <c r="AA227">
        <v>63.83</v>
      </c>
      <c r="AB227">
        <v>0</v>
      </c>
      <c r="AC227">
        <v>0</v>
      </c>
      <c r="AD227">
        <v>0</v>
      </c>
      <c r="AE227">
        <v>6.12</v>
      </c>
      <c r="AF227">
        <v>0</v>
      </c>
      <c r="AG227">
        <v>0</v>
      </c>
      <c r="AH227">
        <v>0</v>
      </c>
      <c r="AI227">
        <v>10.43</v>
      </c>
      <c r="AJ227">
        <v>1</v>
      </c>
      <c r="AK227">
        <v>1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0.68400000000000005</v>
      </c>
      <c r="AU227" t="s">
        <v>3</v>
      </c>
      <c r="AV227">
        <v>0</v>
      </c>
      <c r="AW227">
        <v>2</v>
      </c>
      <c r="AX227">
        <v>60256341</v>
      </c>
      <c r="AY227">
        <v>1</v>
      </c>
      <c r="AZ227">
        <v>0</v>
      </c>
      <c r="BA227">
        <v>250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ROUND(Y227*Source!I152,9)</f>
        <v>0.21204000000000001</v>
      </c>
      <c r="CY227">
        <f>AA227</f>
        <v>63.83</v>
      </c>
      <c r="CZ227">
        <f>AE227</f>
        <v>6.12</v>
      </c>
      <c r="DA227">
        <f>AI227</f>
        <v>10.43</v>
      </c>
      <c r="DB227">
        <f>ROUND(ROUND(AT227*CZ227,2),6)</f>
        <v>4.1900000000000004</v>
      </c>
      <c r="DC227">
        <f>ROUND(ROUND(AT227*AG227,2),6)</f>
        <v>0</v>
      </c>
      <c r="DD227" t="s">
        <v>3</v>
      </c>
      <c r="DE227" t="s">
        <v>3</v>
      </c>
      <c r="DF227">
        <f>ROUND(ROUND(AE227*AI227,2)*CX227,2)</f>
        <v>13.53</v>
      </c>
      <c r="DG227">
        <f t="shared" si="38"/>
        <v>0</v>
      </c>
      <c r="DH227">
        <f t="shared" si="39"/>
        <v>0</v>
      </c>
      <c r="DI227">
        <f t="shared" si="34"/>
        <v>0</v>
      </c>
      <c r="DJ227">
        <f>DF227</f>
        <v>13.53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ROW(Source!A152)</f>
        <v>152</v>
      </c>
      <c r="B228">
        <v>60255011</v>
      </c>
      <c r="C228">
        <v>60256322</v>
      </c>
      <c r="D228">
        <v>59004259</v>
      </c>
      <c r="E228">
        <v>1080</v>
      </c>
      <c r="F228">
        <v>1</v>
      </c>
      <c r="G228">
        <v>1080</v>
      </c>
      <c r="H228">
        <v>3</v>
      </c>
      <c r="I228" t="s">
        <v>519</v>
      </c>
      <c r="J228" t="s">
        <v>3</v>
      </c>
      <c r="K228" t="s">
        <v>520</v>
      </c>
      <c r="L228">
        <v>1344</v>
      </c>
      <c r="N228">
        <v>1008</v>
      </c>
      <c r="O228" t="s">
        <v>521</v>
      </c>
      <c r="P228" t="s">
        <v>521</v>
      </c>
      <c r="Q228">
        <v>1</v>
      </c>
      <c r="W228">
        <v>0</v>
      </c>
      <c r="X228">
        <v>-94250534</v>
      </c>
      <c r="Y228">
        <f>AT228</f>
        <v>0.04</v>
      </c>
      <c r="AA228">
        <v>9.8800000000000008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9.8800000000000008</v>
      </c>
      <c r="AJ228">
        <v>1</v>
      </c>
      <c r="AK228">
        <v>1</v>
      </c>
      <c r="AL228">
        <v>1</v>
      </c>
      <c r="AM228">
        <v>5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0.04</v>
      </c>
      <c r="AU228" t="s">
        <v>3</v>
      </c>
      <c r="AV228">
        <v>0</v>
      </c>
      <c r="AW228">
        <v>2</v>
      </c>
      <c r="AX228">
        <v>60256343</v>
      </c>
      <c r="AY228">
        <v>1</v>
      </c>
      <c r="AZ228">
        <v>0</v>
      </c>
      <c r="BA228">
        <v>252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ROUND(Y228*Source!I152,9)</f>
        <v>1.24E-2</v>
      </c>
      <c r="CY228">
        <f>AA228</f>
        <v>9.8800000000000008</v>
      </c>
      <c r="CZ228">
        <f>AE228</f>
        <v>1</v>
      </c>
      <c r="DA228">
        <f>AI228</f>
        <v>9.8800000000000008</v>
      </c>
      <c r="DB228">
        <f>ROUND(ROUND(AT228*CZ228,2),6)</f>
        <v>0.04</v>
      </c>
      <c r="DC228">
        <f>ROUND(ROUND(AT228*AG228,2),6)</f>
        <v>0</v>
      </c>
      <c r="DD228" t="s">
        <v>3</v>
      </c>
      <c r="DE228" t="s">
        <v>3</v>
      </c>
      <c r="DF228">
        <f>ROUND(ROUND(AE228*AI228,2)*CX228,2)</f>
        <v>0.12</v>
      </c>
      <c r="DG228">
        <f t="shared" si="38"/>
        <v>0</v>
      </c>
      <c r="DH228">
        <f t="shared" si="39"/>
        <v>0</v>
      </c>
      <c r="DI228">
        <f t="shared" si="34"/>
        <v>0</v>
      </c>
      <c r="DJ228">
        <f>DF228</f>
        <v>0.12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ROW(Source!A165)</f>
        <v>165</v>
      </c>
      <c r="B229">
        <v>60255014</v>
      </c>
      <c r="C229">
        <v>60255378</v>
      </c>
      <c r="D229">
        <v>58999254</v>
      </c>
      <c r="E229">
        <v>1080</v>
      </c>
      <c r="F229">
        <v>1</v>
      </c>
      <c r="G229">
        <v>1080</v>
      </c>
      <c r="H229">
        <v>1</v>
      </c>
      <c r="I229" t="s">
        <v>482</v>
      </c>
      <c r="J229" t="s">
        <v>3</v>
      </c>
      <c r="K229" t="s">
        <v>483</v>
      </c>
      <c r="L229">
        <v>1191</v>
      </c>
      <c r="N229">
        <v>1013</v>
      </c>
      <c r="O229" t="s">
        <v>484</v>
      </c>
      <c r="P229" t="s">
        <v>484</v>
      </c>
      <c r="Q229">
        <v>1</v>
      </c>
      <c r="W229">
        <v>0</v>
      </c>
      <c r="X229">
        <v>476480486</v>
      </c>
      <c r="Y229">
        <f>((AT229*1.15)*1.1)</f>
        <v>109.46044999999999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86.53</v>
      </c>
      <c r="AU229" t="s">
        <v>99</v>
      </c>
      <c r="AV229">
        <v>1</v>
      </c>
      <c r="AW229">
        <v>2</v>
      </c>
      <c r="AX229">
        <v>60255871</v>
      </c>
      <c r="AY229">
        <v>1</v>
      </c>
      <c r="AZ229">
        <v>0</v>
      </c>
      <c r="BA229">
        <v>253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ROUND(AT229*Source!I165*AH229*AL229,2)</f>
        <v>0</v>
      </c>
      <c r="CV229">
        <f>ROUND(Y229*Source!I165,9)</f>
        <v>379.82776150000001</v>
      </c>
      <c r="CW229">
        <v>0</v>
      </c>
      <c r="CX229">
        <f>ROUND(Y229*Source!I165,9)</f>
        <v>379.82776150000001</v>
      </c>
      <c r="CY229">
        <f>AD229</f>
        <v>0</v>
      </c>
      <c r="CZ229">
        <f>AH229</f>
        <v>0</v>
      </c>
      <c r="DA229">
        <f>AL229</f>
        <v>1</v>
      </c>
      <c r="DB229">
        <f>ROUND(((ROUND(AT229*CZ229,2)*1.15)*1.1),6)</f>
        <v>0</v>
      </c>
      <c r="DC229">
        <f>ROUND(((ROUND(AT229*AG229,2)*1.15)*1.1),6)</f>
        <v>0</v>
      </c>
      <c r="DD229" t="s">
        <v>3</v>
      </c>
      <c r="DE229" t="s">
        <v>3</v>
      </c>
      <c r="DF229">
        <f t="shared" ref="DF229:DF239" si="40">ROUND(ROUND(AE229,2)*CX229,2)</f>
        <v>0</v>
      </c>
      <c r="DG229">
        <f t="shared" si="38"/>
        <v>0</v>
      </c>
      <c r="DH229">
        <f t="shared" si="39"/>
        <v>0</v>
      </c>
      <c r="DI229">
        <f t="shared" si="34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ROW(Source!A165)</f>
        <v>165</v>
      </c>
      <c r="B230">
        <v>60255014</v>
      </c>
      <c r="C230">
        <v>60255378</v>
      </c>
      <c r="D230">
        <v>59070669</v>
      </c>
      <c r="E230">
        <v>1</v>
      </c>
      <c r="F230">
        <v>1</v>
      </c>
      <c r="G230">
        <v>1080</v>
      </c>
      <c r="H230">
        <v>2</v>
      </c>
      <c r="I230" t="s">
        <v>485</v>
      </c>
      <c r="J230" t="s">
        <v>486</v>
      </c>
      <c r="K230" t="s">
        <v>487</v>
      </c>
      <c r="L230">
        <v>1368</v>
      </c>
      <c r="N230">
        <v>1011</v>
      </c>
      <c r="O230" t="s">
        <v>488</v>
      </c>
      <c r="P230" t="s">
        <v>488</v>
      </c>
      <c r="Q230">
        <v>1</v>
      </c>
      <c r="W230">
        <v>0</v>
      </c>
      <c r="X230">
        <v>-1985943078</v>
      </c>
      <c r="Y230">
        <f>((AT230*1.25)*1.1)</f>
        <v>1.3750000000000002E-2</v>
      </c>
      <c r="AA230">
        <v>0</v>
      </c>
      <c r="AB230">
        <v>88.67</v>
      </c>
      <c r="AC230">
        <v>13.47</v>
      </c>
      <c r="AD230">
        <v>0</v>
      </c>
      <c r="AE230">
        <v>0</v>
      </c>
      <c r="AF230">
        <v>83.1</v>
      </c>
      <c r="AG230">
        <v>12.62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0.01</v>
      </c>
      <c r="AU230" t="s">
        <v>496</v>
      </c>
      <c r="AV230">
        <v>0</v>
      </c>
      <c r="AW230">
        <v>2</v>
      </c>
      <c r="AX230">
        <v>60255872</v>
      </c>
      <c r="AY230">
        <v>1</v>
      </c>
      <c r="AZ230">
        <v>0</v>
      </c>
      <c r="BA230">
        <v>254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ROUND(Y230*Source!I165*DO230,9)</f>
        <v>0.60213174999999997</v>
      </c>
      <c r="CX230">
        <f>ROUND(Y230*Source!I165,9)</f>
        <v>4.7712499999999998E-2</v>
      </c>
      <c r="CY230">
        <f>AB230</f>
        <v>88.67</v>
      </c>
      <c r="CZ230">
        <f>AF230</f>
        <v>83.1</v>
      </c>
      <c r="DA230">
        <f>AJ230</f>
        <v>1</v>
      </c>
      <c r="DB230">
        <f>ROUND(((ROUND(AT230*CZ230,2)*1.25)*1.1),6)</f>
        <v>1.1412500000000001</v>
      </c>
      <c r="DC230">
        <f>ROUND(((ROUND(AT230*AG230,2)*1.25)*1.1),6)</f>
        <v>0.17874999999999999</v>
      </c>
      <c r="DD230" t="s">
        <v>3</v>
      </c>
      <c r="DE230" t="s">
        <v>3</v>
      </c>
      <c r="DF230">
        <f t="shared" si="40"/>
        <v>0</v>
      </c>
      <c r="DG230">
        <f t="shared" si="38"/>
        <v>3.96</v>
      </c>
      <c r="DH230">
        <f t="shared" si="39"/>
        <v>0.6</v>
      </c>
      <c r="DI230">
        <f t="shared" si="34"/>
        <v>0</v>
      </c>
      <c r="DJ230">
        <f>DG230</f>
        <v>3.96</v>
      </c>
      <c r="DK230">
        <v>0</v>
      </c>
      <c r="DL230" t="s">
        <v>489</v>
      </c>
      <c r="DM230">
        <v>0</v>
      </c>
      <c r="DN230" t="s">
        <v>484</v>
      </c>
      <c r="DO230">
        <v>12.62</v>
      </c>
    </row>
    <row r="231" spans="1:119" x14ac:dyDescent="0.2">
      <c r="A231">
        <f>ROW(Source!A165)</f>
        <v>165</v>
      </c>
      <c r="B231">
        <v>60255014</v>
      </c>
      <c r="C231">
        <v>60255378</v>
      </c>
      <c r="D231">
        <v>59070798</v>
      </c>
      <c r="E231">
        <v>1</v>
      </c>
      <c r="F231">
        <v>1</v>
      </c>
      <c r="G231">
        <v>1080</v>
      </c>
      <c r="H231">
        <v>2</v>
      </c>
      <c r="I231" t="s">
        <v>522</v>
      </c>
      <c r="J231" t="s">
        <v>523</v>
      </c>
      <c r="K231" t="s">
        <v>524</v>
      </c>
      <c r="L231">
        <v>1368</v>
      </c>
      <c r="N231">
        <v>1011</v>
      </c>
      <c r="O231" t="s">
        <v>488</v>
      </c>
      <c r="P231" t="s">
        <v>488</v>
      </c>
      <c r="Q231">
        <v>1</v>
      </c>
      <c r="W231">
        <v>0</v>
      </c>
      <c r="X231">
        <v>-1338298661</v>
      </c>
      <c r="Y231">
        <f>((AT231*1.25)*1.1)</f>
        <v>13.750000000000002</v>
      </c>
      <c r="AA231">
        <v>0</v>
      </c>
      <c r="AB231">
        <v>0.48</v>
      </c>
      <c r="AC231">
        <v>0</v>
      </c>
      <c r="AD231">
        <v>0</v>
      </c>
      <c r="AE231">
        <v>0</v>
      </c>
      <c r="AF231">
        <v>0.45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10</v>
      </c>
      <c r="AU231" t="s">
        <v>496</v>
      </c>
      <c r="AV231">
        <v>0</v>
      </c>
      <c r="AW231">
        <v>2</v>
      </c>
      <c r="AX231">
        <v>60255874</v>
      </c>
      <c r="AY231">
        <v>1</v>
      </c>
      <c r="AZ231">
        <v>0</v>
      </c>
      <c r="BA231">
        <v>255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ROUND(Y231*Source!I165*DO231,9)</f>
        <v>0</v>
      </c>
      <c r="CX231">
        <f>ROUND(Y231*Source!I165,9)</f>
        <v>47.712499999999999</v>
      </c>
      <c r="CY231">
        <f>AB231</f>
        <v>0.48</v>
      </c>
      <c r="CZ231">
        <f>AF231</f>
        <v>0.45</v>
      </c>
      <c r="DA231">
        <f>AJ231</f>
        <v>1</v>
      </c>
      <c r="DB231">
        <f>ROUND(((ROUND(AT231*CZ231,2)*1.25)*1.1),6)</f>
        <v>6.1875</v>
      </c>
      <c r="DC231">
        <f>ROUND(((ROUND(AT231*AG231,2)*1.25)*1.1),6)</f>
        <v>0</v>
      </c>
      <c r="DD231" t="s">
        <v>3</v>
      </c>
      <c r="DE231" t="s">
        <v>3</v>
      </c>
      <c r="DF231">
        <f t="shared" si="40"/>
        <v>0</v>
      </c>
      <c r="DG231">
        <f t="shared" si="38"/>
        <v>21.47</v>
      </c>
      <c r="DH231">
        <f t="shared" si="39"/>
        <v>0</v>
      </c>
      <c r="DI231">
        <f t="shared" si="34"/>
        <v>0</v>
      </c>
      <c r="DJ231">
        <f>DG231</f>
        <v>21.47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ROW(Source!A165)</f>
        <v>165</v>
      </c>
      <c r="B232">
        <v>60255014</v>
      </c>
      <c r="C232">
        <v>60255378</v>
      </c>
      <c r="D232">
        <v>59069905</v>
      </c>
      <c r="E232">
        <v>1</v>
      </c>
      <c r="F232">
        <v>1</v>
      </c>
      <c r="G232">
        <v>1080</v>
      </c>
      <c r="H232">
        <v>2</v>
      </c>
      <c r="I232" t="s">
        <v>503</v>
      </c>
      <c r="J232" t="s">
        <v>504</v>
      </c>
      <c r="K232" t="s">
        <v>505</v>
      </c>
      <c r="L232">
        <v>1368</v>
      </c>
      <c r="N232">
        <v>1011</v>
      </c>
      <c r="O232" t="s">
        <v>488</v>
      </c>
      <c r="P232" t="s">
        <v>488</v>
      </c>
      <c r="Q232">
        <v>1</v>
      </c>
      <c r="W232">
        <v>0</v>
      </c>
      <c r="X232">
        <v>1087580389</v>
      </c>
      <c r="Y232">
        <f>((AT232*1.25)*1.1)</f>
        <v>1.3750000000000002E-2</v>
      </c>
      <c r="AA232">
        <v>0</v>
      </c>
      <c r="AB232">
        <v>191.17</v>
      </c>
      <c r="AC232">
        <v>18.059999999999999</v>
      </c>
      <c r="AD232">
        <v>0</v>
      </c>
      <c r="AE232">
        <v>0</v>
      </c>
      <c r="AF232">
        <v>179.17</v>
      </c>
      <c r="AG232">
        <v>16.93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0.01</v>
      </c>
      <c r="AU232" t="s">
        <v>496</v>
      </c>
      <c r="AV232">
        <v>0</v>
      </c>
      <c r="AW232">
        <v>2</v>
      </c>
      <c r="AX232">
        <v>60255873</v>
      </c>
      <c r="AY232">
        <v>1</v>
      </c>
      <c r="AZ232">
        <v>0</v>
      </c>
      <c r="BA232">
        <v>256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ROUND(Y232*Source!I165*DO232,9)</f>
        <v>0.80777262500000002</v>
      </c>
      <c r="CX232">
        <f>ROUND(Y232*Source!I165,9)</f>
        <v>4.7712499999999998E-2</v>
      </c>
      <c r="CY232">
        <f>AB232</f>
        <v>191.17</v>
      </c>
      <c r="CZ232">
        <f>AF232</f>
        <v>179.17</v>
      </c>
      <c r="DA232">
        <f>AJ232</f>
        <v>1</v>
      </c>
      <c r="DB232">
        <f>ROUND(((ROUND(AT232*CZ232,2)*1.25)*1.1),6)</f>
        <v>2.4612500000000002</v>
      </c>
      <c r="DC232">
        <f>ROUND(((ROUND(AT232*AG232,2)*1.25)*1.1),6)</f>
        <v>0.23375000000000001</v>
      </c>
      <c r="DD232" t="s">
        <v>3</v>
      </c>
      <c r="DE232" t="s">
        <v>3</v>
      </c>
      <c r="DF232">
        <f t="shared" si="40"/>
        <v>0</v>
      </c>
      <c r="DG232">
        <f t="shared" si="38"/>
        <v>8.5500000000000007</v>
      </c>
      <c r="DH232">
        <f t="shared" si="39"/>
        <v>0.81</v>
      </c>
      <c r="DI232">
        <f t="shared" si="34"/>
        <v>0</v>
      </c>
      <c r="DJ232">
        <f>DG232</f>
        <v>8.5500000000000007</v>
      </c>
      <c r="DK232">
        <v>0</v>
      </c>
      <c r="DL232" t="s">
        <v>489</v>
      </c>
      <c r="DM232">
        <v>0</v>
      </c>
      <c r="DN232" t="s">
        <v>484</v>
      </c>
      <c r="DO232">
        <v>16.93</v>
      </c>
    </row>
    <row r="233" spans="1:119" x14ac:dyDescent="0.2">
      <c r="A233">
        <f>ROW(Source!A165)</f>
        <v>165</v>
      </c>
      <c r="B233">
        <v>60255014</v>
      </c>
      <c r="C233">
        <v>60255378</v>
      </c>
      <c r="D233">
        <v>59041375</v>
      </c>
      <c r="E233">
        <v>1</v>
      </c>
      <c r="F233">
        <v>1</v>
      </c>
      <c r="G233">
        <v>1080</v>
      </c>
      <c r="H233">
        <v>3</v>
      </c>
      <c r="I233" t="s">
        <v>525</v>
      </c>
      <c r="J233" t="s">
        <v>526</v>
      </c>
      <c r="K233" t="s">
        <v>527</v>
      </c>
      <c r="L233">
        <v>1346</v>
      </c>
      <c r="N233">
        <v>1009</v>
      </c>
      <c r="O233" t="s">
        <v>528</v>
      </c>
      <c r="P233" t="s">
        <v>528</v>
      </c>
      <c r="Q233">
        <v>1</v>
      </c>
      <c r="W233">
        <v>0</v>
      </c>
      <c r="X233">
        <v>-323488432</v>
      </c>
      <c r="Y233">
        <f>AT233</f>
        <v>0.3</v>
      </c>
      <c r="AA233">
        <v>520.51</v>
      </c>
      <c r="AB233">
        <v>0</v>
      </c>
      <c r="AC233">
        <v>0</v>
      </c>
      <c r="AD233">
        <v>0</v>
      </c>
      <c r="AE233">
        <v>520.51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0.3</v>
      </c>
      <c r="AU233" t="s">
        <v>3</v>
      </c>
      <c r="AV233">
        <v>0</v>
      </c>
      <c r="AW233">
        <v>2</v>
      </c>
      <c r="AX233">
        <v>60255875</v>
      </c>
      <c r="AY233">
        <v>1</v>
      </c>
      <c r="AZ233">
        <v>0</v>
      </c>
      <c r="BA233">
        <v>257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ROUND(Y233*Source!I165,9)</f>
        <v>1.0409999999999999</v>
      </c>
      <c r="CY233">
        <f>AA233</f>
        <v>520.51</v>
      </c>
      <c r="CZ233">
        <f>AE233</f>
        <v>520.51</v>
      </c>
      <c r="DA233">
        <f>AI233</f>
        <v>1</v>
      </c>
      <c r="DB233">
        <f>ROUND(ROUND(AT233*CZ233,2),6)</f>
        <v>156.15</v>
      </c>
      <c r="DC233">
        <f>ROUND(ROUND(AT233*AG233,2),6)</f>
        <v>0</v>
      </c>
      <c r="DD233" t="s">
        <v>3</v>
      </c>
      <c r="DE233" t="s">
        <v>3</v>
      </c>
      <c r="DF233">
        <f t="shared" si="40"/>
        <v>541.85</v>
      </c>
      <c r="DG233">
        <f t="shared" si="38"/>
        <v>0</v>
      </c>
      <c r="DH233">
        <f t="shared" si="39"/>
        <v>0</v>
      </c>
      <c r="DI233">
        <f t="shared" si="34"/>
        <v>0</v>
      </c>
      <c r="DJ233">
        <f>DF233</f>
        <v>541.85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ROW(Source!A165)</f>
        <v>165</v>
      </c>
      <c r="B234">
        <v>60255014</v>
      </c>
      <c r="C234">
        <v>60255378</v>
      </c>
      <c r="D234">
        <v>59057450</v>
      </c>
      <c r="E234">
        <v>1</v>
      </c>
      <c r="F234">
        <v>1</v>
      </c>
      <c r="G234">
        <v>1080</v>
      </c>
      <c r="H234">
        <v>3</v>
      </c>
      <c r="I234" t="s">
        <v>276</v>
      </c>
      <c r="J234" t="s">
        <v>278</v>
      </c>
      <c r="K234" t="s">
        <v>277</v>
      </c>
      <c r="L234">
        <v>1354</v>
      </c>
      <c r="N234">
        <v>1010</v>
      </c>
      <c r="O234" t="s">
        <v>31</v>
      </c>
      <c r="P234" t="s">
        <v>31</v>
      </c>
      <c r="Q234">
        <v>1</v>
      </c>
      <c r="W234">
        <v>0</v>
      </c>
      <c r="X234">
        <v>809643446</v>
      </c>
      <c r="Y234">
        <f>AT234</f>
        <v>100</v>
      </c>
      <c r="AA234">
        <v>183.31</v>
      </c>
      <c r="AB234">
        <v>0</v>
      </c>
      <c r="AC234">
        <v>0</v>
      </c>
      <c r="AD234">
        <v>0</v>
      </c>
      <c r="AE234">
        <v>183.31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100</v>
      </c>
      <c r="AU234" t="s">
        <v>3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ROUND(Y234*Source!I165,9)</f>
        <v>347</v>
      </c>
      <c r="CY234">
        <f>AA234</f>
        <v>183.31</v>
      </c>
      <c r="CZ234">
        <f>AE234</f>
        <v>183.31</v>
      </c>
      <c r="DA234">
        <f>AI234</f>
        <v>1</v>
      </c>
      <c r="DB234">
        <f>ROUND(ROUND(AT234*CZ234,2),6)</f>
        <v>18331</v>
      </c>
      <c r="DC234">
        <f>ROUND(ROUND(AT234*AG234,2),6)</f>
        <v>0</v>
      </c>
      <c r="DD234" t="s">
        <v>3</v>
      </c>
      <c r="DE234" t="s">
        <v>3</v>
      </c>
      <c r="DF234">
        <f t="shared" si="40"/>
        <v>63608.57</v>
      </c>
      <c r="DG234">
        <f t="shared" si="38"/>
        <v>0</v>
      </c>
      <c r="DH234">
        <f t="shared" si="39"/>
        <v>0</v>
      </c>
      <c r="DI234">
        <f t="shared" si="34"/>
        <v>0</v>
      </c>
      <c r="DJ234">
        <f>DF234</f>
        <v>63608.57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ROW(Source!A165)</f>
        <v>165</v>
      </c>
      <c r="B235">
        <v>60255014</v>
      </c>
      <c r="C235">
        <v>60255378</v>
      </c>
      <c r="D235">
        <v>59057805</v>
      </c>
      <c r="E235">
        <v>1</v>
      </c>
      <c r="F235">
        <v>1</v>
      </c>
      <c r="G235">
        <v>1080</v>
      </c>
      <c r="H235">
        <v>3</v>
      </c>
      <c r="I235" t="s">
        <v>280</v>
      </c>
      <c r="J235" t="s">
        <v>282</v>
      </c>
      <c r="K235" t="s">
        <v>281</v>
      </c>
      <c r="L235">
        <v>1354</v>
      </c>
      <c r="N235">
        <v>1010</v>
      </c>
      <c r="O235" t="s">
        <v>31</v>
      </c>
      <c r="P235" t="s">
        <v>31</v>
      </c>
      <c r="Q235">
        <v>1</v>
      </c>
      <c r="W235">
        <v>0</v>
      </c>
      <c r="X235">
        <v>1228790676</v>
      </c>
      <c r="Y235">
        <f>AT235</f>
        <v>100</v>
      </c>
      <c r="AA235">
        <v>307.77</v>
      </c>
      <c r="AB235">
        <v>0</v>
      </c>
      <c r="AC235">
        <v>0</v>
      </c>
      <c r="AD235">
        <v>0</v>
      </c>
      <c r="AE235">
        <v>307.77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t="s">
        <v>3</v>
      </c>
      <c r="AT235">
        <v>100</v>
      </c>
      <c r="AU235" t="s">
        <v>3</v>
      </c>
      <c r="AV235">
        <v>0</v>
      </c>
      <c r="AW235">
        <v>1</v>
      </c>
      <c r="AX235">
        <v>-1</v>
      </c>
      <c r="AY235">
        <v>0</v>
      </c>
      <c r="AZ235">
        <v>0</v>
      </c>
      <c r="BA235" t="s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ROUND(Y235*Source!I165,9)</f>
        <v>347</v>
      </c>
      <c r="CY235">
        <f>AA235</f>
        <v>307.77</v>
      </c>
      <c r="CZ235">
        <f>AE235</f>
        <v>307.77</v>
      </c>
      <c r="DA235">
        <f>AI235</f>
        <v>1</v>
      </c>
      <c r="DB235">
        <f>ROUND(ROUND(AT235*CZ235,2),6)</f>
        <v>30777</v>
      </c>
      <c r="DC235">
        <f>ROUND(ROUND(AT235*AG235,2),6)</f>
        <v>0</v>
      </c>
      <c r="DD235" t="s">
        <v>3</v>
      </c>
      <c r="DE235" t="s">
        <v>3</v>
      </c>
      <c r="DF235">
        <f t="shared" si="40"/>
        <v>106796.19</v>
      </c>
      <c r="DG235">
        <f t="shared" si="38"/>
        <v>0</v>
      </c>
      <c r="DH235">
        <f t="shared" si="39"/>
        <v>0</v>
      </c>
      <c r="DI235">
        <f t="shared" si="34"/>
        <v>0</v>
      </c>
      <c r="DJ235">
        <f>DF235</f>
        <v>106796.19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ROW(Source!A166)</f>
        <v>166</v>
      </c>
      <c r="B236">
        <v>60255011</v>
      </c>
      <c r="C236">
        <v>60255378</v>
      </c>
      <c r="D236">
        <v>58999254</v>
      </c>
      <c r="E236">
        <v>1080</v>
      </c>
      <c r="F236">
        <v>1</v>
      </c>
      <c r="G236">
        <v>1080</v>
      </c>
      <c r="H236">
        <v>1</v>
      </c>
      <c r="I236" t="s">
        <v>482</v>
      </c>
      <c r="J236" t="s">
        <v>3</v>
      </c>
      <c r="K236" t="s">
        <v>483</v>
      </c>
      <c r="L236">
        <v>1191</v>
      </c>
      <c r="N236">
        <v>1013</v>
      </c>
      <c r="O236" t="s">
        <v>484</v>
      </c>
      <c r="P236" t="s">
        <v>484</v>
      </c>
      <c r="Q236">
        <v>1</v>
      </c>
      <c r="W236">
        <v>0</v>
      </c>
      <c r="X236">
        <v>476480486</v>
      </c>
      <c r="Y236">
        <f>((AT236*1.15)*1.1)</f>
        <v>109.46044999999999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5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86.53</v>
      </c>
      <c r="AU236" t="s">
        <v>99</v>
      </c>
      <c r="AV236">
        <v>1</v>
      </c>
      <c r="AW236">
        <v>2</v>
      </c>
      <c r="AX236">
        <v>60255871</v>
      </c>
      <c r="AY236">
        <v>1</v>
      </c>
      <c r="AZ236">
        <v>0</v>
      </c>
      <c r="BA236">
        <v>260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U236">
        <f>ROUND(AT236*Source!I166*AH236*AL236,2)</f>
        <v>0</v>
      </c>
      <c r="CV236">
        <f>ROUND(Y236*Source!I166,9)</f>
        <v>379.82776150000001</v>
      </c>
      <c r="CW236">
        <v>0</v>
      </c>
      <c r="CX236">
        <f>ROUND(Y236*Source!I166,9)</f>
        <v>379.82776150000001</v>
      </c>
      <c r="CY236">
        <f>AD236</f>
        <v>0</v>
      </c>
      <c r="CZ236">
        <f>AH236</f>
        <v>0</v>
      </c>
      <c r="DA236">
        <f>AL236</f>
        <v>1</v>
      </c>
      <c r="DB236">
        <f>ROUND(((ROUND(AT236*CZ236,2)*1.15)*1.1),6)</f>
        <v>0</v>
      </c>
      <c r="DC236">
        <f>ROUND(((ROUND(AT236*AG236,2)*1.15)*1.1),6)</f>
        <v>0</v>
      </c>
      <c r="DD236" t="s">
        <v>3</v>
      </c>
      <c r="DE236" t="s">
        <v>3</v>
      </c>
      <c r="DF236">
        <f t="shared" si="40"/>
        <v>0</v>
      </c>
      <c r="DG236">
        <f t="shared" si="38"/>
        <v>0</v>
      </c>
      <c r="DH236">
        <f t="shared" si="39"/>
        <v>0</v>
      </c>
      <c r="DI236">
        <f t="shared" si="34"/>
        <v>0</v>
      </c>
      <c r="DJ236">
        <f>DI236</f>
        <v>0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ROW(Source!A166)</f>
        <v>166</v>
      </c>
      <c r="B237">
        <v>60255011</v>
      </c>
      <c r="C237">
        <v>60255378</v>
      </c>
      <c r="D237">
        <v>59070669</v>
      </c>
      <c r="E237">
        <v>1</v>
      </c>
      <c r="F237">
        <v>1</v>
      </c>
      <c r="G237">
        <v>1080</v>
      </c>
      <c r="H237">
        <v>2</v>
      </c>
      <c r="I237" t="s">
        <v>485</v>
      </c>
      <c r="J237" t="s">
        <v>486</v>
      </c>
      <c r="K237" t="s">
        <v>487</v>
      </c>
      <c r="L237">
        <v>1368</v>
      </c>
      <c r="N237">
        <v>1011</v>
      </c>
      <c r="O237" t="s">
        <v>488</v>
      </c>
      <c r="P237" t="s">
        <v>488</v>
      </c>
      <c r="Q237">
        <v>1</v>
      </c>
      <c r="W237">
        <v>0</v>
      </c>
      <c r="X237">
        <v>-1985943078</v>
      </c>
      <c r="Y237">
        <f>((AT237*1.25)*1.1)</f>
        <v>1.3750000000000002E-2</v>
      </c>
      <c r="AA237">
        <v>0</v>
      </c>
      <c r="AB237">
        <v>1445.28</v>
      </c>
      <c r="AC237">
        <v>740.47</v>
      </c>
      <c r="AD237">
        <v>0</v>
      </c>
      <c r="AE237">
        <v>0</v>
      </c>
      <c r="AF237">
        <v>83.1</v>
      </c>
      <c r="AG237">
        <v>12.62</v>
      </c>
      <c r="AH237">
        <v>0</v>
      </c>
      <c r="AI237">
        <v>1</v>
      </c>
      <c r="AJ237">
        <v>16.3</v>
      </c>
      <c r="AK237">
        <v>54.99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0.01</v>
      </c>
      <c r="AU237" t="s">
        <v>496</v>
      </c>
      <c r="AV237">
        <v>0</v>
      </c>
      <c r="AW237">
        <v>2</v>
      </c>
      <c r="AX237">
        <v>60255872</v>
      </c>
      <c r="AY237">
        <v>1</v>
      </c>
      <c r="AZ237">
        <v>0</v>
      </c>
      <c r="BA237">
        <v>261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ROUND(Y237*Source!I166*DO237,9)</f>
        <v>0.60213174999999997</v>
      </c>
      <c r="CX237">
        <f>ROUND(Y237*Source!I166,9)</f>
        <v>4.7712499999999998E-2</v>
      </c>
      <c r="CY237">
        <f>AB237</f>
        <v>1445.28</v>
      </c>
      <c r="CZ237">
        <f>AF237</f>
        <v>83.1</v>
      </c>
      <c r="DA237">
        <f>AJ237</f>
        <v>16.3</v>
      </c>
      <c r="DB237">
        <f>ROUND(((ROUND(AT237*CZ237,2)*1.25)*1.1),6)</f>
        <v>1.1412500000000001</v>
      </c>
      <c r="DC237">
        <f>ROUND(((ROUND(AT237*AG237,2)*1.25)*1.1),6)</f>
        <v>0.17874999999999999</v>
      </c>
      <c r="DD237" t="s">
        <v>3</v>
      </c>
      <c r="DE237" t="s">
        <v>3</v>
      </c>
      <c r="DF237">
        <f t="shared" si="40"/>
        <v>0</v>
      </c>
      <c r="DG237">
        <f>ROUND(ROUND(AF237*AJ237,2)*CX237,2)</f>
        <v>64.63</v>
      </c>
      <c r="DH237">
        <f>ROUND(ROUND(AG237*AK237,2)*CX237,2)</f>
        <v>33.11</v>
      </c>
      <c r="DI237">
        <f t="shared" si="34"/>
        <v>0</v>
      </c>
      <c r="DJ237">
        <f>DG237</f>
        <v>64.63</v>
      </c>
      <c r="DK237">
        <v>0</v>
      </c>
      <c r="DL237" t="s">
        <v>489</v>
      </c>
      <c r="DM237">
        <v>0</v>
      </c>
      <c r="DN237" t="s">
        <v>484</v>
      </c>
      <c r="DO237">
        <v>12.62</v>
      </c>
    </row>
    <row r="238" spans="1:119" x14ac:dyDescent="0.2">
      <c r="A238">
        <f>ROW(Source!A166)</f>
        <v>166</v>
      </c>
      <c r="B238">
        <v>60255011</v>
      </c>
      <c r="C238">
        <v>60255378</v>
      </c>
      <c r="D238">
        <v>59070798</v>
      </c>
      <c r="E238">
        <v>1</v>
      </c>
      <c r="F238">
        <v>1</v>
      </c>
      <c r="G238">
        <v>1080</v>
      </c>
      <c r="H238">
        <v>2</v>
      </c>
      <c r="I238" t="s">
        <v>522</v>
      </c>
      <c r="J238" t="s">
        <v>523</v>
      </c>
      <c r="K238" t="s">
        <v>524</v>
      </c>
      <c r="L238">
        <v>1368</v>
      </c>
      <c r="N238">
        <v>1011</v>
      </c>
      <c r="O238" t="s">
        <v>488</v>
      </c>
      <c r="P238" t="s">
        <v>488</v>
      </c>
      <c r="Q238">
        <v>1</v>
      </c>
      <c r="W238">
        <v>0</v>
      </c>
      <c r="X238">
        <v>-1338298661</v>
      </c>
      <c r="Y238">
        <f>((AT238*1.25)*1.1)</f>
        <v>13.750000000000002</v>
      </c>
      <c r="AA238">
        <v>0</v>
      </c>
      <c r="AB238">
        <v>4.4800000000000004</v>
      </c>
      <c r="AC238">
        <v>0</v>
      </c>
      <c r="AD238">
        <v>0</v>
      </c>
      <c r="AE238">
        <v>0</v>
      </c>
      <c r="AF238">
        <v>0.45</v>
      </c>
      <c r="AG238">
        <v>0</v>
      </c>
      <c r="AH238">
        <v>0</v>
      </c>
      <c r="AI238">
        <v>1</v>
      </c>
      <c r="AJ238">
        <v>9.33</v>
      </c>
      <c r="AK238">
        <v>54.99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10</v>
      </c>
      <c r="AU238" t="s">
        <v>496</v>
      </c>
      <c r="AV238">
        <v>0</v>
      </c>
      <c r="AW238">
        <v>2</v>
      </c>
      <c r="AX238">
        <v>60255874</v>
      </c>
      <c r="AY238">
        <v>1</v>
      </c>
      <c r="AZ238">
        <v>0</v>
      </c>
      <c r="BA238">
        <v>262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ROUND(Y238*Source!I166*DO238,9)</f>
        <v>0</v>
      </c>
      <c r="CX238">
        <f>ROUND(Y238*Source!I166,9)</f>
        <v>47.712499999999999</v>
      </c>
      <c r="CY238">
        <f>AB238</f>
        <v>4.4800000000000004</v>
      </c>
      <c r="CZ238">
        <f>AF238</f>
        <v>0.45</v>
      </c>
      <c r="DA238">
        <f>AJ238</f>
        <v>9.33</v>
      </c>
      <c r="DB238">
        <f>ROUND(((ROUND(AT238*CZ238,2)*1.25)*1.1),6)</f>
        <v>6.1875</v>
      </c>
      <c r="DC238">
        <f>ROUND(((ROUND(AT238*AG238,2)*1.25)*1.1),6)</f>
        <v>0</v>
      </c>
      <c r="DD238" t="s">
        <v>3</v>
      </c>
      <c r="DE238" t="s">
        <v>3</v>
      </c>
      <c r="DF238">
        <f t="shared" si="40"/>
        <v>0</v>
      </c>
      <c r="DG238">
        <f>ROUND(ROUND(AF238*AJ238,2)*CX238,2)</f>
        <v>200.39</v>
      </c>
      <c r="DH238">
        <f>ROUND(ROUND(AG238*AK238,2)*CX238,2)</f>
        <v>0</v>
      </c>
      <c r="DI238">
        <f t="shared" si="34"/>
        <v>0</v>
      </c>
      <c r="DJ238">
        <f>DG238</f>
        <v>200.39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ROW(Source!A166)</f>
        <v>166</v>
      </c>
      <c r="B239">
        <v>60255011</v>
      </c>
      <c r="C239">
        <v>60255378</v>
      </c>
      <c r="D239">
        <v>59069905</v>
      </c>
      <c r="E239">
        <v>1</v>
      </c>
      <c r="F239">
        <v>1</v>
      </c>
      <c r="G239">
        <v>1080</v>
      </c>
      <c r="H239">
        <v>2</v>
      </c>
      <c r="I239" t="s">
        <v>503</v>
      </c>
      <c r="J239" t="s">
        <v>504</v>
      </c>
      <c r="K239" t="s">
        <v>505</v>
      </c>
      <c r="L239">
        <v>1368</v>
      </c>
      <c r="N239">
        <v>1011</v>
      </c>
      <c r="O239" t="s">
        <v>488</v>
      </c>
      <c r="P239" t="s">
        <v>488</v>
      </c>
      <c r="Q239">
        <v>1</v>
      </c>
      <c r="W239">
        <v>0</v>
      </c>
      <c r="X239">
        <v>1087580389</v>
      </c>
      <c r="Y239">
        <f>((AT239*1.25)*1.1)</f>
        <v>1.3750000000000002E-2</v>
      </c>
      <c r="AA239">
        <v>0</v>
      </c>
      <c r="AB239">
        <v>2628.65</v>
      </c>
      <c r="AC239">
        <v>993.36</v>
      </c>
      <c r="AD239">
        <v>0</v>
      </c>
      <c r="AE239">
        <v>0</v>
      </c>
      <c r="AF239">
        <v>179.17</v>
      </c>
      <c r="AG239">
        <v>16.93</v>
      </c>
      <c r="AH239">
        <v>0</v>
      </c>
      <c r="AI239">
        <v>1</v>
      </c>
      <c r="AJ239">
        <v>13.75</v>
      </c>
      <c r="AK239">
        <v>54.99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0.01</v>
      </c>
      <c r="AU239" t="s">
        <v>496</v>
      </c>
      <c r="AV239">
        <v>0</v>
      </c>
      <c r="AW239">
        <v>2</v>
      </c>
      <c r="AX239">
        <v>60255873</v>
      </c>
      <c r="AY239">
        <v>1</v>
      </c>
      <c r="AZ239">
        <v>0</v>
      </c>
      <c r="BA239">
        <v>263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ROUND(Y239*Source!I166*DO239,9)</f>
        <v>0.80777262500000002</v>
      </c>
      <c r="CX239">
        <f>ROUND(Y239*Source!I166,9)</f>
        <v>4.7712499999999998E-2</v>
      </c>
      <c r="CY239">
        <f>AB239</f>
        <v>2628.65</v>
      </c>
      <c r="CZ239">
        <f>AF239</f>
        <v>179.17</v>
      </c>
      <c r="DA239">
        <f>AJ239</f>
        <v>13.75</v>
      </c>
      <c r="DB239">
        <f>ROUND(((ROUND(AT239*CZ239,2)*1.25)*1.1),6)</f>
        <v>2.4612500000000002</v>
      </c>
      <c r="DC239">
        <f>ROUND(((ROUND(AT239*AG239,2)*1.25)*1.1),6)</f>
        <v>0.23375000000000001</v>
      </c>
      <c r="DD239" t="s">
        <v>3</v>
      </c>
      <c r="DE239" t="s">
        <v>3</v>
      </c>
      <c r="DF239">
        <f t="shared" si="40"/>
        <v>0</v>
      </c>
      <c r="DG239">
        <f>ROUND(ROUND(AF239*AJ239,2)*CX239,2)</f>
        <v>117.54</v>
      </c>
      <c r="DH239">
        <f>ROUND(ROUND(AG239*AK239,2)*CX239,2)</f>
        <v>44.42</v>
      </c>
      <c r="DI239">
        <f t="shared" si="34"/>
        <v>0</v>
      </c>
      <c r="DJ239">
        <f>DG239</f>
        <v>117.54</v>
      </c>
      <c r="DK239">
        <v>0</v>
      </c>
      <c r="DL239" t="s">
        <v>489</v>
      </c>
      <c r="DM239">
        <v>0</v>
      </c>
      <c r="DN239" t="s">
        <v>484</v>
      </c>
      <c r="DO239">
        <v>16.93</v>
      </c>
    </row>
    <row r="240" spans="1:119" x14ac:dyDescent="0.2">
      <c r="A240">
        <f>ROW(Source!A166)</f>
        <v>166</v>
      </c>
      <c r="B240">
        <v>60255011</v>
      </c>
      <c r="C240">
        <v>60255378</v>
      </c>
      <c r="D240">
        <v>59041375</v>
      </c>
      <c r="E240">
        <v>1</v>
      </c>
      <c r="F240">
        <v>1</v>
      </c>
      <c r="G240">
        <v>1080</v>
      </c>
      <c r="H240">
        <v>3</v>
      </c>
      <c r="I240" t="s">
        <v>525</v>
      </c>
      <c r="J240" t="s">
        <v>526</v>
      </c>
      <c r="K240" t="s">
        <v>527</v>
      </c>
      <c r="L240">
        <v>1346</v>
      </c>
      <c r="N240">
        <v>1009</v>
      </c>
      <c r="O240" t="s">
        <v>528</v>
      </c>
      <c r="P240" t="s">
        <v>528</v>
      </c>
      <c r="Q240">
        <v>1</v>
      </c>
      <c r="W240">
        <v>0</v>
      </c>
      <c r="X240">
        <v>-323488432</v>
      </c>
      <c r="Y240">
        <f>AT240</f>
        <v>0.3</v>
      </c>
      <c r="AA240">
        <v>1020.2</v>
      </c>
      <c r="AB240">
        <v>0</v>
      </c>
      <c r="AC240">
        <v>0</v>
      </c>
      <c r="AD240">
        <v>0</v>
      </c>
      <c r="AE240">
        <v>520.51</v>
      </c>
      <c r="AF240">
        <v>0</v>
      </c>
      <c r="AG240">
        <v>0</v>
      </c>
      <c r="AH240">
        <v>0</v>
      </c>
      <c r="AI240">
        <v>1.96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0.3</v>
      </c>
      <c r="AU240" t="s">
        <v>3</v>
      </c>
      <c r="AV240">
        <v>0</v>
      </c>
      <c r="AW240">
        <v>2</v>
      </c>
      <c r="AX240">
        <v>60255875</v>
      </c>
      <c r="AY240">
        <v>1</v>
      </c>
      <c r="AZ240">
        <v>0</v>
      </c>
      <c r="BA240">
        <v>264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ROUND(Y240*Source!I166,9)</f>
        <v>1.0409999999999999</v>
      </c>
      <c r="CY240">
        <f>AA240</f>
        <v>1020.2</v>
      </c>
      <c r="CZ240">
        <f>AE240</f>
        <v>520.51</v>
      </c>
      <c r="DA240">
        <f>AI240</f>
        <v>1.96</v>
      </c>
      <c r="DB240">
        <f>ROUND(ROUND(AT240*CZ240,2),6)</f>
        <v>156.15</v>
      </c>
      <c r="DC240">
        <f>ROUND(ROUND(AT240*AG240,2),6)</f>
        <v>0</v>
      </c>
      <c r="DD240" t="s">
        <v>3</v>
      </c>
      <c r="DE240" t="s">
        <v>3</v>
      </c>
      <c r="DF240">
        <f>ROUND(ROUND(AE240*AI240,2)*CX240,2)</f>
        <v>1062.03</v>
      </c>
      <c r="DG240">
        <f t="shared" ref="DG240:DG287" si="41">ROUND(ROUND(AF240,2)*CX240,2)</f>
        <v>0</v>
      </c>
      <c r="DH240">
        <f t="shared" ref="DH240:DH287" si="42">ROUND(ROUND(AG240,2)*CX240,2)</f>
        <v>0</v>
      </c>
      <c r="DI240">
        <f t="shared" si="34"/>
        <v>0</v>
      </c>
      <c r="DJ240">
        <f>DF240</f>
        <v>1062.03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ROW(Source!A166)</f>
        <v>166</v>
      </c>
      <c r="B241">
        <v>60255011</v>
      </c>
      <c r="C241">
        <v>60255378</v>
      </c>
      <c r="D241">
        <v>59057450</v>
      </c>
      <c r="E241">
        <v>1</v>
      </c>
      <c r="F241">
        <v>1</v>
      </c>
      <c r="G241">
        <v>1080</v>
      </c>
      <c r="H241">
        <v>3</v>
      </c>
      <c r="I241" t="s">
        <v>276</v>
      </c>
      <c r="J241" t="s">
        <v>278</v>
      </c>
      <c r="K241" t="s">
        <v>277</v>
      </c>
      <c r="L241">
        <v>1354</v>
      </c>
      <c r="N241">
        <v>1010</v>
      </c>
      <c r="O241" t="s">
        <v>31</v>
      </c>
      <c r="P241" t="s">
        <v>31</v>
      </c>
      <c r="Q241">
        <v>1</v>
      </c>
      <c r="W241">
        <v>0</v>
      </c>
      <c r="X241">
        <v>809643446</v>
      </c>
      <c r="Y241">
        <f>AT241</f>
        <v>100</v>
      </c>
      <c r="AA241">
        <v>1171.3499999999999</v>
      </c>
      <c r="AB241">
        <v>0</v>
      </c>
      <c r="AC241">
        <v>0</v>
      </c>
      <c r="AD241">
        <v>0</v>
      </c>
      <c r="AE241">
        <v>183.31</v>
      </c>
      <c r="AF241">
        <v>0</v>
      </c>
      <c r="AG241">
        <v>0</v>
      </c>
      <c r="AH241">
        <v>0</v>
      </c>
      <c r="AI241">
        <v>6.39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 t="s">
        <v>3</v>
      </c>
      <c r="AT241">
        <v>100</v>
      </c>
      <c r="AU241" t="s">
        <v>3</v>
      </c>
      <c r="AV241">
        <v>0</v>
      </c>
      <c r="AW241">
        <v>1</v>
      </c>
      <c r="AX241">
        <v>-1</v>
      </c>
      <c r="AY241">
        <v>0</v>
      </c>
      <c r="AZ241">
        <v>0</v>
      </c>
      <c r="BA241" t="s">
        <v>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ROUND(Y241*Source!I166,9)</f>
        <v>347</v>
      </c>
      <c r="CY241">
        <f>AA241</f>
        <v>1171.3499999999999</v>
      </c>
      <c r="CZ241">
        <f>AE241</f>
        <v>183.31</v>
      </c>
      <c r="DA241">
        <f>AI241</f>
        <v>6.39</v>
      </c>
      <c r="DB241">
        <f>ROUND(ROUND(AT241*CZ241,2),6)</f>
        <v>18331</v>
      </c>
      <c r="DC241">
        <f>ROUND(ROUND(AT241*AG241,2),6)</f>
        <v>0</v>
      </c>
      <c r="DD241" t="s">
        <v>3</v>
      </c>
      <c r="DE241" t="s">
        <v>3</v>
      </c>
      <c r="DF241">
        <f>ROUND(ROUND(AE241*AI241,2)*CX241,2)</f>
        <v>406458.45</v>
      </c>
      <c r="DG241">
        <f t="shared" si="41"/>
        <v>0</v>
      </c>
      <c r="DH241">
        <f t="shared" si="42"/>
        <v>0</v>
      </c>
      <c r="DI241">
        <f t="shared" si="34"/>
        <v>0</v>
      </c>
      <c r="DJ241">
        <f>DF241</f>
        <v>406458.45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ROW(Source!A166)</f>
        <v>166</v>
      </c>
      <c r="B242">
        <v>60255011</v>
      </c>
      <c r="C242">
        <v>60255378</v>
      </c>
      <c r="D242">
        <v>59057805</v>
      </c>
      <c r="E242">
        <v>1</v>
      </c>
      <c r="F242">
        <v>1</v>
      </c>
      <c r="G242">
        <v>1080</v>
      </c>
      <c r="H242">
        <v>3</v>
      </c>
      <c r="I242" t="s">
        <v>280</v>
      </c>
      <c r="J242" t="s">
        <v>282</v>
      </c>
      <c r="K242" t="s">
        <v>281</v>
      </c>
      <c r="L242">
        <v>1354</v>
      </c>
      <c r="N242">
        <v>1010</v>
      </c>
      <c r="O242" t="s">
        <v>31</v>
      </c>
      <c r="P242" t="s">
        <v>31</v>
      </c>
      <c r="Q242">
        <v>1</v>
      </c>
      <c r="W242">
        <v>0</v>
      </c>
      <c r="X242">
        <v>1228790676</v>
      </c>
      <c r="Y242">
        <f>AT242</f>
        <v>100</v>
      </c>
      <c r="AA242">
        <v>2265.19</v>
      </c>
      <c r="AB242">
        <v>0</v>
      </c>
      <c r="AC242">
        <v>0</v>
      </c>
      <c r="AD242">
        <v>0</v>
      </c>
      <c r="AE242">
        <v>307.77</v>
      </c>
      <c r="AF242">
        <v>0</v>
      </c>
      <c r="AG242">
        <v>0</v>
      </c>
      <c r="AH242">
        <v>0</v>
      </c>
      <c r="AI242">
        <v>7.36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3</v>
      </c>
      <c r="AT242">
        <v>100</v>
      </c>
      <c r="AU242" t="s">
        <v>3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ROUND(Y242*Source!I166,9)</f>
        <v>347</v>
      </c>
      <c r="CY242">
        <f>AA242</f>
        <v>2265.19</v>
      </c>
      <c r="CZ242">
        <f>AE242</f>
        <v>307.77</v>
      </c>
      <c r="DA242">
        <f>AI242</f>
        <v>7.36</v>
      </c>
      <c r="DB242">
        <f>ROUND(ROUND(AT242*CZ242,2),6)</f>
        <v>30777</v>
      </c>
      <c r="DC242">
        <f>ROUND(ROUND(AT242*AG242,2),6)</f>
        <v>0</v>
      </c>
      <c r="DD242" t="s">
        <v>3</v>
      </c>
      <c r="DE242" t="s">
        <v>3</v>
      </c>
      <c r="DF242">
        <f>ROUND(ROUND(AE242*AI242,2)*CX242,2)</f>
        <v>786020.93</v>
      </c>
      <c r="DG242">
        <f t="shared" si="41"/>
        <v>0</v>
      </c>
      <c r="DH242">
        <f t="shared" si="42"/>
        <v>0</v>
      </c>
      <c r="DI242">
        <f t="shared" si="34"/>
        <v>0</v>
      </c>
      <c r="DJ242">
        <f>DF242</f>
        <v>786020.93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ROW(Source!A171)</f>
        <v>171</v>
      </c>
      <c r="B243">
        <v>60255014</v>
      </c>
      <c r="C243">
        <v>60255395</v>
      </c>
      <c r="D243">
        <v>58999254</v>
      </c>
      <c r="E243">
        <v>1080</v>
      </c>
      <c r="F243">
        <v>1</v>
      </c>
      <c r="G243">
        <v>1080</v>
      </c>
      <c r="H243">
        <v>1</v>
      </c>
      <c r="I243" t="s">
        <v>482</v>
      </c>
      <c r="J243" t="s">
        <v>3</v>
      </c>
      <c r="K243" t="s">
        <v>483</v>
      </c>
      <c r="L243">
        <v>1191</v>
      </c>
      <c r="N243">
        <v>1013</v>
      </c>
      <c r="O243" t="s">
        <v>484</v>
      </c>
      <c r="P243" t="s">
        <v>484</v>
      </c>
      <c r="Q243">
        <v>1</v>
      </c>
      <c r="W243">
        <v>0</v>
      </c>
      <c r="X243">
        <v>476480486</v>
      </c>
      <c r="Y243">
        <f>((AT243*1.15)*1.1)</f>
        <v>0.3795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0.3</v>
      </c>
      <c r="AU243" t="s">
        <v>99</v>
      </c>
      <c r="AV243">
        <v>1</v>
      </c>
      <c r="AW243">
        <v>2</v>
      </c>
      <c r="AX243">
        <v>60255878</v>
      </c>
      <c r="AY243">
        <v>1</v>
      </c>
      <c r="AZ243">
        <v>0</v>
      </c>
      <c r="BA243">
        <v>267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U243">
        <f>ROUND(AT243*Source!I171*AH243*AL243,2)</f>
        <v>0</v>
      </c>
      <c r="CV243">
        <f>ROUND(Y243*Source!I171,9)</f>
        <v>131.6865</v>
      </c>
      <c r="CW243">
        <v>0</v>
      </c>
      <c r="CX243">
        <f>ROUND(Y243*Source!I171,9)</f>
        <v>131.6865</v>
      </c>
      <c r="CY243">
        <f>AD243</f>
        <v>0</v>
      </c>
      <c r="CZ243">
        <f>AH243</f>
        <v>0</v>
      </c>
      <c r="DA243">
        <f>AL243</f>
        <v>1</v>
      </c>
      <c r="DB243">
        <f>ROUND(((ROUND(AT243*CZ243,2)*1.15)*1.1),6)</f>
        <v>0</v>
      </c>
      <c r="DC243">
        <f>ROUND(((ROUND(AT243*AG243,2)*1.15)*1.1),6)</f>
        <v>0</v>
      </c>
      <c r="DD243" t="s">
        <v>3</v>
      </c>
      <c r="DE243" t="s">
        <v>3</v>
      </c>
      <c r="DF243">
        <f>ROUND(ROUND(AE243,2)*CX243,2)</f>
        <v>0</v>
      </c>
      <c r="DG243">
        <f t="shared" si="41"/>
        <v>0</v>
      </c>
      <c r="DH243">
        <f t="shared" si="42"/>
        <v>0</v>
      </c>
      <c r="DI243">
        <f t="shared" si="34"/>
        <v>0</v>
      </c>
      <c r="DJ243">
        <f>DI243</f>
        <v>0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ROW(Source!A171)</f>
        <v>171</v>
      </c>
      <c r="B244">
        <v>60255014</v>
      </c>
      <c r="C244">
        <v>60255395</v>
      </c>
      <c r="D244">
        <v>59057361</v>
      </c>
      <c r="E244">
        <v>1</v>
      </c>
      <c r="F244">
        <v>1</v>
      </c>
      <c r="G244">
        <v>1080</v>
      </c>
      <c r="H244">
        <v>3</v>
      </c>
      <c r="I244" t="s">
        <v>290</v>
      </c>
      <c r="J244" t="s">
        <v>292</v>
      </c>
      <c r="K244" t="s">
        <v>291</v>
      </c>
      <c r="L244">
        <v>1354</v>
      </c>
      <c r="N244">
        <v>1010</v>
      </c>
      <c r="O244" t="s">
        <v>31</v>
      </c>
      <c r="P244" t="s">
        <v>31</v>
      </c>
      <c r="Q244">
        <v>1</v>
      </c>
      <c r="W244">
        <v>0</v>
      </c>
      <c r="X244">
        <v>1114305854</v>
      </c>
      <c r="Y244">
        <f>AT244</f>
        <v>1</v>
      </c>
      <c r="AA244">
        <v>54.24</v>
      </c>
      <c r="AB244">
        <v>0</v>
      </c>
      <c r="AC244">
        <v>0</v>
      </c>
      <c r="AD244">
        <v>0</v>
      </c>
      <c r="AE244">
        <v>54.24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1</v>
      </c>
      <c r="AU244" t="s">
        <v>3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ROUND(Y244*Source!I171,9)</f>
        <v>347</v>
      </c>
      <c r="CY244">
        <f>AA244</f>
        <v>54.24</v>
      </c>
      <c r="CZ244">
        <f>AE244</f>
        <v>54.24</v>
      </c>
      <c r="DA244">
        <f>AI244</f>
        <v>1</v>
      </c>
      <c r="DB244">
        <f>ROUND(ROUND(AT244*CZ244,2),6)</f>
        <v>54.24</v>
      </c>
      <c r="DC244">
        <f>ROUND(ROUND(AT244*AG244,2),6)</f>
        <v>0</v>
      </c>
      <c r="DD244" t="s">
        <v>3</v>
      </c>
      <c r="DE244" t="s">
        <v>3</v>
      </c>
      <c r="DF244">
        <f>ROUND(ROUND(AE244,2)*CX244,2)</f>
        <v>18821.28</v>
      </c>
      <c r="DG244">
        <f t="shared" si="41"/>
        <v>0</v>
      </c>
      <c r="DH244">
        <f t="shared" si="42"/>
        <v>0</v>
      </c>
      <c r="DI244">
        <f t="shared" si="34"/>
        <v>0</v>
      </c>
      <c r="DJ244">
        <f>DF244</f>
        <v>18821.28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ROW(Source!A171)</f>
        <v>171</v>
      </c>
      <c r="B245">
        <v>60255014</v>
      </c>
      <c r="C245">
        <v>60255395</v>
      </c>
      <c r="D245">
        <v>59060498</v>
      </c>
      <c r="E245">
        <v>1</v>
      </c>
      <c r="F245">
        <v>1</v>
      </c>
      <c r="G245">
        <v>1080</v>
      </c>
      <c r="H245">
        <v>3</v>
      </c>
      <c r="I245" t="s">
        <v>529</v>
      </c>
      <c r="J245" t="s">
        <v>530</v>
      </c>
      <c r="K245" t="s">
        <v>531</v>
      </c>
      <c r="L245">
        <v>1346</v>
      </c>
      <c r="N245">
        <v>1009</v>
      </c>
      <c r="O245" t="s">
        <v>528</v>
      </c>
      <c r="P245" t="s">
        <v>528</v>
      </c>
      <c r="Q245">
        <v>1</v>
      </c>
      <c r="W245">
        <v>0</v>
      </c>
      <c r="X245">
        <v>883542614</v>
      </c>
      <c r="Y245">
        <f>AT245</f>
        <v>4.2000000000000003E-2</v>
      </c>
      <c r="AA245">
        <v>19.28</v>
      </c>
      <c r="AB245">
        <v>0</v>
      </c>
      <c r="AC245">
        <v>0</v>
      </c>
      <c r="AD245">
        <v>0</v>
      </c>
      <c r="AE245">
        <v>19.28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4.2000000000000003E-2</v>
      </c>
      <c r="AU245" t="s">
        <v>3</v>
      </c>
      <c r="AV245">
        <v>0</v>
      </c>
      <c r="AW245">
        <v>2</v>
      </c>
      <c r="AX245">
        <v>60255879</v>
      </c>
      <c r="AY245">
        <v>1</v>
      </c>
      <c r="AZ245">
        <v>0</v>
      </c>
      <c r="BA245">
        <v>268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ROUND(Y245*Source!I171,9)</f>
        <v>14.574</v>
      </c>
      <c r="CY245">
        <f>AA245</f>
        <v>19.28</v>
      </c>
      <c r="CZ245">
        <f>AE245</f>
        <v>19.28</v>
      </c>
      <c r="DA245">
        <f>AI245</f>
        <v>1</v>
      </c>
      <c r="DB245">
        <f>ROUND(ROUND(AT245*CZ245,2),6)</f>
        <v>0.81</v>
      </c>
      <c r="DC245">
        <f>ROUND(ROUND(AT245*AG245,2),6)</f>
        <v>0</v>
      </c>
      <c r="DD245" t="s">
        <v>3</v>
      </c>
      <c r="DE245" t="s">
        <v>3</v>
      </c>
      <c r="DF245">
        <f>ROUND(ROUND(AE245,2)*CX245,2)</f>
        <v>280.99</v>
      </c>
      <c r="DG245">
        <f t="shared" si="41"/>
        <v>0</v>
      </c>
      <c r="DH245">
        <f t="shared" si="42"/>
        <v>0</v>
      </c>
      <c r="DI245">
        <f t="shared" si="34"/>
        <v>0</v>
      </c>
      <c r="DJ245">
        <f>DF245</f>
        <v>280.99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ROW(Source!A171)</f>
        <v>171</v>
      </c>
      <c r="B246">
        <v>60255014</v>
      </c>
      <c r="C246">
        <v>60255395</v>
      </c>
      <c r="D246">
        <v>59004256</v>
      </c>
      <c r="E246">
        <v>1080</v>
      </c>
      <c r="F246">
        <v>1</v>
      </c>
      <c r="G246">
        <v>1080</v>
      </c>
      <c r="H246">
        <v>3</v>
      </c>
      <c r="I246" t="s">
        <v>532</v>
      </c>
      <c r="J246" t="s">
        <v>3</v>
      </c>
      <c r="K246" t="s">
        <v>533</v>
      </c>
      <c r="L246">
        <v>1348</v>
      </c>
      <c r="N246">
        <v>1009</v>
      </c>
      <c r="O246" t="s">
        <v>534</v>
      </c>
      <c r="P246" t="s">
        <v>534</v>
      </c>
      <c r="Q246">
        <v>1000</v>
      </c>
      <c r="W246">
        <v>0</v>
      </c>
      <c r="X246">
        <v>-783086922</v>
      </c>
      <c r="Y246">
        <f>AT246</f>
        <v>1.5E-3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1.5E-3</v>
      </c>
      <c r="AU246" t="s">
        <v>3</v>
      </c>
      <c r="AV246">
        <v>0</v>
      </c>
      <c r="AW246">
        <v>2</v>
      </c>
      <c r="AX246">
        <v>60255881</v>
      </c>
      <c r="AY246">
        <v>1</v>
      </c>
      <c r="AZ246">
        <v>0</v>
      </c>
      <c r="BA246">
        <v>270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ROUND(Y246*Source!I171,9)</f>
        <v>0.52049999999999996</v>
      </c>
      <c r="CY246">
        <f>AA246</f>
        <v>0</v>
      </c>
      <c r="CZ246">
        <f>AE246</f>
        <v>0</v>
      </c>
      <c r="DA246">
        <f>AI246</f>
        <v>1</v>
      </c>
      <c r="DB246">
        <f>ROUND(ROUND(AT246*CZ246,2),6)</f>
        <v>0</v>
      </c>
      <c r="DC246">
        <f>ROUND(ROUND(AT246*AG246,2),6)</f>
        <v>0</v>
      </c>
      <c r="DD246" t="s">
        <v>3</v>
      </c>
      <c r="DE246" t="s">
        <v>3</v>
      </c>
      <c r="DF246">
        <f>ROUND(ROUND(AE246,2)*CX246,2)</f>
        <v>0</v>
      </c>
      <c r="DG246">
        <f t="shared" si="41"/>
        <v>0</v>
      </c>
      <c r="DH246">
        <f t="shared" si="42"/>
        <v>0</v>
      </c>
      <c r="DI246">
        <f t="shared" si="34"/>
        <v>0</v>
      </c>
      <c r="DJ246">
        <f>DF246</f>
        <v>0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ROW(Source!A172)</f>
        <v>172</v>
      </c>
      <c r="B247">
        <v>60255011</v>
      </c>
      <c r="C247">
        <v>60255395</v>
      </c>
      <c r="D247">
        <v>58999254</v>
      </c>
      <c r="E247">
        <v>1080</v>
      </c>
      <c r="F247">
        <v>1</v>
      </c>
      <c r="G247">
        <v>1080</v>
      </c>
      <c r="H247">
        <v>1</v>
      </c>
      <c r="I247" t="s">
        <v>482</v>
      </c>
      <c r="J247" t="s">
        <v>3</v>
      </c>
      <c r="K247" t="s">
        <v>483</v>
      </c>
      <c r="L247">
        <v>1191</v>
      </c>
      <c r="N247">
        <v>1013</v>
      </c>
      <c r="O247" t="s">
        <v>484</v>
      </c>
      <c r="P247" t="s">
        <v>484</v>
      </c>
      <c r="Q247">
        <v>1</v>
      </c>
      <c r="W247">
        <v>0</v>
      </c>
      <c r="X247">
        <v>476480486</v>
      </c>
      <c r="Y247">
        <f>((AT247*1.15)*1.1)</f>
        <v>0.3795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0.3</v>
      </c>
      <c r="AU247" t="s">
        <v>99</v>
      </c>
      <c r="AV247">
        <v>1</v>
      </c>
      <c r="AW247">
        <v>2</v>
      </c>
      <c r="AX247">
        <v>60255878</v>
      </c>
      <c r="AY247">
        <v>1</v>
      </c>
      <c r="AZ247">
        <v>0</v>
      </c>
      <c r="BA247">
        <v>271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ROUND(AT247*Source!I172*AH247*AL247,2)</f>
        <v>0</v>
      </c>
      <c r="CV247">
        <f>ROUND(Y247*Source!I172,9)</f>
        <v>131.6865</v>
      </c>
      <c r="CW247">
        <v>0</v>
      </c>
      <c r="CX247">
        <f>ROUND(Y247*Source!I172,9)</f>
        <v>131.6865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ROUND(((ROUND(AT247*CZ247,2)*1.15)*1.1),6)</f>
        <v>0</v>
      </c>
      <c r="DC247">
        <f>ROUND(((ROUND(AT247*AG247,2)*1.15)*1.1),6)</f>
        <v>0</v>
      </c>
      <c r="DD247" t="s">
        <v>3</v>
      </c>
      <c r="DE247" t="s">
        <v>3</v>
      </c>
      <c r="DF247">
        <f>ROUND(ROUND(AE247,2)*CX247,2)</f>
        <v>0</v>
      </c>
      <c r="DG247">
        <f t="shared" si="41"/>
        <v>0</v>
      </c>
      <c r="DH247">
        <f t="shared" si="42"/>
        <v>0</v>
      </c>
      <c r="DI247">
        <f t="shared" si="34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ROW(Source!A172)</f>
        <v>172</v>
      </c>
      <c r="B248">
        <v>60255011</v>
      </c>
      <c r="C248">
        <v>60255395</v>
      </c>
      <c r="D248">
        <v>59057361</v>
      </c>
      <c r="E248">
        <v>1</v>
      </c>
      <c r="F248">
        <v>1</v>
      </c>
      <c r="G248">
        <v>1080</v>
      </c>
      <c r="H248">
        <v>3</v>
      </c>
      <c r="I248" t="s">
        <v>290</v>
      </c>
      <c r="J248" t="s">
        <v>292</v>
      </c>
      <c r="K248" t="s">
        <v>291</v>
      </c>
      <c r="L248">
        <v>1354</v>
      </c>
      <c r="N248">
        <v>1010</v>
      </c>
      <c r="O248" t="s">
        <v>31</v>
      </c>
      <c r="P248" t="s">
        <v>31</v>
      </c>
      <c r="Q248">
        <v>1</v>
      </c>
      <c r="W248">
        <v>0</v>
      </c>
      <c r="X248">
        <v>1114305854</v>
      </c>
      <c r="Y248">
        <f>AT248</f>
        <v>1</v>
      </c>
      <c r="AA248">
        <v>143.74</v>
      </c>
      <c r="AB248">
        <v>0</v>
      </c>
      <c r="AC248">
        <v>0</v>
      </c>
      <c r="AD248">
        <v>0</v>
      </c>
      <c r="AE248">
        <v>54.24</v>
      </c>
      <c r="AF248">
        <v>0</v>
      </c>
      <c r="AG248">
        <v>0</v>
      </c>
      <c r="AH248">
        <v>0</v>
      </c>
      <c r="AI248">
        <v>2.65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 t="s">
        <v>3</v>
      </c>
      <c r="AT248">
        <v>1</v>
      </c>
      <c r="AU248" t="s">
        <v>3</v>
      </c>
      <c r="AV248">
        <v>0</v>
      </c>
      <c r="AW248">
        <v>1</v>
      </c>
      <c r="AX248">
        <v>-1</v>
      </c>
      <c r="AY248">
        <v>0</v>
      </c>
      <c r="AZ248">
        <v>0</v>
      </c>
      <c r="BA248" t="s">
        <v>3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ROUND(Y248*Source!I172,9)</f>
        <v>347</v>
      </c>
      <c r="CY248">
        <f>AA248</f>
        <v>143.74</v>
      </c>
      <c r="CZ248">
        <f>AE248</f>
        <v>54.24</v>
      </c>
      <c r="DA248">
        <f>AI248</f>
        <v>2.65</v>
      </c>
      <c r="DB248">
        <f>ROUND(ROUND(AT248*CZ248,2),6)</f>
        <v>54.24</v>
      </c>
      <c r="DC248">
        <f>ROUND(ROUND(AT248*AG248,2),6)</f>
        <v>0</v>
      </c>
      <c r="DD248" t="s">
        <v>3</v>
      </c>
      <c r="DE248" t="s">
        <v>3</v>
      </c>
      <c r="DF248">
        <f>ROUND(ROUND(AE248*AI248,2)*CX248,2)</f>
        <v>49877.78</v>
      </c>
      <c r="DG248">
        <f t="shared" si="41"/>
        <v>0</v>
      </c>
      <c r="DH248">
        <f t="shared" si="42"/>
        <v>0</v>
      </c>
      <c r="DI248">
        <f t="shared" si="34"/>
        <v>0</v>
      </c>
      <c r="DJ248">
        <f>DF248</f>
        <v>49877.78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ROW(Source!A172)</f>
        <v>172</v>
      </c>
      <c r="B249">
        <v>60255011</v>
      </c>
      <c r="C249">
        <v>60255395</v>
      </c>
      <c r="D249">
        <v>59060498</v>
      </c>
      <c r="E249">
        <v>1</v>
      </c>
      <c r="F249">
        <v>1</v>
      </c>
      <c r="G249">
        <v>1080</v>
      </c>
      <c r="H249">
        <v>3</v>
      </c>
      <c r="I249" t="s">
        <v>529</v>
      </c>
      <c r="J249" t="s">
        <v>530</v>
      </c>
      <c r="K249" t="s">
        <v>531</v>
      </c>
      <c r="L249">
        <v>1346</v>
      </c>
      <c r="N249">
        <v>1009</v>
      </c>
      <c r="O249" t="s">
        <v>528</v>
      </c>
      <c r="P249" t="s">
        <v>528</v>
      </c>
      <c r="Q249">
        <v>1</v>
      </c>
      <c r="W249">
        <v>0</v>
      </c>
      <c r="X249">
        <v>883542614</v>
      </c>
      <c r="Y249">
        <f>AT249</f>
        <v>4.2000000000000003E-2</v>
      </c>
      <c r="AA249">
        <v>169.66</v>
      </c>
      <c r="AB249">
        <v>0</v>
      </c>
      <c r="AC249">
        <v>0</v>
      </c>
      <c r="AD249">
        <v>0</v>
      </c>
      <c r="AE249">
        <v>19.28</v>
      </c>
      <c r="AF249">
        <v>0</v>
      </c>
      <c r="AG249">
        <v>0</v>
      </c>
      <c r="AH249">
        <v>0</v>
      </c>
      <c r="AI249">
        <v>8.8000000000000007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4.2000000000000003E-2</v>
      </c>
      <c r="AU249" t="s">
        <v>3</v>
      </c>
      <c r="AV249">
        <v>0</v>
      </c>
      <c r="AW249">
        <v>2</v>
      </c>
      <c r="AX249">
        <v>60255879</v>
      </c>
      <c r="AY249">
        <v>1</v>
      </c>
      <c r="AZ249">
        <v>0</v>
      </c>
      <c r="BA249">
        <v>272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ROUND(Y249*Source!I172,9)</f>
        <v>14.574</v>
      </c>
      <c r="CY249">
        <f>AA249</f>
        <v>169.66</v>
      </c>
      <c r="CZ249">
        <f>AE249</f>
        <v>19.28</v>
      </c>
      <c r="DA249">
        <f>AI249</f>
        <v>8.8000000000000007</v>
      </c>
      <c r="DB249">
        <f>ROUND(ROUND(AT249*CZ249,2),6)</f>
        <v>0.81</v>
      </c>
      <c r="DC249">
        <f>ROUND(ROUND(AT249*AG249,2),6)</f>
        <v>0</v>
      </c>
      <c r="DD249" t="s">
        <v>3</v>
      </c>
      <c r="DE249" t="s">
        <v>3</v>
      </c>
      <c r="DF249">
        <f>ROUND(ROUND(AE249*AI249,2)*CX249,2)</f>
        <v>2472.62</v>
      </c>
      <c r="DG249">
        <f t="shared" si="41"/>
        <v>0</v>
      </c>
      <c r="DH249">
        <f t="shared" si="42"/>
        <v>0</v>
      </c>
      <c r="DI249">
        <f t="shared" si="34"/>
        <v>0</v>
      </c>
      <c r="DJ249">
        <f>DF249</f>
        <v>2472.62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ROW(Source!A172)</f>
        <v>172</v>
      </c>
      <c r="B250">
        <v>60255011</v>
      </c>
      <c r="C250">
        <v>60255395</v>
      </c>
      <c r="D250">
        <v>59004256</v>
      </c>
      <c r="E250">
        <v>1080</v>
      </c>
      <c r="F250">
        <v>1</v>
      </c>
      <c r="G250">
        <v>1080</v>
      </c>
      <c r="H250">
        <v>3</v>
      </c>
      <c r="I250" t="s">
        <v>532</v>
      </c>
      <c r="J250" t="s">
        <v>3</v>
      </c>
      <c r="K250" t="s">
        <v>533</v>
      </c>
      <c r="L250">
        <v>1348</v>
      </c>
      <c r="N250">
        <v>1009</v>
      </c>
      <c r="O250" t="s">
        <v>534</v>
      </c>
      <c r="P250" t="s">
        <v>534</v>
      </c>
      <c r="Q250">
        <v>1000</v>
      </c>
      <c r="W250">
        <v>0</v>
      </c>
      <c r="X250">
        <v>-783086922</v>
      </c>
      <c r="Y250">
        <f>AT250</f>
        <v>1.5E-3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9.8800000000000008</v>
      </c>
      <c r="AJ250">
        <v>1</v>
      </c>
      <c r="AK250">
        <v>1</v>
      </c>
      <c r="AL250">
        <v>1</v>
      </c>
      <c r="AM250">
        <v>5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1.5E-3</v>
      </c>
      <c r="AU250" t="s">
        <v>3</v>
      </c>
      <c r="AV250">
        <v>0</v>
      </c>
      <c r="AW250">
        <v>2</v>
      </c>
      <c r="AX250">
        <v>60255881</v>
      </c>
      <c r="AY250">
        <v>1</v>
      </c>
      <c r="AZ250">
        <v>0</v>
      </c>
      <c r="BA250">
        <v>274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ROUND(Y250*Source!I172,9)</f>
        <v>0.52049999999999996</v>
      </c>
      <c r="CY250">
        <f>AA250</f>
        <v>0</v>
      </c>
      <c r="CZ250">
        <f>AE250</f>
        <v>0</v>
      </c>
      <c r="DA250">
        <f>AI250</f>
        <v>9.8800000000000008</v>
      </c>
      <c r="DB250">
        <f>ROUND(ROUND(AT250*CZ250,2),6)</f>
        <v>0</v>
      </c>
      <c r="DC250">
        <f>ROUND(ROUND(AT250*AG250,2),6)</f>
        <v>0</v>
      </c>
      <c r="DD250" t="s">
        <v>3</v>
      </c>
      <c r="DE250" t="s">
        <v>3</v>
      </c>
      <c r="DF250">
        <f>ROUND(ROUND(AE250*AI250,2)*CX250,2)</f>
        <v>0</v>
      </c>
      <c r="DG250">
        <f t="shared" si="41"/>
        <v>0</v>
      </c>
      <c r="DH250">
        <f t="shared" si="42"/>
        <v>0</v>
      </c>
      <c r="DI250">
        <f t="shared" si="34"/>
        <v>0</v>
      </c>
      <c r="DJ250">
        <f>DF250</f>
        <v>0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ROW(Source!A212)</f>
        <v>212</v>
      </c>
      <c r="B251">
        <v>60255014</v>
      </c>
      <c r="C251">
        <v>60255462</v>
      </c>
      <c r="D251">
        <v>58999254</v>
      </c>
      <c r="E251">
        <v>1080</v>
      </c>
      <c r="F251">
        <v>1</v>
      </c>
      <c r="G251">
        <v>1080</v>
      </c>
      <c r="H251">
        <v>1</v>
      </c>
      <c r="I251" t="s">
        <v>482</v>
      </c>
      <c r="J251" t="s">
        <v>3</v>
      </c>
      <c r="K251" t="s">
        <v>483</v>
      </c>
      <c r="L251">
        <v>1191</v>
      </c>
      <c r="N251">
        <v>1013</v>
      </c>
      <c r="O251" t="s">
        <v>484</v>
      </c>
      <c r="P251" t="s">
        <v>484</v>
      </c>
      <c r="Q251">
        <v>1</v>
      </c>
      <c r="W251">
        <v>0</v>
      </c>
      <c r="X251">
        <v>476480486</v>
      </c>
      <c r="Y251">
        <f>((AT251*1.15)*1.1)</f>
        <v>0.15179999999999999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0.12</v>
      </c>
      <c r="AU251" t="s">
        <v>99</v>
      </c>
      <c r="AV251">
        <v>1</v>
      </c>
      <c r="AW251">
        <v>2</v>
      </c>
      <c r="AX251">
        <v>60255882</v>
      </c>
      <c r="AY251">
        <v>1</v>
      </c>
      <c r="AZ251">
        <v>0</v>
      </c>
      <c r="BA251">
        <v>275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ROUND(AT251*Source!I212*AH251*AL251,2)</f>
        <v>0</v>
      </c>
      <c r="CV251">
        <f>ROUND(Y251*Source!I212,9)</f>
        <v>3.036</v>
      </c>
      <c r="CW251">
        <v>0</v>
      </c>
      <c r="CX251">
        <f>ROUND(Y251*Source!I212,9)</f>
        <v>3.036</v>
      </c>
      <c r="CY251">
        <f>AD251</f>
        <v>0</v>
      </c>
      <c r="CZ251">
        <f>AH251</f>
        <v>0</v>
      </c>
      <c r="DA251">
        <f>AL251</f>
        <v>1</v>
      </c>
      <c r="DB251">
        <f>ROUND(((ROUND(AT251*CZ251,2)*1.15)*1.1),6)</f>
        <v>0</v>
      </c>
      <c r="DC251">
        <f>ROUND(((ROUND(AT251*AG251,2)*1.15)*1.1),6)</f>
        <v>0</v>
      </c>
      <c r="DD251" t="s">
        <v>3</v>
      </c>
      <c r="DE251" t="s">
        <v>3</v>
      </c>
      <c r="DF251">
        <f t="shared" ref="DF251:DF257" si="43">ROUND(ROUND(AE251,2)*CX251,2)</f>
        <v>0</v>
      </c>
      <c r="DG251">
        <f t="shared" si="41"/>
        <v>0</v>
      </c>
      <c r="DH251">
        <f t="shared" si="42"/>
        <v>0</v>
      </c>
      <c r="DI251">
        <f t="shared" si="34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ROW(Source!A212)</f>
        <v>212</v>
      </c>
      <c r="B252">
        <v>60255014</v>
      </c>
      <c r="C252">
        <v>60255462</v>
      </c>
      <c r="D252">
        <v>59040617</v>
      </c>
      <c r="E252">
        <v>1</v>
      </c>
      <c r="F252">
        <v>1</v>
      </c>
      <c r="G252">
        <v>1080</v>
      </c>
      <c r="H252">
        <v>3</v>
      </c>
      <c r="I252" t="s">
        <v>535</v>
      </c>
      <c r="J252" t="s">
        <v>536</v>
      </c>
      <c r="K252" t="s">
        <v>537</v>
      </c>
      <c r="L252">
        <v>1346</v>
      </c>
      <c r="N252">
        <v>1009</v>
      </c>
      <c r="O252" t="s">
        <v>528</v>
      </c>
      <c r="P252" t="s">
        <v>528</v>
      </c>
      <c r="Q252">
        <v>1</v>
      </c>
      <c r="W252">
        <v>0</v>
      </c>
      <c r="X252">
        <v>-1011812427</v>
      </c>
      <c r="Y252">
        <f>AT252</f>
        <v>0.01</v>
      </c>
      <c r="AA252">
        <v>37.979999999999997</v>
      </c>
      <c r="AB252">
        <v>0</v>
      </c>
      <c r="AC252">
        <v>0</v>
      </c>
      <c r="AD252">
        <v>0</v>
      </c>
      <c r="AE252">
        <v>37.979999999999997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0.01</v>
      </c>
      <c r="AU252" t="s">
        <v>3</v>
      </c>
      <c r="AV252">
        <v>0</v>
      </c>
      <c r="AW252">
        <v>2</v>
      </c>
      <c r="AX252">
        <v>60255883</v>
      </c>
      <c r="AY252">
        <v>1</v>
      </c>
      <c r="AZ252">
        <v>0</v>
      </c>
      <c r="BA252">
        <v>276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ROUND(Y252*Source!I212,9)</f>
        <v>0.2</v>
      </c>
      <c r="CY252">
        <f>AA252</f>
        <v>37.979999999999997</v>
      </c>
      <c r="CZ252">
        <f>AE252</f>
        <v>37.979999999999997</v>
      </c>
      <c r="DA252">
        <f>AI252</f>
        <v>1</v>
      </c>
      <c r="DB252">
        <f>ROUND(ROUND(AT252*CZ252,2),6)</f>
        <v>0.38</v>
      </c>
      <c r="DC252">
        <f>ROUND(ROUND(AT252*AG252,2),6)</f>
        <v>0</v>
      </c>
      <c r="DD252" t="s">
        <v>3</v>
      </c>
      <c r="DE252" t="s">
        <v>3</v>
      </c>
      <c r="DF252">
        <f t="shared" si="43"/>
        <v>7.6</v>
      </c>
      <c r="DG252">
        <f t="shared" si="41"/>
        <v>0</v>
      </c>
      <c r="DH252">
        <f t="shared" si="42"/>
        <v>0</v>
      </c>
      <c r="DI252">
        <f t="shared" si="34"/>
        <v>0</v>
      </c>
      <c r="DJ252">
        <f>DF252</f>
        <v>7.6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ROW(Source!A212)</f>
        <v>212</v>
      </c>
      <c r="B253">
        <v>60255014</v>
      </c>
      <c r="C253">
        <v>60255462</v>
      </c>
      <c r="D253">
        <v>59039175</v>
      </c>
      <c r="E253">
        <v>1</v>
      </c>
      <c r="F253">
        <v>1</v>
      </c>
      <c r="G253">
        <v>1080</v>
      </c>
      <c r="H253">
        <v>3</v>
      </c>
      <c r="I253" t="s">
        <v>538</v>
      </c>
      <c r="J253" t="s">
        <v>539</v>
      </c>
      <c r="K253" t="s">
        <v>540</v>
      </c>
      <c r="L253">
        <v>1348</v>
      </c>
      <c r="N253">
        <v>1009</v>
      </c>
      <c r="O253" t="s">
        <v>534</v>
      </c>
      <c r="P253" t="s">
        <v>534</v>
      </c>
      <c r="Q253">
        <v>1000</v>
      </c>
      <c r="W253">
        <v>0</v>
      </c>
      <c r="X253">
        <v>356473523</v>
      </c>
      <c r="Y253">
        <f>AT253</f>
        <v>3.0000000000000001E-5</v>
      </c>
      <c r="AA253">
        <v>16214.84</v>
      </c>
      <c r="AB253">
        <v>0</v>
      </c>
      <c r="AC253">
        <v>0</v>
      </c>
      <c r="AD253">
        <v>0</v>
      </c>
      <c r="AE253">
        <v>16214.84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3.0000000000000001E-5</v>
      </c>
      <c r="AU253" t="s">
        <v>3</v>
      </c>
      <c r="AV253">
        <v>0</v>
      </c>
      <c r="AW253">
        <v>2</v>
      </c>
      <c r="AX253">
        <v>60255884</v>
      </c>
      <c r="AY253">
        <v>1</v>
      </c>
      <c r="AZ253">
        <v>0</v>
      </c>
      <c r="BA253">
        <v>277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ROUND(Y253*Source!I212,9)</f>
        <v>5.9999999999999995E-4</v>
      </c>
      <c r="CY253">
        <f>AA253</f>
        <v>16214.84</v>
      </c>
      <c r="CZ253">
        <f>AE253</f>
        <v>16214.84</v>
      </c>
      <c r="DA253">
        <f>AI253</f>
        <v>1</v>
      </c>
      <c r="DB253">
        <f>ROUND(ROUND(AT253*CZ253,2),6)</f>
        <v>0.49</v>
      </c>
      <c r="DC253">
        <f>ROUND(ROUND(AT253*AG253,2),6)</f>
        <v>0</v>
      </c>
      <c r="DD253" t="s">
        <v>3</v>
      </c>
      <c r="DE253" t="s">
        <v>3</v>
      </c>
      <c r="DF253">
        <f t="shared" si="43"/>
        <v>9.73</v>
      </c>
      <c r="DG253">
        <f t="shared" si="41"/>
        <v>0</v>
      </c>
      <c r="DH253">
        <f t="shared" si="42"/>
        <v>0</v>
      </c>
      <c r="DI253">
        <f t="shared" si="34"/>
        <v>0</v>
      </c>
      <c r="DJ253">
        <f>DF253</f>
        <v>9.73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ROW(Source!A212)</f>
        <v>212</v>
      </c>
      <c r="B254">
        <v>60255014</v>
      </c>
      <c r="C254">
        <v>60255462</v>
      </c>
      <c r="D254">
        <v>59039344</v>
      </c>
      <c r="E254">
        <v>1</v>
      </c>
      <c r="F254">
        <v>1</v>
      </c>
      <c r="G254">
        <v>1080</v>
      </c>
      <c r="H254">
        <v>3</v>
      </c>
      <c r="I254" t="s">
        <v>541</v>
      </c>
      <c r="J254" t="s">
        <v>542</v>
      </c>
      <c r="K254" t="s">
        <v>543</v>
      </c>
      <c r="L254">
        <v>1346</v>
      </c>
      <c r="N254">
        <v>1009</v>
      </c>
      <c r="O254" t="s">
        <v>528</v>
      </c>
      <c r="P254" t="s">
        <v>528</v>
      </c>
      <c r="Q254">
        <v>1</v>
      </c>
      <c r="W254">
        <v>0</v>
      </c>
      <c r="X254">
        <v>1135396300</v>
      </c>
      <c r="Y254">
        <f>AT254</f>
        <v>3.0000000000000001E-3</v>
      </c>
      <c r="AA254">
        <v>20.190000000000001</v>
      </c>
      <c r="AB254">
        <v>0</v>
      </c>
      <c r="AC254">
        <v>0</v>
      </c>
      <c r="AD254">
        <v>0</v>
      </c>
      <c r="AE254">
        <v>20.190000000000001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3.0000000000000001E-3</v>
      </c>
      <c r="AU254" t="s">
        <v>3</v>
      </c>
      <c r="AV254">
        <v>0</v>
      </c>
      <c r="AW254">
        <v>2</v>
      </c>
      <c r="AX254">
        <v>60255885</v>
      </c>
      <c r="AY254">
        <v>1</v>
      </c>
      <c r="AZ254">
        <v>0</v>
      </c>
      <c r="BA254">
        <v>278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ROUND(Y254*Source!I212,9)</f>
        <v>0.06</v>
      </c>
      <c r="CY254">
        <f>AA254</f>
        <v>20.190000000000001</v>
      </c>
      <c r="CZ254">
        <f>AE254</f>
        <v>20.190000000000001</v>
      </c>
      <c r="DA254">
        <f>AI254</f>
        <v>1</v>
      </c>
      <c r="DB254">
        <f>ROUND(ROUND(AT254*CZ254,2),6)</f>
        <v>0.06</v>
      </c>
      <c r="DC254">
        <f>ROUND(ROUND(AT254*AG254,2),6)</f>
        <v>0</v>
      </c>
      <c r="DD254" t="s">
        <v>3</v>
      </c>
      <c r="DE254" t="s">
        <v>3</v>
      </c>
      <c r="DF254">
        <f t="shared" si="43"/>
        <v>1.21</v>
      </c>
      <c r="DG254">
        <f t="shared" si="41"/>
        <v>0</v>
      </c>
      <c r="DH254">
        <f t="shared" si="42"/>
        <v>0</v>
      </c>
      <c r="DI254">
        <f t="shared" si="34"/>
        <v>0</v>
      </c>
      <c r="DJ254">
        <f>DF254</f>
        <v>1.21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ROW(Source!A212)</f>
        <v>212</v>
      </c>
      <c r="B255">
        <v>60255014</v>
      </c>
      <c r="C255">
        <v>60255462</v>
      </c>
      <c r="D255">
        <v>59057599</v>
      </c>
      <c r="E255">
        <v>1</v>
      </c>
      <c r="F255">
        <v>1</v>
      </c>
      <c r="G255">
        <v>1080</v>
      </c>
      <c r="H255">
        <v>3</v>
      </c>
      <c r="I255" t="s">
        <v>303</v>
      </c>
      <c r="J255" t="s">
        <v>305</v>
      </c>
      <c r="K255" t="s">
        <v>304</v>
      </c>
      <c r="L255">
        <v>1354</v>
      </c>
      <c r="N255">
        <v>1010</v>
      </c>
      <c r="O255" t="s">
        <v>31</v>
      </c>
      <c r="P255" t="s">
        <v>31</v>
      </c>
      <c r="Q255">
        <v>1</v>
      </c>
      <c r="W255">
        <v>1</v>
      </c>
      <c r="X255">
        <v>1321486414</v>
      </c>
      <c r="Y255">
        <f>AT255</f>
        <v>-1</v>
      </c>
      <c r="AA255">
        <v>4.99</v>
      </c>
      <c r="AB255">
        <v>0</v>
      </c>
      <c r="AC255">
        <v>0</v>
      </c>
      <c r="AD255">
        <v>0</v>
      </c>
      <c r="AE255">
        <v>4.99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-1</v>
      </c>
      <c r="AU255" t="s">
        <v>3</v>
      </c>
      <c r="AV255">
        <v>0</v>
      </c>
      <c r="AW255">
        <v>2</v>
      </c>
      <c r="AX255">
        <v>60255886</v>
      </c>
      <c r="AY255">
        <v>1</v>
      </c>
      <c r="AZ255">
        <v>6144</v>
      </c>
      <c r="BA255">
        <v>279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ROUND(Y255*Source!I212,9)</f>
        <v>-20</v>
      </c>
      <c r="CY255">
        <f>AA255</f>
        <v>4.99</v>
      </c>
      <c r="CZ255">
        <f>AE255</f>
        <v>4.99</v>
      </c>
      <c r="DA255">
        <f>AI255</f>
        <v>1</v>
      </c>
      <c r="DB255">
        <f>ROUND(ROUND(AT255*CZ255,2),6)</f>
        <v>-4.99</v>
      </c>
      <c r="DC255">
        <f>ROUND(ROUND(AT255*AG255,2),6)</f>
        <v>0</v>
      </c>
      <c r="DD255" t="s">
        <v>3</v>
      </c>
      <c r="DE255" t="s">
        <v>3</v>
      </c>
      <c r="DF255">
        <f t="shared" si="43"/>
        <v>-99.8</v>
      </c>
      <c r="DG255">
        <f t="shared" si="41"/>
        <v>0</v>
      </c>
      <c r="DH255">
        <f t="shared" si="42"/>
        <v>0</v>
      </c>
      <c r="DI255">
        <f t="shared" si="34"/>
        <v>0</v>
      </c>
      <c r="DJ255">
        <f>DF255</f>
        <v>-99.8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ROW(Source!A212)</f>
        <v>212</v>
      </c>
      <c r="B256">
        <v>60255014</v>
      </c>
      <c r="C256">
        <v>60255462</v>
      </c>
      <c r="D256">
        <v>59060417</v>
      </c>
      <c r="E256">
        <v>1</v>
      </c>
      <c r="F256">
        <v>1</v>
      </c>
      <c r="G256">
        <v>1080</v>
      </c>
      <c r="H256">
        <v>3</v>
      </c>
      <c r="I256" t="s">
        <v>307</v>
      </c>
      <c r="J256" t="s">
        <v>309</v>
      </c>
      <c r="K256" t="s">
        <v>308</v>
      </c>
      <c r="L256">
        <v>1354</v>
      </c>
      <c r="N256">
        <v>1010</v>
      </c>
      <c r="O256" t="s">
        <v>31</v>
      </c>
      <c r="P256" t="s">
        <v>31</v>
      </c>
      <c r="Q256">
        <v>1</v>
      </c>
      <c r="W256">
        <v>0</v>
      </c>
      <c r="X256">
        <v>-20220172</v>
      </c>
      <c r="Y256">
        <f>AT256</f>
        <v>1</v>
      </c>
      <c r="AA256">
        <v>132.38</v>
      </c>
      <c r="AB256">
        <v>0</v>
      </c>
      <c r="AC256">
        <v>0</v>
      </c>
      <c r="AD256">
        <v>0</v>
      </c>
      <c r="AE256">
        <v>132.38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t="s">
        <v>3</v>
      </c>
      <c r="AT256">
        <v>1</v>
      </c>
      <c r="AU256" t="s">
        <v>3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ROUND(Y256*Source!I212,9)</f>
        <v>20</v>
      </c>
      <c r="CY256">
        <f>AA256</f>
        <v>132.38</v>
      </c>
      <c r="CZ256">
        <f>AE256</f>
        <v>132.38</v>
      </c>
      <c r="DA256">
        <f>AI256</f>
        <v>1</v>
      </c>
      <c r="DB256">
        <f>ROUND(ROUND(AT256*CZ256,2),6)</f>
        <v>132.38</v>
      </c>
      <c r="DC256">
        <f>ROUND(ROUND(AT256*AG256,2),6)</f>
        <v>0</v>
      </c>
      <c r="DD256" t="s">
        <v>3</v>
      </c>
      <c r="DE256" t="s">
        <v>3</v>
      </c>
      <c r="DF256">
        <f t="shared" si="43"/>
        <v>2647.6</v>
      </c>
      <c r="DG256">
        <f t="shared" si="41"/>
        <v>0</v>
      </c>
      <c r="DH256">
        <f t="shared" si="42"/>
        <v>0</v>
      </c>
      <c r="DI256">
        <f t="shared" si="34"/>
        <v>0</v>
      </c>
      <c r="DJ256">
        <f>DF256</f>
        <v>2647.6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ROW(Source!A213)</f>
        <v>213</v>
      </c>
      <c r="B257">
        <v>60255011</v>
      </c>
      <c r="C257">
        <v>60255462</v>
      </c>
      <c r="D257">
        <v>58999254</v>
      </c>
      <c r="E257">
        <v>1080</v>
      </c>
      <c r="F257">
        <v>1</v>
      </c>
      <c r="G257">
        <v>1080</v>
      </c>
      <c r="H257">
        <v>1</v>
      </c>
      <c r="I257" t="s">
        <v>482</v>
      </c>
      <c r="J257" t="s">
        <v>3</v>
      </c>
      <c r="K257" t="s">
        <v>483</v>
      </c>
      <c r="L257">
        <v>1191</v>
      </c>
      <c r="N257">
        <v>1013</v>
      </c>
      <c r="O257" t="s">
        <v>484</v>
      </c>
      <c r="P257" t="s">
        <v>484</v>
      </c>
      <c r="Q257">
        <v>1</v>
      </c>
      <c r="W257">
        <v>0</v>
      </c>
      <c r="X257">
        <v>476480486</v>
      </c>
      <c r="Y257">
        <f>((AT257*1.15)*1.1)</f>
        <v>0.15179999999999999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5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0.12</v>
      </c>
      <c r="AU257" t="s">
        <v>99</v>
      </c>
      <c r="AV257">
        <v>1</v>
      </c>
      <c r="AW257">
        <v>2</v>
      </c>
      <c r="AX257">
        <v>60255882</v>
      </c>
      <c r="AY257">
        <v>1</v>
      </c>
      <c r="AZ257">
        <v>0</v>
      </c>
      <c r="BA257">
        <v>280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U257">
        <f>ROUND(AT257*Source!I213*AH257*AL257,2)</f>
        <v>0</v>
      </c>
      <c r="CV257">
        <f>ROUND(Y257*Source!I213,9)</f>
        <v>3.036</v>
      </c>
      <c r="CW257">
        <v>0</v>
      </c>
      <c r="CX257">
        <f>ROUND(Y257*Source!I213,9)</f>
        <v>3.036</v>
      </c>
      <c r="CY257">
        <f>AD257</f>
        <v>0</v>
      </c>
      <c r="CZ257">
        <f>AH257</f>
        <v>0</v>
      </c>
      <c r="DA257">
        <f>AL257</f>
        <v>1</v>
      </c>
      <c r="DB257">
        <f>ROUND(((ROUND(AT257*CZ257,2)*1.15)*1.1),6)</f>
        <v>0</v>
      </c>
      <c r="DC257">
        <f>ROUND(((ROUND(AT257*AG257,2)*1.15)*1.1),6)</f>
        <v>0</v>
      </c>
      <c r="DD257" t="s">
        <v>3</v>
      </c>
      <c r="DE257" t="s">
        <v>3</v>
      </c>
      <c r="DF257">
        <f t="shared" si="43"/>
        <v>0</v>
      </c>
      <c r="DG257">
        <f t="shared" si="41"/>
        <v>0</v>
      </c>
      <c r="DH257">
        <f t="shared" si="42"/>
        <v>0</v>
      </c>
      <c r="DI257">
        <f t="shared" ref="DI257:DI320" si="44">ROUND(ROUND(AH257,2)*CX257,2)</f>
        <v>0</v>
      </c>
      <c r="DJ257">
        <f>DI257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ROW(Source!A213)</f>
        <v>213</v>
      </c>
      <c r="B258">
        <v>60255011</v>
      </c>
      <c r="C258">
        <v>60255462</v>
      </c>
      <c r="D258">
        <v>59040617</v>
      </c>
      <c r="E258">
        <v>1</v>
      </c>
      <c r="F258">
        <v>1</v>
      </c>
      <c r="G258">
        <v>1080</v>
      </c>
      <c r="H258">
        <v>3</v>
      </c>
      <c r="I258" t="s">
        <v>535</v>
      </c>
      <c r="J258" t="s">
        <v>536</v>
      </c>
      <c r="K258" t="s">
        <v>537</v>
      </c>
      <c r="L258">
        <v>1346</v>
      </c>
      <c r="N258">
        <v>1009</v>
      </c>
      <c r="O258" t="s">
        <v>528</v>
      </c>
      <c r="P258" t="s">
        <v>528</v>
      </c>
      <c r="Q258">
        <v>1</v>
      </c>
      <c r="W258">
        <v>0</v>
      </c>
      <c r="X258">
        <v>-1011812427</v>
      </c>
      <c r="Y258">
        <f>AT258</f>
        <v>0.01</v>
      </c>
      <c r="AA258">
        <v>272.7</v>
      </c>
      <c r="AB258">
        <v>0</v>
      </c>
      <c r="AC258">
        <v>0</v>
      </c>
      <c r="AD258">
        <v>0</v>
      </c>
      <c r="AE258">
        <v>37.979999999999997</v>
      </c>
      <c r="AF258">
        <v>0</v>
      </c>
      <c r="AG258">
        <v>0</v>
      </c>
      <c r="AH258">
        <v>0</v>
      </c>
      <c r="AI258">
        <v>7.18</v>
      </c>
      <c r="AJ258">
        <v>1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0.01</v>
      </c>
      <c r="AU258" t="s">
        <v>3</v>
      </c>
      <c r="AV258">
        <v>0</v>
      </c>
      <c r="AW258">
        <v>2</v>
      </c>
      <c r="AX258">
        <v>60255883</v>
      </c>
      <c r="AY258">
        <v>1</v>
      </c>
      <c r="AZ258">
        <v>0</v>
      </c>
      <c r="BA258">
        <v>281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ROUND(Y258*Source!I213,9)</f>
        <v>0.2</v>
      </c>
      <c r="CY258">
        <f>AA258</f>
        <v>272.7</v>
      </c>
      <c r="CZ258">
        <f>AE258</f>
        <v>37.979999999999997</v>
      </c>
      <c r="DA258">
        <f>AI258</f>
        <v>7.18</v>
      </c>
      <c r="DB258">
        <f>ROUND(ROUND(AT258*CZ258,2),6)</f>
        <v>0.38</v>
      </c>
      <c r="DC258">
        <f>ROUND(ROUND(AT258*AG258,2),6)</f>
        <v>0</v>
      </c>
      <c r="DD258" t="s">
        <v>3</v>
      </c>
      <c r="DE258" t="s">
        <v>3</v>
      </c>
      <c r="DF258">
        <f>ROUND(ROUND(AE258*AI258,2)*CX258,2)</f>
        <v>54.54</v>
      </c>
      <c r="DG258">
        <f t="shared" si="41"/>
        <v>0</v>
      </c>
      <c r="DH258">
        <f t="shared" si="42"/>
        <v>0</v>
      </c>
      <c r="DI258">
        <f t="shared" si="44"/>
        <v>0</v>
      </c>
      <c r="DJ258">
        <f>DF258</f>
        <v>54.54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ROW(Source!A213)</f>
        <v>213</v>
      </c>
      <c r="B259">
        <v>60255011</v>
      </c>
      <c r="C259">
        <v>60255462</v>
      </c>
      <c r="D259">
        <v>59039175</v>
      </c>
      <c r="E259">
        <v>1</v>
      </c>
      <c r="F259">
        <v>1</v>
      </c>
      <c r="G259">
        <v>1080</v>
      </c>
      <c r="H259">
        <v>3</v>
      </c>
      <c r="I259" t="s">
        <v>538</v>
      </c>
      <c r="J259" t="s">
        <v>539</v>
      </c>
      <c r="K259" t="s">
        <v>540</v>
      </c>
      <c r="L259">
        <v>1348</v>
      </c>
      <c r="N259">
        <v>1009</v>
      </c>
      <c r="O259" t="s">
        <v>534</v>
      </c>
      <c r="P259" t="s">
        <v>534</v>
      </c>
      <c r="Q259">
        <v>1000</v>
      </c>
      <c r="W259">
        <v>0</v>
      </c>
      <c r="X259">
        <v>356473523</v>
      </c>
      <c r="Y259">
        <f>AT259</f>
        <v>3.0000000000000001E-5</v>
      </c>
      <c r="AA259">
        <v>55779.05</v>
      </c>
      <c r="AB259">
        <v>0</v>
      </c>
      <c r="AC259">
        <v>0</v>
      </c>
      <c r="AD259">
        <v>0</v>
      </c>
      <c r="AE259">
        <v>16214.84</v>
      </c>
      <c r="AF259">
        <v>0</v>
      </c>
      <c r="AG259">
        <v>0</v>
      </c>
      <c r="AH259">
        <v>0</v>
      </c>
      <c r="AI259">
        <v>3.44</v>
      </c>
      <c r="AJ259">
        <v>1</v>
      </c>
      <c r="AK259">
        <v>1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3.0000000000000001E-5</v>
      </c>
      <c r="AU259" t="s">
        <v>3</v>
      </c>
      <c r="AV259">
        <v>0</v>
      </c>
      <c r="AW259">
        <v>2</v>
      </c>
      <c r="AX259">
        <v>60255884</v>
      </c>
      <c r="AY259">
        <v>1</v>
      </c>
      <c r="AZ259">
        <v>0</v>
      </c>
      <c r="BA259">
        <v>282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ROUND(Y259*Source!I213,9)</f>
        <v>5.9999999999999995E-4</v>
      </c>
      <c r="CY259">
        <f>AA259</f>
        <v>55779.05</v>
      </c>
      <c r="CZ259">
        <f>AE259</f>
        <v>16214.84</v>
      </c>
      <c r="DA259">
        <f>AI259</f>
        <v>3.44</v>
      </c>
      <c r="DB259">
        <f>ROUND(ROUND(AT259*CZ259,2),6)</f>
        <v>0.49</v>
      </c>
      <c r="DC259">
        <f>ROUND(ROUND(AT259*AG259,2),6)</f>
        <v>0</v>
      </c>
      <c r="DD259" t="s">
        <v>3</v>
      </c>
      <c r="DE259" t="s">
        <v>3</v>
      </c>
      <c r="DF259">
        <f>ROUND(ROUND(AE259*AI259,2)*CX259,2)</f>
        <v>33.47</v>
      </c>
      <c r="DG259">
        <f t="shared" si="41"/>
        <v>0</v>
      </c>
      <c r="DH259">
        <f t="shared" si="42"/>
        <v>0</v>
      </c>
      <c r="DI259">
        <f t="shared" si="44"/>
        <v>0</v>
      </c>
      <c r="DJ259">
        <f>DF259</f>
        <v>33.47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ROW(Source!A213)</f>
        <v>213</v>
      </c>
      <c r="B260">
        <v>60255011</v>
      </c>
      <c r="C260">
        <v>60255462</v>
      </c>
      <c r="D260">
        <v>59039344</v>
      </c>
      <c r="E260">
        <v>1</v>
      </c>
      <c r="F260">
        <v>1</v>
      </c>
      <c r="G260">
        <v>1080</v>
      </c>
      <c r="H260">
        <v>3</v>
      </c>
      <c r="I260" t="s">
        <v>541</v>
      </c>
      <c r="J260" t="s">
        <v>542</v>
      </c>
      <c r="K260" t="s">
        <v>543</v>
      </c>
      <c r="L260">
        <v>1346</v>
      </c>
      <c r="N260">
        <v>1009</v>
      </c>
      <c r="O260" t="s">
        <v>528</v>
      </c>
      <c r="P260" t="s">
        <v>528</v>
      </c>
      <c r="Q260">
        <v>1</v>
      </c>
      <c r="W260">
        <v>0</v>
      </c>
      <c r="X260">
        <v>1135396300</v>
      </c>
      <c r="Y260">
        <f>AT260</f>
        <v>3.0000000000000001E-3</v>
      </c>
      <c r="AA260">
        <v>85.4</v>
      </c>
      <c r="AB260">
        <v>0</v>
      </c>
      <c r="AC260">
        <v>0</v>
      </c>
      <c r="AD260">
        <v>0</v>
      </c>
      <c r="AE260">
        <v>20.190000000000001</v>
      </c>
      <c r="AF260">
        <v>0</v>
      </c>
      <c r="AG260">
        <v>0</v>
      </c>
      <c r="AH260">
        <v>0</v>
      </c>
      <c r="AI260">
        <v>4.2300000000000004</v>
      </c>
      <c r="AJ260">
        <v>1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3.0000000000000001E-3</v>
      </c>
      <c r="AU260" t="s">
        <v>3</v>
      </c>
      <c r="AV260">
        <v>0</v>
      </c>
      <c r="AW260">
        <v>2</v>
      </c>
      <c r="AX260">
        <v>60255885</v>
      </c>
      <c r="AY260">
        <v>1</v>
      </c>
      <c r="AZ260">
        <v>0</v>
      </c>
      <c r="BA260">
        <v>283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ROUND(Y260*Source!I213,9)</f>
        <v>0.06</v>
      </c>
      <c r="CY260">
        <f>AA260</f>
        <v>85.4</v>
      </c>
      <c r="CZ260">
        <f>AE260</f>
        <v>20.190000000000001</v>
      </c>
      <c r="DA260">
        <f>AI260</f>
        <v>4.2300000000000004</v>
      </c>
      <c r="DB260">
        <f>ROUND(ROUND(AT260*CZ260,2),6)</f>
        <v>0.06</v>
      </c>
      <c r="DC260">
        <f>ROUND(ROUND(AT260*AG260,2),6)</f>
        <v>0</v>
      </c>
      <c r="DD260" t="s">
        <v>3</v>
      </c>
      <c r="DE260" t="s">
        <v>3</v>
      </c>
      <c r="DF260">
        <f>ROUND(ROUND(AE260*AI260,2)*CX260,2)</f>
        <v>5.12</v>
      </c>
      <c r="DG260">
        <f t="shared" si="41"/>
        <v>0</v>
      </c>
      <c r="DH260">
        <f t="shared" si="42"/>
        <v>0</v>
      </c>
      <c r="DI260">
        <f t="shared" si="44"/>
        <v>0</v>
      </c>
      <c r="DJ260">
        <f>DF260</f>
        <v>5.12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ROW(Source!A213)</f>
        <v>213</v>
      </c>
      <c r="B261">
        <v>60255011</v>
      </c>
      <c r="C261">
        <v>60255462</v>
      </c>
      <c r="D261">
        <v>59057599</v>
      </c>
      <c r="E261">
        <v>1</v>
      </c>
      <c r="F261">
        <v>1</v>
      </c>
      <c r="G261">
        <v>1080</v>
      </c>
      <c r="H261">
        <v>3</v>
      </c>
      <c r="I261" t="s">
        <v>303</v>
      </c>
      <c r="J261" t="s">
        <v>305</v>
      </c>
      <c r="K261" t="s">
        <v>304</v>
      </c>
      <c r="L261">
        <v>1354</v>
      </c>
      <c r="N261">
        <v>1010</v>
      </c>
      <c r="O261" t="s">
        <v>31</v>
      </c>
      <c r="P261" t="s">
        <v>31</v>
      </c>
      <c r="Q261">
        <v>1</v>
      </c>
      <c r="W261">
        <v>1</v>
      </c>
      <c r="X261">
        <v>1321486414</v>
      </c>
      <c r="Y261">
        <f>AT261</f>
        <v>-1</v>
      </c>
      <c r="AA261">
        <v>33.729999999999997</v>
      </c>
      <c r="AB261">
        <v>0</v>
      </c>
      <c r="AC261">
        <v>0</v>
      </c>
      <c r="AD261">
        <v>0</v>
      </c>
      <c r="AE261">
        <v>4.99</v>
      </c>
      <c r="AF261">
        <v>0</v>
      </c>
      <c r="AG261">
        <v>0</v>
      </c>
      <c r="AH261">
        <v>0</v>
      </c>
      <c r="AI261">
        <v>6.76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-1</v>
      </c>
      <c r="AU261" t="s">
        <v>3</v>
      </c>
      <c r="AV261">
        <v>0</v>
      </c>
      <c r="AW261">
        <v>2</v>
      </c>
      <c r="AX261">
        <v>60255886</v>
      </c>
      <c r="AY261">
        <v>1</v>
      </c>
      <c r="AZ261">
        <v>6144</v>
      </c>
      <c r="BA261">
        <v>284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ROUND(Y261*Source!I213,9)</f>
        <v>-20</v>
      </c>
      <c r="CY261">
        <f>AA261</f>
        <v>33.729999999999997</v>
      </c>
      <c r="CZ261">
        <f>AE261</f>
        <v>4.99</v>
      </c>
      <c r="DA261">
        <f>AI261</f>
        <v>6.76</v>
      </c>
      <c r="DB261">
        <f>ROUND(ROUND(AT261*CZ261,2),6)</f>
        <v>-4.99</v>
      </c>
      <c r="DC261">
        <f>ROUND(ROUND(AT261*AG261,2),6)</f>
        <v>0</v>
      </c>
      <c r="DD261" t="s">
        <v>3</v>
      </c>
      <c r="DE261" t="s">
        <v>3</v>
      </c>
      <c r="DF261">
        <f>ROUND(ROUND(AE261*AI261,2)*CX261,2)</f>
        <v>-674.6</v>
      </c>
      <c r="DG261">
        <f t="shared" si="41"/>
        <v>0</v>
      </c>
      <c r="DH261">
        <f t="shared" si="42"/>
        <v>0</v>
      </c>
      <c r="DI261">
        <f t="shared" si="44"/>
        <v>0</v>
      </c>
      <c r="DJ261">
        <f>DF261</f>
        <v>-674.6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ROW(Source!A213)</f>
        <v>213</v>
      </c>
      <c r="B262">
        <v>60255011</v>
      </c>
      <c r="C262">
        <v>60255462</v>
      </c>
      <c r="D262">
        <v>59060417</v>
      </c>
      <c r="E262">
        <v>1</v>
      </c>
      <c r="F262">
        <v>1</v>
      </c>
      <c r="G262">
        <v>1080</v>
      </c>
      <c r="H262">
        <v>3</v>
      </c>
      <c r="I262" t="s">
        <v>307</v>
      </c>
      <c r="J262" t="s">
        <v>309</v>
      </c>
      <c r="K262" t="s">
        <v>308</v>
      </c>
      <c r="L262">
        <v>1354</v>
      </c>
      <c r="N262">
        <v>1010</v>
      </c>
      <c r="O262" t="s">
        <v>31</v>
      </c>
      <c r="P262" t="s">
        <v>31</v>
      </c>
      <c r="Q262">
        <v>1</v>
      </c>
      <c r="W262">
        <v>0</v>
      </c>
      <c r="X262">
        <v>-20220172</v>
      </c>
      <c r="Y262">
        <f>AT262</f>
        <v>1</v>
      </c>
      <c r="AA262">
        <v>836.64</v>
      </c>
      <c r="AB262">
        <v>0</v>
      </c>
      <c r="AC262">
        <v>0</v>
      </c>
      <c r="AD262">
        <v>0</v>
      </c>
      <c r="AE262">
        <v>132.38</v>
      </c>
      <c r="AF262">
        <v>0</v>
      </c>
      <c r="AG262">
        <v>0</v>
      </c>
      <c r="AH262">
        <v>0</v>
      </c>
      <c r="AI262">
        <v>6.32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 t="s">
        <v>3</v>
      </c>
      <c r="AT262">
        <v>1</v>
      </c>
      <c r="AU262" t="s">
        <v>3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ROUND(Y262*Source!I213,9)</f>
        <v>20</v>
      </c>
      <c r="CY262">
        <f>AA262</f>
        <v>836.64</v>
      </c>
      <c r="CZ262">
        <f>AE262</f>
        <v>132.38</v>
      </c>
      <c r="DA262">
        <f>AI262</f>
        <v>6.32</v>
      </c>
      <c r="DB262">
        <f>ROUND(ROUND(AT262*CZ262,2),6)</f>
        <v>132.38</v>
      </c>
      <c r="DC262">
        <f>ROUND(ROUND(AT262*AG262,2),6)</f>
        <v>0</v>
      </c>
      <c r="DD262" t="s">
        <v>3</v>
      </c>
      <c r="DE262" t="s">
        <v>3</v>
      </c>
      <c r="DF262">
        <f>ROUND(ROUND(AE262*AI262,2)*CX262,2)</f>
        <v>16732.8</v>
      </c>
      <c r="DG262">
        <f t="shared" si="41"/>
        <v>0</v>
      </c>
      <c r="DH262">
        <f t="shared" si="42"/>
        <v>0</v>
      </c>
      <c r="DI262">
        <f t="shared" si="44"/>
        <v>0</v>
      </c>
      <c r="DJ262">
        <f>DF262</f>
        <v>16732.8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ROW(Source!A224)</f>
        <v>224</v>
      </c>
      <c r="B263">
        <v>60255014</v>
      </c>
      <c r="C263">
        <v>60255479</v>
      </c>
      <c r="D263">
        <v>58999254</v>
      </c>
      <c r="E263">
        <v>1080</v>
      </c>
      <c r="F263">
        <v>1</v>
      </c>
      <c r="G263">
        <v>1080</v>
      </c>
      <c r="H263">
        <v>1</v>
      </c>
      <c r="I263" t="s">
        <v>482</v>
      </c>
      <c r="J263" t="s">
        <v>3</v>
      </c>
      <c r="K263" t="s">
        <v>483</v>
      </c>
      <c r="L263">
        <v>1191</v>
      </c>
      <c r="N263">
        <v>1013</v>
      </c>
      <c r="O263" t="s">
        <v>484</v>
      </c>
      <c r="P263" t="s">
        <v>484</v>
      </c>
      <c r="Q263">
        <v>1</v>
      </c>
      <c r="W263">
        <v>0</v>
      </c>
      <c r="X263">
        <v>476480486</v>
      </c>
      <c r="Y263">
        <f>((AT263*1.15)*1.1)</f>
        <v>0.3795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0.3</v>
      </c>
      <c r="AU263" t="s">
        <v>99</v>
      </c>
      <c r="AV263">
        <v>1</v>
      </c>
      <c r="AW263">
        <v>2</v>
      </c>
      <c r="AX263">
        <v>60255887</v>
      </c>
      <c r="AY263">
        <v>1</v>
      </c>
      <c r="AZ263">
        <v>0</v>
      </c>
      <c r="BA263">
        <v>285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ROUND(AT263*Source!I224*AH263*AL263,2)</f>
        <v>0</v>
      </c>
      <c r="CV263">
        <f>ROUND(Y263*Source!I224,9)</f>
        <v>17.077500000000001</v>
      </c>
      <c r="CW263">
        <v>0</v>
      </c>
      <c r="CX263">
        <f>ROUND(Y263*Source!I224,9)</f>
        <v>17.077500000000001</v>
      </c>
      <c r="CY263">
        <f>AD263</f>
        <v>0</v>
      </c>
      <c r="CZ263">
        <f>AH263</f>
        <v>0</v>
      </c>
      <c r="DA263">
        <f>AL263</f>
        <v>1</v>
      </c>
      <c r="DB263">
        <f>ROUND(((ROUND(AT263*CZ263,2)*1.15)*1.1),6)</f>
        <v>0</v>
      </c>
      <c r="DC263">
        <f>ROUND(((ROUND(AT263*AG263,2)*1.15)*1.1),6)</f>
        <v>0</v>
      </c>
      <c r="DD263" t="s">
        <v>3</v>
      </c>
      <c r="DE263" t="s">
        <v>3</v>
      </c>
      <c r="DF263">
        <f>ROUND(ROUND(AE263,2)*CX263,2)</f>
        <v>0</v>
      </c>
      <c r="DG263">
        <f t="shared" si="41"/>
        <v>0</v>
      </c>
      <c r="DH263">
        <f t="shared" si="42"/>
        <v>0</v>
      </c>
      <c r="DI263">
        <f t="shared" si="44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ROW(Source!A224)</f>
        <v>224</v>
      </c>
      <c r="B264">
        <v>60255014</v>
      </c>
      <c r="C264">
        <v>60255479</v>
      </c>
      <c r="D264">
        <v>59060498</v>
      </c>
      <c r="E264">
        <v>1</v>
      </c>
      <c r="F264">
        <v>1</v>
      </c>
      <c r="G264">
        <v>1080</v>
      </c>
      <c r="H264">
        <v>3</v>
      </c>
      <c r="I264" t="s">
        <v>529</v>
      </c>
      <c r="J264" t="s">
        <v>530</v>
      </c>
      <c r="K264" t="s">
        <v>531</v>
      </c>
      <c r="L264">
        <v>1346</v>
      </c>
      <c r="N264">
        <v>1009</v>
      </c>
      <c r="O264" t="s">
        <v>528</v>
      </c>
      <c r="P264" t="s">
        <v>528</v>
      </c>
      <c r="Q264">
        <v>1</v>
      </c>
      <c r="W264">
        <v>0</v>
      </c>
      <c r="X264">
        <v>883542614</v>
      </c>
      <c r="Y264">
        <f>AT264</f>
        <v>4.2000000000000003E-2</v>
      </c>
      <c r="AA264">
        <v>19.28</v>
      </c>
      <c r="AB264">
        <v>0</v>
      </c>
      <c r="AC264">
        <v>0</v>
      </c>
      <c r="AD264">
        <v>0</v>
      </c>
      <c r="AE264">
        <v>19.28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-2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4.2000000000000003E-2</v>
      </c>
      <c r="AU264" t="s">
        <v>3</v>
      </c>
      <c r="AV264">
        <v>0</v>
      </c>
      <c r="AW264">
        <v>2</v>
      </c>
      <c r="AX264">
        <v>60255888</v>
      </c>
      <c r="AY264">
        <v>1</v>
      </c>
      <c r="AZ264">
        <v>0</v>
      </c>
      <c r="BA264">
        <v>286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ROUND(Y264*Source!I224,9)</f>
        <v>1.89</v>
      </c>
      <c r="CY264">
        <f>AA264</f>
        <v>19.28</v>
      </c>
      <c r="CZ264">
        <f>AE264</f>
        <v>19.28</v>
      </c>
      <c r="DA264">
        <f>AI264</f>
        <v>1</v>
      </c>
      <c r="DB264">
        <f>ROUND(ROUND(AT264*CZ264,2),6)</f>
        <v>0.81</v>
      </c>
      <c r="DC264">
        <f>ROUND(ROUND(AT264*AG264,2),6)</f>
        <v>0</v>
      </c>
      <c r="DD264" t="s">
        <v>3</v>
      </c>
      <c r="DE264" t="s">
        <v>3</v>
      </c>
      <c r="DF264">
        <f>ROUND(ROUND(AE264,2)*CX264,2)</f>
        <v>36.44</v>
      </c>
      <c r="DG264">
        <f t="shared" si="41"/>
        <v>0</v>
      </c>
      <c r="DH264">
        <f t="shared" si="42"/>
        <v>0</v>
      </c>
      <c r="DI264">
        <f t="shared" si="44"/>
        <v>0</v>
      </c>
      <c r="DJ264">
        <f>DF264</f>
        <v>36.44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ROW(Source!A224)</f>
        <v>224</v>
      </c>
      <c r="B265">
        <v>60255014</v>
      </c>
      <c r="C265">
        <v>60255479</v>
      </c>
      <c r="D265">
        <v>59004256</v>
      </c>
      <c r="E265">
        <v>1080</v>
      </c>
      <c r="F265">
        <v>1</v>
      </c>
      <c r="G265">
        <v>1080</v>
      </c>
      <c r="H265">
        <v>3</v>
      </c>
      <c r="I265" t="s">
        <v>532</v>
      </c>
      <c r="J265" t="s">
        <v>3</v>
      </c>
      <c r="K265" t="s">
        <v>533</v>
      </c>
      <c r="L265">
        <v>1348</v>
      </c>
      <c r="N265">
        <v>1009</v>
      </c>
      <c r="O265" t="s">
        <v>534</v>
      </c>
      <c r="P265" t="s">
        <v>534</v>
      </c>
      <c r="Q265">
        <v>1000</v>
      </c>
      <c r="W265">
        <v>0</v>
      </c>
      <c r="X265">
        <v>-783086922</v>
      </c>
      <c r="Y265">
        <f>AT265</f>
        <v>1.5E-3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1.5E-3</v>
      </c>
      <c r="AU265" t="s">
        <v>3</v>
      </c>
      <c r="AV265">
        <v>0</v>
      </c>
      <c r="AW265">
        <v>2</v>
      </c>
      <c r="AX265">
        <v>60255890</v>
      </c>
      <c r="AY265">
        <v>1</v>
      </c>
      <c r="AZ265">
        <v>0</v>
      </c>
      <c r="BA265">
        <v>288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ROUND(Y265*Source!I224,9)</f>
        <v>6.7500000000000004E-2</v>
      </c>
      <c r="CY265">
        <f>AA265</f>
        <v>0</v>
      </c>
      <c r="CZ265">
        <f>AE265</f>
        <v>0</v>
      </c>
      <c r="DA265">
        <f>AI265</f>
        <v>1</v>
      </c>
      <c r="DB265">
        <f>ROUND(ROUND(AT265*CZ265,2),6)</f>
        <v>0</v>
      </c>
      <c r="DC265">
        <f>ROUND(ROUND(AT265*AG265,2),6)</f>
        <v>0</v>
      </c>
      <c r="DD265" t="s">
        <v>3</v>
      </c>
      <c r="DE265" t="s">
        <v>3</v>
      </c>
      <c r="DF265">
        <f>ROUND(ROUND(AE265,2)*CX265,2)</f>
        <v>0</v>
      </c>
      <c r="DG265">
        <f t="shared" si="41"/>
        <v>0</v>
      </c>
      <c r="DH265">
        <f t="shared" si="42"/>
        <v>0</v>
      </c>
      <c r="DI265">
        <f t="shared" si="44"/>
        <v>0</v>
      </c>
      <c r="DJ265">
        <f>DF265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ROW(Source!A225)</f>
        <v>225</v>
      </c>
      <c r="B266">
        <v>60255011</v>
      </c>
      <c r="C266">
        <v>60255479</v>
      </c>
      <c r="D266">
        <v>58999254</v>
      </c>
      <c r="E266">
        <v>1080</v>
      </c>
      <c r="F266">
        <v>1</v>
      </c>
      <c r="G266">
        <v>1080</v>
      </c>
      <c r="H266">
        <v>1</v>
      </c>
      <c r="I266" t="s">
        <v>482</v>
      </c>
      <c r="J266" t="s">
        <v>3</v>
      </c>
      <c r="K266" t="s">
        <v>483</v>
      </c>
      <c r="L266">
        <v>1191</v>
      </c>
      <c r="N266">
        <v>1013</v>
      </c>
      <c r="O266" t="s">
        <v>484</v>
      </c>
      <c r="P266" t="s">
        <v>484</v>
      </c>
      <c r="Q266">
        <v>1</v>
      </c>
      <c r="W266">
        <v>0</v>
      </c>
      <c r="X266">
        <v>476480486</v>
      </c>
      <c r="Y266">
        <f>((AT266*1.15)*1.1)</f>
        <v>0.3795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5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0.3</v>
      </c>
      <c r="AU266" t="s">
        <v>99</v>
      </c>
      <c r="AV266">
        <v>1</v>
      </c>
      <c r="AW266">
        <v>2</v>
      </c>
      <c r="AX266">
        <v>60255887</v>
      </c>
      <c r="AY266">
        <v>1</v>
      </c>
      <c r="AZ266">
        <v>0</v>
      </c>
      <c r="BA266">
        <v>289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U266">
        <f>ROUND(AT266*Source!I225*AH266*AL266,2)</f>
        <v>0</v>
      </c>
      <c r="CV266">
        <f>ROUND(Y266*Source!I225,9)</f>
        <v>17.077500000000001</v>
      </c>
      <c r="CW266">
        <v>0</v>
      </c>
      <c r="CX266">
        <f>ROUND(Y266*Source!I225,9)</f>
        <v>17.077500000000001</v>
      </c>
      <c r="CY266">
        <f>AD266</f>
        <v>0</v>
      </c>
      <c r="CZ266">
        <f>AH266</f>
        <v>0</v>
      </c>
      <c r="DA266">
        <f>AL266</f>
        <v>1</v>
      </c>
      <c r="DB266">
        <f>ROUND(((ROUND(AT266*CZ266,2)*1.15)*1.1),6)</f>
        <v>0</v>
      </c>
      <c r="DC266">
        <f>ROUND(((ROUND(AT266*AG266,2)*1.15)*1.1),6)</f>
        <v>0</v>
      </c>
      <c r="DD266" t="s">
        <v>3</v>
      </c>
      <c r="DE266" t="s">
        <v>3</v>
      </c>
      <c r="DF266">
        <f>ROUND(ROUND(AE266,2)*CX266,2)</f>
        <v>0</v>
      </c>
      <c r="DG266">
        <f t="shared" si="41"/>
        <v>0</v>
      </c>
      <c r="DH266">
        <f t="shared" si="42"/>
        <v>0</v>
      </c>
      <c r="DI266">
        <f t="shared" si="44"/>
        <v>0</v>
      </c>
      <c r="DJ266">
        <f>DI266</f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ROW(Source!A225)</f>
        <v>225</v>
      </c>
      <c r="B267">
        <v>60255011</v>
      </c>
      <c r="C267">
        <v>60255479</v>
      </c>
      <c r="D267">
        <v>59060498</v>
      </c>
      <c r="E267">
        <v>1</v>
      </c>
      <c r="F267">
        <v>1</v>
      </c>
      <c r="G267">
        <v>1080</v>
      </c>
      <c r="H267">
        <v>3</v>
      </c>
      <c r="I267" t="s">
        <v>529</v>
      </c>
      <c r="J267" t="s">
        <v>530</v>
      </c>
      <c r="K267" t="s">
        <v>531</v>
      </c>
      <c r="L267">
        <v>1346</v>
      </c>
      <c r="N267">
        <v>1009</v>
      </c>
      <c r="O267" t="s">
        <v>528</v>
      </c>
      <c r="P267" t="s">
        <v>528</v>
      </c>
      <c r="Q267">
        <v>1</v>
      </c>
      <c r="W267">
        <v>0</v>
      </c>
      <c r="X267">
        <v>883542614</v>
      </c>
      <c r="Y267">
        <f>AT267</f>
        <v>4.2000000000000003E-2</v>
      </c>
      <c r="AA267">
        <v>169.66</v>
      </c>
      <c r="AB267">
        <v>0</v>
      </c>
      <c r="AC267">
        <v>0</v>
      </c>
      <c r="AD267">
        <v>0</v>
      </c>
      <c r="AE267">
        <v>19.28</v>
      </c>
      <c r="AF267">
        <v>0</v>
      </c>
      <c r="AG267">
        <v>0</v>
      </c>
      <c r="AH267">
        <v>0</v>
      </c>
      <c r="AI267">
        <v>8.8000000000000007</v>
      </c>
      <c r="AJ267">
        <v>1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4.2000000000000003E-2</v>
      </c>
      <c r="AU267" t="s">
        <v>3</v>
      </c>
      <c r="AV267">
        <v>0</v>
      </c>
      <c r="AW267">
        <v>2</v>
      </c>
      <c r="AX267">
        <v>60255888</v>
      </c>
      <c r="AY267">
        <v>1</v>
      </c>
      <c r="AZ267">
        <v>0</v>
      </c>
      <c r="BA267">
        <v>290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ROUND(Y267*Source!I225,9)</f>
        <v>1.89</v>
      </c>
      <c r="CY267">
        <f>AA267</f>
        <v>169.66</v>
      </c>
      <c r="CZ267">
        <f>AE267</f>
        <v>19.28</v>
      </c>
      <c r="DA267">
        <f>AI267</f>
        <v>8.8000000000000007</v>
      </c>
      <c r="DB267">
        <f>ROUND(ROUND(AT267*CZ267,2),6)</f>
        <v>0.81</v>
      </c>
      <c r="DC267">
        <f>ROUND(ROUND(AT267*AG267,2),6)</f>
        <v>0</v>
      </c>
      <c r="DD267" t="s">
        <v>3</v>
      </c>
      <c r="DE267" t="s">
        <v>3</v>
      </c>
      <c r="DF267">
        <f>ROUND(ROUND(AE267*AI267,2)*CX267,2)</f>
        <v>320.66000000000003</v>
      </c>
      <c r="DG267">
        <f t="shared" si="41"/>
        <v>0</v>
      </c>
      <c r="DH267">
        <f t="shared" si="42"/>
        <v>0</v>
      </c>
      <c r="DI267">
        <f t="shared" si="44"/>
        <v>0</v>
      </c>
      <c r="DJ267">
        <f>DF267</f>
        <v>320.66000000000003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ROW(Source!A225)</f>
        <v>225</v>
      </c>
      <c r="B268">
        <v>60255011</v>
      </c>
      <c r="C268">
        <v>60255479</v>
      </c>
      <c r="D268">
        <v>59004256</v>
      </c>
      <c r="E268">
        <v>1080</v>
      </c>
      <c r="F268">
        <v>1</v>
      </c>
      <c r="G268">
        <v>1080</v>
      </c>
      <c r="H268">
        <v>3</v>
      </c>
      <c r="I268" t="s">
        <v>532</v>
      </c>
      <c r="J268" t="s">
        <v>3</v>
      </c>
      <c r="K268" t="s">
        <v>533</v>
      </c>
      <c r="L268">
        <v>1348</v>
      </c>
      <c r="N268">
        <v>1009</v>
      </c>
      <c r="O268" t="s">
        <v>534</v>
      </c>
      <c r="P268" t="s">
        <v>534</v>
      </c>
      <c r="Q268">
        <v>1000</v>
      </c>
      <c r="W268">
        <v>0</v>
      </c>
      <c r="X268">
        <v>-783086922</v>
      </c>
      <c r="Y268">
        <f>AT268</f>
        <v>1.5E-3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9.8800000000000008</v>
      </c>
      <c r="AJ268">
        <v>1</v>
      </c>
      <c r="AK268">
        <v>1</v>
      </c>
      <c r="AL268">
        <v>1</v>
      </c>
      <c r="AM268">
        <v>5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1.5E-3</v>
      </c>
      <c r="AU268" t="s">
        <v>3</v>
      </c>
      <c r="AV268">
        <v>0</v>
      </c>
      <c r="AW268">
        <v>2</v>
      </c>
      <c r="AX268">
        <v>60255890</v>
      </c>
      <c r="AY268">
        <v>1</v>
      </c>
      <c r="AZ268">
        <v>0</v>
      </c>
      <c r="BA268">
        <v>292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ROUND(Y268*Source!I225,9)</f>
        <v>6.7500000000000004E-2</v>
      </c>
      <c r="CY268">
        <f>AA268</f>
        <v>0</v>
      </c>
      <c r="CZ268">
        <f>AE268</f>
        <v>0</v>
      </c>
      <c r="DA268">
        <f>AI268</f>
        <v>9.8800000000000008</v>
      </c>
      <c r="DB268">
        <f>ROUND(ROUND(AT268*CZ268,2),6)</f>
        <v>0</v>
      </c>
      <c r="DC268">
        <f>ROUND(ROUND(AT268*AG268,2),6)</f>
        <v>0</v>
      </c>
      <c r="DD268" t="s">
        <v>3</v>
      </c>
      <c r="DE268" t="s">
        <v>3</v>
      </c>
      <c r="DF268">
        <f>ROUND(ROUND(AE268*AI268,2)*CX268,2)</f>
        <v>0</v>
      </c>
      <c r="DG268">
        <f t="shared" si="41"/>
        <v>0</v>
      </c>
      <c r="DH268">
        <f t="shared" si="42"/>
        <v>0</v>
      </c>
      <c r="DI268">
        <f t="shared" si="44"/>
        <v>0</v>
      </c>
      <c r="DJ268">
        <f>DF268</f>
        <v>0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ROW(Source!A230)</f>
        <v>230</v>
      </c>
      <c r="B269">
        <v>60255014</v>
      </c>
      <c r="C269">
        <v>60255489</v>
      </c>
      <c r="D269">
        <v>58999254</v>
      </c>
      <c r="E269">
        <v>1080</v>
      </c>
      <c r="F269">
        <v>1</v>
      </c>
      <c r="G269">
        <v>1080</v>
      </c>
      <c r="H269">
        <v>1</v>
      </c>
      <c r="I269" t="s">
        <v>482</v>
      </c>
      <c r="J269" t="s">
        <v>3</v>
      </c>
      <c r="K269" t="s">
        <v>483</v>
      </c>
      <c r="L269">
        <v>1191</v>
      </c>
      <c r="N269">
        <v>1013</v>
      </c>
      <c r="O269" t="s">
        <v>484</v>
      </c>
      <c r="P269" t="s">
        <v>484</v>
      </c>
      <c r="Q269">
        <v>1</v>
      </c>
      <c r="W269">
        <v>0</v>
      </c>
      <c r="X269">
        <v>476480486</v>
      </c>
      <c r="Y269">
        <f>((AT269*1.15)*1.1)</f>
        <v>0.3795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0.3</v>
      </c>
      <c r="AU269" t="s">
        <v>99</v>
      </c>
      <c r="AV269">
        <v>1</v>
      </c>
      <c r="AW269">
        <v>2</v>
      </c>
      <c r="AX269">
        <v>60255891</v>
      </c>
      <c r="AY269">
        <v>1</v>
      </c>
      <c r="AZ269">
        <v>0</v>
      </c>
      <c r="BA269">
        <v>293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U269">
        <f>ROUND(AT269*Source!I230*AH269*AL269,2)</f>
        <v>0</v>
      </c>
      <c r="CV269">
        <f>ROUND(Y269*Source!I230,9)</f>
        <v>1.518</v>
      </c>
      <c r="CW269">
        <v>0</v>
      </c>
      <c r="CX269">
        <f>ROUND(Y269*Source!I230,9)</f>
        <v>1.518</v>
      </c>
      <c r="CY269">
        <f>AD269</f>
        <v>0</v>
      </c>
      <c r="CZ269">
        <f>AH269</f>
        <v>0</v>
      </c>
      <c r="DA269">
        <f>AL269</f>
        <v>1</v>
      </c>
      <c r="DB269">
        <f>ROUND(((ROUND(AT269*CZ269,2)*1.15)*1.1),6)</f>
        <v>0</v>
      </c>
      <c r="DC269">
        <f>ROUND(((ROUND(AT269*AG269,2)*1.15)*1.1),6)</f>
        <v>0</v>
      </c>
      <c r="DD269" t="s">
        <v>3</v>
      </c>
      <c r="DE269" t="s">
        <v>3</v>
      </c>
      <c r="DF269">
        <f>ROUND(ROUND(AE269,2)*CX269,2)</f>
        <v>0</v>
      </c>
      <c r="DG269">
        <f t="shared" si="41"/>
        <v>0</v>
      </c>
      <c r="DH269">
        <f t="shared" si="42"/>
        <v>0</v>
      </c>
      <c r="DI269">
        <f t="shared" si="44"/>
        <v>0</v>
      </c>
      <c r="DJ269">
        <f>DI269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ROW(Source!A230)</f>
        <v>230</v>
      </c>
      <c r="B270">
        <v>60255014</v>
      </c>
      <c r="C270">
        <v>60255489</v>
      </c>
      <c r="D270">
        <v>59060498</v>
      </c>
      <c r="E270">
        <v>1</v>
      </c>
      <c r="F270">
        <v>1</v>
      </c>
      <c r="G270">
        <v>1080</v>
      </c>
      <c r="H270">
        <v>3</v>
      </c>
      <c r="I270" t="s">
        <v>529</v>
      </c>
      <c r="J270" t="s">
        <v>530</v>
      </c>
      <c r="K270" t="s">
        <v>531</v>
      </c>
      <c r="L270">
        <v>1346</v>
      </c>
      <c r="N270">
        <v>1009</v>
      </c>
      <c r="O270" t="s">
        <v>528</v>
      </c>
      <c r="P270" t="s">
        <v>528</v>
      </c>
      <c r="Q270">
        <v>1</v>
      </c>
      <c r="W270">
        <v>0</v>
      </c>
      <c r="X270">
        <v>883542614</v>
      </c>
      <c r="Y270">
        <f>AT270</f>
        <v>4.2000000000000003E-2</v>
      </c>
      <c r="AA270">
        <v>19.28</v>
      </c>
      <c r="AB270">
        <v>0</v>
      </c>
      <c r="AC270">
        <v>0</v>
      </c>
      <c r="AD270">
        <v>0</v>
      </c>
      <c r="AE270">
        <v>19.28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4.2000000000000003E-2</v>
      </c>
      <c r="AU270" t="s">
        <v>3</v>
      </c>
      <c r="AV270">
        <v>0</v>
      </c>
      <c r="AW270">
        <v>2</v>
      </c>
      <c r="AX270">
        <v>60255892</v>
      </c>
      <c r="AY270">
        <v>1</v>
      </c>
      <c r="AZ270">
        <v>0</v>
      </c>
      <c r="BA270">
        <v>294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ROUND(Y270*Source!I230,9)</f>
        <v>0.16800000000000001</v>
      </c>
      <c r="CY270">
        <f>AA270</f>
        <v>19.28</v>
      </c>
      <c r="CZ270">
        <f>AE270</f>
        <v>19.28</v>
      </c>
      <c r="DA270">
        <f>AI270</f>
        <v>1</v>
      </c>
      <c r="DB270">
        <f>ROUND(ROUND(AT270*CZ270,2),6)</f>
        <v>0.81</v>
      </c>
      <c r="DC270">
        <f>ROUND(ROUND(AT270*AG270,2),6)</f>
        <v>0</v>
      </c>
      <c r="DD270" t="s">
        <v>3</v>
      </c>
      <c r="DE270" t="s">
        <v>3</v>
      </c>
      <c r="DF270">
        <f>ROUND(ROUND(AE270,2)*CX270,2)</f>
        <v>3.24</v>
      </c>
      <c r="DG270">
        <f t="shared" si="41"/>
        <v>0</v>
      </c>
      <c r="DH270">
        <f t="shared" si="42"/>
        <v>0</v>
      </c>
      <c r="DI270">
        <f t="shared" si="44"/>
        <v>0</v>
      </c>
      <c r="DJ270">
        <f>DF270</f>
        <v>3.24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ROW(Source!A230)</f>
        <v>230</v>
      </c>
      <c r="B271">
        <v>60255014</v>
      </c>
      <c r="C271">
        <v>60255489</v>
      </c>
      <c r="D271">
        <v>59004256</v>
      </c>
      <c r="E271">
        <v>1080</v>
      </c>
      <c r="F271">
        <v>1</v>
      </c>
      <c r="G271">
        <v>1080</v>
      </c>
      <c r="H271">
        <v>3</v>
      </c>
      <c r="I271" t="s">
        <v>532</v>
      </c>
      <c r="J271" t="s">
        <v>3</v>
      </c>
      <c r="K271" t="s">
        <v>533</v>
      </c>
      <c r="L271">
        <v>1348</v>
      </c>
      <c r="N271">
        <v>1009</v>
      </c>
      <c r="O271" t="s">
        <v>534</v>
      </c>
      <c r="P271" t="s">
        <v>534</v>
      </c>
      <c r="Q271">
        <v>1000</v>
      </c>
      <c r="W271">
        <v>0</v>
      </c>
      <c r="X271">
        <v>-783086922</v>
      </c>
      <c r="Y271">
        <f>AT271</f>
        <v>1.5E-3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1.5E-3</v>
      </c>
      <c r="AU271" t="s">
        <v>3</v>
      </c>
      <c r="AV271">
        <v>0</v>
      </c>
      <c r="AW271">
        <v>2</v>
      </c>
      <c r="AX271">
        <v>60255894</v>
      </c>
      <c r="AY271">
        <v>1</v>
      </c>
      <c r="AZ271">
        <v>0</v>
      </c>
      <c r="BA271">
        <v>296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ROUND(Y271*Source!I230,9)</f>
        <v>6.0000000000000001E-3</v>
      </c>
      <c r="CY271">
        <f>AA271</f>
        <v>0</v>
      </c>
      <c r="CZ271">
        <f>AE271</f>
        <v>0</v>
      </c>
      <c r="DA271">
        <f>AI271</f>
        <v>1</v>
      </c>
      <c r="DB271">
        <f>ROUND(ROUND(AT271*CZ271,2),6)</f>
        <v>0</v>
      </c>
      <c r="DC271">
        <f>ROUND(ROUND(AT271*AG271,2),6)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41"/>
        <v>0</v>
      </c>
      <c r="DH271">
        <f t="shared" si="42"/>
        <v>0</v>
      </c>
      <c r="DI271">
        <f t="shared" si="44"/>
        <v>0</v>
      </c>
      <c r="DJ271">
        <f>DF271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ROW(Source!A231)</f>
        <v>231</v>
      </c>
      <c r="B272">
        <v>60255011</v>
      </c>
      <c r="C272">
        <v>60255489</v>
      </c>
      <c r="D272">
        <v>58999254</v>
      </c>
      <c r="E272">
        <v>1080</v>
      </c>
      <c r="F272">
        <v>1</v>
      </c>
      <c r="G272">
        <v>1080</v>
      </c>
      <c r="H272">
        <v>1</v>
      </c>
      <c r="I272" t="s">
        <v>482</v>
      </c>
      <c r="J272" t="s">
        <v>3</v>
      </c>
      <c r="K272" t="s">
        <v>483</v>
      </c>
      <c r="L272">
        <v>1191</v>
      </c>
      <c r="N272">
        <v>1013</v>
      </c>
      <c r="O272" t="s">
        <v>484</v>
      </c>
      <c r="P272" t="s">
        <v>484</v>
      </c>
      <c r="Q272">
        <v>1</v>
      </c>
      <c r="W272">
        <v>0</v>
      </c>
      <c r="X272">
        <v>476480486</v>
      </c>
      <c r="Y272">
        <f>((AT272*1.15)*1.1)</f>
        <v>0.3795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5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0.3</v>
      </c>
      <c r="AU272" t="s">
        <v>99</v>
      </c>
      <c r="AV272">
        <v>1</v>
      </c>
      <c r="AW272">
        <v>2</v>
      </c>
      <c r="AX272">
        <v>60255891</v>
      </c>
      <c r="AY272">
        <v>1</v>
      </c>
      <c r="AZ272">
        <v>0</v>
      </c>
      <c r="BA272">
        <v>297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U272">
        <f>ROUND(AT272*Source!I231*AH272*AL272,2)</f>
        <v>0</v>
      </c>
      <c r="CV272">
        <f>ROUND(Y272*Source!I231,9)</f>
        <v>1.518</v>
      </c>
      <c r="CW272">
        <v>0</v>
      </c>
      <c r="CX272">
        <f>ROUND(Y272*Source!I231,9)</f>
        <v>1.518</v>
      </c>
      <c r="CY272">
        <f>AD272</f>
        <v>0</v>
      </c>
      <c r="CZ272">
        <f>AH272</f>
        <v>0</v>
      </c>
      <c r="DA272">
        <f>AL272</f>
        <v>1</v>
      </c>
      <c r="DB272">
        <f>ROUND(((ROUND(AT272*CZ272,2)*1.15)*1.1),6)</f>
        <v>0</v>
      </c>
      <c r="DC272">
        <f>ROUND(((ROUND(AT272*AG272,2)*1.15)*1.1),6)</f>
        <v>0</v>
      </c>
      <c r="DD272" t="s">
        <v>3</v>
      </c>
      <c r="DE272" t="s">
        <v>3</v>
      </c>
      <c r="DF272">
        <f>ROUND(ROUND(AE272,2)*CX272,2)</f>
        <v>0</v>
      </c>
      <c r="DG272">
        <f t="shared" si="41"/>
        <v>0</v>
      </c>
      <c r="DH272">
        <f t="shared" si="42"/>
        <v>0</v>
      </c>
      <c r="DI272">
        <f t="shared" si="44"/>
        <v>0</v>
      </c>
      <c r="DJ272">
        <f>DI272</f>
        <v>0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ROW(Source!A231)</f>
        <v>231</v>
      </c>
      <c r="B273">
        <v>60255011</v>
      </c>
      <c r="C273">
        <v>60255489</v>
      </c>
      <c r="D273">
        <v>59060498</v>
      </c>
      <c r="E273">
        <v>1</v>
      </c>
      <c r="F273">
        <v>1</v>
      </c>
      <c r="G273">
        <v>1080</v>
      </c>
      <c r="H273">
        <v>3</v>
      </c>
      <c r="I273" t="s">
        <v>529</v>
      </c>
      <c r="J273" t="s">
        <v>530</v>
      </c>
      <c r="K273" t="s">
        <v>531</v>
      </c>
      <c r="L273">
        <v>1346</v>
      </c>
      <c r="N273">
        <v>1009</v>
      </c>
      <c r="O273" t="s">
        <v>528</v>
      </c>
      <c r="P273" t="s">
        <v>528</v>
      </c>
      <c r="Q273">
        <v>1</v>
      </c>
      <c r="W273">
        <v>0</v>
      </c>
      <c r="X273">
        <v>883542614</v>
      </c>
      <c r="Y273">
        <f>AT273</f>
        <v>4.2000000000000003E-2</v>
      </c>
      <c r="AA273">
        <v>169.66</v>
      </c>
      <c r="AB273">
        <v>0</v>
      </c>
      <c r="AC273">
        <v>0</v>
      </c>
      <c r="AD273">
        <v>0</v>
      </c>
      <c r="AE273">
        <v>19.28</v>
      </c>
      <c r="AF273">
        <v>0</v>
      </c>
      <c r="AG273">
        <v>0</v>
      </c>
      <c r="AH273">
        <v>0</v>
      </c>
      <c r="AI273">
        <v>8.8000000000000007</v>
      </c>
      <c r="AJ273">
        <v>1</v>
      </c>
      <c r="AK273">
        <v>1</v>
      </c>
      <c r="AL273">
        <v>1</v>
      </c>
      <c r="AM273">
        <v>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4.2000000000000003E-2</v>
      </c>
      <c r="AU273" t="s">
        <v>3</v>
      </c>
      <c r="AV273">
        <v>0</v>
      </c>
      <c r="AW273">
        <v>2</v>
      </c>
      <c r="AX273">
        <v>60255892</v>
      </c>
      <c r="AY273">
        <v>1</v>
      </c>
      <c r="AZ273">
        <v>0</v>
      </c>
      <c r="BA273">
        <v>298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ROUND(Y273*Source!I231,9)</f>
        <v>0.16800000000000001</v>
      </c>
      <c r="CY273">
        <f>AA273</f>
        <v>169.66</v>
      </c>
      <c r="CZ273">
        <f>AE273</f>
        <v>19.28</v>
      </c>
      <c r="DA273">
        <f>AI273</f>
        <v>8.8000000000000007</v>
      </c>
      <c r="DB273">
        <f>ROUND(ROUND(AT273*CZ273,2),6)</f>
        <v>0.81</v>
      </c>
      <c r="DC273">
        <f>ROUND(ROUND(AT273*AG273,2),6)</f>
        <v>0</v>
      </c>
      <c r="DD273" t="s">
        <v>3</v>
      </c>
      <c r="DE273" t="s">
        <v>3</v>
      </c>
      <c r="DF273">
        <f>ROUND(ROUND(AE273*AI273,2)*CX273,2)</f>
        <v>28.5</v>
      </c>
      <c r="DG273">
        <f t="shared" si="41"/>
        <v>0</v>
      </c>
      <c r="DH273">
        <f t="shared" si="42"/>
        <v>0</v>
      </c>
      <c r="DI273">
        <f t="shared" si="44"/>
        <v>0</v>
      </c>
      <c r="DJ273">
        <f>DF273</f>
        <v>28.5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ROW(Source!A231)</f>
        <v>231</v>
      </c>
      <c r="B274">
        <v>60255011</v>
      </c>
      <c r="C274">
        <v>60255489</v>
      </c>
      <c r="D274">
        <v>59004256</v>
      </c>
      <c r="E274">
        <v>1080</v>
      </c>
      <c r="F274">
        <v>1</v>
      </c>
      <c r="G274">
        <v>1080</v>
      </c>
      <c r="H274">
        <v>3</v>
      </c>
      <c r="I274" t="s">
        <v>532</v>
      </c>
      <c r="J274" t="s">
        <v>3</v>
      </c>
      <c r="K274" t="s">
        <v>533</v>
      </c>
      <c r="L274">
        <v>1348</v>
      </c>
      <c r="N274">
        <v>1009</v>
      </c>
      <c r="O274" t="s">
        <v>534</v>
      </c>
      <c r="P274" t="s">
        <v>534</v>
      </c>
      <c r="Q274">
        <v>1000</v>
      </c>
      <c r="W274">
        <v>0</v>
      </c>
      <c r="X274">
        <v>-783086922</v>
      </c>
      <c r="Y274">
        <f>AT274</f>
        <v>1.5E-3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9.8800000000000008</v>
      </c>
      <c r="AJ274">
        <v>1</v>
      </c>
      <c r="AK274">
        <v>1</v>
      </c>
      <c r="AL274">
        <v>1</v>
      </c>
      <c r="AM274">
        <v>5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1.5E-3</v>
      </c>
      <c r="AU274" t="s">
        <v>3</v>
      </c>
      <c r="AV274">
        <v>0</v>
      </c>
      <c r="AW274">
        <v>2</v>
      </c>
      <c r="AX274">
        <v>60255894</v>
      </c>
      <c r="AY274">
        <v>1</v>
      </c>
      <c r="AZ274">
        <v>0</v>
      </c>
      <c r="BA274">
        <v>300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ROUND(Y274*Source!I231,9)</f>
        <v>6.0000000000000001E-3</v>
      </c>
      <c r="CY274">
        <f>AA274</f>
        <v>0</v>
      </c>
      <c r="CZ274">
        <f>AE274</f>
        <v>0</v>
      </c>
      <c r="DA274">
        <f>AI274</f>
        <v>9.8800000000000008</v>
      </c>
      <c r="DB274">
        <f>ROUND(ROUND(AT274*CZ274,2),6)</f>
        <v>0</v>
      </c>
      <c r="DC274">
        <f>ROUND(ROUND(AT274*AG274,2),6)</f>
        <v>0</v>
      </c>
      <c r="DD274" t="s">
        <v>3</v>
      </c>
      <c r="DE274" t="s">
        <v>3</v>
      </c>
      <c r="DF274">
        <f>ROUND(ROUND(AE274*AI274,2)*CX274,2)</f>
        <v>0</v>
      </c>
      <c r="DG274">
        <f t="shared" si="41"/>
        <v>0</v>
      </c>
      <c r="DH274">
        <f t="shared" si="42"/>
        <v>0</v>
      </c>
      <c r="DI274">
        <f t="shared" si="44"/>
        <v>0</v>
      </c>
      <c r="DJ274">
        <f>DF274</f>
        <v>0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ROW(Source!A236)</f>
        <v>236</v>
      </c>
      <c r="B275">
        <v>60255014</v>
      </c>
      <c r="C275">
        <v>60255499</v>
      </c>
      <c r="D275">
        <v>58999254</v>
      </c>
      <c r="E275">
        <v>1080</v>
      </c>
      <c r="F275">
        <v>1</v>
      </c>
      <c r="G275">
        <v>1080</v>
      </c>
      <c r="H275">
        <v>1</v>
      </c>
      <c r="I275" t="s">
        <v>482</v>
      </c>
      <c r="J275" t="s">
        <v>3</v>
      </c>
      <c r="K275" t="s">
        <v>483</v>
      </c>
      <c r="L275">
        <v>1191</v>
      </c>
      <c r="N275">
        <v>1013</v>
      </c>
      <c r="O275" t="s">
        <v>484</v>
      </c>
      <c r="P275" t="s">
        <v>484</v>
      </c>
      <c r="Q275">
        <v>1</v>
      </c>
      <c r="W275">
        <v>0</v>
      </c>
      <c r="X275">
        <v>476480486</v>
      </c>
      <c r="Y275">
        <f>((AT275*1.15)*1.1)</f>
        <v>0.3795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0.3</v>
      </c>
      <c r="AU275" t="s">
        <v>99</v>
      </c>
      <c r="AV275">
        <v>1</v>
      </c>
      <c r="AW275">
        <v>2</v>
      </c>
      <c r="AX275">
        <v>60255895</v>
      </c>
      <c r="AY275">
        <v>1</v>
      </c>
      <c r="AZ275">
        <v>0</v>
      </c>
      <c r="BA275">
        <v>301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ROUND(AT275*Source!I236*AH275*AL275,2)</f>
        <v>0</v>
      </c>
      <c r="CV275">
        <f>ROUND(Y275*Source!I236,9)</f>
        <v>1.1385000000000001</v>
      </c>
      <c r="CW275">
        <v>0</v>
      </c>
      <c r="CX275">
        <f>ROUND(Y275*Source!I236,9)</f>
        <v>1.1385000000000001</v>
      </c>
      <c r="CY275">
        <f>AD275</f>
        <v>0</v>
      </c>
      <c r="CZ275">
        <f>AH275</f>
        <v>0</v>
      </c>
      <c r="DA275">
        <f>AL275</f>
        <v>1</v>
      </c>
      <c r="DB275">
        <f>ROUND(((ROUND(AT275*CZ275,2)*1.15)*1.1),6)</f>
        <v>0</v>
      </c>
      <c r="DC275">
        <f>ROUND(((ROUND(AT275*AG275,2)*1.15)*1.1),6)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41"/>
        <v>0</v>
      </c>
      <c r="DH275">
        <f t="shared" si="42"/>
        <v>0</v>
      </c>
      <c r="DI275">
        <f t="shared" si="44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ROW(Source!A236)</f>
        <v>236</v>
      </c>
      <c r="B276">
        <v>60255014</v>
      </c>
      <c r="C276">
        <v>60255499</v>
      </c>
      <c r="D276">
        <v>59060498</v>
      </c>
      <c r="E276">
        <v>1</v>
      </c>
      <c r="F276">
        <v>1</v>
      </c>
      <c r="G276">
        <v>1080</v>
      </c>
      <c r="H276">
        <v>3</v>
      </c>
      <c r="I276" t="s">
        <v>529</v>
      </c>
      <c r="J276" t="s">
        <v>530</v>
      </c>
      <c r="K276" t="s">
        <v>531</v>
      </c>
      <c r="L276">
        <v>1346</v>
      </c>
      <c r="N276">
        <v>1009</v>
      </c>
      <c r="O276" t="s">
        <v>528</v>
      </c>
      <c r="P276" t="s">
        <v>528</v>
      </c>
      <c r="Q276">
        <v>1</v>
      </c>
      <c r="W276">
        <v>0</v>
      </c>
      <c r="X276">
        <v>883542614</v>
      </c>
      <c r="Y276">
        <f>AT276</f>
        <v>4.2000000000000003E-2</v>
      </c>
      <c r="AA276">
        <v>19.28</v>
      </c>
      <c r="AB276">
        <v>0</v>
      </c>
      <c r="AC276">
        <v>0</v>
      </c>
      <c r="AD276">
        <v>0</v>
      </c>
      <c r="AE276">
        <v>19.28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4.2000000000000003E-2</v>
      </c>
      <c r="AU276" t="s">
        <v>3</v>
      </c>
      <c r="AV276">
        <v>0</v>
      </c>
      <c r="AW276">
        <v>2</v>
      </c>
      <c r="AX276">
        <v>60255896</v>
      </c>
      <c r="AY276">
        <v>1</v>
      </c>
      <c r="AZ276">
        <v>0</v>
      </c>
      <c r="BA276">
        <v>302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ROUND(Y276*Source!I236,9)</f>
        <v>0.126</v>
      </c>
      <c r="CY276">
        <f>AA276</f>
        <v>19.28</v>
      </c>
      <c r="CZ276">
        <f>AE276</f>
        <v>19.28</v>
      </c>
      <c r="DA276">
        <f>AI276</f>
        <v>1</v>
      </c>
      <c r="DB276">
        <f>ROUND(ROUND(AT276*CZ276,2),6)</f>
        <v>0.81</v>
      </c>
      <c r="DC276">
        <f>ROUND(ROUND(AT276*AG276,2),6)</f>
        <v>0</v>
      </c>
      <c r="DD276" t="s">
        <v>3</v>
      </c>
      <c r="DE276" t="s">
        <v>3</v>
      </c>
      <c r="DF276">
        <f>ROUND(ROUND(AE276,2)*CX276,2)</f>
        <v>2.4300000000000002</v>
      </c>
      <c r="DG276">
        <f t="shared" si="41"/>
        <v>0</v>
      </c>
      <c r="DH276">
        <f t="shared" si="42"/>
        <v>0</v>
      </c>
      <c r="DI276">
        <f t="shared" si="44"/>
        <v>0</v>
      </c>
      <c r="DJ276">
        <f>DF276</f>
        <v>2.4300000000000002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ROW(Source!A236)</f>
        <v>236</v>
      </c>
      <c r="B277">
        <v>60255014</v>
      </c>
      <c r="C277">
        <v>60255499</v>
      </c>
      <c r="D277">
        <v>59004256</v>
      </c>
      <c r="E277">
        <v>1080</v>
      </c>
      <c r="F277">
        <v>1</v>
      </c>
      <c r="G277">
        <v>1080</v>
      </c>
      <c r="H277">
        <v>3</v>
      </c>
      <c r="I277" t="s">
        <v>532</v>
      </c>
      <c r="J277" t="s">
        <v>3</v>
      </c>
      <c r="K277" t="s">
        <v>533</v>
      </c>
      <c r="L277">
        <v>1348</v>
      </c>
      <c r="N277">
        <v>1009</v>
      </c>
      <c r="O277" t="s">
        <v>534</v>
      </c>
      <c r="P277" t="s">
        <v>534</v>
      </c>
      <c r="Q277">
        <v>1000</v>
      </c>
      <c r="W277">
        <v>0</v>
      </c>
      <c r="X277">
        <v>-783086922</v>
      </c>
      <c r="Y277">
        <f>AT277</f>
        <v>1.5E-3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1.5E-3</v>
      </c>
      <c r="AU277" t="s">
        <v>3</v>
      </c>
      <c r="AV277">
        <v>0</v>
      </c>
      <c r="AW277">
        <v>2</v>
      </c>
      <c r="AX277">
        <v>60255898</v>
      </c>
      <c r="AY277">
        <v>1</v>
      </c>
      <c r="AZ277">
        <v>0</v>
      </c>
      <c r="BA277">
        <v>304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ROUND(Y277*Source!I236,9)</f>
        <v>4.4999999999999997E-3</v>
      </c>
      <c r="CY277">
        <f>AA277</f>
        <v>0</v>
      </c>
      <c r="CZ277">
        <f>AE277</f>
        <v>0</v>
      </c>
      <c r="DA277">
        <f>AI277</f>
        <v>1</v>
      </c>
      <c r="DB277">
        <f>ROUND(ROUND(AT277*CZ277,2),6)</f>
        <v>0</v>
      </c>
      <c r="DC277">
        <f>ROUND(ROUND(AT277*AG277,2),6)</f>
        <v>0</v>
      </c>
      <c r="DD277" t="s">
        <v>3</v>
      </c>
      <c r="DE277" t="s">
        <v>3</v>
      </c>
      <c r="DF277">
        <f>ROUND(ROUND(AE277,2)*CX277,2)</f>
        <v>0</v>
      </c>
      <c r="DG277">
        <f t="shared" si="41"/>
        <v>0</v>
      </c>
      <c r="DH277">
        <f t="shared" si="42"/>
        <v>0</v>
      </c>
      <c r="DI277">
        <f t="shared" si="44"/>
        <v>0</v>
      </c>
      <c r="DJ277">
        <f>DF277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ROW(Source!A237)</f>
        <v>237</v>
      </c>
      <c r="B278">
        <v>60255011</v>
      </c>
      <c r="C278">
        <v>60255499</v>
      </c>
      <c r="D278">
        <v>58999254</v>
      </c>
      <c r="E278">
        <v>1080</v>
      </c>
      <c r="F278">
        <v>1</v>
      </c>
      <c r="G278">
        <v>1080</v>
      </c>
      <c r="H278">
        <v>1</v>
      </c>
      <c r="I278" t="s">
        <v>482</v>
      </c>
      <c r="J278" t="s">
        <v>3</v>
      </c>
      <c r="K278" t="s">
        <v>483</v>
      </c>
      <c r="L278">
        <v>1191</v>
      </c>
      <c r="N278">
        <v>1013</v>
      </c>
      <c r="O278" t="s">
        <v>484</v>
      </c>
      <c r="P278" t="s">
        <v>484</v>
      </c>
      <c r="Q278">
        <v>1</v>
      </c>
      <c r="W278">
        <v>0</v>
      </c>
      <c r="X278">
        <v>476480486</v>
      </c>
      <c r="Y278">
        <f>((AT278*1.15)*1.1)</f>
        <v>0.3795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5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0.3</v>
      </c>
      <c r="AU278" t="s">
        <v>99</v>
      </c>
      <c r="AV278">
        <v>1</v>
      </c>
      <c r="AW278">
        <v>2</v>
      </c>
      <c r="AX278">
        <v>60255895</v>
      </c>
      <c r="AY278">
        <v>1</v>
      </c>
      <c r="AZ278">
        <v>0</v>
      </c>
      <c r="BA278">
        <v>305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U278">
        <f>ROUND(AT278*Source!I237*AH278*AL278,2)</f>
        <v>0</v>
      </c>
      <c r="CV278">
        <f>ROUND(Y278*Source!I237,9)</f>
        <v>1.1385000000000001</v>
      </c>
      <c r="CW278">
        <v>0</v>
      </c>
      <c r="CX278">
        <f>ROUND(Y278*Source!I237,9)</f>
        <v>1.1385000000000001</v>
      </c>
      <c r="CY278">
        <f>AD278</f>
        <v>0</v>
      </c>
      <c r="CZ278">
        <f>AH278</f>
        <v>0</v>
      </c>
      <c r="DA278">
        <f>AL278</f>
        <v>1</v>
      </c>
      <c r="DB278">
        <f>ROUND(((ROUND(AT278*CZ278,2)*1.15)*1.1),6)</f>
        <v>0</v>
      </c>
      <c r="DC278">
        <f>ROUND(((ROUND(AT278*AG278,2)*1.15)*1.1),6)</f>
        <v>0</v>
      </c>
      <c r="DD278" t="s">
        <v>3</v>
      </c>
      <c r="DE278" t="s">
        <v>3</v>
      </c>
      <c r="DF278">
        <f>ROUND(ROUND(AE278,2)*CX278,2)</f>
        <v>0</v>
      </c>
      <c r="DG278">
        <f t="shared" si="41"/>
        <v>0</v>
      </c>
      <c r="DH278">
        <f t="shared" si="42"/>
        <v>0</v>
      </c>
      <c r="DI278">
        <f t="shared" si="44"/>
        <v>0</v>
      </c>
      <c r="DJ278">
        <f>DI278</f>
        <v>0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ROW(Source!A237)</f>
        <v>237</v>
      </c>
      <c r="B279">
        <v>60255011</v>
      </c>
      <c r="C279">
        <v>60255499</v>
      </c>
      <c r="D279">
        <v>59060498</v>
      </c>
      <c r="E279">
        <v>1</v>
      </c>
      <c r="F279">
        <v>1</v>
      </c>
      <c r="G279">
        <v>1080</v>
      </c>
      <c r="H279">
        <v>3</v>
      </c>
      <c r="I279" t="s">
        <v>529</v>
      </c>
      <c r="J279" t="s">
        <v>530</v>
      </c>
      <c r="K279" t="s">
        <v>531</v>
      </c>
      <c r="L279">
        <v>1346</v>
      </c>
      <c r="N279">
        <v>1009</v>
      </c>
      <c r="O279" t="s">
        <v>528</v>
      </c>
      <c r="P279" t="s">
        <v>528</v>
      </c>
      <c r="Q279">
        <v>1</v>
      </c>
      <c r="W279">
        <v>0</v>
      </c>
      <c r="X279">
        <v>883542614</v>
      </c>
      <c r="Y279">
        <f>AT279</f>
        <v>4.2000000000000003E-2</v>
      </c>
      <c r="AA279">
        <v>169.66</v>
      </c>
      <c r="AB279">
        <v>0</v>
      </c>
      <c r="AC279">
        <v>0</v>
      </c>
      <c r="AD279">
        <v>0</v>
      </c>
      <c r="AE279">
        <v>19.28</v>
      </c>
      <c r="AF279">
        <v>0</v>
      </c>
      <c r="AG279">
        <v>0</v>
      </c>
      <c r="AH279">
        <v>0</v>
      </c>
      <c r="AI279">
        <v>8.8000000000000007</v>
      </c>
      <c r="AJ279">
        <v>1</v>
      </c>
      <c r="AK279">
        <v>1</v>
      </c>
      <c r="AL279">
        <v>1</v>
      </c>
      <c r="AM279">
        <v>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4.2000000000000003E-2</v>
      </c>
      <c r="AU279" t="s">
        <v>3</v>
      </c>
      <c r="AV279">
        <v>0</v>
      </c>
      <c r="AW279">
        <v>2</v>
      </c>
      <c r="AX279">
        <v>60255896</v>
      </c>
      <c r="AY279">
        <v>1</v>
      </c>
      <c r="AZ279">
        <v>0</v>
      </c>
      <c r="BA279">
        <v>306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ROUND(Y279*Source!I237,9)</f>
        <v>0.126</v>
      </c>
      <c r="CY279">
        <f>AA279</f>
        <v>169.66</v>
      </c>
      <c r="CZ279">
        <f>AE279</f>
        <v>19.28</v>
      </c>
      <c r="DA279">
        <f>AI279</f>
        <v>8.8000000000000007</v>
      </c>
      <c r="DB279">
        <f>ROUND(ROUND(AT279*CZ279,2),6)</f>
        <v>0.81</v>
      </c>
      <c r="DC279">
        <f>ROUND(ROUND(AT279*AG279,2),6)</f>
        <v>0</v>
      </c>
      <c r="DD279" t="s">
        <v>3</v>
      </c>
      <c r="DE279" t="s">
        <v>3</v>
      </c>
      <c r="DF279">
        <f>ROUND(ROUND(AE279*AI279,2)*CX279,2)</f>
        <v>21.38</v>
      </c>
      <c r="DG279">
        <f t="shared" si="41"/>
        <v>0</v>
      </c>
      <c r="DH279">
        <f t="shared" si="42"/>
        <v>0</v>
      </c>
      <c r="DI279">
        <f t="shared" si="44"/>
        <v>0</v>
      </c>
      <c r="DJ279">
        <f>DF279</f>
        <v>21.38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ROW(Source!A237)</f>
        <v>237</v>
      </c>
      <c r="B280">
        <v>60255011</v>
      </c>
      <c r="C280">
        <v>60255499</v>
      </c>
      <c r="D280">
        <v>59004256</v>
      </c>
      <c r="E280">
        <v>1080</v>
      </c>
      <c r="F280">
        <v>1</v>
      </c>
      <c r="G280">
        <v>1080</v>
      </c>
      <c r="H280">
        <v>3</v>
      </c>
      <c r="I280" t="s">
        <v>532</v>
      </c>
      <c r="J280" t="s">
        <v>3</v>
      </c>
      <c r="K280" t="s">
        <v>533</v>
      </c>
      <c r="L280">
        <v>1348</v>
      </c>
      <c r="N280">
        <v>1009</v>
      </c>
      <c r="O280" t="s">
        <v>534</v>
      </c>
      <c r="P280" t="s">
        <v>534</v>
      </c>
      <c r="Q280">
        <v>1000</v>
      </c>
      <c r="W280">
        <v>0</v>
      </c>
      <c r="X280">
        <v>-783086922</v>
      </c>
      <c r="Y280">
        <f>AT280</f>
        <v>1.5E-3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9.8800000000000008</v>
      </c>
      <c r="AJ280">
        <v>1</v>
      </c>
      <c r="AK280">
        <v>1</v>
      </c>
      <c r="AL280">
        <v>1</v>
      </c>
      <c r="AM280">
        <v>5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1.5E-3</v>
      </c>
      <c r="AU280" t="s">
        <v>3</v>
      </c>
      <c r="AV280">
        <v>0</v>
      </c>
      <c r="AW280">
        <v>2</v>
      </c>
      <c r="AX280">
        <v>60255898</v>
      </c>
      <c r="AY280">
        <v>1</v>
      </c>
      <c r="AZ280">
        <v>0</v>
      </c>
      <c r="BA280">
        <v>308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ROUND(Y280*Source!I237,9)</f>
        <v>4.4999999999999997E-3</v>
      </c>
      <c r="CY280">
        <f>AA280</f>
        <v>0</v>
      </c>
      <c r="CZ280">
        <f>AE280</f>
        <v>0</v>
      </c>
      <c r="DA280">
        <f>AI280</f>
        <v>9.8800000000000008</v>
      </c>
      <c r="DB280">
        <f>ROUND(ROUND(AT280*CZ280,2),6)</f>
        <v>0</v>
      </c>
      <c r="DC280">
        <f>ROUND(ROUND(AT280*AG280,2),6)</f>
        <v>0</v>
      </c>
      <c r="DD280" t="s">
        <v>3</v>
      </c>
      <c r="DE280" t="s">
        <v>3</v>
      </c>
      <c r="DF280">
        <f>ROUND(ROUND(AE280*AI280,2)*CX280,2)</f>
        <v>0</v>
      </c>
      <c r="DG280">
        <f t="shared" si="41"/>
        <v>0</v>
      </c>
      <c r="DH280">
        <f t="shared" si="42"/>
        <v>0</v>
      </c>
      <c r="DI280">
        <f t="shared" si="44"/>
        <v>0</v>
      </c>
      <c r="DJ280">
        <f>DF280</f>
        <v>0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ROW(Source!A243)</f>
        <v>243</v>
      </c>
      <c r="B281">
        <v>60255014</v>
      </c>
      <c r="C281">
        <v>60255510</v>
      </c>
      <c r="D281">
        <v>58999254</v>
      </c>
      <c r="E281">
        <v>1080</v>
      </c>
      <c r="F281">
        <v>1</v>
      </c>
      <c r="G281">
        <v>1080</v>
      </c>
      <c r="H281">
        <v>1</v>
      </c>
      <c r="I281" t="s">
        <v>482</v>
      </c>
      <c r="J281" t="s">
        <v>3</v>
      </c>
      <c r="K281" t="s">
        <v>483</v>
      </c>
      <c r="L281">
        <v>1191</v>
      </c>
      <c r="N281">
        <v>1013</v>
      </c>
      <c r="O281" t="s">
        <v>484</v>
      </c>
      <c r="P281" t="s">
        <v>484</v>
      </c>
      <c r="Q281">
        <v>1</v>
      </c>
      <c r="W281">
        <v>0</v>
      </c>
      <c r="X281">
        <v>476480486</v>
      </c>
      <c r="Y281">
        <f>((AT281*1.15)*1.1)</f>
        <v>7.59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6</v>
      </c>
      <c r="AU281" t="s">
        <v>355</v>
      </c>
      <c r="AV281">
        <v>1</v>
      </c>
      <c r="AW281">
        <v>2</v>
      </c>
      <c r="AX281">
        <v>60255899</v>
      </c>
      <c r="AY281">
        <v>1</v>
      </c>
      <c r="AZ281">
        <v>0</v>
      </c>
      <c r="BA281">
        <v>309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ROUND(AT281*Source!I243*AH281*AL281,2)</f>
        <v>0</v>
      </c>
      <c r="CV281">
        <f>ROUND(Y281*Source!I243,9)</f>
        <v>0.75900000000000001</v>
      </c>
      <c r="CW281">
        <v>0</v>
      </c>
      <c r="CX281">
        <f>ROUND(Y281*Source!I243,9)</f>
        <v>0.75900000000000001</v>
      </c>
      <c r="CY281">
        <f>AD281</f>
        <v>0</v>
      </c>
      <c r="CZ281">
        <f>AH281</f>
        <v>0</v>
      </c>
      <c r="DA281">
        <f>AL281</f>
        <v>1</v>
      </c>
      <c r="DB281">
        <f>ROUND(((ROUND(AT281*CZ281,2)*1.15)*1.1),6)</f>
        <v>0</v>
      </c>
      <c r="DC281">
        <f>ROUND(((ROUND(AT281*AG281,2)*1.15)*1.1),6)</f>
        <v>0</v>
      </c>
      <c r="DD281" t="s">
        <v>3</v>
      </c>
      <c r="DE281" t="s">
        <v>3</v>
      </c>
      <c r="DF281">
        <f t="shared" ref="DF281:DF289" si="45">ROUND(ROUND(AE281,2)*CX281,2)</f>
        <v>0</v>
      </c>
      <c r="DG281">
        <f t="shared" si="41"/>
        <v>0</v>
      </c>
      <c r="DH281">
        <f t="shared" si="42"/>
        <v>0</v>
      </c>
      <c r="DI281">
        <f t="shared" si="44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ROW(Source!A243)</f>
        <v>243</v>
      </c>
      <c r="B282">
        <v>60255014</v>
      </c>
      <c r="C282">
        <v>60255510</v>
      </c>
      <c r="D282">
        <v>59070669</v>
      </c>
      <c r="E282">
        <v>1</v>
      </c>
      <c r="F282">
        <v>1</v>
      </c>
      <c r="G282">
        <v>1080</v>
      </c>
      <c r="H282">
        <v>2</v>
      </c>
      <c r="I282" t="s">
        <v>485</v>
      </c>
      <c r="J282" t="s">
        <v>486</v>
      </c>
      <c r="K282" t="s">
        <v>487</v>
      </c>
      <c r="L282">
        <v>1368</v>
      </c>
      <c r="N282">
        <v>1011</v>
      </c>
      <c r="O282" t="s">
        <v>488</v>
      </c>
      <c r="P282" t="s">
        <v>488</v>
      </c>
      <c r="Q282">
        <v>1</v>
      </c>
      <c r="W282">
        <v>0</v>
      </c>
      <c r="X282">
        <v>-1985943078</v>
      </c>
      <c r="Y282">
        <f>((AT282*1.25)*1.1)</f>
        <v>2.7500000000000004E-2</v>
      </c>
      <c r="AA282">
        <v>0</v>
      </c>
      <c r="AB282">
        <v>88.67</v>
      </c>
      <c r="AC282">
        <v>13.47</v>
      </c>
      <c r="AD282">
        <v>0</v>
      </c>
      <c r="AE282">
        <v>0</v>
      </c>
      <c r="AF282">
        <v>83.1</v>
      </c>
      <c r="AG282">
        <v>12.62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0.02</v>
      </c>
      <c r="AU282" t="s">
        <v>354</v>
      </c>
      <c r="AV282">
        <v>0</v>
      </c>
      <c r="AW282">
        <v>2</v>
      </c>
      <c r="AX282">
        <v>60255900</v>
      </c>
      <c r="AY282">
        <v>1</v>
      </c>
      <c r="AZ282">
        <v>0</v>
      </c>
      <c r="BA282">
        <v>310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ROUND(Y282*Source!I243*DO282,9)</f>
        <v>3.4705E-2</v>
      </c>
      <c r="CX282">
        <f>ROUND(Y282*Source!I243,9)</f>
        <v>2.7499999999999998E-3</v>
      </c>
      <c r="CY282">
        <f>AB282</f>
        <v>88.67</v>
      </c>
      <c r="CZ282">
        <f>AF282</f>
        <v>83.1</v>
      </c>
      <c r="DA282">
        <f>AJ282</f>
        <v>1</v>
      </c>
      <c r="DB282">
        <f>ROUND(((ROUND(AT282*CZ282,2)*1.25)*1.1),6)</f>
        <v>2.2825000000000002</v>
      </c>
      <c r="DC282">
        <f>ROUND(((ROUND(AT282*AG282,2)*1.25)*1.1),6)</f>
        <v>0.34375</v>
      </c>
      <c r="DD282" t="s">
        <v>3</v>
      </c>
      <c r="DE282" t="s">
        <v>3</v>
      </c>
      <c r="DF282">
        <f t="shared" si="45"/>
        <v>0</v>
      </c>
      <c r="DG282">
        <f t="shared" si="41"/>
        <v>0.23</v>
      </c>
      <c r="DH282">
        <f t="shared" si="42"/>
        <v>0.03</v>
      </c>
      <c r="DI282">
        <f t="shared" si="44"/>
        <v>0</v>
      </c>
      <c r="DJ282">
        <f>DG282</f>
        <v>0.23</v>
      </c>
      <c r="DK282">
        <v>0</v>
      </c>
      <c r="DL282" t="s">
        <v>489</v>
      </c>
      <c r="DM282">
        <v>0</v>
      </c>
      <c r="DN282" t="s">
        <v>484</v>
      </c>
      <c r="DO282">
        <v>12.62</v>
      </c>
    </row>
    <row r="283" spans="1:119" x14ac:dyDescent="0.2">
      <c r="A283">
        <f>ROW(Source!A243)</f>
        <v>243</v>
      </c>
      <c r="B283">
        <v>60255014</v>
      </c>
      <c r="C283">
        <v>60255510</v>
      </c>
      <c r="D283">
        <v>59070788</v>
      </c>
      <c r="E283">
        <v>1</v>
      </c>
      <c r="F283">
        <v>1</v>
      </c>
      <c r="G283">
        <v>1080</v>
      </c>
      <c r="H283">
        <v>2</v>
      </c>
      <c r="I283" t="s">
        <v>544</v>
      </c>
      <c r="J283" t="s">
        <v>545</v>
      </c>
      <c r="K283" t="s">
        <v>546</v>
      </c>
      <c r="L283">
        <v>1368</v>
      </c>
      <c r="N283">
        <v>1011</v>
      </c>
      <c r="O283" t="s">
        <v>488</v>
      </c>
      <c r="P283" t="s">
        <v>488</v>
      </c>
      <c r="Q283">
        <v>1</v>
      </c>
      <c r="W283">
        <v>0</v>
      </c>
      <c r="X283">
        <v>2147454900</v>
      </c>
      <c r="Y283">
        <f>((AT283*1.25)*1.1)</f>
        <v>2.3375000000000004</v>
      </c>
      <c r="AA283">
        <v>0</v>
      </c>
      <c r="AB283">
        <v>0.85</v>
      </c>
      <c r="AC283">
        <v>0</v>
      </c>
      <c r="AD283">
        <v>0</v>
      </c>
      <c r="AE283">
        <v>0</v>
      </c>
      <c r="AF283">
        <v>0.8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1.7</v>
      </c>
      <c r="AU283" t="s">
        <v>354</v>
      </c>
      <c r="AV283">
        <v>0</v>
      </c>
      <c r="AW283">
        <v>2</v>
      </c>
      <c r="AX283">
        <v>60255901</v>
      </c>
      <c r="AY283">
        <v>1</v>
      </c>
      <c r="AZ283">
        <v>0</v>
      </c>
      <c r="BA283">
        <v>311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ROUND(Y283*Source!I243*DO283,9)</f>
        <v>0</v>
      </c>
      <c r="CX283">
        <f>ROUND(Y283*Source!I243,9)</f>
        <v>0.23375000000000001</v>
      </c>
      <c r="CY283">
        <f>AB283</f>
        <v>0.85</v>
      </c>
      <c r="CZ283">
        <f>AF283</f>
        <v>0.8</v>
      </c>
      <c r="DA283">
        <f>AJ283</f>
        <v>1</v>
      </c>
      <c r="DB283">
        <f>ROUND(((ROUND(AT283*CZ283,2)*1.25)*1.1),6)</f>
        <v>1.87</v>
      </c>
      <c r="DC283">
        <f>ROUND(((ROUND(AT283*AG283,2)*1.25)*1.1),6)</f>
        <v>0</v>
      </c>
      <c r="DD283" t="s">
        <v>3</v>
      </c>
      <c r="DE283" t="s">
        <v>3</v>
      </c>
      <c r="DF283">
        <f t="shared" si="45"/>
        <v>0</v>
      </c>
      <c r="DG283">
        <f t="shared" si="41"/>
        <v>0.19</v>
      </c>
      <c r="DH283">
        <f t="shared" si="42"/>
        <v>0</v>
      </c>
      <c r="DI283">
        <f t="shared" si="44"/>
        <v>0</v>
      </c>
      <c r="DJ283">
        <f>DG283</f>
        <v>0.19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ROW(Source!A243)</f>
        <v>243</v>
      </c>
      <c r="B284">
        <v>60255014</v>
      </c>
      <c r="C284">
        <v>60255510</v>
      </c>
      <c r="D284">
        <v>59039008</v>
      </c>
      <c r="E284">
        <v>1</v>
      </c>
      <c r="F284">
        <v>1</v>
      </c>
      <c r="G284">
        <v>1080</v>
      </c>
      <c r="H284">
        <v>3</v>
      </c>
      <c r="I284" t="s">
        <v>547</v>
      </c>
      <c r="J284" t="s">
        <v>548</v>
      </c>
      <c r="K284" t="s">
        <v>549</v>
      </c>
      <c r="L284">
        <v>1354</v>
      </c>
      <c r="N284">
        <v>1010</v>
      </c>
      <c r="O284" t="s">
        <v>31</v>
      </c>
      <c r="P284" t="s">
        <v>31</v>
      </c>
      <c r="Q284">
        <v>1</v>
      </c>
      <c r="W284">
        <v>0</v>
      </c>
      <c r="X284">
        <v>-40224714</v>
      </c>
      <c r="Y284">
        <f>AT284</f>
        <v>40</v>
      </c>
      <c r="AA284">
        <v>0.89</v>
      </c>
      <c r="AB284">
        <v>0</v>
      </c>
      <c r="AC284">
        <v>0</v>
      </c>
      <c r="AD284">
        <v>0</v>
      </c>
      <c r="AE284">
        <v>0.89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40</v>
      </c>
      <c r="AU284" t="s">
        <v>3</v>
      </c>
      <c r="AV284">
        <v>0</v>
      </c>
      <c r="AW284">
        <v>2</v>
      </c>
      <c r="AX284">
        <v>60255902</v>
      </c>
      <c r="AY284">
        <v>1</v>
      </c>
      <c r="AZ284">
        <v>0</v>
      </c>
      <c r="BA284">
        <v>312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ROUND(Y284*Source!I243,9)</f>
        <v>4</v>
      </c>
      <c r="CY284">
        <f>AA284</f>
        <v>0.89</v>
      </c>
      <c r="CZ284">
        <f>AE284</f>
        <v>0.89</v>
      </c>
      <c r="DA284">
        <f>AI284</f>
        <v>1</v>
      </c>
      <c r="DB284">
        <f>ROUND(ROUND(AT284*CZ284,2),6)</f>
        <v>35.6</v>
      </c>
      <c r="DC284">
        <f>ROUND(ROUND(AT284*AG284,2),6)</f>
        <v>0</v>
      </c>
      <c r="DD284" t="s">
        <v>3</v>
      </c>
      <c r="DE284" t="s">
        <v>3</v>
      </c>
      <c r="DF284">
        <f t="shared" si="45"/>
        <v>3.56</v>
      </c>
      <c r="DG284">
        <f t="shared" si="41"/>
        <v>0</v>
      </c>
      <c r="DH284">
        <f t="shared" si="42"/>
        <v>0</v>
      </c>
      <c r="DI284">
        <f t="shared" si="44"/>
        <v>0</v>
      </c>
      <c r="DJ284">
        <f>DF284</f>
        <v>3.56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ROW(Source!A243)</f>
        <v>243</v>
      </c>
      <c r="B285">
        <v>60255014</v>
      </c>
      <c r="C285">
        <v>60255510</v>
      </c>
      <c r="D285">
        <v>59040802</v>
      </c>
      <c r="E285">
        <v>1</v>
      </c>
      <c r="F285">
        <v>1</v>
      </c>
      <c r="G285">
        <v>1080</v>
      </c>
      <c r="H285">
        <v>3</v>
      </c>
      <c r="I285" t="s">
        <v>550</v>
      </c>
      <c r="J285" t="s">
        <v>551</v>
      </c>
      <c r="K285" t="s">
        <v>552</v>
      </c>
      <c r="L285">
        <v>1355</v>
      </c>
      <c r="N285">
        <v>1010</v>
      </c>
      <c r="O285" t="s">
        <v>96</v>
      </c>
      <c r="P285" t="s">
        <v>96</v>
      </c>
      <c r="Q285">
        <v>100</v>
      </c>
      <c r="W285">
        <v>0</v>
      </c>
      <c r="X285">
        <v>1011834808</v>
      </c>
      <c r="Y285">
        <f>AT285</f>
        <v>0.4</v>
      </c>
      <c r="AA285">
        <v>212.65</v>
      </c>
      <c r="AB285">
        <v>0</v>
      </c>
      <c r="AC285">
        <v>0</v>
      </c>
      <c r="AD285">
        <v>0</v>
      </c>
      <c r="AE285">
        <v>212.65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0.4</v>
      </c>
      <c r="AU285" t="s">
        <v>3</v>
      </c>
      <c r="AV285">
        <v>0</v>
      </c>
      <c r="AW285">
        <v>2</v>
      </c>
      <c r="AX285">
        <v>60255903</v>
      </c>
      <c r="AY285">
        <v>1</v>
      </c>
      <c r="AZ285">
        <v>0</v>
      </c>
      <c r="BA285">
        <v>313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ROUND(Y285*Source!I243,9)</f>
        <v>0.04</v>
      </c>
      <c r="CY285">
        <f>AA285</f>
        <v>212.65</v>
      </c>
      <c r="CZ285">
        <f>AE285</f>
        <v>212.65</v>
      </c>
      <c r="DA285">
        <f>AI285</f>
        <v>1</v>
      </c>
      <c r="DB285">
        <f>ROUND(ROUND(AT285*CZ285,2),6)</f>
        <v>85.06</v>
      </c>
      <c r="DC285">
        <f>ROUND(ROUND(AT285*AG285,2),6)</f>
        <v>0</v>
      </c>
      <c r="DD285" t="s">
        <v>3</v>
      </c>
      <c r="DE285" t="s">
        <v>3</v>
      </c>
      <c r="DF285">
        <f t="shared" si="45"/>
        <v>8.51</v>
      </c>
      <c r="DG285">
        <f t="shared" si="41"/>
        <v>0</v>
      </c>
      <c r="DH285">
        <f t="shared" si="42"/>
        <v>0</v>
      </c>
      <c r="DI285">
        <f t="shared" si="44"/>
        <v>0</v>
      </c>
      <c r="DJ285">
        <f>DF285</f>
        <v>8.51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ROW(Source!A243)</f>
        <v>243</v>
      </c>
      <c r="B286">
        <v>60255014</v>
      </c>
      <c r="C286">
        <v>60255510</v>
      </c>
      <c r="D286">
        <v>59049297</v>
      </c>
      <c r="E286">
        <v>1</v>
      </c>
      <c r="F286">
        <v>1</v>
      </c>
      <c r="G286">
        <v>1080</v>
      </c>
      <c r="H286">
        <v>3</v>
      </c>
      <c r="I286" t="s">
        <v>553</v>
      </c>
      <c r="J286" t="s">
        <v>554</v>
      </c>
      <c r="K286" t="s">
        <v>555</v>
      </c>
      <c r="L286">
        <v>1354</v>
      </c>
      <c r="N286">
        <v>1010</v>
      </c>
      <c r="O286" t="s">
        <v>31</v>
      </c>
      <c r="P286" t="s">
        <v>31</v>
      </c>
      <c r="Q286">
        <v>1</v>
      </c>
      <c r="W286">
        <v>0</v>
      </c>
      <c r="X286">
        <v>-1089307452</v>
      </c>
      <c r="Y286">
        <f>AT286</f>
        <v>0.4</v>
      </c>
      <c r="AA286">
        <v>105.06</v>
      </c>
      <c r="AB286">
        <v>0</v>
      </c>
      <c r="AC286">
        <v>0</v>
      </c>
      <c r="AD286">
        <v>0</v>
      </c>
      <c r="AE286">
        <v>105.06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0.4</v>
      </c>
      <c r="AU286" t="s">
        <v>3</v>
      </c>
      <c r="AV286">
        <v>0</v>
      </c>
      <c r="AW286">
        <v>2</v>
      </c>
      <c r="AX286">
        <v>60255904</v>
      </c>
      <c r="AY286">
        <v>1</v>
      </c>
      <c r="AZ286">
        <v>0</v>
      </c>
      <c r="BA286">
        <v>314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ROUND(Y286*Source!I243,9)</f>
        <v>0.04</v>
      </c>
      <c r="CY286">
        <f>AA286</f>
        <v>105.06</v>
      </c>
      <c r="CZ286">
        <f>AE286</f>
        <v>105.06</v>
      </c>
      <c r="DA286">
        <f>AI286</f>
        <v>1</v>
      </c>
      <c r="DB286">
        <f>ROUND(ROUND(AT286*CZ286,2),6)</f>
        <v>42.02</v>
      </c>
      <c r="DC286">
        <f>ROUND(ROUND(AT286*AG286,2),6)</f>
        <v>0</v>
      </c>
      <c r="DD286" t="s">
        <v>3</v>
      </c>
      <c r="DE286" t="s">
        <v>3</v>
      </c>
      <c r="DF286">
        <f t="shared" si="45"/>
        <v>4.2</v>
      </c>
      <c r="DG286">
        <f t="shared" si="41"/>
        <v>0</v>
      </c>
      <c r="DH286">
        <f t="shared" si="42"/>
        <v>0</v>
      </c>
      <c r="DI286">
        <f t="shared" si="44"/>
        <v>0</v>
      </c>
      <c r="DJ286">
        <f>DF286</f>
        <v>4.2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ROW(Source!A244)</f>
        <v>244</v>
      </c>
      <c r="B287">
        <v>60255011</v>
      </c>
      <c r="C287">
        <v>60255510</v>
      </c>
      <c r="D287">
        <v>58999254</v>
      </c>
      <c r="E287">
        <v>1080</v>
      </c>
      <c r="F287">
        <v>1</v>
      </c>
      <c r="G287">
        <v>1080</v>
      </c>
      <c r="H287">
        <v>1</v>
      </c>
      <c r="I287" t="s">
        <v>482</v>
      </c>
      <c r="J287" t="s">
        <v>3</v>
      </c>
      <c r="K287" t="s">
        <v>483</v>
      </c>
      <c r="L287">
        <v>1191</v>
      </c>
      <c r="N287">
        <v>1013</v>
      </c>
      <c r="O287" t="s">
        <v>484</v>
      </c>
      <c r="P287" t="s">
        <v>484</v>
      </c>
      <c r="Q287">
        <v>1</v>
      </c>
      <c r="W287">
        <v>0</v>
      </c>
      <c r="X287">
        <v>476480486</v>
      </c>
      <c r="Y287">
        <f>((AT287*1.15)*1.1)</f>
        <v>7.59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5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6</v>
      </c>
      <c r="AU287" t="s">
        <v>355</v>
      </c>
      <c r="AV287">
        <v>1</v>
      </c>
      <c r="AW287">
        <v>2</v>
      </c>
      <c r="AX287">
        <v>60255899</v>
      </c>
      <c r="AY287">
        <v>1</v>
      </c>
      <c r="AZ287">
        <v>0</v>
      </c>
      <c r="BA287">
        <v>316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ROUND(AT287*Source!I244*AH287*AL287,2)</f>
        <v>0</v>
      </c>
      <c r="CV287">
        <f>ROUND(Y287*Source!I244,9)</f>
        <v>0.75900000000000001</v>
      </c>
      <c r="CW287">
        <v>0</v>
      </c>
      <c r="CX287">
        <f>ROUND(Y287*Source!I244,9)</f>
        <v>0.75900000000000001</v>
      </c>
      <c r="CY287">
        <f>AD287</f>
        <v>0</v>
      </c>
      <c r="CZ287">
        <f>AH287</f>
        <v>0</v>
      </c>
      <c r="DA287">
        <f>AL287</f>
        <v>1</v>
      </c>
      <c r="DB287">
        <f>ROUND(((ROUND(AT287*CZ287,2)*1.15)*1.1),6)</f>
        <v>0</v>
      </c>
      <c r="DC287">
        <f>ROUND(((ROUND(AT287*AG287,2)*1.15)*1.1),6)</f>
        <v>0</v>
      </c>
      <c r="DD287" t="s">
        <v>3</v>
      </c>
      <c r="DE287" t="s">
        <v>3</v>
      </c>
      <c r="DF287">
        <f t="shared" si="45"/>
        <v>0</v>
      </c>
      <c r="DG287">
        <f t="shared" si="41"/>
        <v>0</v>
      </c>
      <c r="DH287">
        <f t="shared" si="42"/>
        <v>0</v>
      </c>
      <c r="DI287">
        <f t="shared" si="44"/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ROW(Source!A244)</f>
        <v>244</v>
      </c>
      <c r="B288">
        <v>60255011</v>
      </c>
      <c r="C288">
        <v>60255510</v>
      </c>
      <c r="D288">
        <v>59070669</v>
      </c>
      <c r="E288">
        <v>1</v>
      </c>
      <c r="F288">
        <v>1</v>
      </c>
      <c r="G288">
        <v>1080</v>
      </c>
      <c r="H288">
        <v>2</v>
      </c>
      <c r="I288" t="s">
        <v>485</v>
      </c>
      <c r="J288" t="s">
        <v>486</v>
      </c>
      <c r="K288" t="s">
        <v>487</v>
      </c>
      <c r="L288">
        <v>1368</v>
      </c>
      <c r="N288">
        <v>1011</v>
      </c>
      <c r="O288" t="s">
        <v>488</v>
      </c>
      <c r="P288" t="s">
        <v>488</v>
      </c>
      <c r="Q288">
        <v>1</v>
      </c>
      <c r="W288">
        <v>0</v>
      </c>
      <c r="X288">
        <v>-1985943078</v>
      </c>
      <c r="Y288">
        <f>((AT288*1.25)*1.1)</f>
        <v>2.7500000000000004E-2</v>
      </c>
      <c r="AA288">
        <v>0</v>
      </c>
      <c r="AB288">
        <v>1445.28</v>
      </c>
      <c r="AC288">
        <v>740.47</v>
      </c>
      <c r="AD288">
        <v>0</v>
      </c>
      <c r="AE288">
        <v>0</v>
      </c>
      <c r="AF288">
        <v>83.1</v>
      </c>
      <c r="AG288">
        <v>12.62</v>
      </c>
      <c r="AH288">
        <v>0</v>
      </c>
      <c r="AI288">
        <v>1</v>
      </c>
      <c r="AJ288">
        <v>16.3</v>
      </c>
      <c r="AK288">
        <v>54.99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0.02</v>
      </c>
      <c r="AU288" t="s">
        <v>354</v>
      </c>
      <c r="AV288">
        <v>0</v>
      </c>
      <c r="AW288">
        <v>2</v>
      </c>
      <c r="AX288">
        <v>60255900</v>
      </c>
      <c r="AY288">
        <v>1</v>
      </c>
      <c r="AZ288">
        <v>0</v>
      </c>
      <c r="BA288">
        <v>317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ROUND(Y288*Source!I244*DO288,9)</f>
        <v>3.4705E-2</v>
      </c>
      <c r="CX288">
        <f>ROUND(Y288*Source!I244,9)</f>
        <v>2.7499999999999998E-3</v>
      </c>
      <c r="CY288">
        <f>AB288</f>
        <v>1445.28</v>
      </c>
      <c r="CZ288">
        <f>AF288</f>
        <v>83.1</v>
      </c>
      <c r="DA288">
        <f>AJ288</f>
        <v>16.3</v>
      </c>
      <c r="DB288">
        <f>ROUND(((ROUND(AT288*CZ288,2)*1.25)*1.1),6)</f>
        <v>2.2825000000000002</v>
      </c>
      <c r="DC288">
        <f>ROUND(((ROUND(AT288*AG288,2)*1.25)*1.1),6)</f>
        <v>0.34375</v>
      </c>
      <c r="DD288" t="s">
        <v>3</v>
      </c>
      <c r="DE288" t="s">
        <v>3</v>
      </c>
      <c r="DF288">
        <f t="shared" si="45"/>
        <v>0</v>
      </c>
      <c r="DG288">
        <f>ROUND(ROUND(AF288*AJ288,2)*CX288,2)</f>
        <v>3.72</v>
      </c>
      <c r="DH288">
        <f>ROUND(ROUND(AG288*AK288,2)*CX288,2)</f>
        <v>1.91</v>
      </c>
      <c r="DI288">
        <f t="shared" si="44"/>
        <v>0</v>
      </c>
      <c r="DJ288">
        <f>DG288</f>
        <v>3.72</v>
      </c>
      <c r="DK288">
        <v>0</v>
      </c>
      <c r="DL288" t="s">
        <v>489</v>
      </c>
      <c r="DM288">
        <v>0</v>
      </c>
      <c r="DN288" t="s">
        <v>484</v>
      </c>
      <c r="DO288">
        <v>12.62</v>
      </c>
    </row>
    <row r="289" spans="1:119" x14ac:dyDescent="0.2">
      <c r="A289">
        <f>ROW(Source!A244)</f>
        <v>244</v>
      </c>
      <c r="B289">
        <v>60255011</v>
      </c>
      <c r="C289">
        <v>60255510</v>
      </c>
      <c r="D289">
        <v>59070788</v>
      </c>
      <c r="E289">
        <v>1</v>
      </c>
      <c r="F289">
        <v>1</v>
      </c>
      <c r="G289">
        <v>1080</v>
      </c>
      <c r="H289">
        <v>2</v>
      </c>
      <c r="I289" t="s">
        <v>544</v>
      </c>
      <c r="J289" t="s">
        <v>545</v>
      </c>
      <c r="K289" t="s">
        <v>546</v>
      </c>
      <c r="L289">
        <v>1368</v>
      </c>
      <c r="N289">
        <v>1011</v>
      </c>
      <c r="O289" t="s">
        <v>488</v>
      </c>
      <c r="P289" t="s">
        <v>488</v>
      </c>
      <c r="Q289">
        <v>1</v>
      </c>
      <c r="W289">
        <v>0</v>
      </c>
      <c r="X289">
        <v>2147454900</v>
      </c>
      <c r="Y289">
        <f>((AT289*1.25)*1.1)</f>
        <v>2.3375000000000004</v>
      </c>
      <c r="AA289">
        <v>0</v>
      </c>
      <c r="AB289">
        <v>7.33</v>
      </c>
      <c r="AC289">
        <v>0</v>
      </c>
      <c r="AD289">
        <v>0</v>
      </c>
      <c r="AE289">
        <v>0</v>
      </c>
      <c r="AF289">
        <v>0.8</v>
      </c>
      <c r="AG289">
        <v>0</v>
      </c>
      <c r="AH289">
        <v>0</v>
      </c>
      <c r="AI289">
        <v>1</v>
      </c>
      <c r="AJ289">
        <v>8.59</v>
      </c>
      <c r="AK289">
        <v>54.99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1.7</v>
      </c>
      <c r="AU289" t="s">
        <v>354</v>
      </c>
      <c r="AV289">
        <v>0</v>
      </c>
      <c r="AW289">
        <v>2</v>
      </c>
      <c r="AX289">
        <v>60255901</v>
      </c>
      <c r="AY289">
        <v>1</v>
      </c>
      <c r="AZ289">
        <v>0</v>
      </c>
      <c r="BA289">
        <v>318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ROUND(Y289*Source!I244*DO289,9)</f>
        <v>0</v>
      </c>
      <c r="CX289">
        <f>ROUND(Y289*Source!I244,9)</f>
        <v>0.23375000000000001</v>
      </c>
      <c r="CY289">
        <f>AB289</f>
        <v>7.33</v>
      </c>
      <c r="CZ289">
        <f>AF289</f>
        <v>0.8</v>
      </c>
      <c r="DA289">
        <f>AJ289</f>
        <v>8.59</v>
      </c>
      <c r="DB289">
        <f>ROUND(((ROUND(AT289*CZ289,2)*1.25)*1.1),6)</f>
        <v>1.87</v>
      </c>
      <c r="DC289">
        <f>ROUND(((ROUND(AT289*AG289,2)*1.25)*1.1),6)</f>
        <v>0</v>
      </c>
      <c r="DD289" t="s">
        <v>3</v>
      </c>
      <c r="DE289" t="s">
        <v>3</v>
      </c>
      <c r="DF289">
        <f t="shared" si="45"/>
        <v>0</v>
      </c>
      <c r="DG289">
        <f>ROUND(ROUND(AF289*AJ289,2)*CX289,2)</f>
        <v>1.61</v>
      </c>
      <c r="DH289">
        <f>ROUND(ROUND(AG289*AK289,2)*CX289,2)</f>
        <v>0</v>
      </c>
      <c r="DI289">
        <f t="shared" si="44"/>
        <v>0</v>
      </c>
      <c r="DJ289">
        <f>DG289</f>
        <v>1.61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ROW(Source!A244)</f>
        <v>244</v>
      </c>
      <c r="B290">
        <v>60255011</v>
      </c>
      <c r="C290">
        <v>60255510</v>
      </c>
      <c r="D290">
        <v>59039008</v>
      </c>
      <c r="E290">
        <v>1</v>
      </c>
      <c r="F290">
        <v>1</v>
      </c>
      <c r="G290">
        <v>1080</v>
      </c>
      <c r="H290">
        <v>3</v>
      </c>
      <c r="I290" t="s">
        <v>547</v>
      </c>
      <c r="J290" t="s">
        <v>548</v>
      </c>
      <c r="K290" t="s">
        <v>549</v>
      </c>
      <c r="L290">
        <v>1354</v>
      </c>
      <c r="N290">
        <v>1010</v>
      </c>
      <c r="O290" t="s">
        <v>31</v>
      </c>
      <c r="P290" t="s">
        <v>31</v>
      </c>
      <c r="Q290">
        <v>1</v>
      </c>
      <c r="W290">
        <v>0</v>
      </c>
      <c r="X290">
        <v>-40224714</v>
      </c>
      <c r="Y290">
        <f>AT290</f>
        <v>40</v>
      </c>
      <c r="AA290">
        <v>0.8</v>
      </c>
      <c r="AB290">
        <v>0</v>
      </c>
      <c r="AC290">
        <v>0</v>
      </c>
      <c r="AD290">
        <v>0</v>
      </c>
      <c r="AE290">
        <v>0.89</v>
      </c>
      <c r="AF290">
        <v>0</v>
      </c>
      <c r="AG290">
        <v>0</v>
      </c>
      <c r="AH290">
        <v>0</v>
      </c>
      <c r="AI290">
        <v>0.9</v>
      </c>
      <c r="AJ290">
        <v>1</v>
      </c>
      <c r="AK290">
        <v>1</v>
      </c>
      <c r="AL290">
        <v>1</v>
      </c>
      <c r="AM290">
        <v>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40</v>
      </c>
      <c r="AU290" t="s">
        <v>3</v>
      </c>
      <c r="AV290">
        <v>0</v>
      </c>
      <c r="AW290">
        <v>2</v>
      </c>
      <c r="AX290">
        <v>60255902</v>
      </c>
      <c r="AY290">
        <v>1</v>
      </c>
      <c r="AZ290">
        <v>0</v>
      </c>
      <c r="BA290">
        <v>319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ROUND(Y290*Source!I244,9)</f>
        <v>4</v>
      </c>
      <c r="CY290">
        <f>AA290</f>
        <v>0.8</v>
      </c>
      <c r="CZ290">
        <f>AE290</f>
        <v>0.89</v>
      </c>
      <c r="DA290">
        <f>AI290</f>
        <v>0.9</v>
      </c>
      <c r="DB290">
        <f>ROUND(ROUND(AT290*CZ290,2),6)</f>
        <v>35.6</v>
      </c>
      <c r="DC290">
        <f>ROUND(ROUND(AT290*AG290,2),6)</f>
        <v>0</v>
      </c>
      <c r="DD290" t="s">
        <v>3</v>
      </c>
      <c r="DE290" t="s">
        <v>3</v>
      </c>
      <c r="DF290">
        <f>ROUND(ROUND(AE290*AI290,2)*CX290,2)</f>
        <v>3.2</v>
      </c>
      <c r="DG290">
        <f t="shared" ref="DG290:DG308" si="46">ROUND(ROUND(AF290,2)*CX290,2)</f>
        <v>0</v>
      </c>
      <c r="DH290">
        <f t="shared" ref="DH290:DH308" si="47">ROUND(ROUND(AG290,2)*CX290,2)</f>
        <v>0</v>
      </c>
      <c r="DI290">
        <f t="shared" si="44"/>
        <v>0</v>
      </c>
      <c r="DJ290">
        <f>DF290</f>
        <v>3.2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ROW(Source!A244)</f>
        <v>244</v>
      </c>
      <c r="B291">
        <v>60255011</v>
      </c>
      <c r="C291">
        <v>60255510</v>
      </c>
      <c r="D291">
        <v>59040802</v>
      </c>
      <c r="E291">
        <v>1</v>
      </c>
      <c r="F291">
        <v>1</v>
      </c>
      <c r="G291">
        <v>1080</v>
      </c>
      <c r="H291">
        <v>3</v>
      </c>
      <c r="I291" t="s">
        <v>550</v>
      </c>
      <c r="J291" t="s">
        <v>551</v>
      </c>
      <c r="K291" t="s">
        <v>552</v>
      </c>
      <c r="L291">
        <v>1355</v>
      </c>
      <c r="N291">
        <v>1010</v>
      </c>
      <c r="O291" t="s">
        <v>96</v>
      </c>
      <c r="P291" t="s">
        <v>96</v>
      </c>
      <c r="Q291">
        <v>100</v>
      </c>
      <c r="W291">
        <v>0</v>
      </c>
      <c r="X291">
        <v>1011834808</v>
      </c>
      <c r="Y291">
        <f>AT291</f>
        <v>0.4</v>
      </c>
      <c r="AA291">
        <v>2570.94</v>
      </c>
      <c r="AB291">
        <v>0</v>
      </c>
      <c r="AC291">
        <v>0</v>
      </c>
      <c r="AD291">
        <v>0</v>
      </c>
      <c r="AE291">
        <v>212.65</v>
      </c>
      <c r="AF291">
        <v>0</v>
      </c>
      <c r="AG291">
        <v>0</v>
      </c>
      <c r="AH291">
        <v>0</v>
      </c>
      <c r="AI291">
        <v>12.09</v>
      </c>
      <c r="AJ291">
        <v>1</v>
      </c>
      <c r="AK291">
        <v>1</v>
      </c>
      <c r="AL291">
        <v>1</v>
      </c>
      <c r="AM291">
        <v>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0.4</v>
      </c>
      <c r="AU291" t="s">
        <v>3</v>
      </c>
      <c r="AV291">
        <v>0</v>
      </c>
      <c r="AW291">
        <v>2</v>
      </c>
      <c r="AX291">
        <v>60255903</v>
      </c>
      <c r="AY291">
        <v>1</v>
      </c>
      <c r="AZ291">
        <v>0</v>
      </c>
      <c r="BA291">
        <v>320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ROUND(Y291*Source!I244,9)</f>
        <v>0.04</v>
      </c>
      <c r="CY291">
        <f>AA291</f>
        <v>2570.94</v>
      </c>
      <c r="CZ291">
        <f>AE291</f>
        <v>212.65</v>
      </c>
      <c r="DA291">
        <f>AI291</f>
        <v>12.09</v>
      </c>
      <c r="DB291">
        <f>ROUND(ROUND(AT291*CZ291,2),6)</f>
        <v>85.06</v>
      </c>
      <c r="DC291">
        <f>ROUND(ROUND(AT291*AG291,2),6)</f>
        <v>0</v>
      </c>
      <c r="DD291" t="s">
        <v>3</v>
      </c>
      <c r="DE291" t="s">
        <v>3</v>
      </c>
      <c r="DF291">
        <f>ROUND(ROUND(AE291*AI291,2)*CX291,2)</f>
        <v>102.84</v>
      </c>
      <c r="DG291">
        <f t="shared" si="46"/>
        <v>0</v>
      </c>
      <c r="DH291">
        <f t="shared" si="47"/>
        <v>0</v>
      </c>
      <c r="DI291">
        <f t="shared" si="44"/>
        <v>0</v>
      </c>
      <c r="DJ291">
        <f>DF291</f>
        <v>102.84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ROW(Source!A244)</f>
        <v>244</v>
      </c>
      <c r="B292">
        <v>60255011</v>
      </c>
      <c r="C292">
        <v>60255510</v>
      </c>
      <c r="D292">
        <v>59049297</v>
      </c>
      <c r="E292">
        <v>1</v>
      </c>
      <c r="F292">
        <v>1</v>
      </c>
      <c r="G292">
        <v>1080</v>
      </c>
      <c r="H292">
        <v>3</v>
      </c>
      <c r="I292" t="s">
        <v>553</v>
      </c>
      <c r="J292" t="s">
        <v>554</v>
      </c>
      <c r="K292" t="s">
        <v>555</v>
      </c>
      <c r="L292">
        <v>1354</v>
      </c>
      <c r="N292">
        <v>1010</v>
      </c>
      <c r="O292" t="s">
        <v>31</v>
      </c>
      <c r="P292" t="s">
        <v>31</v>
      </c>
      <c r="Q292">
        <v>1</v>
      </c>
      <c r="W292">
        <v>0</v>
      </c>
      <c r="X292">
        <v>-1089307452</v>
      </c>
      <c r="Y292">
        <f>AT292</f>
        <v>0.4</v>
      </c>
      <c r="AA292">
        <v>219.58</v>
      </c>
      <c r="AB292">
        <v>0</v>
      </c>
      <c r="AC292">
        <v>0</v>
      </c>
      <c r="AD292">
        <v>0</v>
      </c>
      <c r="AE292">
        <v>105.06</v>
      </c>
      <c r="AF292">
        <v>0</v>
      </c>
      <c r="AG292">
        <v>0</v>
      </c>
      <c r="AH292">
        <v>0</v>
      </c>
      <c r="AI292">
        <v>2.09</v>
      </c>
      <c r="AJ292">
        <v>1</v>
      </c>
      <c r="AK292">
        <v>1</v>
      </c>
      <c r="AL292">
        <v>1</v>
      </c>
      <c r="AM292">
        <v>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0.4</v>
      </c>
      <c r="AU292" t="s">
        <v>3</v>
      </c>
      <c r="AV292">
        <v>0</v>
      </c>
      <c r="AW292">
        <v>2</v>
      </c>
      <c r="AX292">
        <v>60255904</v>
      </c>
      <c r="AY292">
        <v>1</v>
      </c>
      <c r="AZ292">
        <v>0</v>
      </c>
      <c r="BA292">
        <v>321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ROUND(Y292*Source!I244,9)</f>
        <v>0.04</v>
      </c>
      <c r="CY292">
        <f>AA292</f>
        <v>219.58</v>
      </c>
      <c r="CZ292">
        <f>AE292</f>
        <v>105.06</v>
      </c>
      <c r="DA292">
        <f>AI292</f>
        <v>2.09</v>
      </c>
      <c r="DB292">
        <f>ROUND(ROUND(AT292*CZ292,2),6)</f>
        <v>42.02</v>
      </c>
      <c r="DC292">
        <f>ROUND(ROUND(AT292*AG292,2),6)</f>
        <v>0</v>
      </c>
      <c r="DD292" t="s">
        <v>3</v>
      </c>
      <c r="DE292" t="s">
        <v>3</v>
      </c>
      <c r="DF292">
        <f>ROUND(ROUND(AE292*AI292,2)*CX292,2)</f>
        <v>8.7799999999999994</v>
      </c>
      <c r="DG292">
        <f t="shared" si="46"/>
        <v>0</v>
      </c>
      <c r="DH292">
        <f t="shared" si="47"/>
        <v>0</v>
      </c>
      <c r="DI292">
        <f t="shared" si="44"/>
        <v>0</v>
      </c>
      <c r="DJ292">
        <f>DF292</f>
        <v>8.7799999999999994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ROW(Source!A245)</f>
        <v>245</v>
      </c>
      <c r="B293">
        <v>60255014</v>
      </c>
      <c r="C293">
        <v>60255524</v>
      </c>
      <c r="D293">
        <v>58999254</v>
      </c>
      <c r="E293">
        <v>1080</v>
      </c>
      <c r="F293">
        <v>1</v>
      </c>
      <c r="G293">
        <v>1080</v>
      </c>
      <c r="H293">
        <v>1</v>
      </c>
      <c r="I293" t="s">
        <v>482</v>
      </c>
      <c r="J293" t="s">
        <v>3</v>
      </c>
      <c r="K293" t="s">
        <v>483</v>
      </c>
      <c r="L293">
        <v>1191</v>
      </c>
      <c r="N293">
        <v>1013</v>
      </c>
      <c r="O293" t="s">
        <v>484</v>
      </c>
      <c r="P293" t="s">
        <v>484</v>
      </c>
      <c r="Q293">
        <v>1</v>
      </c>
      <c r="W293">
        <v>0</v>
      </c>
      <c r="X293">
        <v>476480486</v>
      </c>
      <c r="Y293">
        <f>((AT293*1.15)*1.1)</f>
        <v>1.1385000000000001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0.9</v>
      </c>
      <c r="AU293" t="s">
        <v>99</v>
      </c>
      <c r="AV293">
        <v>1</v>
      </c>
      <c r="AW293">
        <v>2</v>
      </c>
      <c r="AX293">
        <v>60255906</v>
      </c>
      <c r="AY293">
        <v>1</v>
      </c>
      <c r="AZ293">
        <v>0</v>
      </c>
      <c r="BA293">
        <v>323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U293">
        <f>ROUND(AT293*Source!I245*AH293*AL293,2)</f>
        <v>0</v>
      </c>
      <c r="CV293">
        <f>ROUND(Y293*Source!I245,9)</f>
        <v>1.1384999999999999E-2</v>
      </c>
      <c r="CW293">
        <v>0</v>
      </c>
      <c r="CX293">
        <f>ROUND(Y293*Source!I245,9)</f>
        <v>1.1384999999999999E-2</v>
      </c>
      <c r="CY293">
        <f>AD293</f>
        <v>0</v>
      </c>
      <c r="CZ293">
        <f>AH293</f>
        <v>0</v>
      </c>
      <c r="DA293">
        <f>AL293</f>
        <v>1</v>
      </c>
      <c r="DB293">
        <f>ROUND(((ROUND(AT293*CZ293,2)*1.15)*1.1),6)</f>
        <v>0</v>
      </c>
      <c r="DC293">
        <f>ROUND(((ROUND(AT293*AG293,2)*1.15)*1.1),6)</f>
        <v>0</v>
      </c>
      <c r="DD293" t="s">
        <v>3</v>
      </c>
      <c r="DE293" t="s">
        <v>3</v>
      </c>
      <c r="DF293">
        <f t="shared" ref="DF293:DF311" si="48">ROUND(ROUND(AE293,2)*CX293,2)</f>
        <v>0</v>
      </c>
      <c r="DG293">
        <f t="shared" si="46"/>
        <v>0</v>
      </c>
      <c r="DH293">
        <f t="shared" si="47"/>
        <v>0</v>
      </c>
      <c r="DI293">
        <f t="shared" si="44"/>
        <v>0</v>
      </c>
      <c r="DJ293">
        <f>DI293</f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ROW(Source!A246)</f>
        <v>246</v>
      </c>
      <c r="B294">
        <v>60255011</v>
      </c>
      <c r="C294">
        <v>60255524</v>
      </c>
      <c r="D294">
        <v>58999254</v>
      </c>
      <c r="E294">
        <v>1080</v>
      </c>
      <c r="F294">
        <v>1</v>
      </c>
      <c r="G294">
        <v>1080</v>
      </c>
      <c r="H294">
        <v>1</v>
      </c>
      <c r="I294" t="s">
        <v>482</v>
      </c>
      <c r="J294" t="s">
        <v>3</v>
      </c>
      <c r="K294" t="s">
        <v>483</v>
      </c>
      <c r="L294">
        <v>1191</v>
      </c>
      <c r="N294">
        <v>1013</v>
      </c>
      <c r="O294" t="s">
        <v>484</v>
      </c>
      <c r="P294" t="s">
        <v>484</v>
      </c>
      <c r="Q294">
        <v>1</v>
      </c>
      <c r="W294">
        <v>0</v>
      </c>
      <c r="X294">
        <v>476480486</v>
      </c>
      <c r="Y294">
        <f>((AT294*1.15)*1.1)</f>
        <v>1.1385000000000001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5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0.9</v>
      </c>
      <c r="AU294" t="s">
        <v>99</v>
      </c>
      <c r="AV294">
        <v>1</v>
      </c>
      <c r="AW294">
        <v>2</v>
      </c>
      <c r="AX294">
        <v>60255906</v>
      </c>
      <c r="AY294">
        <v>1</v>
      </c>
      <c r="AZ294">
        <v>0</v>
      </c>
      <c r="BA294">
        <v>324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U294">
        <f>ROUND(AT294*Source!I246*AH294*AL294,2)</f>
        <v>0</v>
      </c>
      <c r="CV294">
        <f>ROUND(Y294*Source!I246,9)</f>
        <v>1.1384999999999999E-2</v>
      </c>
      <c r="CW294">
        <v>0</v>
      </c>
      <c r="CX294">
        <f>ROUND(Y294*Source!I246,9)</f>
        <v>1.1384999999999999E-2</v>
      </c>
      <c r="CY294">
        <f>AD294</f>
        <v>0</v>
      </c>
      <c r="CZ294">
        <f>AH294</f>
        <v>0</v>
      </c>
      <c r="DA294">
        <f>AL294</f>
        <v>1</v>
      </c>
      <c r="DB294">
        <f>ROUND(((ROUND(AT294*CZ294,2)*1.15)*1.1),6)</f>
        <v>0</v>
      </c>
      <c r="DC294">
        <f>ROUND(((ROUND(AT294*AG294,2)*1.15)*1.1),6)</f>
        <v>0</v>
      </c>
      <c r="DD294" t="s">
        <v>3</v>
      </c>
      <c r="DE294" t="s">
        <v>3</v>
      </c>
      <c r="DF294">
        <f t="shared" si="48"/>
        <v>0</v>
      </c>
      <c r="DG294">
        <f t="shared" si="46"/>
        <v>0</v>
      </c>
      <c r="DH294">
        <f t="shared" si="47"/>
        <v>0</v>
      </c>
      <c r="DI294">
        <f t="shared" si="44"/>
        <v>0</v>
      </c>
      <c r="DJ294">
        <f>DI294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ROW(Source!A284)</f>
        <v>284</v>
      </c>
      <c r="B295">
        <v>60255014</v>
      </c>
      <c r="C295">
        <v>60255584</v>
      </c>
      <c r="D295">
        <v>58999254</v>
      </c>
      <c r="E295">
        <v>1080</v>
      </c>
      <c r="F295">
        <v>1</v>
      </c>
      <c r="G295">
        <v>1080</v>
      </c>
      <c r="H295">
        <v>1</v>
      </c>
      <c r="I295" t="s">
        <v>482</v>
      </c>
      <c r="J295" t="s">
        <v>3</v>
      </c>
      <c r="K295" t="s">
        <v>483</v>
      </c>
      <c r="L295">
        <v>1191</v>
      </c>
      <c r="N295">
        <v>1013</v>
      </c>
      <c r="O295" t="s">
        <v>484</v>
      </c>
      <c r="P295" t="s">
        <v>484</v>
      </c>
      <c r="Q295">
        <v>1</v>
      </c>
      <c r="W295">
        <v>0</v>
      </c>
      <c r="X295">
        <v>476480486</v>
      </c>
      <c r="Y295">
        <f>((AT295*1.15)*1.1)</f>
        <v>37.570499999999996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29.7</v>
      </c>
      <c r="AU295" t="s">
        <v>99</v>
      </c>
      <c r="AV295">
        <v>1</v>
      </c>
      <c r="AW295">
        <v>2</v>
      </c>
      <c r="AX295">
        <v>60255907</v>
      </c>
      <c r="AY295">
        <v>1</v>
      </c>
      <c r="AZ295">
        <v>0</v>
      </c>
      <c r="BA295">
        <v>325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U295">
        <f>ROUND(AT295*Source!I284*AH295*AL295,2)</f>
        <v>0</v>
      </c>
      <c r="CV295">
        <f>ROUND(Y295*Source!I284,9)</f>
        <v>1277.3969999999999</v>
      </c>
      <c r="CW295">
        <v>0</v>
      </c>
      <c r="CX295">
        <f>ROUND(Y295*Source!I284,9)</f>
        <v>1277.3969999999999</v>
      </c>
      <c r="CY295">
        <f>AD295</f>
        <v>0</v>
      </c>
      <c r="CZ295">
        <f>AH295</f>
        <v>0</v>
      </c>
      <c r="DA295">
        <f>AL295</f>
        <v>1</v>
      </c>
      <c r="DB295">
        <f>ROUND(((ROUND(AT295*CZ295,2)*1.15)*1.1),6)</f>
        <v>0</v>
      </c>
      <c r="DC295">
        <f>ROUND(((ROUND(AT295*AG295,2)*1.15)*1.1),6)</f>
        <v>0</v>
      </c>
      <c r="DD295" t="s">
        <v>3</v>
      </c>
      <c r="DE295" t="s">
        <v>3</v>
      </c>
      <c r="DF295">
        <f t="shared" si="48"/>
        <v>0</v>
      </c>
      <c r="DG295">
        <f t="shared" si="46"/>
        <v>0</v>
      </c>
      <c r="DH295">
        <f t="shared" si="47"/>
        <v>0</v>
      </c>
      <c r="DI295">
        <f t="shared" si="44"/>
        <v>0</v>
      </c>
      <c r="DJ295">
        <f>DI295</f>
        <v>0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ROW(Source!A284)</f>
        <v>284</v>
      </c>
      <c r="B296">
        <v>60255014</v>
      </c>
      <c r="C296">
        <v>60255584</v>
      </c>
      <c r="D296">
        <v>59070372</v>
      </c>
      <c r="E296">
        <v>1</v>
      </c>
      <c r="F296">
        <v>1</v>
      </c>
      <c r="G296">
        <v>1080</v>
      </c>
      <c r="H296">
        <v>2</v>
      </c>
      <c r="I296" t="s">
        <v>556</v>
      </c>
      <c r="J296" t="s">
        <v>557</v>
      </c>
      <c r="K296" t="s">
        <v>558</v>
      </c>
      <c r="L296">
        <v>1368</v>
      </c>
      <c r="N296">
        <v>1011</v>
      </c>
      <c r="O296" t="s">
        <v>488</v>
      </c>
      <c r="P296" t="s">
        <v>488</v>
      </c>
      <c r="Q296">
        <v>1</v>
      </c>
      <c r="W296">
        <v>0</v>
      </c>
      <c r="X296">
        <v>549242131</v>
      </c>
      <c r="Y296">
        <f>((AT296*1.25)*1.1)</f>
        <v>1.58125</v>
      </c>
      <c r="AA296">
        <v>0</v>
      </c>
      <c r="AB296">
        <v>0.3</v>
      </c>
      <c r="AC296">
        <v>0</v>
      </c>
      <c r="AD296">
        <v>0</v>
      </c>
      <c r="AE296">
        <v>0</v>
      </c>
      <c r="AF296">
        <v>0.28000000000000003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-2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1.1499999999999999</v>
      </c>
      <c r="AU296" t="s">
        <v>496</v>
      </c>
      <c r="AV296">
        <v>0</v>
      </c>
      <c r="AW296">
        <v>2</v>
      </c>
      <c r="AX296">
        <v>60255908</v>
      </c>
      <c r="AY296">
        <v>1</v>
      </c>
      <c r="AZ296">
        <v>0</v>
      </c>
      <c r="BA296">
        <v>326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f>ROUND(Y296*Source!I284*DO296,9)</f>
        <v>0</v>
      </c>
      <c r="CX296">
        <f>ROUND(Y296*Source!I284,9)</f>
        <v>53.762500000000003</v>
      </c>
      <c r="CY296">
        <f>AB296</f>
        <v>0.3</v>
      </c>
      <c r="CZ296">
        <f>AF296</f>
        <v>0.28000000000000003</v>
      </c>
      <c r="DA296">
        <f>AJ296</f>
        <v>1</v>
      </c>
      <c r="DB296">
        <f>ROUND(((ROUND(AT296*CZ296,2)*1.25)*1.1),6)</f>
        <v>0.44</v>
      </c>
      <c r="DC296">
        <f>ROUND(((ROUND(AT296*AG296,2)*1.25)*1.1),6)</f>
        <v>0</v>
      </c>
      <c r="DD296" t="s">
        <v>3</v>
      </c>
      <c r="DE296" t="s">
        <v>3</v>
      </c>
      <c r="DF296">
        <f t="shared" si="48"/>
        <v>0</v>
      </c>
      <c r="DG296">
        <f t="shared" si="46"/>
        <v>15.05</v>
      </c>
      <c r="DH296">
        <f t="shared" si="47"/>
        <v>0</v>
      </c>
      <c r="DI296">
        <f t="shared" si="44"/>
        <v>0</v>
      </c>
      <c r="DJ296">
        <f>DG296</f>
        <v>15.05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ROW(Source!A284)</f>
        <v>284</v>
      </c>
      <c r="B297">
        <v>60255014</v>
      </c>
      <c r="C297">
        <v>60255584</v>
      </c>
      <c r="D297">
        <v>59070669</v>
      </c>
      <c r="E297">
        <v>1</v>
      </c>
      <c r="F297">
        <v>1</v>
      </c>
      <c r="G297">
        <v>1080</v>
      </c>
      <c r="H297">
        <v>2</v>
      </c>
      <c r="I297" t="s">
        <v>485</v>
      </c>
      <c r="J297" t="s">
        <v>486</v>
      </c>
      <c r="K297" t="s">
        <v>487</v>
      </c>
      <c r="L297">
        <v>1368</v>
      </c>
      <c r="N297">
        <v>1011</v>
      </c>
      <c r="O297" t="s">
        <v>488</v>
      </c>
      <c r="P297" t="s">
        <v>488</v>
      </c>
      <c r="Q297">
        <v>1</v>
      </c>
      <c r="W297">
        <v>0</v>
      </c>
      <c r="X297">
        <v>-1985943078</v>
      </c>
      <c r="Y297">
        <f>((AT297*1.25)*1.1)</f>
        <v>0.48125000000000007</v>
      </c>
      <c r="AA297">
        <v>0</v>
      </c>
      <c r="AB297">
        <v>88.67</v>
      </c>
      <c r="AC297">
        <v>13.47</v>
      </c>
      <c r="AD297">
        <v>0</v>
      </c>
      <c r="AE297">
        <v>0</v>
      </c>
      <c r="AF297">
        <v>83.1</v>
      </c>
      <c r="AG297">
        <v>12.62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0.35</v>
      </c>
      <c r="AU297" t="s">
        <v>496</v>
      </c>
      <c r="AV297">
        <v>0</v>
      </c>
      <c r="AW297">
        <v>2</v>
      </c>
      <c r="AX297">
        <v>60255909</v>
      </c>
      <c r="AY297">
        <v>1</v>
      </c>
      <c r="AZ297">
        <v>0</v>
      </c>
      <c r="BA297">
        <v>327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f>ROUND(Y297*Source!I284*DO297,9)</f>
        <v>206.49475000000001</v>
      </c>
      <c r="CX297">
        <f>ROUND(Y297*Source!I284,9)</f>
        <v>16.362500000000001</v>
      </c>
      <c r="CY297">
        <f>AB297</f>
        <v>88.67</v>
      </c>
      <c r="CZ297">
        <f>AF297</f>
        <v>83.1</v>
      </c>
      <c r="DA297">
        <f>AJ297</f>
        <v>1</v>
      </c>
      <c r="DB297">
        <f>ROUND(((ROUND(AT297*CZ297,2)*1.25)*1.1),6)</f>
        <v>39.998750000000001</v>
      </c>
      <c r="DC297">
        <f>ROUND(((ROUND(AT297*AG297,2)*1.25)*1.1),6)</f>
        <v>6.0774999999999997</v>
      </c>
      <c r="DD297" t="s">
        <v>3</v>
      </c>
      <c r="DE297" t="s">
        <v>3</v>
      </c>
      <c r="DF297">
        <f t="shared" si="48"/>
        <v>0</v>
      </c>
      <c r="DG297">
        <f t="shared" si="46"/>
        <v>1359.72</v>
      </c>
      <c r="DH297">
        <f t="shared" si="47"/>
        <v>206.49</v>
      </c>
      <c r="DI297">
        <f t="shared" si="44"/>
        <v>0</v>
      </c>
      <c r="DJ297">
        <f>DG297</f>
        <v>1359.72</v>
      </c>
      <c r="DK297">
        <v>0</v>
      </c>
      <c r="DL297" t="s">
        <v>489</v>
      </c>
      <c r="DM297">
        <v>0</v>
      </c>
      <c r="DN297" t="s">
        <v>484</v>
      </c>
      <c r="DO297">
        <v>12.62</v>
      </c>
    </row>
    <row r="298" spans="1:119" x14ac:dyDescent="0.2">
      <c r="A298">
        <f>ROW(Source!A284)</f>
        <v>284</v>
      </c>
      <c r="B298">
        <v>60255014</v>
      </c>
      <c r="C298">
        <v>60255584</v>
      </c>
      <c r="D298">
        <v>59069905</v>
      </c>
      <c r="E298">
        <v>1</v>
      </c>
      <c r="F298">
        <v>1</v>
      </c>
      <c r="G298">
        <v>1080</v>
      </c>
      <c r="H298">
        <v>2</v>
      </c>
      <c r="I298" t="s">
        <v>503</v>
      </c>
      <c r="J298" t="s">
        <v>504</v>
      </c>
      <c r="K298" t="s">
        <v>505</v>
      </c>
      <c r="L298">
        <v>1368</v>
      </c>
      <c r="N298">
        <v>1011</v>
      </c>
      <c r="O298" t="s">
        <v>488</v>
      </c>
      <c r="P298" t="s">
        <v>488</v>
      </c>
      <c r="Q298">
        <v>1</v>
      </c>
      <c r="W298">
        <v>0</v>
      </c>
      <c r="X298">
        <v>1087580389</v>
      </c>
      <c r="Y298">
        <f>((AT298*1.25)*1.1)</f>
        <v>9.6250000000000016E-2</v>
      </c>
      <c r="AA298">
        <v>0</v>
      </c>
      <c r="AB298">
        <v>191.17</v>
      </c>
      <c r="AC298">
        <v>18.059999999999999</v>
      </c>
      <c r="AD298">
        <v>0</v>
      </c>
      <c r="AE298">
        <v>0</v>
      </c>
      <c r="AF298">
        <v>179.17</v>
      </c>
      <c r="AG298">
        <v>16.93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-2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7.0000000000000007E-2</v>
      </c>
      <c r="AU298" t="s">
        <v>496</v>
      </c>
      <c r="AV298">
        <v>0</v>
      </c>
      <c r="AW298">
        <v>2</v>
      </c>
      <c r="AX298">
        <v>60255910</v>
      </c>
      <c r="AY298">
        <v>1</v>
      </c>
      <c r="AZ298">
        <v>0</v>
      </c>
      <c r="BA298">
        <v>328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ROUND(Y298*Source!I284*DO298,9)</f>
        <v>55.403424999999999</v>
      </c>
      <c r="CX298">
        <f>ROUND(Y298*Source!I284,9)</f>
        <v>3.2725</v>
      </c>
      <c r="CY298">
        <f>AB298</f>
        <v>191.17</v>
      </c>
      <c r="CZ298">
        <f>AF298</f>
        <v>179.17</v>
      </c>
      <c r="DA298">
        <f>AJ298</f>
        <v>1</v>
      </c>
      <c r="DB298">
        <f>ROUND(((ROUND(AT298*CZ298,2)*1.25)*1.1),6)</f>
        <v>17.2425</v>
      </c>
      <c r="DC298">
        <f>ROUND(((ROUND(AT298*AG298,2)*1.25)*1.1),6)</f>
        <v>1.63625</v>
      </c>
      <c r="DD298" t="s">
        <v>3</v>
      </c>
      <c r="DE298" t="s">
        <v>3</v>
      </c>
      <c r="DF298">
        <f t="shared" si="48"/>
        <v>0</v>
      </c>
      <c r="DG298">
        <f t="shared" si="46"/>
        <v>586.33000000000004</v>
      </c>
      <c r="DH298">
        <f t="shared" si="47"/>
        <v>55.4</v>
      </c>
      <c r="DI298">
        <f t="shared" si="44"/>
        <v>0</v>
      </c>
      <c r="DJ298">
        <f>DG298</f>
        <v>586.33000000000004</v>
      </c>
      <c r="DK298">
        <v>0</v>
      </c>
      <c r="DL298" t="s">
        <v>489</v>
      </c>
      <c r="DM298">
        <v>0</v>
      </c>
      <c r="DN298" t="s">
        <v>484</v>
      </c>
      <c r="DO298">
        <v>16.93</v>
      </c>
    </row>
    <row r="299" spans="1:119" x14ac:dyDescent="0.2">
      <c r="A299">
        <f>ROW(Source!A284)</f>
        <v>284</v>
      </c>
      <c r="B299">
        <v>60255014</v>
      </c>
      <c r="C299">
        <v>60255584</v>
      </c>
      <c r="D299">
        <v>59038905</v>
      </c>
      <c r="E299">
        <v>1</v>
      </c>
      <c r="F299">
        <v>1</v>
      </c>
      <c r="G299">
        <v>1080</v>
      </c>
      <c r="H299">
        <v>3</v>
      </c>
      <c r="I299" t="s">
        <v>506</v>
      </c>
      <c r="J299" t="s">
        <v>507</v>
      </c>
      <c r="K299" t="s">
        <v>508</v>
      </c>
      <c r="L299">
        <v>1339</v>
      </c>
      <c r="N299">
        <v>1007</v>
      </c>
      <c r="O299" t="s">
        <v>509</v>
      </c>
      <c r="P299" t="s">
        <v>509</v>
      </c>
      <c r="Q299">
        <v>1</v>
      </c>
      <c r="W299">
        <v>0</v>
      </c>
      <c r="X299">
        <v>-744103292</v>
      </c>
      <c r="Y299">
        <f t="shared" ref="Y299:Y307" si="49">AT299</f>
        <v>6.5000000000000002E-2</v>
      </c>
      <c r="AA299">
        <v>7.07</v>
      </c>
      <c r="AB299">
        <v>0</v>
      </c>
      <c r="AC299">
        <v>0</v>
      </c>
      <c r="AD299">
        <v>0</v>
      </c>
      <c r="AE299">
        <v>7.07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6.5000000000000002E-2</v>
      </c>
      <c r="AU299" t="s">
        <v>3</v>
      </c>
      <c r="AV299">
        <v>0</v>
      </c>
      <c r="AW299">
        <v>2</v>
      </c>
      <c r="AX299">
        <v>60255911</v>
      </c>
      <c r="AY299">
        <v>1</v>
      </c>
      <c r="AZ299">
        <v>0</v>
      </c>
      <c r="BA299">
        <v>329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ROUND(Y299*Source!I284,9)</f>
        <v>2.21</v>
      </c>
      <c r="CY299">
        <f t="shared" ref="CY299:CY307" si="50">AA299</f>
        <v>7.07</v>
      </c>
      <c r="CZ299">
        <f t="shared" ref="CZ299:CZ307" si="51">AE299</f>
        <v>7.07</v>
      </c>
      <c r="DA299">
        <f t="shared" ref="DA299:DA307" si="52">AI299</f>
        <v>1</v>
      </c>
      <c r="DB299">
        <f t="shared" ref="DB299:DB307" si="53">ROUND(ROUND(AT299*CZ299,2),6)</f>
        <v>0.46</v>
      </c>
      <c r="DC299">
        <f t="shared" ref="DC299:DC307" si="54">ROUND(ROUND(AT299*AG299,2),6)</f>
        <v>0</v>
      </c>
      <c r="DD299" t="s">
        <v>3</v>
      </c>
      <c r="DE299" t="s">
        <v>3</v>
      </c>
      <c r="DF299">
        <f t="shared" si="48"/>
        <v>15.62</v>
      </c>
      <c r="DG299">
        <f t="shared" si="46"/>
        <v>0</v>
      </c>
      <c r="DH299">
        <f t="shared" si="47"/>
        <v>0</v>
      </c>
      <c r="DI299">
        <f t="shared" si="44"/>
        <v>0</v>
      </c>
      <c r="DJ299">
        <f t="shared" ref="DJ299:DJ307" si="55">DF299</f>
        <v>15.62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ROW(Source!A284)</f>
        <v>284</v>
      </c>
      <c r="B300">
        <v>60255014</v>
      </c>
      <c r="C300">
        <v>60255584</v>
      </c>
      <c r="D300">
        <v>59040044</v>
      </c>
      <c r="E300">
        <v>1</v>
      </c>
      <c r="F300">
        <v>1</v>
      </c>
      <c r="G300">
        <v>1080</v>
      </c>
      <c r="H300">
        <v>3</v>
      </c>
      <c r="I300" t="s">
        <v>559</v>
      </c>
      <c r="J300" t="s">
        <v>560</v>
      </c>
      <c r="K300" t="s">
        <v>561</v>
      </c>
      <c r="L300">
        <v>1346</v>
      </c>
      <c r="N300">
        <v>1009</v>
      </c>
      <c r="O300" t="s">
        <v>528</v>
      </c>
      <c r="P300" t="s">
        <v>528</v>
      </c>
      <c r="Q300">
        <v>1</v>
      </c>
      <c r="W300">
        <v>0</v>
      </c>
      <c r="X300">
        <v>-326142876</v>
      </c>
      <c r="Y300">
        <f t="shared" si="49"/>
        <v>0.17</v>
      </c>
      <c r="AA300">
        <v>21</v>
      </c>
      <c r="AB300">
        <v>0</v>
      </c>
      <c r="AC300">
        <v>0</v>
      </c>
      <c r="AD300">
        <v>0</v>
      </c>
      <c r="AE300">
        <v>21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-2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0.17</v>
      </c>
      <c r="AU300" t="s">
        <v>3</v>
      </c>
      <c r="AV300">
        <v>0</v>
      </c>
      <c r="AW300">
        <v>2</v>
      </c>
      <c r="AX300">
        <v>60255912</v>
      </c>
      <c r="AY300">
        <v>1</v>
      </c>
      <c r="AZ300">
        <v>0</v>
      </c>
      <c r="BA300">
        <v>330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ROUND(Y300*Source!I284,9)</f>
        <v>5.78</v>
      </c>
      <c r="CY300">
        <f t="shared" si="50"/>
        <v>21</v>
      </c>
      <c r="CZ300">
        <f t="shared" si="51"/>
        <v>21</v>
      </c>
      <c r="DA300">
        <f t="shared" si="52"/>
        <v>1</v>
      </c>
      <c r="DB300">
        <f t="shared" si="53"/>
        <v>3.57</v>
      </c>
      <c r="DC300">
        <f t="shared" si="54"/>
        <v>0</v>
      </c>
      <c r="DD300" t="s">
        <v>3</v>
      </c>
      <c r="DE300" t="s">
        <v>3</v>
      </c>
      <c r="DF300">
        <f t="shared" si="48"/>
        <v>121.38</v>
      </c>
      <c r="DG300">
        <f t="shared" si="46"/>
        <v>0</v>
      </c>
      <c r="DH300">
        <f t="shared" si="47"/>
        <v>0</v>
      </c>
      <c r="DI300">
        <f t="shared" si="44"/>
        <v>0</v>
      </c>
      <c r="DJ300">
        <f t="shared" si="55"/>
        <v>121.38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ROW(Source!A284)</f>
        <v>284</v>
      </c>
      <c r="B301">
        <v>60255014</v>
      </c>
      <c r="C301">
        <v>60255584</v>
      </c>
      <c r="D301">
        <v>59040617</v>
      </c>
      <c r="E301">
        <v>1</v>
      </c>
      <c r="F301">
        <v>1</v>
      </c>
      <c r="G301">
        <v>1080</v>
      </c>
      <c r="H301">
        <v>3</v>
      </c>
      <c r="I301" t="s">
        <v>535</v>
      </c>
      <c r="J301" t="s">
        <v>536</v>
      </c>
      <c r="K301" t="s">
        <v>537</v>
      </c>
      <c r="L301">
        <v>1346</v>
      </c>
      <c r="N301">
        <v>1009</v>
      </c>
      <c r="O301" t="s">
        <v>528</v>
      </c>
      <c r="P301" t="s">
        <v>528</v>
      </c>
      <c r="Q301">
        <v>1</v>
      </c>
      <c r="W301">
        <v>0</v>
      </c>
      <c r="X301">
        <v>-1011812427</v>
      </c>
      <c r="Y301">
        <f t="shared" si="49"/>
        <v>0.06</v>
      </c>
      <c r="AA301">
        <v>37.979999999999997</v>
      </c>
      <c r="AB301">
        <v>0</v>
      </c>
      <c r="AC301">
        <v>0</v>
      </c>
      <c r="AD301">
        <v>0</v>
      </c>
      <c r="AE301">
        <v>37.979999999999997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0.06</v>
      </c>
      <c r="AU301" t="s">
        <v>3</v>
      </c>
      <c r="AV301">
        <v>0</v>
      </c>
      <c r="AW301">
        <v>2</v>
      </c>
      <c r="AX301">
        <v>60255913</v>
      </c>
      <c r="AY301">
        <v>1</v>
      </c>
      <c r="AZ301">
        <v>0</v>
      </c>
      <c r="BA301">
        <v>331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ROUND(Y301*Source!I284,9)</f>
        <v>2.04</v>
      </c>
      <c r="CY301">
        <f t="shared" si="50"/>
        <v>37.979999999999997</v>
      </c>
      <c r="CZ301">
        <f t="shared" si="51"/>
        <v>37.979999999999997</v>
      </c>
      <c r="DA301">
        <f t="shared" si="52"/>
        <v>1</v>
      </c>
      <c r="DB301">
        <f t="shared" si="53"/>
        <v>2.2799999999999998</v>
      </c>
      <c r="DC301">
        <f t="shared" si="54"/>
        <v>0</v>
      </c>
      <c r="DD301" t="s">
        <v>3</v>
      </c>
      <c r="DE301" t="s">
        <v>3</v>
      </c>
      <c r="DF301">
        <f t="shared" si="48"/>
        <v>77.48</v>
      </c>
      <c r="DG301">
        <f t="shared" si="46"/>
        <v>0</v>
      </c>
      <c r="DH301">
        <f t="shared" si="47"/>
        <v>0</v>
      </c>
      <c r="DI301">
        <f t="shared" si="44"/>
        <v>0</v>
      </c>
      <c r="DJ301">
        <f t="shared" si="55"/>
        <v>77.48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ROW(Source!A284)</f>
        <v>284</v>
      </c>
      <c r="B302">
        <v>60255014</v>
      </c>
      <c r="C302">
        <v>60255584</v>
      </c>
      <c r="D302">
        <v>59039024</v>
      </c>
      <c r="E302">
        <v>1</v>
      </c>
      <c r="F302">
        <v>1</v>
      </c>
      <c r="G302">
        <v>1080</v>
      </c>
      <c r="H302">
        <v>3</v>
      </c>
      <c r="I302" t="s">
        <v>562</v>
      </c>
      <c r="J302" t="s">
        <v>563</v>
      </c>
      <c r="K302" t="s">
        <v>564</v>
      </c>
      <c r="L302">
        <v>1348</v>
      </c>
      <c r="N302">
        <v>1009</v>
      </c>
      <c r="O302" t="s">
        <v>534</v>
      </c>
      <c r="P302" t="s">
        <v>534</v>
      </c>
      <c r="Q302">
        <v>1000</v>
      </c>
      <c r="W302">
        <v>0</v>
      </c>
      <c r="X302">
        <v>1469978170</v>
      </c>
      <c r="Y302">
        <f t="shared" si="49"/>
        <v>1.0000000000000001E-5</v>
      </c>
      <c r="AA302">
        <v>3234.81</v>
      </c>
      <c r="AB302">
        <v>0</v>
      </c>
      <c r="AC302">
        <v>0</v>
      </c>
      <c r="AD302">
        <v>0</v>
      </c>
      <c r="AE302">
        <v>3234.81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-2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1.0000000000000001E-5</v>
      </c>
      <c r="AU302" t="s">
        <v>3</v>
      </c>
      <c r="AV302">
        <v>0</v>
      </c>
      <c r="AW302">
        <v>2</v>
      </c>
      <c r="AX302">
        <v>60255914</v>
      </c>
      <c r="AY302">
        <v>1</v>
      </c>
      <c r="AZ302">
        <v>0</v>
      </c>
      <c r="BA302">
        <v>332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ROUND(Y302*Source!I284,9)</f>
        <v>3.4000000000000002E-4</v>
      </c>
      <c r="CY302">
        <f t="shared" si="50"/>
        <v>3234.81</v>
      </c>
      <c r="CZ302">
        <f t="shared" si="51"/>
        <v>3234.81</v>
      </c>
      <c r="DA302">
        <f t="shared" si="52"/>
        <v>1</v>
      </c>
      <c r="DB302">
        <f t="shared" si="53"/>
        <v>0.03</v>
      </c>
      <c r="DC302">
        <f t="shared" si="54"/>
        <v>0</v>
      </c>
      <c r="DD302" t="s">
        <v>3</v>
      </c>
      <c r="DE302" t="s">
        <v>3</v>
      </c>
      <c r="DF302">
        <f t="shared" si="48"/>
        <v>1.1000000000000001</v>
      </c>
      <c r="DG302">
        <f t="shared" si="46"/>
        <v>0</v>
      </c>
      <c r="DH302">
        <f t="shared" si="47"/>
        <v>0</v>
      </c>
      <c r="DI302">
        <f t="shared" si="44"/>
        <v>0</v>
      </c>
      <c r="DJ302">
        <f t="shared" si="55"/>
        <v>1.1000000000000001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ROW(Source!A284)</f>
        <v>284</v>
      </c>
      <c r="B303">
        <v>60255014</v>
      </c>
      <c r="C303">
        <v>60255584</v>
      </c>
      <c r="D303">
        <v>59038837</v>
      </c>
      <c r="E303">
        <v>1</v>
      </c>
      <c r="F303">
        <v>1</v>
      </c>
      <c r="G303">
        <v>1080</v>
      </c>
      <c r="H303">
        <v>3</v>
      </c>
      <c r="I303" t="s">
        <v>565</v>
      </c>
      <c r="J303" t="s">
        <v>566</v>
      </c>
      <c r="K303" t="s">
        <v>567</v>
      </c>
      <c r="L303">
        <v>1339</v>
      </c>
      <c r="N303">
        <v>1007</v>
      </c>
      <c r="O303" t="s">
        <v>509</v>
      </c>
      <c r="P303" t="s">
        <v>509</v>
      </c>
      <c r="Q303">
        <v>1</v>
      </c>
      <c r="W303">
        <v>0</v>
      </c>
      <c r="X303">
        <v>1565098517</v>
      </c>
      <c r="Y303">
        <f t="shared" si="49"/>
        <v>0.11899999999999999</v>
      </c>
      <c r="AA303">
        <v>53.42</v>
      </c>
      <c r="AB303">
        <v>0</v>
      </c>
      <c r="AC303">
        <v>0</v>
      </c>
      <c r="AD303">
        <v>0</v>
      </c>
      <c r="AE303">
        <v>53.42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0.11899999999999999</v>
      </c>
      <c r="AU303" t="s">
        <v>3</v>
      </c>
      <c r="AV303">
        <v>0</v>
      </c>
      <c r="AW303">
        <v>2</v>
      </c>
      <c r="AX303">
        <v>60255915</v>
      </c>
      <c r="AY303">
        <v>1</v>
      </c>
      <c r="AZ303">
        <v>0</v>
      </c>
      <c r="BA303">
        <v>333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ROUND(Y303*Source!I284,9)</f>
        <v>4.0460000000000003</v>
      </c>
      <c r="CY303">
        <f t="shared" si="50"/>
        <v>53.42</v>
      </c>
      <c r="CZ303">
        <f t="shared" si="51"/>
        <v>53.42</v>
      </c>
      <c r="DA303">
        <f t="shared" si="52"/>
        <v>1</v>
      </c>
      <c r="DB303">
        <f t="shared" si="53"/>
        <v>6.36</v>
      </c>
      <c r="DC303">
        <f t="shared" si="54"/>
        <v>0</v>
      </c>
      <c r="DD303" t="s">
        <v>3</v>
      </c>
      <c r="DE303" t="s">
        <v>3</v>
      </c>
      <c r="DF303">
        <f t="shared" si="48"/>
        <v>216.14</v>
      </c>
      <c r="DG303">
        <f t="shared" si="46"/>
        <v>0</v>
      </c>
      <c r="DH303">
        <f t="shared" si="47"/>
        <v>0</v>
      </c>
      <c r="DI303">
        <f t="shared" si="44"/>
        <v>0</v>
      </c>
      <c r="DJ303">
        <f t="shared" si="55"/>
        <v>216.14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ROW(Source!A284)</f>
        <v>284</v>
      </c>
      <c r="B304">
        <v>60255014</v>
      </c>
      <c r="C304">
        <v>60255584</v>
      </c>
      <c r="D304">
        <v>59039103</v>
      </c>
      <c r="E304">
        <v>1</v>
      </c>
      <c r="F304">
        <v>1</v>
      </c>
      <c r="G304">
        <v>1080</v>
      </c>
      <c r="H304">
        <v>3</v>
      </c>
      <c r="I304" t="s">
        <v>568</v>
      </c>
      <c r="J304" t="s">
        <v>569</v>
      </c>
      <c r="K304" t="s">
        <v>570</v>
      </c>
      <c r="L304">
        <v>1339</v>
      </c>
      <c r="N304">
        <v>1007</v>
      </c>
      <c r="O304" t="s">
        <v>509</v>
      </c>
      <c r="P304" t="s">
        <v>509</v>
      </c>
      <c r="Q304">
        <v>1</v>
      </c>
      <c r="W304">
        <v>0</v>
      </c>
      <c r="X304">
        <v>-388798825</v>
      </c>
      <c r="Y304">
        <f t="shared" si="49"/>
        <v>0.28100000000000003</v>
      </c>
      <c r="AA304">
        <v>5.82</v>
      </c>
      <c r="AB304">
        <v>0</v>
      </c>
      <c r="AC304">
        <v>0</v>
      </c>
      <c r="AD304">
        <v>0</v>
      </c>
      <c r="AE304">
        <v>5.82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0.28100000000000003</v>
      </c>
      <c r="AU304" t="s">
        <v>3</v>
      </c>
      <c r="AV304">
        <v>0</v>
      </c>
      <c r="AW304">
        <v>2</v>
      </c>
      <c r="AX304">
        <v>60255916</v>
      </c>
      <c r="AY304">
        <v>1</v>
      </c>
      <c r="AZ304">
        <v>0</v>
      </c>
      <c r="BA304">
        <v>334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ROUND(Y304*Source!I284,9)</f>
        <v>9.5540000000000003</v>
      </c>
      <c r="CY304">
        <f t="shared" si="50"/>
        <v>5.82</v>
      </c>
      <c r="CZ304">
        <f t="shared" si="51"/>
        <v>5.82</v>
      </c>
      <c r="DA304">
        <f t="shared" si="52"/>
        <v>1</v>
      </c>
      <c r="DB304">
        <f t="shared" si="53"/>
        <v>1.64</v>
      </c>
      <c r="DC304">
        <f t="shared" si="54"/>
        <v>0</v>
      </c>
      <c r="DD304" t="s">
        <v>3</v>
      </c>
      <c r="DE304" t="s">
        <v>3</v>
      </c>
      <c r="DF304">
        <f t="shared" si="48"/>
        <v>55.6</v>
      </c>
      <c r="DG304">
        <f t="shared" si="46"/>
        <v>0</v>
      </c>
      <c r="DH304">
        <f t="shared" si="47"/>
        <v>0</v>
      </c>
      <c r="DI304">
        <f t="shared" si="44"/>
        <v>0</v>
      </c>
      <c r="DJ304">
        <f t="shared" si="55"/>
        <v>55.6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ROW(Source!A284)</f>
        <v>284</v>
      </c>
      <c r="B305">
        <v>60255014</v>
      </c>
      <c r="C305">
        <v>60255584</v>
      </c>
      <c r="D305">
        <v>59039175</v>
      </c>
      <c r="E305">
        <v>1</v>
      </c>
      <c r="F305">
        <v>1</v>
      </c>
      <c r="G305">
        <v>1080</v>
      </c>
      <c r="H305">
        <v>3</v>
      </c>
      <c r="I305" t="s">
        <v>538</v>
      </c>
      <c r="J305" t="s">
        <v>539</v>
      </c>
      <c r="K305" t="s">
        <v>540</v>
      </c>
      <c r="L305">
        <v>1348</v>
      </c>
      <c r="N305">
        <v>1009</v>
      </c>
      <c r="O305" t="s">
        <v>534</v>
      </c>
      <c r="P305" t="s">
        <v>534</v>
      </c>
      <c r="Q305">
        <v>1000</v>
      </c>
      <c r="W305">
        <v>0</v>
      </c>
      <c r="X305">
        <v>356473523</v>
      </c>
      <c r="Y305">
        <f t="shared" si="49"/>
        <v>4.4000000000000002E-4</v>
      </c>
      <c r="AA305">
        <v>16214.84</v>
      </c>
      <c r="AB305">
        <v>0</v>
      </c>
      <c r="AC305">
        <v>0</v>
      </c>
      <c r="AD305">
        <v>0</v>
      </c>
      <c r="AE305">
        <v>16214.84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4.4000000000000002E-4</v>
      </c>
      <c r="AU305" t="s">
        <v>3</v>
      </c>
      <c r="AV305">
        <v>0</v>
      </c>
      <c r="AW305">
        <v>2</v>
      </c>
      <c r="AX305">
        <v>60255917</v>
      </c>
      <c r="AY305">
        <v>1</v>
      </c>
      <c r="AZ305">
        <v>0</v>
      </c>
      <c r="BA305">
        <v>335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ROUND(Y305*Source!I284,9)</f>
        <v>1.4959999999999999E-2</v>
      </c>
      <c r="CY305">
        <f t="shared" si="50"/>
        <v>16214.84</v>
      </c>
      <c r="CZ305">
        <f t="shared" si="51"/>
        <v>16214.84</v>
      </c>
      <c r="DA305">
        <f t="shared" si="52"/>
        <v>1</v>
      </c>
      <c r="DB305">
        <f t="shared" si="53"/>
        <v>7.13</v>
      </c>
      <c r="DC305">
        <f t="shared" si="54"/>
        <v>0</v>
      </c>
      <c r="DD305" t="s">
        <v>3</v>
      </c>
      <c r="DE305" t="s">
        <v>3</v>
      </c>
      <c r="DF305">
        <f t="shared" si="48"/>
        <v>242.57</v>
      </c>
      <c r="DG305">
        <f t="shared" si="46"/>
        <v>0</v>
      </c>
      <c r="DH305">
        <f t="shared" si="47"/>
        <v>0</v>
      </c>
      <c r="DI305">
        <f t="shared" si="44"/>
        <v>0</v>
      </c>
      <c r="DJ305">
        <f t="shared" si="55"/>
        <v>242.57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ROW(Source!A284)</f>
        <v>284</v>
      </c>
      <c r="B306">
        <v>60255014</v>
      </c>
      <c r="C306">
        <v>60255584</v>
      </c>
      <c r="D306">
        <v>59039344</v>
      </c>
      <c r="E306">
        <v>1</v>
      </c>
      <c r="F306">
        <v>1</v>
      </c>
      <c r="G306">
        <v>1080</v>
      </c>
      <c r="H306">
        <v>3</v>
      </c>
      <c r="I306" t="s">
        <v>541</v>
      </c>
      <c r="J306" t="s">
        <v>542</v>
      </c>
      <c r="K306" t="s">
        <v>543</v>
      </c>
      <c r="L306">
        <v>1346</v>
      </c>
      <c r="N306">
        <v>1009</v>
      </c>
      <c r="O306" t="s">
        <v>528</v>
      </c>
      <c r="P306" t="s">
        <v>528</v>
      </c>
      <c r="Q306">
        <v>1</v>
      </c>
      <c r="W306">
        <v>0</v>
      </c>
      <c r="X306">
        <v>1135396300</v>
      </c>
      <c r="Y306">
        <f t="shared" si="49"/>
        <v>0.53</v>
      </c>
      <c r="AA306">
        <v>20.190000000000001</v>
      </c>
      <c r="AB306">
        <v>0</v>
      </c>
      <c r="AC306">
        <v>0</v>
      </c>
      <c r="AD306">
        <v>0</v>
      </c>
      <c r="AE306">
        <v>20.190000000000001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0.53</v>
      </c>
      <c r="AU306" t="s">
        <v>3</v>
      </c>
      <c r="AV306">
        <v>0</v>
      </c>
      <c r="AW306">
        <v>2</v>
      </c>
      <c r="AX306">
        <v>60255918</v>
      </c>
      <c r="AY306">
        <v>1</v>
      </c>
      <c r="AZ306">
        <v>0</v>
      </c>
      <c r="BA306">
        <v>336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ROUND(Y306*Source!I284,9)</f>
        <v>18.02</v>
      </c>
      <c r="CY306">
        <f t="shared" si="50"/>
        <v>20.190000000000001</v>
      </c>
      <c r="CZ306">
        <f t="shared" si="51"/>
        <v>20.190000000000001</v>
      </c>
      <c r="DA306">
        <f t="shared" si="52"/>
        <v>1</v>
      </c>
      <c r="DB306">
        <f t="shared" si="53"/>
        <v>10.7</v>
      </c>
      <c r="DC306">
        <f t="shared" si="54"/>
        <v>0</v>
      </c>
      <c r="DD306" t="s">
        <v>3</v>
      </c>
      <c r="DE306" t="s">
        <v>3</v>
      </c>
      <c r="DF306">
        <f t="shared" si="48"/>
        <v>363.82</v>
      </c>
      <c r="DG306">
        <f t="shared" si="46"/>
        <v>0</v>
      </c>
      <c r="DH306">
        <f t="shared" si="47"/>
        <v>0</v>
      </c>
      <c r="DI306">
        <f t="shared" si="44"/>
        <v>0</v>
      </c>
      <c r="DJ306">
        <f t="shared" si="55"/>
        <v>363.82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ROW(Source!A284)</f>
        <v>284</v>
      </c>
      <c r="B307">
        <v>60255014</v>
      </c>
      <c r="C307">
        <v>60255584</v>
      </c>
      <c r="D307">
        <v>59051856</v>
      </c>
      <c r="E307">
        <v>1</v>
      </c>
      <c r="F307">
        <v>1</v>
      </c>
      <c r="G307">
        <v>1080</v>
      </c>
      <c r="H307">
        <v>3</v>
      </c>
      <c r="I307" t="s">
        <v>374</v>
      </c>
      <c r="J307" t="s">
        <v>377</v>
      </c>
      <c r="K307" t="s">
        <v>375</v>
      </c>
      <c r="L307">
        <v>1301</v>
      </c>
      <c r="N307">
        <v>1003</v>
      </c>
      <c r="O307" t="s">
        <v>376</v>
      </c>
      <c r="P307" t="s">
        <v>376</v>
      </c>
      <c r="Q307">
        <v>1</v>
      </c>
      <c r="W307">
        <v>0</v>
      </c>
      <c r="X307">
        <v>1317022629</v>
      </c>
      <c r="Y307">
        <f t="shared" si="49"/>
        <v>100</v>
      </c>
      <c r="AA307">
        <v>30.14</v>
      </c>
      <c r="AB307">
        <v>0</v>
      </c>
      <c r="AC307">
        <v>0</v>
      </c>
      <c r="AD307">
        <v>0</v>
      </c>
      <c r="AE307">
        <v>30.14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100</v>
      </c>
      <c r="AU307" t="s">
        <v>3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ROUND(Y307*Source!I284,9)</f>
        <v>3400</v>
      </c>
      <c r="CY307">
        <f t="shared" si="50"/>
        <v>30.14</v>
      </c>
      <c r="CZ307">
        <f t="shared" si="51"/>
        <v>30.14</v>
      </c>
      <c r="DA307">
        <f t="shared" si="52"/>
        <v>1</v>
      </c>
      <c r="DB307">
        <f t="shared" si="53"/>
        <v>3014</v>
      </c>
      <c r="DC307">
        <f t="shared" si="54"/>
        <v>0</v>
      </c>
      <c r="DD307" t="s">
        <v>3</v>
      </c>
      <c r="DE307" t="s">
        <v>3</v>
      </c>
      <c r="DF307">
        <f t="shared" si="48"/>
        <v>102476</v>
      </c>
      <c r="DG307">
        <f t="shared" si="46"/>
        <v>0</v>
      </c>
      <c r="DH307">
        <f t="shared" si="47"/>
        <v>0</v>
      </c>
      <c r="DI307">
        <f t="shared" si="44"/>
        <v>0</v>
      </c>
      <c r="DJ307">
        <f t="shared" si="55"/>
        <v>102476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ROW(Source!A285)</f>
        <v>285</v>
      </c>
      <c r="B308">
        <v>60255011</v>
      </c>
      <c r="C308">
        <v>60255584</v>
      </c>
      <c r="D308">
        <v>58999254</v>
      </c>
      <c r="E308">
        <v>1080</v>
      </c>
      <c r="F308">
        <v>1</v>
      </c>
      <c r="G308">
        <v>1080</v>
      </c>
      <c r="H308">
        <v>1</v>
      </c>
      <c r="I308" t="s">
        <v>482</v>
      </c>
      <c r="J308" t="s">
        <v>3</v>
      </c>
      <c r="K308" t="s">
        <v>483</v>
      </c>
      <c r="L308">
        <v>1191</v>
      </c>
      <c r="N308">
        <v>1013</v>
      </c>
      <c r="O308" t="s">
        <v>484</v>
      </c>
      <c r="P308" t="s">
        <v>484</v>
      </c>
      <c r="Q308">
        <v>1</v>
      </c>
      <c r="W308">
        <v>0</v>
      </c>
      <c r="X308">
        <v>476480486</v>
      </c>
      <c r="Y308">
        <f>((AT308*1.15)*1.1)</f>
        <v>37.570499999999996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29.7</v>
      </c>
      <c r="AU308" t="s">
        <v>99</v>
      </c>
      <c r="AV308">
        <v>1</v>
      </c>
      <c r="AW308">
        <v>2</v>
      </c>
      <c r="AX308">
        <v>60255907</v>
      </c>
      <c r="AY308">
        <v>1</v>
      </c>
      <c r="AZ308">
        <v>0</v>
      </c>
      <c r="BA308">
        <v>340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U308">
        <f>ROUND(AT308*Source!I285*AH308*AL308,2)</f>
        <v>0</v>
      </c>
      <c r="CV308">
        <f>ROUND(Y308*Source!I285,9)</f>
        <v>1277.3969999999999</v>
      </c>
      <c r="CW308">
        <v>0</v>
      </c>
      <c r="CX308">
        <f>ROUND(Y308*Source!I285,9)</f>
        <v>1277.3969999999999</v>
      </c>
      <c r="CY308">
        <f>AD308</f>
        <v>0</v>
      </c>
      <c r="CZ308">
        <f>AH308</f>
        <v>0</v>
      </c>
      <c r="DA308">
        <f>AL308</f>
        <v>1</v>
      </c>
      <c r="DB308">
        <f>ROUND(((ROUND(AT308*CZ308,2)*1.15)*1.1),6)</f>
        <v>0</v>
      </c>
      <c r="DC308">
        <f>ROUND(((ROUND(AT308*AG308,2)*1.15)*1.1),6)</f>
        <v>0</v>
      </c>
      <c r="DD308" t="s">
        <v>3</v>
      </c>
      <c r="DE308" t="s">
        <v>3</v>
      </c>
      <c r="DF308">
        <f t="shared" si="48"/>
        <v>0</v>
      </c>
      <c r="DG308">
        <f t="shared" si="46"/>
        <v>0</v>
      </c>
      <c r="DH308">
        <f t="shared" si="47"/>
        <v>0</v>
      </c>
      <c r="DI308">
        <f t="shared" si="44"/>
        <v>0</v>
      </c>
      <c r="DJ308">
        <f>DI308</f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ROW(Source!A285)</f>
        <v>285</v>
      </c>
      <c r="B309">
        <v>60255011</v>
      </c>
      <c r="C309">
        <v>60255584</v>
      </c>
      <c r="D309">
        <v>59070372</v>
      </c>
      <c r="E309">
        <v>1</v>
      </c>
      <c r="F309">
        <v>1</v>
      </c>
      <c r="G309">
        <v>1080</v>
      </c>
      <c r="H309">
        <v>2</v>
      </c>
      <c r="I309" t="s">
        <v>556</v>
      </c>
      <c r="J309" t="s">
        <v>557</v>
      </c>
      <c r="K309" t="s">
        <v>558</v>
      </c>
      <c r="L309">
        <v>1368</v>
      </c>
      <c r="N309">
        <v>1011</v>
      </c>
      <c r="O309" t="s">
        <v>488</v>
      </c>
      <c r="P309" t="s">
        <v>488</v>
      </c>
      <c r="Q309">
        <v>1</v>
      </c>
      <c r="W309">
        <v>0</v>
      </c>
      <c r="X309">
        <v>549242131</v>
      </c>
      <c r="Y309">
        <f>((AT309*1.25)*1.1)</f>
        <v>1.58125</v>
      </c>
      <c r="AA309">
        <v>0</v>
      </c>
      <c r="AB309">
        <v>2.5299999999999998</v>
      </c>
      <c r="AC309">
        <v>0</v>
      </c>
      <c r="AD309">
        <v>0</v>
      </c>
      <c r="AE309">
        <v>0</v>
      </c>
      <c r="AF309">
        <v>0.28000000000000003</v>
      </c>
      <c r="AG309">
        <v>0</v>
      </c>
      <c r="AH309">
        <v>0</v>
      </c>
      <c r="AI309">
        <v>1</v>
      </c>
      <c r="AJ309">
        <v>8.4600000000000009</v>
      </c>
      <c r="AK309">
        <v>54.99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1.1499999999999999</v>
      </c>
      <c r="AU309" t="s">
        <v>496</v>
      </c>
      <c r="AV309">
        <v>0</v>
      </c>
      <c r="AW309">
        <v>2</v>
      </c>
      <c r="AX309">
        <v>60255908</v>
      </c>
      <c r="AY309">
        <v>1</v>
      </c>
      <c r="AZ309">
        <v>0</v>
      </c>
      <c r="BA309">
        <v>341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ROUND(Y309*Source!I285*DO309,9)</f>
        <v>0</v>
      </c>
      <c r="CX309">
        <f>ROUND(Y309*Source!I285,9)</f>
        <v>53.762500000000003</v>
      </c>
      <c r="CY309">
        <f>AB309</f>
        <v>2.5299999999999998</v>
      </c>
      <c r="CZ309">
        <f>AF309</f>
        <v>0.28000000000000003</v>
      </c>
      <c r="DA309">
        <f>AJ309</f>
        <v>8.4600000000000009</v>
      </c>
      <c r="DB309">
        <f>ROUND(((ROUND(AT309*CZ309,2)*1.25)*1.1),6)</f>
        <v>0.44</v>
      </c>
      <c r="DC309">
        <f>ROUND(((ROUND(AT309*AG309,2)*1.25)*1.1),6)</f>
        <v>0</v>
      </c>
      <c r="DD309" t="s">
        <v>3</v>
      </c>
      <c r="DE309" t="s">
        <v>3</v>
      </c>
      <c r="DF309">
        <f t="shared" si="48"/>
        <v>0</v>
      </c>
      <c r="DG309">
        <f>ROUND(ROUND(AF309*AJ309,2)*CX309,2)</f>
        <v>127.42</v>
      </c>
      <c r="DH309">
        <f>ROUND(ROUND(AG309*AK309,2)*CX309,2)</f>
        <v>0</v>
      </c>
      <c r="DI309">
        <f t="shared" si="44"/>
        <v>0</v>
      </c>
      <c r="DJ309">
        <f>DG309</f>
        <v>127.42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ROW(Source!A285)</f>
        <v>285</v>
      </c>
      <c r="B310">
        <v>60255011</v>
      </c>
      <c r="C310">
        <v>60255584</v>
      </c>
      <c r="D310">
        <v>59070669</v>
      </c>
      <c r="E310">
        <v>1</v>
      </c>
      <c r="F310">
        <v>1</v>
      </c>
      <c r="G310">
        <v>1080</v>
      </c>
      <c r="H310">
        <v>2</v>
      </c>
      <c r="I310" t="s">
        <v>485</v>
      </c>
      <c r="J310" t="s">
        <v>486</v>
      </c>
      <c r="K310" t="s">
        <v>487</v>
      </c>
      <c r="L310">
        <v>1368</v>
      </c>
      <c r="N310">
        <v>1011</v>
      </c>
      <c r="O310" t="s">
        <v>488</v>
      </c>
      <c r="P310" t="s">
        <v>488</v>
      </c>
      <c r="Q310">
        <v>1</v>
      </c>
      <c r="W310">
        <v>0</v>
      </c>
      <c r="X310">
        <v>-1985943078</v>
      </c>
      <c r="Y310">
        <f>((AT310*1.25)*1.1)</f>
        <v>0.48125000000000007</v>
      </c>
      <c r="AA310">
        <v>0</v>
      </c>
      <c r="AB310">
        <v>1445.28</v>
      </c>
      <c r="AC310">
        <v>740.47</v>
      </c>
      <c r="AD310">
        <v>0</v>
      </c>
      <c r="AE310">
        <v>0</v>
      </c>
      <c r="AF310">
        <v>83.1</v>
      </c>
      <c r="AG310">
        <v>12.62</v>
      </c>
      <c r="AH310">
        <v>0</v>
      </c>
      <c r="AI310">
        <v>1</v>
      </c>
      <c r="AJ310">
        <v>16.3</v>
      </c>
      <c r="AK310">
        <v>54.99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0.35</v>
      </c>
      <c r="AU310" t="s">
        <v>496</v>
      </c>
      <c r="AV310">
        <v>0</v>
      </c>
      <c r="AW310">
        <v>2</v>
      </c>
      <c r="AX310">
        <v>60255909</v>
      </c>
      <c r="AY310">
        <v>1</v>
      </c>
      <c r="AZ310">
        <v>0</v>
      </c>
      <c r="BA310">
        <v>342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ROUND(Y310*Source!I285*DO310,9)</f>
        <v>206.49475000000001</v>
      </c>
      <c r="CX310">
        <f>ROUND(Y310*Source!I285,9)</f>
        <v>16.362500000000001</v>
      </c>
      <c r="CY310">
        <f>AB310</f>
        <v>1445.28</v>
      </c>
      <c r="CZ310">
        <f>AF310</f>
        <v>83.1</v>
      </c>
      <c r="DA310">
        <f>AJ310</f>
        <v>16.3</v>
      </c>
      <c r="DB310">
        <f>ROUND(((ROUND(AT310*CZ310,2)*1.25)*1.1),6)</f>
        <v>39.998750000000001</v>
      </c>
      <c r="DC310">
        <f>ROUND(((ROUND(AT310*AG310,2)*1.25)*1.1),6)</f>
        <v>6.0774999999999997</v>
      </c>
      <c r="DD310" t="s">
        <v>3</v>
      </c>
      <c r="DE310" t="s">
        <v>3</v>
      </c>
      <c r="DF310">
        <f t="shared" si="48"/>
        <v>0</v>
      </c>
      <c r="DG310">
        <f>ROUND(ROUND(AF310*AJ310,2)*CX310,2)</f>
        <v>22163.5</v>
      </c>
      <c r="DH310">
        <f>ROUND(ROUND(AG310*AK310,2)*CX310,2)</f>
        <v>11355.08</v>
      </c>
      <c r="DI310">
        <f t="shared" si="44"/>
        <v>0</v>
      </c>
      <c r="DJ310">
        <f>DG310</f>
        <v>22163.5</v>
      </c>
      <c r="DK310">
        <v>0</v>
      </c>
      <c r="DL310" t="s">
        <v>489</v>
      </c>
      <c r="DM310">
        <v>0</v>
      </c>
      <c r="DN310" t="s">
        <v>484</v>
      </c>
      <c r="DO310">
        <v>12.62</v>
      </c>
    </row>
    <row r="311" spans="1:119" x14ac:dyDescent="0.2">
      <c r="A311">
        <f>ROW(Source!A285)</f>
        <v>285</v>
      </c>
      <c r="B311">
        <v>60255011</v>
      </c>
      <c r="C311">
        <v>60255584</v>
      </c>
      <c r="D311">
        <v>59069905</v>
      </c>
      <c r="E311">
        <v>1</v>
      </c>
      <c r="F311">
        <v>1</v>
      </c>
      <c r="G311">
        <v>1080</v>
      </c>
      <c r="H311">
        <v>2</v>
      </c>
      <c r="I311" t="s">
        <v>503</v>
      </c>
      <c r="J311" t="s">
        <v>504</v>
      </c>
      <c r="K311" t="s">
        <v>505</v>
      </c>
      <c r="L311">
        <v>1368</v>
      </c>
      <c r="N311">
        <v>1011</v>
      </c>
      <c r="O311" t="s">
        <v>488</v>
      </c>
      <c r="P311" t="s">
        <v>488</v>
      </c>
      <c r="Q311">
        <v>1</v>
      </c>
      <c r="W311">
        <v>0</v>
      </c>
      <c r="X311">
        <v>1087580389</v>
      </c>
      <c r="Y311">
        <f>((AT311*1.25)*1.1)</f>
        <v>9.6250000000000016E-2</v>
      </c>
      <c r="AA311">
        <v>0</v>
      </c>
      <c r="AB311">
        <v>2628.65</v>
      </c>
      <c r="AC311">
        <v>993.36</v>
      </c>
      <c r="AD311">
        <v>0</v>
      </c>
      <c r="AE311">
        <v>0</v>
      </c>
      <c r="AF311">
        <v>179.17</v>
      </c>
      <c r="AG311">
        <v>16.93</v>
      </c>
      <c r="AH311">
        <v>0</v>
      </c>
      <c r="AI311">
        <v>1</v>
      </c>
      <c r="AJ311">
        <v>13.75</v>
      </c>
      <c r="AK311">
        <v>54.99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7.0000000000000007E-2</v>
      </c>
      <c r="AU311" t="s">
        <v>496</v>
      </c>
      <c r="AV311">
        <v>0</v>
      </c>
      <c r="AW311">
        <v>2</v>
      </c>
      <c r="AX311">
        <v>60255910</v>
      </c>
      <c r="AY311">
        <v>1</v>
      </c>
      <c r="AZ311">
        <v>0</v>
      </c>
      <c r="BA311">
        <v>343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f>ROUND(Y311*Source!I285*DO311,9)</f>
        <v>55.403424999999999</v>
      </c>
      <c r="CX311">
        <f>ROUND(Y311*Source!I285,9)</f>
        <v>3.2725</v>
      </c>
      <c r="CY311">
        <f>AB311</f>
        <v>2628.65</v>
      </c>
      <c r="CZ311">
        <f>AF311</f>
        <v>179.17</v>
      </c>
      <c r="DA311">
        <f>AJ311</f>
        <v>13.75</v>
      </c>
      <c r="DB311">
        <f>ROUND(((ROUND(AT311*CZ311,2)*1.25)*1.1),6)</f>
        <v>17.2425</v>
      </c>
      <c r="DC311">
        <f>ROUND(((ROUND(AT311*AG311,2)*1.25)*1.1),6)</f>
        <v>1.63625</v>
      </c>
      <c r="DD311" t="s">
        <v>3</v>
      </c>
      <c r="DE311" t="s">
        <v>3</v>
      </c>
      <c r="DF311">
        <f t="shared" si="48"/>
        <v>0</v>
      </c>
      <c r="DG311">
        <f>ROUND(ROUND(AF311*AJ311,2)*CX311,2)</f>
        <v>8062.1</v>
      </c>
      <c r="DH311">
        <f>ROUND(ROUND(AG311*AK311,2)*CX311,2)</f>
        <v>3046.63</v>
      </c>
      <c r="DI311">
        <f t="shared" si="44"/>
        <v>0</v>
      </c>
      <c r="DJ311">
        <f>DG311</f>
        <v>8062.1</v>
      </c>
      <c r="DK311">
        <v>0</v>
      </c>
      <c r="DL311" t="s">
        <v>489</v>
      </c>
      <c r="DM311">
        <v>0</v>
      </c>
      <c r="DN311" t="s">
        <v>484</v>
      </c>
      <c r="DO311">
        <v>16.93</v>
      </c>
    </row>
    <row r="312" spans="1:119" x14ac:dyDescent="0.2">
      <c r="A312">
        <f>ROW(Source!A285)</f>
        <v>285</v>
      </c>
      <c r="B312">
        <v>60255011</v>
      </c>
      <c r="C312">
        <v>60255584</v>
      </c>
      <c r="D312">
        <v>59038905</v>
      </c>
      <c r="E312">
        <v>1</v>
      </c>
      <c r="F312">
        <v>1</v>
      </c>
      <c r="G312">
        <v>1080</v>
      </c>
      <c r="H312">
        <v>3</v>
      </c>
      <c r="I312" t="s">
        <v>506</v>
      </c>
      <c r="J312" t="s">
        <v>507</v>
      </c>
      <c r="K312" t="s">
        <v>508</v>
      </c>
      <c r="L312">
        <v>1339</v>
      </c>
      <c r="N312">
        <v>1007</v>
      </c>
      <c r="O312" t="s">
        <v>509</v>
      </c>
      <c r="P312" t="s">
        <v>509</v>
      </c>
      <c r="Q312">
        <v>1</v>
      </c>
      <c r="W312">
        <v>0</v>
      </c>
      <c r="X312">
        <v>-744103292</v>
      </c>
      <c r="Y312">
        <f t="shared" ref="Y312:Y320" si="56">AT312</f>
        <v>6.5000000000000002E-2</v>
      </c>
      <c r="AA312">
        <v>54.79</v>
      </c>
      <c r="AB312">
        <v>0</v>
      </c>
      <c r="AC312">
        <v>0</v>
      </c>
      <c r="AD312">
        <v>0</v>
      </c>
      <c r="AE312">
        <v>7.07</v>
      </c>
      <c r="AF312">
        <v>0</v>
      </c>
      <c r="AG312">
        <v>0</v>
      </c>
      <c r="AH312">
        <v>0</v>
      </c>
      <c r="AI312">
        <v>7.75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6.5000000000000002E-2</v>
      </c>
      <c r="AU312" t="s">
        <v>3</v>
      </c>
      <c r="AV312">
        <v>0</v>
      </c>
      <c r="AW312">
        <v>2</v>
      </c>
      <c r="AX312">
        <v>60255911</v>
      </c>
      <c r="AY312">
        <v>1</v>
      </c>
      <c r="AZ312">
        <v>0</v>
      </c>
      <c r="BA312">
        <v>344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ROUND(Y312*Source!I285,9)</f>
        <v>2.21</v>
      </c>
      <c r="CY312">
        <f t="shared" ref="CY312:CY320" si="57">AA312</f>
        <v>54.79</v>
      </c>
      <c r="CZ312">
        <f t="shared" ref="CZ312:CZ320" si="58">AE312</f>
        <v>7.07</v>
      </c>
      <c r="DA312">
        <f t="shared" ref="DA312:DA320" si="59">AI312</f>
        <v>7.75</v>
      </c>
      <c r="DB312">
        <f t="shared" ref="DB312:DB320" si="60">ROUND(ROUND(AT312*CZ312,2),6)</f>
        <v>0.46</v>
      </c>
      <c r="DC312">
        <f t="shared" ref="DC312:DC320" si="61">ROUND(ROUND(AT312*AG312,2),6)</f>
        <v>0</v>
      </c>
      <c r="DD312" t="s">
        <v>3</v>
      </c>
      <c r="DE312" t="s">
        <v>3</v>
      </c>
      <c r="DF312">
        <f t="shared" ref="DF312:DF320" si="62">ROUND(ROUND(AE312*AI312,2)*CX312,2)</f>
        <v>121.09</v>
      </c>
      <c r="DG312">
        <f t="shared" ref="DG312:DG334" si="63">ROUND(ROUND(AF312,2)*CX312,2)</f>
        <v>0</v>
      </c>
      <c r="DH312">
        <f t="shared" ref="DH312:DH334" si="64">ROUND(ROUND(AG312,2)*CX312,2)</f>
        <v>0</v>
      </c>
      <c r="DI312">
        <f t="shared" si="44"/>
        <v>0</v>
      </c>
      <c r="DJ312">
        <f t="shared" ref="DJ312:DJ320" si="65">DF312</f>
        <v>121.09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ROW(Source!A285)</f>
        <v>285</v>
      </c>
      <c r="B313">
        <v>60255011</v>
      </c>
      <c r="C313">
        <v>60255584</v>
      </c>
      <c r="D313">
        <v>59040044</v>
      </c>
      <c r="E313">
        <v>1</v>
      </c>
      <c r="F313">
        <v>1</v>
      </c>
      <c r="G313">
        <v>1080</v>
      </c>
      <c r="H313">
        <v>3</v>
      </c>
      <c r="I313" t="s">
        <v>559</v>
      </c>
      <c r="J313" t="s">
        <v>560</v>
      </c>
      <c r="K313" t="s">
        <v>561</v>
      </c>
      <c r="L313">
        <v>1346</v>
      </c>
      <c r="N313">
        <v>1009</v>
      </c>
      <c r="O313" t="s">
        <v>528</v>
      </c>
      <c r="P313" t="s">
        <v>528</v>
      </c>
      <c r="Q313">
        <v>1</v>
      </c>
      <c r="W313">
        <v>0</v>
      </c>
      <c r="X313">
        <v>-326142876</v>
      </c>
      <c r="Y313">
        <f t="shared" si="56"/>
        <v>0.17</v>
      </c>
      <c r="AA313">
        <v>126.84</v>
      </c>
      <c r="AB313">
        <v>0</v>
      </c>
      <c r="AC313">
        <v>0</v>
      </c>
      <c r="AD313">
        <v>0</v>
      </c>
      <c r="AE313">
        <v>21</v>
      </c>
      <c r="AF313">
        <v>0</v>
      </c>
      <c r="AG313">
        <v>0</v>
      </c>
      <c r="AH313">
        <v>0</v>
      </c>
      <c r="AI313">
        <v>6.04</v>
      </c>
      <c r="AJ313">
        <v>1</v>
      </c>
      <c r="AK313">
        <v>1</v>
      </c>
      <c r="AL313">
        <v>1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0.17</v>
      </c>
      <c r="AU313" t="s">
        <v>3</v>
      </c>
      <c r="AV313">
        <v>0</v>
      </c>
      <c r="AW313">
        <v>2</v>
      </c>
      <c r="AX313">
        <v>60255912</v>
      </c>
      <c r="AY313">
        <v>1</v>
      </c>
      <c r="AZ313">
        <v>0</v>
      </c>
      <c r="BA313">
        <v>345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ROUND(Y313*Source!I285,9)</f>
        <v>5.78</v>
      </c>
      <c r="CY313">
        <f t="shared" si="57"/>
        <v>126.84</v>
      </c>
      <c r="CZ313">
        <f t="shared" si="58"/>
        <v>21</v>
      </c>
      <c r="DA313">
        <f t="shared" si="59"/>
        <v>6.04</v>
      </c>
      <c r="DB313">
        <f t="shared" si="60"/>
        <v>3.57</v>
      </c>
      <c r="DC313">
        <f t="shared" si="61"/>
        <v>0</v>
      </c>
      <c r="DD313" t="s">
        <v>3</v>
      </c>
      <c r="DE313" t="s">
        <v>3</v>
      </c>
      <c r="DF313">
        <f t="shared" si="62"/>
        <v>733.14</v>
      </c>
      <c r="DG313">
        <f t="shared" si="63"/>
        <v>0</v>
      </c>
      <c r="DH313">
        <f t="shared" si="64"/>
        <v>0</v>
      </c>
      <c r="DI313">
        <f t="shared" si="44"/>
        <v>0</v>
      </c>
      <c r="DJ313">
        <f t="shared" si="65"/>
        <v>733.14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ROW(Source!A285)</f>
        <v>285</v>
      </c>
      <c r="B314">
        <v>60255011</v>
      </c>
      <c r="C314">
        <v>60255584</v>
      </c>
      <c r="D314">
        <v>59040617</v>
      </c>
      <c r="E314">
        <v>1</v>
      </c>
      <c r="F314">
        <v>1</v>
      </c>
      <c r="G314">
        <v>1080</v>
      </c>
      <c r="H314">
        <v>3</v>
      </c>
      <c r="I314" t="s">
        <v>535</v>
      </c>
      <c r="J314" t="s">
        <v>536</v>
      </c>
      <c r="K314" t="s">
        <v>537</v>
      </c>
      <c r="L314">
        <v>1346</v>
      </c>
      <c r="N314">
        <v>1009</v>
      </c>
      <c r="O314" t="s">
        <v>528</v>
      </c>
      <c r="P314" t="s">
        <v>528</v>
      </c>
      <c r="Q314">
        <v>1</v>
      </c>
      <c r="W314">
        <v>0</v>
      </c>
      <c r="X314">
        <v>-1011812427</v>
      </c>
      <c r="Y314">
        <f t="shared" si="56"/>
        <v>0.06</v>
      </c>
      <c r="AA314">
        <v>272.7</v>
      </c>
      <c r="AB314">
        <v>0</v>
      </c>
      <c r="AC314">
        <v>0</v>
      </c>
      <c r="AD314">
        <v>0</v>
      </c>
      <c r="AE314">
        <v>37.979999999999997</v>
      </c>
      <c r="AF314">
        <v>0</v>
      </c>
      <c r="AG314">
        <v>0</v>
      </c>
      <c r="AH314">
        <v>0</v>
      </c>
      <c r="AI314">
        <v>7.18</v>
      </c>
      <c r="AJ314">
        <v>1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0.06</v>
      </c>
      <c r="AU314" t="s">
        <v>3</v>
      </c>
      <c r="AV314">
        <v>0</v>
      </c>
      <c r="AW314">
        <v>2</v>
      </c>
      <c r="AX314">
        <v>60255913</v>
      </c>
      <c r="AY314">
        <v>1</v>
      </c>
      <c r="AZ314">
        <v>0</v>
      </c>
      <c r="BA314">
        <v>346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ROUND(Y314*Source!I285,9)</f>
        <v>2.04</v>
      </c>
      <c r="CY314">
        <f t="shared" si="57"/>
        <v>272.7</v>
      </c>
      <c r="CZ314">
        <f t="shared" si="58"/>
        <v>37.979999999999997</v>
      </c>
      <c r="DA314">
        <f t="shared" si="59"/>
        <v>7.18</v>
      </c>
      <c r="DB314">
        <f t="shared" si="60"/>
        <v>2.2799999999999998</v>
      </c>
      <c r="DC314">
        <f t="shared" si="61"/>
        <v>0</v>
      </c>
      <c r="DD314" t="s">
        <v>3</v>
      </c>
      <c r="DE314" t="s">
        <v>3</v>
      </c>
      <c r="DF314">
        <f t="shared" si="62"/>
        <v>556.30999999999995</v>
      </c>
      <c r="DG314">
        <f t="shared" si="63"/>
        <v>0</v>
      </c>
      <c r="DH314">
        <f t="shared" si="64"/>
        <v>0</v>
      </c>
      <c r="DI314">
        <f t="shared" si="44"/>
        <v>0</v>
      </c>
      <c r="DJ314">
        <f t="shared" si="65"/>
        <v>556.30999999999995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ROW(Source!A285)</f>
        <v>285</v>
      </c>
      <c r="B315">
        <v>60255011</v>
      </c>
      <c r="C315">
        <v>60255584</v>
      </c>
      <c r="D315">
        <v>59039024</v>
      </c>
      <c r="E315">
        <v>1</v>
      </c>
      <c r="F315">
        <v>1</v>
      </c>
      <c r="G315">
        <v>1080</v>
      </c>
      <c r="H315">
        <v>3</v>
      </c>
      <c r="I315" t="s">
        <v>562</v>
      </c>
      <c r="J315" t="s">
        <v>563</v>
      </c>
      <c r="K315" t="s">
        <v>564</v>
      </c>
      <c r="L315">
        <v>1348</v>
      </c>
      <c r="N315">
        <v>1009</v>
      </c>
      <c r="O315" t="s">
        <v>534</v>
      </c>
      <c r="P315" t="s">
        <v>534</v>
      </c>
      <c r="Q315">
        <v>1000</v>
      </c>
      <c r="W315">
        <v>0</v>
      </c>
      <c r="X315">
        <v>1469978170</v>
      </c>
      <c r="Y315">
        <f t="shared" si="56"/>
        <v>1.0000000000000001E-5</v>
      </c>
      <c r="AA315">
        <v>73915.41</v>
      </c>
      <c r="AB315">
        <v>0</v>
      </c>
      <c r="AC315">
        <v>0</v>
      </c>
      <c r="AD315">
        <v>0</v>
      </c>
      <c r="AE315">
        <v>3234.81</v>
      </c>
      <c r="AF315">
        <v>0</v>
      </c>
      <c r="AG315">
        <v>0</v>
      </c>
      <c r="AH315">
        <v>0</v>
      </c>
      <c r="AI315">
        <v>22.85</v>
      </c>
      <c r="AJ315">
        <v>1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1.0000000000000001E-5</v>
      </c>
      <c r="AU315" t="s">
        <v>3</v>
      </c>
      <c r="AV315">
        <v>0</v>
      </c>
      <c r="AW315">
        <v>2</v>
      </c>
      <c r="AX315">
        <v>60255914</v>
      </c>
      <c r="AY315">
        <v>1</v>
      </c>
      <c r="AZ315">
        <v>0</v>
      </c>
      <c r="BA315">
        <v>347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ROUND(Y315*Source!I285,9)</f>
        <v>3.4000000000000002E-4</v>
      </c>
      <c r="CY315">
        <f t="shared" si="57"/>
        <v>73915.41</v>
      </c>
      <c r="CZ315">
        <f t="shared" si="58"/>
        <v>3234.81</v>
      </c>
      <c r="DA315">
        <f t="shared" si="59"/>
        <v>22.85</v>
      </c>
      <c r="DB315">
        <f t="shared" si="60"/>
        <v>0.03</v>
      </c>
      <c r="DC315">
        <f t="shared" si="61"/>
        <v>0</v>
      </c>
      <c r="DD315" t="s">
        <v>3</v>
      </c>
      <c r="DE315" t="s">
        <v>3</v>
      </c>
      <c r="DF315">
        <f t="shared" si="62"/>
        <v>25.13</v>
      </c>
      <c r="DG315">
        <f t="shared" si="63"/>
        <v>0</v>
      </c>
      <c r="DH315">
        <f t="shared" si="64"/>
        <v>0</v>
      </c>
      <c r="DI315">
        <f t="shared" si="44"/>
        <v>0</v>
      </c>
      <c r="DJ315">
        <f t="shared" si="65"/>
        <v>25.13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ROW(Source!A285)</f>
        <v>285</v>
      </c>
      <c r="B316">
        <v>60255011</v>
      </c>
      <c r="C316">
        <v>60255584</v>
      </c>
      <c r="D316">
        <v>59038837</v>
      </c>
      <c r="E316">
        <v>1</v>
      </c>
      <c r="F316">
        <v>1</v>
      </c>
      <c r="G316">
        <v>1080</v>
      </c>
      <c r="H316">
        <v>3</v>
      </c>
      <c r="I316" t="s">
        <v>565</v>
      </c>
      <c r="J316" t="s">
        <v>566</v>
      </c>
      <c r="K316" t="s">
        <v>567</v>
      </c>
      <c r="L316">
        <v>1339</v>
      </c>
      <c r="N316">
        <v>1007</v>
      </c>
      <c r="O316" t="s">
        <v>509</v>
      </c>
      <c r="P316" t="s">
        <v>509</v>
      </c>
      <c r="Q316">
        <v>1</v>
      </c>
      <c r="W316">
        <v>0</v>
      </c>
      <c r="X316">
        <v>1565098517</v>
      </c>
      <c r="Y316">
        <f t="shared" si="56"/>
        <v>0.11899999999999999</v>
      </c>
      <c r="AA316">
        <v>759.63</v>
      </c>
      <c r="AB316">
        <v>0</v>
      </c>
      <c r="AC316">
        <v>0</v>
      </c>
      <c r="AD316">
        <v>0</v>
      </c>
      <c r="AE316">
        <v>53.42</v>
      </c>
      <c r="AF316">
        <v>0</v>
      </c>
      <c r="AG316">
        <v>0</v>
      </c>
      <c r="AH316">
        <v>0</v>
      </c>
      <c r="AI316">
        <v>14.22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0.11899999999999999</v>
      </c>
      <c r="AU316" t="s">
        <v>3</v>
      </c>
      <c r="AV316">
        <v>0</v>
      </c>
      <c r="AW316">
        <v>2</v>
      </c>
      <c r="AX316">
        <v>60255915</v>
      </c>
      <c r="AY316">
        <v>1</v>
      </c>
      <c r="AZ316">
        <v>0</v>
      </c>
      <c r="BA316">
        <v>348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ROUND(Y316*Source!I285,9)</f>
        <v>4.0460000000000003</v>
      </c>
      <c r="CY316">
        <f t="shared" si="57"/>
        <v>759.63</v>
      </c>
      <c r="CZ316">
        <f t="shared" si="58"/>
        <v>53.42</v>
      </c>
      <c r="DA316">
        <f t="shared" si="59"/>
        <v>14.22</v>
      </c>
      <c r="DB316">
        <f t="shared" si="60"/>
        <v>6.36</v>
      </c>
      <c r="DC316">
        <f t="shared" si="61"/>
        <v>0</v>
      </c>
      <c r="DD316" t="s">
        <v>3</v>
      </c>
      <c r="DE316" t="s">
        <v>3</v>
      </c>
      <c r="DF316">
        <f t="shared" si="62"/>
        <v>3073.46</v>
      </c>
      <c r="DG316">
        <f t="shared" si="63"/>
        <v>0</v>
      </c>
      <c r="DH316">
        <f t="shared" si="64"/>
        <v>0</v>
      </c>
      <c r="DI316">
        <f t="shared" si="44"/>
        <v>0</v>
      </c>
      <c r="DJ316">
        <f t="shared" si="65"/>
        <v>3073.46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ROW(Source!A285)</f>
        <v>285</v>
      </c>
      <c r="B317">
        <v>60255011</v>
      </c>
      <c r="C317">
        <v>60255584</v>
      </c>
      <c r="D317">
        <v>59039103</v>
      </c>
      <c r="E317">
        <v>1</v>
      </c>
      <c r="F317">
        <v>1</v>
      </c>
      <c r="G317">
        <v>1080</v>
      </c>
      <c r="H317">
        <v>3</v>
      </c>
      <c r="I317" t="s">
        <v>568</v>
      </c>
      <c r="J317" t="s">
        <v>569</v>
      </c>
      <c r="K317" t="s">
        <v>570</v>
      </c>
      <c r="L317">
        <v>1339</v>
      </c>
      <c r="N317">
        <v>1007</v>
      </c>
      <c r="O317" t="s">
        <v>509</v>
      </c>
      <c r="P317" t="s">
        <v>509</v>
      </c>
      <c r="Q317">
        <v>1</v>
      </c>
      <c r="W317">
        <v>0</v>
      </c>
      <c r="X317">
        <v>-388798825</v>
      </c>
      <c r="Y317">
        <f t="shared" si="56"/>
        <v>0.28100000000000003</v>
      </c>
      <c r="AA317">
        <v>94.23</v>
      </c>
      <c r="AB317">
        <v>0</v>
      </c>
      <c r="AC317">
        <v>0</v>
      </c>
      <c r="AD317">
        <v>0</v>
      </c>
      <c r="AE317">
        <v>5.82</v>
      </c>
      <c r="AF317">
        <v>0</v>
      </c>
      <c r="AG317">
        <v>0</v>
      </c>
      <c r="AH317">
        <v>0</v>
      </c>
      <c r="AI317">
        <v>16.190000000000001</v>
      </c>
      <c r="AJ317">
        <v>1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0.28100000000000003</v>
      </c>
      <c r="AU317" t="s">
        <v>3</v>
      </c>
      <c r="AV317">
        <v>0</v>
      </c>
      <c r="AW317">
        <v>2</v>
      </c>
      <c r="AX317">
        <v>60255916</v>
      </c>
      <c r="AY317">
        <v>1</v>
      </c>
      <c r="AZ317">
        <v>0</v>
      </c>
      <c r="BA317">
        <v>349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ROUND(Y317*Source!I285,9)</f>
        <v>9.5540000000000003</v>
      </c>
      <c r="CY317">
        <f t="shared" si="57"/>
        <v>94.23</v>
      </c>
      <c r="CZ317">
        <f t="shared" si="58"/>
        <v>5.82</v>
      </c>
      <c r="DA317">
        <f t="shared" si="59"/>
        <v>16.190000000000001</v>
      </c>
      <c r="DB317">
        <f t="shared" si="60"/>
        <v>1.64</v>
      </c>
      <c r="DC317">
        <f t="shared" si="61"/>
        <v>0</v>
      </c>
      <c r="DD317" t="s">
        <v>3</v>
      </c>
      <c r="DE317" t="s">
        <v>3</v>
      </c>
      <c r="DF317">
        <f t="shared" si="62"/>
        <v>900.27</v>
      </c>
      <c r="DG317">
        <f t="shared" si="63"/>
        <v>0</v>
      </c>
      <c r="DH317">
        <f t="shared" si="64"/>
        <v>0</v>
      </c>
      <c r="DI317">
        <f t="shared" si="44"/>
        <v>0</v>
      </c>
      <c r="DJ317">
        <f t="shared" si="65"/>
        <v>900.27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ROW(Source!A285)</f>
        <v>285</v>
      </c>
      <c r="B318">
        <v>60255011</v>
      </c>
      <c r="C318">
        <v>60255584</v>
      </c>
      <c r="D318">
        <v>59039175</v>
      </c>
      <c r="E318">
        <v>1</v>
      </c>
      <c r="F318">
        <v>1</v>
      </c>
      <c r="G318">
        <v>1080</v>
      </c>
      <c r="H318">
        <v>3</v>
      </c>
      <c r="I318" t="s">
        <v>538</v>
      </c>
      <c r="J318" t="s">
        <v>539</v>
      </c>
      <c r="K318" t="s">
        <v>540</v>
      </c>
      <c r="L318">
        <v>1348</v>
      </c>
      <c r="N318">
        <v>1009</v>
      </c>
      <c r="O318" t="s">
        <v>534</v>
      </c>
      <c r="P318" t="s">
        <v>534</v>
      </c>
      <c r="Q318">
        <v>1000</v>
      </c>
      <c r="W318">
        <v>0</v>
      </c>
      <c r="X318">
        <v>356473523</v>
      </c>
      <c r="Y318">
        <f t="shared" si="56"/>
        <v>4.4000000000000002E-4</v>
      </c>
      <c r="AA318">
        <v>55779.05</v>
      </c>
      <c r="AB318">
        <v>0</v>
      </c>
      <c r="AC318">
        <v>0</v>
      </c>
      <c r="AD318">
        <v>0</v>
      </c>
      <c r="AE318">
        <v>16214.84</v>
      </c>
      <c r="AF318">
        <v>0</v>
      </c>
      <c r="AG318">
        <v>0</v>
      </c>
      <c r="AH318">
        <v>0</v>
      </c>
      <c r="AI318">
        <v>3.44</v>
      </c>
      <c r="AJ318">
        <v>1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4.4000000000000002E-4</v>
      </c>
      <c r="AU318" t="s">
        <v>3</v>
      </c>
      <c r="AV318">
        <v>0</v>
      </c>
      <c r="AW318">
        <v>2</v>
      </c>
      <c r="AX318">
        <v>60255917</v>
      </c>
      <c r="AY318">
        <v>1</v>
      </c>
      <c r="AZ318">
        <v>0</v>
      </c>
      <c r="BA318">
        <v>350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ROUND(Y318*Source!I285,9)</f>
        <v>1.4959999999999999E-2</v>
      </c>
      <c r="CY318">
        <f t="shared" si="57"/>
        <v>55779.05</v>
      </c>
      <c r="CZ318">
        <f t="shared" si="58"/>
        <v>16214.84</v>
      </c>
      <c r="DA318">
        <f t="shared" si="59"/>
        <v>3.44</v>
      </c>
      <c r="DB318">
        <f t="shared" si="60"/>
        <v>7.13</v>
      </c>
      <c r="DC318">
        <f t="shared" si="61"/>
        <v>0</v>
      </c>
      <c r="DD318" t="s">
        <v>3</v>
      </c>
      <c r="DE318" t="s">
        <v>3</v>
      </c>
      <c r="DF318">
        <f t="shared" si="62"/>
        <v>834.45</v>
      </c>
      <c r="DG318">
        <f t="shared" si="63"/>
        <v>0</v>
      </c>
      <c r="DH318">
        <f t="shared" si="64"/>
        <v>0</v>
      </c>
      <c r="DI318">
        <f t="shared" si="44"/>
        <v>0</v>
      </c>
      <c r="DJ318">
        <f t="shared" si="65"/>
        <v>834.45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ROW(Source!A285)</f>
        <v>285</v>
      </c>
      <c r="B319">
        <v>60255011</v>
      </c>
      <c r="C319">
        <v>60255584</v>
      </c>
      <c r="D319">
        <v>59039344</v>
      </c>
      <c r="E319">
        <v>1</v>
      </c>
      <c r="F319">
        <v>1</v>
      </c>
      <c r="G319">
        <v>1080</v>
      </c>
      <c r="H319">
        <v>3</v>
      </c>
      <c r="I319" t="s">
        <v>541</v>
      </c>
      <c r="J319" t="s">
        <v>542</v>
      </c>
      <c r="K319" t="s">
        <v>543</v>
      </c>
      <c r="L319">
        <v>1346</v>
      </c>
      <c r="N319">
        <v>1009</v>
      </c>
      <c r="O319" t="s">
        <v>528</v>
      </c>
      <c r="P319" t="s">
        <v>528</v>
      </c>
      <c r="Q319">
        <v>1</v>
      </c>
      <c r="W319">
        <v>0</v>
      </c>
      <c r="X319">
        <v>1135396300</v>
      </c>
      <c r="Y319">
        <f t="shared" si="56"/>
        <v>0.53</v>
      </c>
      <c r="AA319">
        <v>85.4</v>
      </c>
      <c r="AB319">
        <v>0</v>
      </c>
      <c r="AC319">
        <v>0</v>
      </c>
      <c r="AD319">
        <v>0</v>
      </c>
      <c r="AE319">
        <v>20.190000000000001</v>
      </c>
      <c r="AF319">
        <v>0</v>
      </c>
      <c r="AG319">
        <v>0</v>
      </c>
      <c r="AH319">
        <v>0</v>
      </c>
      <c r="AI319">
        <v>4.2300000000000004</v>
      </c>
      <c r="AJ319">
        <v>1</v>
      </c>
      <c r="AK319">
        <v>1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0.53</v>
      </c>
      <c r="AU319" t="s">
        <v>3</v>
      </c>
      <c r="AV319">
        <v>0</v>
      </c>
      <c r="AW319">
        <v>2</v>
      </c>
      <c r="AX319">
        <v>60255918</v>
      </c>
      <c r="AY319">
        <v>1</v>
      </c>
      <c r="AZ319">
        <v>0</v>
      </c>
      <c r="BA319">
        <v>351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ROUND(Y319*Source!I285,9)</f>
        <v>18.02</v>
      </c>
      <c r="CY319">
        <f t="shared" si="57"/>
        <v>85.4</v>
      </c>
      <c r="CZ319">
        <f t="shared" si="58"/>
        <v>20.190000000000001</v>
      </c>
      <c r="DA319">
        <f t="shared" si="59"/>
        <v>4.2300000000000004</v>
      </c>
      <c r="DB319">
        <f t="shared" si="60"/>
        <v>10.7</v>
      </c>
      <c r="DC319">
        <f t="shared" si="61"/>
        <v>0</v>
      </c>
      <c r="DD319" t="s">
        <v>3</v>
      </c>
      <c r="DE319" t="s">
        <v>3</v>
      </c>
      <c r="DF319">
        <f t="shared" si="62"/>
        <v>1538.91</v>
      </c>
      <c r="DG319">
        <f t="shared" si="63"/>
        <v>0</v>
      </c>
      <c r="DH319">
        <f t="shared" si="64"/>
        <v>0</v>
      </c>
      <c r="DI319">
        <f t="shared" si="44"/>
        <v>0</v>
      </c>
      <c r="DJ319">
        <f t="shared" si="65"/>
        <v>1538.91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ROW(Source!A285)</f>
        <v>285</v>
      </c>
      <c r="B320">
        <v>60255011</v>
      </c>
      <c r="C320">
        <v>60255584</v>
      </c>
      <c r="D320">
        <v>59051856</v>
      </c>
      <c r="E320">
        <v>1</v>
      </c>
      <c r="F320">
        <v>1</v>
      </c>
      <c r="G320">
        <v>1080</v>
      </c>
      <c r="H320">
        <v>3</v>
      </c>
      <c r="I320" t="s">
        <v>374</v>
      </c>
      <c r="J320" t="s">
        <v>377</v>
      </c>
      <c r="K320" t="s">
        <v>375</v>
      </c>
      <c r="L320">
        <v>1301</v>
      </c>
      <c r="N320">
        <v>1003</v>
      </c>
      <c r="O320" t="s">
        <v>376</v>
      </c>
      <c r="P320" t="s">
        <v>376</v>
      </c>
      <c r="Q320">
        <v>1</v>
      </c>
      <c r="W320">
        <v>0</v>
      </c>
      <c r="X320">
        <v>1317022629</v>
      </c>
      <c r="Y320">
        <f t="shared" si="56"/>
        <v>100</v>
      </c>
      <c r="AA320">
        <v>339.38</v>
      </c>
      <c r="AB320">
        <v>0</v>
      </c>
      <c r="AC320">
        <v>0</v>
      </c>
      <c r="AD320">
        <v>0</v>
      </c>
      <c r="AE320">
        <v>30.14</v>
      </c>
      <c r="AF320">
        <v>0</v>
      </c>
      <c r="AG320">
        <v>0</v>
      </c>
      <c r="AH320">
        <v>0</v>
      </c>
      <c r="AI320">
        <v>11.26</v>
      </c>
      <c r="AJ320">
        <v>1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 t="s">
        <v>3</v>
      </c>
      <c r="AT320">
        <v>100</v>
      </c>
      <c r="AU320" t="s">
        <v>3</v>
      </c>
      <c r="AV320">
        <v>0</v>
      </c>
      <c r="AW320">
        <v>1</v>
      </c>
      <c r="AX320">
        <v>-1</v>
      </c>
      <c r="AY320">
        <v>0</v>
      </c>
      <c r="AZ320">
        <v>0</v>
      </c>
      <c r="BA320" t="s">
        <v>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ROUND(Y320*Source!I285,9)</f>
        <v>3400</v>
      </c>
      <c r="CY320">
        <f t="shared" si="57"/>
        <v>339.38</v>
      </c>
      <c r="CZ320">
        <f t="shared" si="58"/>
        <v>30.14</v>
      </c>
      <c r="DA320">
        <f t="shared" si="59"/>
        <v>11.26</v>
      </c>
      <c r="DB320">
        <f t="shared" si="60"/>
        <v>3014</v>
      </c>
      <c r="DC320">
        <f t="shared" si="61"/>
        <v>0</v>
      </c>
      <c r="DD320" t="s">
        <v>3</v>
      </c>
      <c r="DE320" t="s">
        <v>3</v>
      </c>
      <c r="DF320">
        <f t="shared" si="62"/>
        <v>1153892</v>
      </c>
      <c r="DG320">
        <f t="shared" si="63"/>
        <v>0</v>
      </c>
      <c r="DH320">
        <f t="shared" si="64"/>
        <v>0</v>
      </c>
      <c r="DI320">
        <f t="shared" si="44"/>
        <v>0</v>
      </c>
      <c r="DJ320">
        <f t="shared" si="65"/>
        <v>1153892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ROW(Source!A288)</f>
        <v>288</v>
      </c>
      <c r="B321">
        <v>60255014</v>
      </c>
      <c r="C321">
        <v>60255614</v>
      </c>
      <c r="D321">
        <v>58999254</v>
      </c>
      <c r="E321">
        <v>1080</v>
      </c>
      <c r="F321">
        <v>1</v>
      </c>
      <c r="G321">
        <v>1080</v>
      </c>
      <c r="H321">
        <v>1</v>
      </c>
      <c r="I321" t="s">
        <v>482</v>
      </c>
      <c r="J321" t="s">
        <v>3</v>
      </c>
      <c r="K321" t="s">
        <v>483</v>
      </c>
      <c r="L321">
        <v>1191</v>
      </c>
      <c r="N321">
        <v>1013</v>
      </c>
      <c r="O321" t="s">
        <v>484</v>
      </c>
      <c r="P321" t="s">
        <v>484</v>
      </c>
      <c r="Q321">
        <v>1</v>
      </c>
      <c r="W321">
        <v>0</v>
      </c>
      <c r="X321">
        <v>476480486</v>
      </c>
      <c r="Y321">
        <f>((AT321*1.15)*1.1)</f>
        <v>37.570499999999996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29.7</v>
      </c>
      <c r="AU321" t="s">
        <v>99</v>
      </c>
      <c r="AV321">
        <v>1</v>
      </c>
      <c r="AW321">
        <v>2</v>
      </c>
      <c r="AX321">
        <v>60255922</v>
      </c>
      <c r="AY321">
        <v>1</v>
      </c>
      <c r="AZ321">
        <v>0</v>
      </c>
      <c r="BA321">
        <v>355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U321">
        <f>ROUND(AT321*Source!I288*AH321*AL321,2)</f>
        <v>0</v>
      </c>
      <c r="CV321">
        <f>ROUND(Y321*Source!I288,9)</f>
        <v>225.423</v>
      </c>
      <c r="CW321">
        <v>0</v>
      </c>
      <c r="CX321">
        <f>ROUND(Y321*Source!I288,9)</f>
        <v>225.423</v>
      </c>
      <c r="CY321">
        <f>AD321</f>
        <v>0</v>
      </c>
      <c r="CZ321">
        <f>AH321</f>
        <v>0</v>
      </c>
      <c r="DA321">
        <f>AL321</f>
        <v>1</v>
      </c>
      <c r="DB321">
        <f>ROUND(((ROUND(AT321*CZ321,2)*1.15)*1.1),6)</f>
        <v>0</v>
      </c>
      <c r="DC321">
        <f>ROUND(((ROUND(AT321*AG321,2)*1.15)*1.1),6)</f>
        <v>0</v>
      </c>
      <c r="DD321" t="s">
        <v>3</v>
      </c>
      <c r="DE321" t="s">
        <v>3</v>
      </c>
      <c r="DF321">
        <f t="shared" ref="DF321:DF337" si="66">ROUND(ROUND(AE321,2)*CX321,2)</f>
        <v>0</v>
      </c>
      <c r="DG321">
        <f t="shared" si="63"/>
        <v>0</v>
      </c>
      <c r="DH321">
        <f t="shared" si="64"/>
        <v>0</v>
      </c>
      <c r="DI321">
        <f t="shared" ref="DI321:DI384" si="67">ROUND(ROUND(AH321,2)*CX321,2)</f>
        <v>0</v>
      </c>
      <c r="DJ321">
        <f>DI321</f>
        <v>0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ROW(Source!A288)</f>
        <v>288</v>
      </c>
      <c r="B322">
        <v>60255014</v>
      </c>
      <c r="C322">
        <v>60255614</v>
      </c>
      <c r="D322">
        <v>59070372</v>
      </c>
      <c r="E322">
        <v>1</v>
      </c>
      <c r="F322">
        <v>1</v>
      </c>
      <c r="G322">
        <v>1080</v>
      </c>
      <c r="H322">
        <v>2</v>
      </c>
      <c r="I322" t="s">
        <v>556</v>
      </c>
      <c r="J322" t="s">
        <v>557</v>
      </c>
      <c r="K322" t="s">
        <v>558</v>
      </c>
      <c r="L322">
        <v>1368</v>
      </c>
      <c r="N322">
        <v>1011</v>
      </c>
      <c r="O322" t="s">
        <v>488</v>
      </c>
      <c r="P322" t="s">
        <v>488</v>
      </c>
      <c r="Q322">
        <v>1</v>
      </c>
      <c r="W322">
        <v>0</v>
      </c>
      <c r="X322">
        <v>549242131</v>
      </c>
      <c r="Y322">
        <f>((AT322*1.25)*1.1)</f>
        <v>1.58125</v>
      </c>
      <c r="AA322">
        <v>0</v>
      </c>
      <c r="AB322">
        <v>0.3</v>
      </c>
      <c r="AC322">
        <v>0</v>
      </c>
      <c r="AD322">
        <v>0</v>
      </c>
      <c r="AE322">
        <v>0</v>
      </c>
      <c r="AF322">
        <v>0.28000000000000003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-2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1.1499999999999999</v>
      </c>
      <c r="AU322" t="s">
        <v>496</v>
      </c>
      <c r="AV322">
        <v>0</v>
      </c>
      <c r="AW322">
        <v>2</v>
      </c>
      <c r="AX322">
        <v>60255923</v>
      </c>
      <c r="AY322">
        <v>1</v>
      </c>
      <c r="AZ322">
        <v>0</v>
      </c>
      <c r="BA322">
        <v>356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f>ROUND(Y322*Source!I288*DO322,9)</f>
        <v>0</v>
      </c>
      <c r="CX322">
        <f>ROUND(Y322*Source!I288,9)</f>
        <v>9.4875000000000007</v>
      </c>
      <c r="CY322">
        <f>AB322</f>
        <v>0.3</v>
      </c>
      <c r="CZ322">
        <f>AF322</f>
        <v>0.28000000000000003</v>
      </c>
      <c r="DA322">
        <f>AJ322</f>
        <v>1</v>
      </c>
      <c r="DB322">
        <f>ROUND(((ROUND(AT322*CZ322,2)*1.25)*1.1),6)</f>
        <v>0.44</v>
      </c>
      <c r="DC322">
        <f>ROUND(((ROUND(AT322*AG322,2)*1.25)*1.1),6)</f>
        <v>0</v>
      </c>
      <c r="DD322" t="s">
        <v>3</v>
      </c>
      <c r="DE322" t="s">
        <v>3</v>
      </c>
      <c r="DF322">
        <f t="shared" si="66"/>
        <v>0</v>
      </c>
      <c r="DG322">
        <f t="shared" si="63"/>
        <v>2.66</v>
      </c>
      <c r="DH322">
        <f t="shared" si="64"/>
        <v>0</v>
      </c>
      <c r="DI322">
        <f t="shared" si="67"/>
        <v>0</v>
      </c>
      <c r="DJ322">
        <f>DG322</f>
        <v>2.66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ROW(Source!A288)</f>
        <v>288</v>
      </c>
      <c r="B323">
        <v>60255014</v>
      </c>
      <c r="C323">
        <v>60255614</v>
      </c>
      <c r="D323">
        <v>59070669</v>
      </c>
      <c r="E323">
        <v>1</v>
      </c>
      <c r="F323">
        <v>1</v>
      </c>
      <c r="G323">
        <v>1080</v>
      </c>
      <c r="H323">
        <v>2</v>
      </c>
      <c r="I323" t="s">
        <v>485</v>
      </c>
      <c r="J323" t="s">
        <v>486</v>
      </c>
      <c r="K323" t="s">
        <v>487</v>
      </c>
      <c r="L323">
        <v>1368</v>
      </c>
      <c r="N323">
        <v>1011</v>
      </c>
      <c r="O323" t="s">
        <v>488</v>
      </c>
      <c r="P323" t="s">
        <v>488</v>
      </c>
      <c r="Q323">
        <v>1</v>
      </c>
      <c r="W323">
        <v>0</v>
      </c>
      <c r="X323">
        <v>-1985943078</v>
      </c>
      <c r="Y323">
        <f>((AT323*1.25)*1.1)</f>
        <v>0.48125000000000007</v>
      </c>
      <c r="AA323">
        <v>0</v>
      </c>
      <c r="AB323">
        <v>88.67</v>
      </c>
      <c r="AC323">
        <v>13.47</v>
      </c>
      <c r="AD323">
        <v>0</v>
      </c>
      <c r="AE323">
        <v>0</v>
      </c>
      <c r="AF323">
        <v>83.1</v>
      </c>
      <c r="AG323">
        <v>12.62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0.35</v>
      </c>
      <c r="AU323" t="s">
        <v>496</v>
      </c>
      <c r="AV323">
        <v>0</v>
      </c>
      <c r="AW323">
        <v>2</v>
      </c>
      <c r="AX323">
        <v>60255924</v>
      </c>
      <c r="AY323">
        <v>1</v>
      </c>
      <c r="AZ323">
        <v>0</v>
      </c>
      <c r="BA323">
        <v>357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ROUND(Y323*Source!I288*DO323,9)</f>
        <v>36.440249999999999</v>
      </c>
      <c r="CX323">
        <f>ROUND(Y323*Source!I288,9)</f>
        <v>2.8875000000000002</v>
      </c>
      <c r="CY323">
        <f>AB323</f>
        <v>88.67</v>
      </c>
      <c r="CZ323">
        <f>AF323</f>
        <v>83.1</v>
      </c>
      <c r="DA323">
        <f>AJ323</f>
        <v>1</v>
      </c>
      <c r="DB323">
        <f>ROUND(((ROUND(AT323*CZ323,2)*1.25)*1.1),6)</f>
        <v>39.998750000000001</v>
      </c>
      <c r="DC323">
        <f>ROUND(((ROUND(AT323*AG323,2)*1.25)*1.1),6)</f>
        <v>6.0774999999999997</v>
      </c>
      <c r="DD323" t="s">
        <v>3</v>
      </c>
      <c r="DE323" t="s">
        <v>3</v>
      </c>
      <c r="DF323">
        <f t="shared" si="66"/>
        <v>0</v>
      </c>
      <c r="DG323">
        <f t="shared" si="63"/>
        <v>239.95</v>
      </c>
      <c r="DH323">
        <f t="shared" si="64"/>
        <v>36.44</v>
      </c>
      <c r="DI323">
        <f t="shared" si="67"/>
        <v>0</v>
      </c>
      <c r="DJ323">
        <f>DG323</f>
        <v>239.95</v>
      </c>
      <c r="DK323">
        <v>0</v>
      </c>
      <c r="DL323" t="s">
        <v>489</v>
      </c>
      <c r="DM323">
        <v>0</v>
      </c>
      <c r="DN323" t="s">
        <v>484</v>
      </c>
      <c r="DO323">
        <v>12.62</v>
      </c>
    </row>
    <row r="324" spans="1:119" x14ac:dyDescent="0.2">
      <c r="A324">
        <f>ROW(Source!A288)</f>
        <v>288</v>
      </c>
      <c r="B324">
        <v>60255014</v>
      </c>
      <c r="C324">
        <v>60255614</v>
      </c>
      <c r="D324">
        <v>59069905</v>
      </c>
      <c r="E324">
        <v>1</v>
      </c>
      <c r="F324">
        <v>1</v>
      </c>
      <c r="G324">
        <v>1080</v>
      </c>
      <c r="H324">
        <v>2</v>
      </c>
      <c r="I324" t="s">
        <v>503</v>
      </c>
      <c r="J324" t="s">
        <v>504</v>
      </c>
      <c r="K324" t="s">
        <v>505</v>
      </c>
      <c r="L324">
        <v>1368</v>
      </c>
      <c r="N324">
        <v>1011</v>
      </c>
      <c r="O324" t="s">
        <v>488</v>
      </c>
      <c r="P324" t="s">
        <v>488</v>
      </c>
      <c r="Q324">
        <v>1</v>
      </c>
      <c r="W324">
        <v>0</v>
      </c>
      <c r="X324">
        <v>1087580389</v>
      </c>
      <c r="Y324">
        <f>((AT324*1.25)*1.1)</f>
        <v>9.6250000000000016E-2</v>
      </c>
      <c r="AA324">
        <v>0</v>
      </c>
      <c r="AB324">
        <v>191.17</v>
      </c>
      <c r="AC324">
        <v>18.059999999999999</v>
      </c>
      <c r="AD324">
        <v>0</v>
      </c>
      <c r="AE324">
        <v>0</v>
      </c>
      <c r="AF324">
        <v>179.17</v>
      </c>
      <c r="AG324">
        <v>16.93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7.0000000000000007E-2</v>
      </c>
      <c r="AU324" t="s">
        <v>496</v>
      </c>
      <c r="AV324">
        <v>0</v>
      </c>
      <c r="AW324">
        <v>2</v>
      </c>
      <c r="AX324">
        <v>60255925</v>
      </c>
      <c r="AY324">
        <v>1</v>
      </c>
      <c r="AZ324">
        <v>0</v>
      </c>
      <c r="BA324">
        <v>358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ROUND(Y324*Source!I288*DO324,9)</f>
        <v>9.777075</v>
      </c>
      <c r="CX324">
        <f>ROUND(Y324*Source!I288,9)</f>
        <v>0.57750000000000001</v>
      </c>
      <c r="CY324">
        <f>AB324</f>
        <v>191.17</v>
      </c>
      <c r="CZ324">
        <f>AF324</f>
        <v>179.17</v>
      </c>
      <c r="DA324">
        <f>AJ324</f>
        <v>1</v>
      </c>
      <c r="DB324">
        <f>ROUND(((ROUND(AT324*CZ324,2)*1.25)*1.1),6)</f>
        <v>17.2425</v>
      </c>
      <c r="DC324">
        <f>ROUND(((ROUND(AT324*AG324,2)*1.25)*1.1),6)</f>
        <v>1.63625</v>
      </c>
      <c r="DD324" t="s">
        <v>3</v>
      </c>
      <c r="DE324" t="s">
        <v>3</v>
      </c>
      <c r="DF324">
        <f t="shared" si="66"/>
        <v>0</v>
      </c>
      <c r="DG324">
        <f t="shared" si="63"/>
        <v>103.47</v>
      </c>
      <c r="DH324">
        <f t="shared" si="64"/>
        <v>9.7799999999999994</v>
      </c>
      <c r="DI324">
        <f t="shared" si="67"/>
        <v>0</v>
      </c>
      <c r="DJ324">
        <f>DG324</f>
        <v>103.47</v>
      </c>
      <c r="DK324">
        <v>0</v>
      </c>
      <c r="DL324" t="s">
        <v>489</v>
      </c>
      <c r="DM324">
        <v>0</v>
      </c>
      <c r="DN324" t="s">
        <v>484</v>
      </c>
      <c r="DO324">
        <v>16.93</v>
      </c>
    </row>
    <row r="325" spans="1:119" x14ac:dyDescent="0.2">
      <c r="A325">
        <f>ROW(Source!A288)</f>
        <v>288</v>
      </c>
      <c r="B325">
        <v>60255014</v>
      </c>
      <c r="C325">
        <v>60255614</v>
      </c>
      <c r="D325">
        <v>59038905</v>
      </c>
      <c r="E325">
        <v>1</v>
      </c>
      <c r="F325">
        <v>1</v>
      </c>
      <c r="G325">
        <v>1080</v>
      </c>
      <c r="H325">
        <v>3</v>
      </c>
      <c r="I325" t="s">
        <v>506</v>
      </c>
      <c r="J325" t="s">
        <v>507</v>
      </c>
      <c r="K325" t="s">
        <v>508</v>
      </c>
      <c r="L325">
        <v>1339</v>
      </c>
      <c r="N325">
        <v>1007</v>
      </c>
      <c r="O325" t="s">
        <v>509</v>
      </c>
      <c r="P325" t="s">
        <v>509</v>
      </c>
      <c r="Q325">
        <v>1</v>
      </c>
      <c r="W325">
        <v>0</v>
      </c>
      <c r="X325">
        <v>-744103292</v>
      </c>
      <c r="Y325">
        <f t="shared" ref="Y325:Y333" si="68">AT325</f>
        <v>0.113</v>
      </c>
      <c r="AA325">
        <v>7.07</v>
      </c>
      <c r="AB325">
        <v>0</v>
      </c>
      <c r="AC325">
        <v>0</v>
      </c>
      <c r="AD325">
        <v>0</v>
      </c>
      <c r="AE325">
        <v>7.07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0.113</v>
      </c>
      <c r="AU325" t="s">
        <v>3</v>
      </c>
      <c r="AV325">
        <v>0</v>
      </c>
      <c r="AW325">
        <v>2</v>
      </c>
      <c r="AX325">
        <v>60255926</v>
      </c>
      <c r="AY325">
        <v>1</v>
      </c>
      <c r="AZ325">
        <v>0</v>
      </c>
      <c r="BA325">
        <v>359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ROUND(Y325*Source!I288,9)</f>
        <v>0.67800000000000005</v>
      </c>
      <c r="CY325">
        <f t="shared" ref="CY325:CY333" si="69">AA325</f>
        <v>7.07</v>
      </c>
      <c r="CZ325">
        <f t="shared" ref="CZ325:CZ333" si="70">AE325</f>
        <v>7.07</v>
      </c>
      <c r="DA325">
        <f t="shared" ref="DA325:DA333" si="71">AI325</f>
        <v>1</v>
      </c>
      <c r="DB325">
        <f t="shared" ref="DB325:DB333" si="72">ROUND(ROUND(AT325*CZ325,2),6)</f>
        <v>0.8</v>
      </c>
      <c r="DC325">
        <f t="shared" ref="DC325:DC333" si="73">ROUND(ROUND(AT325*AG325,2),6)</f>
        <v>0</v>
      </c>
      <c r="DD325" t="s">
        <v>3</v>
      </c>
      <c r="DE325" t="s">
        <v>3</v>
      </c>
      <c r="DF325">
        <f t="shared" si="66"/>
        <v>4.79</v>
      </c>
      <c r="DG325">
        <f t="shared" si="63"/>
        <v>0</v>
      </c>
      <c r="DH325">
        <f t="shared" si="64"/>
        <v>0</v>
      </c>
      <c r="DI325">
        <f t="shared" si="67"/>
        <v>0</v>
      </c>
      <c r="DJ325">
        <f t="shared" ref="DJ325:DJ333" si="74">DF325</f>
        <v>4.79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ROW(Source!A288)</f>
        <v>288</v>
      </c>
      <c r="B326">
        <v>60255014</v>
      </c>
      <c r="C326">
        <v>60255614</v>
      </c>
      <c r="D326">
        <v>59040044</v>
      </c>
      <c r="E326">
        <v>1</v>
      </c>
      <c r="F326">
        <v>1</v>
      </c>
      <c r="G326">
        <v>1080</v>
      </c>
      <c r="H326">
        <v>3</v>
      </c>
      <c r="I326" t="s">
        <v>559</v>
      </c>
      <c r="J326" t="s">
        <v>560</v>
      </c>
      <c r="K326" t="s">
        <v>561</v>
      </c>
      <c r="L326">
        <v>1346</v>
      </c>
      <c r="N326">
        <v>1009</v>
      </c>
      <c r="O326" t="s">
        <v>528</v>
      </c>
      <c r="P326" t="s">
        <v>528</v>
      </c>
      <c r="Q326">
        <v>1</v>
      </c>
      <c r="W326">
        <v>0</v>
      </c>
      <c r="X326">
        <v>-326142876</v>
      </c>
      <c r="Y326">
        <f t="shared" si="68"/>
        <v>0.17</v>
      </c>
      <c r="AA326">
        <v>21</v>
      </c>
      <c r="AB326">
        <v>0</v>
      </c>
      <c r="AC326">
        <v>0</v>
      </c>
      <c r="AD326">
        <v>0</v>
      </c>
      <c r="AE326">
        <v>21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0.17</v>
      </c>
      <c r="AU326" t="s">
        <v>3</v>
      </c>
      <c r="AV326">
        <v>0</v>
      </c>
      <c r="AW326">
        <v>2</v>
      </c>
      <c r="AX326">
        <v>60255927</v>
      </c>
      <c r="AY326">
        <v>1</v>
      </c>
      <c r="AZ326">
        <v>0</v>
      </c>
      <c r="BA326">
        <v>360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ROUND(Y326*Source!I288,9)</f>
        <v>1.02</v>
      </c>
      <c r="CY326">
        <f t="shared" si="69"/>
        <v>21</v>
      </c>
      <c r="CZ326">
        <f t="shared" si="70"/>
        <v>21</v>
      </c>
      <c r="DA326">
        <f t="shared" si="71"/>
        <v>1</v>
      </c>
      <c r="DB326">
        <f t="shared" si="72"/>
        <v>3.57</v>
      </c>
      <c r="DC326">
        <f t="shared" si="73"/>
        <v>0</v>
      </c>
      <c r="DD326" t="s">
        <v>3</v>
      </c>
      <c r="DE326" t="s">
        <v>3</v>
      </c>
      <c r="DF326">
        <f t="shared" si="66"/>
        <v>21.42</v>
      </c>
      <c r="DG326">
        <f t="shared" si="63"/>
        <v>0</v>
      </c>
      <c r="DH326">
        <f t="shared" si="64"/>
        <v>0</v>
      </c>
      <c r="DI326">
        <f t="shared" si="67"/>
        <v>0</v>
      </c>
      <c r="DJ326">
        <f t="shared" si="74"/>
        <v>21.42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ROW(Source!A288)</f>
        <v>288</v>
      </c>
      <c r="B327">
        <v>60255014</v>
      </c>
      <c r="C327">
        <v>60255614</v>
      </c>
      <c r="D327">
        <v>59040617</v>
      </c>
      <c r="E327">
        <v>1</v>
      </c>
      <c r="F327">
        <v>1</v>
      </c>
      <c r="G327">
        <v>1080</v>
      </c>
      <c r="H327">
        <v>3</v>
      </c>
      <c r="I327" t="s">
        <v>535</v>
      </c>
      <c r="J327" t="s">
        <v>536</v>
      </c>
      <c r="K327" t="s">
        <v>537</v>
      </c>
      <c r="L327">
        <v>1346</v>
      </c>
      <c r="N327">
        <v>1009</v>
      </c>
      <c r="O327" t="s">
        <v>528</v>
      </c>
      <c r="P327" t="s">
        <v>528</v>
      </c>
      <c r="Q327">
        <v>1</v>
      </c>
      <c r="W327">
        <v>0</v>
      </c>
      <c r="X327">
        <v>-1011812427</v>
      </c>
      <c r="Y327">
        <f t="shared" si="68"/>
        <v>0.06</v>
      </c>
      <c r="AA327">
        <v>37.979999999999997</v>
      </c>
      <c r="AB327">
        <v>0</v>
      </c>
      <c r="AC327">
        <v>0</v>
      </c>
      <c r="AD327">
        <v>0</v>
      </c>
      <c r="AE327">
        <v>37.979999999999997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0.06</v>
      </c>
      <c r="AU327" t="s">
        <v>3</v>
      </c>
      <c r="AV327">
        <v>0</v>
      </c>
      <c r="AW327">
        <v>2</v>
      </c>
      <c r="AX327">
        <v>60255928</v>
      </c>
      <c r="AY327">
        <v>1</v>
      </c>
      <c r="AZ327">
        <v>0</v>
      </c>
      <c r="BA327">
        <v>361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ROUND(Y327*Source!I288,9)</f>
        <v>0.36</v>
      </c>
      <c r="CY327">
        <f t="shared" si="69"/>
        <v>37.979999999999997</v>
      </c>
      <c r="CZ327">
        <f t="shared" si="70"/>
        <v>37.979999999999997</v>
      </c>
      <c r="DA327">
        <f t="shared" si="71"/>
        <v>1</v>
      </c>
      <c r="DB327">
        <f t="shared" si="72"/>
        <v>2.2799999999999998</v>
      </c>
      <c r="DC327">
        <f t="shared" si="73"/>
        <v>0</v>
      </c>
      <c r="DD327" t="s">
        <v>3</v>
      </c>
      <c r="DE327" t="s">
        <v>3</v>
      </c>
      <c r="DF327">
        <f t="shared" si="66"/>
        <v>13.67</v>
      </c>
      <c r="DG327">
        <f t="shared" si="63"/>
        <v>0</v>
      </c>
      <c r="DH327">
        <f t="shared" si="64"/>
        <v>0</v>
      </c>
      <c r="DI327">
        <f t="shared" si="67"/>
        <v>0</v>
      </c>
      <c r="DJ327">
        <f t="shared" si="74"/>
        <v>13.67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ROW(Source!A288)</f>
        <v>288</v>
      </c>
      <c r="B328">
        <v>60255014</v>
      </c>
      <c r="C328">
        <v>60255614</v>
      </c>
      <c r="D328">
        <v>59039024</v>
      </c>
      <c r="E328">
        <v>1</v>
      </c>
      <c r="F328">
        <v>1</v>
      </c>
      <c r="G328">
        <v>1080</v>
      </c>
      <c r="H328">
        <v>3</v>
      </c>
      <c r="I328" t="s">
        <v>562</v>
      </c>
      <c r="J328" t="s">
        <v>563</v>
      </c>
      <c r="K328" t="s">
        <v>564</v>
      </c>
      <c r="L328">
        <v>1348</v>
      </c>
      <c r="N328">
        <v>1009</v>
      </c>
      <c r="O328" t="s">
        <v>534</v>
      </c>
      <c r="P328" t="s">
        <v>534</v>
      </c>
      <c r="Q328">
        <v>1000</v>
      </c>
      <c r="W328">
        <v>0</v>
      </c>
      <c r="X328">
        <v>1469978170</v>
      </c>
      <c r="Y328">
        <f t="shared" si="68"/>
        <v>1.0000000000000001E-5</v>
      </c>
      <c r="AA328">
        <v>3234.81</v>
      </c>
      <c r="AB328">
        <v>0</v>
      </c>
      <c r="AC328">
        <v>0</v>
      </c>
      <c r="AD328">
        <v>0</v>
      </c>
      <c r="AE328">
        <v>3234.81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1.0000000000000001E-5</v>
      </c>
      <c r="AU328" t="s">
        <v>3</v>
      </c>
      <c r="AV328">
        <v>0</v>
      </c>
      <c r="AW328">
        <v>2</v>
      </c>
      <c r="AX328">
        <v>60255929</v>
      </c>
      <c r="AY328">
        <v>1</v>
      </c>
      <c r="AZ328">
        <v>0</v>
      </c>
      <c r="BA328">
        <v>362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ROUND(Y328*Source!I288,9)</f>
        <v>6.0000000000000002E-5</v>
      </c>
      <c r="CY328">
        <f t="shared" si="69"/>
        <v>3234.81</v>
      </c>
      <c r="CZ328">
        <f t="shared" si="70"/>
        <v>3234.81</v>
      </c>
      <c r="DA328">
        <f t="shared" si="71"/>
        <v>1</v>
      </c>
      <c r="DB328">
        <f t="shared" si="72"/>
        <v>0.03</v>
      </c>
      <c r="DC328">
        <f t="shared" si="73"/>
        <v>0</v>
      </c>
      <c r="DD328" t="s">
        <v>3</v>
      </c>
      <c r="DE328" t="s">
        <v>3</v>
      </c>
      <c r="DF328">
        <f t="shared" si="66"/>
        <v>0.19</v>
      </c>
      <c r="DG328">
        <f t="shared" si="63"/>
        <v>0</v>
      </c>
      <c r="DH328">
        <f t="shared" si="64"/>
        <v>0</v>
      </c>
      <c r="DI328">
        <f t="shared" si="67"/>
        <v>0</v>
      </c>
      <c r="DJ328">
        <f t="shared" si="74"/>
        <v>0.19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ROW(Source!A288)</f>
        <v>288</v>
      </c>
      <c r="B329">
        <v>60255014</v>
      </c>
      <c r="C329">
        <v>60255614</v>
      </c>
      <c r="D329">
        <v>59038837</v>
      </c>
      <c r="E329">
        <v>1</v>
      </c>
      <c r="F329">
        <v>1</v>
      </c>
      <c r="G329">
        <v>1080</v>
      </c>
      <c r="H329">
        <v>3</v>
      </c>
      <c r="I329" t="s">
        <v>565</v>
      </c>
      <c r="J329" t="s">
        <v>566</v>
      </c>
      <c r="K329" t="s">
        <v>567</v>
      </c>
      <c r="L329">
        <v>1339</v>
      </c>
      <c r="N329">
        <v>1007</v>
      </c>
      <c r="O329" t="s">
        <v>509</v>
      </c>
      <c r="P329" t="s">
        <v>509</v>
      </c>
      <c r="Q329">
        <v>1</v>
      </c>
      <c r="W329">
        <v>0</v>
      </c>
      <c r="X329">
        <v>1565098517</v>
      </c>
      <c r="Y329">
        <f t="shared" si="68"/>
        <v>0.11899999999999999</v>
      </c>
      <c r="AA329">
        <v>53.42</v>
      </c>
      <c r="AB329">
        <v>0</v>
      </c>
      <c r="AC329">
        <v>0</v>
      </c>
      <c r="AD329">
        <v>0</v>
      </c>
      <c r="AE329">
        <v>53.42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0.11899999999999999</v>
      </c>
      <c r="AU329" t="s">
        <v>3</v>
      </c>
      <c r="AV329">
        <v>0</v>
      </c>
      <c r="AW329">
        <v>2</v>
      </c>
      <c r="AX329">
        <v>60255930</v>
      </c>
      <c r="AY329">
        <v>1</v>
      </c>
      <c r="AZ329">
        <v>0</v>
      </c>
      <c r="BA329">
        <v>363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ROUND(Y329*Source!I288,9)</f>
        <v>0.71399999999999997</v>
      </c>
      <c r="CY329">
        <f t="shared" si="69"/>
        <v>53.42</v>
      </c>
      <c r="CZ329">
        <f t="shared" si="70"/>
        <v>53.42</v>
      </c>
      <c r="DA329">
        <f t="shared" si="71"/>
        <v>1</v>
      </c>
      <c r="DB329">
        <f t="shared" si="72"/>
        <v>6.36</v>
      </c>
      <c r="DC329">
        <f t="shared" si="73"/>
        <v>0</v>
      </c>
      <c r="DD329" t="s">
        <v>3</v>
      </c>
      <c r="DE329" t="s">
        <v>3</v>
      </c>
      <c r="DF329">
        <f t="shared" si="66"/>
        <v>38.14</v>
      </c>
      <c r="DG329">
        <f t="shared" si="63"/>
        <v>0</v>
      </c>
      <c r="DH329">
        <f t="shared" si="64"/>
        <v>0</v>
      </c>
      <c r="DI329">
        <f t="shared" si="67"/>
        <v>0</v>
      </c>
      <c r="DJ329">
        <f t="shared" si="74"/>
        <v>38.14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ROW(Source!A288)</f>
        <v>288</v>
      </c>
      <c r="B330">
        <v>60255014</v>
      </c>
      <c r="C330">
        <v>60255614</v>
      </c>
      <c r="D330">
        <v>59039103</v>
      </c>
      <c r="E330">
        <v>1</v>
      </c>
      <c r="F330">
        <v>1</v>
      </c>
      <c r="G330">
        <v>1080</v>
      </c>
      <c r="H330">
        <v>3</v>
      </c>
      <c r="I330" t="s">
        <v>568</v>
      </c>
      <c r="J330" t="s">
        <v>569</v>
      </c>
      <c r="K330" t="s">
        <v>570</v>
      </c>
      <c r="L330">
        <v>1339</v>
      </c>
      <c r="N330">
        <v>1007</v>
      </c>
      <c r="O330" t="s">
        <v>509</v>
      </c>
      <c r="P330" t="s">
        <v>509</v>
      </c>
      <c r="Q330">
        <v>1</v>
      </c>
      <c r="W330">
        <v>0</v>
      </c>
      <c r="X330">
        <v>-388798825</v>
      </c>
      <c r="Y330">
        <f t="shared" si="68"/>
        <v>0.28100000000000003</v>
      </c>
      <c r="AA330">
        <v>5.82</v>
      </c>
      <c r="AB330">
        <v>0</v>
      </c>
      <c r="AC330">
        <v>0</v>
      </c>
      <c r="AD330">
        <v>0</v>
      </c>
      <c r="AE330">
        <v>5.82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0.28100000000000003</v>
      </c>
      <c r="AU330" t="s">
        <v>3</v>
      </c>
      <c r="AV330">
        <v>0</v>
      </c>
      <c r="AW330">
        <v>2</v>
      </c>
      <c r="AX330">
        <v>60255931</v>
      </c>
      <c r="AY330">
        <v>1</v>
      </c>
      <c r="AZ330">
        <v>0</v>
      </c>
      <c r="BA330">
        <v>364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ROUND(Y330*Source!I288,9)</f>
        <v>1.6859999999999999</v>
      </c>
      <c r="CY330">
        <f t="shared" si="69"/>
        <v>5.82</v>
      </c>
      <c r="CZ330">
        <f t="shared" si="70"/>
        <v>5.82</v>
      </c>
      <c r="DA330">
        <f t="shared" si="71"/>
        <v>1</v>
      </c>
      <c r="DB330">
        <f t="shared" si="72"/>
        <v>1.64</v>
      </c>
      <c r="DC330">
        <f t="shared" si="73"/>
        <v>0</v>
      </c>
      <c r="DD330" t="s">
        <v>3</v>
      </c>
      <c r="DE330" t="s">
        <v>3</v>
      </c>
      <c r="DF330">
        <f t="shared" si="66"/>
        <v>9.81</v>
      </c>
      <c r="DG330">
        <f t="shared" si="63"/>
        <v>0</v>
      </c>
      <c r="DH330">
        <f t="shared" si="64"/>
        <v>0</v>
      </c>
      <c r="DI330">
        <f t="shared" si="67"/>
        <v>0</v>
      </c>
      <c r="DJ330">
        <f t="shared" si="74"/>
        <v>9.81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ROW(Source!A288)</f>
        <v>288</v>
      </c>
      <c r="B331">
        <v>60255014</v>
      </c>
      <c r="C331">
        <v>60255614</v>
      </c>
      <c r="D331">
        <v>59039175</v>
      </c>
      <c r="E331">
        <v>1</v>
      </c>
      <c r="F331">
        <v>1</v>
      </c>
      <c r="G331">
        <v>1080</v>
      </c>
      <c r="H331">
        <v>3</v>
      </c>
      <c r="I331" t="s">
        <v>538</v>
      </c>
      <c r="J331" t="s">
        <v>539</v>
      </c>
      <c r="K331" t="s">
        <v>540</v>
      </c>
      <c r="L331">
        <v>1348</v>
      </c>
      <c r="N331">
        <v>1009</v>
      </c>
      <c r="O331" t="s">
        <v>534</v>
      </c>
      <c r="P331" t="s">
        <v>534</v>
      </c>
      <c r="Q331">
        <v>1000</v>
      </c>
      <c r="W331">
        <v>0</v>
      </c>
      <c r="X331">
        <v>356473523</v>
      </c>
      <c r="Y331">
        <f t="shared" si="68"/>
        <v>4.4000000000000002E-4</v>
      </c>
      <c r="AA331">
        <v>16214.84</v>
      </c>
      <c r="AB331">
        <v>0</v>
      </c>
      <c r="AC331">
        <v>0</v>
      </c>
      <c r="AD331">
        <v>0</v>
      </c>
      <c r="AE331">
        <v>16214.84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4.4000000000000002E-4</v>
      </c>
      <c r="AU331" t="s">
        <v>3</v>
      </c>
      <c r="AV331">
        <v>0</v>
      </c>
      <c r="AW331">
        <v>2</v>
      </c>
      <c r="AX331">
        <v>60255932</v>
      </c>
      <c r="AY331">
        <v>1</v>
      </c>
      <c r="AZ331">
        <v>0</v>
      </c>
      <c r="BA331">
        <v>365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ROUND(Y331*Source!I288,9)</f>
        <v>2.64E-3</v>
      </c>
      <c r="CY331">
        <f t="shared" si="69"/>
        <v>16214.84</v>
      </c>
      <c r="CZ331">
        <f t="shared" si="70"/>
        <v>16214.84</v>
      </c>
      <c r="DA331">
        <f t="shared" si="71"/>
        <v>1</v>
      </c>
      <c r="DB331">
        <f t="shared" si="72"/>
        <v>7.13</v>
      </c>
      <c r="DC331">
        <f t="shared" si="73"/>
        <v>0</v>
      </c>
      <c r="DD331" t="s">
        <v>3</v>
      </c>
      <c r="DE331" t="s">
        <v>3</v>
      </c>
      <c r="DF331">
        <f t="shared" si="66"/>
        <v>42.81</v>
      </c>
      <c r="DG331">
        <f t="shared" si="63"/>
        <v>0</v>
      </c>
      <c r="DH331">
        <f t="shared" si="64"/>
        <v>0</v>
      </c>
      <c r="DI331">
        <f t="shared" si="67"/>
        <v>0</v>
      </c>
      <c r="DJ331">
        <f t="shared" si="74"/>
        <v>42.81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ROW(Source!A288)</f>
        <v>288</v>
      </c>
      <c r="B332">
        <v>60255014</v>
      </c>
      <c r="C332">
        <v>60255614</v>
      </c>
      <c r="D332">
        <v>59039344</v>
      </c>
      <c r="E332">
        <v>1</v>
      </c>
      <c r="F332">
        <v>1</v>
      </c>
      <c r="G332">
        <v>1080</v>
      </c>
      <c r="H332">
        <v>3</v>
      </c>
      <c r="I332" t="s">
        <v>541</v>
      </c>
      <c r="J332" t="s">
        <v>542</v>
      </c>
      <c r="K332" t="s">
        <v>543</v>
      </c>
      <c r="L332">
        <v>1346</v>
      </c>
      <c r="N332">
        <v>1009</v>
      </c>
      <c r="O332" t="s">
        <v>528</v>
      </c>
      <c r="P332" t="s">
        <v>528</v>
      </c>
      <c r="Q332">
        <v>1</v>
      </c>
      <c r="W332">
        <v>0</v>
      </c>
      <c r="X332">
        <v>1135396300</v>
      </c>
      <c r="Y332">
        <f t="shared" si="68"/>
        <v>0.53</v>
      </c>
      <c r="AA332">
        <v>20.190000000000001</v>
      </c>
      <c r="AB332">
        <v>0</v>
      </c>
      <c r="AC332">
        <v>0</v>
      </c>
      <c r="AD332">
        <v>0</v>
      </c>
      <c r="AE332">
        <v>20.190000000000001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0.53</v>
      </c>
      <c r="AU332" t="s">
        <v>3</v>
      </c>
      <c r="AV332">
        <v>0</v>
      </c>
      <c r="AW332">
        <v>2</v>
      </c>
      <c r="AX332">
        <v>60255933</v>
      </c>
      <c r="AY332">
        <v>1</v>
      </c>
      <c r="AZ332">
        <v>0</v>
      </c>
      <c r="BA332">
        <v>366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ROUND(Y332*Source!I288,9)</f>
        <v>3.18</v>
      </c>
      <c r="CY332">
        <f t="shared" si="69"/>
        <v>20.190000000000001</v>
      </c>
      <c r="CZ332">
        <f t="shared" si="70"/>
        <v>20.190000000000001</v>
      </c>
      <c r="DA332">
        <f t="shared" si="71"/>
        <v>1</v>
      </c>
      <c r="DB332">
        <f t="shared" si="72"/>
        <v>10.7</v>
      </c>
      <c r="DC332">
        <f t="shared" si="73"/>
        <v>0</v>
      </c>
      <c r="DD332" t="s">
        <v>3</v>
      </c>
      <c r="DE332" t="s">
        <v>3</v>
      </c>
      <c r="DF332">
        <f t="shared" si="66"/>
        <v>64.2</v>
      </c>
      <c r="DG332">
        <f t="shared" si="63"/>
        <v>0</v>
      </c>
      <c r="DH332">
        <f t="shared" si="64"/>
        <v>0</v>
      </c>
      <c r="DI332">
        <f t="shared" si="67"/>
        <v>0</v>
      </c>
      <c r="DJ332">
        <f t="shared" si="74"/>
        <v>64.2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ROW(Source!A288)</f>
        <v>288</v>
      </c>
      <c r="B333">
        <v>60255014</v>
      </c>
      <c r="C333">
        <v>60255614</v>
      </c>
      <c r="D333">
        <v>59051857</v>
      </c>
      <c r="E333">
        <v>1</v>
      </c>
      <c r="F333">
        <v>1</v>
      </c>
      <c r="G333">
        <v>1080</v>
      </c>
      <c r="H333">
        <v>3</v>
      </c>
      <c r="I333" t="s">
        <v>383</v>
      </c>
      <c r="J333" t="s">
        <v>385</v>
      </c>
      <c r="K333" t="s">
        <v>384</v>
      </c>
      <c r="L333">
        <v>1301</v>
      </c>
      <c r="N333">
        <v>1003</v>
      </c>
      <c r="O333" t="s">
        <v>376</v>
      </c>
      <c r="P333" t="s">
        <v>376</v>
      </c>
      <c r="Q333">
        <v>1</v>
      </c>
      <c r="W333">
        <v>0</v>
      </c>
      <c r="X333">
        <v>2031406630</v>
      </c>
      <c r="Y333">
        <f t="shared" si="68"/>
        <v>100</v>
      </c>
      <c r="AA333">
        <v>31.31</v>
      </c>
      <c r="AB333">
        <v>0</v>
      </c>
      <c r="AC333">
        <v>0</v>
      </c>
      <c r="AD333">
        <v>0</v>
      </c>
      <c r="AE333">
        <v>31.31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 t="s">
        <v>3</v>
      </c>
      <c r="AT333">
        <v>100</v>
      </c>
      <c r="AU333" t="s">
        <v>3</v>
      </c>
      <c r="AV333">
        <v>0</v>
      </c>
      <c r="AW333">
        <v>1</v>
      </c>
      <c r="AX333">
        <v>-1</v>
      </c>
      <c r="AY333">
        <v>0</v>
      </c>
      <c r="AZ333">
        <v>0</v>
      </c>
      <c r="BA333" t="s">
        <v>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ROUND(Y333*Source!I288,9)</f>
        <v>600</v>
      </c>
      <c r="CY333">
        <f t="shared" si="69"/>
        <v>31.31</v>
      </c>
      <c r="CZ333">
        <f t="shared" si="70"/>
        <v>31.31</v>
      </c>
      <c r="DA333">
        <f t="shared" si="71"/>
        <v>1</v>
      </c>
      <c r="DB333">
        <f t="shared" si="72"/>
        <v>3131</v>
      </c>
      <c r="DC333">
        <f t="shared" si="73"/>
        <v>0</v>
      </c>
      <c r="DD333" t="s">
        <v>3</v>
      </c>
      <c r="DE333" t="s">
        <v>3</v>
      </c>
      <c r="DF333">
        <f t="shared" si="66"/>
        <v>18786</v>
      </c>
      <c r="DG333">
        <f t="shared" si="63"/>
        <v>0</v>
      </c>
      <c r="DH333">
        <f t="shared" si="64"/>
        <v>0</v>
      </c>
      <c r="DI333">
        <f t="shared" si="67"/>
        <v>0</v>
      </c>
      <c r="DJ333">
        <f t="shared" si="74"/>
        <v>18786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ROW(Source!A289)</f>
        <v>289</v>
      </c>
      <c r="B334">
        <v>60255011</v>
      </c>
      <c r="C334">
        <v>60255614</v>
      </c>
      <c r="D334">
        <v>58999254</v>
      </c>
      <c r="E334">
        <v>1080</v>
      </c>
      <c r="F334">
        <v>1</v>
      </c>
      <c r="G334">
        <v>1080</v>
      </c>
      <c r="H334">
        <v>1</v>
      </c>
      <c r="I334" t="s">
        <v>482</v>
      </c>
      <c r="J334" t="s">
        <v>3</v>
      </c>
      <c r="K334" t="s">
        <v>483</v>
      </c>
      <c r="L334">
        <v>1191</v>
      </c>
      <c r="N334">
        <v>1013</v>
      </c>
      <c r="O334" t="s">
        <v>484</v>
      </c>
      <c r="P334" t="s">
        <v>484</v>
      </c>
      <c r="Q334">
        <v>1</v>
      </c>
      <c r="W334">
        <v>0</v>
      </c>
      <c r="X334">
        <v>476480486</v>
      </c>
      <c r="Y334">
        <f>((AT334*1.15)*1.1)</f>
        <v>37.570499999999996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5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29.7</v>
      </c>
      <c r="AU334" t="s">
        <v>99</v>
      </c>
      <c r="AV334">
        <v>1</v>
      </c>
      <c r="AW334">
        <v>2</v>
      </c>
      <c r="AX334">
        <v>60255922</v>
      </c>
      <c r="AY334">
        <v>1</v>
      </c>
      <c r="AZ334">
        <v>0</v>
      </c>
      <c r="BA334">
        <v>370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U334">
        <f>ROUND(AT334*Source!I289*AH334*AL334,2)</f>
        <v>0</v>
      </c>
      <c r="CV334">
        <f>ROUND(Y334*Source!I289,9)</f>
        <v>225.423</v>
      </c>
      <c r="CW334">
        <v>0</v>
      </c>
      <c r="CX334">
        <f>ROUND(Y334*Source!I289,9)</f>
        <v>225.423</v>
      </c>
      <c r="CY334">
        <f>AD334</f>
        <v>0</v>
      </c>
      <c r="CZ334">
        <f>AH334</f>
        <v>0</v>
      </c>
      <c r="DA334">
        <f>AL334</f>
        <v>1</v>
      </c>
      <c r="DB334">
        <f>ROUND(((ROUND(AT334*CZ334,2)*1.15)*1.1),6)</f>
        <v>0</v>
      </c>
      <c r="DC334">
        <f>ROUND(((ROUND(AT334*AG334,2)*1.15)*1.1),6)</f>
        <v>0</v>
      </c>
      <c r="DD334" t="s">
        <v>3</v>
      </c>
      <c r="DE334" t="s">
        <v>3</v>
      </c>
      <c r="DF334">
        <f t="shared" si="66"/>
        <v>0</v>
      </c>
      <c r="DG334">
        <f t="shared" si="63"/>
        <v>0</v>
      </c>
      <c r="DH334">
        <f t="shared" si="64"/>
        <v>0</v>
      </c>
      <c r="DI334">
        <f t="shared" si="67"/>
        <v>0</v>
      </c>
      <c r="DJ334">
        <f>DI334</f>
        <v>0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ROW(Source!A289)</f>
        <v>289</v>
      </c>
      <c r="B335">
        <v>60255011</v>
      </c>
      <c r="C335">
        <v>60255614</v>
      </c>
      <c r="D335">
        <v>59070372</v>
      </c>
      <c r="E335">
        <v>1</v>
      </c>
      <c r="F335">
        <v>1</v>
      </c>
      <c r="G335">
        <v>1080</v>
      </c>
      <c r="H335">
        <v>2</v>
      </c>
      <c r="I335" t="s">
        <v>556</v>
      </c>
      <c r="J335" t="s">
        <v>557</v>
      </c>
      <c r="K335" t="s">
        <v>558</v>
      </c>
      <c r="L335">
        <v>1368</v>
      </c>
      <c r="N335">
        <v>1011</v>
      </c>
      <c r="O335" t="s">
        <v>488</v>
      </c>
      <c r="P335" t="s">
        <v>488</v>
      </c>
      <c r="Q335">
        <v>1</v>
      </c>
      <c r="W335">
        <v>0</v>
      </c>
      <c r="X335">
        <v>549242131</v>
      </c>
      <c r="Y335">
        <f>((AT335*1.25)*1.1)</f>
        <v>1.58125</v>
      </c>
      <c r="AA335">
        <v>0</v>
      </c>
      <c r="AB335">
        <v>2.5299999999999998</v>
      </c>
      <c r="AC335">
        <v>0</v>
      </c>
      <c r="AD335">
        <v>0</v>
      </c>
      <c r="AE335">
        <v>0</v>
      </c>
      <c r="AF335">
        <v>0.28000000000000003</v>
      </c>
      <c r="AG335">
        <v>0</v>
      </c>
      <c r="AH335">
        <v>0</v>
      </c>
      <c r="AI335">
        <v>1</v>
      </c>
      <c r="AJ335">
        <v>8.4600000000000009</v>
      </c>
      <c r="AK335">
        <v>54.99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1.1499999999999999</v>
      </c>
      <c r="AU335" t="s">
        <v>496</v>
      </c>
      <c r="AV335">
        <v>0</v>
      </c>
      <c r="AW335">
        <v>2</v>
      </c>
      <c r="AX335">
        <v>60255923</v>
      </c>
      <c r="AY335">
        <v>1</v>
      </c>
      <c r="AZ335">
        <v>0</v>
      </c>
      <c r="BA335">
        <v>371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f>ROUND(Y335*Source!I289*DO335,9)</f>
        <v>0</v>
      </c>
      <c r="CX335">
        <f>ROUND(Y335*Source!I289,9)</f>
        <v>9.4875000000000007</v>
      </c>
      <c r="CY335">
        <f>AB335</f>
        <v>2.5299999999999998</v>
      </c>
      <c r="CZ335">
        <f>AF335</f>
        <v>0.28000000000000003</v>
      </c>
      <c r="DA335">
        <f>AJ335</f>
        <v>8.4600000000000009</v>
      </c>
      <c r="DB335">
        <f>ROUND(((ROUND(AT335*CZ335,2)*1.25)*1.1),6)</f>
        <v>0.44</v>
      </c>
      <c r="DC335">
        <f>ROUND(((ROUND(AT335*AG335,2)*1.25)*1.1),6)</f>
        <v>0</v>
      </c>
      <c r="DD335" t="s">
        <v>3</v>
      </c>
      <c r="DE335" t="s">
        <v>3</v>
      </c>
      <c r="DF335">
        <f t="shared" si="66"/>
        <v>0</v>
      </c>
      <c r="DG335">
        <f>ROUND(ROUND(AF335*AJ335,2)*CX335,2)</f>
        <v>22.49</v>
      </c>
      <c r="DH335">
        <f>ROUND(ROUND(AG335*AK335,2)*CX335,2)</f>
        <v>0</v>
      </c>
      <c r="DI335">
        <f t="shared" si="67"/>
        <v>0</v>
      </c>
      <c r="DJ335">
        <f>DG335</f>
        <v>22.49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ROW(Source!A289)</f>
        <v>289</v>
      </c>
      <c r="B336">
        <v>60255011</v>
      </c>
      <c r="C336">
        <v>60255614</v>
      </c>
      <c r="D336">
        <v>59070669</v>
      </c>
      <c r="E336">
        <v>1</v>
      </c>
      <c r="F336">
        <v>1</v>
      </c>
      <c r="G336">
        <v>1080</v>
      </c>
      <c r="H336">
        <v>2</v>
      </c>
      <c r="I336" t="s">
        <v>485</v>
      </c>
      <c r="J336" t="s">
        <v>486</v>
      </c>
      <c r="K336" t="s">
        <v>487</v>
      </c>
      <c r="L336">
        <v>1368</v>
      </c>
      <c r="N336">
        <v>1011</v>
      </c>
      <c r="O336" t="s">
        <v>488</v>
      </c>
      <c r="P336" t="s">
        <v>488</v>
      </c>
      <c r="Q336">
        <v>1</v>
      </c>
      <c r="W336">
        <v>0</v>
      </c>
      <c r="X336">
        <v>-1985943078</v>
      </c>
      <c r="Y336">
        <f>((AT336*1.25)*1.1)</f>
        <v>0.48125000000000007</v>
      </c>
      <c r="AA336">
        <v>0</v>
      </c>
      <c r="AB336">
        <v>1445.28</v>
      </c>
      <c r="AC336">
        <v>740.47</v>
      </c>
      <c r="AD336">
        <v>0</v>
      </c>
      <c r="AE336">
        <v>0</v>
      </c>
      <c r="AF336">
        <v>83.1</v>
      </c>
      <c r="AG336">
        <v>12.62</v>
      </c>
      <c r="AH336">
        <v>0</v>
      </c>
      <c r="AI336">
        <v>1</v>
      </c>
      <c r="AJ336">
        <v>16.3</v>
      </c>
      <c r="AK336">
        <v>54.99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0.35</v>
      </c>
      <c r="AU336" t="s">
        <v>496</v>
      </c>
      <c r="AV336">
        <v>0</v>
      </c>
      <c r="AW336">
        <v>2</v>
      </c>
      <c r="AX336">
        <v>60255924</v>
      </c>
      <c r="AY336">
        <v>1</v>
      </c>
      <c r="AZ336">
        <v>0</v>
      </c>
      <c r="BA336">
        <v>372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ROUND(Y336*Source!I289*DO336,9)</f>
        <v>36.440249999999999</v>
      </c>
      <c r="CX336">
        <f>ROUND(Y336*Source!I289,9)</f>
        <v>2.8875000000000002</v>
      </c>
      <c r="CY336">
        <f>AB336</f>
        <v>1445.28</v>
      </c>
      <c r="CZ336">
        <f>AF336</f>
        <v>83.1</v>
      </c>
      <c r="DA336">
        <f>AJ336</f>
        <v>16.3</v>
      </c>
      <c r="DB336">
        <f>ROUND(((ROUND(AT336*CZ336,2)*1.25)*1.1),6)</f>
        <v>39.998750000000001</v>
      </c>
      <c r="DC336">
        <f>ROUND(((ROUND(AT336*AG336,2)*1.25)*1.1),6)</f>
        <v>6.0774999999999997</v>
      </c>
      <c r="DD336" t="s">
        <v>3</v>
      </c>
      <c r="DE336" t="s">
        <v>3</v>
      </c>
      <c r="DF336">
        <f t="shared" si="66"/>
        <v>0</v>
      </c>
      <c r="DG336">
        <f>ROUND(ROUND(AF336*AJ336,2)*CX336,2)</f>
        <v>3911.21</v>
      </c>
      <c r="DH336">
        <f>ROUND(ROUND(AG336*AK336,2)*CX336,2)</f>
        <v>2003.84</v>
      </c>
      <c r="DI336">
        <f t="shared" si="67"/>
        <v>0</v>
      </c>
      <c r="DJ336">
        <f>DG336</f>
        <v>3911.21</v>
      </c>
      <c r="DK336">
        <v>0</v>
      </c>
      <c r="DL336" t="s">
        <v>489</v>
      </c>
      <c r="DM336">
        <v>0</v>
      </c>
      <c r="DN336" t="s">
        <v>484</v>
      </c>
      <c r="DO336">
        <v>12.62</v>
      </c>
    </row>
    <row r="337" spans="1:119" x14ac:dyDescent="0.2">
      <c r="A337">
        <f>ROW(Source!A289)</f>
        <v>289</v>
      </c>
      <c r="B337">
        <v>60255011</v>
      </c>
      <c r="C337">
        <v>60255614</v>
      </c>
      <c r="D337">
        <v>59069905</v>
      </c>
      <c r="E337">
        <v>1</v>
      </c>
      <c r="F337">
        <v>1</v>
      </c>
      <c r="G337">
        <v>1080</v>
      </c>
      <c r="H337">
        <v>2</v>
      </c>
      <c r="I337" t="s">
        <v>503</v>
      </c>
      <c r="J337" t="s">
        <v>504</v>
      </c>
      <c r="K337" t="s">
        <v>505</v>
      </c>
      <c r="L337">
        <v>1368</v>
      </c>
      <c r="N337">
        <v>1011</v>
      </c>
      <c r="O337" t="s">
        <v>488</v>
      </c>
      <c r="P337" t="s">
        <v>488</v>
      </c>
      <c r="Q337">
        <v>1</v>
      </c>
      <c r="W337">
        <v>0</v>
      </c>
      <c r="X337">
        <v>1087580389</v>
      </c>
      <c r="Y337">
        <f>((AT337*1.25)*1.1)</f>
        <v>9.6250000000000016E-2</v>
      </c>
      <c r="AA337">
        <v>0</v>
      </c>
      <c r="AB337">
        <v>2628.65</v>
      </c>
      <c r="AC337">
        <v>993.36</v>
      </c>
      <c r="AD337">
        <v>0</v>
      </c>
      <c r="AE337">
        <v>0</v>
      </c>
      <c r="AF337">
        <v>179.17</v>
      </c>
      <c r="AG337">
        <v>16.93</v>
      </c>
      <c r="AH337">
        <v>0</v>
      </c>
      <c r="AI337">
        <v>1</v>
      </c>
      <c r="AJ337">
        <v>13.75</v>
      </c>
      <c r="AK337">
        <v>54.99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7.0000000000000007E-2</v>
      </c>
      <c r="AU337" t="s">
        <v>496</v>
      </c>
      <c r="AV337">
        <v>0</v>
      </c>
      <c r="AW337">
        <v>2</v>
      </c>
      <c r="AX337">
        <v>60255925</v>
      </c>
      <c r="AY337">
        <v>1</v>
      </c>
      <c r="AZ337">
        <v>0</v>
      </c>
      <c r="BA337">
        <v>373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f>ROUND(Y337*Source!I289*DO337,9)</f>
        <v>9.777075</v>
      </c>
      <c r="CX337">
        <f>ROUND(Y337*Source!I289,9)</f>
        <v>0.57750000000000001</v>
      </c>
      <c r="CY337">
        <f>AB337</f>
        <v>2628.65</v>
      </c>
      <c r="CZ337">
        <f>AF337</f>
        <v>179.17</v>
      </c>
      <c r="DA337">
        <f>AJ337</f>
        <v>13.75</v>
      </c>
      <c r="DB337">
        <f>ROUND(((ROUND(AT337*CZ337,2)*1.25)*1.1),6)</f>
        <v>17.2425</v>
      </c>
      <c r="DC337">
        <f>ROUND(((ROUND(AT337*AG337,2)*1.25)*1.1),6)</f>
        <v>1.63625</v>
      </c>
      <c r="DD337" t="s">
        <v>3</v>
      </c>
      <c r="DE337" t="s">
        <v>3</v>
      </c>
      <c r="DF337">
        <f t="shared" si="66"/>
        <v>0</v>
      </c>
      <c r="DG337">
        <f>ROUND(ROUND(AF337*AJ337,2)*CX337,2)</f>
        <v>1422.72</v>
      </c>
      <c r="DH337">
        <f>ROUND(ROUND(AG337*AK337,2)*CX337,2)</f>
        <v>537.64</v>
      </c>
      <c r="DI337">
        <f t="shared" si="67"/>
        <v>0</v>
      </c>
      <c r="DJ337">
        <f>DG337</f>
        <v>1422.72</v>
      </c>
      <c r="DK337">
        <v>0</v>
      </c>
      <c r="DL337" t="s">
        <v>489</v>
      </c>
      <c r="DM337">
        <v>0</v>
      </c>
      <c r="DN337" t="s">
        <v>484</v>
      </c>
      <c r="DO337">
        <v>16.93</v>
      </c>
    </row>
    <row r="338" spans="1:119" x14ac:dyDescent="0.2">
      <c r="A338">
        <f>ROW(Source!A289)</f>
        <v>289</v>
      </c>
      <c r="B338">
        <v>60255011</v>
      </c>
      <c r="C338">
        <v>60255614</v>
      </c>
      <c r="D338">
        <v>59038905</v>
      </c>
      <c r="E338">
        <v>1</v>
      </c>
      <c r="F338">
        <v>1</v>
      </c>
      <c r="G338">
        <v>1080</v>
      </c>
      <c r="H338">
        <v>3</v>
      </c>
      <c r="I338" t="s">
        <v>506</v>
      </c>
      <c r="J338" t="s">
        <v>507</v>
      </c>
      <c r="K338" t="s">
        <v>508</v>
      </c>
      <c r="L338">
        <v>1339</v>
      </c>
      <c r="N338">
        <v>1007</v>
      </c>
      <c r="O338" t="s">
        <v>509</v>
      </c>
      <c r="P338" t="s">
        <v>509</v>
      </c>
      <c r="Q338">
        <v>1</v>
      </c>
      <c r="W338">
        <v>0</v>
      </c>
      <c r="X338">
        <v>-744103292</v>
      </c>
      <c r="Y338">
        <f t="shared" ref="Y338:Y346" si="75">AT338</f>
        <v>0.113</v>
      </c>
      <c r="AA338">
        <v>54.79</v>
      </c>
      <c r="AB338">
        <v>0</v>
      </c>
      <c r="AC338">
        <v>0</v>
      </c>
      <c r="AD338">
        <v>0</v>
      </c>
      <c r="AE338">
        <v>7.07</v>
      </c>
      <c r="AF338">
        <v>0</v>
      </c>
      <c r="AG338">
        <v>0</v>
      </c>
      <c r="AH338">
        <v>0</v>
      </c>
      <c r="AI338">
        <v>7.75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0.113</v>
      </c>
      <c r="AU338" t="s">
        <v>3</v>
      </c>
      <c r="AV338">
        <v>0</v>
      </c>
      <c r="AW338">
        <v>2</v>
      </c>
      <c r="AX338">
        <v>60255926</v>
      </c>
      <c r="AY338">
        <v>1</v>
      </c>
      <c r="AZ338">
        <v>0</v>
      </c>
      <c r="BA338">
        <v>374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ROUND(Y338*Source!I289,9)</f>
        <v>0.67800000000000005</v>
      </c>
      <c r="CY338">
        <f t="shared" ref="CY338:CY346" si="76">AA338</f>
        <v>54.79</v>
      </c>
      <c r="CZ338">
        <f t="shared" ref="CZ338:CZ346" si="77">AE338</f>
        <v>7.07</v>
      </c>
      <c r="DA338">
        <f t="shared" ref="DA338:DA346" si="78">AI338</f>
        <v>7.75</v>
      </c>
      <c r="DB338">
        <f t="shared" ref="DB338:DB346" si="79">ROUND(ROUND(AT338*CZ338,2),6)</f>
        <v>0.8</v>
      </c>
      <c r="DC338">
        <f t="shared" ref="DC338:DC346" si="80">ROUND(ROUND(AT338*AG338,2),6)</f>
        <v>0</v>
      </c>
      <c r="DD338" t="s">
        <v>3</v>
      </c>
      <c r="DE338" t="s">
        <v>3</v>
      </c>
      <c r="DF338">
        <f t="shared" ref="DF338:DF346" si="81">ROUND(ROUND(AE338*AI338,2)*CX338,2)</f>
        <v>37.15</v>
      </c>
      <c r="DG338">
        <f t="shared" ref="DG338:DG360" si="82">ROUND(ROUND(AF338,2)*CX338,2)</f>
        <v>0</v>
      </c>
      <c r="DH338">
        <f t="shared" ref="DH338:DH360" si="83">ROUND(ROUND(AG338,2)*CX338,2)</f>
        <v>0</v>
      </c>
      <c r="DI338">
        <f t="shared" si="67"/>
        <v>0</v>
      </c>
      <c r="DJ338">
        <f t="shared" ref="DJ338:DJ346" si="84">DF338</f>
        <v>37.15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ROW(Source!A289)</f>
        <v>289</v>
      </c>
      <c r="B339">
        <v>60255011</v>
      </c>
      <c r="C339">
        <v>60255614</v>
      </c>
      <c r="D339">
        <v>59040044</v>
      </c>
      <c r="E339">
        <v>1</v>
      </c>
      <c r="F339">
        <v>1</v>
      </c>
      <c r="G339">
        <v>1080</v>
      </c>
      <c r="H339">
        <v>3</v>
      </c>
      <c r="I339" t="s">
        <v>559</v>
      </c>
      <c r="J339" t="s">
        <v>560</v>
      </c>
      <c r="K339" t="s">
        <v>561</v>
      </c>
      <c r="L339">
        <v>1346</v>
      </c>
      <c r="N339">
        <v>1009</v>
      </c>
      <c r="O339" t="s">
        <v>528</v>
      </c>
      <c r="P339" t="s">
        <v>528</v>
      </c>
      <c r="Q339">
        <v>1</v>
      </c>
      <c r="W339">
        <v>0</v>
      </c>
      <c r="X339">
        <v>-326142876</v>
      </c>
      <c r="Y339">
        <f t="shared" si="75"/>
        <v>0.17</v>
      </c>
      <c r="AA339">
        <v>126.84</v>
      </c>
      <c r="AB339">
        <v>0</v>
      </c>
      <c r="AC339">
        <v>0</v>
      </c>
      <c r="AD339">
        <v>0</v>
      </c>
      <c r="AE339">
        <v>21</v>
      </c>
      <c r="AF339">
        <v>0</v>
      </c>
      <c r="AG339">
        <v>0</v>
      </c>
      <c r="AH339">
        <v>0</v>
      </c>
      <c r="AI339">
        <v>6.04</v>
      </c>
      <c r="AJ339">
        <v>1</v>
      </c>
      <c r="AK339">
        <v>1</v>
      </c>
      <c r="AL339">
        <v>1</v>
      </c>
      <c r="AM339">
        <v>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0.17</v>
      </c>
      <c r="AU339" t="s">
        <v>3</v>
      </c>
      <c r="AV339">
        <v>0</v>
      </c>
      <c r="AW339">
        <v>2</v>
      </c>
      <c r="AX339">
        <v>60255927</v>
      </c>
      <c r="AY339">
        <v>1</v>
      </c>
      <c r="AZ339">
        <v>0</v>
      </c>
      <c r="BA339">
        <v>375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ROUND(Y339*Source!I289,9)</f>
        <v>1.02</v>
      </c>
      <c r="CY339">
        <f t="shared" si="76"/>
        <v>126.84</v>
      </c>
      <c r="CZ339">
        <f t="shared" si="77"/>
        <v>21</v>
      </c>
      <c r="DA339">
        <f t="shared" si="78"/>
        <v>6.04</v>
      </c>
      <c r="DB339">
        <f t="shared" si="79"/>
        <v>3.57</v>
      </c>
      <c r="DC339">
        <f t="shared" si="80"/>
        <v>0</v>
      </c>
      <c r="DD339" t="s">
        <v>3</v>
      </c>
      <c r="DE339" t="s">
        <v>3</v>
      </c>
      <c r="DF339">
        <f t="shared" si="81"/>
        <v>129.38</v>
      </c>
      <c r="DG339">
        <f t="shared" si="82"/>
        <v>0</v>
      </c>
      <c r="DH339">
        <f t="shared" si="83"/>
        <v>0</v>
      </c>
      <c r="DI339">
        <f t="shared" si="67"/>
        <v>0</v>
      </c>
      <c r="DJ339">
        <f t="shared" si="84"/>
        <v>129.38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ROW(Source!A289)</f>
        <v>289</v>
      </c>
      <c r="B340">
        <v>60255011</v>
      </c>
      <c r="C340">
        <v>60255614</v>
      </c>
      <c r="D340">
        <v>59040617</v>
      </c>
      <c r="E340">
        <v>1</v>
      </c>
      <c r="F340">
        <v>1</v>
      </c>
      <c r="G340">
        <v>1080</v>
      </c>
      <c r="H340">
        <v>3</v>
      </c>
      <c r="I340" t="s">
        <v>535</v>
      </c>
      <c r="J340" t="s">
        <v>536</v>
      </c>
      <c r="K340" t="s">
        <v>537</v>
      </c>
      <c r="L340">
        <v>1346</v>
      </c>
      <c r="N340">
        <v>1009</v>
      </c>
      <c r="O340" t="s">
        <v>528</v>
      </c>
      <c r="P340" t="s">
        <v>528</v>
      </c>
      <c r="Q340">
        <v>1</v>
      </c>
      <c r="W340">
        <v>0</v>
      </c>
      <c r="X340">
        <v>-1011812427</v>
      </c>
      <c r="Y340">
        <f t="shared" si="75"/>
        <v>0.06</v>
      </c>
      <c r="AA340">
        <v>272.7</v>
      </c>
      <c r="AB340">
        <v>0</v>
      </c>
      <c r="AC340">
        <v>0</v>
      </c>
      <c r="AD340">
        <v>0</v>
      </c>
      <c r="AE340">
        <v>37.979999999999997</v>
      </c>
      <c r="AF340">
        <v>0</v>
      </c>
      <c r="AG340">
        <v>0</v>
      </c>
      <c r="AH340">
        <v>0</v>
      </c>
      <c r="AI340">
        <v>7.18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0.06</v>
      </c>
      <c r="AU340" t="s">
        <v>3</v>
      </c>
      <c r="AV340">
        <v>0</v>
      </c>
      <c r="AW340">
        <v>2</v>
      </c>
      <c r="AX340">
        <v>60255928</v>
      </c>
      <c r="AY340">
        <v>1</v>
      </c>
      <c r="AZ340">
        <v>0</v>
      </c>
      <c r="BA340">
        <v>376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ROUND(Y340*Source!I289,9)</f>
        <v>0.36</v>
      </c>
      <c r="CY340">
        <f t="shared" si="76"/>
        <v>272.7</v>
      </c>
      <c r="CZ340">
        <f t="shared" si="77"/>
        <v>37.979999999999997</v>
      </c>
      <c r="DA340">
        <f t="shared" si="78"/>
        <v>7.18</v>
      </c>
      <c r="DB340">
        <f t="shared" si="79"/>
        <v>2.2799999999999998</v>
      </c>
      <c r="DC340">
        <f t="shared" si="80"/>
        <v>0</v>
      </c>
      <c r="DD340" t="s">
        <v>3</v>
      </c>
      <c r="DE340" t="s">
        <v>3</v>
      </c>
      <c r="DF340">
        <f t="shared" si="81"/>
        <v>98.17</v>
      </c>
      <c r="DG340">
        <f t="shared" si="82"/>
        <v>0</v>
      </c>
      <c r="DH340">
        <f t="shared" si="83"/>
        <v>0</v>
      </c>
      <c r="DI340">
        <f t="shared" si="67"/>
        <v>0</v>
      </c>
      <c r="DJ340">
        <f t="shared" si="84"/>
        <v>98.17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ROW(Source!A289)</f>
        <v>289</v>
      </c>
      <c r="B341">
        <v>60255011</v>
      </c>
      <c r="C341">
        <v>60255614</v>
      </c>
      <c r="D341">
        <v>59039024</v>
      </c>
      <c r="E341">
        <v>1</v>
      </c>
      <c r="F341">
        <v>1</v>
      </c>
      <c r="G341">
        <v>1080</v>
      </c>
      <c r="H341">
        <v>3</v>
      </c>
      <c r="I341" t="s">
        <v>562</v>
      </c>
      <c r="J341" t="s">
        <v>563</v>
      </c>
      <c r="K341" t="s">
        <v>564</v>
      </c>
      <c r="L341">
        <v>1348</v>
      </c>
      <c r="N341">
        <v>1009</v>
      </c>
      <c r="O341" t="s">
        <v>534</v>
      </c>
      <c r="P341" t="s">
        <v>534</v>
      </c>
      <c r="Q341">
        <v>1000</v>
      </c>
      <c r="W341">
        <v>0</v>
      </c>
      <c r="X341">
        <v>1469978170</v>
      </c>
      <c r="Y341">
        <f t="shared" si="75"/>
        <v>1.0000000000000001E-5</v>
      </c>
      <c r="AA341">
        <v>73915.41</v>
      </c>
      <c r="AB341">
        <v>0</v>
      </c>
      <c r="AC341">
        <v>0</v>
      </c>
      <c r="AD341">
        <v>0</v>
      </c>
      <c r="AE341">
        <v>3234.81</v>
      </c>
      <c r="AF341">
        <v>0</v>
      </c>
      <c r="AG341">
        <v>0</v>
      </c>
      <c r="AH341">
        <v>0</v>
      </c>
      <c r="AI341">
        <v>22.85</v>
      </c>
      <c r="AJ341">
        <v>1</v>
      </c>
      <c r="AK341">
        <v>1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1.0000000000000001E-5</v>
      </c>
      <c r="AU341" t="s">
        <v>3</v>
      </c>
      <c r="AV341">
        <v>0</v>
      </c>
      <c r="AW341">
        <v>2</v>
      </c>
      <c r="AX341">
        <v>60255929</v>
      </c>
      <c r="AY341">
        <v>1</v>
      </c>
      <c r="AZ341">
        <v>0</v>
      </c>
      <c r="BA341">
        <v>377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ROUND(Y341*Source!I289,9)</f>
        <v>6.0000000000000002E-5</v>
      </c>
      <c r="CY341">
        <f t="shared" si="76"/>
        <v>73915.41</v>
      </c>
      <c r="CZ341">
        <f t="shared" si="77"/>
        <v>3234.81</v>
      </c>
      <c r="DA341">
        <f t="shared" si="78"/>
        <v>22.85</v>
      </c>
      <c r="DB341">
        <f t="shared" si="79"/>
        <v>0.03</v>
      </c>
      <c r="DC341">
        <f t="shared" si="80"/>
        <v>0</v>
      </c>
      <c r="DD341" t="s">
        <v>3</v>
      </c>
      <c r="DE341" t="s">
        <v>3</v>
      </c>
      <c r="DF341">
        <f t="shared" si="81"/>
        <v>4.43</v>
      </c>
      <c r="DG341">
        <f t="shared" si="82"/>
        <v>0</v>
      </c>
      <c r="DH341">
        <f t="shared" si="83"/>
        <v>0</v>
      </c>
      <c r="DI341">
        <f t="shared" si="67"/>
        <v>0</v>
      </c>
      <c r="DJ341">
        <f t="shared" si="84"/>
        <v>4.43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ROW(Source!A289)</f>
        <v>289</v>
      </c>
      <c r="B342">
        <v>60255011</v>
      </c>
      <c r="C342">
        <v>60255614</v>
      </c>
      <c r="D342">
        <v>59038837</v>
      </c>
      <c r="E342">
        <v>1</v>
      </c>
      <c r="F342">
        <v>1</v>
      </c>
      <c r="G342">
        <v>1080</v>
      </c>
      <c r="H342">
        <v>3</v>
      </c>
      <c r="I342" t="s">
        <v>565</v>
      </c>
      <c r="J342" t="s">
        <v>566</v>
      </c>
      <c r="K342" t="s">
        <v>567</v>
      </c>
      <c r="L342">
        <v>1339</v>
      </c>
      <c r="N342">
        <v>1007</v>
      </c>
      <c r="O342" t="s">
        <v>509</v>
      </c>
      <c r="P342" t="s">
        <v>509</v>
      </c>
      <c r="Q342">
        <v>1</v>
      </c>
      <c r="W342">
        <v>0</v>
      </c>
      <c r="X342">
        <v>1565098517</v>
      </c>
      <c r="Y342">
        <f t="shared" si="75"/>
        <v>0.11899999999999999</v>
      </c>
      <c r="AA342">
        <v>759.63</v>
      </c>
      <c r="AB342">
        <v>0</v>
      </c>
      <c r="AC342">
        <v>0</v>
      </c>
      <c r="AD342">
        <v>0</v>
      </c>
      <c r="AE342">
        <v>53.42</v>
      </c>
      <c r="AF342">
        <v>0</v>
      </c>
      <c r="AG342">
        <v>0</v>
      </c>
      <c r="AH342">
        <v>0</v>
      </c>
      <c r="AI342">
        <v>14.22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0.11899999999999999</v>
      </c>
      <c r="AU342" t="s">
        <v>3</v>
      </c>
      <c r="AV342">
        <v>0</v>
      </c>
      <c r="AW342">
        <v>2</v>
      </c>
      <c r="AX342">
        <v>60255930</v>
      </c>
      <c r="AY342">
        <v>1</v>
      </c>
      <c r="AZ342">
        <v>0</v>
      </c>
      <c r="BA342">
        <v>378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ROUND(Y342*Source!I289,9)</f>
        <v>0.71399999999999997</v>
      </c>
      <c r="CY342">
        <f t="shared" si="76"/>
        <v>759.63</v>
      </c>
      <c r="CZ342">
        <f t="shared" si="77"/>
        <v>53.42</v>
      </c>
      <c r="DA342">
        <f t="shared" si="78"/>
        <v>14.22</v>
      </c>
      <c r="DB342">
        <f t="shared" si="79"/>
        <v>6.36</v>
      </c>
      <c r="DC342">
        <f t="shared" si="80"/>
        <v>0</v>
      </c>
      <c r="DD342" t="s">
        <v>3</v>
      </c>
      <c r="DE342" t="s">
        <v>3</v>
      </c>
      <c r="DF342">
        <f t="shared" si="81"/>
        <v>542.38</v>
      </c>
      <c r="DG342">
        <f t="shared" si="82"/>
        <v>0</v>
      </c>
      <c r="DH342">
        <f t="shared" si="83"/>
        <v>0</v>
      </c>
      <c r="DI342">
        <f t="shared" si="67"/>
        <v>0</v>
      </c>
      <c r="DJ342">
        <f t="shared" si="84"/>
        <v>542.38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ROW(Source!A289)</f>
        <v>289</v>
      </c>
      <c r="B343">
        <v>60255011</v>
      </c>
      <c r="C343">
        <v>60255614</v>
      </c>
      <c r="D343">
        <v>59039103</v>
      </c>
      <c r="E343">
        <v>1</v>
      </c>
      <c r="F343">
        <v>1</v>
      </c>
      <c r="G343">
        <v>1080</v>
      </c>
      <c r="H343">
        <v>3</v>
      </c>
      <c r="I343" t="s">
        <v>568</v>
      </c>
      <c r="J343" t="s">
        <v>569</v>
      </c>
      <c r="K343" t="s">
        <v>570</v>
      </c>
      <c r="L343">
        <v>1339</v>
      </c>
      <c r="N343">
        <v>1007</v>
      </c>
      <c r="O343" t="s">
        <v>509</v>
      </c>
      <c r="P343" t="s">
        <v>509</v>
      </c>
      <c r="Q343">
        <v>1</v>
      </c>
      <c r="W343">
        <v>0</v>
      </c>
      <c r="X343">
        <v>-388798825</v>
      </c>
      <c r="Y343">
        <f t="shared" si="75"/>
        <v>0.28100000000000003</v>
      </c>
      <c r="AA343">
        <v>94.23</v>
      </c>
      <c r="AB343">
        <v>0</v>
      </c>
      <c r="AC343">
        <v>0</v>
      </c>
      <c r="AD343">
        <v>0</v>
      </c>
      <c r="AE343">
        <v>5.82</v>
      </c>
      <c r="AF343">
        <v>0</v>
      </c>
      <c r="AG343">
        <v>0</v>
      </c>
      <c r="AH343">
        <v>0</v>
      </c>
      <c r="AI343">
        <v>16.190000000000001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0.28100000000000003</v>
      </c>
      <c r="AU343" t="s">
        <v>3</v>
      </c>
      <c r="AV343">
        <v>0</v>
      </c>
      <c r="AW343">
        <v>2</v>
      </c>
      <c r="AX343">
        <v>60255931</v>
      </c>
      <c r="AY343">
        <v>1</v>
      </c>
      <c r="AZ343">
        <v>0</v>
      </c>
      <c r="BA343">
        <v>379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ROUND(Y343*Source!I289,9)</f>
        <v>1.6859999999999999</v>
      </c>
      <c r="CY343">
        <f t="shared" si="76"/>
        <v>94.23</v>
      </c>
      <c r="CZ343">
        <f t="shared" si="77"/>
        <v>5.82</v>
      </c>
      <c r="DA343">
        <f t="shared" si="78"/>
        <v>16.190000000000001</v>
      </c>
      <c r="DB343">
        <f t="shared" si="79"/>
        <v>1.64</v>
      </c>
      <c r="DC343">
        <f t="shared" si="80"/>
        <v>0</v>
      </c>
      <c r="DD343" t="s">
        <v>3</v>
      </c>
      <c r="DE343" t="s">
        <v>3</v>
      </c>
      <c r="DF343">
        <f t="shared" si="81"/>
        <v>158.87</v>
      </c>
      <c r="DG343">
        <f t="shared" si="82"/>
        <v>0</v>
      </c>
      <c r="DH343">
        <f t="shared" si="83"/>
        <v>0</v>
      </c>
      <c r="DI343">
        <f t="shared" si="67"/>
        <v>0</v>
      </c>
      <c r="DJ343">
        <f t="shared" si="84"/>
        <v>158.87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ROW(Source!A289)</f>
        <v>289</v>
      </c>
      <c r="B344">
        <v>60255011</v>
      </c>
      <c r="C344">
        <v>60255614</v>
      </c>
      <c r="D344">
        <v>59039175</v>
      </c>
      <c r="E344">
        <v>1</v>
      </c>
      <c r="F344">
        <v>1</v>
      </c>
      <c r="G344">
        <v>1080</v>
      </c>
      <c r="H344">
        <v>3</v>
      </c>
      <c r="I344" t="s">
        <v>538</v>
      </c>
      <c r="J344" t="s">
        <v>539</v>
      </c>
      <c r="K344" t="s">
        <v>540</v>
      </c>
      <c r="L344">
        <v>1348</v>
      </c>
      <c r="N344">
        <v>1009</v>
      </c>
      <c r="O344" t="s">
        <v>534</v>
      </c>
      <c r="P344" t="s">
        <v>534</v>
      </c>
      <c r="Q344">
        <v>1000</v>
      </c>
      <c r="W344">
        <v>0</v>
      </c>
      <c r="X344">
        <v>356473523</v>
      </c>
      <c r="Y344">
        <f t="shared" si="75"/>
        <v>4.4000000000000002E-4</v>
      </c>
      <c r="AA344">
        <v>55779.05</v>
      </c>
      <c r="AB344">
        <v>0</v>
      </c>
      <c r="AC344">
        <v>0</v>
      </c>
      <c r="AD344">
        <v>0</v>
      </c>
      <c r="AE344">
        <v>16214.84</v>
      </c>
      <c r="AF344">
        <v>0</v>
      </c>
      <c r="AG344">
        <v>0</v>
      </c>
      <c r="AH344">
        <v>0</v>
      </c>
      <c r="AI344">
        <v>3.44</v>
      </c>
      <c r="AJ344">
        <v>1</v>
      </c>
      <c r="AK344">
        <v>1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4.4000000000000002E-4</v>
      </c>
      <c r="AU344" t="s">
        <v>3</v>
      </c>
      <c r="AV344">
        <v>0</v>
      </c>
      <c r="AW344">
        <v>2</v>
      </c>
      <c r="AX344">
        <v>60255932</v>
      </c>
      <c r="AY344">
        <v>1</v>
      </c>
      <c r="AZ344">
        <v>0</v>
      </c>
      <c r="BA344">
        <v>380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ROUND(Y344*Source!I289,9)</f>
        <v>2.64E-3</v>
      </c>
      <c r="CY344">
        <f t="shared" si="76"/>
        <v>55779.05</v>
      </c>
      <c r="CZ344">
        <f t="shared" si="77"/>
        <v>16214.84</v>
      </c>
      <c r="DA344">
        <f t="shared" si="78"/>
        <v>3.44</v>
      </c>
      <c r="DB344">
        <f t="shared" si="79"/>
        <v>7.13</v>
      </c>
      <c r="DC344">
        <f t="shared" si="80"/>
        <v>0</v>
      </c>
      <c r="DD344" t="s">
        <v>3</v>
      </c>
      <c r="DE344" t="s">
        <v>3</v>
      </c>
      <c r="DF344">
        <f t="shared" si="81"/>
        <v>147.26</v>
      </c>
      <c r="DG344">
        <f t="shared" si="82"/>
        <v>0</v>
      </c>
      <c r="DH344">
        <f t="shared" si="83"/>
        <v>0</v>
      </c>
      <c r="DI344">
        <f t="shared" si="67"/>
        <v>0</v>
      </c>
      <c r="DJ344">
        <f t="shared" si="84"/>
        <v>147.26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ROW(Source!A289)</f>
        <v>289</v>
      </c>
      <c r="B345">
        <v>60255011</v>
      </c>
      <c r="C345">
        <v>60255614</v>
      </c>
      <c r="D345">
        <v>59039344</v>
      </c>
      <c r="E345">
        <v>1</v>
      </c>
      <c r="F345">
        <v>1</v>
      </c>
      <c r="G345">
        <v>1080</v>
      </c>
      <c r="H345">
        <v>3</v>
      </c>
      <c r="I345" t="s">
        <v>541</v>
      </c>
      <c r="J345" t="s">
        <v>542</v>
      </c>
      <c r="K345" t="s">
        <v>543</v>
      </c>
      <c r="L345">
        <v>1346</v>
      </c>
      <c r="N345">
        <v>1009</v>
      </c>
      <c r="O345" t="s">
        <v>528</v>
      </c>
      <c r="P345" t="s">
        <v>528</v>
      </c>
      <c r="Q345">
        <v>1</v>
      </c>
      <c r="W345">
        <v>0</v>
      </c>
      <c r="X345">
        <v>1135396300</v>
      </c>
      <c r="Y345">
        <f t="shared" si="75"/>
        <v>0.53</v>
      </c>
      <c r="AA345">
        <v>85.4</v>
      </c>
      <c r="AB345">
        <v>0</v>
      </c>
      <c r="AC345">
        <v>0</v>
      </c>
      <c r="AD345">
        <v>0</v>
      </c>
      <c r="AE345">
        <v>20.190000000000001</v>
      </c>
      <c r="AF345">
        <v>0</v>
      </c>
      <c r="AG345">
        <v>0</v>
      </c>
      <c r="AH345">
        <v>0</v>
      </c>
      <c r="AI345">
        <v>4.2300000000000004</v>
      </c>
      <c r="AJ345">
        <v>1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0.53</v>
      </c>
      <c r="AU345" t="s">
        <v>3</v>
      </c>
      <c r="AV345">
        <v>0</v>
      </c>
      <c r="AW345">
        <v>2</v>
      </c>
      <c r="AX345">
        <v>60255933</v>
      </c>
      <c r="AY345">
        <v>1</v>
      </c>
      <c r="AZ345">
        <v>0</v>
      </c>
      <c r="BA345">
        <v>381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ROUND(Y345*Source!I289,9)</f>
        <v>3.18</v>
      </c>
      <c r="CY345">
        <f t="shared" si="76"/>
        <v>85.4</v>
      </c>
      <c r="CZ345">
        <f t="shared" si="77"/>
        <v>20.190000000000001</v>
      </c>
      <c r="DA345">
        <f t="shared" si="78"/>
        <v>4.2300000000000004</v>
      </c>
      <c r="DB345">
        <f t="shared" si="79"/>
        <v>10.7</v>
      </c>
      <c r="DC345">
        <f t="shared" si="80"/>
        <v>0</v>
      </c>
      <c r="DD345" t="s">
        <v>3</v>
      </c>
      <c r="DE345" t="s">
        <v>3</v>
      </c>
      <c r="DF345">
        <f t="shared" si="81"/>
        <v>271.57</v>
      </c>
      <c r="DG345">
        <f t="shared" si="82"/>
        <v>0</v>
      </c>
      <c r="DH345">
        <f t="shared" si="83"/>
        <v>0</v>
      </c>
      <c r="DI345">
        <f t="shared" si="67"/>
        <v>0</v>
      </c>
      <c r="DJ345">
        <f t="shared" si="84"/>
        <v>271.57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ROW(Source!A289)</f>
        <v>289</v>
      </c>
      <c r="B346">
        <v>60255011</v>
      </c>
      <c r="C346">
        <v>60255614</v>
      </c>
      <c r="D346">
        <v>59051857</v>
      </c>
      <c r="E346">
        <v>1</v>
      </c>
      <c r="F346">
        <v>1</v>
      </c>
      <c r="G346">
        <v>1080</v>
      </c>
      <c r="H346">
        <v>3</v>
      </c>
      <c r="I346" t="s">
        <v>383</v>
      </c>
      <c r="J346" t="s">
        <v>385</v>
      </c>
      <c r="K346" t="s">
        <v>384</v>
      </c>
      <c r="L346">
        <v>1301</v>
      </c>
      <c r="N346">
        <v>1003</v>
      </c>
      <c r="O346" t="s">
        <v>376</v>
      </c>
      <c r="P346" t="s">
        <v>376</v>
      </c>
      <c r="Q346">
        <v>1</v>
      </c>
      <c r="W346">
        <v>0</v>
      </c>
      <c r="X346">
        <v>2031406630</v>
      </c>
      <c r="Y346">
        <f t="shared" si="75"/>
        <v>100</v>
      </c>
      <c r="AA346">
        <v>366.64</v>
      </c>
      <c r="AB346">
        <v>0</v>
      </c>
      <c r="AC346">
        <v>0</v>
      </c>
      <c r="AD346">
        <v>0</v>
      </c>
      <c r="AE346">
        <v>31.31</v>
      </c>
      <c r="AF346">
        <v>0</v>
      </c>
      <c r="AG346">
        <v>0</v>
      </c>
      <c r="AH346">
        <v>0</v>
      </c>
      <c r="AI346">
        <v>11.71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 t="s">
        <v>3</v>
      </c>
      <c r="AT346">
        <v>100</v>
      </c>
      <c r="AU346" t="s">
        <v>3</v>
      </c>
      <c r="AV346">
        <v>0</v>
      </c>
      <c r="AW346">
        <v>1</v>
      </c>
      <c r="AX346">
        <v>-1</v>
      </c>
      <c r="AY346">
        <v>0</v>
      </c>
      <c r="AZ346">
        <v>0</v>
      </c>
      <c r="BA346" t="s">
        <v>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ROUND(Y346*Source!I289,9)</f>
        <v>600</v>
      </c>
      <c r="CY346">
        <f t="shared" si="76"/>
        <v>366.64</v>
      </c>
      <c r="CZ346">
        <f t="shared" si="77"/>
        <v>31.31</v>
      </c>
      <c r="DA346">
        <f t="shared" si="78"/>
        <v>11.71</v>
      </c>
      <c r="DB346">
        <f t="shared" si="79"/>
        <v>3131</v>
      </c>
      <c r="DC346">
        <f t="shared" si="80"/>
        <v>0</v>
      </c>
      <c r="DD346" t="s">
        <v>3</v>
      </c>
      <c r="DE346" t="s">
        <v>3</v>
      </c>
      <c r="DF346">
        <f t="shared" si="81"/>
        <v>219984</v>
      </c>
      <c r="DG346">
        <f t="shared" si="82"/>
        <v>0</v>
      </c>
      <c r="DH346">
        <f t="shared" si="83"/>
        <v>0</v>
      </c>
      <c r="DI346">
        <f t="shared" si="67"/>
        <v>0</v>
      </c>
      <c r="DJ346">
        <f t="shared" si="84"/>
        <v>219984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ROW(Source!A292)</f>
        <v>292</v>
      </c>
      <c r="B347">
        <v>60255014</v>
      </c>
      <c r="C347">
        <v>60255644</v>
      </c>
      <c r="D347">
        <v>58999254</v>
      </c>
      <c r="E347">
        <v>1080</v>
      </c>
      <c r="F347">
        <v>1</v>
      </c>
      <c r="G347">
        <v>1080</v>
      </c>
      <c r="H347">
        <v>1</v>
      </c>
      <c r="I347" t="s">
        <v>482</v>
      </c>
      <c r="J347" t="s">
        <v>3</v>
      </c>
      <c r="K347" t="s">
        <v>483</v>
      </c>
      <c r="L347">
        <v>1191</v>
      </c>
      <c r="N347">
        <v>1013</v>
      </c>
      <c r="O347" t="s">
        <v>484</v>
      </c>
      <c r="P347" t="s">
        <v>484</v>
      </c>
      <c r="Q347">
        <v>1</v>
      </c>
      <c r="W347">
        <v>0</v>
      </c>
      <c r="X347">
        <v>476480486</v>
      </c>
      <c r="Y347">
        <f>((AT347*1.15)*1.1)</f>
        <v>37.570499999999996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29.7</v>
      </c>
      <c r="AU347" t="s">
        <v>99</v>
      </c>
      <c r="AV347">
        <v>1</v>
      </c>
      <c r="AW347">
        <v>2</v>
      </c>
      <c r="AX347">
        <v>60255937</v>
      </c>
      <c r="AY347">
        <v>1</v>
      </c>
      <c r="AZ347">
        <v>0</v>
      </c>
      <c r="BA347">
        <v>385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ROUND(AT347*Source!I292*AH347*AL347,2)</f>
        <v>0</v>
      </c>
      <c r="CV347">
        <f>ROUND(Y347*Source!I292,9)</f>
        <v>41.327550000000002</v>
      </c>
      <c r="CW347">
        <v>0</v>
      </c>
      <c r="CX347">
        <f>ROUND(Y347*Source!I292,9)</f>
        <v>41.327550000000002</v>
      </c>
      <c r="CY347">
        <f>AD347</f>
        <v>0</v>
      </c>
      <c r="CZ347">
        <f>AH347</f>
        <v>0</v>
      </c>
      <c r="DA347">
        <f>AL347</f>
        <v>1</v>
      </c>
      <c r="DB347">
        <f>ROUND(((ROUND(AT347*CZ347,2)*1.15)*1.1),6)</f>
        <v>0</v>
      </c>
      <c r="DC347">
        <f>ROUND(((ROUND(AT347*AG347,2)*1.15)*1.1),6)</f>
        <v>0</v>
      </c>
      <c r="DD347" t="s">
        <v>3</v>
      </c>
      <c r="DE347" t="s">
        <v>3</v>
      </c>
      <c r="DF347">
        <f t="shared" ref="DF347:DF363" si="85">ROUND(ROUND(AE347,2)*CX347,2)</f>
        <v>0</v>
      </c>
      <c r="DG347">
        <f t="shared" si="82"/>
        <v>0</v>
      </c>
      <c r="DH347">
        <f t="shared" si="83"/>
        <v>0</v>
      </c>
      <c r="DI347">
        <f t="shared" si="67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ROW(Source!A292)</f>
        <v>292</v>
      </c>
      <c r="B348">
        <v>60255014</v>
      </c>
      <c r="C348">
        <v>60255644</v>
      </c>
      <c r="D348">
        <v>59070372</v>
      </c>
      <c r="E348">
        <v>1</v>
      </c>
      <c r="F348">
        <v>1</v>
      </c>
      <c r="G348">
        <v>1080</v>
      </c>
      <c r="H348">
        <v>2</v>
      </c>
      <c r="I348" t="s">
        <v>556</v>
      </c>
      <c r="J348" t="s">
        <v>557</v>
      </c>
      <c r="K348" t="s">
        <v>558</v>
      </c>
      <c r="L348">
        <v>1368</v>
      </c>
      <c r="N348">
        <v>1011</v>
      </c>
      <c r="O348" t="s">
        <v>488</v>
      </c>
      <c r="P348" t="s">
        <v>488</v>
      </c>
      <c r="Q348">
        <v>1</v>
      </c>
      <c r="W348">
        <v>0</v>
      </c>
      <c r="X348">
        <v>549242131</v>
      </c>
      <c r="Y348">
        <f>((AT348*1.25)*1.1)</f>
        <v>1.58125</v>
      </c>
      <c r="AA348">
        <v>0</v>
      </c>
      <c r="AB348">
        <v>0.3</v>
      </c>
      <c r="AC348">
        <v>0</v>
      </c>
      <c r="AD348">
        <v>0</v>
      </c>
      <c r="AE348">
        <v>0</v>
      </c>
      <c r="AF348">
        <v>0.28000000000000003</v>
      </c>
      <c r="AG348">
        <v>0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1.1499999999999999</v>
      </c>
      <c r="AU348" t="s">
        <v>496</v>
      </c>
      <c r="AV348">
        <v>0</v>
      </c>
      <c r="AW348">
        <v>2</v>
      </c>
      <c r="AX348">
        <v>60255938</v>
      </c>
      <c r="AY348">
        <v>1</v>
      </c>
      <c r="AZ348">
        <v>0</v>
      </c>
      <c r="BA348">
        <v>386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ROUND(Y348*Source!I292*DO348,9)</f>
        <v>0</v>
      </c>
      <c r="CX348">
        <f>ROUND(Y348*Source!I292,9)</f>
        <v>1.7393749999999999</v>
      </c>
      <c r="CY348">
        <f>AB348</f>
        <v>0.3</v>
      </c>
      <c r="CZ348">
        <f>AF348</f>
        <v>0.28000000000000003</v>
      </c>
      <c r="DA348">
        <f>AJ348</f>
        <v>1</v>
      </c>
      <c r="DB348">
        <f>ROUND(((ROUND(AT348*CZ348,2)*1.25)*1.1),6)</f>
        <v>0.44</v>
      </c>
      <c r="DC348">
        <f>ROUND(((ROUND(AT348*AG348,2)*1.25)*1.1),6)</f>
        <v>0</v>
      </c>
      <c r="DD348" t="s">
        <v>3</v>
      </c>
      <c r="DE348" t="s">
        <v>3</v>
      </c>
      <c r="DF348">
        <f t="shared" si="85"/>
        <v>0</v>
      </c>
      <c r="DG348">
        <f t="shared" si="82"/>
        <v>0.49</v>
      </c>
      <c r="DH348">
        <f t="shared" si="83"/>
        <v>0</v>
      </c>
      <c r="DI348">
        <f t="shared" si="67"/>
        <v>0</v>
      </c>
      <c r="DJ348">
        <f>DG348</f>
        <v>0.49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ROW(Source!A292)</f>
        <v>292</v>
      </c>
      <c r="B349">
        <v>60255014</v>
      </c>
      <c r="C349">
        <v>60255644</v>
      </c>
      <c r="D349">
        <v>59070669</v>
      </c>
      <c r="E349">
        <v>1</v>
      </c>
      <c r="F349">
        <v>1</v>
      </c>
      <c r="G349">
        <v>1080</v>
      </c>
      <c r="H349">
        <v>2</v>
      </c>
      <c r="I349" t="s">
        <v>485</v>
      </c>
      <c r="J349" t="s">
        <v>486</v>
      </c>
      <c r="K349" t="s">
        <v>487</v>
      </c>
      <c r="L349">
        <v>1368</v>
      </c>
      <c r="N349">
        <v>1011</v>
      </c>
      <c r="O349" t="s">
        <v>488</v>
      </c>
      <c r="P349" t="s">
        <v>488</v>
      </c>
      <c r="Q349">
        <v>1</v>
      </c>
      <c r="W349">
        <v>0</v>
      </c>
      <c r="X349">
        <v>-1985943078</v>
      </c>
      <c r="Y349">
        <f>((AT349*1.25)*1.1)</f>
        <v>0.48125000000000007</v>
      </c>
      <c r="AA349">
        <v>0</v>
      </c>
      <c r="AB349">
        <v>88.67</v>
      </c>
      <c r="AC349">
        <v>13.47</v>
      </c>
      <c r="AD349">
        <v>0</v>
      </c>
      <c r="AE349">
        <v>0</v>
      </c>
      <c r="AF349">
        <v>83.1</v>
      </c>
      <c r="AG349">
        <v>12.62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0.35</v>
      </c>
      <c r="AU349" t="s">
        <v>496</v>
      </c>
      <c r="AV349">
        <v>0</v>
      </c>
      <c r="AW349">
        <v>2</v>
      </c>
      <c r="AX349">
        <v>60255939</v>
      </c>
      <c r="AY349">
        <v>1</v>
      </c>
      <c r="AZ349">
        <v>0</v>
      </c>
      <c r="BA349">
        <v>387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f>ROUND(Y349*Source!I292*DO349,9)</f>
        <v>6.6807125000000003</v>
      </c>
      <c r="CX349">
        <f>ROUND(Y349*Source!I292,9)</f>
        <v>0.52937500000000004</v>
      </c>
      <c r="CY349">
        <f>AB349</f>
        <v>88.67</v>
      </c>
      <c r="CZ349">
        <f>AF349</f>
        <v>83.1</v>
      </c>
      <c r="DA349">
        <f>AJ349</f>
        <v>1</v>
      </c>
      <c r="DB349">
        <f>ROUND(((ROUND(AT349*CZ349,2)*1.25)*1.1),6)</f>
        <v>39.998750000000001</v>
      </c>
      <c r="DC349">
        <f>ROUND(((ROUND(AT349*AG349,2)*1.25)*1.1),6)</f>
        <v>6.0774999999999997</v>
      </c>
      <c r="DD349" t="s">
        <v>3</v>
      </c>
      <c r="DE349" t="s">
        <v>3</v>
      </c>
      <c r="DF349">
        <f t="shared" si="85"/>
        <v>0</v>
      </c>
      <c r="DG349">
        <f t="shared" si="82"/>
        <v>43.99</v>
      </c>
      <c r="DH349">
        <f t="shared" si="83"/>
        <v>6.68</v>
      </c>
      <c r="DI349">
        <f t="shared" si="67"/>
        <v>0</v>
      </c>
      <c r="DJ349">
        <f>DG349</f>
        <v>43.99</v>
      </c>
      <c r="DK349">
        <v>0</v>
      </c>
      <c r="DL349" t="s">
        <v>489</v>
      </c>
      <c r="DM349">
        <v>0</v>
      </c>
      <c r="DN349" t="s">
        <v>484</v>
      </c>
      <c r="DO349">
        <v>12.62</v>
      </c>
    </row>
    <row r="350" spans="1:119" x14ac:dyDescent="0.2">
      <c r="A350">
        <f>ROW(Source!A292)</f>
        <v>292</v>
      </c>
      <c r="B350">
        <v>60255014</v>
      </c>
      <c r="C350">
        <v>60255644</v>
      </c>
      <c r="D350">
        <v>59069905</v>
      </c>
      <c r="E350">
        <v>1</v>
      </c>
      <c r="F350">
        <v>1</v>
      </c>
      <c r="G350">
        <v>1080</v>
      </c>
      <c r="H350">
        <v>2</v>
      </c>
      <c r="I350" t="s">
        <v>503</v>
      </c>
      <c r="J350" t="s">
        <v>504</v>
      </c>
      <c r="K350" t="s">
        <v>505</v>
      </c>
      <c r="L350">
        <v>1368</v>
      </c>
      <c r="N350">
        <v>1011</v>
      </c>
      <c r="O350" t="s">
        <v>488</v>
      </c>
      <c r="P350" t="s">
        <v>488</v>
      </c>
      <c r="Q350">
        <v>1</v>
      </c>
      <c r="W350">
        <v>0</v>
      </c>
      <c r="X350">
        <v>1087580389</v>
      </c>
      <c r="Y350">
        <f>((AT350*1.25)*1.1)</f>
        <v>9.6250000000000016E-2</v>
      </c>
      <c r="AA350">
        <v>0</v>
      </c>
      <c r="AB350">
        <v>191.17</v>
      </c>
      <c r="AC350">
        <v>18.059999999999999</v>
      </c>
      <c r="AD350">
        <v>0</v>
      </c>
      <c r="AE350">
        <v>0</v>
      </c>
      <c r="AF350">
        <v>179.17</v>
      </c>
      <c r="AG350">
        <v>16.93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7.0000000000000007E-2</v>
      </c>
      <c r="AU350" t="s">
        <v>496</v>
      </c>
      <c r="AV350">
        <v>0</v>
      </c>
      <c r="AW350">
        <v>2</v>
      </c>
      <c r="AX350">
        <v>60255940</v>
      </c>
      <c r="AY350">
        <v>1</v>
      </c>
      <c r="AZ350">
        <v>0</v>
      </c>
      <c r="BA350">
        <v>388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f>ROUND(Y350*Source!I292*DO350,9)</f>
        <v>1.79246375</v>
      </c>
      <c r="CX350">
        <f>ROUND(Y350*Source!I292,9)</f>
        <v>0.105875</v>
      </c>
      <c r="CY350">
        <f>AB350</f>
        <v>191.17</v>
      </c>
      <c r="CZ350">
        <f>AF350</f>
        <v>179.17</v>
      </c>
      <c r="DA350">
        <f>AJ350</f>
        <v>1</v>
      </c>
      <c r="DB350">
        <f>ROUND(((ROUND(AT350*CZ350,2)*1.25)*1.1),6)</f>
        <v>17.2425</v>
      </c>
      <c r="DC350">
        <f>ROUND(((ROUND(AT350*AG350,2)*1.25)*1.1),6)</f>
        <v>1.63625</v>
      </c>
      <c r="DD350" t="s">
        <v>3</v>
      </c>
      <c r="DE350" t="s">
        <v>3</v>
      </c>
      <c r="DF350">
        <f t="shared" si="85"/>
        <v>0</v>
      </c>
      <c r="DG350">
        <f t="shared" si="82"/>
        <v>18.97</v>
      </c>
      <c r="DH350">
        <f t="shared" si="83"/>
        <v>1.79</v>
      </c>
      <c r="DI350">
        <f t="shared" si="67"/>
        <v>0</v>
      </c>
      <c r="DJ350">
        <f>DG350</f>
        <v>18.97</v>
      </c>
      <c r="DK350">
        <v>0</v>
      </c>
      <c r="DL350" t="s">
        <v>489</v>
      </c>
      <c r="DM350">
        <v>0</v>
      </c>
      <c r="DN350" t="s">
        <v>484</v>
      </c>
      <c r="DO350">
        <v>16.93</v>
      </c>
    </row>
    <row r="351" spans="1:119" x14ac:dyDescent="0.2">
      <c r="A351">
        <f>ROW(Source!A292)</f>
        <v>292</v>
      </c>
      <c r="B351">
        <v>60255014</v>
      </c>
      <c r="C351">
        <v>60255644</v>
      </c>
      <c r="D351">
        <v>59038905</v>
      </c>
      <c r="E351">
        <v>1</v>
      </c>
      <c r="F351">
        <v>1</v>
      </c>
      <c r="G351">
        <v>1080</v>
      </c>
      <c r="H351">
        <v>3</v>
      </c>
      <c r="I351" t="s">
        <v>506</v>
      </c>
      <c r="J351" t="s">
        <v>507</v>
      </c>
      <c r="K351" t="s">
        <v>508</v>
      </c>
      <c r="L351">
        <v>1339</v>
      </c>
      <c r="N351">
        <v>1007</v>
      </c>
      <c r="O351" t="s">
        <v>509</v>
      </c>
      <c r="P351" t="s">
        <v>509</v>
      </c>
      <c r="Q351">
        <v>1</v>
      </c>
      <c r="W351">
        <v>0</v>
      </c>
      <c r="X351">
        <v>-744103292</v>
      </c>
      <c r="Y351">
        <f t="shared" ref="Y351:Y359" si="86">AT351</f>
        <v>0.17699999999999999</v>
      </c>
      <c r="AA351">
        <v>7.07</v>
      </c>
      <c r="AB351">
        <v>0</v>
      </c>
      <c r="AC351">
        <v>0</v>
      </c>
      <c r="AD351">
        <v>0</v>
      </c>
      <c r="AE351">
        <v>7.07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0.17699999999999999</v>
      </c>
      <c r="AU351" t="s">
        <v>3</v>
      </c>
      <c r="AV351">
        <v>0</v>
      </c>
      <c r="AW351">
        <v>2</v>
      </c>
      <c r="AX351">
        <v>60255941</v>
      </c>
      <c r="AY351">
        <v>1</v>
      </c>
      <c r="AZ351">
        <v>0</v>
      </c>
      <c r="BA351">
        <v>389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ROUND(Y351*Source!I292,9)</f>
        <v>0.19470000000000001</v>
      </c>
      <c r="CY351">
        <f t="shared" ref="CY351:CY359" si="87">AA351</f>
        <v>7.07</v>
      </c>
      <c r="CZ351">
        <f t="shared" ref="CZ351:CZ359" si="88">AE351</f>
        <v>7.07</v>
      </c>
      <c r="DA351">
        <f t="shared" ref="DA351:DA359" si="89">AI351</f>
        <v>1</v>
      </c>
      <c r="DB351">
        <f t="shared" ref="DB351:DB359" si="90">ROUND(ROUND(AT351*CZ351,2),6)</f>
        <v>1.25</v>
      </c>
      <c r="DC351">
        <f t="shared" ref="DC351:DC359" si="91">ROUND(ROUND(AT351*AG351,2),6)</f>
        <v>0</v>
      </c>
      <c r="DD351" t="s">
        <v>3</v>
      </c>
      <c r="DE351" t="s">
        <v>3</v>
      </c>
      <c r="DF351">
        <f t="shared" si="85"/>
        <v>1.38</v>
      </c>
      <c r="DG351">
        <f t="shared" si="82"/>
        <v>0</v>
      </c>
      <c r="DH351">
        <f t="shared" si="83"/>
        <v>0</v>
      </c>
      <c r="DI351">
        <f t="shared" si="67"/>
        <v>0</v>
      </c>
      <c r="DJ351">
        <f t="shared" ref="DJ351:DJ359" si="92">DF351</f>
        <v>1.38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ROW(Source!A292)</f>
        <v>292</v>
      </c>
      <c r="B352">
        <v>60255014</v>
      </c>
      <c r="C352">
        <v>60255644</v>
      </c>
      <c r="D352">
        <v>59040044</v>
      </c>
      <c r="E352">
        <v>1</v>
      </c>
      <c r="F352">
        <v>1</v>
      </c>
      <c r="G352">
        <v>1080</v>
      </c>
      <c r="H352">
        <v>3</v>
      </c>
      <c r="I352" t="s">
        <v>559</v>
      </c>
      <c r="J352" t="s">
        <v>560</v>
      </c>
      <c r="K352" t="s">
        <v>561</v>
      </c>
      <c r="L352">
        <v>1346</v>
      </c>
      <c r="N352">
        <v>1009</v>
      </c>
      <c r="O352" t="s">
        <v>528</v>
      </c>
      <c r="P352" t="s">
        <v>528</v>
      </c>
      <c r="Q352">
        <v>1</v>
      </c>
      <c r="W352">
        <v>0</v>
      </c>
      <c r="X352">
        <v>-326142876</v>
      </c>
      <c r="Y352">
        <f t="shared" si="86"/>
        <v>0.17</v>
      </c>
      <c r="AA352">
        <v>21</v>
      </c>
      <c r="AB352">
        <v>0</v>
      </c>
      <c r="AC352">
        <v>0</v>
      </c>
      <c r="AD352">
        <v>0</v>
      </c>
      <c r="AE352">
        <v>21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0.17</v>
      </c>
      <c r="AU352" t="s">
        <v>3</v>
      </c>
      <c r="AV352">
        <v>0</v>
      </c>
      <c r="AW352">
        <v>2</v>
      </c>
      <c r="AX352">
        <v>60255942</v>
      </c>
      <c r="AY352">
        <v>1</v>
      </c>
      <c r="AZ352">
        <v>0</v>
      </c>
      <c r="BA352">
        <v>390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ROUND(Y352*Source!I292,9)</f>
        <v>0.187</v>
      </c>
      <c r="CY352">
        <f t="shared" si="87"/>
        <v>21</v>
      </c>
      <c r="CZ352">
        <f t="shared" si="88"/>
        <v>21</v>
      </c>
      <c r="DA352">
        <f t="shared" si="89"/>
        <v>1</v>
      </c>
      <c r="DB352">
        <f t="shared" si="90"/>
        <v>3.57</v>
      </c>
      <c r="DC352">
        <f t="shared" si="91"/>
        <v>0</v>
      </c>
      <c r="DD352" t="s">
        <v>3</v>
      </c>
      <c r="DE352" t="s">
        <v>3</v>
      </c>
      <c r="DF352">
        <f t="shared" si="85"/>
        <v>3.93</v>
      </c>
      <c r="DG352">
        <f t="shared" si="82"/>
        <v>0</v>
      </c>
      <c r="DH352">
        <f t="shared" si="83"/>
        <v>0</v>
      </c>
      <c r="DI352">
        <f t="shared" si="67"/>
        <v>0</v>
      </c>
      <c r="DJ352">
        <f t="shared" si="92"/>
        <v>3.93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ROW(Source!A292)</f>
        <v>292</v>
      </c>
      <c r="B353">
        <v>60255014</v>
      </c>
      <c r="C353">
        <v>60255644</v>
      </c>
      <c r="D353">
        <v>59040617</v>
      </c>
      <c r="E353">
        <v>1</v>
      </c>
      <c r="F353">
        <v>1</v>
      </c>
      <c r="G353">
        <v>1080</v>
      </c>
      <c r="H353">
        <v>3</v>
      </c>
      <c r="I353" t="s">
        <v>535</v>
      </c>
      <c r="J353" t="s">
        <v>536</v>
      </c>
      <c r="K353" t="s">
        <v>537</v>
      </c>
      <c r="L353">
        <v>1346</v>
      </c>
      <c r="N353">
        <v>1009</v>
      </c>
      <c r="O353" t="s">
        <v>528</v>
      </c>
      <c r="P353" t="s">
        <v>528</v>
      </c>
      <c r="Q353">
        <v>1</v>
      </c>
      <c r="W353">
        <v>0</v>
      </c>
      <c r="X353">
        <v>-1011812427</v>
      </c>
      <c r="Y353">
        <f t="shared" si="86"/>
        <v>0.06</v>
      </c>
      <c r="AA353">
        <v>37.979999999999997</v>
      </c>
      <c r="AB353">
        <v>0</v>
      </c>
      <c r="AC353">
        <v>0</v>
      </c>
      <c r="AD353">
        <v>0</v>
      </c>
      <c r="AE353">
        <v>37.979999999999997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0.06</v>
      </c>
      <c r="AU353" t="s">
        <v>3</v>
      </c>
      <c r="AV353">
        <v>0</v>
      </c>
      <c r="AW353">
        <v>2</v>
      </c>
      <c r="AX353">
        <v>60255943</v>
      </c>
      <c r="AY353">
        <v>1</v>
      </c>
      <c r="AZ353">
        <v>0</v>
      </c>
      <c r="BA353">
        <v>391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ROUND(Y353*Source!I292,9)</f>
        <v>6.6000000000000003E-2</v>
      </c>
      <c r="CY353">
        <f t="shared" si="87"/>
        <v>37.979999999999997</v>
      </c>
      <c r="CZ353">
        <f t="shared" si="88"/>
        <v>37.979999999999997</v>
      </c>
      <c r="DA353">
        <f t="shared" si="89"/>
        <v>1</v>
      </c>
      <c r="DB353">
        <f t="shared" si="90"/>
        <v>2.2799999999999998</v>
      </c>
      <c r="DC353">
        <f t="shared" si="91"/>
        <v>0</v>
      </c>
      <c r="DD353" t="s">
        <v>3</v>
      </c>
      <c r="DE353" t="s">
        <v>3</v>
      </c>
      <c r="DF353">
        <f t="shared" si="85"/>
        <v>2.5099999999999998</v>
      </c>
      <c r="DG353">
        <f t="shared" si="82"/>
        <v>0</v>
      </c>
      <c r="DH353">
        <f t="shared" si="83"/>
        <v>0</v>
      </c>
      <c r="DI353">
        <f t="shared" si="67"/>
        <v>0</v>
      </c>
      <c r="DJ353">
        <f t="shared" si="92"/>
        <v>2.5099999999999998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ROW(Source!A292)</f>
        <v>292</v>
      </c>
      <c r="B354">
        <v>60255014</v>
      </c>
      <c r="C354">
        <v>60255644</v>
      </c>
      <c r="D354">
        <v>59039024</v>
      </c>
      <c r="E354">
        <v>1</v>
      </c>
      <c r="F354">
        <v>1</v>
      </c>
      <c r="G354">
        <v>1080</v>
      </c>
      <c r="H354">
        <v>3</v>
      </c>
      <c r="I354" t="s">
        <v>562</v>
      </c>
      <c r="J354" t="s">
        <v>563</v>
      </c>
      <c r="K354" t="s">
        <v>564</v>
      </c>
      <c r="L354">
        <v>1348</v>
      </c>
      <c r="N354">
        <v>1009</v>
      </c>
      <c r="O354" t="s">
        <v>534</v>
      </c>
      <c r="P354" t="s">
        <v>534</v>
      </c>
      <c r="Q354">
        <v>1000</v>
      </c>
      <c r="W354">
        <v>0</v>
      </c>
      <c r="X354">
        <v>1469978170</v>
      </c>
      <c r="Y354">
        <f t="shared" si="86"/>
        <v>1.0000000000000001E-5</v>
      </c>
      <c r="AA354">
        <v>3234.81</v>
      </c>
      <c r="AB354">
        <v>0</v>
      </c>
      <c r="AC354">
        <v>0</v>
      </c>
      <c r="AD354">
        <v>0</v>
      </c>
      <c r="AE354">
        <v>3234.81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1.0000000000000001E-5</v>
      </c>
      <c r="AU354" t="s">
        <v>3</v>
      </c>
      <c r="AV354">
        <v>0</v>
      </c>
      <c r="AW354">
        <v>2</v>
      </c>
      <c r="AX354">
        <v>60255944</v>
      </c>
      <c r="AY354">
        <v>1</v>
      </c>
      <c r="AZ354">
        <v>0</v>
      </c>
      <c r="BA354">
        <v>392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ROUND(Y354*Source!I292,9)</f>
        <v>1.1E-5</v>
      </c>
      <c r="CY354">
        <f t="shared" si="87"/>
        <v>3234.81</v>
      </c>
      <c r="CZ354">
        <f t="shared" si="88"/>
        <v>3234.81</v>
      </c>
      <c r="DA354">
        <f t="shared" si="89"/>
        <v>1</v>
      </c>
      <c r="DB354">
        <f t="shared" si="90"/>
        <v>0.03</v>
      </c>
      <c r="DC354">
        <f t="shared" si="91"/>
        <v>0</v>
      </c>
      <c r="DD354" t="s">
        <v>3</v>
      </c>
      <c r="DE354" t="s">
        <v>3</v>
      </c>
      <c r="DF354">
        <f t="shared" si="85"/>
        <v>0.04</v>
      </c>
      <c r="DG354">
        <f t="shared" si="82"/>
        <v>0</v>
      </c>
      <c r="DH354">
        <f t="shared" si="83"/>
        <v>0</v>
      </c>
      <c r="DI354">
        <f t="shared" si="67"/>
        <v>0</v>
      </c>
      <c r="DJ354">
        <f t="shared" si="92"/>
        <v>0.04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ROW(Source!A292)</f>
        <v>292</v>
      </c>
      <c r="B355">
        <v>60255014</v>
      </c>
      <c r="C355">
        <v>60255644</v>
      </c>
      <c r="D355">
        <v>59038837</v>
      </c>
      <c r="E355">
        <v>1</v>
      </c>
      <c r="F355">
        <v>1</v>
      </c>
      <c r="G355">
        <v>1080</v>
      </c>
      <c r="H355">
        <v>3</v>
      </c>
      <c r="I355" t="s">
        <v>565</v>
      </c>
      <c r="J355" t="s">
        <v>566</v>
      </c>
      <c r="K355" t="s">
        <v>567</v>
      </c>
      <c r="L355">
        <v>1339</v>
      </c>
      <c r="N355">
        <v>1007</v>
      </c>
      <c r="O355" t="s">
        <v>509</v>
      </c>
      <c r="P355" t="s">
        <v>509</v>
      </c>
      <c r="Q355">
        <v>1</v>
      </c>
      <c r="W355">
        <v>0</v>
      </c>
      <c r="X355">
        <v>1565098517</v>
      </c>
      <c r="Y355">
        <f t="shared" si="86"/>
        <v>0.11899999999999999</v>
      </c>
      <c r="AA355">
        <v>53.42</v>
      </c>
      <c r="AB355">
        <v>0</v>
      </c>
      <c r="AC355">
        <v>0</v>
      </c>
      <c r="AD355">
        <v>0</v>
      </c>
      <c r="AE355">
        <v>53.42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0.11899999999999999</v>
      </c>
      <c r="AU355" t="s">
        <v>3</v>
      </c>
      <c r="AV355">
        <v>0</v>
      </c>
      <c r="AW355">
        <v>2</v>
      </c>
      <c r="AX355">
        <v>60255945</v>
      </c>
      <c r="AY355">
        <v>1</v>
      </c>
      <c r="AZ355">
        <v>0</v>
      </c>
      <c r="BA355">
        <v>393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ROUND(Y355*Source!I292,9)</f>
        <v>0.13089999999999999</v>
      </c>
      <c r="CY355">
        <f t="shared" si="87"/>
        <v>53.42</v>
      </c>
      <c r="CZ355">
        <f t="shared" si="88"/>
        <v>53.42</v>
      </c>
      <c r="DA355">
        <f t="shared" si="89"/>
        <v>1</v>
      </c>
      <c r="DB355">
        <f t="shared" si="90"/>
        <v>6.36</v>
      </c>
      <c r="DC355">
        <f t="shared" si="91"/>
        <v>0</v>
      </c>
      <c r="DD355" t="s">
        <v>3</v>
      </c>
      <c r="DE355" t="s">
        <v>3</v>
      </c>
      <c r="DF355">
        <f t="shared" si="85"/>
        <v>6.99</v>
      </c>
      <c r="DG355">
        <f t="shared" si="82"/>
        <v>0</v>
      </c>
      <c r="DH355">
        <f t="shared" si="83"/>
        <v>0</v>
      </c>
      <c r="DI355">
        <f t="shared" si="67"/>
        <v>0</v>
      </c>
      <c r="DJ355">
        <f t="shared" si="92"/>
        <v>6.99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ROW(Source!A292)</f>
        <v>292</v>
      </c>
      <c r="B356">
        <v>60255014</v>
      </c>
      <c r="C356">
        <v>60255644</v>
      </c>
      <c r="D356">
        <v>59039103</v>
      </c>
      <c r="E356">
        <v>1</v>
      </c>
      <c r="F356">
        <v>1</v>
      </c>
      <c r="G356">
        <v>1080</v>
      </c>
      <c r="H356">
        <v>3</v>
      </c>
      <c r="I356" t="s">
        <v>568</v>
      </c>
      <c r="J356" t="s">
        <v>569</v>
      </c>
      <c r="K356" t="s">
        <v>570</v>
      </c>
      <c r="L356">
        <v>1339</v>
      </c>
      <c r="N356">
        <v>1007</v>
      </c>
      <c r="O356" t="s">
        <v>509</v>
      </c>
      <c r="P356" t="s">
        <v>509</v>
      </c>
      <c r="Q356">
        <v>1</v>
      </c>
      <c r="W356">
        <v>0</v>
      </c>
      <c r="X356">
        <v>-388798825</v>
      </c>
      <c r="Y356">
        <f t="shared" si="86"/>
        <v>0.28100000000000003</v>
      </c>
      <c r="AA356">
        <v>5.82</v>
      </c>
      <c r="AB356">
        <v>0</v>
      </c>
      <c r="AC356">
        <v>0</v>
      </c>
      <c r="AD356">
        <v>0</v>
      </c>
      <c r="AE356">
        <v>5.82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0.28100000000000003</v>
      </c>
      <c r="AU356" t="s">
        <v>3</v>
      </c>
      <c r="AV356">
        <v>0</v>
      </c>
      <c r="AW356">
        <v>2</v>
      </c>
      <c r="AX356">
        <v>60255946</v>
      </c>
      <c r="AY356">
        <v>1</v>
      </c>
      <c r="AZ356">
        <v>0</v>
      </c>
      <c r="BA356">
        <v>394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ROUND(Y356*Source!I292,9)</f>
        <v>0.30909999999999999</v>
      </c>
      <c r="CY356">
        <f t="shared" si="87"/>
        <v>5.82</v>
      </c>
      <c r="CZ356">
        <f t="shared" si="88"/>
        <v>5.82</v>
      </c>
      <c r="DA356">
        <f t="shared" si="89"/>
        <v>1</v>
      </c>
      <c r="DB356">
        <f t="shared" si="90"/>
        <v>1.64</v>
      </c>
      <c r="DC356">
        <f t="shared" si="91"/>
        <v>0</v>
      </c>
      <c r="DD356" t="s">
        <v>3</v>
      </c>
      <c r="DE356" t="s">
        <v>3</v>
      </c>
      <c r="DF356">
        <f t="shared" si="85"/>
        <v>1.8</v>
      </c>
      <c r="DG356">
        <f t="shared" si="82"/>
        <v>0</v>
      </c>
      <c r="DH356">
        <f t="shared" si="83"/>
        <v>0</v>
      </c>
      <c r="DI356">
        <f t="shared" si="67"/>
        <v>0</v>
      </c>
      <c r="DJ356">
        <f t="shared" si="92"/>
        <v>1.8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ROW(Source!A292)</f>
        <v>292</v>
      </c>
      <c r="B357">
        <v>60255014</v>
      </c>
      <c r="C357">
        <v>60255644</v>
      </c>
      <c r="D357">
        <v>59039175</v>
      </c>
      <c r="E357">
        <v>1</v>
      </c>
      <c r="F357">
        <v>1</v>
      </c>
      <c r="G357">
        <v>1080</v>
      </c>
      <c r="H357">
        <v>3</v>
      </c>
      <c r="I357" t="s">
        <v>538</v>
      </c>
      <c r="J357" t="s">
        <v>539</v>
      </c>
      <c r="K357" t="s">
        <v>540</v>
      </c>
      <c r="L357">
        <v>1348</v>
      </c>
      <c r="N357">
        <v>1009</v>
      </c>
      <c r="O357" t="s">
        <v>534</v>
      </c>
      <c r="P357" t="s">
        <v>534</v>
      </c>
      <c r="Q357">
        <v>1000</v>
      </c>
      <c r="W357">
        <v>0</v>
      </c>
      <c r="X357">
        <v>356473523</v>
      </c>
      <c r="Y357">
        <f t="shared" si="86"/>
        <v>4.4000000000000002E-4</v>
      </c>
      <c r="AA357">
        <v>16214.84</v>
      </c>
      <c r="AB357">
        <v>0</v>
      </c>
      <c r="AC357">
        <v>0</v>
      </c>
      <c r="AD357">
        <v>0</v>
      </c>
      <c r="AE357">
        <v>16214.84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4.4000000000000002E-4</v>
      </c>
      <c r="AU357" t="s">
        <v>3</v>
      </c>
      <c r="AV357">
        <v>0</v>
      </c>
      <c r="AW357">
        <v>2</v>
      </c>
      <c r="AX357">
        <v>60255947</v>
      </c>
      <c r="AY357">
        <v>1</v>
      </c>
      <c r="AZ357">
        <v>0</v>
      </c>
      <c r="BA357">
        <v>395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ROUND(Y357*Source!I292,9)</f>
        <v>4.84E-4</v>
      </c>
      <c r="CY357">
        <f t="shared" si="87"/>
        <v>16214.84</v>
      </c>
      <c r="CZ357">
        <f t="shared" si="88"/>
        <v>16214.84</v>
      </c>
      <c r="DA357">
        <f t="shared" si="89"/>
        <v>1</v>
      </c>
      <c r="DB357">
        <f t="shared" si="90"/>
        <v>7.13</v>
      </c>
      <c r="DC357">
        <f t="shared" si="91"/>
        <v>0</v>
      </c>
      <c r="DD357" t="s">
        <v>3</v>
      </c>
      <c r="DE357" t="s">
        <v>3</v>
      </c>
      <c r="DF357">
        <f t="shared" si="85"/>
        <v>7.85</v>
      </c>
      <c r="DG357">
        <f t="shared" si="82"/>
        <v>0</v>
      </c>
      <c r="DH357">
        <f t="shared" si="83"/>
        <v>0</v>
      </c>
      <c r="DI357">
        <f t="shared" si="67"/>
        <v>0</v>
      </c>
      <c r="DJ357">
        <f t="shared" si="92"/>
        <v>7.85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ROW(Source!A292)</f>
        <v>292</v>
      </c>
      <c r="B358">
        <v>60255014</v>
      </c>
      <c r="C358">
        <v>60255644</v>
      </c>
      <c r="D358">
        <v>59039344</v>
      </c>
      <c r="E358">
        <v>1</v>
      </c>
      <c r="F358">
        <v>1</v>
      </c>
      <c r="G358">
        <v>1080</v>
      </c>
      <c r="H358">
        <v>3</v>
      </c>
      <c r="I358" t="s">
        <v>541</v>
      </c>
      <c r="J358" t="s">
        <v>542</v>
      </c>
      <c r="K358" t="s">
        <v>543</v>
      </c>
      <c r="L358">
        <v>1346</v>
      </c>
      <c r="N358">
        <v>1009</v>
      </c>
      <c r="O358" t="s">
        <v>528</v>
      </c>
      <c r="P358" t="s">
        <v>528</v>
      </c>
      <c r="Q358">
        <v>1</v>
      </c>
      <c r="W358">
        <v>0</v>
      </c>
      <c r="X358">
        <v>1135396300</v>
      </c>
      <c r="Y358">
        <f t="shared" si="86"/>
        <v>0.53</v>
      </c>
      <c r="AA358">
        <v>20.190000000000001</v>
      </c>
      <c r="AB358">
        <v>0</v>
      </c>
      <c r="AC358">
        <v>0</v>
      </c>
      <c r="AD358">
        <v>0</v>
      </c>
      <c r="AE358">
        <v>20.190000000000001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-2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0.53</v>
      </c>
      <c r="AU358" t="s">
        <v>3</v>
      </c>
      <c r="AV358">
        <v>0</v>
      </c>
      <c r="AW358">
        <v>2</v>
      </c>
      <c r="AX358">
        <v>60255948</v>
      </c>
      <c r="AY358">
        <v>1</v>
      </c>
      <c r="AZ358">
        <v>0</v>
      </c>
      <c r="BA358">
        <v>396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ROUND(Y358*Source!I292,9)</f>
        <v>0.58299999999999996</v>
      </c>
      <c r="CY358">
        <f t="shared" si="87"/>
        <v>20.190000000000001</v>
      </c>
      <c r="CZ358">
        <f t="shared" si="88"/>
        <v>20.190000000000001</v>
      </c>
      <c r="DA358">
        <f t="shared" si="89"/>
        <v>1</v>
      </c>
      <c r="DB358">
        <f t="shared" si="90"/>
        <v>10.7</v>
      </c>
      <c r="DC358">
        <f t="shared" si="91"/>
        <v>0</v>
      </c>
      <c r="DD358" t="s">
        <v>3</v>
      </c>
      <c r="DE358" t="s">
        <v>3</v>
      </c>
      <c r="DF358">
        <f t="shared" si="85"/>
        <v>11.77</v>
      </c>
      <c r="DG358">
        <f t="shared" si="82"/>
        <v>0</v>
      </c>
      <c r="DH358">
        <f t="shared" si="83"/>
        <v>0</v>
      </c>
      <c r="DI358">
        <f t="shared" si="67"/>
        <v>0</v>
      </c>
      <c r="DJ358">
        <f t="shared" si="92"/>
        <v>11.77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ROW(Source!A292)</f>
        <v>292</v>
      </c>
      <c r="B359">
        <v>60255014</v>
      </c>
      <c r="C359">
        <v>60255644</v>
      </c>
      <c r="D359">
        <v>59051858</v>
      </c>
      <c r="E359">
        <v>1</v>
      </c>
      <c r="F359">
        <v>1</v>
      </c>
      <c r="G359">
        <v>1080</v>
      </c>
      <c r="H359">
        <v>3</v>
      </c>
      <c r="I359" t="s">
        <v>391</v>
      </c>
      <c r="J359" t="s">
        <v>393</v>
      </c>
      <c r="K359" t="s">
        <v>392</v>
      </c>
      <c r="L359">
        <v>1301</v>
      </c>
      <c r="N359">
        <v>1003</v>
      </c>
      <c r="O359" t="s">
        <v>376</v>
      </c>
      <c r="P359" t="s">
        <v>376</v>
      </c>
      <c r="Q359">
        <v>1</v>
      </c>
      <c r="W359">
        <v>0</v>
      </c>
      <c r="X359">
        <v>-1819578337</v>
      </c>
      <c r="Y359">
        <f t="shared" si="86"/>
        <v>100</v>
      </c>
      <c r="AA359">
        <v>31.73</v>
      </c>
      <c r="AB359">
        <v>0</v>
      </c>
      <c r="AC359">
        <v>0</v>
      </c>
      <c r="AD359">
        <v>0</v>
      </c>
      <c r="AE359">
        <v>31.73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</v>
      </c>
      <c r="AT359">
        <v>100</v>
      </c>
      <c r="AU359" t="s">
        <v>3</v>
      </c>
      <c r="AV359">
        <v>0</v>
      </c>
      <c r="AW359">
        <v>1</v>
      </c>
      <c r="AX359">
        <v>-1</v>
      </c>
      <c r="AY359">
        <v>0</v>
      </c>
      <c r="AZ359">
        <v>0</v>
      </c>
      <c r="BA359" t="s">
        <v>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ROUND(Y359*Source!I292,9)</f>
        <v>110</v>
      </c>
      <c r="CY359">
        <f t="shared" si="87"/>
        <v>31.73</v>
      </c>
      <c r="CZ359">
        <f t="shared" si="88"/>
        <v>31.73</v>
      </c>
      <c r="DA359">
        <f t="shared" si="89"/>
        <v>1</v>
      </c>
      <c r="DB359">
        <f t="shared" si="90"/>
        <v>3173</v>
      </c>
      <c r="DC359">
        <f t="shared" si="91"/>
        <v>0</v>
      </c>
      <c r="DD359" t="s">
        <v>3</v>
      </c>
      <c r="DE359" t="s">
        <v>3</v>
      </c>
      <c r="DF359">
        <f t="shared" si="85"/>
        <v>3490.3</v>
      </c>
      <c r="DG359">
        <f t="shared" si="82"/>
        <v>0</v>
      </c>
      <c r="DH359">
        <f t="shared" si="83"/>
        <v>0</v>
      </c>
      <c r="DI359">
        <f t="shared" si="67"/>
        <v>0</v>
      </c>
      <c r="DJ359">
        <f t="shared" si="92"/>
        <v>3490.3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ROW(Source!A293)</f>
        <v>293</v>
      </c>
      <c r="B360">
        <v>60255011</v>
      </c>
      <c r="C360">
        <v>60255644</v>
      </c>
      <c r="D360">
        <v>58999254</v>
      </c>
      <c r="E360">
        <v>1080</v>
      </c>
      <c r="F360">
        <v>1</v>
      </c>
      <c r="G360">
        <v>1080</v>
      </c>
      <c r="H360">
        <v>1</v>
      </c>
      <c r="I360" t="s">
        <v>482</v>
      </c>
      <c r="J360" t="s">
        <v>3</v>
      </c>
      <c r="K360" t="s">
        <v>483</v>
      </c>
      <c r="L360">
        <v>1191</v>
      </c>
      <c r="N360">
        <v>1013</v>
      </c>
      <c r="O360" t="s">
        <v>484</v>
      </c>
      <c r="P360" t="s">
        <v>484</v>
      </c>
      <c r="Q360">
        <v>1</v>
      </c>
      <c r="W360">
        <v>0</v>
      </c>
      <c r="X360">
        <v>476480486</v>
      </c>
      <c r="Y360">
        <f>((AT360*1.15)*1.1)</f>
        <v>37.570499999999996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5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29.7</v>
      </c>
      <c r="AU360" t="s">
        <v>99</v>
      </c>
      <c r="AV360">
        <v>1</v>
      </c>
      <c r="AW360">
        <v>2</v>
      </c>
      <c r="AX360">
        <v>60255937</v>
      </c>
      <c r="AY360">
        <v>1</v>
      </c>
      <c r="AZ360">
        <v>0</v>
      </c>
      <c r="BA360">
        <v>400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U360">
        <f>ROUND(AT360*Source!I293*AH360*AL360,2)</f>
        <v>0</v>
      </c>
      <c r="CV360">
        <f>ROUND(Y360*Source!I293,9)</f>
        <v>41.327550000000002</v>
      </c>
      <c r="CW360">
        <v>0</v>
      </c>
      <c r="CX360">
        <f>ROUND(Y360*Source!I293,9)</f>
        <v>41.327550000000002</v>
      </c>
      <c r="CY360">
        <f>AD360</f>
        <v>0</v>
      </c>
      <c r="CZ360">
        <f>AH360</f>
        <v>0</v>
      </c>
      <c r="DA360">
        <f>AL360</f>
        <v>1</v>
      </c>
      <c r="DB360">
        <f>ROUND(((ROUND(AT360*CZ360,2)*1.15)*1.1),6)</f>
        <v>0</v>
      </c>
      <c r="DC360">
        <f>ROUND(((ROUND(AT360*AG360,2)*1.15)*1.1),6)</f>
        <v>0</v>
      </c>
      <c r="DD360" t="s">
        <v>3</v>
      </c>
      <c r="DE360" t="s">
        <v>3</v>
      </c>
      <c r="DF360">
        <f t="shared" si="85"/>
        <v>0</v>
      </c>
      <c r="DG360">
        <f t="shared" si="82"/>
        <v>0</v>
      </c>
      <c r="DH360">
        <f t="shared" si="83"/>
        <v>0</v>
      </c>
      <c r="DI360">
        <f t="shared" si="67"/>
        <v>0</v>
      </c>
      <c r="DJ360">
        <f>DI360</f>
        <v>0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ROW(Source!A293)</f>
        <v>293</v>
      </c>
      <c r="B361">
        <v>60255011</v>
      </c>
      <c r="C361">
        <v>60255644</v>
      </c>
      <c r="D361">
        <v>59070372</v>
      </c>
      <c r="E361">
        <v>1</v>
      </c>
      <c r="F361">
        <v>1</v>
      </c>
      <c r="G361">
        <v>1080</v>
      </c>
      <c r="H361">
        <v>2</v>
      </c>
      <c r="I361" t="s">
        <v>556</v>
      </c>
      <c r="J361" t="s">
        <v>557</v>
      </c>
      <c r="K361" t="s">
        <v>558</v>
      </c>
      <c r="L361">
        <v>1368</v>
      </c>
      <c r="N361">
        <v>1011</v>
      </c>
      <c r="O361" t="s">
        <v>488</v>
      </c>
      <c r="P361" t="s">
        <v>488</v>
      </c>
      <c r="Q361">
        <v>1</v>
      </c>
      <c r="W361">
        <v>0</v>
      </c>
      <c r="X361">
        <v>549242131</v>
      </c>
      <c r="Y361">
        <f>((AT361*1.25)*1.1)</f>
        <v>1.58125</v>
      </c>
      <c r="AA361">
        <v>0</v>
      </c>
      <c r="AB361">
        <v>2.5299999999999998</v>
      </c>
      <c r="AC361">
        <v>0</v>
      </c>
      <c r="AD361">
        <v>0</v>
      </c>
      <c r="AE361">
        <v>0</v>
      </c>
      <c r="AF361">
        <v>0.28000000000000003</v>
      </c>
      <c r="AG361">
        <v>0</v>
      </c>
      <c r="AH361">
        <v>0</v>
      </c>
      <c r="AI361">
        <v>1</v>
      </c>
      <c r="AJ361">
        <v>8.4600000000000009</v>
      </c>
      <c r="AK361">
        <v>54.99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1.1499999999999999</v>
      </c>
      <c r="AU361" t="s">
        <v>496</v>
      </c>
      <c r="AV361">
        <v>0</v>
      </c>
      <c r="AW361">
        <v>2</v>
      </c>
      <c r="AX361">
        <v>60255938</v>
      </c>
      <c r="AY361">
        <v>1</v>
      </c>
      <c r="AZ361">
        <v>0</v>
      </c>
      <c r="BA361">
        <v>401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ROUND(Y361*Source!I293*DO361,9)</f>
        <v>0</v>
      </c>
      <c r="CX361">
        <f>ROUND(Y361*Source!I293,9)</f>
        <v>1.7393749999999999</v>
      </c>
      <c r="CY361">
        <f>AB361</f>
        <v>2.5299999999999998</v>
      </c>
      <c r="CZ361">
        <f>AF361</f>
        <v>0.28000000000000003</v>
      </c>
      <c r="DA361">
        <f>AJ361</f>
        <v>8.4600000000000009</v>
      </c>
      <c r="DB361">
        <f>ROUND(((ROUND(AT361*CZ361,2)*1.25)*1.1),6)</f>
        <v>0.44</v>
      </c>
      <c r="DC361">
        <f>ROUND(((ROUND(AT361*AG361,2)*1.25)*1.1),6)</f>
        <v>0</v>
      </c>
      <c r="DD361" t="s">
        <v>3</v>
      </c>
      <c r="DE361" t="s">
        <v>3</v>
      </c>
      <c r="DF361">
        <f t="shared" si="85"/>
        <v>0</v>
      </c>
      <c r="DG361">
        <f>ROUND(ROUND(AF361*AJ361,2)*CX361,2)</f>
        <v>4.12</v>
      </c>
      <c r="DH361">
        <f>ROUND(ROUND(AG361*AK361,2)*CX361,2)</f>
        <v>0</v>
      </c>
      <c r="DI361">
        <f t="shared" si="67"/>
        <v>0</v>
      </c>
      <c r="DJ361">
        <f>DG361</f>
        <v>4.12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ROW(Source!A293)</f>
        <v>293</v>
      </c>
      <c r="B362">
        <v>60255011</v>
      </c>
      <c r="C362">
        <v>60255644</v>
      </c>
      <c r="D362">
        <v>59070669</v>
      </c>
      <c r="E362">
        <v>1</v>
      </c>
      <c r="F362">
        <v>1</v>
      </c>
      <c r="G362">
        <v>1080</v>
      </c>
      <c r="H362">
        <v>2</v>
      </c>
      <c r="I362" t="s">
        <v>485</v>
      </c>
      <c r="J362" t="s">
        <v>486</v>
      </c>
      <c r="K362" t="s">
        <v>487</v>
      </c>
      <c r="L362">
        <v>1368</v>
      </c>
      <c r="N362">
        <v>1011</v>
      </c>
      <c r="O362" t="s">
        <v>488</v>
      </c>
      <c r="P362" t="s">
        <v>488</v>
      </c>
      <c r="Q362">
        <v>1</v>
      </c>
      <c r="W362">
        <v>0</v>
      </c>
      <c r="X362">
        <v>-1985943078</v>
      </c>
      <c r="Y362">
        <f>((AT362*1.25)*1.1)</f>
        <v>0.48125000000000007</v>
      </c>
      <c r="AA362">
        <v>0</v>
      </c>
      <c r="AB362">
        <v>1445.28</v>
      </c>
      <c r="AC362">
        <v>740.47</v>
      </c>
      <c r="AD362">
        <v>0</v>
      </c>
      <c r="AE362">
        <v>0</v>
      </c>
      <c r="AF362">
        <v>83.1</v>
      </c>
      <c r="AG362">
        <v>12.62</v>
      </c>
      <c r="AH362">
        <v>0</v>
      </c>
      <c r="AI362">
        <v>1</v>
      </c>
      <c r="AJ362">
        <v>16.3</v>
      </c>
      <c r="AK362">
        <v>54.99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0.35</v>
      </c>
      <c r="AU362" t="s">
        <v>496</v>
      </c>
      <c r="AV362">
        <v>0</v>
      </c>
      <c r="AW362">
        <v>2</v>
      </c>
      <c r="AX362">
        <v>60255939</v>
      </c>
      <c r="AY362">
        <v>1</v>
      </c>
      <c r="AZ362">
        <v>0</v>
      </c>
      <c r="BA362">
        <v>402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f>ROUND(Y362*Source!I293*DO362,9)</f>
        <v>6.6807125000000003</v>
      </c>
      <c r="CX362">
        <f>ROUND(Y362*Source!I293,9)</f>
        <v>0.52937500000000004</v>
      </c>
      <c r="CY362">
        <f>AB362</f>
        <v>1445.28</v>
      </c>
      <c r="CZ362">
        <f>AF362</f>
        <v>83.1</v>
      </c>
      <c r="DA362">
        <f>AJ362</f>
        <v>16.3</v>
      </c>
      <c r="DB362">
        <f>ROUND(((ROUND(AT362*CZ362,2)*1.25)*1.1),6)</f>
        <v>39.998750000000001</v>
      </c>
      <c r="DC362">
        <f>ROUND(((ROUND(AT362*AG362,2)*1.25)*1.1),6)</f>
        <v>6.0774999999999997</v>
      </c>
      <c r="DD362" t="s">
        <v>3</v>
      </c>
      <c r="DE362" t="s">
        <v>3</v>
      </c>
      <c r="DF362">
        <f t="shared" si="85"/>
        <v>0</v>
      </c>
      <c r="DG362">
        <f>ROUND(ROUND(AF362*AJ362,2)*CX362,2)</f>
        <v>717.05</v>
      </c>
      <c r="DH362">
        <f>ROUND(ROUND(AG362*AK362,2)*CX362,2)</f>
        <v>367.37</v>
      </c>
      <c r="DI362">
        <f t="shared" si="67"/>
        <v>0</v>
      </c>
      <c r="DJ362">
        <f>DG362</f>
        <v>717.05</v>
      </c>
      <c r="DK362">
        <v>0</v>
      </c>
      <c r="DL362" t="s">
        <v>489</v>
      </c>
      <c r="DM362">
        <v>0</v>
      </c>
      <c r="DN362" t="s">
        <v>484</v>
      </c>
      <c r="DO362">
        <v>12.62</v>
      </c>
    </row>
    <row r="363" spans="1:119" x14ac:dyDescent="0.2">
      <c r="A363">
        <f>ROW(Source!A293)</f>
        <v>293</v>
      </c>
      <c r="B363">
        <v>60255011</v>
      </c>
      <c r="C363">
        <v>60255644</v>
      </c>
      <c r="D363">
        <v>59069905</v>
      </c>
      <c r="E363">
        <v>1</v>
      </c>
      <c r="F363">
        <v>1</v>
      </c>
      <c r="G363">
        <v>1080</v>
      </c>
      <c r="H363">
        <v>2</v>
      </c>
      <c r="I363" t="s">
        <v>503</v>
      </c>
      <c r="J363" t="s">
        <v>504</v>
      </c>
      <c r="K363" t="s">
        <v>505</v>
      </c>
      <c r="L363">
        <v>1368</v>
      </c>
      <c r="N363">
        <v>1011</v>
      </c>
      <c r="O363" t="s">
        <v>488</v>
      </c>
      <c r="P363" t="s">
        <v>488</v>
      </c>
      <c r="Q363">
        <v>1</v>
      </c>
      <c r="W363">
        <v>0</v>
      </c>
      <c r="X363">
        <v>1087580389</v>
      </c>
      <c r="Y363">
        <f>((AT363*1.25)*1.1)</f>
        <v>9.6250000000000016E-2</v>
      </c>
      <c r="AA363">
        <v>0</v>
      </c>
      <c r="AB363">
        <v>2628.65</v>
      </c>
      <c r="AC363">
        <v>993.36</v>
      </c>
      <c r="AD363">
        <v>0</v>
      </c>
      <c r="AE363">
        <v>0</v>
      </c>
      <c r="AF363">
        <v>179.17</v>
      </c>
      <c r="AG363">
        <v>16.93</v>
      </c>
      <c r="AH363">
        <v>0</v>
      </c>
      <c r="AI363">
        <v>1</v>
      </c>
      <c r="AJ363">
        <v>13.75</v>
      </c>
      <c r="AK363">
        <v>54.99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7.0000000000000007E-2</v>
      </c>
      <c r="AU363" t="s">
        <v>496</v>
      </c>
      <c r="AV363">
        <v>0</v>
      </c>
      <c r="AW363">
        <v>2</v>
      </c>
      <c r="AX363">
        <v>60255940</v>
      </c>
      <c r="AY363">
        <v>1</v>
      </c>
      <c r="AZ363">
        <v>0</v>
      </c>
      <c r="BA363">
        <v>403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f>ROUND(Y363*Source!I293*DO363,9)</f>
        <v>1.79246375</v>
      </c>
      <c r="CX363">
        <f>ROUND(Y363*Source!I293,9)</f>
        <v>0.105875</v>
      </c>
      <c r="CY363">
        <f>AB363</f>
        <v>2628.65</v>
      </c>
      <c r="CZ363">
        <f>AF363</f>
        <v>179.17</v>
      </c>
      <c r="DA363">
        <f>AJ363</f>
        <v>13.75</v>
      </c>
      <c r="DB363">
        <f>ROUND(((ROUND(AT363*CZ363,2)*1.25)*1.1),6)</f>
        <v>17.2425</v>
      </c>
      <c r="DC363">
        <f>ROUND(((ROUND(AT363*AG363,2)*1.25)*1.1),6)</f>
        <v>1.63625</v>
      </c>
      <c r="DD363" t="s">
        <v>3</v>
      </c>
      <c r="DE363" t="s">
        <v>3</v>
      </c>
      <c r="DF363">
        <f t="shared" si="85"/>
        <v>0</v>
      </c>
      <c r="DG363">
        <f>ROUND(ROUND(AF363*AJ363,2)*CX363,2)</f>
        <v>260.83</v>
      </c>
      <c r="DH363">
        <f>ROUND(ROUND(AG363*AK363,2)*CX363,2)</f>
        <v>98.57</v>
      </c>
      <c r="DI363">
        <f t="shared" si="67"/>
        <v>0</v>
      </c>
      <c r="DJ363">
        <f>DG363</f>
        <v>260.83</v>
      </c>
      <c r="DK363">
        <v>0</v>
      </c>
      <c r="DL363" t="s">
        <v>489</v>
      </c>
      <c r="DM363">
        <v>0</v>
      </c>
      <c r="DN363" t="s">
        <v>484</v>
      </c>
      <c r="DO363">
        <v>16.93</v>
      </c>
    </row>
    <row r="364" spans="1:119" x14ac:dyDescent="0.2">
      <c r="A364">
        <f>ROW(Source!A293)</f>
        <v>293</v>
      </c>
      <c r="B364">
        <v>60255011</v>
      </c>
      <c r="C364">
        <v>60255644</v>
      </c>
      <c r="D364">
        <v>59038905</v>
      </c>
      <c r="E364">
        <v>1</v>
      </c>
      <c r="F364">
        <v>1</v>
      </c>
      <c r="G364">
        <v>1080</v>
      </c>
      <c r="H364">
        <v>3</v>
      </c>
      <c r="I364" t="s">
        <v>506</v>
      </c>
      <c r="J364" t="s">
        <v>507</v>
      </c>
      <c r="K364" t="s">
        <v>508</v>
      </c>
      <c r="L364">
        <v>1339</v>
      </c>
      <c r="N364">
        <v>1007</v>
      </c>
      <c r="O364" t="s">
        <v>509</v>
      </c>
      <c r="P364" t="s">
        <v>509</v>
      </c>
      <c r="Q364">
        <v>1</v>
      </c>
      <c r="W364">
        <v>0</v>
      </c>
      <c r="X364">
        <v>-744103292</v>
      </c>
      <c r="Y364">
        <f t="shared" ref="Y364:Y372" si="93">AT364</f>
        <v>0.17699999999999999</v>
      </c>
      <c r="AA364">
        <v>54.79</v>
      </c>
      <c r="AB364">
        <v>0</v>
      </c>
      <c r="AC364">
        <v>0</v>
      </c>
      <c r="AD364">
        <v>0</v>
      </c>
      <c r="AE364">
        <v>7.07</v>
      </c>
      <c r="AF364">
        <v>0</v>
      </c>
      <c r="AG364">
        <v>0</v>
      </c>
      <c r="AH364">
        <v>0</v>
      </c>
      <c r="AI364">
        <v>7.75</v>
      </c>
      <c r="AJ364">
        <v>1</v>
      </c>
      <c r="AK364">
        <v>1</v>
      </c>
      <c r="AL364">
        <v>1</v>
      </c>
      <c r="AM364">
        <v>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0.17699999999999999</v>
      </c>
      <c r="AU364" t="s">
        <v>3</v>
      </c>
      <c r="AV364">
        <v>0</v>
      </c>
      <c r="AW364">
        <v>2</v>
      </c>
      <c r="AX364">
        <v>60255941</v>
      </c>
      <c r="AY364">
        <v>1</v>
      </c>
      <c r="AZ364">
        <v>0</v>
      </c>
      <c r="BA364">
        <v>404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ROUND(Y364*Source!I293,9)</f>
        <v>0.19470000000000001</v>
      </c>
      <c r="CY364">
        <f t="shared" ref="CY364:CY372" si="94">AA364</f>
        <v>54.79</v>
      </c>
      <c r="CZ364">
        <f t="shared" ref="CZ364:CZ372" si="95">AE364</f>
        <v>7.07</v>
      </c>
      <c r="DA364">
        <f t="shared" ref="DA364:DA372" si="96">AI364</f>
        <v>7.75</v>
      </c>
      <c r="DB364">
        <f t="shared" ref="DB364:DB372" si="97">ROUND(ROUND(AT364*CZ364,2),6)</f>
        <v>1.25</v>
      </c>
      <c r="DC364">
        <f t="shared" ref="DC364:DC372" si="98">ROUND(ROUND(AT364*AG364,2),6)</f>
        <v>0</v>
      </c>
      <c r="DD364" t="s">
        <v>3</v>
      </c>
      <c r="DE364" t="s">
        <v>3</v>
      </c>
      <c r="DF364">
        <f t="shared" ref="DF364:DF372" si="99">ROUND(ROUND(AE364*AI364,2)*CX364,2)</f>
        <v>10.67</v>
      </c>
      <c r="DG364">
        <f t="shared" ref="DG364:DG386" si="100">ROUND(ROUND(AF364,2)*CX364,2)</f>
        <v>0</v>
      </c>
      <c r="DH364">
        <f t="shared" ref="DH364:DH386" si="101">ROUND(ROUND(AG364,2)*CX364,2)</f>
        <v>0</v>
      </c>
      <c r="DI364">
        <f t="shared" si="67"/>
        <v>0</v>
      </c>
      <c r="DJ364">
        <f t="shared" ref="DJ364:DJ372" si="102">DF364</f>
        <v>10.67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ROW(Source!A293)</f>
        <v>293</v>
      </c>
      <c r="B365">
        <v>60255011</v>
      </c>
      <c r="C365">
        <v>60255644</v>
      </c>
      <c r="D365">
        <v>59040044</v>
      </c>
      <c r="E365">
        <v>1</v>
      </c>
      <c r="F365">
        <v>1</v>
      </c>
      <c r="G365">
        <v>1080</v>
      </c>
      <c r="H365">
        <v>3</v>
      </c>
      <c r="I365" t="s">
        <v>559</v>
      </c>
      <c r="J365" t="s">
        <v>560</v>
      </c>
      <c r="K365" t="s">
        <v>561</v>
      </c>
      <c r="L365">
        <v>1346</v>
      </c>
      <c r="N365">
        <v>1009</v>
      </c>
      <c r="O365" t="s">
        <v>528</v>
      </c>
      <c r="P365" t="s">
        <v>528</v>
      </c>
      <c r="Q365">
        <v>1</v>
      </c>
      <c r="W365">
        <v>0</v>
      </c>
      <c r="X365">
        <v>-326142876</v>
      </c>
      <c r="Y365">
        <f t="shared" si="93"/>
        <v>0.17</v>
      </c>
      <c r="AA365">
        <v>126.84</v>
      </c>
      <c r="AB365">
        <v>0</v>
      </c>
      <c r="AC365">
        <v>0</v>
      </c>
      <c r="AD365">
        <v>0</v>
      </c>
      <c r="AE365">
        <v>21</v>
      </c>
      <c r="AF365">
        <v>0</v>
      </c>
      <c r="AG365">
        <v>0</v>
      </c>
      <c r="AH365">
        <v>0</v>
      </c>
      <c r="AI365">
        <v>6.04</v>
      </c>
      <c r="AJ365">
        <v>1</v>
      </c>
      <c r="AK365">
        <v>1</v>
      </c>
      <c r="AL365">
        <v>1</v>
      </c>
      <c r="AM365">
        <v>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0.17</v>
      </c>
      <c r="AU365" t="s">
        <v>3</v>
      </c>
      <c r="AV365">
        <v>0</v>
      </c>
      <c r="AW365">
        <v>2</v>
      </c>
      <c r="AX365">
        <v>60255942</v>
      </c>
      <c r="AY365">
        <v>1</v>
      </c>
      <c r="AZ365">
        <v>0</v>
      </c>
      <c r="BA365">
        <v>405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ROUND(Y365*Source!I293,9)</f>
        <v>0.187</v>
      </c>
      <c r="CY365">
        <f t="shared" si="94"/>
        <v>126.84</v>
      </c>
      <c r="CZ365">
        <f t="shared" si="95"/>
        <v>21</v>
      </c>
      <c r="DA365">
        <f t="shared" si="96"/>
        <v>6.04</v>
      </c>
      <c r="DB365">
        <f t="shared" si="97"/>
        <v>3.57</v>
      </c>
      <c r="DC365">
        <f t="shared" si="98"/>
        <v>0</v>
      </c>
      <c r="DD365" t="s">
        <v>3</v>
      </c>
      <c r="DE365" t="s">
        <v>3</v>
      </c>
      <c r="DF365">
        <f t="shared" si="99"/>
        <v>23.72</v>
      </c>
      <c r="DG365">
        <f t="shared" si="100"/>
        <v>0</v>
      </c>
      <c r="DH365">
        <f t="shared" si="101"/>
        <v>0</v>
      </c>
      <c r="DI365">
        <f t="shared" si="67"/>
        <v>0</v>
      </c>
      <c r="DJ365">
        <f t="shared" si="102"/>
        <v>23.72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ROW(Source!A293)</f>
        <v>293</v>
      </c>
      <c r="B366">
        <v>60255011</v>
      </c>
      <c r="C366">
        <v>60255644</v>
      </c>
      <c r="D366">
        <v>59040617</v>
      </c>
      <c r="E366">
        <v>1</v>
      </c>
      <c r="F366">
        <v>1</v>
      </c>
      <c r="G366">
        <v>1080</v>
      </c>
      <c r="H366">
        <v>3</v>
      </c>
      <c r="I366" t="s">
        <v>535</v>
      </c>
      <c r="J366" t="s">
        <v>536</v>
      </c>
      <c r="K366" t="s">
        <v>537</v>
      </c>
      <c r="L366">
        <v>1346</v>
      </c>
      <c r="N366">
        <v>1009</v>
      </c>
      <c r="O366" t="s">
        <v>528</v>
      </c>
      <c r="P366" t="s">
        <v>528</v>
      </c>
      <c r="Q366">
        <v>1</v>
      </c>
      <c r="W366">
        <v>0</v>
      </c>
      <c r="X366">
        <v>-1011812427</v>
      </c>
      <c r="Y366">
        <f t="shared" si="93"/>
        <v>0.06</v>
      </c>
      <c r="AA366">
        <v>272.7</v>
      </c>
      <c r="AB366">
        <v>0</v>
      </c>
      <c r="AC366">
        <v>0</v>
      </c>
      <c r="AD366">
        <v>0</v>
      </c>
      <c r="AE366">
        <v>37.979999999999997</v>
      </c>
      <c r="AF366">
        <v>0</v>
      </c>
      <c r="AG366">
        <v>0</v>
      </c>
      <c r="AH366">
        <v>0</v>
      </c>
      <c r="AI366">
        <v>7.18</v>
      </c>
      <c r="AJ366">
        <v>1</v>
      </c>
      <c r="AK366">
        <v>1</v>
      </c>
      <c r="AL366">
        <v>1</v>
      </c>
      <c r="AM366">
        <v>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0.06</v>
      </c>
      <c r="AU366" t="s">
        <v>3</v>
      </c>
      <c r="AV366">
        <v>0</v>
      </c>
      <c r="AW366">
        <v>2</v>
      </c>
      <c r="AX366">
        <v>60255943</v>
      </c>
      <c r="AY366">
        <v>1</v>
      </c>
      <c r="AZ366">
        <v>0</v>
      </c>
      <c r="BA366">
        <v>406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ROUND(Y366*Source!I293,9)</f>
        <v>6.6000000000000003E-2</v>
      </c>
      <c r="CY366">
        <f t="shared" si="94"/>
        <v>272.7</v>
      </c>
      <c r="CZ366">
        <f t="shared" si="95"/>
        <v>37.979999999999997</v>
      </c>
      <c r="DA366">
        <f t="shared" si="96"/>
        <v>7.18</v>
      </c>
      <c r="DB366">
        <f t="shared" si="97"/>
        <v>2.2799999999999998</v>
      </c>
      <c r="DC366">
        <f t="shared" si="98"/>
        <v>0</v>
      </c>
      <c r="DD366" t="s">
        <v>3</v>
      </c>
      <c r="DE366" t="s">
        <v>3</v>
      </c>
      <c r="DF366">
        <f t="shared" si="99"/>
        <v>18</v>
      </c>
      <c r="DG366">
        <f t="shared" si="100"/>
        <v>0</v>
      </c>
      <c r="DH366">
        <f t="shared" si="101"/>
        <v>0</v>
      </c>
      <c r="DI366">
        <f t="shared" si="67"/>
        <v>0</v>
      </c>
      <c r="DJ366">
        <f t="shared" si="102"/>
        <v>18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ROW(Source!A293)</f>
        <v>293</v>
      </c>
      <c r="B367">
        <v>60255011</v>
      </c>
      <c r="C367">
        <v>60255644</v>
      </c>
      <c r="D367">
        <v>59039024</v>
      </c>
      <c r="E367">
        <v>1</v>
      </c>
      <c r="F367">
        <v>1</v>
      </c>
      <c r="G367">
        <v>1080</v>
      </c>
      <c r="H367">
        <v>3</v>
      </c>
      <c r="I367" t="s">
        <v>562</v>
      </c>
      <c r="J367" t="s">
        <v>563</v>
      </c>
      <c r="K367" t="s">
        <v>564</v>
      </c>
      <c r="L367">
        <v>1348</v>
      </c>
      <c r="N367">
        <v>1009</v>
      </c>
      <c r="O367" t="s">
        <v>534</v>
      </c>
      <c r="P367" t="s">
        <v>534</v>
      </c>
      <c r="Q367">
        <v>1000</v>
      </c>
      <c r="W367">
        <v>0</v>
      </c>
      <c r="X367">
        <v>1469978170</v>
      </c>
      <c r="Y367">
        <f t="shared" si="93"/>
        <v>1.0000000000000001E-5</v>
      </c>
      <c r="AA367">
        <v>73915.41</v>
      </c>
      <c r="AB367">
        <v>0</v>
      </c>
      <c r="AC367">
        <v>0</v>
      </c>
      <c r="AD367">
        <v>0</v>
      </c>
      <c r="AE367">
        <v>3234.81</v>
      </c>
      <c r="AF367">
        <v>0</v>
      </c>
      <c r="AG367">
        <v>0</v>
      </c>
      <c r="AH367">
        <v>0</v>
      </c>
      <c r="AI367">
        <v>22.85</v>
      </c>
      <c r="AJ367">
        <v>1</v>
      </c>
      <c r="AK367">
        <v>1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1.0000000000000001E-5</v>
      </c>
      <c r="AU367" t="s">
        <v>3</v>
      </c>
      <c r="AV367">
        <v>0</v>
      </c>
      <c r="AW367">
        <v>2</v>
      </c>
      <c r="AX367">
        <v>60255944</v>
      </c>
      <c r="AY367">
        <v>1</v>
      </c>
      <c r="AZ367">
        <v>0</v>
      </c>
      <c r="BA367">
        <v>407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ROUND(Y367*Source!I293,9)</f>
        <v>1.1E-5</v>
      </c>
      <c r="CY367">
        <f t="shared" si="94"/>
        <v>73915.41</v>
      </c>
      <c r="CZ367">
        <f t="shared" si="95"/>
        <v>3234.81</v>
      </c>
      <c r="DA367">
        <f t="shared" si="96"/>
        <v>22.85</v>
      </c>
      <c r="DB367">
        <f t="shared" si="97"/>
        <v>0.03</v>
      </c>
      <c r="DC367">
        <f t="shared" si="98"/>
        <v>0</v>
      </c>
      <c r="DD367" t="s">
        <v>3</v>
      </c>
      <c r="DE367" t="s">
        <v>3</v>
      </c>
      <c r="DF367">
        <f t="shared" si="99"/>
        <v>0.81</v>
      </c>
      <c r="DG367">
        <f t="shared" si="100"/>
        <v>0</v>
      </c>
      <c r="DH367">
        <f t="shared" si="101"/>
        <v>0</v>
      </c>
      <c r="DI367">
        <f t="shared" si="67"/>
        <v>0</v>
      </c>
      <c r="DJ367">
        <f t="shared" si="102"/>
        <v>0.81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ROW(Source!A293)</f>
        <v>293</v>
      </c>
      <c r="B368">
        <v>60255011</v>
      </c>
      <c r="C368">
        <v>60255644</v>
      </c>
      <c r="D368">
        <v>59038837</v>
      </c>
      <c r="E368">
        <v>1</v>
      </c>
      <c r="F368">
        <v>1</v>
      </c>
      <c r="G368">
        <v>1080</v>
      </c>
      <c r="H368">
        <v>3</v>
      </c>
      <c r="I368" t="s">
        <v>565</v>
      </c>
      <c r="J368" t="s">
        <v>566</v>
      </c>
      <c r="K368" t="s">
        <v>567</v>
      </c>
      <c r="L368">
        <v>1339</v>
      </c>
      <c r="N368">
        <v>1007</v>
      </c>
      <c r="O368" t="s">
        <v>509</v>
      </c>
      <c r="P368" t="s">
        <v>509</v>
      </c>
      <c r="Q368">
        <v>1</v>
      </c>
      <c r="W368">
        <v>0</v>
      </c>
      <c r="X368">
        <v>1565098517</v>
      </c>
      <c r="Y368">
        <f t="shared" si="93"/>
        <v>0.11899999999999999</v>
      </c>
      <c r="AA368">
        <v>759.63</v>
      </c>
      <c r="AB368">
        <v>0</v>
      </c>
      <c r="AC368">
        <v>0</v>
      </c>
      <c r="AD368">
        <v>0</v>
      </c>
      <c r="AE368">
        <v>53.42</v>
      </c>
      <c r="AF368">
        <v>0</v>
      </c>
      <c r="AG368">
        <v>0</v>
      </c>
      <c r="AH368">
        <v>0</v>
      </c>
      <c r="AI368">
        <v>14.22</v>
      </c>
      <c r="AJ368">
        <v>1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0.11899999999999999</v>
      </c>
      <c r="AU368" t="s">
        <v>3</v>
      </c>
      <c r="AV368">
        <v>0</v>
      </c>
      <c r="AW368">
        <v>2</v>
      </c>
      <c r="AX368">
        <v>60255945</v>
      </c>
      <c r="AY368">
        <v>1</v>
      </c>
      <c r="AZ368">
        <v>0</v>
      </c>
      <c r="BA368">
        <v>408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ROUND(Y368*Source!I293,9)</f>
        <v>0.13089999999999999</v>
      </c>
      <c r="CY368">
        <f t="shared" si="94"/>
        <v>759.63</v>
      </c>
      <c r="CZ368">
        <f t="shared" si="95"/>
        <v>53.42</v>
      </c>
      <c r="DA368">
        <f t="shared" si="96"/>
        <v>14.22</v>
      </c>
      <c r="DB368">
        <f t="shared" si="97"/>
        <v>6.36</v>
      </c>
      <c r="DC368">
        <f t="shared" si="98"/>
        <v>0</v>
      </c>
      <c r="DD368" t="s">
        <v>3</v>
      </c>
      <c r="DE368" t="s">
        <v>3</v>
      </c>
      <c r="DF368">
        <f t="shared" si="99"/>
        <v>99.44</v>
      </c>
      <c r="DG368">
        <f t="shared" si="100"/>
        <v>0</v>
      </c>
      <c r="DH368">
        <f t="shared" si="101"/>
        <v>0</v>
      </c>
      <c r="DI368">
        <f t="shared" si="67"/>
        <v>0</v>
      </c>
      <c r="DJ368">
        <f t="shared" si="102"/>
        <v>99.44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ROW(Source!A293)</f>
        <v>293</v>
      </c>
      <c r="B369">
        <v>60255011</v>
      </c>
      <c r="C369">
        <v>60255644</v>
      </c>
      <c r="D369">
        <v>59039103</v>
      </c>
      <c r="E369">
        <v>1</v>
      </c>
      <c r="F369">
        <v>1</v>
      </c>
      <c r="G369">
        <v>1080</v>
      </c>
      <c r="H369">
        <v>3</v>
      </c>
      <c r="I369" t="s">
        <v>568</v>
      </c>
      <c r="J369" t="s">
        <v>569</v>
      </c>
      <c r="K369" t="s">
        <v>570</v>
      </c>
      <c r="L369">
        <v>1339</v>
      </c>
      <c r="N369">
        <v>1007</v>
      </c>
      <c r="O369" t="s">
        <v>509</v>
      </c>
      <c r="P369" t="s">
        <v>509</v>
      </c>
      <c r="Q369">
        <v>1</v>
      </c>
      <c r="W369">
        <v>0</v>
      </c>
      <c r="X369">
        <v>-388798825</v>
      </c>
      <c r="Y369">
        <f t="shared" si="93"/>
        <v>0.28100000000000003</v>
      </c>
      <c r="AA369">
        <v>94.23</v>
      </c>
      <c r="AB369">
        <v>0</v>
      </c>
      <c r="AC369">
        <v>0</v>
      </c>
      <c r="AD369">
        <v>0</v>
      </c>
      <c r="AE369">
        <v>5.82</v>
      </c>
      <c r="AF369">
        <v>0</v>
      </c>
      <c r="AG369">
        <v>0</v>
      </c>
      <c r="AH369">
        <v>0</v>
      </c>
      <c r="AI369">
        <v>16.190000000000001</v>
      </c>
      <c r="AJ369">
        <v>1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0.28100000000000003</v>
      </c>
      <c r="AU369" t="s">
        <v>3</v>
      </c>
      <c r="AV369">
        <v>0</v>
      </c>
      <c r="AW369">
        <v>2</v>
      </c>
      <c r="AX369">
        <v>60255946</v>
      </c>
      <c r="AY369">
        <v>1</v>
      </c>
      <c r="AZ369">
        <v>0</v>
      </c>
      <c r="BA369">
        <v>409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ROUND(Y369*Source!I293,9)</f>
        <v>0.30909999999999999</v>
      </c>
      <c r="CY369">
        <f t="shared" si="94"/>
        <v>94.23</v>
      </c>
      <c r="CZ369">
        <f t="shared" si="95"/>
        <v>5.82</v>
      </c>
      <c r="DA369">
        <f t="shared" si="96"/>
        <v>16.190000000000001</v>
      </c>
      <c r="DB369">
        <f t="shared" si="97"/>
        <v>1.64</v>
      </c>
      <c r="DC369">
        <f t="shared" si="98"/>
        <v>0</v>
      </c>
      <c r="DD369" t="s">
        <v>3</v>
      </c>
      <c r="DE369" t="s">
        <v>3</v>
      </c>
      <c r="DF369">
        <f t="shared" si="99"/>
        <v>29.13</v>
      </c>
      <c r="DG369">
        <f t="shared" si="100"/>
        <v>0</v>
      </c>
      <c r="DH369">
        <f t="shared" si="101"/>
        <v>0</v>
      </c>
      <c r="DI369">
        <f t="shared" si="67"/>
        <v>0</v>
      </c>
      <c r="DJ369">
        <f t="shared" si="102"/>
        <v>29.13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ROW(Source!A293)</f>
        <v>293</v>
      </c>
      <c r="B370">
        <v>60255011</v>
      </c>
      <c r="C370">
        <v>60255644</v>
      </c>
      <c r="D370">
        <v>59039175</v>
      </c>
      <c r="E370">
        <v>1</v>
      </c>
      <c r="F370">
        <v>1</v>
      </c>
      <c r="G370">
        <v>1080</v>
      </c>
      <c r="H370">
        <v>3</v>
      </c>
      <c r="I370" t="s">
        <v>538</v>
      </c>
      <c r="J370" t="s">
        <v>539</v>
      </c>
      <c r="K370" t="s">
        <v>540</v>
      </c>
      <c r="L370">
        <v>1348</v>
      </c>
      <c r="N370">
        <v>1009</v>
      </c>
      <c r="O370" t="s">
        <v>534</v>
      </c>
      <c r="P370" t="s">
        <v>534</v>
      </c>
      <c r="Q370">
        <v>1000</v>
      </c>
      <c r="W370">
        <v>0</v>
      </c>
      <c r="X370">
        <v>356473523</v>
      </c>
      <c r="Y370">
        <f t="shared" si="93"/>
        <v>4.4000000000000002E-4</v>
      </c>
      <c r="AA370">
        <v>55779.05</v>
      </c>
      <c r="AB370">
        <v>0</v>
      </c>
      <c r="AC370">
        <v>0</v>
      </c>
      <c r="AD370">
        <v>0</v>
      </c>
      <c r="AE370">
        <v>16214.84</v>
      </c>
      <c r="AF370">
        <v>0</v>
      </c>
      <c r="AG370">
        <v>0</v>
      </c>
      <c r="AH370">
        <v>0</v>
      </c>
      <c r="AI370">
        <v>3.44</v>
      </c>
      <c r="AJ370">
        <v>1</v>
      </c>
      <c r="AK370">
        <v>1</v>
      </c>
      <c r="AL370">
        <v>1</v>
      </c>
      <c r="AM370">
        <v>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4.4000000000000002E-4</v>
      </c>
      <c r="AU370" t="s">
        <v>3</v>
      </c>
      <c r="AV370">
        <v>0</v>
      </c>
      <c r="AW370">
        <v>2</v>
      </c>
      <c r="AX370">
        <v>60255947</v>
      </c>
      <c r="AY370">
        <v>1</v>
      </c>
      <c r="AZ370">
        <v>0</v>
      </c>
      <c r="BA370">
        <v>410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ROUND(Y370*Source!I293,9)</f>
        <v>4.84E-4</v>
      </c>
      <c r="CY370">
        <f t="shared" si="94"/>
        <v>55779.05</v>
      </c>
      <c r="CZ370">
        <f t="shared" si="95"/>
        <v>16214.84</v>
      </c>
      <c r="DA370">
        <f t="shared" si="96"/>
        <v>3.44</v>
      </c>
      <c r="DB370">
        <f t="shared" si="97"/>
        <v>7.13</v>
      </c>
      <c r="DC370">
        <f t="shared" si="98"/>
        <v>0</v>
      </c>
      <c r="DD370" t="s">
        <v>3</v>
      </c>
      <c r="DE370" t="s">
        <v>3</v>
      </c>
      <c r="DF370">
        <f t="shared" si="99"/>
        <v>27</v>
      </c>
      <c r="DG370">
        <f t="shared" si="100"/>
        <v>0</v>
      </c>
      <c r="DH370">
        <f t="shared" si="101"/>
        <v>0</v>
      </c>
      <c r="DI370">
        <f t="shared" si="67"/>
        <v>0</v>
      </c>
      <c r="DJ370">
        <f t="shared" si="102"/>
        <v>27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ROW(Source!A293)</f>
        <v>293</v>
      </c>
      <c r="B371">
        <v>60255011</v>
      </c>
      <c r="C371">
        <v>60255644</v>
      </c>
      <c r="D371">
        <v>59039344</v>
      </c>
      <c r="E371">
        <v>1</v>
      </c>
      <c r="F371">
        <v>1</v>
      </c>
      <c r="G371">
        <v>1080</v>
      </c>
      <c r="H371">
        <v>3</v>
      </c>
      <c r="I371" t="s">
        <v>541</v>
      </c>
      <c r="J371" t="s">
        <v>542</v>
      </c>
      <c r="K371" t="s">
        <v>543</v>
      </c>
      <c r="L371">
        <v>1346</v>
      </c>
      <c r="N371">
        <v>1009</v>
      </c>
      <c r="O371" t="s">
        <v>528</v>
      </c>
      <c r="P371" t="s">
        <v>528</v>
      </c>
      <c r="Q371">
        <v>1</v>
      </c>
      <c r="W371">
        <v>0</v>
      </c>
      <c r="X371">
        <v>1135396300</v>
      </c>
      <c r="Y371">
        <f t="shared" si="93"/>
        <v>0.53</v>
      </c>
      <c r="AA371">
        <v>85.4</v>
      </c>
      <c r="AB371">
        <v>0</v>
      </c>
      <c r="AC371">
        <v>0</v>
      </c>
      <c r="AD371">
        <v>0</v>
      </c>
      <c r="AE371">
        <v>20.190000000000001</v>
      </c>
      <c r="AF371">
        <v>0</v>
      </c>
      <c r="AG371">
        <v>0</v>
      </c>
      <c r="AH371">
        <v>0</v>
      </c>
      <c r="AI371">
        <v>4.2300000000000004</v>
      </c>
      <c r="AJ371">
        <v>1</v>
      </c>
      <c r="AK371">
        <v>1</v>
      </c>
      <c r="AL371">
        <v>1</v>
      </c>
      <c r="AM371">
        <v>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0.53</v>
      </c>
      <c r="AU371" t="s">
        <v>3</v>
      </c>
      <c r="AV371">
        <v>0</v>
      </c>
      <c r="AW371">
        <v>2</v>
      </c>
      <c r="AX371">
        <v>60255948</v>
      </c>
      <c r="AY371">
        <v>1</v>
      </c>
      <c r="AZ371">
        <v>0</v>
      </c>
      <c r="BA371">
        <v>411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ROUND(Y371*Source!I293,9)</f>
        <v>0.58299999999999996</v>
      </c>
      <c r="CY371">
        <f t="shared" si="94"/>
        <v>85.4</v>
      </c>
      <c r="CZ371">
        <f t="shared" si="95"/>
        <v>20.190000000000001</v>
      </c>
      <c r="DA371">
        <f t="shared" si="96"/>
        <v>4.2300000000000004</v>
      </c>
      <c r="DB371">
        <f t="shared" si="97"/>
        <v>10.7</v>
      </c>
      <c r="DC371">
        <f t="shared" si="98"/>
        <v>0</v>
      </c>
      <c r="DD371" t="s">
        <v>3</v>
      </c>
      <c r="DE371" t="s">
        <v>3</v>
      </c>
      <c r="DF371">
        <f t="shared" si="99"/>
        <v>49.79</v>
      </c>
      <c r="DG371">
        <f t="shared" si="100"/>
        <v>0</v>
      </c>
      <c r="DH371">
        <f t="shared" si="101"/>
        <v>0</v>
      </c>
      <c r="DI371">
        <f t="shared" si="67"/>
        <v>0</v>
      </c>
      <c r="DJ371">
        <f t="shared" si="102"/>
        <v>49.79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ROW(Source!A293)</f>
        <v>293</v>
      </c>
      <c r="B372">
        <v>60255011</v>
      </c>
      <c r="C372">
        <v>60255644</v>
      </c>
      <c r="D372">
        <v>59051858</v>
      </c>
      <c r="E372">
        <v>1</v>
      </c>
      <c r="F372">
        <v>1</v>
      </c>
      <c r="G372">
        <v>1080</v>
      </c>
      <c r="H372">
        <v>3</v>
      </c>
      <c r="I372" t="s">
        <v>391</v>
      </c>
      <c r="J372" t="s">
        <v>393</v>
      </c>
      <c r="K372" t="s">
        <v>392</v>
      </c>
      <c r="L372">
        <v>1301</v>
      </c>
      <c r="N372">
        <v>1003</v>
      </c>
      <c r="O372" t="s">
        <v>376</v>
      </c>
      <c r="P372" t="s">
        <v>376</v>
      </c>
      <c r="Q372">
        <v>1</v>
      </c>
      <c r="W372">
        <v>0</v>
      </c>
      <c r="X372">
        <v>-1819578337</v>
      </c>
      <c r="Y372">
        <f t="shared" si="93"/>
        <v>100</v>
      </c>
      <c r="AA372">
        <v>459.13</v>
      </c>
      <c r="AB372">
        <v>0</v>
      </c>
      <c r="AC372">
        <v>0</v>
      </c>
      <c r="AD372">
        <v>0</v>
      </c>
      <c r="AE372">
        <v>31.73</v>
      </c>
      <c r="AF372">
        <v>0</v>
      </c>
      <c r="AG372">
        <v>0</v>
      </c>
      <c r="AH372">
        <v>0</v>
      </c>
      <c r="AI372">
        <v>14.47</v>
      </c>
      <c r="AJ372">
        <v>1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 t="s">
        <v>3</v>
      </c>
      <c r="AT372">
        <v>100</v>
      </c>
      <c r="AU372" t="s">
        <v>3</v>
      </c>
      <c r="AV372">
        <v>0</v>
      </c>
      <c r="AW372">
        <v>1</v>
      </c>
      <c r="AX372">
        <v>-1</v>
      </c>
      <c r="AY372">
        <v>0</v>
      </c>
      <c r="AZ372">
        <v>0</v>
      </c>
      <c r="BA372" t="s">
        <v>3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ROUND(Y372*Source!I293,9)</f>
        <v>110</v>
      </c>
      <c r="CY372">
        <f t="shared" si="94"/>
        <v>459.13</v>
      </c>
      <c r="CZ372">
        <f t="shared" si="95"/>
        <v>31.73</v>
      </c>
      <c r="DA372">
        <f t="shared" si="96"/>
        <v>14.47</v>
      </c>
      <c r="DB372">
        <f t="shared" si="97"/>
        <v>3173</v>
      </c>
      <c r="DC372">
        <f t="shared" si="98"/>
        <v>0</v>
      </c>
      <c r="DD372" t="s">
        <v>3</v>
      </c>
      <c r="DE372" t="s">
        <v>3</v>
      </c>
      <c r="DF372">
        <f t="shared" si="99"/>
        <v>50504.3</v>
      </c>
      <c r="DG372">
        <f t="shared" si="100"/>
        <v>0</v>
      </c>
      <c r="DH372">
        <f t="shared" si="101"/>
        <v>0</v>
      </c>
      <c r="DI372">
        <f t="shared" si="67"/>
        <v>0</v>
      </c>
      <c r="DJ372">
        <f t="shared" si="102"/>
        <v>50504.3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ROW(Source!A296)</f>
        <v>296</v>
      </c>
      <c r="B373">
        <v>60255014</v>
      </c>
      <c r="C373">
        <v>60255674</v>
      </c>
      <c r="D373">
        <v>58999254</v>
      </c>
      <c r="E373">
        <v>1080</v>
      </c>
      <c r="F373">
        <v>1</v>
      </c>
      <c r="G373">
        <v>1080</v>
      </c>
      <c r="H373">
        <v>1</v>
      </c>
      <c r="I373" t="s">
        <v>482</v>
      </c>
      <c r="J373" t="s">
        <v>3</v>
      </c>
      <c r="K373" t="s">
        <v>483</v>
      </c>
      <c r="L373">
        <v>1191</v>
      </c>
      <c r="N373">
        <v>1013</v>
      </c>
      <c r="O373" t="s">
        <v>484</v>
      </c>
      <c r="P373" t="s">
        <v>484</v>
      </c>
      <c r="Q373">
        <v>1</v>
      </c>
      <c r="W373">
        <v>0</v>
      </c>
      <c r="X373">
        <v>476480486</v>
      </c>
      <c r="Y373">
        <f>((AT373*1.15)*1.1)</f>
        <v>37.570499999999996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29.7</v>
      </c>
      <c r="AU373" t="s">
        <v>99</v>
      </c>
      <c r="AV373">
        <v>1</v>
      </c>
      <c r="AW373">
        <v>2</v>
      </c>
      <c r="AX373">
        <v>60255952</v>
      </c>
      <c r="AY373">
        <v>1</v>
      </c>
      <c r="AZ373">
        <v>0</v>
      </c>
      <c r="BA373">
        <v>415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U373">
        <f>ROUND(AT373*Source!I296*AH373*AL373,2)</f>
        <v>0</v>
      </c>
      <c r="CV373">
        <f>ROUND(Y373*Source!I296,9)</f>
        <v>75.141000000000005</v>
      </c>
      <c r="CW373">
        <v>0</v>
      </c>
      <c r="CX373">
        <f>ROUND(Y373*Source!I296,9)</f>
        <v>75.141000000000005</v>
      </c>
      <c r="CY373">
        <f>AD373</f>
        <v>0</v>
      </c>
      <c r="CZ373">
        <f>AH373</f>
        <v>0</v>
      </c>
      <c r="DA373">
        <f>AL373</f>
        <v>1</v>
      </c>
      <c r="DB373">
        <f>ROUND(((ROUND(AT373*CZ373,2)*1.15)*1.1),6)</f>
        <v>0</v>
      </c>
      <c r="DC373">
        <f>ROUND(((ROUND(AT373*AG373,2)*1.15)*1.1),6)</f>
        <v>0</v>
      </c>
      <c r="DD373" t="s">
        <v>3</v>
      </c>
      <c r="DE373" t="s">
        <v>3</v>
      </c>
      <c r="DF373">
        <f t="shared" ref="DF373:DF389" si="103">ROUND(ROUND(AE373,2)*CX373,2)</f>
        <v>0</v>
      </c>
      <c r="DG373">
        <f t="shared" si="100"/>
        <v>0</v>
      </c>
      <c r="DH373">
        <f t="shared" si="101"/>
        <v>0</v>
      </c>
      <c r="DI373">
        <f t="shared" si="67"/>
        <v>0</v>
      </c>
      <c r="DJ373">
        <f>DI373</f>
        <v>0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ROW(Source!A296)</f>
        <v>296</v>
      </c>
      <c r="B374">
        <v>60255014</v>
      </c>
      <c r="C374">
        <v>60255674</v>
      </c>
      <c r="D374">
        <v>59070372</v>
      </c>
      <c r="E374">
        <v>1</v>
      </c>
      <c r="F374">
        <v>1</v>
      </c>
      <c r="G374">
        <v>1080</v>
      </c>
      <c r="H374">
        <v>2</v>
      </c>
      <c r="I374" t="s">
        <v>556</v>
      </c>
      <c r="J374" t="s">
        <v>557</v>
      </c>
      <c r="K374" t="s">
        <v>558</v>
      </c>
      <c r="L374">
        <v>1368</v>
      </c>
      <c r="N374">
        <v>1011</v>
      </c>
      <c r="O374" t="s">
        <v>488</v>
      </c>
      <c r="P374" t="s">
        <v>488</v>
      </c>
      <c r="Q374">
        <v>1</v>
      </c>
      <c r="W374">
        <v>0</v>
      </c>
      <c r="X374">
        <v>549242131</v>
      </c>
      <c r="Y374">
        <f>((AT374*1.25)*1.1)</f>
        <v>1.58125</v>
      </c>
      <c r="AA374">
        <v>0</v>
      </c>
      <c r="AB374">
        <v>0.3</v>
      </c>
      <c r="AC374">
        <v>0</v>
      </c>
      <c r="AD374">
        <v>0</v>
      </c>
      <c r="AE374">
        <v>0</v>
      </c>
      <c r="AF374">
        <v>0.28000000000000003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1.1499999999999999</v>
      </c>
      <c r="AU374" t="s">
        <v>496</v>
      </c>
      <c r="AV374">
        <v>0</v>
      </c>
      <c r="AW374">
        <v>2</v>
      </c>
      <c r="AX374">
        <v>60255953</v>
      </c>
      <c r="AY374">
        <v>1</v>
      </c>
      <c r="AZ374">
        <v>0</v>
      </c>
      <c r="BA374">
        <v>416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f>ROUND(Y374*Source!I296*DO374,9)</f>
        <v>0</v>
      </c>
      <c r="CX374">
        <f>ROUND(Y374*Source!I296,9)</f>
        <v>3.1625000000000001</v>
      </c>
      <c r="CY374">
        <f>AB374</f>
        <v>0.3</v>
      </c>
      <c r="CZ374">
        <f>AF374</f>
        <v>0.28000000000000003</v>
      </c>
      <c r="DA374">
        <f>AJ374</f>
        <v>1</v>
      </c>
      <c r="DB374">
        <f>ROUND(((ROUND(AT374*CZ374,2)*1.25)*1.1),6)</f>
        <v>0.44</v>
      </c>
      <c r="DC374">
        <f>ROUND(((ROUND(AT374*AG374,2)*1.25)*1.1),6)</f>
        <v>0</v>
      </c>
      <c r="DD374" t="s">
        <v>3</v>
      </c>
      <c r="DE374" t="s">
        <v>3</v>
      </c>
      <c r="DF374">
        <f t="shared" si="103"/>
        <v>0</v>
      </c>
      <c r="DG374">
        <f t="shared" si="100"/>
        <v>0.89</v>
      </c>
      <c r="DH374">
        <f t="shared" si="101"/>
        <v>0</v>
      </c>
      <c r="DI374">
        <f t="shared" si="67"/>
        <v>0</v>
      </c>
      <c r="DJ374">
        <f>DG374</f>
        <v>0.89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ROW(Source!A296)</f>
        <v>296</v>
      </c>
      <c r="B375">
        <v>60255014</v>
      </c>
      <c r="C375">
        <v>60255674</v>
      </c>
      <c r="D375">
        <v>59070669</v>
      </c>
      <c r="E375">
        <v>1</v>
      </c>
      <c r="F375">
        <v>1</v>
      </c>
      <c r="G375">
        <v>1080</v>
      </c>
      <c r="H375">
        <v>2</v>
      </c>
      <c r="I375" t="s">
        <v>485</v>
      </c>
      <c r="J375" t="s">
        <v>486</v>
      </c>
      <c r="K375" t="s">
        <v>487</v>
      </c>
      <c r="L375">
        <v>1368</v>
      </c>
      <c r="N375">
        <v>1011</v>
      </c>
      <c r="O375" t="s">
        <v>488</v>
      </c>
      <c r="P375" t="s">
        <v>488</v>
      </c>
      <c r="Q375">
        <v>1</v>
      </c>
      <c r="W375">
        <v>0</v>
      </c>
      <c r="X375">
        <v>-1985943078</v>
      </c>
      <c r="Y375">
        <f>((AT375*1.25)*1.1)</f>
        <v>0.48125000000000007</v>
      </c>
      <c r="AA375">
        <v>0</v>
      </c>
      <c r="AB375">
        <v>88.67</v>
      </c>
      <c r="AC375">
        <v>13.47</v>
      </c>
      <c r="AD375">
        <v>0</v>
      </c>
      <c r="AE375">
        <v>0</v>
      </c>
      <c r="AF375">
        <v>83.1</v>
      </c>
      <c r="AG375">
        <v>12.62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-2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0.35</v>
      </c>
      <c r="AU375" t="s">
        <v>496</v>
      </c>
      <c r="AV375">
        <v>0</v>
      </c>
      <c r="AW375">
        <v>2</v>
      </c>
      <c r="AX375">
        <v>60255954</v>
      </c>
      <c r="AY375">
        <v>1</v>
      </c>
      <c r="AZ375">
        <v>0</v>
      </c>
      <c r="BA375">
        <v>417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f>ROUND(Y375*Source!I296*DO375,9)</f>
        <v>12.146750000000001</v>
      </c>
      <c r="CX375">
        <f>ROUND(Y375*Source!I296,9)</f>
        <v>0.96250000000000002</v>
      </c>
      <c r="CY375">
        <f>AB375</f>
        <v>88.67</v>
      </c>
      <c r="CZ375">
        <f>AF375</f>
        <v>83.1</v>
      </c>
      <c r="DA375">
        <f>AJ375</f>
        <v>1</v>
      </c>
      <c r="DB375">
        <f>ROUND(((ROUND(AT375*CZ375,2)*1.25)*1.1),6)</f>
        <v>39.998750000000001</v>
      </c>
      <c r="DC375">
        <f>ROUND(((ROUND(AT375*AG375,2)*1.25)*1.1),6)</f>
        <v>6.0774999999999997</v>
      </c>
      <c r="DD375" t="s">
        <v>3</v>
      </c>
      <c r="DE375" t="s">
        <v>3</v>
      </c>
      <c r="DF375">
        <f t="shared" si="103"/>
        <v>0</v>
      </c>
      <c r="DG375">
        <f t="shared" si="100"/>
        <v>79.98</v>
      </c>
      <c r="DH375">
        <f t="shared" si="101"/>
        <v>12.15</v>
      </c>
      <c r="DI375">
        <f t="shared" si="67"/>
        <v>0</v>
      </c>
      <c r="DJ375">
        <f>DG375</f>
        <v>79.98</v>
      </c>
      <c r="DK375">
        <v>0</v>
      </c>
      <c r="DL375" t="s">
        <v>489</v>
      </c>
      <c r="DM375">
        <v>0</v>
      </c>
      <c r="DN375" t="s">
        <v>484</v>
      </c>
      <c r="DO375">
        <v>12.62</v>
      </c>
    </row>
    <row r="376" spans="1:119" x14ac:dyDescent="0.2">
      <c r="A376">
        <f>ROW(Source!A296)</f>
        <v>296</v>
      </c>
      <c r="B376">
        <v>60255014</v>
      </c>
      <c r="C376">
        <v>60255674</v>
      </c>
      <c r="D376">
        <v>59069905</v>
      </c>
      <c r="E376">
        <v>1</v>
      </c>
      <c r="F376">
        <v>1</v>
      </c>
      <c r="G376">
        <v>1080</v>
      </c>
      <c r="H376">
        <v>2</v>
      </c>
      <c r="I376" t="s">
        <v>503</v>
      </c>
      <c r="J376" t="s">
        <v>504</v>
      </c>
      <c r="K376" t="s">
        <v>505</v>
      </c>
      <c r="L376">
        <v>1368</v>
      </c>
      <c r="N376">
        <v>1011</v>
      </c>
      <c r="O376" t="s">
        <v>488</v>
      </c>
      <c r="P376" t="s">
        <v>488</v>
      </c>
      <c r="Q376">
        <v>1</v>
      </c>
      <c r="W376">
        <v>0</v>
      </c>
      <c r="X376">
        <v>1087580389</v>
      </c>
      <c r="Y376">
        <f>((AT376*1.25)*1.1)</f>
        <v>9.6250000000000016E-2</v>
      </c>
      <c r="AA376">
        <v>0</v>
      </c>
      <c r="AB376">
        <v>191.17</v>
      </c>
      <c r="AC376">
        <v>18.059999999999999</v>
      </c>
      <c r="AD376">
        <v>0</v>
      </c>
      <c r="AE376">
        <v>0</v>
      </c>
      <c r="AF376">
        <v>179.17</v>
      </c>
      <c r="AG376">
        <v>16.93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7.0000000000000007E-2</v>
      </c>
      <c r="AU376" t="s">
        <v>496</v>
      </c>
      <c r="AV376">
        <v>0</v>
      </c>
      <c r="AW376">
        <v>2</v>
      </c>
      <c r="AX376">
        <v>60255955</v>
      </c>
      <c r="AY376">
        <v>1</v>
      </c>
      <c r="AZ376">
        <v>0</v>
      </c>
      <c r="BA376">
        <v>418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f>ROUND(Y376*Source!I296*DO376,9)</f>
        <v>3.2590249999999998</v>
      </c>
      <c r="CX376">
        <f>ROUND(Y376*Source!I296,9)</f>
        <v>0.1925</v>
      </c>
      <c r="CY376">
        <f>AB376</f>
        <v>191.17</v>
      </c>
      <c r="CZ376">
        <f>AF376</f>
        <v>179.17</v>
      </c>
      <c r="DA376">
        <f>AJ376</f>
        <v>1</v>
      </c>
      <c r="DB376">
        <f>ROUND(((ROUND(AT376*CZ376,2)*1.25)*1.1),6)</f>
        <v>17.2425</v>
      </c>
      <c r="DC376">
        <f>ROUND(((ROUND(AT376*AG376,2)*1.25)*1.1),6)</f>
        <v>1.63625</v>
      </c>
      <c r="DD376" t="s">
        <v>3</v>
      </c>
      <c r="DE376" t="s">
        <v>3</v>
      </c>
      <c r="DF376">
        <f t="shared" si="103"/>
        <v>0</v>
      </c>
      <c r="DG376">
        <f t="shared" si="100"/>
        <v>34.49</v>
      </c>
      <c r="DH376">
        <f t="shared" si="101"/>
        <v>3.26</v>
      </c>
      <c r="DI376">
        <f t="shared" si="67"/>
        <v>0</v>
      </c>
      <c r="DJ376">
        <f>DG376</f>
        <v>34.49</v>
      </c>
      <c r="DK376">
        <v>0</v>
      </c>
      <c r="DL376" t="s">
        <v>489</v>
      </c>
      <c r="DM376">
        <v>0</v>
      </c>
      <c r="DN376" t="s">
        <v>484</v>
      </c>
      <c r="DO376">
        <v>16.93</v>
      </c>
    </row>
    <row r="377" spans="1:119" x14ac:dyDescent="0.2">
      <c r="A377">
        <f>ROW(Source!A296)</f>
        <v>296</v>
      </c>
      <c r="B377">
        <v>60255014</v>
      </c>
      <c r="C377">
        <v>60255674</v>
      </c>
      <c r="D377">
        <v>59038905</v>
      </c>
      <c r="E377">
        <v>1</v>
      </c>
      <c r="F377">
        <v>1</v>
      </c>
      <c r="G377">
        <v>1080</v>
      </c>
      <c r="H377">
        <v>3</v>
      </c>
      <c r="I377" t="s">
        <v>506</v>
      </c>
      <c r="J377" t="s">
        <v>507</v>
      </c>
      <c r="K377" t="s">
        <v>508</v>
      </c>
      <c r="L377">
        <v>1339</v>
      </c>
      <c r="N377">
        <v>1007</v>
      </c>
      <c r="O377" t="s">
        <v>509</v>
      </c>
      <c r="P377" t="s">
        <v>509</v>
      </c>
      <c r="Q377">
        <v>1</v>
      </c>
      <c r="W377">
        <v>0</v>
      </c>
      <c r="X377">
        <v>-744103292</v>
      </c>
      <c r="Y377">
        <f t="shared" ref="Y377:Y385" si="104">AT377</f>
        <v>0.28799999999999998</v>
      </c>
      <c r="AA377">
        <v>7.07</v>
      </c>
      <c r="AB377">
        <v>0</v>
      </c>
      <c r="AC377">
        <v>0</v>
      </c>
      <c r="AD377">
        <v>0</v>
      </c>
      <c r="AE377">
        <v>7.07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0.28799999999999998</v>
      </c>
      <c r="AU377" t="s">
        <v>3</v>
      </c>
      <c r="AV377">
        <v>0</v>
      </c>
      <c r="AW377">
        <v>2</v>
      </c>
      <c r="AX377">
        <v>60255956</v>
      </c>
      <c r="AY377">
        <v>1</v>
      </c>
      <c r="AZ377">
        <v>0</v>
      </c>
      <c r="BA377">
        <v>419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ROUND(Y377*Source!I296,9)</f>
        <v>0.57599999999999996</v>
      </c>
      <c r="CY377">
        <f t="shared" ref="CY377:CY385" si="105">AA377</f>
        <v>7.07</v>
      </c>
      <c r="CZ377">
        <f t="shared" ref="CZ377:CZ385" si="106">AE377</f>
        <v>7.07</v>
      </c>
      <c r="DA377">
        <f t="shared" ref="DA377:DA385" si="107">AI377</f>
        <v>1</v>
      </c>
      <c r="DB377">
        <f t="shared" ref="DB377:DB385" si="108">ROUND(ROUND(AT377*CZ377,2),6)</f>
        <v>2.04</v>
      </c>
      <c r="DC377">
        <f t="shared" ref="DC377:DC385" si="109">ROUND(ROUND(AT377*AG377,2),6)</f>
        <v>0</v>
      </c>
      <c r="DD377" t="s">
        <v>3</v>
      </c>
      <c r="DE377" t="s">
        <v>3</v>
      </c>
      <c r="DF377">
        <f t="shared" si="103"/>
        <v>4.07</v>
      </c>
      <c r="DG377">
        <f t="shared" si="100"/>
        <v>0</v>
      </c>
      <c r="DH377">
        <f t="shared" si="101"/>
        <v>0</v>
      </c>
      <c r="DI377">
        <f t="shared" si="67"/>
        <v>0</v>
      </c>
      <c r="DJ377">
        <f t="shared" ref="DJ377:DJ385" si="110">DF377</f>
        <v>4.07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ROW(Source!A296)</f>
        <v>296</v>
      </c>
      <c r="B378">
        <v>60255014</v>
      </c>
      <c r="C378">
        <v>60255674</v>
      </c>
      <c r="D378">
        <v>59040044</v>
      </c>
      <c r="E378">
        <v>1</v>
      </c>
      <c r="F378">
        <v>1</v>
      </c>
      <c r="G378">
        <v>1080</v>
      </c>
      <c r="H378">
        <v>3</v>
      </c>
      <c r="I378" t="s">
        <v>559</v>
      </c>
      <c r="J378" t="s">
        <v>560</v>
      </c>
      <c r="K378" t="s">
        <v>561</v>
      </c>
      <c r="L378">
        <v>1346</v>
      </c>
      <c r="N378">
        <v>1009</v>
      </c>
      <c r="O378" t="s">
        <v>528</v>
      </c>
      <c r="P378" t="s">
        <v>528</v>
      </c>
      <c r="Q378">
        <v>1</v>
      </c>
      <c r="W378">
        <v>0</v>
      </c>
      <c r="X378">
        <v>-326142876</v>
      </c>
      <c r="Y378">
        <f t="shared" si="104"/>
        <v>0.17</v>
      </c>
      <c r="AA378">
        <v>21</v>
      </c>
      <c r="AB378">
        <v>0</v>
      </c>
      <c r="AC378">
        <v>0</v>
      </c>
      <c r="AD378">
        <v>0</v>
      </c>
      <c r="AE378">
        <v>21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0.17</v>
      </c>
      <c r="AU378" t="s">
        <v>3</v>
      </c>
      <c r="AV378">
        <v>0</v>
      </c>
      <c r="AW378">
        <v>2</v>
      </c>
      <c r="AX378">
        <v>60255957</v>
      </c>
      <c r="AY378">
        <v>1</v>
      </c>
      <c r="AZ378">
        <v>0</v>
      </c>
      <c r="BA378">
        <v>420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ROUND(Y378*Source!I296,9)</f>
        <v>0.34</v>
      </c>
      <c r="CY378">
        <f t="shared" si="105"/>
        <v>21</v>
      </c>
      <c r="CZ378">
        <f t="shared" si="106"/>
        <v>21</v>
      </c>
      <c r="DA378">
        <f t="shared" si="107"/>
        <v>1</v>
      </c>
      <c r="DB378">
        <f t="shared" si="108"/>
        <v>3.57</v>
      </c>
      <c r="DC378">
        <f t="shared" si="109"/>
        <v>0</v>
      </c>
      <c r="DD378" t="s">
        <v>3</v>
      </c>
      <c r="DE378" t="s">
        <v>3</v>
      </c>
      <c r="DF378">
        <f t="shared" si="103"/>
        <v>7.14</v>
      </c>
      <c r="DG378">
        <f t="shared" si="100"/>
        <v>0</v>
      </c>
      <c r="DH378">
        <f t="shared" si="101"/>
        <v>0</v>
      </c>
      <c r="DI378">
        <f t="shared" si="67"/>
        <v>0</v>
      </c>
      <c r="DJ378">
        <f t="shared" si="110"/>
        <v>7.14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ROW(Source!A296)</f>
        <v>296</v>
      </c>
      <c r="B379">
        <v>60255014</v>
      </c>
      <c r="C379">
        <v>60255674</v>
      </c>
      <c r="D379">
        <v>59040617</v>
      </c>
      <c r="E379">
        <v>1</v>
      </c>
      <c r="F379">
        <v>1</v>
      </c>
      <c r="G379">
        <v>1080</v>
      </c>
      <c r="H379">
        <v>3</v>
      </c>
      <c r="I379" t="s">
        <v>535</v>
      </c>
      <c r="J379" t="s">
        <v>536</v>
      </c>
      <c r="K379" t="s">
        <v>537</v>
      </c>
      <c r="L379">
        <v>1346</v>
      </c>
      <c r="N379">
        <v>1009</v>
      </c>
      <c r="O379" t="s">
        <v>528</v>
      </c>
      <c r="P379" t="s">
        <v>528</v>
      </c>
      <c r="Q379">
        <v>1</v>
      </c>
      <c r="W379">
        <v>0</v>
      </c>
      <c r="X379">
        <v>-1011812427</v>
      </c>
      <c r="Y379">
        <f t="shared" si="104"/>
        <v>0.06</v>
      </c>
      <c r="AA379">
        <v>37.979999999999997</v>
      </c>
      <c r="AB379">
        <v>0</v>
      </c>
      <c r="AC379">
        <v>0</v>
      </c>
      <c r="AD379">
        <v>0</v>
      </c>
      <c r="AE379">
        <v>37.979999999999997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0.06</v>
      </c>
      <c r="AU379" t="s">
        <v>3</v>
      </c>
      <c r="AV379">
        <v>0</v>
      </c>
      <c r="AW379">
        <v>2</v>
      </c>
      <c r="AX379">
        <v>60255958</v>
      </c>
      <c r="AY379">
        <v>1</v>
      </c>
      <c r="AZ379">
        <v>0</v>
      </c>
      <c r="BA379">
        <v>421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ROUND(Y379*Source!I296,9)</f>
        <v>0.12</v>
      </c>
      <c r="CY379">
        <f t="shared" si="105"/>
        <v>37.979999999999997</v>
      </c>
      <c r="CZ379">
        <f t="shared" si="106"/>
        <v>37.979999999999997</v>
      </c>
      <c r="DA379">
        <f t="shared" si="107"/>
        <v>1</v>
      </c>
      <c r="DB379">
        <f t="shared" si="108"/>
        <v>2.2799999999999998</v>
      </c>
      <c r="DC379">
        <f t="shared" si="109"/>
        <v>0</v>
      </c>
      <c r="DD379" t="s">
        <v>3</v>
      </c>
      <c r="DE379" t="s">
        <v>3</v>
      </c>
      <c r="DF379">
        <f t="shared" si="103"/>
        <v>4.5599999999999996</v>
      </c>
      <c r="DG379">
        <f t="shared" si="100"/>
        <v>0</v>
      </c>
      <c r="DH379">
        <f t="shared" si="101"/>
        <v>0</v>
      </c>
      <c r="DI379">
        <f t="shared" si="67"/>
        <v>0</v>
      </c>
      <c r="DJ379">
        <f t="shared" si="110"/>
        <v>4.5599999999999996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ROW(Source!A296)</f>
        <v>296</v>
      </c>
      <c r="B380">
        <v>60255014</v>
      </c>
      <c r="C380">
        <v>60255674</v>
      </c>
      <c r="D380">
        <v>59039024</v>
      </c>
      <c r="E380">
        <v>1</v>
      </c>
      <c r="F380">
        <v>1</v>
      </c>
      <c r="G380">
        <v>1080</v>
      </c>
      <c r="H380">
        <v>3</v>
      </c>
      <c r="I380" t="s">
        <v>562</v>
      </c>
      <c r="J380" t="s">
        <v>563</v>
      </c>
      <c r="K380" t="s">
        <v>564</v>
      </c>
      <c r="L380">
        <v>1348</v>
      </c>
      <c r="N380">
        <v>1009</v>
      </c>
      <c r="O380" t="s">
        <v>534</v>
      </c>
      <c r="P380" t="s">
        <v>534</v>
      </c>
      <c r="Q380">
        <v>1000</v>
      </c>
      <c r="W380">
        <v>0</v>
      </c>
      <c r="X380">
        <v>1469978170</v>
      </c>
      <c r="Y380">
        <f t="shared" si="104"/>
        <v>1.0000000000000001E-5</v>
      </c>
      <c r="AA380">
        <v>3234.81</v>
      </c>
      <c r="AB380">
        <v>0</v>
      </c>
      <c r="AC380">
        <v>0</v>
      </c>
      <c r="AD380">
        <v>0</v>
      </c>
      <c r="AE380">
        <v>3234.81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1.0000000000000001E-5</v>
      </c>
      <c r="AU380" t="s">
        <v>3</v>
      </c>
      <c r="AV380">
        <v>0</v>
      </c>
      <c r="AW380">
        <v>2</v>
      </c>
      <c r="AX380">
        <v>60255959</v>
      </c>
      <c r="AY380">
        <v>1</v>
      </c>
      <c r="AZ380">
        <v>0</v>
      </c>
      <c r="BA380">
        <v>422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ROUND(Y380*Source!I296,9)</f>
        <v>2.0000000000000002E-5</v>
      </c>
      <c r="CY380">
        <f t="shared" si="105"/>
        <v>3234.81</v>
      </c>
      <c r="CZ380">
        <f t="shared" si="106"/>
        <v>3234.81</v>
      </c>
      <c r="DA380">
        <f t="shared" si="107"/>
        <v>1</v>
      </c>
      <c r="DB380">
        <f t="shared" si="108"/>
        <v>0.03</v>
      </c>
      <c r="DC380">
        <f t="shared" si="109"/>
        <v>0</v>
      </c>
      <c r="DD380" t="s">
        <v>3</v>
      </c>
      <c r="DE380" t="s">
        <v>3</v>
      </c>
      <c r="DF380">
        <f t="shared" si="103"/>
        <v>0.06</v>
      </c>
      <c r="DG380">
        <f t="shared" si="100"/>
        <v>0</v>
      </c>
      <c r="DH380">
        <f t="shared" si="101"/>
        <v>0</v>
      </c>
      <c r="DI380">
        <f t="shared" si="67"/>
        <v>0</v>
      </c>
      <c r="DJ380">
        <f t="shared" si="110"/>
        <v>0.06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ROW(Source!A296)</f>
        <v>296</v>
      </c>
      <c r="B381">
        <v>60255014</v>
      </c>
      <c r="C381">
        <v>60255674</v>
      </c>
      <c r="D381">
        <v>59038837</v>
      </c>
      <c r="E381">
        <v>1</v>
      </c>
      <c r="F381">
        <v>1</v>
      </c>
      <c r="G381">
        <v>1080</v>
      </c>
      <c r="H381">
        <v>3</v>
      </c>
      <c r="I381" t="s">
        <v>565</v>
      </c>
      <c r="J381" t="s">
        <v>566</v>
      </c>
      <c r="K381" t="s">
        <v>567</v>
      </c>
      <c r="L381">
        <v>1339</v>
      </c>
      <c r="N381">
        <v>1007</v>
      </c>
      <c r="O381" t="s">
        <v>509</v>
      </c>
      <c r="P381" t="s">
        <v>509</v>
      </c>
      <c r="Q381">
        <v>1</v>
      </c>
      <c r="W381">
        <v>0</v>
      </c>
      <c r="X381">
        <v>1565098517</v>
      </c>
      <c r="Y381">
        <f t="shared" si="104"/>
        <v>0.11899999999999999</v>
      </c>
      <c r="AA381">
        <v>53.42</v>
      </c>
      <c r="AB381">
        <v>0</v>
      </c>
      <c r="AC381">
        <v>0</v>
      </c>
      <c r="AD381">
        <v>0</v>
      </c>
      <c r="AE381">
        <v>53.42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0.11899999999999999</v>
      </c>
      <c r="AU381" t="s">
        <v>3</v>
      </c>
      <c r="AV381">
        <v>0</v>
      </c>
      <c r="AW381">
        <v>2</v>
      </c>
      <c r="AX381">
        <v>60255960</v>
      </c>
      <c r="AY381">
        <v>1</v>
      </c>
      <c r="AZ381">
        <v>0</v>
      </c>
      <c r="BA381">
        <v>423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ROUND(Y381*Source!I296,9)</f>
        <v>0.23799999999999999</v>
      </c>
      <c r="CY381">
        <f t="shared" si="105"/>
        <v>53.42</v>
      </c>
      <c r="CZ381">
        <f t="shared" si="106"/>
        <v>53.42</v>
      </c>
      <c r="DA381">
        <f t="shared" si="107"/>
        <v>1</v>
      </c>
      <c r="DB381">
        <f t="shared" si="108"/>
        <v>6.36</v>
      </c>
      <c r="DC381">
        <f t="shared" si="109"/>
        <v>0</v>
      </c>
      <c r="DD381" t="s">
        <v>3</v>
      </c>
      <c r="DE381" t="s">
        <v>3</v>
      </c>
      <c r="DF381">
        <f t="shared" si="103"/>
        <v>12.71</v>
      </c>
      <c r="DG381">
        <f t="shared" si="100"/>
        <v>0</v>
      </c>
      <c r="DH381">
        <f t="shared" si="101"/>
        <v>0</v>
      </c>
      <c r="DI381">
        <f t="shared" si="67"/>
        <v>0</v>
      </c>
      <c r="DJ381">
        <f t="shared" si="110"/>
        <v>12.71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ROW(Source!A296)</f>
        <v>296</v>
      </c>
      <c r="B382">
        <v>60255014</v>
      </c>
      <c r="C382">
        <v>60255674</v>
      </c>
      <c r="D382">
        <v>59039103</v>
      </c>
      <c r="E382">
        <v>1</v>
      </c>
      <c r="F382">
        <v>1</v>
      </c>
      <c r="G382">
        <v>1080</v>
      </c>
      <c r="H382">
        <v>3</v>
      </c>
      <c r="I382" t="s">
        <v>568</v>
      </c>
      <c r="J382" t="s">
        <v>569</v>
      </c>
      <c r="K382" t="s">
        <v>570</v>
      </c>
      <c r="L382">
        <v>1339</v>
      </c>
      <c r="N382">
        <v>1007</v>
      </c>
      <c r="O382" t="s">
        <v>509</v>
      </c>
      <c r="P382" t="s">
        <v>509</v>
      </c>
      <c r="Q382">
        <v>1</v>
      </c>
      <c r="W382">
        <v>0</v>
      </c>
      <c r="X382">
        <v>-388798825</v>
      </c>
      <c r="Y382">
        <f t="shared" si="104"/>
        <v>0.28100000000000003</v>
      </c>
      <c r="AA382">
        <v>5.82</v>
      </c>
      <c r="AB382">
        <v>0</v>
      </c>
      <c r="AC382">
        <v>0</v>
      </c>
      <c r="AD382">
        <v>0</v>
      </c>
      <c r="AE382">
        <v>5.82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-2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0.28100000000000003</v>
      </c>
      <c r="AU382" t="s">
        <v>3</v>
      </c>
      <c r="AV382">
        <v>0</v>
      </c>
      <c r="AW382">
        <v>2</v>
      </c>
      <c r="AX382">
        <v>60255961</v>
      </c>
      <c r="AY382">
        <v>1</v>
      </c>
      <c r="AZ382">
        <v>0</v>
      </c>
      <c r="BA382">
        <v>424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ROUND(Y382*Source!I296,9)</f>
        <v>0.56200000000000006</v>
      </c>
      <c r="CY382">
        <f t="shared" si="105"/>
        <v>5.82</v>
      </c>
      <c r="CZ382">
        <f t="shared" si="106"/>
        <v>5.82</v>
      </c>
      <c r="DA382">
        <f t="shared" si="107"/>
        <v>1</v>
      </c>
      <c r="DB382">
        <f t="shared" si="108"/>
        <v>1.64</v>
      </c>
      <c r="DC382">
        <f t="shared" si="109"/>
        <v>0</v>
      </c>
      <c r="DD382" t="s">
        <v>3</v>
      </c>
      <c r="DE382" t="s">
        <v>3</v>
      </c>
      <c r="DF382">
        <f t="shared" si="103"/>
        <v>3.27</v>
      </c>
      <c r="DG382">
        <f t="shared" si="100"/>
        <v>0</v>
      </c>
      <c r="DH382">
        <f t="shared" si="101"/>
        <v>0</v>
      </c>
      <c r="DI382">
        <f t="shared" si="67"/>
        <v>0</v>
      </c>
      <c r="DJ382">
        <f t="shared" si="110"/>
        <v>3.27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ROW(Source!A296)</f>
        <v>296</v>
      </c>
      <c r="B383">
        <v>60255014</v>
      </c>
      <c r="C383">
        <v>60255674</v>
      </c>
      <c r="D383">
        <v>59039175</v>
      </c>
      <c r="E383">
        <v>1</v>
      </c>
      <c r="F383">
        <v>1</v>
      </c>
      <c r="G383">
        <v>1080</v>
      </c>
      <c r="H383">
        <v>3</v>
      </c>
      <c r="I383" t="s">
        <v>538</v>
      </c>
      <c r="J383" t="s">
        <v>539</v>
      </c>
      <c r="K383" t="s">
        <v>540</v>
      </c>
      <c r="L383">
        <v>1348</v>
      </c>
      <c r="N383">
        <v>1009</v>
      </c>
      <c r="O383" t="s">
        <v>534</v>
      </c>
      <c r="P383" t="s">
        <v>534</v>
      </c>
      <c r="Q383">
        <v>1000</v>
      </c>
      <c r="W383">
        <v>0</v>
      </c>
      <c r="X383">
        <v>356473523</v>
      </c>
      <c r="Y383">
        <f t="shared" si="104"/>
        <v>4.4000000000000002E-4</v>
      </c>
      <c r="AA383">
        <v>16214.84</v>
      </c>
      <c r="AB383">
        <v>0</v>
      </c>
      <c r="AC383">
        <v>0</v>
      </c>
      <c r="AD383">
        <v>0</v>
      </c>
      <c r="AE383">
        <v>16214.84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4.4000000000000002E-4</v>
      </c>
      <c r="AU383" t="s">
        <v>3</v>
      </c>
      <c r="AV383">
        <v>0</v>
      </c>
      <c r="AW383">
        <v>2</v>
      </c>
      <c r="AX383">
        <v>60255962</v>
      </c>
      <c r="AY383">
        <v>1</v>
      </c>
      <c r="AZ383">
        <v>0</v>
      </c>
      <c r="BA383">
        <v>425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ROUND(Y383*Source!I296,9)</f>
        <v>8.8000000000000003E-4</v>
      </c>
      <c r="CY383">
        <f t="shared" si="105"/>
        <v>16214.84</v>
      </c>
      <c r="CZ383">
        <f t="shared" si="106"/>
        <v>16214.84</v>
      </c>
      <c r="DA383">
        <f t="shared" si="107"/>
        <v>1</v>
      </c>
      <c r="DB383">
        <f t="shared" si="108"/>
        <v>7.13</v>
      </c>
      <c r="DC383">
        <f t="shared" si="109"/>
        <v>0</v>
      </c>
      <c r="DD383" t="s">
        <v>3</v>
      </c>
      <c r="DE383" t="s">
        <v>3</v>
      </c>
      <c r="DF383">
        <f t="shared" si="103"/>
        <v>14.27</v>
      </c>
      <c r="DG383">
        <f t="shared" si="100"/>
        <v>0</v>
      </c>
      <c r="DH383">
        <f t="shared" si="101"/>
        <v>0</v>
      </c>
      <c r="DI383">
        <f t="shared" si="67"/>
        <v>0</v>
      </c>
      <c r="DJ383">
        <f t="shared" si="110"/>
        <v>14.27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ROW(Source!A296)</f>
        <v>296</v>
      </c>
      <c r="B384">
        <v>60255014</v>
      </c>
      <c r="C384">
        <v>60255674</v>
      </c>
      <c r="D384">
        <v>59039344</v>
      </c>
      <c r="E384">
        <v>1</v>
      </c>
      <c r="F384">
        <v>1</v>
      </c>
      <c r="G384">
        <v>1080</v>
      </c>
      <c r="H384">
        <v>3</v>
      </c>
      <c r="I384" t="s">
        <v>541</v>
      </c>
      <c r="J384" t="s">
        <v>542</v>
      </c>
      <c r="K384" t="s">
        <v>543</v>
      </c>
      <c r="L384">
        <v>1346</v>
      </c>
      <c r="N384">
        <v>1009</v>
      </c>
      <c r="O384" t="s">
        <v>528</v>
      </c>
      <c r="P384" t="s">
        <v>528</v>
      </c>
      <c r="Q384">
        <v>1</v>
      </c>
      <c r="W384">
        <v>0</v>
      </c>
      <c r="X384">
        <v>1135396300</v>
      </c>
      <c r="Y384">
        <f t="shared" si="104"/>
        <v>0.53</v>
      </c>
      <c r="AA384">
        <v>20.190000000000001</v>
      </c>
      <c r="AB384">
        <v>0</v>
      </c>
      <c r="AC384">
        <v>0</v>
      </c>
      <c r="AD384">
        <v>0</v>
      </c>
      <c r="AE384">
        <v>20.190000000000001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0.53</v>
      </c>
      <c r="AU384" t="s">
        <v>3</v>
      </c>
      <c r="AV384">
        <v>0</v>
      </c>
      <c r="AW384">
        <v>2</v>
      </c>
      <c r="AX384">
        <v>60255963</v>
      </c>
      <c r="AY384">
        <v>1</v>
      </c>
      <c r="AZ384">
        <v>0</v>
      </c>
      <c r="BA384">
        <v>426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ROUND(Y384*Source!I296,9)</f>
        <v>1.06</v>
      </c>
      <c r="CY384">
        <f t="shared" si="105"/>
        <v>20.190000000000001</v>
      </c>
      <c r="CZ384">
        <f t="shared" si="106"/>
        <v>20.190000000000001</v>
      </c>
      <c r="DA384">
        <f t="shared" si="107"/>
        <v>1</v>
      </c>
      <c r="DB384">
        <f t="shared" si="108"/>
        <v>10.7</v>
      </c>
      <c r="DC384">
        <f t="shared" si="109"/>
        <v>0</v>
      </c>
      <c r="DD384" t="s">
        <v>3</v>
      </c>
      <c r="DE384" t="s">
        <v>3</v>
      </c>
      <c r="DF384">
        <f t="shared" si="103"/>
        <v>21.4</v>
      </c>
      <c r="DG384">
        <f t="shared" si="100"/>
        <v>0</v>
      </c>
      <c r="DH384">
        <f t="shared" si="101"/>
        <v>0</v>
      </c>
      <c r="DI384">
        <f t="shared" si="67"/>
        <v>0</v>
      </c>
      <c r="DJ384">
        <f t="shared" si="110"/>
        <v>21.4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ROW(Source!A296)</f>
        <v>296</v>
      </c>
      <c r="B385">
        <v>60255014</v>
      </c>
      <c r="C385">
        <v>60255674</v>
      </c>
      <c r="D385">
        <v>59051859</v>
      </c>
      <c r="E385">
        <v>1</v>
      </c>
      <c r="F385">
        <v>1</v>
      </c>
      <c r="G385">
        <v>1080</v>
      </c>
      <c r="H385">
        <v>3</v>
      </c>
      <c r="I385" t="s">
        <v>399</v>
      </c>
      <c r="J385" t="s">
        <v>401</v>
      </c>
      <c r="K385" t="s">
        <v>400</v>
      </c>
      <c r="L385">
        <v>1301</v>
      </c>
      <c r="N385">
        <v>1003</v>
      </c>
      <c r="O385" t="s">
        <v>376</v>
      </c>
      <c r="P385" t="s">
        <v>376</v>
      </c>
      <c r="Q385">
        <v>1</v>
      </c>
      <c r="W385">
        <v>0</v>
      </c>
      <c r="X385">
        <v>-809242828</v>
      </c>
      <c r="Y385">
        <f t="shared" si="104"/>
        <v>100</v>
      </c>
      <c r="AA385">
        <v>33.29</v>
      </c>
      <c r="AB385">
        <v>0</v>
      </c>
      <c r="AC385">
        <v>0</v>
      </c>
      <c r="AD385">
        <v>0</v>
      </c>
      <c r="AE385">
        <v>33.29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 t="s">
        <v>3</v>
      </c>
      <c r="AT385">
        <v>100</v>
      </c>
      <c r="AU385" t="s">
        <v>3</v>
      </c>
      <c r="AV385">
        <v>0</v>
      </c>
      <c r="AW385">
        <v>1</v>
      </c>
      <c r="AX385">
        <v>-1</v>
      </c>
      <c r="AY385">
        <v>0</v>
      </c>
      <c r="AZ385">
        <v>0</v>
      </c>
      <c r="BA385" t="s">
        <v>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ROUND(Y385*Source!I296,9)</f>
        <v>200</v>
      </c>
      <c r="CY385">
        <f t="shared" si="105"/>
        <v>33.29</v>
      </c>
      <c r="CZ385">
        <f t="shared" si="106"/>
        <v>33.29</v>
      </c>
      <c r="DA385">
        <f t="shared" si="107"/>
        <v>1</v>
      </c>
      <c r="DB385">
        <f t="shared" si="108"/>
        <v>3329</v>
      </c>
      <c r="DC385">
        <f t="shared" si="109"/>
        <v>0</v>
      </c>
      <c r="DD385" t="s">
        <v>3</v>
      </c>
      <c r="DE385" t="s">
        <v>3</v>
      </c>
      <c r="DF385">
        <f t="shared" si="103"/>
        <v>6658</v>
      </c>
      <c r="DG385">
        <f t="shared" si="100"/>
        <v>0</v>
      </c>
      <c r="DH385">
        <f t="shared" si="101"/>
        <v>0</v>
      </c>
      <c r="DI385">
        <f t="shared" ref="DI385:DI448" si="111">ROUND(ROUND(AH385,2)*CX385,2)</f>
        <v>0</v>
      </c>
      <c r="DJ385">
        <f t="shared" si="110"/>
        <v>6658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ROW(Source!A297)</f>
        <v>297</v>
      </c>
      <c r="B386">
        <v>60255011</v>
      </c>
      <c r="C386">
        <v>60255674</v>
      </c>
      <c r="D386">
        <v>58999254</v>
      </c>
      <c r="E386">
        <v>1080</v>
      </c>
      <c r="F386">
        <v>1</v>
      </c>
      <c r="G386">
        <v>1080</v>
      </c>
      <c r="H386">
        <v>1</v>
      </c>
      <c r="I386" t="s">
        <v>482</v>
      </c>
      <c r="J386" t="s">
        <v>3</v>
      </c>
      <c r="K386" t="s">
        <v>483</v>
      </c>
      <c r="L386">
        <v>1191</v>
      </c>
      <c r="N386">
        <v>1013</v>
      </c>
      <c r="O386" t="s">
        <v>484</v>
      </c>
      <c r="P386" t="s">
        <v>484</v>
      </c>
      <c r="Q386">
        <v>1</v>
      </c>
      <c r="W386">
        <v>0</v>
      </c>
      <c r="X386">
        <v>476480486</v>
      </c>
      <c r="Y386">
        <f>((AT386*1.15)*1.1)</f>
        <v>37.570499999999996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5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29.7</v>
      </c>
      <c r="AU386" t="s">
        <v>99</v>
      </c>
      <c r="AV386">
        <v>1</v>
      </c>
      <c r="AW386">
        <v>2</v>
      </c>
      <c r="AX386">
        <v>60255952</v>
      </c>
      <c r="AY386">
        <v>1</v>
      </c>
      <c r="AZ386">
        <v>0</v>
      </c>
      <c r="BA386">
        <v>430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U386">
        <f>ROUND(AT386*Source!I297*AH386*AL386,2)</f>
        <v>0</v>
      </c>
      <c r="CV386">
        <f>ROUND(Y386*Source!I297,9)</f>
        <v>75.141000000000005</v>
      </c>
      <c r="CW386">
        <v>0</v>
      </c>
      <c r="CX386">
        <f>ROUND(Y386*Source!I297,9)</f>
        <v>75.141000000000005</v>
      </c>
      <c r="CY386">
        <f>AD386</f>
        <v>0</v>
      </c>
      <c r="CZ386">
        <f>AH386</f>
        <v>0</v>
      </c>
      <c r="DA386">
        <f>AL386</f>
        <v>1</v>
      </c>
      <c r="DB386">
        <f>ROUND(((ROUND(AT386*CZ386,2)*1.15)*1.1),6)</f>
        <v>0</v>
      </c>
      <c r="DC386">
        <f>ROUND(((ROUND(AT386*AG386,2)*1.15)*1.1),6)</f>
        <v>0</v>
      </c>
      <c r="DD386" t="s">
        <v>3</v>
      </c>
      <c r="DE386" t="s">
        <v>3</v>
      </c>
      <c r="DF386">
        <f t="shared" si="103"/>
        <v>0</v>
      </c>
      <c r="DG386">
        <f t="shared" si="100"/>
        <v>0</v>
      </c>
      <c r="DH386">
        <f t="shared" si="101"/>
        <v>0</v>
      </c>
      <c r="DI386">
        <f t="shared" si="111"/>
        <v>0</v>
      </c>
      <c r="DJ386">
        <f>DI386</f>
        <v>0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ROW(Source!A297)</f>
        <v>297</v>
      </c>
      <c r="B387">
        <v>60255011</v>
      </c>
      <c r="C387">
        <v>60255674</v>
      </c>
      <c r="D387">
        <v>59070372</v>
      </c>
      <c r="E387">
        <v>1</v>
      </c>
      <c r="F387">
        <v>1</v>
      </c>
      <c r="G387">
        <v>1080</v>
      </c>
      <c r="H387">
        <v>2</v>
      </c>
      <c r="I387" t="s">
        <v>556</v>
      </c>
      <c r="J387" t="s">
        <v>557</v>
      </c>
      <c r="K387" t="s">
        <v>558</v>
      </c>
      <c r="L387">
        <v>1368</v>
      </c>
      <c r="N387">
        <v>1011</v>
      </c>
      <c r="O387" t="s">
        <v>488</v>
      </c>
      <c r="P387" t="s">
        <v>488</v>
      </c>
      <c r="Q387">
        <v>1</v>
      </c>
      <c r="W387">
        <v>0</v>
      </c>
      <c r="X387">
        <v>549242131</v>
      </c>
      <c r="Y387">
        <f>((AT387*1.25)*1.1)</f>
        <v>1.58125</v>
      </c>
      <c r="AA387">
        <v>0</v>
      </c>
      <c r="AB387">
        <v>2.5299999999999998</v>
      </c>
      <c r="AC387">
        <v>0</v>
      </c>
      <c r="AD387">
        <v>0</v>
      </c>
      <c r="AE387">
        <v>0</v>
      </c>
      <c r="AF387">
        <v>0.28000000000000003</v>
      </c>
      <c r="AG387">
        <v>0</v>
      </c>
      <c r="AH387">
        <v>0</v>
      </c>
      <c r="AI387">
        <v>1</v>
      </c>
      <c r="AJ387">
        <v>8.4600000000000009</v>
      </c>
      <c r="AK387">
        <v>54.99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1.1499999999999999</v>
      </c>
      <c r="AU387" t="s">
        <v>496</v>
      </c>
      <c r="AV387">
        <v>0</v>
      </c>
      <c r="AW387">
        <v>2</v>
      </c>
      <c r="AX387">
        <v>60255953</v>
      </c>
      <c r="AY387">
        <v>1</v>
      </c>
      <c r="AZ387">
        <v>0</v>
      </c>
      <c r="BA387">
        <v>431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f>ROUND(Y387*Source!I297*DO387,9)</f>
        <v>0</v>
      </c>
      <c r="CX387">
        <f>ROUND(Y387*Source!I297,9)</f>
        <v>3.1625000000000001</v>
      </c>
      <c r="CY387">
        <f>AB387</f>
        <v>2.5299999999999998</v>
      </c>
      <c r="CZ387">
        <f>AF387</f>
        <v>0.28000000000000003</v>
      </c>
      <c r="DA387">
        <f>AJ387</f>
        <v>8.4600000000000009</v>
      </c>
      <c r="DB387">
        <f>ROUND(((ROUND(AT387*CZ387,2)*1.25)*1.1),6)</f>
        <v>0.44</v>
      </c>
      <c r="DC387">
        <f>ROUND(((ROUND(AT387*AG387,2)*1.25)*1.1),6)</f>
        <v>0</v>
      </c>
      <c r="DD387" t="s">
        <v>3</v>
      </c>
      <c r="DE387" t="s">
        <v>3</v>
      </c>
      <c r="DF387">
        <f t="shared" si="103"/>
        <v>0</v>
      </c>
      <c r="DG387">
        <f>ROUND(ROUND(AF387*AJ387,2)*CX387,2)</f>
        <v>7.5</v>
      </c>
      <c r="DH387">
        <f>ROUND(ROUND(AG387*AK387,2)*CX387,2)</f>
        <v>0</v>
      </c>
      <c r="DI387">
        <f t="shared" si="111"/>
        <v>0</v>
      </c>
      <c r="DJ387">
        <f>DG387</f>
        <v>7.5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ROW(Source!A297)</f>
        <v>297</v>
      </c>
      <c r="B388">
        <v>60255011</v>
      </c>
      <c r="C388">
        <v>60255674</v>
      </c>
      <c r="D388">
        <v>59070669</v>
      </c>
      <c r="E388">
        <v>1</v>
      </c>
      <c r="F388">
        <v>1</v>
      </c>
      <c r="G388">
        <v>1080</v>
      </c>
      <c r="H388">
        <v>2</v>
      </c>
      <c r="I388" t="s">
        <v>485</v>
      </c>
      <c r="J388" t="s">
        <v>486</v>
      </c>
      <c r="K388" t="s">
        <v>487</v>
      </c>
      <c r="L388">
        <v>1368</v>
      </c>
      <c r="N388">
        <v>1011</v>
      </c>
      <c r="O388" t="s">
        <v>488</v>
      </c>
      <c r="P388" t="s">
        <v>488</v>
      </c>
      <c r="Q388">
        <v>1</v>
      </c>
      <c r="W388">
        <v>0</v>
      </c>
      <c r="X388">
        <v>-1985943078</v>
      </c>
      <c r="Y388">
        <f>((AT388*1.25)*1.1)</f>
        <v>0.48125000000000007</v>
      </c>
      <c r="AA388">
        <v>0</v>
      </c>
      <c r="AB388">
        <v>1445.28</v>
      </c>
      <c r="AC388">
        <v>740.47</v>
      </c>
      <c r="AD388">
        <v>0</v>
      </c>
      <c r="AE388">
        <v>0</v>
      </c>
      <c r="AF388">
        <v>83.1</v>
      </c>
      <c r="AG388">
        <v>12.62</v>
      </c>
      <c r="AH388">
        <v>0</v>
      </c>
      <c r="AI388">
        <v>1</v>
      </c>
      <c r="AJ388">
        <v>16.3</v>
      </c>
      <c r="AK388">
        <v>54.99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0.35</v>
      </c>
      <c r="AU388" t="s">
        <v>496</v>
      </c>
      <c r="AV388">
        <v>0</v>
      </c>
      <c r="AW388">
        <v>2</v>
      </c>
      <c r="AX388">
        <v>60255954</v>
      </c>
      <c r="AY388">
        <v>1</v>
      </c>
      <c r="AZ388">
        <v>0</v>
      </c>
      <c r="BA388">
        <v>432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f>ROUND(Y388*Source!I297*DO388,9)</f>
        <v>12.146750000000001</v>
      </c>
      <c r="CX388">
        <f>ROUND(Y388*Source!I297,9)</f>
        <v>0.96250000000000002</v>
      </c>
      <c r="CY388">
        <f>AB388</f>
        <v>1445.28</v>
      </c>
      <c r="CZ388">
        <f>AF388</f>
        <v>83.1</v>
      </c>
      <c r="DA388">
        <f>AJ388</f>
        <v>16.3</v>
      </c>
      <c r="DB388">
        <f>ROUND(((ROUND(AT388*CZ388,2)*1.25)*1.1),6)</f>
        <v>39.998750000000001</v>
      </c>
      <c r="DC388">
        <f>ROUND(((ROUND(AT388*AG388,2)*1.25)*1.1),6)</f>
        <v>6.0774999999999997</v>
      </c>
      <c r="DD388" t="s">
        <v>3</v>
      </c>
      <c r="DE388" t="s">
        <v>3</v>
      </c>
      <c r="DF388">
        <f t="shared" si="103"/>
        <v>0</v>
      </c>
      <c r="DG388">
        <f>ROUND(ROUND(AF388*AJ388,2)*CX388,2)</f>
        <v>1303.74</v>
      </c>
      <c r="DH388">
        <f>ROUND(ROUND(AG388*AK388,2)*CX388,2)</f>
        <v>667.95</v>
      </c>
      <c r="DI388">
        <f t="shared" si="111"/>
        <v>0</v>
      </c>
      <c r="DJ388">
        <f>DG388</f>
        <v>1303.74</v>
      </c>
      <c r="DK388">
        <v>0</v>
      </c>
      <c r="DL388" t="s">
        <v>489</v>
      </c>
      <c r="DM388">
        <v>0</v>
      </c>
      <c r="DN388" t="s">
        <v>484</v>
      </c>
      <c r="DO388">
        <v>12.62</v>
      </c>
    </row>
    <row r="389" spans="1:119" x14ac:dyDescent="0.2">
      <c r="A389">
        <f>ROW(Source!A297)</f>
        <v>297</v>
      </c>
      <c r="B389">
        <v>60255011</v>
      </c>
      <c r="C389">
        <v>60255674</v>
      </c>
      <c r="D389">
        <v>59069905</v>
      </c>
      <c r="E389">
        <v>1</v>
      </c>
      <c r="F389">
        <v>1</v>
      </c>
      <c r="G389">
        <v>1080</v>
      </c>
      <c r="H389">
        <v>2</v>
      </c>
      <c r="I389" t="s">
        <v>503</v>
      </c>
      <c r="J389" t="s">
        <v>504</v>
      </c>
      <c r="K389" t="s">
        <v>505</v>
      </c>
      <c r="L389">
        <v>1368</v>
      </c>
      <c r="N389">
        <v>1011</v>
      </c>
      <c r="O389" t="s">
        <v>488</v>
      </c>
      <c r="P389" t="s">
        <v>488</v>
      </c>
      <c r="Q389">
        <v>1</v>
      </c>
      <c r="W389">
        <v>0</v>
      </c>
      <c r="X389">
        <v>1087580389</v>
      </c>
      <c r="Y389">
        <f>((AT389*1.25)*1.1)</f>
        <v>9.6250000000000016E-2</v>
      </c>
      <c r="AA389">
        <v>0</v>
      </c>
      <c r="AB389">
        <v>2628.65</v>
      </c>
      <c r="AC389">
        <v>993.36</v>
      </c>
      <c r="AD389">
        <v>0</v>
      </c>
      <c r="AE389">
        <v>0</v>
      </c>
      <c r="AF389">
        <v>179.17</v>
      </c>
      <c r="AG389">
        <v>16.93</v>
      </c>
      <c r="AH389">
        <v>0</v>
      </c>
      <c r="AI389">
        <v>1</v>
      </c>
      <c r="AJ389">
        <v>13.75</v>
      </c>
      <c r="AK389">
        <v>54.99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7.0000000000000007E-2</v>
      </c>
      <c r="AU389" t="s">
        <v>496</v>
      </c>
      <c r="AV389">
        <v>0</v>
      </c>
      <c r="AW389">
        <v>2</v>
      </c>
      <c r="AX389">
        <v>60255955</v>
      </c>
      <c r="AY389">
        <v>1</v>
      </c>
      <c r="AZ389">
        <v>0</v>
      </c>
      <c r="BA389">
        <v>433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f>ROUND(Y389*Source!I297*DO389,9)</f>
        <v>3.2590249999999998</v>
      </c>
      <c r="CX389">
        <f>ROUND(Y389*Source!I297,9)</f>
        <v>0.1925</v>
      </c>
      <c r="CY389">
        <f>AB389</f>
        <v>2628.65</v>
      </c>
      <c r="CZ389">
        <f>AF389</f>
        <v>179.17</v>
      </c>
      <c r="DA389">
        <f>AJ389</f>
        <v>13.75</v>
      </c>
      <c r="DB389">
        <f>ROUND(((ROUND(AT389*CZ389,2)*1.25)*1.1),6)</f>
        <v>17.2425</v>
      </c>
      <c r="DC389">
        <f>ROUND(((ROUND(AT389*AG389,2)*1.25)*1.1),6)</f>
        <v>1.63625</v>
      </c>
      <c r="DD389" t="s">
        <v>3</v>
      </c>
      <c r="DE389" t="s">
        <v>3</v>
      </c>
      <c r="DF389">
        <f t="shared" si="103"/>
        <v>0</v>
      </c>
      <c r="DG389">
        <f>ROUND(ROUND(AF389*AJ389,2)*CX389,2)</f>
        <v>474.24</v>
      </c>
      <c r="DH389">
        <f>ROUND(ROUND(AG389*AK389,2)*CX389,2)</f>
        <v>179.21</v>
      </c>
      <c r="DI389">
        <f t="shared" si="111"/>
        <v>0</v>
      </c>
      <c r="DJ389">
        <f>DG389</f>
        <v>474.24</v>
      </c>
      <c r="DK389">
        <v>0</v>
      </c>
      <c r="DL389" t="s">
        <v>489</v>
      </c>
      <c r="DM389">
        <v>0</v>
      </c>
      <c r="DN389" t="s">
        <v>484</v>
      </c>
      <c r="DO389">
        <v>16.93</v>
      </c>
    </row>
    <row r="390" spans="1:119" x14ac:dyDescent="0.2">
      <c r="A390">
        <f>ROW(Source!A297)</f>
        <v>297</v>
      </c>
      <c r="B390">
        <v>60255011</v>
      </c>
      <c r="C390">
        <v>60255674</v>
      </c>
      <c r="D390">
        <v>59038905</v>
      </c>
      <c r="E390">
        <v>1</v>
      </c>
      <c r="F390">
        <v>1</v>
      </c>
      <c r="G390">
        <v>1080</v>
      </c>
      <c r="H390">
        <v>3</v>
      </c>
      <c r="I390" t="s">
        <v>506</v>
      </c>
      <c r="J390" t="s">
        <v>507</v>
      </c>
      <c r="K390" t="s">
        <v>508</v>
      </c>
      <c r="L390">
        <v>1339</v>
      </c>
      <c r="N390">
        <v>1007</v>
      </c>
      <c r="O390" t="s">
        <v>509</v>
      </c>
      <c r="P390" t="s">
        <v>509</v>
      </c>
      <c r="Q390">
        <v>1</v>
      </c>
      <c r="W390">
        <v>0</v>
      </c>
      <c r="X390">
        <v>-744103292</v>
      </c>
      <c r="Y390">
        <f t="shared" ref="Y390:Y398" si="112">AT390</f>
        <v>0.28799999999999998</v>
      </c>
      <c r="AA390">
        <v>54.79</v>
      </c>
      <c r="AB390">
        <v>0</v>
      </c>
      <c r="AC390">
        <v>0</v>
      </c>
      <c r="AD390">
        <v>0</v>
      </c>
      <c r="AE390">
        <v>7.07</v>
      </c>
      <c r="AF390">
        <v>0</v>
      </c>
      <c r="AG390">
        <v>0</v>
      </c>
      <c r="AH390">
        <v>0</v>
      </c>
      <c r="AI390">
        <v>7.75</v>
      </c>
      <c r="AJ390">
        <v>1</v>
      </c>
      <c r="AK390">
        <v>1</v>
      </c>
      <c r="AL390">
        <v>1</v>
      </c>
      <c r="AM390">
        <v>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0.28799999999999998</v>
      </c>
      <c r="AU390" t="s">
        <v>3</v>
      </c>
      <c r="AV390">
        <v>0</v>
      </c>
      <c r="AW390">
        <v>2</v>
      </c>
      <c r="AX390">
        <v>60255956</v>
      </c>
      <c r="AY390">
        <v>1</v>
      </c>
      <c r="AZ390">
        <v>0</v>
      </c>
      <c r="BA390">
        <v>434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ROUND(Y390*Source!I297,9)</f>
        <v>0.57599999999999996</v>
      </c>
      <c r="CY390">
        <f t="shared" ref="CY390:CY398" si="113">AA390</f>
        <v>54.79</v>
      </c>
      <c r="CZ390">
        <f t="shared" ref="CZ390:CZ398" si="114">AE390</f>
        <v>7.07</v>
      </c>
      <c r="DA390">
        <f t="shared" ref="DA390:DA398" si="115">AI390</f>
        <v>7.75</v>
      </c>
      <c r="DB390">
        <f t="shared" ref="DB390:DB398" si="116">ROUND(ROUND(AT390*CZ390,2),6)</f>
        <v>2.04</v>
      </c>
      <c r="DC390">
        <f t="shared" ref="DC390:DC398" si="117">ROUND(ROUND(AT390*AG390,2),6)</f>
        <v>0</v>
      </c>
      <c r="DD390" t="s">
        <v>3</v>
      </c>
      <c r="DE390" t="s">
        <v>3</v>
      </c>
      <c r="DF390">
        <f t="shared" ref="DF390:DF398" si="118">ROUND(ROUND(AE390*AI390,2)*CX390,2)</f>
        <v>31.56</v>
      </c>
      <c r="DG390">
        <f t="shared" ref="DG390:DG412" si="119">ROUND(ROUND(AF390,2)*CX390,2)</f>
        <v>0</v>
      </c>
      <c r="DH390">
        <f t="shared" ref="DH390:DH412" si="120">ROUND(ROUND(AG390,2)*CX390,2)</f>
        <v>0</v>
      </c>
      <c r="DI390">
        <f t="shared" si="111"/>
        <v>0</v>
      </c>
      <c r="DJ390">
        <f t="shared" ref="DJ390:DJ398" si="121">DF390</f>
        <v>31.56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ROW(Source!A297)</f>
        <v>297</v>
      </c>
      <c r="B391">
        <v>60255011</v>
      </c>
      <c r="C391">
        <v>60255674</v>
      </c>
      <c r="D391">
        <v>59040044</v>
      </c>
      <c r="E391">
        <v>1</v>
      </c>
      <c r="F391">
        <v>1</v>
      </c>
      <c r="G391">
        <v>1080</v>
      </c>
      <c r="H391">
        <v>3</v>
      </c>
      <c r="I391" t="s">
        <v>559</v>
      </c>
      <c r="J391" t="s">
        <v>560</v>
      </c>
      <c r="K391" t="s">
        <v>561</v>
      </c>
      <c r="L391">
        <v>1346</v>
      </c>
      <c r="N391">
        <v>1009</v>
      </c>
      <c r="O391" t="s">
        <v>528</v>
      </c>
      <c r="P391" t="s">
        <v>528</v>
      </c>
      <c r="Q391">
        <v>1</v>
      </c>
      <c r="W391">
        <v>0</v>
      </c>
      <c r="X391">
        <v>-326142876</v>
      </c>
      <c r="Y391">
        <f t="shared" si="112"/>
        <v>0.17</v>
      </c>
      <c r="AA391">
        <v>126.84</v>
      </c>
      <c r="AB391">
        <v>0</v>
      </c>
      <c r="AC391">
        <v>0</v>
      </c>
      <c r="AD391">
        <v>0</v>
      </c>
      <c r="AE391">
        <v>21</v>
      </c>
      <c r="AF391">
        <v>0</v>
      </c>
      <c r="AG391">
        <v>0</v>
      </c>
      <c r="AH391">
        <v>0</v>
      </c>
      <c r="AI391">
        <v>6.04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0.17</v>
      </c>
      <c r="AU391" t="s">
        <v>3</v>
      </c>
      <c r="AV391">
        <v>0</v>
      </c>
      <c r="AW391">
        <v>2</v>
      </c>
      <c r="AX391">
        <v>60255957</v>
      </c>
      <c r="AY391">
        <v>1</v>
      </c>
      <c r="AZ391">
        <v>0</v>
      </c>
      <c r="BA391">
        <v>435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ROUND(Y391*Source!I297,9)</f>
        <v>0.34</v>
      </c>
      <c r="CY391">
        <f t="shared" si="113"/>
        <v>126.84</v>
      </c>
      <c r="CZ391">
        <f t="shared" si="114"/>
        <v>21</v>
      </c>
      <c r="DA391">
        <f t="shared" si="115"/>
        <v>6.04</v>
      </c>
      <c r="DB391">
        <f t="shared" si="116"/>
        <v>3.57</v>
      </c>
      <c r="DC391">
        <f t="shared" si="117"/>
        <v>0</v>
      </c>
      <c r="DD391" t="s">
        <v>3</v>
      </c>
      <c r="DE391" t="s">
        <v>3</v>
      </c>
      <c r="DF391">
        <f t="shared" si="118"/>
        <v>43.13</v>
      </c>
      <c r="DG391">
        <f t="shared" si="119"/>
        <v>0</v>
      </c>
      <c r="DH391">
        <f t="shared" si="120"/>
        <v>0</v>
      </c>
      <c r="DI391">
        <f t="shared" si="111"/>
        <v>0</v>
      </c>
      <c r="DJ391">
        <f t="shared" si="121"/>
        <v>43.13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ROW(Source!A297)</f>
        <v>297</v>
      </c>
      <c r="B392">
        <v>60255011</v>
      </c>
      <c r="C392">
        <v>60255674</v>
      </c>
      <c r="D392">
        <v>59040617</v>
      </c>
      <c r="E392">
        <v>1</v>
      </c>
      <c r="F392">
        <v>1</v>
      </c>
      <c r="G392">
        <v>1080</v>
      </c>
      <c r="H392">
        <v>3</v>
      </c>
      <c r="I392" t="s">
        <v>535</v>
      </c>
      <c r="J392" t="s">
        <v>536</v>
      </c>
      <c r="K392" t="s">
        <v>537</v>
      </c>
      <c r="L392">
        <v>1346</v>
      </c>
      <c r="N392">
        <v>1009</v>
      </c>
      <c r="O392" t="s">
        <v>528</v>
      </c>
      <c r="P392" t="s">
        <v>528</v>
      </c>
      <c r="Q392">
        <v>1</v>
      </c>
      <c r="W392">
        <v>0</v>
      </c>
      <c r="X392">
        <v>-1011812427</v>
      </c>
      <c r="Y392">
        <f t="shared" si="112"/>
        <v>0.06</v>
      </c>
      <c r="AA392">
        <v>272.7</v>
      </c>
      <c r="AB392">
        <v>0</v>
      </c>
      <c r="AC392">
        <v>0</v>
      </c>
      <c r="AD392">
        <v>0</v>
      </c>
      <c r="AE392">
        <v>37.979999999999997</v>
      </c>
      <c r="AF392">
        <v>0</v>
      </c>
      <c r="AG392">
        <v>0</v>
      </c>
      <c r="AH392">
        <v>0</v>
      </c>
      <c r="AI392">
        <v>7.18</v>
      </c>
      <c r="AJ392">
        <v>1</v>
      </c>
      <c r="AK392">
        <v>1</v>
      </c>
      <c r="AL392">
        <v>1</v>
      </c>
      <c r="AM392">
        <v>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0.06</v>
      </c>
      <c r="AU392" t="s">
        <v>3</v>
      </c>
      <c r="AV392">
        <v>0</v>
      </c>
      <c r="AW392">
        <v>2</v>
      </c>
      <c r="AX392">
        <v>60255958</v>
      </c>
      <c r="AY392">
        <v>1</v>
      </c>
      <c r="AZ392">
        <v>0</v>
      </c>
      <c r="BA392">
        <v>436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ROUND(Y392*Source!I297,9)</f>
        <v>0.12</v>
      </c>
      <c r="CY392">
        <f t="shared" si="113"/>
        <v>272.7</v>
      </c>
      <c r="CZ392">
        <f t="shared" si="114"/>
        <v>37.979999999999997</v>
      </c>
      <c r="DA392">
        <f t="shared" si="115"/>
        <v>7.18</v>
      </c>
      <c r="DB392">
        <f t="shared" si="116"/>
        <v>2.2799999999999998</v>
      </c>
      <c r="DC392">
        <f t="shared" si="117"/>
        <v>0</v>
      </c>
      <c r="DD392" t="s">
        <v>3</v>
      </c>
      <c r="DE392" t="s">
        <v>3</v>
      </c>
      <c r="DF392">
        <f t="shared" si="118"/>
        <v>32.72</v>
      </c>
      <c r="DG392">
        <f t="shared" si="119"/>
        <v>0</v>
      </c>
      <c r="DH392">
        <f t="shared" si="120"/>
        <v>0</v>
      </c>
      <c r="DI392">
        <f t="shared" si="111"/>
        <v>0</v>
      </c>
      <c r="DJ392">
        <f t="shared" si="121"/>
        <v>32.72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ROW(Source!A297)</f>
        <v>297</v>
      </c>
      <c r="B393">
        <v>60255011</v>
      </c>
      <c r="C393">
        <v>60255674</v>
      </c>
      <c r="D393">
        <v>59039024</v>
      </c>
      <c r="E393">
        <v>1</v>
      </c>
      <c r="F393">
        <v>1</v>
      </c>
      <c r="G393">
        <v>1080</v>
      </c>
      <c r="H393">
        <v>3</v>
      </c>
      <c r="I393" t="s">
        <v>562</v>
      </c>
      <c r="J393" t="s">
        <v>563</v>
      </c>
      <c r="K393" t="s">
        <v>564</v>
      </c>
      <c r="L393">
        <v>1348</v>
      </c>
      <c r="N393">
        <v>1009</v>
      </c>
      <c r="O393" t="s">
        <v>534</v>
      </c>
      <c r="P393" t="s">
        <v>534</v>
      </c>
      <c r="Q393">
        <v>1000</v>
      </c>
      <c r="W393">
        <v>0</v>
      </c>
      <c r="X393">
        <v>1469978170</v>
      </c>
      <c r="Y393">
        <f t="shared" si="112"/>
        <v>1.0000000000000001E-5</v>
      </c>
      <c r="AA393">
        <v>73915.41</v>
      </c>
      <c r="AB393">
        <v>0</v>
      </c>
      <c r="AC393">
        <v>0</v>
      </c>
      <c r="AD393">
        <v>0</v>
      </c>
      <c r="AE393">
        <v>3234.81</v>
      </c>
      <c r="AF393">
        <v>0</v>
      </c>
      <c r="AG393">
        <v>0</v>
      </c>
      <c r="AH393">
        <v>0</v>
      </c>
      <c r="AI393">
        <v>22.85</v>
      </c>
      <c r="AJ393">
        <v>1</v>
      </c>
      <c r="AK393">
        <v>1</v>
      </c>
      <c r="AL393">
        <v>1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1.0000000000000001E-5</v>
      </c>
      <c r="AU393" t="s">
        <v>3</v>
      </c>
      <c r="AV393">
        <v>0</v>
      </c>
      <c r="AW393">
        <v>2</v>
      </c>
      <c r="AX393">
        <v>60255959</v>
      </c>
      <c r="AY393">
        <v>1</v>
      </c>
      <c r="AZ393">
        <v>0</v>
      </c>
      <c r="BA393">
        <v>437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ROUND(Y393*Source!I297,9)</f>
        <v>2.0000000000000002E-5</v>
      </c>
      <c r="CY393">
        <f t="shared" si="113"/>
        <v>73915.41</v>
      </c>
      <c r="CZ393">
        <f t="shared" si="114"/>
        <v>3234.81</v>
      </c>
      <c r="DA393">
        <f t="shared" si="115"/>
        <v>22.85</v>
      </c>
      <c r="DB393">
        <f t="shared" si="116"/>
        <v>0.03</v>
      </c>
      <c r="DC393">
        <f t="shared" si="117"/>
        <v>0</v>
      </c>
      <c r="DD393" t="s">
        <v>3</v>
      </c>
      <c r="DE393" t="s">
        <v>3</v>
      </c>
      <c r="DF393">
        <f t="shared" si="118"/>
        <v>1.48</v>
      </c>
      <c r="DG393">
        <f t="shared" si="119"/>
        <v>0</v>
      </c>
      <c r="DH393">
        <f t="shared" si="120"/>
        <v>0</v>
      </c>
      <c r="DI393">
        <f t="shared" si="111"/>
        <v>0</v>
      </c>
      <c r="DJ393">
        <f t="shared" si="121"/>
        <v>1.48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ROW(Source!A297)</f>
        <v>297</v>
      </c>
      <c r="B394">
        <v>60255011</v>
      </c>
      <c r="C394">
        <v>60255674</v>
      </c>
      <c r="D394">
        <v>59038837</v>
      </c>
      <c r="E394">
        <v>1</v>
      </c>
      <c r="F394">
        <v>1</v>
      </c>
      <c r="G394">
        <v>1080</v>
      </c>
      <c r="H394">
        <v>3</v>
      </c>
      <c r="I394" t="s">
        <v>565</v>
      </c>
      <c r="J394" t="s">
        <v>566</v>
      </c>
      <c r="K394" t="s">
        <v>567</v>
      </c>
      <c r="L394">
        <v>1339</v>
      </c>
      <c r="N394">
        <v>1007</v>
      </c>
      <c r="O394" t="s">
        <v>509</v>
      </c>
      <c r="P394" t="s">
        <v>509</v>
      </c>
      <c r="Q394">
        <v>1</v>
      </c>
      <c r="W394">
        <v>0</v>
      </c>
      <c r="X394">
        <v>1565098517</v>
      </c>
      <c r="Y394">
        <f t="shared" si="112"/>
        <v>0.11899999999999999</v>
      </c>
      <c r="AA394">
        <v>759.63</v>
      </c>
      <c r="AB394">
        <v>0</v>
      </c>
      <c r="AC394">
        <v>0</v>
      </c>
      <c r="AD394">
        <v>0</v>
      </c>
      <c r="AE394">
        <v>53.42</v>
      </c>
      <c r="AF394">
        <v>0</v>
      </c>
      <c r="AG394">
        <v>0</v>
      </c>
      <c r="AH394">
        <v>0</v>
      </c>
      <c r="AI394">
        <v>14.22</v>
      </c>
      <c r="AJ394">
        <v>1</v>
      </c>
      <c r="AK394">
        <v>1</v>
      </c>
      <c r="AL394">
        <v>1</v>
      </c>
      <c r="AM394">
        <v>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0.11899999999999999</v>
      </c>
      <c r="AU394" t="s">
        <v>3</v>
      </c>
      <c r="AV394">
        <v>0</v>
      </c>
      <c r="AW394">
        <v>2</v>
      </c>
      <c r="AX394">
        <v>60255960</v>
      </c>
      <c r="AY394">
        <v>1</v>
      </c>
      <c r="AZ394">
        <v>0</v>
      </c>
      <c r="BA394">
        <v>438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ROUND(Y394*Source!I297,9)</f>
        <v>0.23799999999999999</v>
      </c>
      <c r="CY394">
        <f t="shared" si="113"/>
        <v>759.63</v>
      </c>
      <c r="CZ394">
        <f t="shared" si="114"/>
        <v>53.42</v>
      </c>
      <c r="DA394">
        <f t="shared" si="115"/>
        <v>14.22</v>
      </c>
      <c r="DB394">
        <f t="shared" si="116"/>
        <v>6.36</v>
      </c>
      <c r="DC394">
        <f t="shared" si="117"/>
        <v>0</v>
      </c>
      <c r="DD394" t="s">
        <v>3</v>
      </c>
      <c r="DE394" t="s">
        <v>3</v>
      </c>
      <c r="DF394">
        <f t="shared" si="118"/>
        <v>180.79</v>
      </c>
      <c r="DG394">
        <f t="shared" si="119"/>
        <v>0</v>
      </c>
      <c r="DH394">
        <f t="shared" si="120"/>
        <v>0</v>
      </c>
      <c r="DI394">
        <f t="shared" si="111"/>
        <v>0</v>
      </c>
      <c r="DJ394">
        <f t="shared" si="121"/>
        <v>180.79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ROW(Source!A297)</f>
        <v>297</v>
      </c>
      <c r="B395">
        <v>60255011</v>
      </c>
      <c r="C395">
        <v>60255674</v>
      </c>
      <c r="D395">
        <v>59039103</v>
      </c>
      <c r="E395">
        <v>1</v>
      </c>
      <c r="F395">
        <v>1</v>
      </c>
      <c r="G395">
        <v>1080</v>
      </c>
      <c r="H395">
        <v>3</v>
      </c>
      <c r="I395" t="s">
        <v>568</v>
      </c>
      <c r="J395" t="s">
        <v>569</v>
      </c>
      <c r="K395" t="s">
        <v>570</v>
      </c>
      <c r="L395">
        <v>1339</v>
      </c>
      <c r="N395">
        <v>1007</v>
      </c>
      <c r="O395" t="s">
        <v>509</v>
      </c>
      <c r="P395" t="s">
        <v>509</v>
      </c>
      <c r="Q395">
        <v>1</v>
      </c>
      <c r="W395">
        <v>0</v>
      </c>
      <c r="X395">
        <v>-388798825</v>
      </c>
      <c r="Y395">
        <f t="shared" si="112"/>
        <v>0.28100000000000003</v>
      </c>
      <c r="AA395">
        <v>94.23</v>
      </c>
      <c r="AB395">
        <v>0</v>
      </c>
      <c r="AC395">
        <v>0</v>
      </c>
      <c r="AD395">
        <v>0</v>
      </c>
      <c r="AE395">
        <v>5.82</v>
      </c>
      <c r="AF395">
        <v>0</v>
      </c>
      <c r="AG395">
        <v>0</v>
      </c>
      <c r="AH395">
        <v>0</v>
      </c>
      <c r="AI395">
        <v>16.190000000000001</v>
      </c>
      <c r="AJ395">
        <v>1</v>
      </c>
      <c r="AK395">
        <v>1</v>
      </c>
      <c r="AL395">
        <v>1</v>
      </c>
      <c r="AM395">
        <v>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0.28100000000000003</v>
      </c>
      <c r="AU395" t="s">
        <v>3</v>
      </c>
      <c r="AV395">
        <v>0</v>
      </c>
      <c r="AW395">
        <v>2</v>
      </c>
      <c r="AX395">
        <v>60255961</v>
      </c>
      <c r="AY395">
        <v>1</v>
      </c>
      <c r="AZ395">
        <v>0</v>
      </c>
      <c r="BA395">
        <v>439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ROUND(Y395*Source!I297,9)</f>
        <v>0.56200000000000006</v>
      </c>
      <c r="CY395">
        <f t="shared" si="113"/>
        <v>94.23</v>
      </c>
      <c r="CZ395">
        <f t="shared" si="114"/>
        <v>5.82</v>
      </c>
      <c r="DA395">
        <f t="shared" si="115"/>
        <v>16.190000000000001</v>
      </c>
      <c r="DB395">
        <f t="shared" si="116"/>
        <v>1.64</v>
      </c>
      <c r="DC395">
        <f t="shared" si="117"/>
        <v>0</v>
      </c>
      <c r="DD395" t="s">
        <v>3</v>
      </c>
      <c r="DE395" t="s">
        <v>3</v>
      </c>
      <c r="DF395">
        <f t="shared" si="118"/>
        <v>52.96</v>
      </c>
      <c r="DG395">
        <f t="shared" si="119"/>
        <v>0</v>
      </c>
      <c r="DH395">
        <f t="shared" si="120"/>
        <v>0</v>
      </c>
      <c r="DI395">
        <f t="shared" si="111"/>
        <v>0</v>
      </c>
      <c r="DJ395">
        <f t="shared" si="121"/>
        <v>52.96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ROW(Source!A297)</f>
        <v>297</v>
      </c>
      <c r="B396">
        <v>60255011</v>
      </c>
      <c r="C396">
        <v>60255674</v>
      </c>
      <c r="D396">
        <v>59039175</v>
      </c>
      <c r="E396">
        <v>1</v>
      </c>
      <c r="F396">
        <v>1</v>
      </c>
      <c r="G396">
        <v>1080</v>
      </c>
      <c r="H396">
        <v>3</v>
      </c>
      <c r="I396" t="s">
        <v>538</v>
      </c>
      <c r="J396" t="s">
        <v>539</v>
      </c>
      <c r="K396" t="s">
        <v>540</v>
      </c>
      <c r="L396">
        <v>1348</v>
      </c>
      <c r="N396">
        <v>1009</v>
      </c>
      <c r="O396" t="s">
        <v>534</v>
      </c>
      <c r="P396" t="s">
        <v>534</v>
      </c>
      <c r="Q396">
        <v>1000</v>
      </c>
      <c r="W396">
        <v>0</v>
      </c>
      <c r="X396">
        <v>356473523</v>
      </c>
      <c r="Y396">
        <f t="shared" si="112"/>
        <v>4.4000000000000002E-4</v>
      </c>
      <c r="AA396">
        <v>55779.05</v>
      </c>
      <c r="AB396">
        <v>0</v>
      </c>
      <c r="AC396">
        <v>0</v>
      </c>
      <c r="AD396">
        <v>0</v>
      </c>
      <c r="AE396">
        <v>16214.84</v>
      </c>
      <c r="AF396">
        <v>0</v>
      </c>
      <c r="AG396">
        <v>0</v>
      </c>
      <c r="AH396">
        <v>0</v>
      </c>
      <c r="AI396">
        <v>3.44</v>
      </c>
      <c r="AJ396">
        <v>1</v>
      </c>
      <c r="AK396">
        <v>1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4.4000000000000002E-4</v>
      </c>
      <c r="AU396" t="s">
        <v>3</v>
      </c>
      <c r="AV396">
        <v>0</v>
      </c>
      <c r="AW396">
        <v>2</v>
      </c>
      <c r="AX396">
        <v>60255962</v>
      </c>
      <c r="AY396">
        <v>1</v>
      </c>
      <c r="AZ396">
        <v>0</v>
      </c>
      <c r="BA396">
        <v>440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ROUND(Y396*Source!I297,9)</f>
        <v>8.8000000000000003E-4</v>
      </c>
      <c r="CY396">
        <f t="shared" si="113"/>
        <v>55779.05</v>
      </c>
      <c r="CZ396">
        <f t="shared" si="114"/>
        <v>16214.84</v>
      </c>
      <c r="DA396">
        <f t="shared" si="115"/>
        <v>3.44</v>
      </c>
      <c r="DB396">
        <f t="shared" si="116"/>
        <v>7.13</v>
      </c>
      <c r="DC396">
        <f t="shared" si="117"/>
        <v>0</v>
      </c>
      <c r="DD396" t="s">
        <v>3</v>
      </c>
      <c r="DE396" t="s">
        <v>3</v>
      </c>
      <c r="DF396">
        <f t="shared" si="118"/>
        <v>49.09</v>
      </c>
      <c r="DG396">
        <f t="shared" si="119"/>
        <v>0</v>
      </c>
      <c r="DH396">
        <f t="shared" si="120"/>
        <v>0</v>
      </c>
      <c r="DI396">
        <f t="shared" si="111"/>
        <v>0</v>
      </c>
      <c r="DJ396">
        <f t="shared" si="121"/>
        <v>49.09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ROW(Source!A297)</f>
        <v>297</v>
      </c>
      <c r="B397">
        <v>60255011</v>
      </c>
      <c r="C397">
        <v>60255674</v>
      </c>
      <c r="D397">
        <v>59039344</v>
      </c>
      <c r="E397">
        <v>1</v>
      </c>
      <c r="F397">
        <v>1</v>
      </c>
      <c r="G397">
        <v>1080</v>
      </c>
      <c r="H397">
        <v>3</v>
      </c>
      <c r="I397" t="s">
        <v>541</v>
      </c>
      <c r="J397" t="s">
        <v>542</v>
      </c>
      <c r="K397" t="s">
        <v>543</v>
      </c>
      <c r="L397">
        <v>1346</v>
      </c>
      <c r="N397">
        <v>1009</v>
      </c>
      <c r="O397" t="s">
        <v>528</v>
      </c>
      <c r="P397" t="s">
        <v>528</v>
      </c>
      <c r="Q397">
        <v>1</v>
      </c>
      <c r="W397">
        <v>0</v>
      </c>
      <c r="X397">
        <v>1135396300</v>
      </c>
      <c r="Y397">
        <f t="shared" si="112"/>
        <v>0.53</v>
      </c>
      <c r="AA397">
        <v>85.4</v>
      </c>
      <c r="AB397">
        <v>0</v>
      </c>
      <c r="AC397">
        <v>0</v>
      </c>
      <c r="AD397">
        <v>0</v>
      </c>
      <c r="AE397">
        <v>20.190000000000001</v>
      </c>
      <c r="AF397">
        <v>0</v>
      </c>
      <c r="AG397">
        <v>0</v>
      </c>
      <c r="AH397">
        <v>0</v>
      </c>
      <c r="AI397">
        <v>4.2300000000000004</v>
      </c>
      <c r="AJ397">
        <v>1</v>
      </c>
      <c r="AK397">
        <v>1</v>
      </c>
      <c r="AL397">
        <v>1</v>
      </c>
      <c r="AM397">
        <v>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0.53</v>
      </c>
      <c r="AU397" t="s">
        <v>3</v>
      </c>
      <c r="AV397">
        <v>0</v>
      </c>
      <c r="AW397">
        <v>2</v>
      </c>
      <c r="AX397">
        <v>60255963</v>
      </c>
      <c r="AY397">
        <v>1</v>
      </c>
      <c r="AZ397">
        <v>0</v>
      </c>
      <c r="BA397">
        <v>441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ROUND(Y397*Source!I297,9)</f>
        <v>1.06</v>
      </c>
      <c r="CY397">
        <f t="shared" si="113"/>
        <v>85.4</v>
      </c>
      <c r="CZ397">
        <f t="shared" si="114"/>
        <v>20.190000000000001</v>
      </c>
      <c r="DA397">
        <f t="shared" si="115"/>
        <v>4.2300000000000004</v>
      </c>
      <c r="DB397">
        <f t="shared" si="116"/>
        <v>10.7</v>
      </c>
      <c r="DC397">
        <f t="shared" si="117"/>
        <v>0</v>
      </c>
      <c r="DD397" t="s">
        <v>3</v>
      </c>
      <c r="DE397" t="s">
        <v>3</v>
      </c>
      <c r="DF397">
        <f t="shared" si="118"/>
        <v>90.52</v>
      </c>
      <c r="DG397">
        <f t="shared" si="119"/>
        <v>0</v>
      </c>
      <c r="DH397">
        <f t="shared" si="120"/>
        <v>0</v>
      </c>
      <c r="DI397">
        <f t="shared" si="111"/>
        <v>0</v>
      </c>
      <c r="DJ397">
        <f t="shared" si="121"/>
        <v>90.52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ROW(Source!A297)</f>
        <v>297</v>
      </c>
      <c r="B398">
        <v>60255011</v>
      </c>
      <c r="C398">
        <v>60255674</v>
      </c>
      <c r="D398">
        <v>59051859</v>
      </c>
      <c r="E398">
        <v>1</v>
      </c>
      <c r="F398">
        <v>1</v>
      </c>
      <c r="G398">
        <v>1080</v>
      </c>
      <c r="H398">
        <v>3</v>
      </c>
      <c r="I398" t="s">
        <v>399</v>
      </c>
      <c r="J398" t="s">
        <v>401</v>
      </c>
      <c r="K398" t="s">
        <v>400</v>
      </c>
      <c r="L398">
        <v>1301</v>
      </c>
      <c r="N398">
        <v>1003</v>
      </c>
      <c r="O398" t="s">
        <v>376</v>
      </c>
      <c r="P398" t="s">
        <v>376</v>
      </c>
      <c r="Q398">
        <v>1</v>
      </c>
      <c r="W398">
        <v>0</v>
      </c>
      <c r="X398">
        <v>-809242828</v>
      </c>
      <c r="Y398">
        <f t="shared" si="112"/>
        <v>100</v>
      </c>
      <c r="AA398">
        <v>548.62</v>
      </c>
      <c r="AB398">
        <v>0</v>
      </c>
      <c r="AC398">
        <v>0</v>
      </c>
      <c r="AD398">
        <v>0</v>
      </c>
      <c r="AE398">
        <v>33.29</v>
      </c>
      <c r="AF398">
        <v>0</v>
      </c>
      <c r="AG398">
        <v>0</v>
      </c>
      <c r="AH398">
        <v>0</v>
      </c>
      <c r="AI398">
        <v>16.48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100</v>
      </c>
      <c r="AU398" t="s">
        <v>3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ROUND(Y398*Source!I297,9)</f>
        <v>200</v>
      </c>
      <c r="CY398">
        <f t="shared" si="113"/>
        <v>548.62</v>
      </c>
      <c r="CZ398">
        <f t="shared" si="114"/>
        <v>33.29</v>
      </c>
      <c r="DA398">
        <f t="shared" si="115"/>
        <v>16.48</v>
      </c>
      <c r="DB398">
        <f t="shared" si="116"/>
        <v>3329</v>
      </c>
      <c r="DC398">
        <f t="shared" si="117"/>
        <v>0</v>
      </c>
      <c r="DD398" t="s">
        <v>3</v>
      </c>
      <c r="DE398" t="s">
        <v>3</v>
      </c>
      <c r="DF398">
        <f t="shared" si="118"/>
        <v>109724</v>
      </c>
      <c r="DG398">
        <f t="shared" si="119"/>
        <v>0</v>
      </c>
      <c r="DH398">
        <f t="shared" si="120"/>
        <v>0</v>
      </c>
      <c r="DI398">
        <f t="shared" si="111"/>
        <v>0</v>
      </c>
      <c r="DJ398">
        <f t="shared" si="121"/>
        <v>109724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ROW(Source!A300)</f>
        <v>300</v>
      </c>
      <c r="B399">
        <v>60255014</v>
      </c>
      <c r="C399">
        <v>60255704</v>
      </c>
      <c r="D399">
        <v>58999254</v>
      </c>
      <c r="E399">
        <v>1080</v>
      </c>
      <c r="F399">
        <v>1</v>
      </c>
      <c r="G399">
        <v>1080</v>
      </c>
      <c r="H399">
        <v>1</v>
      </c>
      <c r="I399" t="s">
        <v>482</v>
      </c>
      <c r="J399" t="s">
        <v>3</v>
      </c>
      <c r="K399" t="s">
        <v>483</v>
      </c>
      <c r="L399">
        <v>1191</v>
      </c>
      <c r="N399">
        <v>1013</v>
      </c>
      <c r="O399" t="s">
        <v>484</v>
      </c>
      <c r="P399" t="s">
        <v>484</v>
      </c>
      <c r="Q399">
        <v>1</v>
      </c>
      <c r="W399">
        <v>0</v>
      </c>
      <c r="X399">
        <v>476480486</v>
      </c>
      <c r="Y399">
        <f>((AT399*1.15)*1.1)</f>
        <v>37.570499999999996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29.7</v>
      </c>
      <c r="AU399" t="s">
        <v>99</v>
      </c>
      <c r="AV399">
        <v>1</v>
      </c>
      <c r="AW399">
        <v>2</v>
      </c>
      <c r="AX399">
        <v>60255967</v>
      </c>
      <c r="AY399">
        <v>1</v>
      </c>
      <c r="AZ399">
        <v>0</v>
      </c>
      <c r="BA399">
        <v>445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ROUND(AT399*Source!I300*AH399*AL399,2)</f>
        <v>0</v>
      </c>
      <c r="CV399">
        <f>ROUND(Y399*Source!I300,9)</f>
        <v>37.570500000000003</v>
      </c>
      <c r="CW399">
        <v>0</v>
      </c>
      <c r="CX399">
        <f>ROUND(Y399*Source!I300,9)</f>
        <v>37.570500000000003</v>
      </c>
      <c r="CY399">
        <f>AD399</f>
        <v>0</v>
      </c>
      <c r="CZ399">
        <f>AH399</f>
        <v>0</v>
      </c>
      <c r="DA399">
        <f>AL399</f>
        <v>1</v>
      </c>
      <c r="DB399">
        <f>ROUND(((ROUND(AT399*CZ399,2)*1.15)*1.1),6)</f>
        <v>0</v>
      </c>
      <c r="DC399">
        <f>ROUND(((ROUND(AT399*AG399,2)*1.15)*1.1),6)</f>
        <v>0</v>
      </c>
      <c r="DD399" t="s">
        <v>3</v>
      </c>
      <c r="DE399" t="s">
        <v>3</v>
      </c>
      <c r="DF399">
        <f t="shared" ref="DF399:DF415" si="122">ROUND(ROUND(AE399,2)*CX399,2)</f>
        <v>0</v>
      </c>
      <c r="DG399">
        <f t="shared" si="119"/>
        <v>0</v>
      </c>
      <c r="DH399">
        <f t="shared" si="120"/>
        <v>0</v>
      </c>
      <c r="DI399">
        <f t="shared" si="111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ROW(Source!A300)</f>
        <v>300</v>
      </c>
      <c r="B400">
        <v>60255014</v>
      </c>
      <c r="C400">
        <v>60255704</v>
      </c>
      <c r="D400">
        <v>59070372</v>
      </c>
      <c r="E400">
        <v>1</v>
      </c>
      <c r="F400">
        <v>1</v>
      </c>
      <c r="G400">
        <v>1080</v>
      </c>
      <c r="H400">
        <v>2</v>
      </c>
      <c r="I400" t="s">
        <v>556</v>
      </c>
      <c r="J400" t="s">
        <v>557</v>
      </c>
      <c r="K400" t="s">
        <v>558</v>
      </c>
      <c r="L400">
        <v>1368</v>
      </c>
      <c r="N400">
        <v>1011</v>
      </c>
      <c r="O400" t="s">
        <v>488</v>
      </c>
      <c r="P400" t="s">
        <v>488</v>
      </c>
      <c r="Q400">
        <v>1</v>
      </c>
      <c r="W400">
        <v>0</v>
      </c>
      <c r="X400">
        <v>549242131</v>
      </c>
      <c r="Y400">
        <f>((AT400*1.25)*1.1)</f>
        <v>1.58125</v>
      </c>
      <c r="AA400">
        <v>0</v>
      </c>
      <c r="AB400">
        <v>0.3</v>
      </c>
      <c r="AC400">
        <v>0</v>
      </c>
      <c r="AD400">
        <v>0</v>
      </c>
      <c r="AE400">
        <v>0</v>
      </c>
      <c r="AF400">
        <v>0.28000000000000003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1.1499999999999999</v>
      </c>
      <c r="AU400" t="s">
        <v>496</v>
      </c>
      <c r="AV400">
        <v>0</v>
      </c>
      <c r="AW400">
        <v>2</v>
      </c>
      <c r="AX400">
        <v>60255968</v>
      </c>
      <c r="AY400">
        <v>1</v>
      </c>
      <c r="AZ400">
        <v>0</v>
      </c>
      <c r="BA400">
        <v>446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ROUND(Y400*Source!I300*DO400,9)</f>
        <v>0</v>
      </c>
      <c r="CX400">
        <f>ROUND(Y400*Source!I300,9)</f>
        <v>1.58125</v>
      </c>
      <c r="CY400">
        <f>AB400</f>
        <v>0.3</v>
      </c>
      <c r="CZ400">
        <f>AF400</f>
        <v>0.28000000000000003</v>
      </c>
      <c r="DA400">
        <f>AJ400</f>
        <v>1</v>
      </c>
      <c r="DB400">
        <f>ROUND(((ROUND(AT400*CZ400,2)*1.25)*1.1),6)</f>
        <v>0.44</v>
      </c>
      <c r="DC400">
        <f>ROUND(((ROUND(AT400*AG400,2)*1.25)*1.1),6)</f>
        <v>0</v>
      </c>
      <c r="DD400" t="s">
        <v>3</v>
      </c>
      <c r="DE400" t="s">
        <v>3</v>
      </c>
      <c r="DF400">
        <f t="shared" si="122"/>
        <v>0</v>
      </c>
      <c r="DG400">
        <f t="shared" si="119"/>
        <v>0.44</v>
      </c>
      <c r="DH400">
        <f t="shared" si="120"/>
        <v>0</v>
      </c>
      <c r="DI400">
        <f t="shared" si="111"/>
        <v>0</v>
      </c>
      <c r="DJ400">
        <f>DG400</f>
        <v>0.44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ROW(Source!A300)</f>
        <v>300</v>
      </c>
      <c r="B401">
        <v>60255014</v>
      </c>
      <c r="C401">
        <v>60255704</v>
      </c>
      <c r="D401">
        <v>59070669</v>
      </c>
      <c r="E401">
        <v>1</v>
      </c>
      <c r="F401">
        <v>1</v>
      </c>
      <c r="G401">
        <v>1080</v>
      </c>
      <c r="H401">
        <v>2</v>
      </c>
      <c r="I401" t="s">
        <v>485</v>
      </c>
      <c r="J401" t="s">
        <v>486</v>
      </c>
      <c r="K401" t="s">
        <v>487</v>
      </c>
      <c r="L401">
        <v>1368</v>
      </c>
      <c r="N401">
        <v>1011</v>
      </c>
      <c r="O401" t="s">
        <v>488</v>
      </c>
      <c r="P401" t="s">
        <v>488</v>
      </c>
      <c r="Q401">
        <v>1</v>
      </c>
      <c r="W401">
        <v>0</v>
      </c>
      <c r="X401">
        <v>-1985943078</v>
      </c>
      <c r="Y401">
        <f>((AT401*1.25)*1.1)</f>
        <v>0.48125000000000007</v>
      </c>
      <c r="AA401">
        <v>0</v>
      </c>
      <c r="AB401">
        <v>88.67</v>
      </c>
      <c r="AC401">
        <v>13.47</v>
      </c>
      <c r="AD401">
        <v>0</v>
      </c>
      <c r="AE401">
        <v>0</v>
      </c>
      <c r="AF401">
        <v>83.1</v>
      </c>
      <c r="AG401">
        <v>12.62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0.35</v>
      </c>
      <c r="AU401" t="s">
        <v>496</v>
      </c>
      <c r="AV401">
        <v>0</v>
      </c>
      <c r="AW401">
        <v>2</v>
      </c>
      <c r="AX401">
        <v>60255969</v>
      </c>
      <c r="AY401">
        <v>1</v>
      </c>
      <c r="AZ401">
        <v>0</v>
      </c>
      <c r="BA401">
        <v>447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ROUND(Y401*Source!I300*DO401,9)</f>
        <v>6.0733750000000004</v>
      </c>
      <c r="CX401">
        <f>ROUND(Y401*Source!I300,9)</f>
        <v>0.48125000000000001</v>
      </c>
      <c r="CY401">
        <f>AB401</f>
        <v>88.67</v>
      </c>
      <c r="CZ401">
        <f>AF401</f>
        <v>83.1</v>
      </c>
      <c r="DA401">
        <f>AJ401</f>
        <v>1</v>
      </c>
      <c r="DB401">
        <f>ROUND(((ROUND(AT401*CZ401,2)*1.25)*1.1),6)</f>
        <v>39.998750000000001</v>
      </c>
      <c r="DC401">
        <f>ROUND(((ROUND(AT401*AG401,2)*1.25)*1.1),6)</f>
        <v>6.0774999999999997</v>
      </c>
      <c r="DD401" t="s">
        <v>3</v>
      </c>
      <c r="DE401" t="s">
        <v>3</v>
      </c>
      <c r="DF401">
        <f t="shared" si="122"/>
        <v>0</v>
      </c>
      <c r="DG401">
        <f t="shared" si="119"/>
        <v>39.99</v>
      </c>
      <c r="DH401">
        <f t="shared" si="120"/>
        <v>6.07</v>
      </c>
      <c r="DI401">
        <f t="shared" si="111"/>
        <v>0</v>
      </c>
      <c r="DJ401">
        <f>DG401</f>
        <v>39.99</v>
      </c>
      <c r="DK401">
        <v>0</v>
      </c>
      <c r="DL401" t="s">
        <v>489</v>
      </c>
      <c r="DM401">
        <v>0</v>
      </c>
      <c r="DN401" t="s">
        <v>484</v>
      </c>
      <c r="DO401">
        <v>12.62</v>
      </c>
    </row>
    <row r="402" spans="1:119" x14ac:dyDescent="0.2">
      <c r="A402">
        <f>ROW(Source!A300)</f>
        <v>300</v>
      </c>
      <c r="B402">
        <v>60255014</v>
      </c>
      <c r="C402">
        <v>60255704</v>
      </c>
      <c r="D402">
        <v>59069905</v>
      </c>
      <c r="E402">
        <v>1</v>
      </c>
      <c r="F402">
        <v>1</v>
      </c>
      <c r="G402">
        <v>1080</v>
      </c>
      <c r="H402">
        <v>2</v>
      </c>
      <c r="I402" t="s">
        <v>503</v>
      </c>
      <c r="J402" t="s">
        <v>504</v>
      </c>
      <c r="K402" t="s">
        <v>505</v>
      </c>
      <c r="L402">
        <v>1368</v>
      </c>
      <c r="N402">
        <v>1011</v>
      </c>
      <c r="O402" t="s">
        <v>488</v>
      </c>
      <c r="P402" t="s">
        <v>488</v>
      </c>
      <c r="Q402">
        <v>1</v>
      </c>
      <c r="W402">
        <v>0</v>
      </c>
      <c r="X402">
        <v>1087580389</v>
      </c>
      <c r="Y402">
        <f>((AT402*1.25)*1.1)</f>
        <v>9.6250000000000016E-2</v>
      </c>
      <c r="AA402">
        <v>0</v>
      </c>
      <c r="AB402">
        <v>191.17</v>
      </c>
      <c r="AC402">
        <v>18.059999999999999</v>
      </c>
      <c r="AD402">
        <v>0</v>
      </c>
      <c r="AE402">
        <v>0</v>
      </c>
      <c r="AF402">
        <v>179.17</v>
      </c>
      <c r="AG402">
        <v>16.93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7.0000000000000007E-2</v>
      </c>
      <c r="AU402" t="s">
        <v>496</v>
      </c>
      <c r="AV402">
        <v>0</v>
      </c>
      <c r="AW402">
        <v>2</v>
      </c>
      <c r="AX402">
        <v>60255970</v>
      </c>
      <c r="AY402">
        <v>1</v>
      </c>
      <c r="AZ402">
        <v>0</v>
      </c>
      <c r="BA402">
        <v>448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f>ROUND(Y402*Source!I300*DO402,9)</f>
        <v>1.6295124999999999</v>
      </c>
      <c r="CX402">
        <f>ROUND(Y402*Source!I300,9)</f>
        <v>9.6250000000000002E-2</v>
      </c>
      <c r="CY402">
        <f>AB402</f>
        <v>191.17</v>
      </c>
      <c r="CZ402">
        <f>AF402</f>
        <v>179.17</v>
      </c>
      <c r="DA402">
        <f>AJ402</f>
        <v>1</v>
      </c>
      <c r="DB402">
        <f>ROUND(((ROUND(AT402*CZ402,2)*1.25)*1.1),6)</f>
        <v>17.2425</v>
      </c>
      <c r="DC402">
        <f>ROUND(((ROUND(AT402*AG402,2)*1.25)*1.1),6)</f>
        <v>1.63625</v>
      </c>
      <c r="DD402" t="s">
        <v>3</v>
      </c>
      <c r="DE402" t="s">
        <v>3</v>
      </c>
      <c r="DF402">
        <f t="shared" si="122"/>
        <v>0</v>
      </c>
      <c r="DG402">
        <f t="shared" si="119"/>
        <v>17.25</v>
      </c>
      <c r="DH402">
        <f t="shared" si="120"/>
        <v>1.63</v>
      </c>
      <c r="DI402">
        <f t="shared" si="111"/>
        <v>0</v>
      </c>
      <c r="DJ402">
        <f>DG402</f>
        <v>17.25</v>
      </c>
      <c r="DK402">
        <v>0</v>
      </c>
      <c r="DL402" t="s">
        <v>489</v>
      </c>
      <c r="DM402">
        <v>0</v>
      </c>
      <c r="DN402" t="s">
        <v>484</v>
      </c>
      <c r="DO402">
        <v>16.93</v>
      </c>
    </row>
    <row r="403" spans="1:119" x14ac:dyDescent="0.2">
      <c r="A403">
        <f>ROW(Source!A300)</f>
        <v>300</v>
      </c>
      <c r="B403">
        <v>60255014</v>
      </c>
      <c r="C403">
        <v>60255704</v>
      </c>
      <c r="D403">
        <v>59038905</v>
      </c>
      <c r="E403">
        <v>1</v>
      </c>
      <c r="F403">
        <v>1</v>
      </c>
      <c r="G403">
        <v>1080</v>
      </c>
      <c r="H403">
        <v>3</v>
      </c>
      <c r="I403" t="s">
        <v>506</v>
      </c>
      <c r="J403" t="s">
        <v>507</v>
      </c>
      <c r="K403" t="s">
        <v>508</v>
      </c>
      <c r="L403">
        <v>1339</v>
      </c>
      <c r="N403">
        <v>1007</v>
      </c>
      <c r="O403" t="s">
        <v>509</v>
      </c>
      <c r="P403" t="s">
        <v>509</v>
      </c>
      <c r="Q403">
        <v>1</v>
      </c>
      <c r="W403">
        <v>0</v>
      </c>
      <c r="X403">
        <v>-744103292</v>
      </c>
      <c r="Y403">
        <f t="shared" ref="Y403:Y411" si="123">AT403</f>
        <v>0.45400000000000001</v>
      </c>
      <c r="AA403">
        <v>7.07</v>
      </c>
      <c r="AB403">
        <v>0</v>
      </c>
      <c r="AC403">
        <v>0</v>
      </c>
      <c r="AD403">
        <v>0</v>
      </c>
      <c r="AE403">
        <v>7.07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0.45400000000000001</v>
      </c>
      <c r="AU403" t="s">
        <v>3</v>
      </c>
      <c r="AV403">
        <v>0</v>
      </c>
      <c r="AW403">
        <v>2</v>
      </c>
      <c r="AX403">
        <v>60255971</v>
      </c>
      <c r="AY403">
        <v>1</v>
      </c>
      <c r="AZ403">
        <v>0</v>
      </c>
      <c r="BA403">
        <v>449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ROUND(Y403*Source!I300,9)</f>
        <v>0.45400000000000001</v>
      </c>
      <c r="CY403">
        <f t="shared" ref="CY403:CY411" si="124">AA403</f>
        <v>7.07</v>
      </c>
      <c r="CZ403">
        <f t="shared" ref="CZ403:CZ411" si="125">AE403</f>
        <v>7.07</v>
      </c>
      <c r="DA403">
        <f t="shared" ref="DA403:DA411" si="126">AI403</f>
        <v>1</v>
      </c>
      <c r="DB403">
        <f t="shared" ref="DB403:DB411" si="127">ROUND(ROUND(AT403*CZ403,2),6)</f>
        <v>3.21</v>
      </c>
      <c r="DC403">
        <f t="shared" ref="DC403:DC411" si="128">ROUND(ROUND(AT403*AG403,2),6)</f>
        <v>0</v>
      </c>
      <c r="DD403" t="s">
        <v>3</v>
      </c>
      <c r="DE403" t="s">
        <v>3</v>
      </c>
      <c r="DF403">
        <f t="shared" si="122"/>
        <v>3.21</v>
      </c>
      <c r="DG403">
        <f t="shared" si="119"/>
        <v>0</v>
      </c>
      <c r="DH403">
        <f t="shared" si="120"/>
        <v>0</v>
      </c>
      <c r="DI403">
        <f t="shared" si="111"/>
        <v>0</v>
      </c>
      <c r="DJ403">
        <f t="shared" ref="DJ403:DJ411" si="129">DF403</f>
        <v>3.21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ROW(Source!A300)</f>
        <v>300</v>
      </c>
      <c r="B404">
        <v>60255014</v>
      </c>
      <c r="C404">
        <v>60255704</v>
      </c>
      <c r="D404">
        <v>59040044</v>
      </c>
      <c r="E404">
        <v>1</v>
      </c>
      <c r="F404">
        <v>1</v>
      </c>
      <c r="G404">
        <v>1080</v>
      </c>
      <c r="H404">
        <v>3</v>
      </c>
      <c r="I404" t="s">
        <v>559</v>
      </c>
      <c r="J404" t="s">
        <v>560</v>
      </c>
      <c r="K404" t="s">
        <v>561</v>
      </c>
      <c r="L404">
        <v>1346</v>
      </c>
      <c r="N404">
        <v>1009</v>
      </c>
      <c r="O404" t="s">
        <v>528</v>
      </c>
      <c r="P404" t="s">
        <v>528</v>
      </c>
      <c r="Q404">
        <v>1</v>
      </c>
      <c r="W404">
        <v>0</v>
      </c>
      <c r="X404">
        <v>-326142876</v>
      </c>
      <c r="Y404">
        <f t="shared" si="123"/>
        <v>0.17</v>
      </c>
      <c r="AA404">
        <v>21</v>
      </c>
      <c r="AB404">
        <v>0</v>
      </c>
      <c r="AC404">
        <v>0</v>
      </c>
      <c r="AD404">
        <v>0</v>
      </c>
      <c r="AE404">
        <v>21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0.17</v>
      </c>
      <c r="AU404" t="s">
        <v>3</v>
      </c>
      <c r="AV404">
        <v>0</v>
      </c>
      <c r="AW404">
        <v>2</v>
      </c>
      <c r="AX404">
        <v>60255972</v>
      </c>
      <c r="AY404">
        <v>1</v>
      </c>
      <c r="AZ404">
        <v>0</v>
      </c>
      <c r="BA404">
        <v>450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ROUND(Y404*Source!I300,9)</f>
        <v>0.17</v>
      </c>
      <c r="CY404">
        <f t="shared" si="124"/>
        <v>21</v>
      </c>
      <c r="CZ404">
        <f t="shared" si="125"/>
        <v>21</v>
      </c>
      <c r="DA404">
        <f t="shared" si="126"/>
        <v>1</v>
      </c>
      <c r="DB404">
        <f t="shared" si="127"/>
        <v>3.57</v>
      </c>
      <c r="DC404">
        <f t="shared" si="128"/>
        <v>0</v>
      </c>
      <c r="DD404" t="s">
        <v>3</v>
      </c>
      <c r="DE404" t="s">
        <v>3</v>
      </c>
      <c r="DF404">
        <f t="shared" si="122"/>
        <v>3.57</v>
      </c>
      <c r="DG404">
        <f t="shared" si="119"/>
        <v>0</v>
      </c>
      <c r="DH404">
        <f t="shared" si="120"/>
        <v>0</v>
      </c>
      <c r="DI404">
        <f t="shared" si="111"/>
        <v>0</v>
      </c>
      <c r="DJ404">
        <f t="shared" si="129"/>
        <v>3.57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ROW(Source!A300)</f>
        <v>300</v>
      </c>
      <c r="B405">
        <v>60255014</v>
      </c>
      <c r="C405">
        <v>60255704</v>
      </c>
      <c r="D405">
        <v>59040617</v>
      </c>
      <c r="E405">
        <v>1</v>
      </c>
      <c r="F405">
        <v>1</v>
      </c>
      <c r="G405">
        <v>1080</v>
      </c>
      <c r="H405">
        <v>3</v>
      </c>
      <c r="I405" t="s">
        <v>535</v>
      </c>
      <c r="J405" t="s">
        <v>536</v>
      </c>
      <c r="K405" t="s">
        <v>537</v>
      </c>
      <c r="L405">
        <v>1346</v>
      </c>
      <c r="N405">
        <v>1009</v>
      </c>
      <c r="O405" t="s">
        <v>528</v>
      </c>
      <c r="P405" t="s">
        <v>528</v>
      </c>
      <c r="Q405">
        <v>1</v>
      </c>
      <c r="W405">
        <v>0</v>
      </c>
      <c r="X405">
        <v>-1011812427</v>
      </c>
      <c r="Y405">
        <f t="shared" si="123"/>
        <v>0.06</v>
      </c>
      <c r="AA405">
        <v>37.979999999999997</v>
      </c>
      <c r="AB405">
        <v>0</v>
      </c>
      <c r="AC405">
        <v>0</v>
      </c>
      <c r="AD405">
        <v>0</v>
      </c>
      <c r="AE405">
        <v>37.979999999999997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0.06</v>
      </c>
      <c r="AU405" t="s">
        <v>3</v>
      </c>
      <c r="AV405">
        <v>0</v>
      </c>
      <c r="AW405">
        <v>2</v>
      </c>
      <c r="AX405">
        <v>60255973</v>
      </c>
      <c r="AY405">
        <v>1</v>
      </c>
      <c r="AZ405">
        <v>0</v>
      </c>
      <c r="BA405">
        <v>451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ROUND(Y405*Source!I300,9)</f>
        <v>0.06</v>
      </c>
      <c r="CY405">
        <f t="shared" si="124"/>
        <v>37.979999999999997</v>
      </c>
      <c r="CZ405">
        <f t="shared" si="125"/>
        <v>37.979999999999997</v>
      </c>
      <c r="DA405">
        <f t="shared" si="126"/>
        <v>1</v>
      </c>
      <c r="DB405">
        <f t="shared" si="127"/>
        <v>2.2799999999999998</v>
      </c>
      <c r="DC405">
        <f t="shared" si="128"/>
        <v>0</v>
      </c>
      <c r="DD405" t="s">
        <v>3</v>
      </c>
      <c r="DE405" t="s">
        <v>3</v>
      </c>
      <c r="DF405">
        <f t="shared" si="122"/>
        <v>2.2799999999999998</v>
      </c>
      <c r="DG405">
        <f t="shared" si="119"/>
        <v>0</v>
      </c>
      <c r="DH405">
        <f t="shared" si="120"/>
        <v>0</v>
      </c>
      <c r="DI405">
        <f t="shared" si="111"/>
        <v>0</v>
      </c>
      <c r="DJ405">
        <f t="shared" si="129"/>
        <v>2.2799999999999998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ROW(Source!A300)</f>
        <v>300</v>
      </c>
      <c r="B406">
        <v>60255014</v>
      </c>
      <c r="C406">
        <v>60255704</v>
      </c>
      <c r="D406">
        <v>59039024</v>
      </c>
      <c r="E406">
        <v>1</v>
      </c>
      <c r="F406">
        <v>1</v>
      </c>
      <c r="G406">
        <v>1080</v>
      </c>
      <c r="H406">
        <v>3</v>
      </c>
      <c r="I406" t="s">
        <v>562</v>
      </c>
      <c r="J406" t="s">
        <v>563</v>
      </c>
      <c r="K406" t="s">
        <v>564</v>
      </c>
      <c r="L406">
        <v>1348</v>
      </c>
      <c r="N406">
        <v>1009</v>
      </c>
      <c r="O406" t="s">
        <v>534</v>
      </c>
      <c r="P406" t="s">
        <v>534</v>
      </c>
      <c r="Q406">
        <v>1000</v>
      </c>
      <c r="W406">
        <v>0</v>
      </c>
      <c r="X406">
        <v>1469978170</v>
      </c>
      <c r="Y406">
        <f t="shared" si="123"/>
        <v>1.0000000000000001E-5</v>
      </c>
      <c r="AA406">
        <v>3234.81</v>
      </c>
      <c r="AB406">
        <v>0</v>
      </c>
      <c r="AC406">
        <v>0</v>
      </c>
      <c r="AD406">
        <v>0</v>
      </c>
      <c r="AE406">
        <v>3234.81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-2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1.0000000000000001E-5</v>
      </c>
      <c r="AU406" t="s">
        <v>3</v>
      </c>
      <c r="AV406">
        <v>0</v>
      </c>
      <c r="AW406">
        <v>2</v>
      </c>
      <c r="AX406">
        <v>60255974</v>
      </c>
      <c r="AY406">
        <v>1</v>
      </c>
      <c r="AZ406">
        <v>0</v>
      </c>
      <c r="BA406">
        <v>452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ROUND(Y406*Source!I300,9)</f>
        <v>1.0000000000000001E-5</v>
      </c>
      <c r="CY406">
        <f t="shared" si="124"/>
        <v>3234.81</v>
      </c>
      <c r="CZ406">
        <f t="shared" si="125"/>
        <v>3234.81</v>
      </c>
      <c r="DA406">
        <f t="shared" si="126"/>
        <v>1</v>
      </c>
      <c r="DB406">
        <f t="shared" si="127"/>
        <v>0.03</v>
      </c>
      <c r="DC406">
        <f t="shared" si="128"/>
        <v>0</v>
      </c>
      <c r="DD406" t="s">
        <v>3</v>
      </c>
      <c r="DE406" t="s">
        <v>3</v>
      </c>
      <c r="DF406">
        <f t="shared" si="122"/>
        <v>0.03</v>
      </c>
      <c r="DG406">
        <f t="shared" si="119"/>
        <v>0</v>
      </c>
      <c r="DH406">
        <f t="shared" si="120"/>
        <v>0</v>
      </c>
      <c r="DI406">
        <f t="shared" si="111"/>
        <v>0</v>
      </c>
      <c r="DJ406">
        <f t="shared" si="129"/>
        <v>0.03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ROW(Source!A300)</f>
        <v>300</v>
      </c>
      <c r="B407">
        <v>60255014</v>
      </c>
      <c r="C407">
        <v>60255704</v>
      </c>
      <c r="D407">
        <v>59038837</v>
      </c>
      <c r="E407">
        <v>1</v>
      </c>
      <c r="F407">
        <v>1</v>
      </c>
      <c r="G407">
        <v>1080</v>
      </c>
      <c r="H407">
        <v>3</v>
      </c>
      <c r="I407" t="s">
        <v>565</v>
      </c>
      <c r="J407" t="s">
        <v>566</v>
      </c>
      <c r="K407" t="s">
        <v>567</v>
      </c>
      <c r="L407">
        <v>1339</v>
      </c>
      <c r="N407">
        <v>1007</v>
      </c>
      <c r="O407" t="s">
        <v>509</v>
      </c>
      <c r="P407" t="s">
        <v>509</v>
      </c>
      <c r="Q407">
        <v>1</v>
      </c>
      <c r="W407">
        <v>0</v>
      </c>
      <c r="X407">
        <v>1565098517</v>
      </c>
      <c r="Y407">
        <f t="shared" si="123"/>
        <v>0.11899999999999999</v>
      </c>
      <c r="AA407">
        <v>53.42</v>
      </c>
      <c r="AB407">
        <v>0</v>
      </c>
      <c r="AC407">
        <v>0</v>
      </c>
      <c r="AD407">
        <v>0</v>
      </c>
      <c r="AE407">
        <v>53.42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-2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0.11899999999999999</v>
      </c>
      <c r="AU407" t="s">
        <v>3</v>
      </c>
      <c r="AV407">
        <v>0</v>
      </c>
      <c r="AW407">
        <v>2</v>
      </c>
      <c r="AX407">
        <v>60255975</v>
      </c>
      <c r="AY407">
        <v>1</v>
      </c>
      <c r="AZ407">
        <v>0</v>
      </c>
      <c r="BA407">
        <v>453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ROUND(Y407*Source!I300,9)</f>
        <v>0.11899999999999999</v>
      </c>
      <c r="CY407">
        <f t="shared" si="124"/>
        <v>53.42</v>
      </c>
      <c r="CZ407">
        <f t="shared" si="125"/>
        <v>53.42</v>
      </c>
      <c r="DA407">
        <f t="shared" si="126"/>
        <v>1</v>
      </c>
      <c r="DB407">
        <f t="shared" si="127"/>
        <v>6.36</v>
      </c>
      <c r="DC407">
        <f t="shared" si="128"/>
        <v>0</v>
      </c>
      <c r="DD407" t="s">
        <v>3</v>
      </c>
      <c r="DE407" t="s">
        <v>3</v>
      </c>
      <c r="DF407">
        <f t="shared" si="122"/>
        <v>6.36</v>
      </c>
      <c r="DG407">
        <f t="shared" si="119"/>
        <v>0</v>
      </c>
      <c r="DH407">
        <f t="shared" si="120"/>
        <v>0</v>
      </c>
      <c r="DI407">
        <f t="shared" si="111"/>
        <v>0</v>
      </c>
      <c r="DJ407">
        <f t="shared" si="129"/>
        <v>6.36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ROW(Source!A300)</f>
        <v>300</v>
      </c>
      <c r="B408">
        <v>60255014</v>
      </c>
      <c r="C408">
        <v>60255704</v>
      </c>
      <c r="D408">
        <v>59039103</v>
      </c>
      <c r="E408">
        <v>1</v>
      </c>
      <c r="F408">
        <v>1</v>
      </c>
      <c r="G408">
        <v>1080</v>
      </c>
      <c r="H408">
        <v>3</v>
      </c>
      <c r="I408" t="s">
        <v>568</v>
      </c>
      <c r="J408" t="s">
        <v>569</v>
      </c>
      <c r="K408" t="s">
        <v>570</v>
      </c>
      <c r="L408">
        <v>1339</v>
      </c>
      <c r="N408">
        <v>1007</v>
      </c>
      <c r="O408" t="s">
        <v>509</v>
      </c>
      <c r="P408" t="s">
        <v>509</v>
      </c>
      <c r="Q408">
        <v>1</v>
      </c>
      <c r="W408">
        <v>0</v>
      </c>
      <c r="X408">
        <v>-388798825</v>
      </c>
      <c r="Y408">
        <f t="shared" si="123"/>
        <v>0.28100000000000003</v>
      </c>
      <c r="AA408">
        <v>5.82</v>
      </c>
      <c r="AB408">
        <v>0</v>
      </c>
      <c r="AC408">
        <v>0</v>
      </c>
      <c r="AD408">
        <v>0</v>
      </c>
      <c r="AE408">
        <v>5.82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-2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0.28100000000000003</v>
      </c>
      <c r="AU408" t="s">
        <v>3</v>
      </c>
      <c r="AV408">
        <v>0</v>
      </c>
      <c r="AW408">
        <v>2</v>
      </c>
      <c r="AX408">
        <v>60255976</v>
      </c>
      <c r="AY408">
        <v>1</v>
      </c>
      <c r="AZ408">
        <v>0</v>
      </c>
      <c r="BA408">
        <v>454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ROUND(Y408*Source!I300,9)</f>
        <v>0.28100000000000003</v>
      </c>
      <c r="CY408">
        <f t="shared" si="124"/>
        <v>5.82</v>
      </c>
      <c r="CZ408">
        <f t="shared" si="125"/>
        <v>5.82</v>
      </c>
      <c r="DA408">
        <f t="shared" si="126"/>
        <v>1</v>
      </c>
      <c r="DB408">
        <f t="shared" si="127"/>
        <v>1.64</v>
      </c>
      <c r="DC408">
        <f t="shared" si="128"/>
        <v>0</v>
      </c>
      <c r="DD408" t="s">
        <v>3</v>
      </c>
      <c r="DE408" t="s">
        <v>3</v>
      </c>
      <c r="DF408">
        <f t="shared" si="122"/>
        <v>1.64</v>
      </c>
      <c r="DG408">
        <f t="shared" si="119"/>
        <v>0</v>
      </c>
      <c r="DH408">
        <f t="shared" si="120"/>
        <v>0</v>
      </c>
      <c r="DI408">
        <f t="shared" si="111"/>
        <v>0</v>
      </c>
      <c r="DJ408">
        <f t="shared" si="129"/>
        <v>1.64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ROW(Source!A300)</f>
        <v>300</v>
      </c>
      <c r="B409">
        <v>60255014</v>
      </c>
      <c r="C409">
        <v>60255704</v>
      </c>
      <c r="D409">
        <v>59039175</v>
      </c>
      <c r="E409">
        <v>1</v>
      </c>
      <c r="F409">
        <v>1</v>
      </c>
      <c r="G409">
        <v>1080</v>
      </c>
      <c r="H409">
        <v>3</v>
      </c>
      <c r="I409" t="s">
        <v>538</v>
      </c>
      <c r="J409" t="s">
        <v>539</v>
      </c>
      <c r="K409" t="s">
        <v>540</v>
      </c>
      <c r="L409">
        <v>1348</v>
      </c>
      <c r="N409">
        <v>1009</v>
      </c>
      <c r="O409" t="s">
        <v>534</v>
      </c>
      <c r="P409" t="s">
        <v>534</v>
      </c>
      <c r="Q409">
        <v>1000</v>
      </c>
      <c r="W409">
        <v>0</v>
      </c>
      <c r="X409">
        <v>356473523</v>
      </c>
      <c r="Y409">
        <f t="shared" si="123"/>
        <v>4.4000000000000002E-4</v>
      </c>
      <c r="AA409">
        <v>16214.84</v>
      </c>
      <c r="AB409">
        <v>0</v>
      </c>
      <c r="AC409">
        <v>0</v>
      </c>
      <c r="AD409">
        <v>0</v>
      </c>
      <c r="AE409">
        <v>16214.84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4.4000000000000002E-4</v>
      </c>
      <c r="AU409" t="s">
        <v>3</v>
      </c>
      <c r="AV409">
        <v>0</v>
      </c>
      <c r="AW409">
        <v>2</v>
      </c>
      <c r="AX409">
        <v>60255977</v>
      </c>
      <c r="AY409">
        <v>1</v>
      </c>
      <c r="AZ409">
        <v>0</v>
      </c>
      <c r="BA409">
        <v>455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ROUND(Y409*Source!I300,9)</f>
        <v>4.4000000000000002E-4</v>
      </c>
      <c r="CY409">
        <f t="shared" si="124"/>
        <v>16214.84</v>
      </c>
      <c r="CZ409">
        <f t="shared" si="125"/>
        <v>16214.84</v>
      </c>
      <c r="DA409">
        <f t="shared" si="126"/>
        <v>1</v>
      </c>
      <c r="DB409">
        <f t="shared" si="127"/>
        <v>7.13</v>
      </c>
      <c r="DC409">
        <f t="shared" si="128"/>
        <v>0</v>
      </c>
      <c r="DD409" t="s">
        <v>3</v>
      </c>
      <c r="DE409" t="s">
        <v>3</v>
      </c>
      <c r="DF409">
        <f t="shared" si="122"/>
        <v>7.13</v>
      </c>
      <c r="DG409">
        <f t="shared" si="119"/>
        <v>0</v>
      </c>
      <c r="DH409">
        <f t="shared" si="120"/>
        <v>0</v>
      </c>
      <c r="DI409">
        <f t="shared" si="111"/>
        <v>0</v>
      </c>
      <c r="DJ409">
        <f t="shared" si="129"/>
        <v>7.13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ROW(Source!A300)</f>
        <v>300</v>
      </c>
      <c r="B410">
        <v>60255014</v>
      </c>
      <c r="C410">
        <v>60255704</v>
      </c>
      <c r="D410">
        <v>59039344</v>
      </c>
      <c r="E410">
        <v>1</v>
      </c>
      <c r="F410">
        <v>1</v>
      </c>
      <c r="G410">
        <v>1080</v>
      </c>
      <c r="H410">
        <v>3</v>
      </c>
      <c r="I410" t="s">
        <v>541</v>
      </c>
      <c r="J410" t="s">
        <v>542</v>
      </c>
      <c r="K410" t="s">
        <v>543</v>
      </c>
      <c r="L410">
        <v>1346</v>
      </c>
      <c r="N410">
        <v>1009</v>
      </c>
      <c r="O410" t="s">
        <v>528</v>
      </c>
      <c r="P410" t="s">
        <v>528</v>
      </c>
      <c r="Q410">
        <v>1</v>
      </c>
      <c r="W410">
        <v>0</v>
      </c>
      <c r="X410">
        <v>1135396300</v>
      </c>
      <c r="Y410">
        <f t="shared" si="123"/>
        <v>0.53</v>
      </c>
      <c r="AA410">
        <v>20.190000000000001</v>
      </c>
      <c r="AB410">
        <v>0</v>
      </c>
      <c r="AC410">
        <v>0</v>
      </c>
      <c r="AD410">
        <v>0</v>
      </c>
      <c r="AE410">
        <v>20.190000000000001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-2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0.53</v>
      </c>
      <c r="AU410" t="s">
        <v>3</v>
      </c>
      <c r="AV410">
        <v>0</v>
      </c>
      <c r="AW410">
        <v>2</v>
      </c>
      <c r="AX410">
        <v>60255978</v>
      </c>
      <c r="AY410">
        <v>1</v>
      </c>
      <c r="AZ410">
        <v>0</v>
      </c>
      <c r="BA410">
        <v>456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ROUND(Y410*Source!I300,9)</f>
        <v>0.53</v>
      </c>
      <c r="CY410">
        <f t="shared" si="124"/>
        <v>20.190000000000001</v>
      </c>
      <c r="CZ410">
        <f t="shared" si="125"/>
        <v>20.190000000000001</v>
      </c>
      <c r="DA410">
        <f t="shared" si="126"/>
        <v>1</v>
      </c>
      <c r="DB410">
        <f t="shared" si="127"/>
        <v>10.7</v>
      </c>
      <c r="DC410">
        <f t="shared" si="128"/>
        <v>0</v>
      </c>
      <c r="DD410" t="s">
        <v>3</v>
      </c>
      <c r="DE410" t="s">
        <v>3</v>
      </c>
      <c r="DF410">
        <f t="shared" si="122"/>
        <v>10.7</v>
      </c>
      <c r="DG410">
        <f t="shared" si="119"/>
        <v>0</v>
      </c>
      <c r="DH410">
        <f t="shared" si="120"/>
        <v>0</v>
      </c>
      <c r="DI410">
        <f t="shared" si="111"/>
        <v>0</v>
      </c>
      <c r="DJ410">
        <f t="shared" si="129"/>
        <v>10.7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ROW(Source!A300)</f>
        <v>300</v>
      </c>
      <c r="B411">
        <v>60255014</v>
      </c>
      <c r="C411">
        <v>60255704</v>
      </c>
      <c r="D411">
        <v>59051860</v>
      </c>
      <c r="E411">
        <v>1</v>
      </c>
      <c r="F411">
        <v>1</v>
      </c>
      <c r="G411">
        <v>1080</v>
      </c>
      <c r="H411">
        <v>3</v>
      </c>
      <c r="I411" t="s">
        <v>407</v>
      </c>
      <c r="J411" t="s">
        <v>409</v>
      </c>
      <c r="K411" t="s">
        <v>408</v>
      </c>
      <c r="L411">
        <v>1301</v>
      </c>
      <c r="N411">
        <v>1003</v>
      </c>
      <c r="O411" t="s">
        <v>376</v>
      </c>
      <c r="P411" t="s">
        <v>376</v>
      </c>
      <c r="Q411">
        <v>1</v>
      </c>
      <c r="W411">
        <v>0</v>
      </c>
      <c r="X411">
        <v>962967429</v>
      </c>
      <c r="Y411">
        <f t="shared" si="123"/>
        <v>100</v>
      </c>
      <c r="AA411">
        <v>35.979999999999997</v>
      </c>
      <c r="AB411">
        <v>0</v>
      </c>
      <c r="AC411">
        <v>0</v>
      </c>
      <c r="AD411">
        <v>0</v>
      </c>
      <c r="AE411">
        <v>35.979999999999997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 t="s">
        <v>3</v>
      </c>
      <c r="AT411">
        <v>100</v>
      </c>
      <c r="AU411" t="s">
        <v>3</v>
      </c>
      <c r="AV411">
        <v>0</v>
      </c>
      <c r="AW411">
        <v>1</v>
      </c>
      <c r="AX411">
        <v>-1</v>
      </c>
      <c r="AY411">
        <v>0</v>
      </c>
      <c r="AZ411">
        <v>0</v>
      </c>
      <c r="BA411" t="s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ROUND(Y411*Source!I300,9)</f>
        <v>100</v>
      </c>
      <c r="CY411">
        <f t="shared" si="124"/>
        <v>35.979999999999997</v>
      </c>
      <c r="CZ411">
        <f t="shared" si="125"/>
        <v>35.979999999999997</v>
      </c>
      <c r="DA411">
        <f t="shared" si="126"/>
        <v>1</v>
      </c>
      <c r="DB411">
        <f t="shared" si="127"/>
        <v>3598</v>
      </c>
      <c r="DC411">
        <f t="shared" si="128"/>
        <v>0</v>
      </c>
      <c r="DD411" t="s">
        <v>3</v>
      </c>
      <c r="DE411" t="s">
        <v>3</v>
      </c>
      <c r="DF411">
        <f t="shared" si="122"/>
        <v>3598</v>
      </c>
      <c r="DG411">
        <f t="shared" si="119"/>
        <v>0</v>
      </c>
      <c r="DH411">
        <f t="shared" si="120"/>
        <v>0</v>
      </c>
      <c r="DI411">
        <f t="shared" si="111"/>
        <v>0</v>
      </c>
      <c r="DJ411">
        <f t="shared" si="129"/>
        <v>3598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ROW(Source!A301)</f>
        <v>301</v>
      </c>
      <c r="B412">
        <v>60255011</v>
      </c>
      <c r="C412">
        <v>60255704</v>
      </c>
      <c r="D412">
        <v>58999254</v>
      </c>
      <c r="E412">
        <v>1080</v>
      </c>
      <c r="F412">
        <v>1</v>
      </c>
      <c r="G412">
        <v>1080</v>
      </c>
      <c r="H412">
        <v>1</v>
      </c>
      <c r="I412" t="s">
        <v>482</v>
      </c>
      <c r="J412" t="s">
        <v>3</v>
      </c>
      <c r="K412" t="s">
        <v>483</v>
      </c>
      <c r="L412">
        <v>1191</v>
      </c>
      <c r="N412">
        <v>1013</v>
      </c>
      <c r="O412" t="s">
        <v>484</v>
      </c>
      <c r="P412" t="s">
        <v>484</v>
      </c>
      <c r="Q412">
        <v>1</v>
      </c>
      <c r="W412">
        <v>0</v>
      </c>
      <c r="X412">
        <v>476480486</v>
      </c>
      <c r="Y412">
        <f>((AT412*1.15)*1.1)</f>
        <v>37.570499999999996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5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29.7</v>
      </c>
      <c r="AU412" t="s">
        <v>99</v>
      </c>
      <c r="AV412">
        <v>1</v>
      </c>
      <c r="AW412">
        <v>2</v>
      </c>
      <c r="AX412">
        <v>60255967</v>
      </c>
      <c r="AY412">
        <v>1</v>
      </c>
      <c r="AZ412">
        <v>0</v>
      </c>
      <c r="BA412">
        <v>460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U412">
        <f>ROUND(AT412*Source!I301*AH412*AL412,2)</f>
        <v>0</v>
      </c>
      <c r="CV412">
        <f>ROUND(Y412*Source!I301,9)</f>
        <v>37.570500000000003</v>
      </c>
      <c r="CW412">
        <v>0</v>
      </c>
      <c r="CX412">
        <f>ROUND(Y412*Source!I301,9)</f>
        <v>37.570500000000003</v>
      </c>
      <c r="CY412">
        <f>AD412</f>
        <v>0</v>
      </c>
      <c r="CZ412">
        <f>AH412</f>
        <v>0</v>
      </c>
      <c r="DA412">
        <f>AL412</f>
        <v>1</v>
      </c>
      <c r="DB412">
        <f>ROUND(((ROUND(AT412*CZ412,2)*1.15)*1.1),6)</f>
        <v>0</v>
      </c>
      <c r="DC412">
        <f>ROUND(((ROUND(AT412*AG412,2)*1.15)*1.1),6)</f>
        <v>0</v>
      </c>
      <c r="DD412" t="s">
        <v>3</v>
      </c>
      <c r="DE412" t="s">
        <v>3</v>
      </c>
      <c r="DF412">
        <f t="shared" si="122"/>
        <v>0</v>
      </c>
      <c r="DG412">
        <f t="shared" si="119"/>
        <v>0</v>
      </c>
      <c r="DH412">
        <f t="shared" si="120"/>
        <v>0</v>
      </c>
      <c r="DI412">
        <f t="shared" si="111"/>
        <v>0</v>
      </c>
      <c r="DJ412">
        <f>DI412</f>
        <v>0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ROW(Source!A301)</f>
        <v>301</v>
      </c>
      <c r="B413">
        <v>60255011</v>
      </c>
      <c r="C413">
        <v>60255704</v>
      </c>
      <c r="D413">
        <v>59070372</v>
      </c>
      <c r="E413">
        <v>1</v>
      </c>
      <c r="F413">
        <v>1</v>
      </c>
      <c r="G413">
        <v>1080</v>
      </c>
      <c r="H413">
        <v>2</v>
      </c>
      <c r="I413" t="s">
        <v>556</v>
      </c>
      <c r="J413" t="s">
        <v>557</v>
      </c>
      <c r="K413" t="s">
        <v>558</v>
      </c>
      <c r="L413">
        <v>1368</v>
      </c>
      <c r="N413">
        <v>1011</v>
      </c>
      <c r="O413" t="s">
        <v>488</v>
      </c>
      <c r="P413" t="s">
        <v>488</v>
      </c>
      <c r="Q413">
        <v>1</v>
      </c>
      <c r="W413">
        <v>0</v>
      </c>
      <c r="X413">
        <v>549242131</v>
      </c>
      <c r="Y413">
        <f>((AT413*1.25)*1.1)</f>
        <v>1.58125</v>
      </c>
      <c r="AA413">
        <v>0</v>
      </c>
      <c r="AB413">
        <v>2.5299999999999998</v>
      </c>
      <c r="AC413">
        <v>0</v>
      </c>
      <c r="AD413">
        <v>0</v>
      </c>
      <c r="AE413">
        <v>0</v>
      </c>
      <c r="AF413">
        <v>0.28000000000000003</v>
      </c>
      <c r="AG413">
        <v>0</v>
      </c>
      <c r="AH413">
        <v>0</v>
      </c>
      <c r="AI413">
        <v>1</v>
      </c>
      <c r="AJ413">
        <v>8.4600000000000009</v>
      </c>
      <c r="AK413">
        <v>54.99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1.1499999999999999</v>
      </c>
      <c r="AU413" t="s">
        <v>496</v>
      </c>
      <c r="AV413">
        <v>0</v>
      </c>
      <c r="AW413">
        <v>2</v>
      </c>
      <c r="AX413">
        <v>60255968</v>
      </c>
      <c r="AY413">
        <v>1</v>
      </c>
      <c r="AZ413">
        <v>0</v>
      </c>
      <c r="BA413">
        <v>461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f>ROUND(Y413*Source!I301*DO413,9)</f>
        <v>0</v>
      </c>
      <c r="CX413">
        <f>ROUND(Y413*Source!I301,9)</f>
        <v>1.58125</v>
      </c>
      <c r="CY413">
        <f>AB413</f>
        <v>2.5299999999999998</v>
      </c>
      <c r="CZ413">
        <f>AF413</f>
        <v>0.28000000000000003</v>
      </c>
      <c r="DA413">
        <f>AJ413</f>
        <v>8.4600000000000009</v>
      </c>
      <c r="DB413">
        <f>ROUND(((ROUND(AT413*CZ413,2)*1.25)*1.1),6)</f>
        <v>0.44</v>
      </c>
      <c r="DC413">
        <f>ROUND(((ROUND(AT413*AG413,2)*1.25)*1.1),6)</f>
        <v>0</v>
      </c>
      <c r="DD413" t="s">
        <v>3</v>
      </c>
      <c r="DE413" t="s">
        <v>3</v>
      </c>
      <c r="DF413">
        <f t="shared" si="122"/>
        <v>0</v>
      </c>
      <c r="DG413">
        <f>ROUND(ROUND(AF413*AJ413,2)*CX413,2)</f>
        <v>3.75</v>
      </c>
      <c r="DH413">
        <f>ROUND(ROUND(AG413*AK413,2)*CX413,2)</f>
        <v>0</v>
      </c>
      <c r="DI413">
        <f t="shared" si="111"/>
        <v>0</v>
      </c>
      <c r="DJ413">
        <f>DG413</f>
        <v>3.75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ROW(Source!A301)</f>
        <v>301</v>
      </c>
      <c r="B414">
        <v>60255011</v>
      </c>
      <c r="C414">
        <v>60255704</v>
      </c>
      <c r="D414">
        <v>59070669</v>
      </c>
      <c r="E414">
        <v>1</v>
      </c>
      <c r="F414">
        <v>1</v>
      </c>
      <c r="G414">
        <v>1080</v>
      </c>
      <c r="H414">
        <v>2</v>
      </c>
      <c r="I414" t="s">
        <v>485</v>
      </c>
      <c r="J414" t="s">
        <v>486</v>
      </c>
      <c r="K414" t="s">
        <v>487</v>
      </c>
      <c r="L414">
        <v>1368</v>
      </c>
      <c r="N414">
        <v>1011</v>
      </c>
      <c r="O414" t="s">
        <v>488</v>
      </c>
      <c r="P414" t="s">
        <v>488</v>
      </c>
      <c r="Q414">
        <v>1</v>
      </c>
      <c r="W414">
        <v>0</v>
      </c>
      <c r="X414">
        <v>-1985943078</v>
      </c>
      <c r="Y414">
        <f>((AT414*1.25)*1.1)</f>
        <v>0.48125000000000007</v>
      </c>
      <c r="AA414">
        <v>0</v>
      </c>
      <c r="AB414">
        <v>1445.28</v>
      </c>
      <c r="AC414">
        <v>740.47</v>
      </c>
      <c r="AD414">
        <v>0</v>
      </c>
      <c r="AE414">
        <v>0</v>
      </c>
      <c r="AF414">
        <v>83.1</v>
      </c>
      <c r="AG414">
        <v>12.62</v>
      </c>
      <c r="AH414">
        <v>0</v>
      </c>
      <c r="AI414">
        <v>1</v>
      </c>
      <c r="AJ414">
        <v>16.3</v>
      </c>
      <c r="AK414">
        <v>54.99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0.35</v>
      </c>
      <c r="AU414" t="s">
        <v>496</v>
      </c>
      <c r="AV414">
        <v>0</v>
      </c>
      <c r="AW414">
        <v>2</v>
      </c>
      <c r="AX414">
        <v>60255969</v>
      </c>
      <c r="AY414">
        <v>1</v>
      </c>
      <c r="AZ414">
        <v>0</v>
      </c>
      <c r="BA414">
        <v>462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ROUND(Y414*Source!I301*DO414,9)</f>
        <v>6.0733750000000004</v>
      </c>
      <c r="CX414">
        <f>ROUND(Y414*Source!I301,9)</f>
        <v>0.48125000000000001</v>
      </c>
      <c r="CY414">
        <f>AB414</f>
        <v>1445.28</v>
      </c>
      <c r="CZ414">
        <f>AF414</f>
        <v>83.1</v>
      </c>
      <c r="DA414">
        <f>AJ414</f>
        <v>16.3</v>
      </c>
      <c r="DB414">
        <f>ROUND(((ROUND(AT414*CZ414,2)*1.25)*1.1),6)</f>
        <v>39.998750000000001</v>
      </c>
      <c r="DC414">
        <f>ROUND(((ROUND(AT414*AG414,2)*1.25)*1.1),6)</f>
        <v>6.0774999999999997</v>
      </c>
      <c r="DD414" t="s">
        <v>3</v>
      </c>
      <c r="DE414" t="s">
        <v>3</v>
      </c>
      <c r="DF414">
        <f t="shared" si="122"/>
        <v>0</v>
      </c>
      <c r="DG414">
        <f>ROUND(ROUND(AF414*AJ414,2)*CX414,2)</f>
        <v>651.87</v>
      </c>
      <c r="DH414">
        <f>ROUND(ROUND(AG414*AK414,2)*CX414,2)</f>
        <v>333.97</v>
      </c>
      <c r="DI414">
        <f t="shared" si="111"/>
        <v>0</v>
      </c>
      <c r="DJ414">
        <f>DG414</f>
        <v>651.87</v>
      </c>
      <c r="DK414">
        <v>0</v>
      </c>
      <c r="DL414" t="s">
        <v>489</v>
      </c>
      <c r="DM414">
        <v>0</v>
      </c>
      <c r="DN414" t="s">
        <v>484</v>
      </c>
      <c r="DO414">
        <v>12.62</v>
      </c>
    </row>
    <row r="415" spans="1:119" x14ac:dyDescent="0.2">
      <c r="A415">
        <f>ROW(Source!A301)</f>
        <v>301</v>
      </c>
      <c r="B415">
        <v>60255011</v>
      </c>
      <c r="C415">
        <v>60255704</v>
      </c>
      <c r="D415">
        <v>59069905</v>
      </c>
      <c r="E415">
        <v>1</v>
      </c>
      <c r="F415">
        <v>1</v>
      </c>
      <c r="G415">
        <v>1080</v>
      </c>
      <c r="H415">
        <v>2</v>
      </c>
      <c r="I415" t="s">
        <v>503</v>
      </c>
      <c r="J415" t="s">
        <v>504</v>
      </c>
      <c r="K415" t="s">
        <v>505</v>
      </c>
      <c r="L415">
        <v>1368</v>
      </c>
      <c r="N415">
        <v>1011</v>
      </c>
      <c r="O415" t="s">
        <v>488</v>
      </c>
      <c r="P415" t="s">
        <v>488</v>
      </c>
      <c r="Q415">
        <v>1</v>
      </c>
      <c r="W415">
        <v>0</v>
      </c>
      <c r="X415">
        <v>1087580389</v>
      </c>
      <c r="Y415">
        <f>((AT415*1.25)*1.1)</f>
        <v>9.6250000000000016E-2</v>
      </c>
      <c r="AA415">
        <v>0</v>
      </c>
      <c r="AB415">
        <v>2628.65</v>
      </c>
      <c r="AC415">
        <v>993.36</v>
      </c>
      <c r="AD415">
        <v>0</v>
      </c>
      <c r="AE415">
        <v>0</v>
      </c>
      <c r="AF415">
        <v>179.17</v>
      </c>
      <c r="AG415">
        <v>16.93</v>
      </c>
      <c r="AH415">
        <v>0</v>
      </c>
      <c r="AI415">
        <v>1</v>
      </c>
      <c r="AJ415">
        <v>13.75</v>
      </c>
      <c r="AK415">
        <v>54.99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7.0000000000000007E-2</v>
      </c>
      <c r="AU415" t="s">
        <v>496</v>
      </c>
      <c r="AV415">
        <v>0</v>
      </c>
      <c r="AW415">
        <v>2</v>
      </c>
      <c r="AX415">
        <v>60255970</v>
      </c>
      <c r="AY415">
        <v>1</v>
      </c>
      <c r="AZ415">
        <v>0</v>
      </c>
      <c r="BA415">
        <v>463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ROUND(Y415*Source!I301*DO415,9)</f>
        <v>1.6295124999999999</v>
      </c>
      <c r="CX415">
        <f>ROUND(Y415*Source!I301,9)</f>
        <v>9.6250000000000002E-2</v>
      </c>
      <c r="CY415">
        <f>AB415</f>
        <v>2628.65</v>
      </c>
      <c r="CZ415">
        <f>AF415</f>
        <v>179.17</v>
      </c>
      <c r="DA415">
        <f>AJ415</f>
        <v>13.75</v>
      </c>
      <c r="DB415">
        <f>ROUND(((ROUND(AT415*CZ415,2)*1.25)*1.1),6)</f>
        <v>17.2425</v>
      </c>
      <c r="DC415">
        <f>ROUND(((ROUND(AT415*AG415,2)*1.25)*1.1),6)</f>
        <v>1.63625</v>
      </c>
      <c r="DD415" t="s">
        <v>3</v>
      </c>
      <c r="DE415" t="s">
        <v>3</v>
      </c>
      <c r="DF415">
        <f t="shared" si="122"/>
        <v>0</v>
      </c>
      <c r="DG415">
        <f>ROUND(ROUND(AF415*AJ415,2)*CX415,2)</f>
        <v>237.12</v>
      </c>
      <c r="DH415">
        <f>ROUND(ROUND(AG415*AK415,2)*CX415,2)</f>
        <v>89.61</v>
      </c>
      <c r="DI415">
        <f t="shared" si="111"/>
        <v>0</v>
      </c>
      <c r="DJ415">
        <f>DG415</f>
        <v>237.12</v>
      </c>
      <c r="DK415">
        <v>0</v>
      </c>
      <c r="DL415" t="s">
        <v>489</v>
      </c>
      <c r="DM415">
        <v>0</v>
      </c>
      <c r="DN415" t="s">
        <v>484</v>
      </c>
      <c r="DO415">
        <v>16.93</v>
      </c>
    </row>
    <row r="416" spans="1:119" x14ac:dyDescent="0.2">
      <c r="A416">
        <f>ROW(Source!A301)</f>
        <v>301</v>
      </c>
      <c r="B416">
        <v>60255011</v>
      </c>
      <c r="C416">
        <v>60255704</v>
      </c>
      <c r="D416">
        <v>59038905</v>
      </c>
      <c r="E416">
        <v>1</v>
      </c>
      <c r="F416">
        <v>1</v>
      </c>
      <c r="G416">
        <v>1080</v>
      </c>
      <c r="H416">
        <v>3</v>
      </c>
      <c r="I416" t="s">
        <v>506</v>
      </c>
      <c r="J416" t="s">
        <v>507</v>
      </c>
      <c r="K416" t="s">
        <v>508</v>
      </c>
      <c r="L416">
        <v>1339</v>
      </c>
      <c r="N416">
        <v>1007</v>
      </c>
      <c r="O416" t="s">
        <v>509</v>
      </c>
      <c r="P416" t="s">
        <v>509</v>
      </c>
      <c r="Q416">
        <v>1</v>
      </c>
      <c r="W416">
        <v>0</v>
      </c>
      <c r="X416">
        <v>-744103292</v>
      </c>
      <c r="Y416">
        <f t="shared" ref="Y416:Y424" si="130">AT416</f>
        <v>0.45400000000000001</v>
      </c>
      <c r="AA416">
        <v>54.79</v>
      </c>
      <c r="AB416">
        <v>0</v>
      </c>
      <c r="AC416">
        <v>0</v>
      </c>
      <c r="AD416">
        <v>0</v>
      </c>
      <c r="AE416">
        <v>7.07</v>
      </c>
      <c r="AF416">
        <v>0</v>
      </c>
      <c r="AG416">
        <v>0</v>
      </c>
      <c r="AH416">
        <v>0</v>
      </c>
      <c r="AI416">
        <v>7.75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0.45400000000000001</v>
      </c>
      <c r="AU416" t="s">
        <v>3</v>
      </c>
      <c r="AV416">
        <v>0</v>
      </c>
      <c r="AW416">
        <v>2</v>
      </c>
      <c r="AX416">
        <v>60255971</v>
      </c>
      <c r="AY416">
        <v>1</v>
      </c>
      <c r="AZ416">
        <v>0</v>
      </c>
      <c r="BA416">
        <v>464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ROUND(Y416*Source!I301,9)</f>
        <v>0.45400000000000001</v>
      </c>
      <c r="CY416">
        <f t="shared" ref="CY416:CY424" si="131">AA416</f>
        <v>54.79</v>
      </c>
      <c r="CZ416">
        <f t="shared" ref="CZ416:CZ424" si="132">AE416</f>
        <v>7.07</v>
      </c>
      <c r="DA416">
        <f t="shared" ref="DA416:DA424" si="133">AI416</f>
        <v>7.75</v>
      </c>
      <c r="DB416">
        <f t="shared" ref="DB416:DB424" si="134">ROUND(ROUND(AT416*CZ416,2),6)</f>
        <v>3.21</v>
      </c>
      <c r="DC416">
        <f t="shared" ref="DC416:DC424" si="135">ROUND(ROUND(AT416*AG416,2),6)</f>
        <v>0</v>
      </c>
      <c r="DD416" t="s">
        <v>3</v>
      </c>
      <c r="DE416" t="s">
        <v>3</v>
      </c>
      <c r="DF416">
        <f t="shared" ref="DF416:DF424" si="136">ROUND(ROUND(AE416*AI416,2)*CX416,2)</f>
        <v>24.87</v>
      </c>
      <c r="DG416">
        <f t="shared" ref="DG416:DG436" si="137">ROUND(ROUND(AF416,2)*CX416,2)</f>
        <v>0</v>
      </c>
      <c r="DH416">
        <f t="shared" ref="DH416:DH436" si="138">ROUND(ROUND(AG416,2)*CX416,2)</f>
        <v>0</v>
      </c>
      <c r="DI416">
        <f t="shared" si="111"/>
        <v>0</v>
      </c>
      <c r="DJ416">
        <f t="shared" ref="DJ416:DJ424" si="139">DF416</f>
        <v>24.87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ROW(Source!A301)</f>
        <v>301</v>
      </c>
      <c r="B417">
        <v>60255011</v>
      </c>
      <c r="C417">
        <v>60255704</v>
      </c>
      <c r="D417">
        <v>59040044</v>
      </c>
      <c r="E417">
        <v>1</v>
      </c>
      <c r="F417">
        <v>1</v>
      </c>
      <c r="G417">
        <v>1080</v>
      </c>
      <c r="H417">
        <v>3</v>
      </c>
      <c r="I417" t="s">
        <v>559</v>
      </c>
      <c r="J417" t="s">
        <v>560</v>
      </c>
      <c r="K417" t="s">
        <v>561</v>
      </c>
      <c r="L417">
        <v>1346</v>
      </c>
      <c r="N417">
        <v>1009</v>
      </c>
      <c r="O417" t="s">
        <v>528</v>
      </c>
      <c r="P417" t="s">
        <v>528</v>
      </c>
      <c r="Q417">
        <v>1</v>
      </c>
      <c r="W417">
        <v>0</v>
      </c>
      <c r="X417">
        <v>-326142876</v>
      </c>
      <c r="Y417">
        <f t="shared" si="130"/>
        <v>0.17</v>
      </c>
      <c r="AA417">
        <v>126.84</v>
      </c>
      <c r="AB417">
        <v>0</v>
      </c>
      <c r="AC417">
        <v>0</v>
      </c>
      <c r="AD417">
        <v>0</v>
      </c>
      <c r="AE417">
        <v>21</v>
      </c>
      <c r="AF417">
        <v>0</v>
      </c>
      <c r="AG417">
        <v>0</v>
      </c>
      <c r="AH417">
        <v>0</v>
      </c>
      <c r="AI417">
        <v>6.04</v>
      </c>
      <c r="AJ417">
        <v>1</v>
      </c>
      <c r="AK417">
        <v>1</v>
      </c>
      <c r="AL417">
        <v>1</v>
      </c>
      <c r="AM417">
        <v>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0.17</v>
      </c>
      <c r="AU417" t="s">
        <v>3</v>
      </c>
      <c r="AV417">
        <v>0</v>
      </c>
      <c r="AW417">
        <v>2</v>
      </c>
      <c r="AX417">
        <v>60255972</v>
      </c>
      <c r="AY417">
        <v>1</v>
      </c>
      <c r="AZ417">
        <v>0</v>
      </c>
      <c r="BA417">
        <v>465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ROUND(Y417*Source!I301,9)</f>
        <v>0.17</v>
      </c>
      <c r="CY417">
        <f t="shared" si="131"/>
        <v>126.84</v>
      </c>
      <c r="CZ417">
        <f t="shared" si="132"/>
        <v>21</v>
      </c>
      <c r="DA417">
        <f t="shared" si="133"/>
        <v>6.04</v>
      </c>
      <c r="DB417">
        <f t="shared" si="134"/>
        <v>3.57</v>
      </c>
      <c r="DC417">
        <f t="shared" si="135"/>
        <v>0</v>
      </c>
      <c r="DD417" t="s">
        <v>3</v>
      </c>
      <c r="DE417" t="s">
        <v>3</v>
      </c>
      <c r="DF417">
        <f t="shared" si="136"/>
        <v>21.56</v>
      </c>
      <c r="DG417">
        <f t="shared" si="137"/>
        <v>0</v>
      </c>
      <c r="DH417">
        <f t="shared" si="138"/>
        <v>0</v>
      </c>
      <c r="DI417">
        <f t="shared" si="111"/>
        <v>0</v>
      </c>
      <c r="DJ417">
        <f t="shared" si="139"/>
        <v>21.56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ROW(Source!A301)</f>
        <v>301</v>
      </c>
      <c r="B418">
        <v>60255011</v>
      </c>
      <c r="C418">
        <v>60255704</v>
      </c>
      <c r="D418">
        <v>59040617</v>
      </c>
      <c r="E418">
        <v>1</v>
      </c>
      <c r="F418">
        <v>1</v>
      </c>
      <c r="G418">
        <v>1080</v>
      </c>
      <c r="H418">
        <v>3</v>
      </c>
      <c r="I418" t="s">
        <v>535</v>
      </c>
      <c r="J418" t="s">
        <v>536</v>
      </c>
      <c r="K418" t="s">
        <v>537</v>
      </c>
      <c r="L418">
        <v>1346</v>
      </c>
      <c r="N418">
        <v>1009</v>
      </c>
      <c r="O418" t="s">
        <v>528</v>
      </c>
      <c r="P418" t="s">
        <v>528</v>
      </c>
      <c r="Q418">
        <v>1</v>
      </c>
      <c r="W418">
        <v>0</v>
      </c>
      <c r="X418">
        <v>-1011812427</v>
      </c>
      <c r="Y418">
        <f t="shared" si="130"/>
        <v>0.06</v>
      </c>
      <c r="AA418">
        <v>272.7</v>
      </c>
      <c r="AB418">
        <v>0</v>
      </c>
      <c r="AC418">
        <v>0</v>
      </c>
      <c r="AD418">
        <v>0</v>
      </c>
      <c r="AE418">
        <v>37.979999999999997</v>
      </c>
      <c r="AF418">
        <v>0</v>
      </c>
      <c r="AG418">
        <v>0</v>
      </c>
      <c r="AH418">
        <v>0</v>
      </c>
      <c r="AI418">
        <v>7.18</v>
      </c>
      <c r="AJ418">
        <v>1</v>
      </c>
      <c r="AK418">
        <v>1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0.06</v>
      </c>
      <c r="AU418" t="s">
        <v>3</v>
      </c>
      <c r="AV418">
        <v>0</v>
      </c>
      <c r="AW418">
        <v>2</v>
      </c>
      <c r="AX418">
        <v>60255973</v>
      </c>
      <c r="AY418">
        <v>1</v>
      </c>
      <c r="AZ418">
        <v>0</v>
      </c>
      <c r="BA418">
        <v>466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ROUND(Y418*Source!I301,9)</f>
        <v>0.06</v>
      </c>
      <c r="CY418">
        <f t="shared" si="131"/>
        <v>272.7</v>
      </c>
      <c r="CZ418">
        <f t="shared" si="132"/>
        <v>37.979999999999997</v>
      </c>
      <c r="DA418">
        <f t="shared" si="133"/>
        <v>7.18</v>
      </c>
      <c r="DB418">
        <f t="shared" si="134"/>
        <v>2.2799999999999998</v>
      </c>
      <c r="DC418">
        <f t="shared" si="135"/>
        <v>0</v>
      </c>
      <c r="DD418" t="s">
        <v>3</v>
      </c>
      <c r="DE418" t="s">
        <v>3</v>
      </c>
      <c r="DF418">
        <f t="shared" si="136"/>
        <v>16.36</v>
      </c>
      <c r="DG418">
        <f t="shared" si="137"/>
        <v>0</v>
      </c>
      <c r="DH418">
        <f t="shared" si="138"/>
        <v>0</v>
      </c>
      <c r="DI418">
        <f t="shared" si="111"/>
        <v>0</v>
      </c>
      <c r="DJ418">
        <f t="shared" si="139"/>
        <v>16.36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ROW(Source!A301)</f>
        <v>301</v>
      </c>
      <c r="B419">
        <v>60255011</v>
      </c>
      <c r="C419">
        <v>60255704</v>
      </c>
      <c r="D419">
        <v>59039024</v>
      </c>
      <c r="E419">
        <v>1</v>
      </c>
      <c r="F419">
        <v>1</v>
      </c>
      <c r="G419">
        <v>1080</v>
      </c>
      <c r="H419">
        <v>3</v>
      </c>
      <c r="I419" t="s">
        <v>562</v>
      </c>
      <c r="J419" t="s">
        <v>563</v>
      </c>
      <c r="K419" t="s">
        <v>564</v>
      </c>
      <c r="L419">
        <v>1348</v>
      </c>
      <c r="N419">
        <v>1009</v>
      </c>
      <c r="O419" t="s">
        <v>534</v>
      </c>
      <c r="P419" t="s">
        <v>534</v>
      </c>
      <c r="Q419">
        <v>1000</v>
      </c>
      <c r="W419">
        <v>0</v>
      </c>
      <c r="X419">
        <v>1469978170</v>
      </c>
      <c r="Y419">
        <f t="shared" si="130"/>
        <v>1.0000000000000001E-5</v>
      </c>
      <c r="AA419">
        <v>73915.41</v>
      </c>
      <c r="AB419">
        <v>0</v>
      </c>
      <c r="AC419">
        <v>0</v>
      </c>
      <c r="AD419">
        <v>0</v>
      </c>
      <c r="AE419">
        <v>3234.81</v>
      </c>
      <c r="AF419">
        <v>0</v>
      </c>
      <c r="AG419">
        <v>0</v>
      </c>
      <c r="AH419">
        <v>0</v>
      </c>
      <c r="AI419">
        <v>22.85</v>
      </c>
      <c r="AJ419">
        <v>1</v>
      </c>
      <c r="AK419">
        <v>1</v>
      </c>
      <c r="AL419">
        <v>1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1.0000000000000001E-5</v>
      </c>
      <c r="AU419" t="s">
        <v>3</v>
      </c>
      <c r="AV419">
        <v>0</v>
      </c>
      <c r="AW419">
        <v>2</v>
      </c>
      <c r="AX419">
        <v>60255974</v>
      </c>
      <c r="AY419">
        <v>1</v>
      </c>
      <c r="AZ419">
        <v>0</v>
      </c>
      <c r="BA419">
        <v>467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ROUND(Y419*Source!I301,9)</f>
        <v>1.0000000000000001E-5</v>
      </c>
      <c r="CY419">
        <f t="shared" si="131"/>
        <v>73915.41</v>
      </c>
      <c r="CZ419">
        <f t="shared" si="132"/>
        <v>3234.81</v>
      </c>
      <c r="DA419">
        <f t="shared" si="133"/>
        <v>22.85</v>
      </c>
      <c r="DB419">
        <f t="shared" si="134"/>
        <v>0.03</v>
      </c>
      <c r="DC419">
        <f t="shared" si="135"/>
        <v>0</v>
      </c>
      <c r="DD419" t="s">
        <v>3</v>
      </c>
      <c r="DE419" t="s">
        <v>3</v>
      </c>
      <c r="DF419">
        <f t="shared" si="136"/>
        <v>0.74</v>
      </c>
      <c r="DG419">
        <f t="shared" si="137"/>
        <v>0</v>
      </c>
      <c r="DH419">
        <f t="shared" si="138"/>
        <v>0</v>
      </c>
      <c r="DI419">
        <f t="shared" si="111"/>
        <v>0</v>
      </c>
      <c r="DJ419">
        <f t="shared" si="139"/>
        <v>0.74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ROW(Source!A301)</f>
        <v>301</v>
      </c>
      <c r="B420">
        <v>60255011</v>
      </c>
      <c r="C420">
        <v>60255704</v>
      </c>
      <c r="D420">
        <v>59038837</v>
      </c>
      <c r="E420">
        <v>1</v>
      </c>
      <c r="F420">
        <v>1</v>
      </c>
      <c r="G420">
        <v>1080</v>
      </c>
      <c r="H420">
        <v>3</v>
      </c>
      <c r="I420" t="s">
        <v>565</v>
      </c>
      <c r="J420" t="s">
        <v>566</v>
      </c>
      <c r="K420" t="s">
        <v>567</v>
      </c>
      <c r="L420">
        <v>1339</v>
      </c>
      <c r="N420">
        <v>1007</v>
      </c>
      <c r="O420" t="s">
        <v>509</v>
      </c>
      <c r="P420" t="s">
        <v>509</v>
      </c>
      <c r="Q420">
        <v>1</v>
      </c>
      <c r="W420">
        <v>0</v>
      </c>
      <c r="X420">
        <v>1565098517</v>
      </c>
      <c r="Y420">
        <f t="shared" si="130"/>
        <v>0.11899999999999999</v>
      </c>
      <c r="AA420">
        <v>759.63</v>
      </c>
      <c r="AB420">
        <v>0</v>
      </c>
      <c r="AC420">
        <v>0</v>
      </c>
      <c r="AD420">
        <v>0</v>
      </c>
      <c r="AE420">
        <v>53.42</v>
      </c>
      <c r="AF420">
        <v>0</v>
      </c>
      <c r="AG420">
        <v>0</v>
      </c>
      <c r="AH420">
        <v>0</v>
      </c>
      <c r="AI420">
        <v>14.22</v>
      </c>
      <c r="AJ420">
        <v>1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0.11899999999999999</v>
      </c>
      <c r="AU420" t="s">
        <v>3</v>
      </c>
      <c r="AV420">
        <v>0</v>
      </c>
      <c r="AW420">
        <v>2</v>
      </c>
      <c r="AX420">
        <v>60255975</v>
      </c>
      <c r="AY420">
        <v>1</v>
      </c>
      <c r="AZ420">
        <v>0</v>
      </c>
      <c r="BA420">
        <v>468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ROUND(Y420*Source!I301,9)</f>
        <v>0.11899999999999999</v>
      </c>
      <c r="CY420">
        <f t="shared" si="131"/>
        <v>759.63</v>
      </c>
      <c r="CZ420">
        <f t="shared" si="132"/>
        <v>53.42</v>
      </c>
      <c r="DA420">
        <f t="shared" si="133"/>
        <v>14.22</v>
      </c>
      <c r="DB420">
        <f t="shared" si="134"/>
        <v>6.36</v>
      </c>
      <c r="DC420">
        <f t="shared" si="135"/>
        <v>0</v>
      </c>
      <c r="DD420" t="s">
        <v>3</v>
      </c>
      <c r="DE420" t="s">
        <v>3</v>
      </c>
      <c r="DF420">
        <f t="shared" si="136"/>
        <v>90.4</v>
      </c>
      <c r="DG420">
        <f t="shared" si="137"/>
        <v>0</v>
      </c>
      <c r="DH420">
        <f t="shared" si="138"/>
        <v>0</v>
      </c>
      <c r="DI420">
        <f t="shared" si="111"/>
        <v>0</v>
      </c>
      <c r="DJ420">
        <f t="shared" si="139"/>
        <v>90.4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ROW(Source!A301)</f>
        <v>301</v>
      </c>
      <c r="B421">
        <v>60255011</v>
      </c>
      <c r="C421">
        <v>60255704</v>
      </c>
      <c r="D421">
        <v>59039103</v>
      </c>
      <c r="E421">
        <v>1</v>
      </c>
      <c r="F421">
        <v>1</v>
      </c>
      <c r="G421">
        <v>1080</v>
      </c>
      <c r="H421">
        <v>3</v>
      </c>
      <c r="I421" t="s">
        <v>568</v>
      </c>
      <c r="J421" t="s">
        <v>569</v>
      </c>
      <c r="K421" t="s">
        <v>570</v>
      </c>
      <c r="L421">
        <v>1339</v>
      </c>
      <c r="N421">
        <v>1007</v>
      </c>
      <c r="O421" t="s">
        <v>509</v>
      </c>
      <c r="P421" t="s">
        <v>509</v>
      </c>
      <c r="Q421">
        <v>1</v>
      </c>
      <c r="W421">
        <v>0</v>
      </c>
      <c r="X421">
        <v>-388798825</v>
      </c>
      <c r="Y421">
        <f t="shared" si="130"/>
        <v>0.28100000000000003</v>
      </c>
      <c r="AA421">
        <v>94.23</v>
      </c>
      <c r="AB421">
        <v>0</v>
      </c>
      <c r="AC421">
        <v>0</v>
      </c>
      <c r="AD421">
        <v>0</v>
      </c>
      <c r="AE421">
        <v>5.82</v>
      </c>
      <c r="AF421">
        <v>0</v>
      </c>
      <c r="AG421">
        <v>0</v>
      </c>
      <c r="AH421">
        <v>0</v>
      </c>
      <c r="AI421">
        <v>16.190000000000001</v>
      </c>
      <c r="AJ421">
        <v>1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0.28100000000000003</v>
      </c>
      <c r="AU421" t="s">
        <v>3</v>
      </c>
      <c r="AV421">
        <v>0</v>
      </c>
      <c r="AW421">
        <v>2</v>
      </c>
      <c r="AX421">
        <v>60255976</v>
      </c>
      <c r="AY421">
        <v>1</v>
      </c>
      <c r="AZ421">
        <v>0</v>
      </c>
      <c r="BA421">
        <v>469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ROUND(Y421*Source!I301,9)</f>
        <v>0.28100000000000003</v>
      </c>
      <c r="CY421">
        <f t="shared" si="131"/>
        <v>94.23</v>
      </c>
      <c r="CZ421">
        <f t="shared" si="132"/>
        <v>5.82</v>
      </c>
      <c r="DA421">
        <f t="shared" si="133"/>
        <v>16.190000000000001</v>
      </c>
      <c r="DB421">
        <f t="shared" si="134"/>
        <v>1.64</v>
      </c>
      <c r="DC421">
        <f t="shared" si="135"/>
        <v>0</v>
      </c>
      <c r="DD421" t="s">
        <v>3</v>
      </c>
      <c r="DE421" t="s">
        <v>3</v>
      </c>
      <c r="DF421">
        <f t="shared" si="136"/>
        <v>26.48</v>
      </c>
      <c r="DG421">
        <f t="shared" si="137"/>
        <v>0</v>
      </c>
      <c r="DH421">
        <f t="shared" si="138"/>
        <v>0</v>
      </c>
      <c r="DI421">
        <f t="shared" si="111"/>
        <v>0</v>
      </c>
      <c r="DJ421">
        <f t="shared" si="139"/>
        <v>26.48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ROW(Source!A301)</f>
        <v>301</v>
      </c>
      <c r="B422">
        <v>60255011</v>
      </c>
      <c r="C422">
        <v>60255704</v>
      </c>
      <c r="D422">
        <v>59039175</v>
      </c>
      <c r="E422">
        <v>1</v>
      </c>
      <c r="F422">
        <v>1</v>
      </c>
      <c r="G422">
        <v>1080</v>
      </c>
      <c r="H422">
        <v>3</v>
      </c>
      <c r="I422" t="s">
        <v>538</v>
      </c>
      <c r="J422" t="s">
        <v>539</v>
      </c>
      <c r="K422" t="s">
        <v>540</v>
      </c>
      <c r="L422">
        <v>1348</v>
      </c>
      <c r="N422">
        <v>1009</v>
      </c>
      <c r="O422" t="s">
        <v>534</v>
      </c>
      <c r="P422" t="s">
        <v>534</v>
      </c>
      <c r="Q422">
        <v>1000</v>
      </c>
      <c r="W422">
        <v>0</v>
      </c>
      <c r="X422">
        <v>356473523</v>
      </c>
      <c r="Y422">
        <f t="shared" si="130"/>
        <v>4.4000000000000002E-4</v>
      </c>
      <c r="AA422">
        <v>55779.05</v>
      </c>
      <c r="AB422">
        <v>0</v>
      </c>
      <c r="AC422">
        <v>0</v>
      </c>
      <c r="AD422">
        <v>0</v>
      </c>
      <c r="AE422">
        <v>16214.84</v>
      </c>
      <c r="AF422">
        <v>0</v>
      </c>
      <c r="AG422">
        <v>0</v>
      </c>
      <c r="AH422">
        <v>0</v>
      </c>
      <c r="AI422">
        <v>3.44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4.4000000000000002E-4</v>
      </c>
      <c r="AU422" t="s">
        <v>3</v>
      </c>
      <c r="AV422">
        <v>0</v>
      </c>
      <c r="AW422">
        <v>2</v>
      </c>
      <c r="AX422">
        <v>60255977</v>
      </c>
      <c r="AY422">
        <v>1</v>
      </c>
      <c r="AZ422">
        <v>0</v>
      </c>
      <c r="BA422">
        <v>470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ROUND(Y422*Source!I301,9)</f>
        <v>4.4000000000000002E-4</v>
      </c>
      <c r="CY422">
        <f t="shared" si="131"/>
        <v>55779.05</v>
      </c>
      <c r="CZ422">
        <f t="shared" si="132"/>
        <v>16214.84</v>
      </c>
      <c r="DA422">
        <f t="shared" si="133"/>
        <v>3.44</v>
      </c>
      <c r="DB422">
        <f t="shared" si="134"/>
        <v>7.13</v>
      </c>
      <c r="DC422">
        <f t="shared" si="135"/>
        <v>0</v>
      </c>
      <c r="DD422" t="s">
        <v>3</v>
      </c>
      <c r="DE422" t="s">
        <v>3</v>
      </c>
      <c r="DF422">
        <f t="shared" si="136"/>
        <v>24.54</v>
      </c>
      <c r="DG422">
        <f t="shared" si="137"/>
        <v>0</v>
      </c>
      <c r="DH422">
        <f t="shared" si="138"/>
        <v>0</v>
      </c>
      <c r="DI422">
        <f t="shared" si="111"/>
        <v>0</v>
      </c>
      <c r="DJ422">
        <f t="shared" si="139"/>
        <v>24.54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ROW(Source!A301)</f>
        <v>301</v>
      </c>
      <c r="B423">
        <v>60255011</v>
      </c>
      <c r="C423">
        <v>60255704</v>
      </c>
      <c r="D423">
        <v>59039344</v>
      </c>
      <c r="E423">
        <v>1</v>
      </c>
      <c r="F423">
        <v>1</v>
      </c>
      <c r="G423">
        <v>1080</v>
      </c>
      <c r="H423">
        <v>3</v>
      </c>
      <c r="I423" t="s">
        <v>541</v>
      </c>
      <c r="J423" t="s">
        <v>542</v>
      </c>
      <c r="K423" t="s">
        <v>543</v>
      </c>
      <c r="L423">
        <v>1346</v>
      </c>
      <c r="N423">
        <v>1009</v>
      </c>
      <c r="O423" t="s">
        <v>528</v>
      </c>
      <c r="P423" t="s">
        <v>528</v>
      </c>
      <c r="Q423">
        <v>1</v>
      </c>
      <c r="W423">
        <v>0</v>
      </c>
      <c r="X423">
        <v>1135396300</v>
      </c>
      <c r="Y423">
        <f t="shared" si="130"/>
        <v>0.53</v>
      </c>
      <c r="AA423">
        <v>85.4</v>
      </c>
      <c r="AB423">
        <v>0</v>
      </c>
      <c r="AC423">
        <v>0</v>
      </c>
      <c r="AD423">
        <v>0</v>
      </c>
      <c r="AE423">
        <v>20.190000000000001</v>
      </c>
      <c r="AF423">
        <v>0</v>
      </c>
      <c r="AG423">
        <v>0</v>
      </c>
      <c r="AH423">
        <v>0</v>
      </c>
      <c r="AI423">
        <v>4.2300000000000004</v>
      </c>
      <c r="AJ423">
        <v>1</v>
      </c>
      <c r="AK423">
        <v>1</v>
      </c>
      <c r="AL423">
        <v>1</v>
      </c>
      <c r="AM423">
        <v>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0.53</v>
      </c>
      <c r="AU423" t="s">
        <v>3</v>
      </c>
      <c r="AV423">
        <v>0</v>
      </c>
      <c r="AW423">
        <v>2</v>
      </c>
      <c r="AX423">
        <v>60255978</v>
      </c>
      <c r="AY423">
        <v>1</v>
      </c>
      <c r="AZ423">
        <v>0</v>
      </c>
      <c r="BA423">
        <v>471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ROUND(Y423*Source!I301,9)</f>
        <v>0.53</v>
      </c>
      <c r="CY423">
        <f t="shared" si="131"/>
        <v>85.4</v>
      </c>
      <c r="CZ423">
        <f t="shared" si="132"/>
        <v>20.190000000000001</v>
      </c>
      <c r="DA423">
        <f t="shared" si="133"/>
        <v>4.2300000000000004</v>
      </c>
      <c r="DB423">
        <f t="shared" si="134"/>
        <v>10.7</v>
      </c>
      <c r="DC423">
        <f t="shared" si="135"/>
        <v>0</v>
      </c>
      <c r="DD423" t="s">
        <v>3</v>
      </c>
      <c r="DE423" t="s">
        <v>3</v>
      </c>
      <c r="DF423">
        <f t="shared" si="136"/>
        <v>45.26</v>
      </c>
      <c r="DG423">
        <f t="shared" si="137"/>
        <v>0</v>
      </c>
      <c r="DH423">
        <f t="shared" si="138"/>
        <v>0</v>
      </c>
      <c r="DI423">
        <f t="shared" si="111"/>
        <v>0</v>
      </c>
      <c r="DJ423">
        <f t="shared" si="139"/>
        <v>45.26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ROW(Source!A301)</f>
        <v>301</v>
      </c>
      <c r="B424">
        <v>60255011</v>
      </c>
      <c r="C424">
        <v>60255704</v>
      </c>
      <c r="D424">
        <v>59051860</v>
      </c>
      <c r="E424">
        <v>1</v>
      </c>
      <c r="F424">
        <v>1</v>
      </c>
      <c r="G424">
        <v>1080</v>
      </c>
      <c r="H424">
        <v>3</v>
      </c>
      <c r="I424" t="s">
        <v>407</v>
      </c>
      <c r="J424" t="s">
        <v>409</v>
      </c>
      <c r="K424" t="s">
        <v>408</v>
      </c>
      <c r="L424">
        <v>1301</v>
      </c>
      <c r="N424">
        <v>1003</v>
      </c>
      <c r="O424" t="s">
        <v>376</v>
      </c>
      <c r="P424" t="s">
        <v>376</v>
      </c>
      <c r="Q424">
        <v>1</v>
      </c>
      <c r="W424">
        <v>0</v>
      </c>
      <c r="X424">
        <v>962967429</v>
      </c>
      <c r="Y424">
        <f t="shared" si="130"/>
        <v>100</v>
      </c>
      <c r="AA424">
        <v>879.71</v>
      </c>
      <c r="AB424">
        <v>0</v>
      </c>
      <c r="AC424">
        <v>0</v>
      </c>
      <c r="AD424">
        <v>0</v>
      </c>
      <c r="AE424">
        <v>35.979999999999997</v>
      </c>
      <c r="AF424">
        <v>0</v>
      </c>
      <c r="AG424">
        <v>0</v>
      </c>
      <c r="AH424">
        <v>0</v>
      </c>
      <c r="AI424">
        <v>24.45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100</v>
      </c>
      <c r="AU424" t="s">
        <v>3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ROUND(Y424*Source!I301,9)</f>
        <v>100</v>
      </c>
      <c r="CY424">
        <f t="shared" si="131"/>
        <v>879.71</v>
      </c>
      <c r="CZ424">
        <f t="shared" si="132"/>
        <v>35.979999999999997</v>
      </c>
      <c r="DA424">
        <f t="shared" si="133"/>
        <v>24.45</v>
      </c>
      <c r="DB424">
        <f t="shared" si="134"/>
        <v>3598</v>
      </c>
      <c r="DC424">
        <f t="shared" si="135"/>
        <v>0</v>
      </c>
      <c r="DD424" t="s">
        <v>3</v>
      </c>
      <c r="DE424" t="s">
        <v>3</v>
      </c>
      <c r="DF424">
        <f t="shared" si="136"/>
        <v>87971</v>
      </c>
      <c r="DG424">
        <f t="shared" si="137"/>
        <v>0</v>
      </c>
      <c r="DH424">
        <f t="shared" si="138"/>
        <v>0</v>
      </c>
      <c r="DI424">
        <f t="shared" si="111"/>
        <v>0</v>
      </c>
      <c r="DJ424">
        <f t="shared" si="139"/>
        <v>87971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ROW(Source!A304)</f>
        <v>304</v>
      </c>
      <c r="B425">
        <v>60255014</v>
      </c>
      <c r="C425">
        <v>60255734</v>
      </c>
      <c r="D425">
        <v>58999254</v>
      </c>
      <c r="E425">
        <v>1080</v>
      </c>
      <c r="F425">
        <v>1</v>
      </c>
      <c r="G425">
        <v>1080</v>
      </c>
      <c r="H425">
        <v>1</v>
      </c>
      <c r="I425" t="s">
        <v>482</v>
      </c>
      <c r="J425" t="s">
        <v>3</v>
      </c>
      <c r="K425" t="s">
        <v>483</v>
      </c>
      <c r="L425">
        <v>1191</v>
      </c>
      <c r="N425">
        <v>1013</v>
      </c>
      <c r="O425" t="s">
        <v>484</v>
      </c>
      <c r="P425" t="s">
        <v>484</v>
      </c>
      <c r="Q425">
        <v>1</v>
      </c>
      <c r="W425">
        <v>0</v>
      </c>
      <c r="X425">
        <v>476480486</v>
      </c>
      <c r="Y425">
        <f>((AT425*1.15)*1.1)</f>
        <v>69.954499999999996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55.3</v>
      </c>
      <c r="AU425" t="s">
        <v>99</v>
      </c>
      <c r="AV425">
        <v>1</v>
      </c>
      <c r="AW425">
        <v>2</v>
      </c>
      <c r="AX425">
        <v>60255982</v>
      </c>
      <c r="AY425">
        <v>1</v>
      </c>
      <c r="AZ425">
        <v>0</v>
      </c>
      <c r="BA425">
        <v>475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ROUND(AT425*Source!I304*AH425*AL425,2)</f>
        <v>0</v>
      </c>
      <c r="CV425">
        <f>ROUND(Y425*Source!I304,9)</f>
        <v>90.940849999999998</v>
      </c>
      <c r="CW425">
        <v>0</v>
      </c>
      <c r="CX425">
        <f>ROUND(Y425*Source!I304,9)</f>
        <v>90.940849999999998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ROUND(((ROUND(AT425*CZ425,2)*1.15)*1.1),6)</f>
        <v>0</v>
      </c>
      <c r="DC425">
        <f>ROUND(((ROUND(AT425*AG425,2)*1.15)*1.1),6)</f>
        <v>0</v>
      </c>
      <c r="DD425" t="s">
        <v>3</v>
      </c>
      <c r="DE425" t="s">
        <v>3</v>
      </c>
      <c r="DF425">
        <f t="shared" ref="DF425:DF439" si="140">ROUND(ROUND(AE425,2)*CX425,2)</f>
        <v>0</v>
      </c>
      <c r="DG425">
        <f t="shared" si="137"/>
        <v>0</v>
      </c>
      <c r="DH425">
        <f t="shared" si="138"/>
        <v>0</v>
      </c>
      <c r="DI425">
        <f t="shared" si="111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ROW(Source!A304)</f>
        <v>304</v>
      </c>
      <c r="B426">
        <v>60255014</v>
      </c>
      <c r="C426">
        <v>60255734</v>
      </c>
      <c r="D426">
        <v>59070372</v>
      </c>
      <c r="E426">
        <v>1</v>
      </c>
      <c r="F426">
        <v>1</v>
      </c>
      <c r="G426">
        <v>1080</v>
      </c>
      <c r="H426">
        <v>2</v>
      </c>
      <c r="I426" t="s">
        <v>556</v>
      </c>
      <c r="J426" t="s">
        <v>557</v>
      </c>
      <c r="K426" t="s">
        <v>558</v>
      </c>
      <c r="L426">
        <v>1368</v>
      </c>
      <c r="N426">
        <v>1011</v>
      </c>
      <c r="O426" t="s">
        <v>488</v>
      </c>
      <c r="P426" t="s">
        <v>488</v>
      </c>
      <c r="Q426">
        <v>1</v>
      </c>
      <c r="W426">
        <v>0</v>
      </c>
      <c r="X426">
        <v>549242131</v>
      </c>
      <c r="Y426">
        <f>((AT426*1.25)*1.1)</f>
        <v>25.355000000000004</v>
      </c>
      <c r="AA426">
        <v>0</v>
      </c>
      <c r="AB426">
        <v>0.3</v>
      </c>
      <c r="AC426">
        <v>0</v>
      </c>
      <c r="AD426">
        <v>0</v>
      </c>
      <c r="AE426">
        <v>0</v>
      </c>
      <c r="AF426">
        <v>0.28000000000000003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18.440000000000001</v>
      </c>
      <c r="AU426" t="s">
        <v>496</v>
      </c>
      <c r="AV426">
        <v>0</v>
      </c>
      <c r="AW426">
        <v>2</v>
      </c>
      <c r="AX426">
        <v>60255983</v>
      </c>
      <c r="AY426">
        <v>1</v>
      </c>
      <c r="AZ426">
        <v>0</v>
      </c>
      <c r="BA426">
        <v>476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ROUND(Y426*Source!I304*DO426,9)</f>
        <v>0</v>
      </c>
      <c r="CX426">
        <f>ROUND(Y426*Source!I304,9)</f>
        <v>32.961500000000001</v>
      </c>
      <c r="CY426">
        <f>AB426</f>
        <v>0.3</v>
      </c>
      <c r="CZ426">
        <f>AF426</f>
        <v>0.28000000000000003</v>
      </c>
      <c r="DA426">
        <f>AJ426</f>
        <v>1</v>
      </c>
      <c r="DB426">
        <f>ROUND(((ROUND(AT426*CZ426,2)*1.25)*1.1),6)</f>
        <v>7.0949999999999998</v>
      </c>
      <c r="DC426">
        <f>ROUND(((ROUND(AT426*AG426,2)*1.25)*1.1),6)</f>
        <v>0</v>
      </c>
      <c r="DD426" t="s">
        <v>3</v>
      </c>
      <c r="DE426" t="s">
        <v>3</v>
      </c>
      <c r="DF426">
        <f t="shared" si="140"/>
        <v>0</v>
      </c>
      <c r="DG426">
        <f t="shared" si="137"/>
        <v>9.23</v>
      </c>
      <c r="DH426">
        <f t="shared" si="138"/>
        <v>0</v>
      </c>
      <c r="DI426">
        <f t="shared" si="111"/>
        <v>0</v>
      </c>
      <c r="DJ426">
        <f>DG426</f>
        <v>9.23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ROW(Source!A304)</f>
        <v>304</v>
      </c>
      <c r="B427">
        <v>60255014</v>
      </c>
      <c r="C427">
        <v>60255734</v>
      </c>
      <c r="D427">
        <v>59070669</v>
      </c>
      <c r="E427">
        <v>1</v>
      </c>
      <c r="F427">
        <v>1</v>
      </c>
      <c r="G427">
        <v>1080</v>
      </c>
      <c r="H427">
        <v>2</v>
      </c>
      <c r="I427" t="s">
        <v>485</v>
      </c>
      <c r="J427" t="s">
        <v>486</v>
      </c>
      <c r="K427" t="s">
        <v>487</v>
      </c>
      <c r="L427">
        <v>1368</v>
      </c>
      <c r="N427">
        <v>1011</v>
      </c>
      <c r="O427" t="s">
        <v>488</v>
      </c>
      <c r="P427" t="s">
        <v>488</v>
      </c>
      <c r="Q427">
        <v>1</v>
      </c>
      <c r="W427">
        <v>0</v>
      </c>
      <c r="X427">
        <v>-1985943078</v>
      </c>
      <c r="Y427">
        <f>((AT427*1.25)*1.1)</f>
        <v>1.19625</v>
      </c>
      <c r="AA427">
        <v>0</v>
      </c>
      <c r="AB427">
        <v>88.67</v>
      </c>
      <c r="AC427">
        <v>13.47</v>
      </c>
      <c r="AD427">
        <v>0</v>
      </c>
      <c r="AE427">
        <v>0</v>
      </c>
      <c r="AF427">
        <v>83.1</v>
      </c>
      <c r="AG427">
        <v>12.62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0.87</v>
      </c>
      <c r="AU427" t="s">
        <v>496</v>
      </c>
      <c r="AV427">
        <v>0</v>
      </c>
      <c r="AW427">
        <v>2</v>
      </c>
      <c r="AX427">
        <v>60255984</v>
      </c>
      <c r="AY427">
        <v>1</v>
      </c>
      <c r="AZ427">
        <v>0</v>
      </c>
      <c r="BA427">
        <v>477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f>ROUND(Y427*Source!I304*DO427,9)</f>
        <v>19.625677499999998</v>
      </c>
      <c r="CX427">
        <f>ROUND(Y427*Source!I304,9)</f>
        <v>1.5551250000000001</v>
      </c>
      <c r="CY427">
        <f>AB427</f>
        <v>88.67</v>
      </c>
      <c r="CZ427">
        <f>AF427</f>
        <v>83.1</v>
      </c>
      <c r="DA427">
        <f>AJ427</f>
        <v>1</v>
      </c>
      <c r="DB427">
        <f>ROUND(((ROUND(AT427*CZ427,2)*1.25)*1.1),6)</f>
        <v>99.412499999999994</v>
      </c>
      <c r="DC427">
        <f>ROUND(((ROUND(AT427*AG427,2)*1.25)*1.1),6)</f>
        <v>15.0975</v>
      </c>
      <c r="DD427" t="s">
        <v>3</v>
      </c>
      <c r="DE427" t="s">
        <v>3</v>
      </c>
      <c r="DF427">
        <f t="shared" si="140"/>
        <v>0</v>
      </c>
      <c r="DG427">
        <f t="shared" si="137"/>
        <v>129.22999999999999</v>
      </c>
      <c r="DH427">
        <f t="shared" si="138"/>
        <v>19.63</v>
      </c>
      <c r="DI427">
        <f t="shared" si="111"/>
        <v>0</v>
      </c>
      <c r="DJ427">
        <f>DG427</f>
        <v>129.22999999999999</v>
      </c>
      <c r="DK427">
        <v>0</v>
      </c>
      <c r="DL427" t="s">
        <v>489</v>
      </c>
      <c r="DM427">
        <v>0</v>
      </c>
      <c r="DN427" t="s">
        <v>484</v>
      </c>
      <c r="DO427">
        <v>12.62</v>
      </c>
    </row>
    <row r="428" spans="1:119" x14ac:dyDescent="0.2">
      <c r="A428">
        <f>ROW(Source!A304)</f>
        <v>304</v>
      </c>
      <c r="B428">
        <v>60255014</v>
      </c>
      <c r="C428">
        <v>60255734</v>
      </c>
      <c r="D428">
        <v>59069905</v>
      </c>
      <c r="E428">
        <v>1</v>
      </c>
      <c r="F428">
        <v>1</v>
      </c>
      <c r="G428">
        <v>1080</v>
      </c>
      <c r="H428">
        <v>2</v>
      </c>
      <c r="I428" t="s">
        <v>503</v>
      </c>
      <c r="J428" t="s">
        <v>504</v>
      </c>
      <c r="K428" t="s">
        <v>505</v>
      </c>
      <c r="L428">
        <v>1368</v>
      </c>
      <c r="N428">
        <v>1011</v>
      </c>
      <c r="O428" t="s">
        <v>488</v>
      </c>
      <c r="P428" t="s">
        <v>488</v>
      </c>
      <c r="Q428">
        <v>1</v>
      </c>
      <c r="W428">
        <v>0</v>
      </c>
      <c r="X428">
        <v>1087580389</v>
      </c>
      <c r="Y428">
        <f>((AT428*1.25)*1.1)</f>
        <v>9.6250000000000016E-2</v>
      </c>
      <c r="AA428">
        <v>0</v>
      </c>
      <c r="AB428">
        <v>191.17</v>
      </c>
      <c r="AC428">
        <v>18.059999999999999</v>
      </c>
      <c r="AD428">
        <v>0</v>
      </c>
      <c r="AE428">
        <v>0</v>
      </c>
      <c r="AF428">
        <v>179.17</v>
      </c>
      <c r="AG428">
        <v>16.93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7.0000000000000007E-2</v>
      </c>
      <c r="AU428" t="s">
        <v>496</v>
      </c>
      <c r="AV428">
        <v>0</v>
      </c>
      <c r="AW428">
        <v>2</v>
      </c>
      <c r="AX428">
        <v>60255985</v>
      </c>
      <c r="AY428">
        <v>1</v>
      </c>
      <c r="AZ428">
        <v>0</v>
      </c>
      <c r="BA428">
        <v>478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ROUND(Y428*Source!I304*DO428,9)</f>
        <v>2.1183662499999998</v>
      </c>
      <c r="CX428">
        <f>ROUND(Y428*Source!I304,9)</f>
        <v>0.12512499999999999</v>
      </c>
      <c r="CY428">
        <f>AB428</f>
        <v>191.17</v>
      </c>
      <c r="CZ428">
        <f>AF428</f>
        <v>179.17</v>
      </c>
      <c r="DA428">
        <f>AJ428</f>
        <v>1</v>
      </c>
      <c r="DB428">
        <f>ROUND(((ROUND(AT428*CZ428,2)*1.25)*1.1),6)</f>
        <v>17.2425</v>
      </c>
      <c r="DC428">
        <f>ROUND(((ROUND(AT428*AG428,2)*1.25)*1.1),6)</f>
        <v>1.63625</v>
      </c>
      <c r="DD428" t="s">
        <v>3</v>
      </c>
      <c r="DE428" t="s">
        <v>3</v>
      </c>
      <c r="DF428">
        <f t="shared" si="140"/>
        <v>0</v>
      </c>
      <c r="DG428">
        <f t="shared" si="137"/>
        <v>22.42</v>
      </c>
      <c r="DH428">
        <f t="shared" si="138"/>
        <v>2.12</v>
      </c>
      <c r="DI428">
        <f t="shared" si="111"/>
        <v>0</v>
      </c>
      <c r="DJ428">
        <f>DG428</f>
        <v>22.42</v>
      </c>
      <c r="DK428">
        <v>0</v>
      </c>
      <c r="DL428" t="s">
        <v>489</v>
      </c>
      <c r="DM428">
        <v>0</v>
      </c>
      <c r="DN428" t="s">
        <v>484</v>
      </c>
      <c r="DO428">
        <v>16.93</v>
      </c>
    </row>
    <row r="429" spans="1:119" x14ac:dyDescent="0.2">
      <c r="A429">
        <f>ROW(Source!A304)</f>
        <v>304</v>
      </c>
      <c r="B429">
        <v>60255014</v>
      </c>
      <c r="C429">
        <v>60255734</v>
      </c>
      <c r="D429">
        <v>59038905</v>
      </c>
      <c r="E429">
        <v>1</v>
      </c>
      <c r="F429">
        <v>1</v>
      </c>
      <c r="G429">
        <v>1080</v>
      </c>
      <c r="H429">
        <v>3</v>
      </c>
      <c r="I429" t="s">
        <v>506</v>
      </c>
      <c r="J429" t="s">
        <v>507</v>
      </c>
      <c r="K429" t="s">
        <v>508</v>
      </c>
      <c r="L429">
        <v>1339</v>
      </c>
      <c r="N429">
        <v>1007</v>
      </c>
      <c r="O429" t="s">
        <v>509</v>
      </c>
      <c r="P429" t="s">
        <v>509</v>
      </c>
      <c r="Q429">
        <v>1</v>
      </c>
      <c r="W429">
        <v>0</v>
      </c>
      <c r="X429">
        <v>-744103292</v>
      </c>
      <c r="Y429">
        <f t="shared" ref="Y429:Y435" si="141">AT429</f>
        <v>0.70899999999999996</v>
      </c>
      <c r="AA429">
        <v>7.07</v>
      </c>
      <c r="AB429">
        <v>0</v>
      </c>
      <c r="AC429">
        <v>0</v>
      </c>
      <c r="AD429">
        <v>0</v>
      </c>
      <c r="AE429">
        <v>7.07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0.70899999999999996</v>
      </c>
      <c r="AU429" t="s">
        <v>3</v>
      </c>
      <c r="AV429">
        <v>0</v>
      </c>
      <c r="AW429">
        <v>2</v>
      </c>
      <c r="AX429">
        <v>60255986</v>
      </c>
      <c r="AY429">
        <v>1</v>
      </c>
      <c r="AZ429">
        <v>0</v>
      </c>
      <c r="BA429">
        <v>479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ROUND(Y429*Source!I304,9)</f>
        <v>0.92169999999999996</v>
      </c>
      <c r="CY429">
        <f t="shared" ref="CY429:CY435" si="142">AA429</f>
        <v>7.07</v>
      </c>
      <c r="CZ429">
        <f t="shared" ref="CZ429:CZ435" si="143">AE429</f>
        <v>7.07</v>
      </c>
      <c r="DA429">
        <f t="shared" ref="DA429:DA435" si="144">AI429</f>
        <v>1</v>
      </c>
      <c r="DB429">
        <f t="shared" ref="DB429:DB435" si="145">ROUND(ROUND(AT429*CZ429,2),6)</f>
        <v>5.01</v>
      </c>
      <c r="DC429">
        <f t="shared" ref="DC429:DC435" si="146">ROUND(ROUND(AT429*AG429,2),6)</f>
        <v>0</v>
      </c>
      <c r="DD429" t="s">
        <v>3</v>
      </c>
      <c r="DE429" t="s">
        <v>3</v>
      </c>
      <c r="DF429">
        <f t="shared" si="140"/>
        <v>6.52</v>
      </c>
      <c r="DG429">
        <f t="shared" si="137"/>
        <v>0</v>
      </c>
      <c r="DH429">
        <f t="shared" si="138"/>
        <v>0</v>
      </c>
      <c r="DI429">
        <f t="shared" si="111"/>
        <v>0</v>
      </c>
      <c r="DJ429">
        <f t="shared" ref="DJ429:DJ435" si="147">DF429</f>
        <v>6.52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ROW(Source!A304)</f>
        <v>304</v>
      </c>
      <c r="B430">
        <v>60255014</v>
      </c>
      <c r="C430">
        <v>60255734</v>
      </c>
      <c r="D430">
        <v>59040044</v>
      </c>
      <c r="E430">
        <v>1</v>
      </c>
      <c r="F430">
        <v>1</v>
      </c>
      <c r="G430">
        <v>1080</v>
      </c>
      <c r="H430">
        <v>3</v>
      </c>
      <c r="I430" t="s">
        <v>559</v>
      </c>
      <c r="J430" t="s">
        <v>560</v>
      </c>
      <c r="K430" t="s">
        <v>561</v>
      </c>
      <c r="L430">
        <v>1346</v>
      </c>
      <c r="N430">
        <v>1009</v>
      </c>
      <c r="O430" t="s">
        <v>528</v>
      </c>
      <c r="P430" t="s">
        <v>528</v>
      </c>
      <c r="Q430">
        <v>1</v>
      </c>
      <c r="W430">
        <v>0</v>
      </c>
      <c r="X430">
        <v>-326142876</v>
      </c>
      <c r="Y430">
        <f t="shared" si="141"/>
        <v>0.2</v>
      </c>
      <c r="AA430">
        <v>21</v>
      </c>
      <c r="AB430">
        <v>0</v>
      </c>
      <c r="AC430">
        <v>0</v>
      </c>
      <c r="AD430">
        <v>0</v>
      </c>
      <c r="AE430">
        <v>21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0.2</v>
      </c>
      <c r="AU430" t="s">
        <v>3</v>
      </c>
      <c r="AV430">
        <v>0</v>
      </c>
      <c r="AW430">
        <v>2</v>
      </c>
      <c r="AX430">
        <v>60255987</v>
      </c>
      <c r="AY430">
        <v>1</v>
      </c>
      <c r="AZ430">
        <v>0</v>
      </c>
      <c r="BA430">
        <v>480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ROUND(Y430*Source!I304,9)</f>
        <v>0.26</v>
      </c>
      <c r="CY430">
        <f t="shared" si="142"/>
        <v>21</v>
      </c>
      <c r="CZ430">
        <f t="shared" si="143"/>
        <v>21</v>
      </c>
      <c r="DA430">
        <f t="shared" si="144"/>
        <v>1</v>
      </c>
      <c r="DB430">
        <f t="shared" si="145"/>
        <v>4.2</v>
      </c>
      <c r="DC430">
        <f t="shared" si="146"/>
        <v>0</v>
      </c>
      <c r="DD430" t="s">
        <v>3</v>
      </c>
      <c r="DE430" t="s">
        <v>3</v>
      </c>
      <c r="DF430">
        <f t="shared" si="140"/>
        <v>5.46</v>
      </c>
      <c r="DG430">
        <f t="shared" si="137"/>
        <v>0</v>
      </c>
      <c r="DH430">
        <f t="shared" si="138"/>
        <v>0</v>
      </c>
      <c r="DI430">
        <f t="shared" si="111"/>
        <v>0</v>
      </c>
      <c r="DJ430">
        <f t="shared" si="147"/>
        <v>5.46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ROW(Source!A304)</f>
        <v>304</v>
      </c>
      <c r="B431">
        <v>60255014</v>
      </c>
      <c r="C431">
        <v>60255734</v>
      </c>
      <c r="D431">
        <v>59039024</v>
      </c>
      <c r="E431">
        <v>1</v>
      </c>
      <c r="F431">
        <v>1</v>
      </c>
      <c r="G431">
        <v>1080</v>
      </c>
      <c r="H431">
        <v>3</v>
      </c>
      <c r="I431" t="s">
        <v>562</v>
      </c>
      <c r="J431" t="s">
        <v>563</v>
      </c>
      <c r="K431" t="s">
        <v>564</v>
      </c>
      <c r="L431">
        <v>1348</v>
      </c>
      <c r="N431">
        <v>1009</v>
      </c>
      <c r="O431" t="s">
        <v>534</v>
      </c>
      <c r="P431" t="s">
        <v>534</v>
      </c>
      <c r="Q431">
        <v>1000</v>
      </c>
      <c r="W431">
        <v>0</v>
      </c>
      <c r="X431">
        <v>1469978170</v>
      </c>
      <c r="Y431">
        <f t="shared" si="141"/>
        <v>1.0000000000000001E-5</v>
      </c>
      <c r="AA431">
        <v>3234.81</v>
      </c>
      <c r="AB431">
        <v>0</v>
      </c>
      <c r="AC431">
        <v>0</v>
      </c>
      <c r="AD431">
        <v>0</v>
      </c>
      <c r="AE431">
        <v>3234.81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1.0000000000000001E-5</v>
      </c>
      <c r="AU431" t="s">
        <v>3</v>
      </c>
      <c r="AV431">
        <v>0</v>
      </c>
      <c r="AW431">
        <v>2</v>
      </c>
      <c r="AX431">
        <v>60255988</v>
      </c>
      <c r="AY431">
        <v>1</v>
      </c>
      <c r="AZ431">
        <v>0</v>
      </c>
      <c r="BA431">
        <v>481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ROUND(Y431*Source!I304,9)</f>
        <v>1.2999999999999999E-5</v>
      </c>
      <c r="CY431">
        <f t="shared" si="142"/>
        <v>3234.81</v>
      </c>
      <c r="CZ431">
        <f t="shared" si="143"/>
        <v>3234.81</v>
      </c>
      <c r="DA431">
        <f t="shared" si="144"/>
        <v>1</v>
      </c>
      <c r="DB431">
        <f t="shared" si="145"/>
        <v>0.03</v>
      </c>
      <c r="DC431">
        <f t="shared" si="146"/>
        <v>0</v>
      </c>
      <c r="DD431" t="s">
        <v>3</v>
      </c>
      <c r="DE431" t="s">
        <v>3</v>
      </c>
      <c r="DF431">
        <f t="shared" si="140"/>
        <v>0.04</v>
      </c>
      <c r="DG431">
        <f t="shared" si="137"/>
        <v>0</v>
      </c>
      <c r="DH431">
        <f t="shared" si="138"/>
        <v>0</v>
      </c>
      <c r="DI431">
        <f t="shared" si="111"/>
        <v>0</v>
      </c>
      <c r="DJ431">
        <f t="shared" si="147"/>
        <v>0.04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ROW(Source!A304)</f>
        <v>304</v>
      </c>
      <c r="B432">
        <v>60255014</v>
      </c>
      <c r="C432">
        <v>60255734</v>
      </c>
      <c r="D432">
        <v>59038837</v>
      </c>
      <c r="E432">
        <v>1</v>
      </c>
      <c r="F432">
        <v>1</v>
      </c>
      <c r="G432">
        <v>1080</v>
      </c>
      <c r="H432">
        <v>3</v>
      </c>
      <c r="I432" t="s">
        <v>565</v>
      </c>
      <c r="J432" t="s">
        <v>566</v>
      </c>
      <c r="K432" t="s">
        <v>567</v>
      </c>
      <c r="L432">
        <v>1339</v>
      </c>
      <c r="N432">
        <v>1007</v>
      </c>
      <c r="O432" t="s">
        <v>509</v>
      </c>
      <c r="P432" t="s">
        <v>509</v>
      </c>
      <c r="Q432">
        <v>1</v>
      </c>
      <c r="W432">
        <v>0</v>
      </c>
      <c r="X432">
        <v>1565098517</v>
      </c>
      <c r="Y432">
        <f t="shared" si="141"/>
        <v>0.32</v>
      </c>
      <c r="AA432">
        <v>53.42</v>
      </c>
      <c r="AB432">
        <v>0</v>
      </c>
      <c r="AC432">
        <v>0</v>
      </c>
      <c r="AD432">
        <v>0</v>
      </c>
      <c r="AE432">
        <v>53.42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0.32</v>
      </c>
      <c r="AU432" t="s">
        <v>3</v>
      </c>
      <c r="AV432">
        <v>0</v>
      </c>
      <c r="AW432">
        <v>2</v>
      </c>
      <c r="AX432">
        <v>60255989</v>
      </c>
      <c r="AY432">
        <v>1</v>
      </c>
      <c r="AZ432">
        <v>0</v>
      </c>
      <c r="BA432">
        <v>482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ROUND(Y432*Source!I304,9)</f>
        <v>0.41599999999999998</v>
      </c>
      <c r="CY432">
        <f t="shared" si="142"/>
        <v>53.42</v>
      </c>
      <c r="CZ432">
        <f t="shared" si="143"/>
        <v>53.42</v>
      </c>
      <c r="DA432">
        <f t="shared" si="144"/>
        <v>1</v>
      </c>
      <c r="DB432">
        <f t="shared" si="145"/>
        <v>17.09</v>
      </c>
      <c r="DC432">
        <f t="shared" si="146"/>
        <v>0</v>
      </c>
      <c r="DD432" t="s">
        <v>3</v>
      </c>
      <c r="DE432" t="s">
        <v>3</v>
      </c>
      <c r="DF432">
        <f t="shared" si="140"/>
        <v>22.22</v>
      </c>
      <c r="DG432">
        <f t="shared" si="137"/>
        <v>0</v>
      </c>
      <c r="DH432">
        <f t="shared" si="138"/>
        <v>0</v>
      </c>
      <c r="DI432">
        <f t="shared" si="111"/>
        <v>0</v>
      </c>
      <c r="DJ432">
        <f t="shared" si="147"/>
        <v>22.22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ROW(Source!A304)</f>
        <v>304</v>
      </c>
      <c r="B433">
        <v>60255014</v>
      </c>
      <c r="C433">
        <v>60255734</v>
      </c>
      <c r="D433">
        <v>59039103</v>
      </c>
      <c r="E433">
        <v>1</v>
      </c>
      <c r="F433">
        <v>1</v>
      </c>
      <c r="G433">
        <v>1080</v>
      </c>
      <c r="H433">
        <v>3</v>
      </c>
      <c r="I433" t="s">
        <v>568</v>
      </c>
      <c r="J433" t="s">
        <v>569</v>
      </c>
      <c r="K433" t="s">
        <v>570</v>
      </c>
      <c r="L433">
        <v>1339</v>
      </c>
      <c r="N433">
        <v>1007</v>
      </c>
      <c r="O433" t="s">
        <v>509</v>
      </c>
      <c r="P433" t="s">
        <v>509</v>
      </c>
      <c r="Q433">
        <v>1</v>
      </c>
      <c r="W433">
        <v>0</v>
      </c>
      <c r="X433">
        <v>-388798825</v>
      </c>
      <c r="Y433">
        <f t="shared" si="141"/>
        <v>0.35</v>
      </c>
      <c r="AA433">
        <v>5.82</v>
      </c>
      <c r="AB433">
        <v>0</v>
      </c>
      <c r="AC433">
        <v>0</v>
      </c>
      <c r="AD433">
        <v>0</v>
      </c>
      <c r="AE433">
        <v>5.82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0.35</v>
      </c>
      <c r="AU433" t="s">
        <v>3</v>
      </c>
      <c r="AV433">
        <v>0</v>
      </c>
      <c r="AW433">
        <v>2</v>
      </c>
      <c r="AX433">
        <v>60255990</v>
      </c>
      <c r="AY433">
        <v>1</v>
      </c>
      <c r="AZ433">
        <v>0</v>
      </c>
      <c r="BA433">
        <v>483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ROUND(Y433*Source!I304,9)</f>
        <v>0.45500000000000002</v>
      </c>
      <c r="CY433">
        <f t="shared" si="142"/>
        <v>5.82</v>
      </c>
      <c r="CZ433">
        <f t="shared" si="143"/>
        <v>5.82</v>
      </c>
      <c r="DA433">
        <f t="shared" si="144"/>
        <v>1</v>
      </c>
      <c r="DB433">
        <f t="shared" si="145"/>
        <v>2.04</v>
      </c>
      <c r="DC433">
        <f t="shared" si="146"/>
        <v>0</v>
      </c>
      <c r="DD433" t="s">
        <v>3</v>
      </c>
      <c r="DE433" t="s">
        <v>3</v>
      </c>
      <c r="DF433">
        <f t="shared" si="140"/>
        <v>2.65</v>
      </c>
      <c r="DG433">
        <f t="shared" si="137"/>
        <v>0</v>
      </c>
      <c r="DH433">
        <f t="shared" si="138"/>
        <v>0</v>
      </c>
      <c r="DI433">
        <f t="shared" si="111"/>
        <v>0</v>
      </c>
      <c r="DJ433">
        <f t="shared" si="147"/>
        <v>2.65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ROW(Source!A304)</f>
        <v>304</v>
      </c>
      <c r="B434">
        <v>60255014</v>
      </c>
      <c r="C434">
        <v>60255734</v>
      </c>
      <c r="D434">
        <v>59051862</v>
      </c>
      <c r="E434">
        <v>1</v>
      </c>
      <c r="F434">
        <v>1</v>
      </c>
      <c r="G434">
        <v>1080</v>
      </c>
      <c r="H434">
        <v>3</v>
      </c>
      <c r="I434" t="s">
        <v>415</v>
      </c>
      <c r="J434" t="s">
        <v>417</v>
      </c>
      <c r="K434" t="s">
        <v>416</v>
      </c>
      <c r="L434">
        <v>1301</v>
      </c>
      <c r="N434">
        <v>1003</v>
      </c>
      <c r="O434" t="s">
        <v>376</v>
      </c>
      <c r="P434" t="s">
        <v>376</v>
      </c>
      <c r="Q434">
        <v>1</v>
      </c>
      <c r="W434">
        <v>0</v>
      </c>
      <c r="X434">
        <v>1003589215</v>
      </c>
      <c r="Y434">
        <f t="shared" si="141"/>
        <v>100</v>
      </c>
      <c r="AA434">
        <v>44.49</v>
      </c>
      <c r="AB434">
        <v>0</v>
      </c>
      <c r="AC434">
        <v>0</v>
      </c>
      <c r="AD434">
        <v>0</v>
      </c>
      <c r="AE434">
        <v>44.49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 t="s">
        <v>3</v>
      </c>
      <c r="AT434">
        <v>100</v>
      </c>
      <c r="AU434" t="s">
        <v>3</v>
      </c>
      <c r="AV434">
        <v>0</v>
      </c>
      <c r="AW434">
        <v>1</v>
      </c>
      <c r="AX434">
        <v>-1</v>
      </c>
      <c r="AY434">
        <v>0</v>
      </c>
      <c r="AZ434">
        <v>0</v>
      </c>
      <c r="BA434" t="s">
        <v>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ROUND(Y434*Source!I304,9)</f>
        <v>130</v>
      </c>
      <c r="CY434">
        <f t="shared" si="142"/>
        <v>44.49</v>
      </c>
      <c r="CZ434">
        <f t="shared" si="143"/>
        <v>44.49</v>
      </c>
      <c r="DA434">
        <f t="shared" si="144"/>
        <v>1</v>
      </c>
      <c r="DB434">
        <f t="shared" si="145"/>
        <v>4449</v>
      </c>
      <c r="DC434">
        <f t="shared" si="146"/>
        <v>0</v>
      </c>
      <c r="DD434" t="s">
        <v>3</v>
      </c>
      <c r="DE434" t="s">
        <v>3</v>
      </c>
      <c r="DF434">
        <f t="shared" si="140"/>
        <v>5783.7</v>
      </c>
      <c r="DG434">
        <f t="shared" si="137"/>
        <v>0</v>
      </c>
      <c r="DH434">
        <f t="shared" si="138"/>
        <v>0</v>
      </c>
      <c r="DI434">
        <f t="shared" si="111"/>
        <v>0</v>
      </c>
      <c r="DJ434">
        <f t="shared" si="147"/>
        <v>5783.7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ROW(Source!A304)</f>
        <v>304</v>
      </c>
      <c r="B435">
        <v>60255014</v>
      </c>
      <c r="C435">
        <v>60255734</v>
      </c>
      <c r="D435">
        <v>59046388</v>
      </c>
      <c r="E435">
        <v>1</v>
      </c>
      <c r="F435">
        <v>1</v>
      </c>
      <c r="G435">
        <v>1080</v>
      </c>
      <c r="H435">
        <v>3</v>
      </c>
      <c r="I435" t="s">
        <v>571</v>
      </c>
      <c r="J435" t="s">
        <v>572</v>
      </c>
      <c r="K435" t="s">
        <v>573</v>
      </c>
      <c r="L435">
        <v>1339</v>
      </c>
      <c r="N435">
        <v>1007</v>
      </c>
      <c r="O435" t="s">
        <v>509</v>
      </c>
      <c r="P435" t="s">
        <v>509</v>
      </c>
      <c r="Q435">
        <v>1</v>
      </c>
      <c r="W435">
        <v>0</v>
      </c>
      <c r="X435">
        <v>1702591464</v>
      </c>
      <c r="Y435">
        <f t="shared" si="141"/>
        <v>8.0000000000000002E-3</v>
      </c>
      <c r="AA435">
        <v>610.71</v>
      </c>
      <c r="AB435">
        <v>0</v>
      </c>
      <c r="AC435">
        <v>0</v>
      </c>
      <c r="AD435">
        <v>0</v>
      </c>
      <c r="AE435">
        <v>610.71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8.0000000000000002E-3</v>
      </c>
      <c r="AU435" t="s">
        <v>3</v>
      </c>
      <c r="AV435">
        <v>0</v>
      </c>
      <c r="AW435">
        <v>2</v>
      </c>
      <c r="AX435">
        <v>60255991</v>
      </c>
      <c r="AY435">
        <v>1</v>
      </c>
      <c r="AZ435">
        <v>0</v>
      </c>
      <c r="BA435">
        <v>484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ROUND(Y435*Source!I304,9)</f>
        <v>1.04E-2</v>
      </c>
      <c r="CY435">
        <f t="shared" si="142"/>
        <v>610.71</v>
      </c>
      <c r="CZ435">
        <f t="shared" si="143"/>
        <v>610.71</v>
      </c>
      <c r="DA435">
        <f t="shared" si="144"/>
        <v>1</v>
      </c>
      <c r="DB435">
        <f t="shared" si="145"/>
        <v>4.8899999999999997</v>
      </c>
      <c r="DC435">
        <f t="shared" si="146"/>
        <v>0</v>
      </c>
      <c r="DD435" t="s">
        <v>3</v>
      </c>
      <c r="DE435" t="s">
        <v>3</v>
      </c>
      <c r="DF435">
        <f t="shared" si="140"/>
        <v>6.35</v>
      </c>
      <c r="DG435">
        <f t="shared" si="137"/>
        <v>0</v>
      </c>
      <c r="DH435">
        <f t="shared" si="138"/>
        <v>0</v>
      </c>
      <c r="DI435">
        <f t="shared" si="111"/>
        <v>0</v>
      </c>
      <c r="DJ435">
        <f t="shared" si="147"/>
        <v>6.35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ROW(Source!A305)</f>
        <v>305</v>
      </c>
      <c r="B436">
        <v>60255011</v>
      </c>
      <c r="C436">
        <v>60255734</v>
      </c>
      <c r="D436">
        <v>58999254</v>
      </c>
      <c r="E436">
        <v>1080</v>
      </c>
      <c r="F436">
        <v>1</v>
      </c>
      <c r="G436">
        <v>1080</v>
      </c>
      <c r="H436">
        <v>1</v>
      </c>
      <c r="I436" t="s">
        <v>482</v>
      </c>
      <c r="J436" t="s">
        <v>3</v>
      </c>
      <c r="K436" t="s">
        <v>483</v>
      </c>
      <c r="L436">
        <v>1191</v>
      </c>
      <c r="N436">
        <v>1013</v>
      </c>
      <c r="O436" t="s">
        <v>484</v>
      </c>
      <c r="P436" t="s">
        <v>484</v>
      </c>
      <c r="Q436">
        <v>1</v>
      </c>
      <c r="W436">
        <v>0</v>
      </c>
      <c r="X436">
        <v>476480486</v>
      </c>
      <c r="Y436">
        <f>((AT436*1.15)*1.1)</f>
        <v>69.954499999999996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5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55.3</v>
      </c>
      <c r="AU436" t="s">
        <v>99</v>
      </c>
      <c r="AV436">
        <v>1</v>
      </c>
      <c r="AW436">
        <v>2</v>
      </c>
      <c r="AX436">
        <v>60255982</v>
      </c>
      <c r="AY436">
        <v>1</v>
      </c>
      <c r="AZ436">
        <v>0</v>
      </c>
      <c r="BA436">
        <v>487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U436">
        <f>ROUND(AT436*Source!I305*AH436*AL436,2)</f>
        <v>0</v>
      </c>
      <c r="CV436">
        <f>ROUND(Y436*Source!I305,9)</f>
        <v>90.940849999999998</v>
      </c>
      <c r="CW436">
        <v>0</v>
      </c>
      <c r="CX436">
        <f>ROUND(Y436*Source!I305,9)</f>
        <v>90.940849999999998</v>
      </c>
      <c r="CY436">
        <f>AD436</f>
        <v>0</v>
      </c>
      <c r="CZ436">
        <f>AH436</f>
        <v>0</v>
      </c>
      <c r="DA436">
        <f>AL436</f>
        <v>1</v>
      </c>
      <c r="DB436">
        <f>ROUND(((ROUND(AT436*CZ436,2)*1.15)*1.1),6)</f>
        <v>0</v>
      </c>
      <c r="DC436">
        <f>ROUND(((ROUND(AT436*AG436,2)*1.15)*1.1),6)</f>
        <v>0</v>
      </c>
      <c r="DD436" t="s">
        <v>3</v>
      </c>
      <c r="DE436" t="s">
        <v>3</v>
      </c>
      <c r="DF436">
        <f t="shared" si="140"/>
        <v>0</v>
      </c>
      <c r="DG436">
        <f t="shared" si="137"/>
        <v>0</v>
      </c>
      <c r="DH436">
        <f t="shared" si="138"/>
        <v>0</v>
      </c>
      <c r="DI436">
        <f t="shared" si="111"/>
        <v>0</v>
      </c>
      <c r="DJ436">
        <f>DI436</f>
        <v>0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ROW(Source!A305)</f>
        <v>305</v>
      </c>
      <c r="B437">
        <v>60255011</v>
      </c>
      <c r="C437">
        <v>60255734</v>
      </c>
      <c r="D437">
        <v>59070372</v>
      </c>
      <c r="E437">
        <v>1</v>
      </c>
      <c r="F437">
        <v>1</v>
      </c>
      <c r="G437">
        <v>1080</v>
      </c>
      <c r="H437">
        <v>2</v>
      </c>
      <c r="I437" t="s">
        <v>556</v>
      </c>
      <c r="J437" t="s">
        <v>557</v>
      </c>
      <c r="K437" t="s">
        <v>558</v>
      </c>
      <c r="L437">
        <v>1368</v>
      </c>
      <c r="N437">
        <v>1011</v>
      </c>
      <c r="O437" t="s">
        <v>488</v>
      </c>
      <c r="P437" t="s">
        <v>488</v>
      </c>
      <c r="Q437">
        <v>1</v>
      </c>
      <c r="W437">
        <v>0</v>
      </c>
      <c r="X437">
        <v>549242131</v>
      </c>
      <c r="Y437">
        <f>((AT437*1.25)*1.1)</f>
        <v>25.355000000000004</v>
      </c>
      <c r="AA437">
        <v>0</v>
      </c>
      <c r="AB437">
        <v>2.5299999999999998</v>
      </c>
      <c r="AC437">
        <v>0</v>
      </c>
      <c r="AD437">
        <v>0</v>
      </c>
      <c r="AE437">
        <v>0</v>
      </c>
      <c r="AF437">
        <v>0.28000000000000003</v>
      </c>
      <c r="AG437">
        <v>0</v>
      </c>
      <c r="AH437">
        <v>0</v>
      </c>
      <c r="AI437">
        <v>1</v>
      </c>
      <c r="AJ437">
        <v>8.4600000000000009</v>
      </c>
      <c r="AK437">
        <v>54.99</v>
      </c>
      <c r="AL437">
        <v>1</v>
      </c>
      <c r="AM437">
        <v>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18.440000000000001</v>
      </c>
      <c r="AU437" t="s">
        <v>496</v>
      </c>
      <c r="AV437">
        <v>0</v>
      </c>
      <c r="AW437">
        <v>2</v>
      </c>
      <c r="AX437">
        <v>60255983</v>
      </c>
      <c r="AY437">
        <v>1</v>
      </c>
      <c r="AZ437">
        <v>0</v>
      </c>
      <c r="BA437">
        <v>488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f>ROUND(Y437*Source!I305*DO437,9)</f>
        <v>0</v>
      </c>
      <c r="CX437">
        <f>ROUND(Y437*Source!I305,9)</f>
        <v>32.961500000000001</v>
      </c>
      <c r="CY437">
        <f>AB437</f>
        <v>2.5299999999999998</v>
      </c>
      <c r="CZ437">
        <f>AF437</f>
        <v>0.28000000000000003</v>
      </c>
      <c r="DA437">
        <f>AJ437</f>
        <v>8.4600000000000009</v>
      </c>
      <c r="DB437">
        <f>ROUND(((ROUND(AT437*CZ437,2)*1.25)*1.1),6)</f>
        <v>7.0949999999999998</v>
      </c>
      <c r="DC437">
        <f>ROUND(((ROUND(AT437*AG437,2)*1.25)*1.1),6)</f>
        <v>0</v>
      </c>
      <c r="DD437" t="s">
        <v>3</v>
      </c>
      <c r="DE437" t="s">
        <v>3</v>
      </c>
      <c r="DF437">
        <f t="shared" si="140"/>
        <v>0</v>
      </c>
      <c r="DG437">
        <f>ROUND(ROUND(AF437*AJ437,2)*CX437,2)</f>
        <v>78.12</v>
      </c>
      <c r="DH437">
        <f>ROUND(ROUND(AG437*AK437,2)*CX437,2)</f>
        <v>0</v>
      </c>
      <c r="DI437">
        <f t="shared" si="111"/>
        <v>0</v>
      </c>
      <c r="DJ437">
        <f>DG437</f>
        <v>78.12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ROW(Source!A305)</f>
        <v>305</v>
      </c>
      <c r="B438">
        <v>60255011</v>
      </c>
      <c r="C438">
        <v>60255734</v>
      </c>
      <c r="D438">
        <v>59070669</v>
      </c>
      <c r="E438">
        <v>1</v>
      </c>
      <c r="F438">
        <v>1</v>
      </c>
      <c r="G438">
        <v>1080</v>
      </c>
      <c r="H438">
        <v>2</v>
      </c>
      <c r="I438" t="s">
        <v>485</v>
      </c>
      <c r="J438" t="s">
        <v>486</v>
      </c>
      <c r="K438" t="s">
        <v>487</v>
      </c>
      <c r="L438">
        <v>1368</v>
      </c>
      <c r="N438">
        <v>1011</v>
      </c>
      <c r="O438" t="s">
        <v>488</v>
      </c>
      <c r="P438" t="s">
        <v>488</v>
      </c>
      <c r="Q438">
        <v>1</v>
      </c>
      <c r="W438">
        <v>0</v>
      </c>
      <c r="X438">
        <v>-1985943078</v>
      </c>
      <c r="Y438">
        <f>((AT438*1.25)*1.1)</f>
        <v>1.19625</v>
      </c>
      <c r="AA438">
        <v>0</v>
      </c>
      <c r="AB438">
        <v>1445.28</v>
      </c>
      <c r="AC438">
        <v>740.47</v>
      </c>
      <c r="AD438">
        <v>0</v>
      </c>
      <c r="AE438">
        <v>0</v>
      </c>
      <c r="AF438">
        <v>83.1</v>
      </c>
      <c r="AG438">
        <v>12.62</v>
      </c>
      <c r="AH438">
        <v>0</v>
      </c>
      <c r="AI438">
        <v>1</v>
      </c>
      <c r="AJ438">
        <v>16.3</v>
      </c>
      <c r="AK438">
        <v>54.99</v>
      </c>
      <c r="AL438">
        <v>1</v>
      </c>
      <c r="AM438">
        <v>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0.87</v>
      </c>
      <c r="AU438" t="s">
        <v>496</v>
      </c>
      <c r="AV438">
        <v>0</v>
      </c>
      <c r="AW438">
        <v>2</v>
      </c>
      <c r="AX438">
        <v>60255984</v>
      </c>
      <c r="AY438">
        <v>1</v>
      </c>
      <c r="AZ438">
        <v>0</v>
      </c>
      <c r="BA438">
        <v>489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f>ROUND(Y438*Source!I305*DO438,9)</f>
        <v>19.625677499999998</v>
      </c>
      <c r="CX438">
        <f>ROUND(Y438*Source!I305,9)</f>
        <v>1.5551250000000001</v>
      </c>
      <c r="CY438">
        <f>AB438</f>
        <v>1445.28</v>
      </c>
      <c r="CZ438">
        <f>AF438</f>
        <v>83.1</v>
      </c>
      <c r="DA438">
        <f>AJ438</f>
        <v>16.3</v>
      </c>
      <c r="DB438">
        <f>ROUND(((ROUND(AT438*CZ438,2)*1.25)*1.1),6)</f>
        <v>99.412499999999994</v>
      </c>
      <c r="DC438">
        <f>ROUND(((ROUND(AT438*AG438,2)*1.25)*1.1),6)</f>
        <v>15.0975</v>
      </c>
      <c r="DD438" t="s">
        <v>3</v>
      </c>
      <c r="DE438" t="s">
        <v>3</v>
      </c>
      <c r="DF438">
        <f t="shared" si="140"/>
        <v>0</v>
      </c>
      <c r="DG438">
        <f>ROUND(ROUND(AF438*AJ438,2)*CX438,2)</f>
        <v>2106.46</v>
      </c>
      <c r="DH438">
        <f>ROUND(ROUND(AG438*AK438,2)*CX438,2)</f>
        <v>1079.21</v>
      </c>
      <c r="DI438">
        <f t="shared" si="111"/>
        <v>0</v>
      </c>
      <c r="DJ438">
        <f>DG438</f>
        <v>2106.46</v>
      </c>
      <c r="DK438">
        <v>0</v>
      </c>
      <c r="DL438" t="s">
        <v>489</v>
      </c>
      <c r="DM438">
        <v>0</v>
      </c>
      <c r="DN438" t="s">
        <v>484</v>
      </c>
      <c r="DO438">
        <v>12.62</v>
      </c>
    </row>
    <row r="439" spans="1:119" x14ac:dyDescent="0.2">
      <c r="A439">
        <f>ROW(Source!A305)</f>
        <v>305</v>
      </c>
      <c r="B439">
        <v>60255011</v>
      </c>
      <c r="C439">
        <v>60255734</v>
      </c>
      <c r="D439">
        <v>59069905</v>
      </c>
      <c r="E439">
        <v>1</v>
      </c>
      <c r="F439">
        <v>1</v>
      </c>
      <c r="G439">
        <v>1080</v>
      </c>
      <c r="H439">
        <v>2</v>
      </c>
      <c r="I439" t="s">
        <v>503</v>
      </c>
      <c r="J439" t="s">
        <v>504</v>
      </c>
      <c r="K439" t="s">
        <v>505</v>
      </c>
      <c r="L439">
        <v>1368</v>
      </c>
      <c r="N439">
        <v>1011</v>
      </c>
      <c r="O439" t="s">
        <v>488</v>
      </c>
      <c r="P439" t="s">
        <v>488</v>
      </c>
      <c r="Q439">
        <v>1</v>
      </c>
      <c r="W439">
        <v>0</v>
      </c>
      <c r="X439">
        <v>1087580389</v>
      </c>
      <c r="Y439">
        <f>((AT439*1.25)*1.1)</f>
        <v>9.6250000000000016E-2</v>
      </c>
      <c r="AA439">
        <v>0</v>
      </c>
      <c r="AB439">
        <v>2628.65</v>
      </c>
      <c r="AC439">
        <v>993.36</v>
      </c>
      <c r="AD439">
        <v>0</v>
      </c>
      <c r="AE439">
        <v>0</v>
      </c>
      <c r="AF439">
        <v>179.17</v>
      </c>
      <c r="AG439">
        <v>16.93</v>
      </c>
      <c r="AH439">
        <v>0</v>
      </c>
      <c r="AI439">
        <v>1</v>
      </c>
      <c r="AJ439">
        <v>13.75</v>
      </c>
      <c r="AK439">
        <v>54.99</v>
      </c>
      <c r="AL439">
        <v>1</v>
      </c>
      <c r="AM439">
        <v>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7.0000000000000007E-2</v>
      </c>
      <c r="AU439" t="s">
        <v>496</v>
      </c>
      <c r="AV439">
        <v>0</v>
      </c>
      <c r="AW439">
        <v>2</v>
      </c>
      <c r="AX439">
        <v>60255985</v>
      </c>
      <c r="AY439">
        <v>1</v>
      </c>
      <c r="AZ439">
        <v>0</v>
      </c>
      <c r="BA439">
        <v>490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f>ROUND(Y439*Source!I305*DO439,9)</f>
        <v>2.1183662499999998</v>
      </c>
      <c r="CX439">
        <f>ROUND(Y439*Source!I305,9)</f>
        <v>0.12512499999999999</v>
      </c>
      <c r="CY439">
        <f>AB439</f>
        <v>2628.65</v>
      </c>
      <c r="CZ439">
        <f>AF439</f>
        <v>179.17</v>
      </c>
      <c r="DA439">
        <f>AJ439</f>
        <v>13.75</v>
      </c>
      <c r="DB439">
        <f>ROUND(((ROUND(AT439*CZ439,2)*1.25)*1.1),6)</f>
        <v>17.2425</v>
      </c>
      <c r="DC439">
        <f>ROUND(((ROUND(AT439*AG439,2)*1.25)*1.1),6)</f>
        <v>1.63625</v>
      </c>
      <c r="DD439" t="s">
        <v>3</v>
      </c>
      <c r="DE439" t="s">
        <v>3</v>
      </c>
      <c r="DF439">
        <f t="shared" si="140"/>
        <v>0</v>
      </c>
      <c r="DG439">
        <f>ROUND(ROUND(AF439*AJ439,2)*CX439,2)</f>
        <v>308.26</v>
      </c>
      <c r="DH439">
        <f>ROUND(ROUND(AG439*AK439,2)*CX439,2)</f>
        <v>116.49</v>
      </c>
      <c r="DI439">
        <f t="shared" si="111"/>
        <v>0</v>
      </c>
      <c r="DJ439">
        <f>DG439</f>
        <v>308.26</v>
      </c>
      <c r="DK439">
        <v>0</v>
      </c>
      <c r="DL439" t="s">
        <v>489</v>
      </c>
      <c r="DM439">
        <v>0</v>
      </c>
      <c r="DN439" t="s">
        <v>484</v>
      </c>
      <c r="DO439">
        <v>16.93</v>
      </c>
    </row>
    <row r="440" spans="1:119" x14ac:dyDescent="0.2">
      <c r="A440">
        <f>ROW(Source!A305)</f>
        <v>305</v>
      </c>
      <c r="B440">
        <v>60255011</v>
      </c>
      <c r="C440">
        <v>60255734</v>
      </c>
      <c r="D440">
        <v>59038905</v>
      </c>
      <c r="E440">
        <v>1</v>
      </c>
      <c r="F440">
        <v>1</v>
      </c>
      <c r="G440">
        <v>1080</v>
      </c>
      <c r="H440">
        <v>3</v>
      </c>
      <c r="I440" t="s">
        <v>506</v>
      </c>
      <c r="J440" t="s">
        <v>507</v>
      </c>
      <c r="K440" t="s">
        <v>508</v>
      </c>
      <c r="L440">
        <v>1339</v>
      </c>
      <c r="N440">
        <v>1007</v>
      </c>
      <c r="O440" t="s">
        <v>509</v>
      </c>
      <c r="P440" t="s">
        <v>509</v>
      </c>
      <c r="Q440">
        <v>1</v>
      </c>
      <c r="W440">
        <v>0</v>
      </c>
      <c r="X440">
        <v>-744103292</v>
      </c>
      <c r="Y440">
        <f t="shared" ref="Y440:Y446" si="148">AT440</f>
        <v>0.70899999999999996</v>
      </c>
      <c r="AA440">
        <v>54.79</v>
      </c>
      <c r="AB440">
        <v>0</v>
      </c>
      <c r="AC440">
        <v>0</v>
      </c>
      <c r="AD440">
        <v>0</v>
      </c>
      <c r="AE440">
        <v>7.07</v>
      </c>
      <c r="AF440">
        <v>0</v>
      </c>
      <c r="AG440">
        <v>0</v>
      </c>
      <c r="AH440">
        <v>0</v>
      </c>
      <c r="AI440">
        <v>7.75</v>
      </c>
      <c r="AJ440">
        <v>1</v>
      </c>
      <c r="AK440">
        <v>1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0.70899999999999996</v>
      </c>
      <c r="AU440" t="s">
        <v>3</v>
      </c>
      <c r="AV440">
        <v>0</v>
      </c>
      <c r="AW440">
        <v>2</v>
      </c>
      <c r="AX440">
        <v>60255986</v>
      </c>
      <c r="AY440">
        <v>1</v>
      </c>
      <c r="AZ440">
        <v>0</v>
      </c>
      <c r="BA440">
        <v>491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ROUND(Y440*Source!I305,9)</f>
        <v>0.92169999999999996</v>
      </c>
      <c r="CY440">
        <f t="shared" ref="CY440:CY446" si="149">AA440</f>
        <v>54.79</v>
      </c>
      <c r="CZ440">
        <f t="shared" ref="CZ440:CZ446" si="150">AE440</f>
        <v>7.07</v>
      </c>
      <c r="DA440">
        <f t="shared" ref="DA440:DA446" si="151">AI440</f>
        <v>7.75</v>
      </c>
      <c r="DB440">
        <f t="shared" ref="DB440:DB446" si="152">ROUND(ROUND(AT440*CZ440,2),6)</f>
        <v>5.01</v>
      </c>
      <c r="DC440">
        <f t="shared" ref="DC440:DC446" si="153">ROUND(ROUND(AT440*AG440,2),6)</f>
        <v>0</v>
      </c>
      <c r="DD440" t="s">
        <v>3</v>
      </c>
      <c r="DE440" t="s">
        <v>3</v>
      </c>
      <c r="DF440">
        <f t="shared" ref="DF440:DF446" si="154">ROUND(ROUND(AE440*AI440,2)*CX440,2)</f>
        <v>50.5</v>
      </c>
      <c r="DG440">
        <f t="shared" ref="DG440:DG458" si="155">ROUND(ROUND(AF440,2)*CX440,2)</f>
        <v>0</v>
      </c>
      <c r="DH440">
        <f t="shared" ref="DH440:DH458" si="156">ROUND(ROUND(AG440,2)*CX440,2)</f>
        <v>0</v>
      </c>
      <c r="DI440">
        <f t="shared" si="111"/>
        <v>0</v>
      </c>
      <c r="DJ440">
        <f t="shared" ref="DJ440:DJ446" si="157">DF440</f>
        <v>50.5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ROW(Source!A305)</f>
        <v>305</v>
      </c>
      <c r="B441">
        <v>60255011</v>
      </c>
      <c r="C441">
        <v>60255734</v>
      </c>
      <c r="D441">
        <v>59040044</v>
      </c>
      <c r="E441">
        <v>1</v>
      </c>
      <c r="F441">
        <v>1</v>
      </c>
      <c r="G441">
        <v>1080</v>
      </c>
      <c r="H441">
        <v>3</v>
      </c>
      <c r="I441" t="s">
        <v>559</v>
      </c>
      <c r="J441" t="s">
        <v>560</v>
      </c>
      <c r="K441" t="s">
        <v>561</v>
      </c>
      <c r="L441">
        <v>1346</v>
      </c>
      <c r="N441">
        <v>1009</v>
      </c>
      <c r="O441" t="s">
        <v>528</v>
      </c>
      <c r="P441" t="s">
        <v>528</v>
      </c>
      <c r="Q441">
        <v>1</v>
      </c>
      <c r="W441">
        <v>0</v>
      </c>
      <c r="X441">
        <v>-326142876</v>
      </c>
      <c r="Y441">
        <f t="shared" si="148"/>
        <v>0.2</v>
      </c>
      <c r="AA441">
        <v>126.84</v>
      </c>
      <c r="AB441">
        <v>0</v>
      </c>
      <c r="AC441">
        <v>0</v>
      </c>
      <c r="AD441">
        <v>0</v>
      </c>
      <c r="AE441">
        <v>21</v>
      </c>
      <c r="AF441">
        <v>0</v>
      </c>
      <c r="AG441">
        <v>0</v>
      </c>
      <c r="AH441">
        <v>0</v>
      </c>
      <c r="AI441">
        <v>6.04</v>
      </c>
      <c r="AJ441">
        <v>1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0.2</v>
      </c>
      <c r="AU441" t="s">
        <v>3</v>
      </c>
      <c r="AV441">
        <v>0</v>
      </c>
      <c r="AW441">
        <v>2</v>
      </c>
      <c r="AX441">
        <v>60255987</v>
      </c>
      <c r="AY441">
        <v>1</v>
      </c>
      <c r="AZ441">
        <v>0</v>
      </c>
      <c r="BA441">
        <v>492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ROUND(Y441*Source!I305,9)</f>
        <v>0.26</v>
      </c>
      <c r="CY441">
        <f t="shared" si="149"/>
        <v>126.84</v>
      </c>
      <c r="CZ441">
        <f t="shared" si="150"/>
        <v>21</v>
      </c>
      <c r="DA441">
        <f t="shared" si="151"/>
        <v>6.04</v>
      </c>
      <c r="DB441">
        <f t="shared" si="152"/>
        <v>4.2</v>
      </c>
      <c r="DC441">
        <f t="shared" si="153"/>
        <v>0</v>
      </c>
      <c r="DD441" t="s">
        <v>3</v>
      </c>
      <c r="DE441" t="s">
        <v>3</v>
      </c>
      <c r="DF441">
        <f t="shared" si="154"/>
        <v>32.979999999999997</v>
      </c>
      <c r="DG441">
        <f t="shared" si="155"/>
        <v>0</v>
      </c>
      <c r="DH441">
        <f t="shared" si="156"/>
        <v>0</v>
      </c>
      <c r="DI441">
        <f t="shared" si="111"/>
        <v>0</v>
      </c>
      <c r="DJ441">
        <f t="shared" si="157"/>
        <v>32.979999999999997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ROW(Source!A305)</f>
        <v>305</v>
      </c>
      <c r="B442">
        <v>60255011</v>
      </c>
      <c r="C442">
        <v>60255734</v>
      </c>
      <c r="D442">
        <v>59039024</v>
      </c>
      <c r="E442">
        <v>1</v>
      </c>
      <c r="F442">
        <v>1</v>
      </c>
      <c r="G442">
        <v>1080</v>
      </c>
      <c r="H442">
        <v>3</v>
      </c>
      <c r="I442" t="s">
        <v>562</v>
      </c>
      <c r="J442" t="s">
        <v>563</v>
      </c>
      <c r="K442" t="s">
        <v>564</v>
      </c>
      <c r="L442">
        <v>1348</v>
      </c>
      <c r="N442">
        <v>1009</v>
      </c>
      <c r="O442" t="s">
        <v>534</v>
      </c>
      <c r="P442" t="s">
        <v>534</v>
      </c>
      <c r="Q442">
        <v>1000</v>
      </c>
      <c r="W442">
        <v>0</v>
      </c>
      <c r="X442">
        <v>1469978170</v>
      </c>
      <c r="Y442">
        <f t="shared" si="148"/>
        <v>1.0000000000000001E-5</v>
      </c>
      <c r="AA442">
        <v>73915.41</v>
      </c>
      <c r="AB442">
        <v>0</v>
      </c>
      <c r="AC442">
        <v>0</v>
      </c>
      <c r="AD442">
        <v>0</v>
      </c>
      <c r="AE442">
        <v>3234.81</v>
      </c>
      <c r="AF442">
        <v>0</v>
      </c>
      <c r="AG442">
        <v>0</v>
      </c>
      <c r="AH442">
        <v>0</v>
      </c>
      <c r="AI442">
        <v>22.85</v>
      </c>
      <c r="AJ442">
        <v>1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1.0000000000000001E-5</v>
      </c>
      <c r="AU442" t="s">
        <v>3</v>
      </c>
      <c r="AV442">
        <v>0</v>
      </c>
      <c r="AW442">
        <v>2</v>
      </c>
      <c r="AX442">
        <v>60255988</v>
      </c>
      <c r="AY442">
        <v>1</v>
      </c>
      <c r="AZ442">
        <v>0</v>
      </c>
      <c r="BA442">
        <v>493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ROUND(Y442*Source!I305,9)</f>
        <v>1.2999999999999999E-5</v>
      </c>
      <c r="CY442">
        <f t="shared" si="149"/>
        <v>73915.41</v>
      </c>
      <c r="CZ442">
        <f t="shared" si="150"/>
        <v>3234.81</v>
      </c>
      <c r="DA442">
        <f t="shared" si="151"/>
        <v>22.85</v>
      </c>
      <c r="DB442">
        <f t="shared" si="152"/>
        <v>0.03</v>
      </c>
      <c r="DC442">
        <f t="shared" si="153"/>
        <v>0</v>
      </c>
      <c r="DD442" t="s">
        <v>3</v>
      </c>
      <c r="DE442" t="s">
        <v>3</v>
      </c>
      <c r="DF442">
        <f t="shared" si="154"/>
        <v>0.96</v>
      </c>
      <c r="DG442">
        <f t="shared" si="155"/>
        <v>0</v>
      </c>
      <c r="DH442">
        <f t="shared" si="156"/>
        <v>0</v>
      </c>
      <c r="DI442">
        <f t="shared" si="111"/>
        <v>0</v>
      </c>
      <c r="DJ442">
        <f t="shared" si="157"/>
        <v>0.96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ROW(Source!A305)</f>
        <v>305</v>
      </c>
      <c r="B443">
        <v>60255011</v>
      </c>
      <c r="C443">
        <v>60255734</v>
      </c>
      <c r="D443">
        <v>59038837</v>
      </c>
      <c r="E443">
        <v>1</v>
      </c>
      <c r="F443">
        <v>1</v>
      </c>
      <c r="G443">
        <v>1080</v>
      </c>
      <c r="H443">
        <v>3</v>
      </c>
      <c r="I443" t="s">
        <v>565</v>
      </c>
      <c r="J443" t="s">
        <v>566</v>
      </c>
      <c r="K443" t="s">
        <v>567</v>
      </c>
      <c r="L443">
        <v>1339</v>
      </c>
      <c r="N443">
        <v>1007</v>
      </c>
      <c r="O443" t="s">
        <v>509</v>
      </c>
      <c r="P443" t="s">
        <v>509</v>
      </c>
      <c r="Q443">
        <v>1</v>
      </c>
      <c r="W443">
        <v>0</v>
      </c>
      <c r="X443">
        <v>1565098517</v>
      </c>
      <c r="Y443">
        <f t="shared" si="148"/>
        <v>0.32</v>
      </c>
      <c r="AA443">
        <v>759.63</v>
      </c>
      <c r="AB443">
        <v>0</v>
      </c>
      <c r="AC443">
        <v>0</v>
      </c>
      <c r="AD443">
        <v>0</v>
      </c>
      <c r="AE443">
        <v>53.42</v>
      </c>
      <c r="AF443">
        <v>0</v>
      </c>
      <c r="AG443">
        <v>0</v>
      </c>
      <c r="AH443">
        <v>0</v>
      </c>
      <c r="AI443">
        <v>14.22</v>
      </c>
      <c r="AJ443">
        <v>1</v>
      </c>
      <c r="AK443">
        <v>1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0.32</v>
      </c>
      <c r="AU443" t="s">
        <v>3</v>
      </c>
      <c r="AV443">
        <v>0</v>
      </c>
      <c r="AW443">
        <v>2</v>
      </c>
      <c r="AX443">
        <v>60255989</v>
      </c>
      <c r="AY443">
        <v>1</v>
      </c>
      <c r="AZ443">
        <v>0</v>
      </c>
      <c r="BA443">
        <v>494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ROUND(Y443*Source!I305,9)</f>
        <v>0.41599999999999998</v>
      </c>
      <c r="CY443">
        <f t="shared" si="149"/>
        <v>759.63</v>
      </c>
      <c r="CZ443">
        <f t="shared" si="150"/>
        <v>53.42</v>
      </c>
      <c r="DA443">
        <f t="shared" si="151"/>
        <v>14.22</v>
      </c>
      <c r="DB443">
        <f t="shared" si="152"/>
        <v>17.09</v>
      </c>
      <c r="DC443">
        <f t="shared" si="153"/>
        <v>0</v>
      </c>
      <c r="DD443" t="s">
        <v>3</v>
      </c>
      <c r="DE443" t="s">
        <v>3</v>
      </c>
      <c r="DF443">
        <f t="shared" si="154"/>
        <v>316.01</v>
      </c>
      <c r="DG443">
        <f t="shared" si="155"/>
        <v>0</v>
      </c>
      <c r="DH443">
        <f t="shared" si="156"/>
        <v>0</v>
      </c>
      <c r="DI443">
        <f t="shared" si="111"/>
        <v>0</v>
      </c>
      <c r="DJ443">
        <f t="shared" si="157"/>
        <v>316.01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ROW(Source!A305)</f>
        <v>305</v>
      </c>
      <c r="B444">
        <v>60255011</v>
      </c>
      <c r="C444">
        <v>60255734</v>
      </c>
      <c r="D444">
        <v>59039103</v>
      </c>
      <c r="E444">
        <v>1</v>
      </c>
      <c r="F444">
        <v>1</v>
      </c>
      <c r="G444">
        <v>1080</v>
      </c>
      <c r="H444">
        <v>3</v>
      </c>
      <c r="I444" t="s">
        <v>568</v>
      </c>
      <c r="J444" t="s">
        <v>569</v>
      </c>
      <c r="K444" t="s">
        <v>570</v>
      </c>
      <c r="L444">
        <v>1339</v>
      </c>
      <c r="N444">
        <v>1007</v>
      </c>
      <c r="O444" t="s">
        <v>509</v>
      </c>
      <c r="P444" t="s">
        <v>509</v>
      </c>
      <c r="Q444">
        <v>1</v>
      </c>
      <c r="W444">
        <v>0</v>
      </c>
      <c r="X444">
        <v>-388798825</v>
      </c>
      <c r="Y444">
        <f t="shared" si="148"/>
        <v>0.35</v>
      </c>
      <c r="AA444">
        <v>94.23</v>
      </c>
      <c r="AB444">
        <v>0</v>
      </c>
      <c r="AC444">
        <v>0</v>
      </c>
      <c r="AD444">
        <v>0</v>
      </c>
      <c r="AE444">
        <v>5.82</v>
      </c>
      <c r="AF444">
        <v>0</v>
      </c>
      <c r="AG444">
        <v>0</v>
      </c>
      <c r="AH444">
        <v>0</v>
      </c>
      <c r="AI444">
        <v>16.190000000000001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0.35</v>
      </c>
      <c r="AU444" t="s">
        <v>3</v>
      </c>
      <c r="AV444">
        <v>0</v>
      </c>
      <c r="AW444">
        <v>2</v>
      </c>
      <c r="AX444">
        <v>60255990</v>
      </c>
      <c r="AY444">
        <v>1</v>
      </c>
      <c r="AZ444">
        <v>0</v>
      </c>
      <c r="BA444">
        <v>495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ROUND(Y444*Source!I305,9)</f>
        <v>0.45500000000000002</v>
      </c>
      <c r="CY444">
        <f t="shared" si="149"/>
        <v>94.23</v>
      </c>
      <c r="CZ444">
        <f t="shared" si="150"/>
        <v>5.82</v>
      </c>
      <c r="DA444">
        <f t="shared" si="151"/>
        <v>16.190000000000001</v>
      </c>
      <c r="DB444">
        <f t="shared" si="152"/>
        <v>2.04</v>
      </c>
      <c r="DC444">
        <f t="shared" si="153"/>
        <v>0</v>
      </c>
      <c r="DD444" t="s">
        <v>3</v>
      </c>
      <c r="DE444" t="s">
        <v>3</v>
      </c>
      <c r="DF444">
        <f t="shared" si="154"/>
        <v>42.87</v>
      </c>
      <c r="DG444">
        <f t="shared" si="155"/>
        <v>0</v>
      </c>
      <c r="DH444">
        <f t="shared" si="156"/>
        <v>0</v>
      </c>
      <c r="DI444">
        <f t="shared" si="111"/>
        <v>0</v>
      </c>
      <c r="DJ444">
        <f t="shared" si="157"/>
        <v>42.87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ROW(Source!A305)</f>
        <v>305</v>
      </c>
      <c r="B445">
        <v>60255011</v>
      </c>
      <c r="C445">
        <v>60255734</v>
      </c>
      <c r="D445">
        <v>59051862</v>
      </c>
      <c r="E445">
        <v>1</v>
      </c>
      <c r="F445">
        <v>1</v>
      </c>
      <c r="G445">
        <v>1080</v>
      </c>
      <c r="H445">
        <v>3</v>
      </c>
      <c r="I445" t="s">
        <v>415</v>
      </c>
      <c r="J445" t="s">
        <v>417</v>
      </c>
      <c r="K445" t="s">
        <v>416</v>
      </c>
      <c r="L445">
        <v>1301</v>
      </c>
      <c r="N445">
        <v>1003</v>
      </c>
      <c r="O445" t="s">
        <v>376</v>
      </c>
      <c r="P445" t="s">
        <v>376</v>
      </c>
      <c r="Q445">
        <v>1</v>
      </c>
      <c r="W445">
        <v>0</v>
      </c>
      <c r="X445">
        <v>1003589215</v>
      </c>
      <c r="Y445">
        <f t="shared" si="148"/>
        <v>100</v>
      </c>
      <c r="AA445">
        <v>910.71</v>
      </c>
      <c r="AB445">
        <v>0</v>
      </c>
      <c r="AC445">
        <v>0</v>
      </c>
      <c r="AD445">
        <v>0</v>
      </c>
      <c r="AE445">
        <v>44.49</v>
      </c>
      <c r="AF445">
        <v>0</v>
      </c>
      <c r="AG445">
        <v>0</v>
      </c>
      <c r="AH445">
        <v>0</v>
      </c>
      <c r="AI445">
        <v>20.47</v>
      </c>
      <c r="AJ445">
        <v>1</v>
      </c>
      <c r="AK445">
        <v>1</v>
      </c>
      <c r="AL445">
        <v>1</v>
      </c>
      <c r="AM445">
        <v>0</v>
      </c>
      <c r="AN445">
        <v>0</v>
      </c>
      <c r="AO445">
        <v>0</v>
      </c>
      <c r="AP445">
        <v>1</v>
      </c>
      <c r="AQ445">
        <v>0</v>
      </c>
      <c r="AR445">
        <v>0</v>
      </c>
      <c r="AS445" t="s">
        <v>3</v>
      </c>
      <c r="AT445">
        <v>100</v>
      </c>
      <c r="AU445" t="s">
        <v>3</v>
      </c>
      <c r="AV445">
        <v>0</v>
      </c>
      <c r="AW445">
        <v>1</v>
      </c>
      <c r="AX445">
        <v>-1</v>
      </c>
      <c r="AY445">
        <v>0</v>
      </c>
      <c r="AZ445">
        <v>0</v>
      </c>
      <c r="BA445" t="s">
        <v>3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ROUND(Y445*Source!I305,9)</f>
        <v>130</v>
      </c>
      <c r="CY445">
        <f t="shared" si="149"/>
        <v>910.71</v>
      </c>
      <c r="CZ445">
        <f t="shared" si="150"/>
        <v>44.49</v>
      </c>
      <c r="DA445">
        <f t="shared" si="151"/>
        <v>20.47</v>
      </c>
      <c r="DB445">
        <f t="shared" si="152"/>
        <v>4449</v>
      </c>
      <c r="DC445">
        <f t="shared" si="153"/>
        <v>0</v>
      </c>
      <c r="DD445" t="s">
        <v>3</v>
      </c>
      <c r="DE445" t="s">
        <v>3</v>
      </c>
      <c r="DF445">
        <f t="shared" si="154"/>
        <v>118392.3</v>
      </c>
      <c r="DG445">
        <f t="shared" si="155"/>
        <v>0</v>
      </c>
      <c r="DH445">
        <f t="shared" si="156"/>
        <v>0</v>
      </c>
      <c r="DI445">
        <f t="shared" si="111"/>
        <v>0</v>
      </c>
      <c r="DJ445">
        <f t="shared" si="157"/>
        <v>118392.3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ROW(Source!A305)</f>
        <v>305</v>
      </c>
      <c r="B446">
        <v>60255011</v>
      </c>
      <c r="C446">
        <v>60255734</v>
      </c>
      <c r="D446">
        <v>59046388</v>
      </c>
      <c r="E446">
        <v>1</v>
      </c>
      <c r="F446">
        <v>1</v>
      </c>
      <c r="G446">
        <v>1080</v>
      </c>
      <c r="H446">
        <v>3</v>
      </c>
      <c r="I446" t="s">
        <v>571</v>
      </c>
      <c r="J446" t="s">
        <v>572</v>
      </c>
      <c r="K446" t="s">
        <v>573</v>
      </c>
      <c r="L446">
        <v>1339</v>
      </c>
      <c r="N446">
        <v>1007</v>
      </c>
      <c r="O446" t="s">
        <v>509</v>
      </c>
      <c r="P446" t="s">
        <v>509</v>
      </c>
      <c r="Q446">
        <v>1</v>
      </c>
      <c r="W446">
        <v>0</v>
      </c>
      <c r="X446">
        <v>1702591464</v>
      </c>
      <c r="Y446">
        <f t="shared" si="148"/>
        <v>8.0000000000000002E-3</v>
      </c>
      <c r="AA446">
        <v>5453.64</v>
      </c>
      <c r="AB446">
        <v>0</v>
      </c>
      <c r="AC446">
        <v>0</v>
      </c>
      <c r="AD446">
        <v>0</v>
      </c>
      <c r="AE446">
        <v>610.71</v>
      </c>
      <c r="AF446">
        <v>0</v>
      </c>
      <c r="AG446">
        <v>0</v>
      </c>
      <c r="AH446">
        <v>0</v>
      </c>
      <c r="AI446">
        <v>8.93</v>
      </c>
      <c r="AJ446">
        <v>1</v>
      </c>
      <c r="AK446">
        <v>1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8.0000000000000002E-3</v>
      </c>
      <c r="AU446" t="s">
        <v>3</v>
      </c>
      <c r="AV446">
        <v>0</v>
      </c>
      <c r="AW446">
        <v>2</v>
      </c>
      <c r="AX446">
        <v>60255991</v>
      </c>
      <c r="AY446">
        <v>1</v>
      </c>
      <c r="AZ446">
        <v>0</v>
      </c>
      <c r="BA446">
        <v>496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ROUND(Y446*Source!I305,9)</f>
        <v>1.04E-2</v>
      </c>
      <c r="CY446">
        <f t="shared" si="149"/>
        <v>5453.64</v>
      </c>
      <c r="CZ446">
        <f t="shared" si="150"/>
        <v>610.71</v>
      </c>
      <c r="DA446">
        <f t="shared" si="151"/>
        <v>8.93</v>
      </c>
      <c r="DB446">
        <f t="shared" si="152"/>
        <v>4.8899999999999997</v>
      </c>
      <c r="DC446">
        <f t="shared" si="153"/>
        <v>0</v>
      </c>
      <c r="DD446" t="s">
        <v>3</v>
      </c>
      <c r="DE446" t="s">
        <v>3</v>
      </c>
      <c r="DF446">
        <f t="shared" si="154"/>
        <v>56.72</v>
      </c>
      <c r="DG446">
        <f t="shared" si="155"/>
        <v>0</v>
      </c>
      <c r="DH446">
        <f t="shared" si="156"/>
        <v>0</v>
      </c>
      <c r="DI446">
        <f t="shared" si="111"/>
        <v>0</v>
      </c>
      <c r="DJ446">
        <f t="shared" si="157"/>
        <v>56.72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ROW(Source!A308)</f>
        <v>308</v>
      </c>
      <c r="B447">
        <v>60255014</v>
      </c>
      <c r="C447">
        <v>60255759</v>
      </c>
      <c r="D447">
        <v>58999254</v>
      </c>
      <c r="E447">
        <v>1080</v>
      </c>
      <c r="F447">
        <v>1</v>
      </c>
      <c r="G447">
        <v>1080</v>
      </c>
      <c r="H447">
        <v>1</v>
      </c>
      <c r="I447" t="s">
        <v>482</v>
      </c>
      <c r="J447" t="s">
        <v>3</v>
      </c>
      <c r="K447" t="s">
        <v>483</v>
      </c>
      <c r="L447">
        <v>1191</v>
      </c>
      <c r="N447">
        <v>1013</v>
      </c>
      <c r="O447" t="s">
        <v>484</v>
      </c>
      <c r="P447" t="s">
        <v>484</v>
      </c>
      <c r="Q447">
        <v>1</v>
      </c>
      <c r="W447">
        <v>0</v>
      </c>
      <c r="X447">
        <v>476480486</v>
      </c>
      <c r="Y447">
        <f>((AT447*1.15)*1.1)</f>
        <v>82.983999999999995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65.599999999999994</v>
      </c>
      <c r="AU447" t="s">
        <v>99</v>
      </c>
      <c r="AV447">
        <v>1</v>
      </c>
      <c r="AW447">
        <v>2</v>
      </c>
      <c r="AX447">
        <v>60255994</v>
      </c>
      <c r="AY447">
        <v>1</v>
      </c>
      <c r="AZ447">
        <v>0</v>
      </c>
      <c r="BA447">
        <v>499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U447">
        <f>ROUND(AT447*Source!I308*AH447*AL447,2)</f>
        <v>0</v>
      </c>
      <c r="CV447">
        <f>ROUND(Y447*Source!I308,9)</f>
        <v>16.596800000000002</v>
      </c>
      <c r="CW447">
        <v>0</v>
      </c>
      <c r="CX447">
        <f>ROUND(Y447*Source!I308,9)</f>
        <v>16.596800000000002</v>
      </c>
      <c r="CY447">
        <f>AD447</f>
        <v>0</v>
      </c>
      <c r="CZ447">
        <f>AH447</f>
        <v>0</v>
      </c>
      <c r="DA447">
        <f>AL447</f>
        <v>1</v>
      </c>
      <c r="DB447">
        <f>ROUND(((ROUND(AT447*CZ447,2)*1.15)*1.1),6)</f>
        <v>0</v>
      </c>
      <c r="DC447">
        <f>ROUND(((ROUND(AT447*AG447,2)*1.15)*1.1),6)</f>
        <v>0</v>
      </c>
      <c r="DD447" t="s">
        <v>3</v>
      </c>
      <c r="DE447" t="s">
        <v>3</v>
      </c>
      <c r="DF447">
        <f t="shared" ref="DF447:DF461" si="158">ROUND(ROUND(AE447,2)*CX447,2)</f>
        <v>0</v>
      </c>
      <c r="DG447">
        <f t="shared" si="155"/>
        <v>0</v>
      </c>
      <c r="DH447">
        <f t="shared" si="156"/>
        <v>0</v>
      </c>
      <c r="DI447">
        <f t="shared" si="111"/>
        <v>0</v>
      </c>
      <c r="DJ447">
        <f>DI447</f>
        <v>0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ROW(Source!A308)</f>
        <v>308</v>
      </c>
      <c r="B448">
        <v>60255014</v>
      </c>
      <c r="C448">
        <v>60255759</v>
      </c>
      <c r="D448">
        <v>59070372</v>
      </c>
      <c r="E448">
        <v>1</v>
      </c>
      <c r="F448">
        <v>1</v>
      </c>
      <c r="G448">
        <v>1080</v>
      </c>
      <c r="H448">
        <v>2</v>
      </c>
      <c r="I448" t="s">
        <v>556</v>
      </c>
      <c r="J448" t="s">
        <v>557</v>
      </c>
      <c r="K448" t="s">
        <v>558</v>
      </c>
      <c r="L448">
        <v>1368</v>
      </c>
      <c r="N448">
        <v>1011</v>
      </c>
      <c r="O448" t="s">
        <v>488</v>
      </c>
      <c r="P448" t="s">
        <v>488</v>
      </c>
      <c r="Q448">
        <v>1</v>
      </c>
      <c r="W448">
        <v>0</v>
      </c>
      <c r="X448">
        <v>549242131</v>
      </c>
      <c r="Y448">
        <f>((AT448*1.25)*1.1)</f>
        <v>34.292500000000004</v>
      </c>
      <c r="AA448">
        <v>0</v>
      </c>
      <c r="AB448">
        <v>0.3</v>
      </c>
      <c r="AC448">
        <v>0</v>
      </c>
      <c r="AD448">
        <v>0</v>
      </c>
      <c r="AE448">
        <v>0</v>
      </c>
      <c r="AF448">
        <v>0.28000000000000003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-2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24.94</v>
      </c>
      <c r="AU448" t="s">
        <v>496</v>
      </c>
      <c r="AV448">
        <v>0</v>
      </c>
      <c r="AW448">
        <v>2</v>
      </c>
      <c r="AX448">
        <v>60255995</v>
      </c>
      <c r="AY448">
        <v>1</v>
      </c>
      <c r="AZ448">
        <v>0</v>
      </c>
      <c r="BA448">
        <v>500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f>ROUND(Y448*Source!I308*DO448,9)</f>
        <v>0</v>
      </c>
      <c r="CX448">
        <f>ROUND(Y448*Source!I308,9)</f>
        <v>6.8585000000000003</v>
      </c>
      <c r="CY448">
        <f>AB448</f>
        <v>0.3</v>
      </c>
      <c r="CZ448">
        <f>AF448</f>
        <v>0.28000000000000003</v>
      </c>
      <c r="DA448">
        <f>AJ448</f>
        <v>1</v>
      </c>
      <c r="DB448">
        <f>ROUND(((ROUND(AT448*CZ448,2)*1.25)*1.1),6)</f>
        <v>9.5975000000000001</v>
      </c>
      <c r="DC448">
        <f>ROUND(((ROUND(AT448*AG448,2)*1.25)*1.1),6)</f>
        <v>0</v>
      </c>
      <c r="DD448" t="s">
        <v>3</v>
      </c>
      <c r="DE448" t="s">
        <v>3</v>
      </c>
      <c r="DF448">
        <f t="shared" si="158"/>
        <v>0</v>
      </c>
      <c r="DG448">
        <f t="shared" si="155"/>
        <v>1.92</v>
      </c>
      <c r="DH448">
        <f t="shared" si="156"/>
        <v>0</v>
      </c>
      <c r="DI448">
        <f t="shared" si="111"/>
        <v>0</v>
      </c>
      <c r="DJ448">
        <f>DG448</f>
        <v>1.92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ROW(Source!A308)</f>
        <v>308</v>
      </c>
      <c r="B449">
        <v>60255014</v>
      </c>
      <c r="C449">
        <v>60255759</v>
      </c>
      <c r="D449">
        <v>59070669</v>
      </c>
      <c r="E449">
        <v>1</v>
      </c>
      <c r="F449">
        <v>1</v>
      </c>
      <c r="G449">
        <v>1080</v>
      </c>
      <c r="H449">
        <v>2</v>
      </c>
      <c r="I449" t="s">
        <v>485</v>
      </c>
      <c r="J449" t="s">
        <v>486</v>
      </c>
      <c r="K449" t="s">
        <v>487</v>
      </c>
      <c r="L449">
        <v>1368</v>
      </c>
      <c r="N449">
        <v>1011</v>
      </c>
      <c r="O449" t="s">
        <v>488</v>
      </c>
      <c r="P449" t="s">
        <v>488</v>
      </c>
      <c r="Q449">
        <v>1</v>
      </c>
      <c r="W449">
        <v>0</v>
      </c>
      <c r="X449">
        <v>-1985943078</v>
      </c>
      <c r="Y449">
        <f>((AT449*1.25)*1.1)</f>
        <v>1.3887500000000002</v>
      </c>
      <c r="AA449">
        <v>0</v>
      </c>
      <c r="AB449">
        <v>88.67</v>
      </c>
      <c r="AC449">
        <v>13.47</v>
      </c>
      <c r="AD449">
        <v>0</v>
      </c>
      <c r="AE449">
        <v>0</v>
      </c>
      <c r="AF449">
        <v>83.1</v>
      </c>
      <c r="AG449">
        <v>12.62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-2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1.01</v>
      </c>
      <c r="AU449" t="s">
        <v>496</v>
      </c>
      <c r="AV449">
        <v>0</v>
      </c>
      <c r="AW449">
        <v>2</v>
      </c>
      <c r="AX449">
        <v>60255996</v>
      </c>
      <c r="AY449">
        <v>1</v>
      </c>
      <c r="AZ449">
        <v>0</v>
      </c>
      <c r="BA449">
        <v>501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f>ROUND(Y449*Source!I308*DO449,9)</f>
        <v>3.5052050000000001</v>
      </c>
      <c r="CX449">
        <f>ROUND(Y449*Source!I308,9)</f>
        <v>0.27775</v>
      </c>
      <c r="CY449">
        <f>AB449</f>
        <v>88.67</v>
      </c>
      <c r="CZ449">
        <f>AF449</f>
        <v>83.1</v>
      </c>
      <c r="DA449">
        <f>AJ449</f>
        <v>1</v>
      </c>
      <c r="DB449">
        <f>ROUND(((ROUND(AT449*CZ449,2)*1.25)*1.1),6)</f>
        <v>115.40375</v>
      </c>
      <c r="DC449">
        <f>ROUND(((ROUND(AT449*AG449,2)*1.25)*1.1),6)</f>
        <v>17.53125</v>
      </c>
      <c r="DD449" t="s">
        <v>3</v>
      </c>
      <c r="DE449" t="s">
        <v>3</v>
      </c>
      <c r="DF449">
        <f t="shared" si="158"/>
        <v>0</v>
      </c>
      <c r="DG449">
        <f t="shared" si="155"/>
        <v>23.08</v>
      </c>
      <c r="DH449">
        <f t="shared" si="156"/>
        <v>3.51</v>
      </c>
      <c r="DI449">
        <f t="shared" ref="DI449:DI484" si="159">ROUND(ROUND(AH449,2)*CX449,2)</f>
        <v>0</v>
      </c>
      <c r="DJ449">
        <f>DG449</f>
        <v>23.08</v>
      </c>
      <c r="DK449">
        <v>0</v>
      </c>
      <c r="DL449" t="s">
        <v>489</v>
      </c>
      <c r="DM449">
        <v>0</v>
      </c>
      <c r="DN449" t="s">
        <v>484</v>
      </c>
      <c r="DO449">
        <v>12.62</v>
      </c>
    </row>
    <row r="450" spans="1:119" x14ac:dyDescent="0.2">
      <c r="A450">
        <f>ROW(Source!A308)</f>
        <v>308</v>
      </c>
      <c r="B450">
        <v>60255014</v>
      </c>
      <c r="C450">
        <v>60255759</v>
      </c>
      <c r="D450">
        <v>59069905</v>
      </c>
      <c r="E450">
        <v>1</v>
      </c>
      <c r="F450">
        <v>1</v>
      </c>
      <c r="G450">
        <v>1080</v>
      </c>
      <c r="H450">
        <v>2</v>
      </c>
      <c r="I450" t="s">
        <v>503</v>
      </c>
      <c r="J450" t="s">
        <v>504</v>
      </c>
      <c r="K450" t="s">
        <v>505</v>
      </c>
      <c r="L450">
        <v>1368</v>
      </c>
      <c r="N450">
        <v>1011</v>
      </c>
      <c r="O450" t="s">
        <v>488</v>
      </c>
      <c r="P450" t="s">
        <v>488</v>
      </c>
      <c r="Q450">
        <v>1</v>
      </c>
      <c r="W450">
        <v>0</v>
      </c>
      <c r="X450">
        <v>1087580389</v>
      </c>
      <c r="Y450">
        <f>((AT450*1.25)*1.1)</f>
        <v>0.11000000000000001</v>
      </c>
      <c r="AA450">
        <v>0</v>
      </c>
      <c r="AB450">
        <v>191.17</v>
      </c>
      <c r="AC450">
        <v>18.059999999999999</v>
      </c>
      <c r="AD450">
        <v>0</v>
      </c>
      <c r="AE450">
        <v>0</v>
      </c>
      <c r="AF450">
        <v>179.17</v>
      </c>
      <c r="AG450">
        <v>16.93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-2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0.08</v>
      </c>
      <c r="AU450" t="s">
        <v>496</v>
      </c>
      <c r="AV450">
        <v>0</v>
      </c>
      <c r="AW450">
        <v>2</v>
      </c>
      <c r="AX450">
        <v>60255997</v>
      </c>
      <c r="AY450">
        <v>1</v>
      </c>
      <c r="AZ450">
        <v>0</v>
      </c>
      <c r="BA450">
        <v>502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f>ROUND(Y450*Source!I308*DO450,9)</f>
        <v>0.37246000000000001</v>
      </c>
      <c r="CX450">
        <f>ROUND(Y450*Source!I308,9)</f>
        <v>2.1999999999999999E-2</v>
      </c>
      <c r="CY450">
        <f>AB450</f>
        <v>191.17</v>
      </c>
      <c r="CZ450">
        <f>AF450</f>
        <v>179.17</v>
      </c>
      <c r="DA450">
        <f>AJ450</f>
        <v>1</v>
      </c>
      <c r="DB450">
        <f>ROUND(((ROUND(AT450*CZ450,2)*1.25)*1.1),6)</f>
        <v>19.703749999999999</v>
      </c>
      <c r="DC450">
        <f>ROUND(((ROUND(AT450*AG450,2)*1.25)*1.1),6)</f>
        <v>1.85625</v>
      </c>
      <c r="DD450" t="s">
        <v>3</v>
      </c>
      <c r="DE450" t="s">
        <v>3</v>
      </c>
      <c r="DF450">
        <f t="shared" si="158"/>
        <v>0</v>
      </c>
      <c r="DG450">
        <f t="shared" si="155"/>
        <v>3.94</v>
      </c>
      <c r="DH450">
        <f t="shared" si="156"/>
        <v>0.37</v>
      </c>
      <c r="DI450">
        <f t="shared" si="159"/>
        <v>0</v>
      </c>
      <c r="DJ450">
        <f>DG450</f>
        <v>3.94</v>
      </c>
      <c r="DK450">
        <v>0</v>
      </c>
      <c r="DL450" t="s">
        <v>489</v>
      </c>
      <c r="DM450">
        <v>0</v>
      </c>
      <c r="DN450" t="s">
        <v>484</v>
      </c>
      <c r="DO450">
        <v>16.93</v>
      </c>
    </row>
    <row r="451" spans="1:119" x14ac:dyDescent="0.2">
      <c r="A451">
        <f>ROW(Source!A308)</f>
        <v>308</v>
      </c>
      <c r="B451">
        <v>60255014</v>
      </c>
      <c r="C451">
        <v>60255759</v>
      </c>
      <c r="D451">
        <v>59038905</v>
      </c>
      <c r="E451">
        <v>1</v>
      </c>
      <c r="F451">
        <v>1</v>
      </c>
      <c r="G451">
        <v>1080</v>
      </c>
      <c r="H451">
        <v>3</v>
      </c>
      <c r="I451" t="s">
        <v>506</v>
      </c>
      <c r="J451" t="s">
        <v>507</v>
      </c>
      <c r="K451" t="s">
        <v>508</v>
      </c>
      <c r="L451">
        <v>1339</v>
      </c>
      <c r="N451">
        <v>1007</v>
      </c>
      <c r="O451" t="s">
        <v>509</v>
      </c>
      <c r="P451" t="s">
        <v>509</v>
      </c>
      <c r="Q451">
        <v>1</v>
      </c>
      <c r="W451">
        <v>0</v>
      </c>
      <c r="X451">
        <v>-744103292</v>
      </c>
      <c r="Y451">
        <f t="shared" ref="Y451:Y457" si="160">AT451</f>
        <v>1.2</v>
      </c>
      <c r="AA451">
        <v>7.07</v>
      </c>
      <c r="AB451">
        <v>0</v>
      </c>
      <c r="AC451">
        <v>0</v>
      </c>
      <c r="AD451">
        <v>0</v>
      </c>
      <c r="AE451">
        <v>7.07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1.2</v>
      </c>
      <c r="AU451" t="s">
        <v>3</v>
      </c>
      <c r="AV451">
        <v>0</v>
      </c>
      <c r="AW451">
        <v>2</v>
      </c>
      <c r="AX451">
        <v>60255998</v>
      </c>
      <c r="AY451">
        <v>1</v>
      </c>
      <c r="AZ451">
        <v>0</v>
      </c>
      <c r="BA451">
        <v>503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ROUND(Y451*Source!I308,9)</f>
        <v>0.24</v>
      </c>
      <c r="CY451">
        <f t="shared" ref="CY451:CY457" si="161">AA451</f>
        <v>7.07</v>
      </c>
      <c r="CZ451">
        <f t="shared" ref="CZ451:CZ457" si="162">AE451</f>
        <v>7.07</v>
      </c>
      <c r="DA451">
        <f t="shared" ref="DA451:DA457" si="163">AI451</f>
        <v>1</v>
      </c>
      <c r="DB451">
        <f t="shared" ref="DB451:DB457" si="164">ROUND(ROUND(AT451*CZ451,2),6)</f>
        <v>8.48</v>
      </c>
      <c r="DC451">
        <f t="shared" ref="DC451:DC457" si="165">ROUND(ROUND(AT451*AG451,2),6)</f>
        <v>0</v>
      </c>
      <c r="DD451" t="s">
        <v>3</v>
      </c>
      <c r="DE451" t="s">
        <v>3</v>
      </c>
      <c r="DF451">
        <f t="shared" si="158"/>
        <v>1.7</v>
      </c>
      <c r="DG451">
        <f t="shared" si="155"/>
        <v>0</v>
      </c>
      <c r="DH451">
        <f t="shared" si="156"/>
        <v>0</v>
      </c>
      <c r="DI451">
        <f t="shared" si="159"/>
        <v>0</v>
      </c>
      <c r="DJ451">
        <f t="shared" ref="DJ451:DJ457" si="166">DF451</f>
        <v>1.7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ROW(Source!A308)</f>
        <v>308</v>
      </c>
      <c r="B452">
        <v>60255014</v>
      </c>
      <c r="C452">
        <v>60255759</v>
      </c>
      <c r="D452">
        <v>59040044</v>
      </c>
      <c r="E452">
        <v>1</v>
      </c>
      <c r="F452">
        <v>1</v>
      </c>
      <c r="G452">
        <v>1080</v>
      </c>
      <c r="H452">
        <v>3</v>
      </c>
      <c r="I452" t="s">
        <v>559</v>
      </c>
      <c r="J452" t="s">
        <v>560</v>
      </c>
      <c r="K452" t="s">
        <v>561</v>
      </c>
      <c r="L452">
        <v>1346</v>
      </c>
      <c r="N452">
        <v>1009</v>
      </c>
      <c r="O452" t="s">
        <v>528</v>
      </c>
      <c r="P452" t="s">
        <v>528</v>
      </c>
      <c r="Q452">
        <v>1</v>
      </c>
      <c r="W452">
        <v>0</v>
      </c>
      <c r="X452">
        <v>-326142876</v>
      </c>
      <c r="Y452">
        <f t="shared" si="160"/>
        <v>0.3</v>
      </c>
      <c r="AA452">
        <v>21</v>
      </c>
      <c r="AB452">
        <v>0</v>
      </c>
      <c r="AC452">
        <v>0</v>
      </c>
      <c r="AD452">
        <v>0</v>
      </c>
      <c r="AE452">
        <v>21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0.3</v>
      </c>
      <c r="AU452" t="s">
        <v>3</v>
      </c>
      <c r="AV452">
        <v>0</v>
      </c>
      <c r="AW452">
        <v>2</v>
      </c>
      <c r="AX452">
        <v>60255999</v>
      </c>
      <c r="AY452">
        <v>1</v>
      </c>
      <c r="AZ452">
        <v>0</v>
      </c>
      <c r="BA452">
        <v>504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ROUND(Y452*Source!I308,9)</f>
        <v>0.06</v>
      </c>
      <c r="CY452">
        <f t="shared" si="161"/>
        <v>21</v>
      </c>
      <c r="CZ452">
        <f t="shared" si="162"/>
        <v>21</v>
      </c>
      <c r="DA452">
        <f t="shared" si="163"/>
        <v>1</v>
      </c>
      <c r="DB452">
        <f t="shared" si="164"/>
        <v>6.3</v>
      </c>
      <c r="DC452">
        <f t="shared" si="165"/>
        <v>0</v>
      </c>
      <c r="DD452" t="s">
        <v>3</v>
      </c>
      <c r="DE452" t="s">
        <v>3</v>
      </c>
      <c r="DF452">
        <f t="shared" si="158"/>
        <v>1.26</v>
      </c>
      <c r="DG452">
        <f t="shared" si="155"/>
        <v>0</v>
      </c>
      <c r="DH452">
        <f t="shared" si="156"/>
        <v>0</v>
      </c>
      <c r="DI452">
        <f t="shared" si="159"/>
        <v>0</v>
      </c>
      <c r="DJ452">
        <f t="shared" si="166"/>
        <v>1.26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ROW(Source!A308)</f>
        <v>308</v>
      </c>
      <c r="B453">
        <v>60255014</v>
      </c>
      <c r="C453">
        <v>60255759</v>
      </c>
      <c r="D453">
        <v>59039024</v>
      </c>
      <c r="E453">
        <v>1</v>
      </c>
      <c r="F453">
        <v>1</v>
      </c>
      <c r="G453">
        <v>1080</v>
      </c>
      <c r="H453">
        <v>3</v>
      </c>
      <c r="I453" t="s">
        <v>562</v>
      </c>
      <c r="J453" t="s">
        <v>563</v>
      </c>
      <c r="K453" t="s">
        <v>564</v>
      </c>
      <c r="L453">
        <v>1348</v>
      </c>
      <c r="N453">
        <v>1009</v>
      </c>
      <c r="O453" t="s">
        <v>534</v>
      </c>
      <c r="P453" t="s">
        <v>534</v>
      </c>
      <c r="Q453">
        <v>1000</v>
      </c>
      <c r="W453">
        <v>0</v>
      </c>
      <c r="X453">
        <v>1469978170</v>
      </c>
      <c r="Y453">
        <f t="shared" si="160"/>
        <v>2.0000000000000002E-5</v>
      </c>
      <c r="AA453">
        <v>3234.81</v>
      </c>
      <c r="AB453">
        <v>0</v>
      </c>
      <c r="AC453">
        <v>0</v>
      </c>
      <c r="AD453">
        <v>0</v>
      </c>
      <c r="AE453">
        <v>3234.81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2.0000000000000002E-5</v>
      </c>
      <c r="AU453" t="s">
        <v>3</v>
      </c>
      <c r="AV453">
        <v>0</v>
      </c>
      <c r="AW453">
        <v>2</v>
      </c>
      <c r="AX453">
        <v>60256000</v>
      </c>
      <c r="AY453">
        <v>1</v>
      </c>
      <c r="AZ453">
        <v>0</v>
      </c>
      <c r="BA453">
        <v>505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ROUND(Y453*Source!I308,9)</f>
        <v>3.9999999999999998E-6</v>
      </c>
      <c r="CY453">
        <f t="shared" si="161"/>
        <v>3234.81</v>
      </c>
      <c r="CZ453">
        <f t="shared" si="162"/>
        <v>3234.81</v>
      </c>
      <c r="DA453">
        <f t="shared" si="163"/>
        <v>1</v>
      </c>
      <c r="DB453">
        <f t="shared" si="164"/>
        <v>0.06</v>
      </c>
      <c r="DC453">
        <f t="shared" si="165"/>
        <v>0</v>
      </c>
      <c r="DD453" t="s">
        <v>3</v>
      </c>
      <c r="DE453" t="s">
        <v>3</v>
      </c>
      <c r="DF453">
        <f t="shared" si="158"/>
        <v>0.01</v>
      </c>
      <c r="DG453">
        <f t="shared" si="155"/>
        <v>0</v>
      </c>
      <c r="DH453">
        <f t="shared" si="156"/>
        <v>0</v>
      </c>
      <c r="DI453">
        <f t="shared" si="159"/>
        <v>0</v>
      </c>
      <c r="DJ453">
        <f t="shared" si="166"/>
        <v>0.01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ROW(Source!A308)</f>
        <v>308</v>
      </c>
      <c r="B454">
        <v>60255014</v>
      </c>
      <c r="C454">
        <v>60255759</v>
      </c>
      <c r="D454">
        <v>59038837</v>
      </c>
      <c r="E454">
        <v>1</v>
      </c>
      <c r="F454">
        <v>1</v>
      </c>
      <c r="G454">
        <v>1080</v>
      </c>
      <c r="H454">
        <v>3</v>
      </c>
      <c r="I454" t="s">
        <v>565</v>
      </c>
      <c r="J454" t="s">
        <v>566</v>
      </c>
      <c r="K454" t="s">
        <v>567</v>
      </c>
      <c r="L454">
        <v>1339</v>
      </c>
      <c r="N454">
        <v>1007</v>
      </c>
      <c r="O454" t="s">
        <v>509</v>
      </c>
      <c r="P454" t="s">
        <v>509</v>
      </c>
      <c r="Q454">
        <v>1</v>
      </c>
      <c r="W454">
        <v>0</v>
      </c>
      <c r="X454">
        <v>1565098517</v>
      </c>
      <c r="Y454">
        <f t="shared" si="160"/>
        <v>0.41</v>
      </c>
      <c r="AA454">
        <v>53.42</v>
      </c>
      <c r="AB454">
        <v>0</v>
      </c>
      <c r="AC454">
        <v>0</v>
      </c>
      <c r="AD454">
        <v>0</v>
      </c>
      <c r="AE454">
        <v>53.42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0.41</v>
      </c>
      <c r="AU454" t="s">
        <v>3</v>
      </c>
      <c r="AV454">
        <v>0</v>
      </c>
      <c r="AW454">
        <v>2</v>
      </c>
      <c r="AX454">
        <v>60256001</v>
      </c>
      <c r="AY454">
        <v>1</v>
      </c>
      <c r="AZ454">
        <v>0</v>
      </c>
      <c r="BA454">
        <v>506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ROUND(Y454*Source!I308,9)</f>
        <v>8.2000000000000003E-2</v>
      </c>
      <c r="CY454">
        <f t="shared" si="161"/>
        <v>53.42</v>
      </c>
      <c r="CZ454">
        <f t="shared" si="162"/>
        <v>53.42</v>
      </c>
      <c r="DA454">
        <f t="shared" si="163"/>
        <v>1</v>
      </c>
      <c r="DB454">
        <f t="shared" si="164"/>
        <v>21.9</v>
      </c>
      <c r="DC454">
        <f t="shared" si="165"/>
        <v>0</v>
      </c>
      <c r="DD454" t="s">
        <v>3</v>
      </c>
      <c r="DE454" t="s">
        <v>3</v>
      </c>
      <c r="DF454">
        <f t="shared" si="158"/>
        <v>4.38</v>
      </c>
      <c r="DG454">
        <f t="shared" si="155"/>
        <v>0</v>
      </c>
      <c r="DH454">
        <f t="shared" si="156"/>
        <v>0</v>
      </c>
      <c r="DI454">
        <f t="shared" si="159"/>
        <v>0</v>
      </c>
      <c r="DJ454">
        <f t="shared" si="166"/>
        <v>4.38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ROW(Source!A308)</f>
        <v>308</v>
      </c>
      <c r="B455">
        <v>60255014</v>
      </c>
      <c r="C455">
        <v>60255759</v>
      </c>
      <c r="D455">
        <v>59039103</v>
      </c>
      <c r="E455">
        <v>1</v>
      </c>
      <c r="F455">
        <v>1</v>
      </c>
      <c r="G455">
        <v>1080</v>
      </c>
      <c r="H455">
        <v>3</v>
      </c>
      <c r="I455" t="s">
        <v>568</v>
      </c>
      <c r="J455" t="s">
        <v>569</v>
      </c>
      <c r="K455" t="s">
        <v>570</v>
      </c>
      <c r="L455">
        <v>1339</v>
      </c>
      <c r="N455">
        <v>1007</v>
      </c>
      <c r="O455" t="s">
        <v>509</v>
      </c>
      <c r="P455" t="s">
        <v>509</v>
      </c>
      <c r="Q455">
        <v>1</v>
      </c>
      <c r="W455">
        <v>0</v>
      </c>
      <c r="X455">
        <v>-388798825</v>
      </c>
      <c r="Y455">
        <f t="shared" si="160"/>
        <v>0.45</v>
      </c>
      <c r="AA455">
        <v>5.82</v>
      </c>
      <c r="AB455">
        <v>0</v>
      </c>
      <c r="AC455">
        <v>0</v>
      </c>
      <c r="AD455">
        <v>0</v>
      </c>
      <c r="AE455">
        <v>5.82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0.45</v>
      </c>
      <c r="AU455" t="s">
        <v>3</v>
      </c>
      <c r="AV455">
        <v>0</v>
      </c>
      <c r="AW455">
        <v>2</v>
      </c>
      <c r="AX455">
        <v>60256002</v>
      </c>
      <c r="AY455">
        <v>1</v>
      </c>
      <c r="AZ455">
        <v>0</v>
      </c>
      <c r="BA455">
        <v>507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ROUND(Y455*Source!I308,9)</f>
        <v>0.09</v>
      </c>
      <c r="CY455">
        <f t="shared" si="161"/>
        <v>5.82</v>
      </c>
      <c r="CZ455">
        <f t="shared" si="162"/>
        <v>5.82</v>
      </c>
      <c r="DA455">
        <f t="shared" si="163"/>
        <v>1</v>
      </c>
      <c r="DB455">
        <f t="shared" si="164"/>
        <v>2.62</v>
      </c>
      <c r="DC455">
        <f t="shared" si="165"/>
        <v>0</v>
      </c>
      <c r="DD455" t="s">
        <v>3</v>
      </c>
      <c r="DE455" t="s">
        <v>3</v>
      </c>
      <c r="DF455">
        <f t="shared" si="158"/>
        <v>0.52</v>
      </c>
      <c r="DG455">
        <f t="shared" si="155"/>
        <v>0</v>
      </c>
      <c r="DH455">
        <f t="shared" si="156"/>
        <v>0</v>
      </c>
      <c r="DI455">
        <f t="shared" si="159"/>
        <v>0</v>
      </c>
      <c r="DJ455">
        <f t="shared" si="166"/>
        <v>0.52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ROW(Source!A308)</f>
        <v>308</v>
      </c>
      <c r="B456">
        <v>60255014</v>
      </c>
      <c r="C456">
        <v>60255759</v>
      </c>
      <c r="D456">
        <v>59051863</v>
      </c>
      <c r="E456">
        <v>1</v>
      </c>
      <c r="F456">
        <v>1</v>
      </c>
      <c r="G456">
        <v>1080</v>
      </c>
      <c r="H456">
        <v>3</v>
      </c>
      <c r="I456" t="s">
        <v>423</v>
      </c>
      <c r="J456" t="s">
        <v>425</v>
      </c>
      <c r="K456" t="s">
        <v>424</v>
      </c>
      <c r="L456">
        <v>1301</v>
      </c>
      <c r="N456">
        <v>1003</v>
      </c>
      <c r="O456" t="s">
        <v>376</v>
      </c>
      <c r="P456" t="s">
        <v>376</v>
      </c>
      <c r="Q456">
        <v>1</v>
      </c>
      <c r="W456">
        <v>0</v>
      </c>
      <c r="X456">
        <v>-1700544993</v>
      </c>
      <c r="Y456">
        <f t="shared" si="160"/>
        <v>100</v>
      </c>
      <c r="AA456">
        <v>79.040000000000006</v>
      </c>
      <c r="AB456">
        <v>0</v>
      </c>
      <c r="AC456">
        <v>0</v>
      </c>
      <c r="AD456">
        <v>0</v>
      </c>
      <c r="AE456">
        <v>79.040000000000006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 t="s">
        <v>3</v>
      </c>
      <c r="AT456">
        <v>100</v>
      </c>
      <c r="AU456" t="s">
        <v>3</v>
      </c>
      <c r="AV456">
        <v>0</v>
      </c>
      <c r="AW456">
        <v>1</v>
      </c>
      <c r="AX456">
        <v>-1</v>
      </c>
      <c r="AY456">
        <v>0</v>
      </c>
      <c r="AZ456">
        <v>0</v>
      </c>
      <c r="BA456" t="s">
        <v>3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ROUND(Y456*Source!I308,9)</f>
        <v>20</v>
      </c>
      <c r="CY456">
        <f t="shared" si="161"/>
        <v>79.040000000000006</v>
      </c>
      <c r="CZ456">
        <f t="shared" si="162"/>
        <v>79.040000000000006</v>
      </c>
      <c r="DA456">
        <f t="shared" si="163"/>
        <v>1</v>
      </c>
      <c r="DB456">
        <f t="shared" si="164"/>
        <v>7904</v>
      </c>
      <c r="DC456">
        <f t="shared" si="165"/>
        <v>0</v>
      </c>
      <c r="DD456" t="s">
        <v>3</v>
      </c>
      <c r="DE456" t="s">
        <v>3</v>
      </c>
      <c r="DF456">
        <f t="shared" si="158"/>
        <v>1580.8</v>
      </c>
      <c r="DG456">
        <f t="shared" si="155"/>
        <v>0</v>
      </c>
      <c r="DH456">
        <f t="shared" si="156"/>
        <v>0</v>
      </c>
      <c r="DI456">
        <f t="shared" si="159"/>
        <v>0</v>
      </c>
      <c r="DJ456">
        <f t="shared" si="166"/>
        <v>1580.8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ROW(Source!A308)</f>
        <v>308</v>
      </c>
      <c r="B457">
        <v>60255014</v>
      </c>
      <c r="C457">
        <v>60255759</v>
      </c>
      <c r="D457">
        <v>59046388</v>
      </c>
      <c r="E457">
        <v>1</v>
      </c>
      <c r="F457">
        <v>1</v>
      </c>
      <c r="G457">
        <v>1080</v>
      </c>
      <c r="H457">
        <v>3</v>
      </c>
      <c r="I457" t="s">
        <v>571</v>
      </c>
      <c r="J457" t="s">
        <v>572</v>
      </c>
      <c r="K457" t="s">
        <v>573</v>
      </c>
      <c r="L457">
        <v>1339</v>
      </c>
      <c r="N457">
        <v>1007</v>
      </c>
      <c r="O457" t="s">
        <v>509</v>
      </c>
      <c r="P457" t="s">
        <v>509</v>
      </c>
      <c r="Q457">
        <v>1</v>
      </c>
      <c r="W457">
        <v>0</v>
      </c>
      <c r="X457">
        <v>1702591464</v>
      </c>
      <c r="Y457">
        <f t="shared" si="160"/>
        <v>1.2E-2</v>
      </c>
      <c r="AA457">
        <v>610.71</v>
      </c>
      <c r="AB457">
        <v>0</v>
      </c>
      <c r="AC457">
        <v>0</v>
      </c>
      <c r="AD457">
        <v>0</v>
      </c>
      <c r="AE457">
        <v>610.71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1.2E-2</v>
      </c>
      <c r="AU457" t="s">
        <v>3</v>
      </c>
      <c r="AV457">
        <v>0</v>
      </c>
      <c r="AW457">
        <v>2</v>
      </c>
      <c r="AX457">
        <v>60256003</v>
      </c>
      <c r="AY457">
        <v>1</v>
      </c>
      <c r="AZ457">
        <v>0</v>
      </c>
      <c r="BA457">
        <v>508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ROUND(Y457*Source!I308,9)</f>
        <v>2.3999999999999998E-3</v>
      </c>
      <c r="CY457">
        <f t="shared" si="161"/>
        <v>610.71</v>
      </c>
      <c r="CZ457">
        <f t="shared" si="162"/>
        <v>610.71</v>
      </c>
      <c r="DA457">
        <f t="shared" si="163"/>
        <v>1</v>
      </c>
      <c r="DB457">
        <f t="shared" si="164"/>
        <v>7.33</v>
      </c>
      <c r="DC457">
        <f t="shared" si="165"/>
        <v>0</v>
      </c>
      <c r="DD457" t="s">
        <v>3</v>
      </c>
      <c r="DE457" t="s">
        <v>3</v>
      </c>
      <c r="DF457">
        <f t="shared" si="158"/>
        <v>1.47</v>
      </c>
      <c r="DG457">
        <f t="shared" si="155"/>
        <v>0</v>
      </c>
      <c r="DH457">
        <f t="shared" si="156"/>
        <v>0</v>
      </c>
      <c r="DI457">
        <f t="shared" si="159"/>
        <v>0</v>
      </c>
      <c r="DJ457">
        <f t="shared" si="166"/>
        <v>1.47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ROW(Source!A309)</f>
        <v>309</v>
      </c>
      <c r="B458">
        <v>60255011</v>
      </c>
      <c r="C458">
        <v>60255759</v>
      </c>
      <c r="D458">
        <v>58999254</v>
      </c>
      <c r="E458">
        <v>1080</v>
      </c>
      <c r="F458">
        <v>1</v>
      </c>
      <c r="G458">
        <v>1080</v>
      </c>
      <c r="H458">
        <v>1</v>
      </c>
      <c r="I458" t="s">
        <v>482</v>
      </c>
      <c r="J458" t="s">
        <v>3</v>
      </c>
      <c r="K458" t="s">
        <v>483</v>
      </c>
      <c r="L458">
        <v>1191</v>
      </c>
      <c r="N458">
        <v>1013</v>
      </c>
      <c r="O458" t="s">
        <v>484</v>
      </c>
      <c r="P458" t="s">
        <v>484</v>
      </c>
      <c r="Q458">
        <v>1</v>
      </c>
      <c r="W458">
        <v>0</v>
      </c>
      <c r="X458">
        <v>476480486</v>
      </c>
      <c r="Y458">
        <f>((AT458*1.15)*1.1)</f>
        <v>82.983999999999995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5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65.599999999999994</v>
      </c>
      <c r="AU458" t="s">
        <v>99</v>
      </c>
      <c r="AV458">
        <v>1</v>
      </c>
      <c r="AW458">
        <v>2</v>
      </c>
      <c r="AX458">
        <v>60255994</v>
      </c>
      <c r="AY458">
        <v>1</v>
      </c>
      <c r="AZ458">
        <v>0</v>
      </c>
      <c r="BA458">
        <v>511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U458">
        <f>ROUND(AT458*Source!I309*AH458*AL458,2)</f>
        <v>0</v>
      </c>
      <c r="CV458">
        <f>ROUND(Y458*Source!I309,9)</f>
        <v>16.596800000000002</v>
      </c>
      <c r="CW458">
        <v>0</v>
      </c>
      <c r="CX458">
        <f>ROUND(Y458*Source!I309,9)</f>
        <v>16.596800000000002</v>
      </c>
      <c r="CY458">
        <f>AD458</f>
        <v>0</v>
      </c>
      <c r="CZ458">
        <f>AH458</f>
        <v>0</v>
      </c>
      <c r="DA458">
        <f>AL458</f>
        <v>1</v>
      </c>
      <c r="DB458">
        <f>ROUND(((ROUND(AT458*CZ458,2)*1.15)*1.1),6)</f>
        <v>0</v>
      </c>
      <c r="DC458">
        <f>ROUND(((ROUND(AT458*AG458,2)*1.15)*1.1),6)</f>
        <v>0</v>
      </c>
      <c r="DD458" t="s">
        <v>3</v>
      </c>
      <c r="DE458" t="s">
        <v>3</v>
      </c>
      <c r="DF458">
        <f t="shared" si="158"/>
        <v>0</v>
      </c>
      <c r="DG458">
        <f t="shared" si="155"/>
        <v>0</v>
      </c>
      <c r="DH458">
        <f t="shared" si="156"/>
        <v>0</v>
      </c>
      <c r="DI458">
        <f t="shared" si="159"/>
        <v>0</v>
      </c>
      <c r="DJ458">
        <f>DI458</f>
        <v>0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ROW(Source!A309)</f>
        <v>309</v>
      </c>
      <c r="B459">
        <v>60255011</v>
      </c>
      <c r="C459">
        <v>60255759</v>
      </c>
      <c r="D459">
        <v>59070372</v>
      </c>
      <c r="E459">
        <v>1</v>
      </c>
      <c r="F459">
        <v>1</v>
      </c>
      <c r="G459">
        <v>1080</v>
      </c>
      <c r="H459">
        <v>2</v>
      </c>
      <c r="I459" t="s">
        <v>556</v>
      </c>
      <c r="J459" t="s">
        <v>557</v>
      </c>
      <c r="K459" t="s">
        <v>558</v>
      </c>
      <c r="L459">
        <v>1368</v>
      </c>
      <c r="N459">
        <v>1011</v>
      </c>
      <c r="O459" t="s">
        <v>488</v>
      </c>
      <c r="P459" t="s">
        <v>488</v>
      </c>
      <c r="Q459">
        <v>1</v>
      </c>
      <c r="W459">
        <v>0</v>
      </c>
      <c r="X459">
        <v>549242131</v>
      </c>
      <c r="Y459">
        <f>((AT459*1.25)*1.1)</f>
        <v>34.292500000000004</v>
      </c>
      <c r="AA459">
        <v>0</v>
      </c>
      <c r="AB459">
        <v>2.5299999999999998</v>
      </c>
      <c r="AC459">
        <v>0</v>
      </c>
      <c r="AD459">
        <v>0</v>
      </c>
      <c r="AE459">
        <v>0</v>
      </c>
      <c r="AF459">
        <v>0.28000000000000003</v>
      </c>
      <c r="AG459">
        <v>0</v>
      </c>
      <c r="AH459">
        <v>0</v>
      </c>
      <c r="AI459">
        <v>1</v>
      </c>
      <c r="AJ459">
        <v>8.4600000000000009</v>
      </c>
      <c r="AK459">
        <v>54.99</v>
      </c>
      <c r="AL459">
        <v>1</v>
      </c>
      <c r="AM459">
        <v>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24.94</v>
      </c>
      <c r="AU459" t="s">
        <v>496</v>
      </c>
      <c r="AV459">
        <v>0</v>
      </c>
      <c r="AW459">
        <v>2</v>
      </c>
      <c r="AX459">
        <v>60255995</v>
      </c>
      <c r="AY459">
        <v>1</v>
      </c>
      <c r="AZ459">
        <v>0</v>
      </c>
      <c r="BA459">
        <v>512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f>ROUND(Y459*Source!I309*DO459,9)</f>
        <v>0</v>
      </c>
      <c r="CX459">
        <f>ROUND(Y459*Source!I309,9)</f>
        <v>6.8585000000000003</v>
      </c>
      <c r="CY459">
        <f>AB459</f>
        <v>2.5299999999999998</v>
      </c>
      <c r="CZ459">
        <f>AF459</f>
        <v>0.28000000000000003</v>
      </c>
      <c r="DA459">
        <f>AJ459</f>
        <v>8.4600000000000009</v>
      </c>
      <c r="DB459">
        <f>ROUND(((ROUND(AT459*CZ459,2)*1.25)*1.1),6)</f>
        <v>9.5975000000000001</v>
      </c>
      <c r="DC459">
        <f>ROUND(((ROUND(AT459*AG459,2)*1.25)*1.1),6)</f>
        <v>0</v>
      </c>
      <c r="DD459" t="s">
        <v>3</v>
      </c>
      <c r="DE459" t="s">
        <v>3</v>
      </c>
      <c r="DF459">
        <f t="shared" si="158"/>
        <v>0</v>
      </c>
      <c r="DG459">
        <f>ROUND(ROUND(AF459*AJ459,2)*CX459,2)</f>
        <v>16.25</v>
      </c>
      <c r="DH459">
        <f>ROUND(ROUND(AG459*AK459,2)*CX459,2)</f>
        <v>0</v>
      </c>
      <c r="DI459">
        <f t="shared" si="159"/>
        <v>0</v>
      </c>
      <c r="DJ459">
        <f>DG459</f>
        <v>16.25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ROW(Source!A309)</f>
        <v>309</v>
      </c>
      <c r="B460">
        <v>60255011</v>
      </c>
      <c r="C460">
        <v>60255759</v>
      </c>
      <c r="D460">
        <v>59070669</v>
      </c>
      <c r="E460">
        <v>1</v>
      </c>
      <c r="F460">
        <v>1</v>
      </c>
      <c r="G460">
        <v>1080</v>
      </c>
      <c r="H460">
        <v>2</v>
      </c>
      <c r="I460" t="s">
        <v>485</v>
      </c>
      <c r="J460" t="s">
        <v>486</v>
      </c>
      <c r="K460" t="s">
        <v>487</v>
      </c>
      <c r="L460">
        <v>1368</v>
      </c>
      <c r="N460">
        <v>1011</v>
      </c>
      <c r="O460" t="s">
        <v>488</v>
      </c>
      <c r="P460" t="s">
        <v>488</v>
      </c>
      <c r="Q460">
        <v>1</v>
      </c>
      <c r="W460">
        <v>0</v>
      </c>
      <c r="X460">
        <v>-1985943078</v>
      </c>
      <c r="Y460">
        <f>((AT460*1.25)*1.1)</f>
        <v>1.3887500000000002</v>
      </c>
      <c r="AA460">
        <v>0</v>
      </c>
      <c r="AB460">
        <v>1445.28</v>
      </c>
      <c r="AC460">
        <v>740.47</v>
      </c>
      <c r="AD460">
        <v>0</v>
      </c>
      <c r="AE460">
        <v>0</v>
      </c>
      <c r="AF460">
        <v>83.1</v>
      </c>
      <c r="AG460">
        <v>12.62</v>
      </c>
      <c r="AH460">
        <v>0</v>
      </c>
      <c r="AI460">
        <v>1</v>
      </c>
      <c r="AJ460">
        <v>16.3</v>
      </c>
      <c r="AK460">
        <v>54.99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1.01</v>
      </c>
      <c r="AU460" t="s">
        <v>496</v>
      </c>
      <c r="AV460">
        <v>0</v>
      </c>
      <c r="AW460">
        <v>2</v>
      </c>
      <c r="AX460">
        <v>60255996</v>
      </c>
      <c r="AY460">
        <v>1</v>
      </c>
      <c r="AZ460">
        <v>0</v>
      </c>
      <c r="BA460">
        <v>513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ROUND(Y460*Source!I309*DO460,9)</f>
        <v>3.5052050000000001</v>
      </c>
      <c r="CX460">
        <f>ROUND(Y460*Source!I309,9)</f>
        <v>0.27775</v>
      </c>
      <c r="CY460">
        <f>AB460</f>
        <v>1445.28</v>
      </c>
      <c r="CZ460">
        <f>AF460</f>
        <v>83.1</v>
      </c>
      <c r="DA460">
        <f>AJ460</f>
        <v>16.3</v>
      </c>
      <c r="DB460">
        <f>ROUND(((ROUND(AT460*CZ460,2)*1.25)*1.1),6)</f>
        <v>115.40375</v>
      </c>
      <c r="DC460">
        <f>ROUND(((ROUND(AT460*AG460,2)*1.25)*1.1),6)</f>
        <v>17.53125</v>
      </c>
      <c r="DD460" t="s">
        <v>3</v>
      </c>
      <c r="DE460" t="s">
        <v>3</v>
      </c>
      <c r="DF460">
        <f t="shared" si="158"/>
        <v>0</v>
      </c>
      <c r="DG460">
        <f>ROUND(ROUND(AF460*AJ460,2)*CX460,2)</f>
        <v>376.22</v>
      </c>
      <c r="DH460">
        <f>ROUND(ROUND(AG460*AK460,2)*CX460,2)</f>
        <v>192.75</v>
      </c>
      <c r="DI460">
        <f t="shared" si="159"/>
        <v>0</v>
      </c>
      <c r="DJ460">
        <f>DG460</f>
        <v>376.22</v>
      </c>
      <c r="DK460">
        <v>0</v>
      </c>
      <c r="DL460" t="s">
        <v>489</v>
      </c>
      <c r="DM460">
        <v>0</v>
      </c>
      <c r="DN460" t="s">
        <v>484</v>
      </c>
      <c r="DO460">
        <v>12.62</v>
      </c>
    </row>
    <row r="461" spans="1:119" x14ac:dyDescent="0.2">
      <c r="A461">
        <f>ROW(Source!A309)</f>
        <v>309</v>
      </c>
      <c r="B461">
        <v>60255011</v>
      </c>
      <c r="C461">
        <v>60255759</v>
      </c>
      <c r="D461">
        <v>59069905</v>
      </c>
      <c r="E461">
        <v>1</v>
      </c>
      <c r="F461">
        <v>1</v>
      </c>
      <c r="G461">
        <v>1080</v>
      </c>
      <c r="H461">
        <v>2</v>
      </c>
      <c r="I461" t="s">
        <v>503</v>
      </c>
      <c r="J461" t="s">
        <v>504</v>
      </c>
      <c r="K461" t="s">
        <v>505</v>
      </c>
      <c r="L461">
        <v>1368</v>
      </c>
      <c r="N461">
        <v>1011</v>
      </c>
      <c r="O461" t="s">
        <v>488</v>
      </c>
      <c r="P461" t="s">
        <v>488</v>
      </c>
      <c r="Q461">
        <v>1</v>
      </c>
      <c r="W461">
        <v>0</v>
      </c>
      <c r="X461">
        <v>1087580389</v>
      </c>
      <c r="Y461">
        <f>((AT461*1.25)*1.1)</f>
        <v>0.11000000000000001</v>
      </c>
      <c r="AA461">
        <v>0</v>
      </c>
      <c r="AB461">
        <v>2628.65</v>
      </c>
      <c r="AC461">
        <v>993.36</v>
      </c>
      <c r="AD461">
        <v>0</v>
      </c>
      <c r="AE461">
        <v>0</v>
      </c>
      <c r="AF461">
        <v>179.17</v>
      </c>
      <c r="AG461">
        <v>16.93</v>
      </c>
      <c r="AH461">
        <v>0</v>
      </c>
      <c r="AI461">
        <v>1</v>
      </c>
      <c r="AJ461">
        <v>13.75</v>
      </c>
      <c r="AK461">
        <v>54.99</v>
      </c>
      <c r="AL461">
        <v>1</v>
      </c>
      <c r="AM461">
        <v>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0.08</v>
      </c>
      <c r="AU461" t="s">
        <v>496</v>
      </c>
      <c r="AV461">
        <v>0</v>
      </c>
      <c r="AW461">
        <v>2</v>
      </c>
      <c r="AX461">
        <v>60255997</v>
      </c>
      <c r="AY461">
        <v>1</v>
      </c>
      <c r="AZ461">
        <v>0</v>
      </c>
      <c r="BA461">
        <v>514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f>ROUND(Y461*Source!I309*DO461,9)</f>
        <v>0.37246000000000001</v>
      </c>
      <c r="CX461">
        <f>ROUND(Y461*Source!I309,9)</f>
        <v>2.1999999999999999E-2</v>
      </c>
      <c r="CY461">
        <f>AB461</f>
        <v>2628.65</v>
      </c>
      <c r="CZ461">
        <f>AF461</f>
        <v>179.17</v>
      </c>
      <c r="DA461">
        <f>AJ461</f>
        <v>13.75</v>
      </c>
      <c r="DB461">
        <f>ROUND(((ROUND(AT461*CZ461,2)*1.25)*1.1),6)</f>
        <v>19.703749999999999</v>
      </c>
      <c r="DC461">
        <f>ROUND(((ROUND(AT461*AG461,2)*1.25)*1.1),6)</f>
        <v>1.85625</v>
      </c>
      <c r="DD461" t="s">
        <v>3</v>
      </c>
      <c r="DE461" t="s">
        <v>3</v>
      </c>
      <c r="DF461">
        <f t="shared" si="158"/>
        <v>0</v>
      </c>
      <c r="DG461">
        <f>ROUND(ROUND(AF461*AJ461,2)*CX461,2)</f>
        <v>54.2</v>
      </c>
      <c r="DH461">
        <f>ROUND(ROUND(AG461*AK461,2)*CX461,2)</f>
        <v>20.48</v>
      </c>
      <c r="DI461">
        <f t="shared" si="159"/>
        <v>0</v>
      </c>
      <c r="DJ461">
        <f>DG461</f>
        <v>54.2</v>
      </c>
      <c r="DK461">
        <v>0</v>
      </c>
      <c r="DL461" t="s">
        <v>489</v>
      </c>
      <c r="DM461">
        <v>0</v>
      </c>
      <c r="DN461" t="s">
        <v>484</v>
      </c>
      <c r="DO461">
        <v>16.93</v>
      </c>
    </row>
    <row r="462" spans="1:119" x14ac:dyDescent="0.2">
      <c r="A462">
        <f>ROW(Source!A309)</f>
        <v>309</v>
      </c>
      <c r="B462">
        <v>60255011</v>
      </c>
      <c r="C462">
        <v>60255759</v>
      </c>
      <c r="D462">
        <v>59038905</v>
      </c>
      <c r="E462">
        <v>1</v>
      </c>
      <c r="F462">
        <v>1</v>
      </c>
      <c r="G462">
        <v>1080</v>
      </c>
      <c r="H462">
        <v>3</v>
      </c>
      <c r="I462" t="s">
        <v>506</v>
      </c>
      <c r="J462" t="s">
        <v>507</v>
      </c>
      <c r="K462" t="s">
        <v>508</v>
      </c>
      <c r="L462">
        <v>1339</v>
      </c>
      <c r="N462">
        <v>1007</v>
      </c>
      <c r="O462" t="s">
        <v>509</v>
      </c>
      <c r="P462" t="s">
        <v>509</v>
      </c>
      <c r="Q462">
        <v>1</v>
      </c>
      <c r="W462">
        <v>0</v>
      </c>
      <c r="X462">
        <v>-744103292</v>
      </c>
      <c r="Y462">
        <f t="shared" ref="Y462:Y468" si="167">AT462</f>
        <v>1.2</v>
      </c>
      <c r="AA462">
        <v>54.79</v>
      </c>
      <c r="AB462">
        <v>0</v>
      </c>
      <c r="AC462">
        <v>0</v>
      </c>
      <c r="AD462">
        <v>0</v>
      </c>
      <c r="AE462">
        <v>7.07</v>
      </c>
      <c r="AF462">
        <v>0</v>
      </c>
      <c r="AG462">
        <v>0</v>
      </c>
      <c r="AH462">
        <v>0</v>
      </c>
      <c r="AI462">
        <v>7.75</v>
      </c>
      <c r="AJ462">
        <v>1</v>
      </c>
      <c r="AK462">
        <v>1</v>
      </c>
      <c r="AL462">
        <v>1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1.2</v>
      </c>
      <c r="AU462" t="s">
        <v>3</v>
      </c>
      <c r="AV462">
        <v>0</v>
      </c>
      <c r="AW462">
        <v>2</v>
      </c>
      <c r="AX462">
        <v>60255998</v>
      </c>
      <c r="AY462">
        <v>1</v>
      </c>
      <c r="AZ462">
        <v>0</v>
      </c>
      <c r="BA462">
        <v>515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ROUND(Y462*Source!I309,9)</f>
        <v>0.24</v>
      </c>
      <c r="CY462">
        <f t="shared" ref="CY462:CY468" si="168">AA462</f>
        <v>54.79</v>
      </c>
      <c r="CZ462">
        <f t="shared" ref="CZ462:CZ468" si="169">AE462</f>
        <v>7.07</v>
      </c>
      <c r="DA462">
        <f t="shared" ref="DA462:DA468" si="170">AI462</f>
        <v>7.75</v>
      </c>
      <c r="DB462">
        <f t="shared" ref="DB462:DB468" si="171">ROUND(ROUND(AT462*CZ462,2),6)</f>
        <v>8.48</v>
      </c>
      <c r="DC462">
        <f t="shared" ref="DC462:DC468" si="172">ROUND(ROUND(AT462*AG462,2),6)</f>
        <v>0</v>
      </c>
      <c r="DD462" t="s">
        <v>3</v>
      </c>
      <c r="DE462" t="s">
        <v>3</v>
      </c>
      <c r="DF462">
        <f t="shared" ref="DF462:DF468" si="173">ROUND(ROUND(AE462*AI462,2)*CX462,2)</f>
        <v>13.15</v>
      </c>
      <c r="DG462">
        <f t="shared" ref="DG462:DG477" si="174">ROUND(ROUND(AF462,2)*CX462,2)</f>
        <v>0</v>
      </c>
      <c r="DH462">
        <f t="shared" ref="DH462:DH477" si="175">ROUND(ROUND(AG462,2)*CX462,2)</f>
        <v>0</v>
      </c>
      <c r="DI462">
        <f t="shared" si="159"/>
        <v>0</v>
      </c>
      <c r="DJ462">
        <f t="shared" ref="DJ462:DJ468" si="176">DF462</f>
        <v>13.15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ROW(Source!A309)</f>
        <v>309</v>
      </c>
      <c r="B463">
        <v>60255011</v>
      </c>
      <c r="C463">
        <v>60255759</v>
      </c>
      <c r="D463">
        <v>59040044</v>
      </c>
      <c r="E463">
        <v>1</v>
      </c>
      <c r="F463">
        <v>1</v>
      </c>
      <c r="G463">
        <v>1080</v>
      </c>
      <c r="H463">
        <v>3</v>
      </c>
      <c r="I463" t="s">
        <v>559</v>
      </c>
      <c r="J463" t="s">
        <v>560</v>
      </c>
      <c r="K463" t="s">
        <v>561</v>
      </c>
      <c r="L463">
        <v>1346</v>
      </c>
      <c r="N463">
        <v>1009</v>
      </c>
      <c r="O463" t="s">
        <v>528</v>
      </c>
      <c r="P463" t="s">
        <v>528</v>
      </c>
      <c r="Q463">
        <v>1</v>
      </c>
      <c r="W463">
        <v>0</v>
      </c>
      <c r="X463">
        <v>-326142876</v>
      </c>
      <c r="Y463">
        <f t="shared" si="167"/>
        <v>0.3</v>
      </c>
      <c r="AA463">
        <v>126.84</v>
      </c>
      <c r="AB463">
        <v>0</v>
      </c>
      <c r="AC463">
        <v>0</v>
      </c>
      <c r="AD463">
        <v>0</v>
      </c>
      <c r="AE463">
        <v>21</v>
      </c>
      <c r="AF463">
        <v>0</v>
      </c>
      <c r="AG463">
        <v>0</v>
      </c>
      <c r="AH463">
        <v>0</v>
      </c>
      <c r="AI463">
        <v>6.04</v>
      </c>
      <c r="AJ463">
        <v>1</v>
      </c>
      <c r="AK463">
        <v>1</v>
      </c>
      <c r="AL463">
        <v>1</v>
      </c>
      <c r="AM463">
        <v>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0.3</v>
      </c>
      <c r="AU463" t="s">
        <v>3</v>
      </c>
      <c r="AV463">
        <v>0</v>
      </c>
      <c r="AW463">
        <v>2</v>
      </c>
      <c r="AX463">
        <v>60255999</v>
      </c>
      <c r="AY463">
        <v>1</v>
      </c>
      <c r="AZ463">
        <v>0</v>
      </c>
      <c r="BA463">
        <v>516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ROUND(Y463*Source!I309,9)</f>
        <v>0.06</v>
      </c>
      <c r="CY463">
        <f t="shared" si="168"/>
        <v>126.84</v>
      </c>
      <c r="CZ463">
        <f t="shared" si="169"/>
        <v>21</v>
      </c>
      <c r="DA463">
        <f t="shared" si="170"/>
        <v>6.04</v>
      </c>
      <c r="DB463">
        <f t="shared" si="171"/>
        <v>6.3</v>
      </c>
      <c r="DC463">
        <f t="shared" si="172"/>
        <v>0</v>
      </c>
      <c r="DD463" t="s">
        <v>3</v>
      </c>
      <c r="DE463" t="s">
        <v>3</v>
      </c>
      <c r="DF463">
        <f t="shared" si="173"/>
        <v>7.61</v>
      </c>
      <c r="DG463">
        <f t="shared" si="174"/>
        <v>0</v>
      </c>
      <c r="DH463">
        <f t="shared" si="175"/>
        <v>0</v>
      </c>
      <c r="DI463">
        <f t="shared" si="159"/>
        <v>0</v>
      </c>
      <c r="DJ463">
        <f t="shared" si="176"/>
        <v>7.61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ROW(Source!A309)</f>
        <v>309</v>
      </c>
      <c r="B464">
        <v>60255011</v>
      </c>
      <c r="C464">
        <v>60255759</v>
      </c>
      <c r="D464">
        <v>59039024</v>
      </c>
      <c r="E464">
        <v>1</v>
      </c>
      <c r="F464">
        <v>1</v>
      </c>
      <c r="G464">
        <v>1080</v>
      </c>
      <c r="H464">
        <v>3</v>
      </c>
      <c r="I464" t="s">
        <v>562</v>
      </c>
      <c r="J464" t="s">
        <v>563</v>
      </c>
      <c r="K464" t="s">
        <v>564</v>
      </c>
      <c r="L464">
        <v>1348</v>
      </c>
      <c r="N464">
        <v>1009</v>
      </c>
      <c r="O464" t="s">
        <v>534</v>
      </c>
      <c r="P464" t="s">
        <v>534</v>
      </c>
      <c r="Q464">
        <v>1000</v>
      </c>
      <c r="W464">
        <v>0</v>
      </c>
      <c r="X464">
        <v>1469978170</v>
      </c>
      <c r="Y464">
        <f t="shared" si="167"/>
        <v>2.0000000000000002E-5</v>
      </c>
      <c r="AA464">
        <v>73915.41</v>
      </c>
      <c r="AB464">
        <v>0</v>
      </c>
      <c r="AC464">
        <v>0</v>
      </c>
      <c r="AD464">
        <v>0</v>
      </c>
      <c r="AE464">
        <v>3234.81</v>
      </c>
      <c r="AF464">
        <v>0</v>
      </c>
      <c r="AG464">
        <v>0</v>
      </c>
      <c r="AH464">
        <v>0</v>
      </c>
      <c r="AI464">
        <v>22.85</v>
      </c>
      <c r="AJ464">
        <v>1</v>
      </c>
      <c r="AK464">
        <v>1</v>
      </c>
      <c r="AL464">
        <v>1</v>
      </c>
      <c r="AM464">
        <v>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2.0000000000000002E-5</v>
      </c>
      <c r="AU464" t="s">
        <v>3</v>
      </c>
      <c r="AV464">
        <v>0</v>
      </c>
      <c r="AW464">
        <v>2</v>
      </c>
      <c r="AX464">
        <v>60256000</v>
      </c>
      <c r="AY464">
        <v>1</v>
      </c>
      <c r="AZ464">
        <v>0</v>
      </c>
      <c r="BA464">
        <v>517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ROUND(Y464*Source!I309,9)</f>
        <v>3.9999999999999998E-6</v>
      </c>
      <c r="CY464">
        <f t="shared" si="168"/>
        <v>73915.41</v>
      </c>
      <c r="CZ464">
        <f t="shared" si="169"/>
        <v>3234.81</v>
      </c>
      <c r="DA464">
        <f t="shared" si="170"/>
        <v>22.85</v>
      </c>
      <c r="DB464">
        <f t="shared" si="171"/>
        <v>0.06</v>
      </c>
      <c r="DC464">
        <f t="shared" si="172"/>
        <v>0</v>
      </c>
      <c r="DD464" t="s">
        <v>3</v>
      </c>
      <c r="DE464" t="s">
        <v>3</v>
      </c>
      <c r="DF464">
        <f t="shared" si="173"/>
        <v>0.3</v>
      </c>
      <c r="DG464">
        <f t="shared" si="174"/>
        <v>0</v>
      </c>
      <c r="DH464">
        <f t="shared" si="175"/>
        <v>0</v>
      </c>
      <c r="DI464">
        <f t="shared" si="159"/>
        <v>0</v>
      </c>
      <c r="DJ464">
        <f t="shared" si="176"/>
        <v>0.3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ROW(Source!A309)</f>
        <v>309</v>
      </c>
      <c r="B465">
        <v>60255011</v>
      </c>
      <c r="C465">
        <v>60255759</v>
      </c>
      <c r="D465">
        <v>59038837</v>
      </c>
      <c r="E465">
        <v>1</v>
      </c>
      <c r="F465">
        <v>1</v>
      </c>
      <c r="G465">
        <v>1080</v>
      </c>
      <c r="H465">
        <v>3</v>
      </c>
      <c r="I465" t="s">
        <v>565</v>
      </c>
      <c r="J465" t="s">
        <v>566</v>
      </c>
      <c r="K465" t="s">
        <v>567</v>
      </c>
      <c r="L465">
        <v>1339</v>
      </c>
      <c r="N465">
        <v>1007</v>
      </c>
      <c r="O465" t="s">
        <v>509</v>
      </c>
      <c r="P465" t="s">
        <v>509</v>
      </c>
      <c r="Q465">
        <v>1</v>
      </c>
      <c r="W465">
        <v>0</v>
      </c>
      <c r="X465">
        <v>1565098517</v>
      </c>
      <c r="Y465">
        <f t="shared" si="167"/>
        <v>0.41</v>
      </c>
      <c r="AA465">
        <v>759.63</v>
      </c>
      <c r="AB465">
        <v>0</v>
      </c>
      <c r="AC465">
        <v>0</v>
      </c>
      <c r="AD465">
        <v>0</v>
      </c>
      <c r="AE465">
        <v>53.42</v>
      </c>
      <c r="AF465">
        <v>0</v>
      </c>
      <c r="AG465">
        <v>0</v>
      </c>
      <c r="AH465">
        <v>0</v>
      </c>
      <c r="AI465">
        <v>14.22</v>
      </c>
      <c r="AJ465">
        <v>1</v>
      </c>
      <c r="AK465">
        <v>1</v>
      </c>
      <c r="AL465">
        <v>1</v>
      </c>
      <c r="AM465">
        <v>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0.41</v>
      </c>
      <c r="AU465" t="s">
        <v>3</v>
      </c>
      <c r="AV465">
        <v>0</v>
      </c>
      <c r="AW465">
        <v>2</v>
      </c>
      <c r="AX465">
        <v>60256001</v>
      </c>
      <c r="AY465">
        <v>1</v>
      </c>
      <c r="AZ465">
        <v>0</v>
      </c>
      <c r="BA465">
        <v>518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ROUND(Y465*Source!I309,9)</f>
        <v>8.2000000000000003E-2</v>
      </c>
      <c r="CY465">
        <f t="shared" si="168"/>
        <v>759.63</v>
      </c>
      <c r="CZ465">
        <f t="shared" si="169"/>
        <v>53.42</v>
      </c>
      <c r="DA465">
        <f t="shared" si="170"/>
        <v>14.22</v>
      </c>
      <c r="DB465">
        <f t="shared" si="171"/>
        <v>21.9</v>
      </c>
      <c r="DC465">
        <f t="shared" si="172"/>
        <v>0</v>
      </c>
      <c r="DD465" t="s">
        <v>3</v>
      </c>
      <c r="DE465" t="s">
        <v>3</v>
      </c>
      <c r="DF465">
        <f t="shared" si="173"/>
        <v>62.29</v>
      </c>
      <c r="DG465">
        <f t="shared" si="174"/>
        <v>0</v>
      </c>
      <c r="DH465">
        <f t="shared" si="175"/>
        <v>0</v>
      </c>
      <c r="DI465">
        <f t="shared" si="159"/>
        <v>0</v>
      </c>
      <c r="DJ465">
        <f t="shared" si="176"/>
        <v>62.29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ROW(Source!A309)</f>
        <v>309</v>
      </c>
      <c r="B466">
        <v>60255011</v>
      </c>
      <c r="C466">
        <v>60255759</v>
      </c>
      <c r="D466">
        <v>59039103</v>
      </c>
      <c r="E466">
        <v>1</v>
      </c>
      <c r="F466">
        <v>1</v>
      </c>
      <c r="G466">
        <v>1080</v>
      </c>
      <c r="H466">
        <v>3</v>
      </c>
      <c r="I466" t="s">
        <v>568</v>
      </c>
      <c r="J466" t="s">
        <v>569</v>
      </c>
      <c r="K466" t="s">
        <v>570</v>
      </c>
      <c r="L466">
        <v>1339</v>
      </c>
      <c r="N466">
        <v>1007</v>
      </c>
      <c r="O466" t="s">
        <v>509</v>
      </c>
      <c r="P466" t="s">
        <v>509</v>
      </c>
      <c r="Q466">
        <v>1</v>
      </c>
      <c r="W466">
        <v>0</v>
      </c>
      <c r="X466">
        <v>-388798825</v>
      </c>
      <c r="Y466">
        <f t="shared" si="167"/>
        <v>0.45</v>
      </c>
      <c r="AA466">
        <v>94.23</v>
      </c>
      <c r="AB466">
        <v>0</v>
      </c>
      <c r="AC466">
        <v>0</v>
      </c>
      <c r="AD466">
        <v>0</v>
      </c>
      <c r="AE466">
        <v>5.82</v>
      </c>
      <c r="AF466">
        <v>0</v>
      </c>
      <c r="AG466">
        <v>0</v>
      </c>
      <c r="AH466">
        <v>0</v>
      </c>
      <c r="AI466">
        <v>16.190000000000001</v>
      </c>
      <c r="AJ466">
        <v>1</v>
      </c>
      <c r="AK466">
        <v>1</v>
      </c>
      <c r="AL466">
        <v>1</v>
      </c>
      <c r="AM466">
        <v>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0.45</v>
      </c>
      <c r="AU466" t="s">
        <v>3</v>
      </c>
      <c r="AV466">
        <v>0</v>
      </c>
      <c r="AW466">
        <v>2</v>
      </c>
      <c r="AX466">
        <v>60256002</v>
      </c>
      <c r="AY466">
        <v>1</v>
      </c>
      <c r="AZ466">
        <v>0</v>
      </c>
      <c r="BA466">
        <v>519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ROUND(Y466*Source!I309,9)</f>
        <v>0.09</v>
      </c>
      <c r="CY466">
        <f t="shared" si="168"/>
        <v>94.23</v>
      </c>
      <c r="CZ466">
        <f t="shared" si="169"/>
        <v>5.82</v>
      </c>
      <c r="DA466">
        <f t="shared" si="170"/>
        <v>16.190000000000001</v>
      </c>
      <c r="DB466">
        <f t="shared" si="171"/>
        <v>2.62</v>
      </c>
      <c r="DC466">
        <f t="shared" si="172"/>
        <v>0</v>
      </c>
      <c r="DD466" t="s">
        <v>3</v>
      </c>
      <c r="DE466" t="s">
        <v>3</v>
      </c>
      <c r="DF466">
        <f t="shared" si="173"/>
        <v>8.48</v>
      </c>
      <c r="DG466">
        <f t="shared" si="174"/>
        <v>0</v>
      </c>
      <c r="DH466">
        <f t="shared" si="175"/>
        <v>0</v>
      </c>
      <c r="DI466">
        <f t="shared" si="159"/>
        <v>0</v>
      </c>
      <c r="DJ466">
        <f t="shared" si="176"/>
        <v>8.48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ROW(Source!A309)</f>
        <v>309</v>
      </c>
      <c r="B467">
        <v>60255011</v>
      </c>
      <c r="C467">
        <v>60255759</v>
      </c>
      <c r="D467">
        <v>59051863</v>
      </c>
      <c r="E467">
        <v>1</v>
      </c>
      <c r="F467">
        <v>1</v>
      </c>
      <c r="G467">
        <v>1080</v>
      </c>
      <c r="H467">
        <v>3</v>
      </c>
      <c r="I467" t="s">
        <v>423</v>
      </c>
      <c r="J467" t="s">
        <v>425</v>
      </c>
      <c r="K467" t="s">
        <v>424</v>
      </c>
      <c r="L467">
        <v>1301</v>
      </c>
      <c r="N467">
        <v>1003</v>
      </c>
      <c r="O467" t="s">
        <v>376</v>
      </c>
      <c r="P467" t="s">
        <v>376</v>
      </c>
      <c r="Q467">
        <v>1</v>
      </c>
      <c r="W467">
        <v>0</v>
      </c>
      <c r="X467">
        <v>-1700544993</v>
      </c>
      <c r="Y467">
        <f t="shared" si="167"/>
        <v>100</v>
      </c>
      <c r="AA467">
        <v>1772.87</v>
      </c>
      <c r="AB467">
        <v>0</v>
      </c>
      <c r="AC467">
        <v>0</v>
      </c>
      <c r="AD467">
        <v>0</v>
      </c>
      <c r="AE467">
        <v>79.040000000000006</v>
      </c>
      <c r="AF467">
        <v>0</v>
      </c>
      <c r="AG467">
        <v>0</v>
      </c>
      <c r="AH467">
        <v>0</v>
      </c>
      <c r="AI467">
        <v>22.43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 t="s">
        <v>3</v>
      </c>
      <c r="AT467">
        <v>100</v>
      </c>
      <c r="AU467" t="s">
        <v>3</v>
      </c>
      <c r="AV467">
        <v>0</v>
      </c>
      <c r="AW467">
        <v>1</v>
      </c>
      <c r="AX467">
        <v>-1</v>
      </c>
      <c r="AY467">
        <v>0</v>
      </c>
      <c r="AZ467">
        <v>0</v>
      </c>
      <c r="BA467" t="s">
        <v>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ROUND(Y467*Source!I309,9)</f>
        <v>20</v>
      </c>
      <c r="CY467">
        <f t="shared" si="168"/>
        <v>1772.87</v>
      </c>
      <c r="CZ467">
        <f t="shared" si="169"/>
        <v>79.040000000000006</v>
      </c>
      <c r="DA467">
        <f t="shared" si="170"/>
        <v>22.43</v>
      </c>
      <c r="DB467">
        <f t="shared" si="171"/>
        <v>7904</v>
      </c>
      <c r="DC467">
        <f t="shared" si="172"/>
        <v>0</v>
      </c>
      <c r="DD467" t="s">
        <v>3</v>
      </c>
      <c r="DE467" t="s">
        <v>3</v>
      </c>
      <c r="DF467">
        <f t="shared" si="173"/>
        <v>35457.4</v>
      </c>
      <c r="DG467">
        <f t="shared" si="174"/>
        <v>0</v>
      </c>
      <c r="DH467">
        <f t="shared" si="175"/>
        <v>0</v>
      </c>
      <c r="DI467">
        <f t="shared" si="159"/>
        <v>0</v>
      </c>
      <c r="DJ467">
        <f t="shared" si="176"/>
        <v>35457.4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ROW(Source!A309)</f>
        <v>309</v>
      </c>
      <c r="B468">
        <v>60255011</v>
      </c>
      <c r="C468">
        <v>60255759</v>
      </c>
      <c r="D468">
        <v>59046388</v>
      </c>
      <c r="E468">
        <v>1</v>
      </c>
      <c r="F468">
        <v>1</v>
      </c>
      <c r="G468">
        <v>1080</v>
      </c>
      <c r="H468">
        <v>3</v>
      </c>
      <c r="I468" t="s">
        <v>571</v>
      </c>
      <c r="J468" t="s">
        <v>572</v>
      </c>
      <c r="K468" t="s">
        <v>573</v>
      </c>
      <c r="L468">
        <v>1339</v>
      </c>
      <c r="N468">
        <v>1007</v>
      </c>
      <c r="O468" t="s">
        <v>509</v>
      </c>
      <c r="P468" t="s">
        <v>509</v>
      </c>
      <c r="Q468">
        <v>1</v>
      </c>
      <c r="W468">
        <v>0</v>
      </c>
      <c r="X468">
        <v>1702591464</v>
      </c>
      <c r="Y468">
        <f t="shared" si="167"/>
        <v>1.2E-2</v>
      </c>
      <c r="AA468">
        <v>5453.64</v>
      </c>
      <c r="AB468">
        <v>0</v>
      </c>
      <c r="AC468">
        <v>0</v>
      </c>
      <c r="AD468">
        <v>0</v>
      </c>
      <c r="AE468">
        <v>610.71</v>
      </c>
      <c r="AF468">
        <v>0</v>
      </c>
      <c r="AG468">
        <v>0</v>
      </c>
      <c r="AH468">
        <v>0</v>
      </c>
      <c r="AI468">
        <v>8.93</v>
      </c>
      <c r="AJ468">
        <v>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1.2E-2</v>
      </c>
      <c r="AU468" t="s">
        <v>3</v>
      </c>
      <c r="AV468">
        <v>0</v>
      </c>
      <c r="AW468">
        <v>2</v>
      </c>
      <c r="AX468">
        <v>60256003</v>
      </c>
      <c r="AY468">
        <v>1</v>
      </c>
      <c r="AZ468">
        <v>0</v>
      </c>
      <c r="BA468">
        <v>520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ROUND(Y468*Source!I309,9)</f>
        <v>2.3999999999999998E-3</v>
      </c>
      <c r="CY468">
        <f t="shared" si="168"/>
        <v>5453.64</v>
      </c>
      <c r="CZ468">
        <f t="shared" si="169"/>
        <v>610.71</v>
      </c>
      <c r="DA468">
        <f t="shared" si="170"/>
        <v>8.93</v>
      </c>
      <c r="DB468">
        <f t="shared" si="171"/>
        <v>7.33</v>
      </c>
      <c r="DC468">
        <f t="shared" si="172"/>
        <v>0</v>
      </c>
      <c r="DD468" t="s">
        <v>3</v>
      </c>
      <c r="DE468" t="s">
        <v>3</v>
      </c>
      <c r="DF468">
        <f t="shared" si="173"/>
        <v>13.09</v>
      </c>
      <c r="DG468">
        <f t="shared" si="174"/>
        <v>0</v>
      </c>
      <c r="DH468">
        <f t="shared" si="175"/>
        <v>0</v>
      </c>
      <c r="DI468">
        <f t="shared" si="159"/>
        <v>0</v>
      </c>
      <c r="DJ468">
        <f t="shared" si="176"/>
        <v>13.09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ROW(Source!A347)</f>
        <v>347</v>
      </c>
      <c r="B469">
        <v>60255014</v>
      </c>
      <c r="C469">
        <v>60255840</v>
      </c>
      <c r="D469">
        <v>58999254</v>
      </c>
      <c r="E469">
        <v>1080</v>
      </c>
      <c r="F469">
        <v>1</v>
      </c>
      <c r="G469">
        <v>1080</v>
      </c>
      <c r="H469">
        <v>1</v>
      </c>
      <c r="I469" t="s">
        <v>482</v>
      </c>
      <c r="J469" t="s">
        <v>3</v>
      </c>
      <c r="K469" t="s">
        <v>483</v>
      </c>
      <c r="L469">
        <v>1191</v>
      </c>
      <c r="N469">
        <v>1013</v>
      </c>
      <c r="O469" t="s">
        <v>484</v>
      </c>
      <c r="P469" t="s">
        <v>484</v>
      </c>
      <c r="Q469">
        <v>1</v>
      </c>
      <c r="W469">
        <v>0</v>
      </c>
      <c r="X469">
        <v>476480486</v>
      </c>
      <c r="Y469">
        <f>((AT469*1.15)*1.1)</f>
        <v>23.33925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18.45</v>
      </c>
      <c r="AU469" t="s">
        <v>99</v>
      </c>
      <c r="AV469">
        <v>1</v>
      </c>
      <c r="AW469">
        <v>2</v>
      </c>
      <c r="AX469">
        <v>60256006</v>
      </c>
      <c r="AY469">
        <v>1</v>
      </c>
      <c r="AZ469">
        <v>0</v>
      </c>
      <c r="BA469">
        <v>523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ROUND(AT469*Source!I347*AH469*AL469,2)</f>
        <v>0</v>
      </c>
      <c r="CV469">
        <f>ROUND(Y469*Source!I347,9)</f>
        <v>401.16343112999999</v>
      </c>
      <c r="CW469">
        <v>0</v>
      </c>
      <c r="CX469">
        <f>ROUND(Y469*Source!I347,9)</f>
        <v>401.16343112999999</v>
      </c>
      <c r="CY469">
        <f>AD469</f>
        <v>0</v>
      </c>
      <c r="CZ469">
        <f>AH469</f>
        <v>0</v>
      </c>
      <c r="DA469">
        <f>AL469</f>
        <v>1</v>
      </c>
      <c r="DB469">
        <f>ROUND(((ROUND(AT469*CZ469,2)*1.15)*1.1),6)</f>
        <v>0</v>
      </c>
      <c r="DC469">
        <f>ROUND(((ROUND(AT469*AG469,2)*1.15)*1.1),6)</f>
        <v>0</v>
      </c>
      <c r="DD469" t="s">
        <v>3</v>
      </c>
      <c r="DE469" t="s">
        <v>3</v>
      </c>
      <c r="DF469">
        <f t="shared" ref="DF469:DF479" si="177">ROUND(ROUND(AE469,2)*CX469,2)</f>
        <v>0</v>
      </c>
      <c r="DG469">
        <f t="shared" si="174"/>
        <v>0</v>
      </c>
      <c r="DH469">
        <f t="shared" si="175"/>
        <v>0</v>
      </c>
      <c r="DI469">
        <f t="shared" si="159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ROW(Source!A347)</f>
        <v>347</v>
      </c>
      <c r="B470">
        <v>60255014</v>
      </c>
      <c r="C470">
        <v>60255840</v>
      </c>
      <c r="D470">
        <v>59070669</v>
      </c>
      <c r="E470">
        <v>1</v>
      </c>
      <c r="F470">
        <v>1</v>
      </c>
      <c r="G470">
        <v>1080</v>
      </c>
      <c r="H470">
        <v>2</v>
      </c>
      <c r="I470" t="s">
        <v>485</v>
      </c>
      <c r="J470" t="s">
        <v>486</v>
      </c>
      <c r="K470" t="s">
        <v>487</v>
      </c>
      <c r="L470">
        <v>1368</v>
      </c>
      <c r="N470">
        <v>1011</v>
      </c>
      <c r="O470" t="s">
        <v>488</v>
      </c>
      <c r="P470" t="s">
        <v>488</v>
      </c>
      <c r="Q470">
        <v>1</v>
      </c>
      <c r="W470">
        <v>0</v>
      </c>
      <c r="X470">
        <v>-1985943078</v>
      </c>
      <c r="Y470">
        <f>((AT470*1.25)*1.1)</f>
        <v>0.50875000000000004</v>
      </c>
      <c r="AA470">
        <v>0</v>
      </c>
      <c r="AB470">
        <v>87.01</v>
      </c>
      <c r="AC470">
        <v>13.21</v>
      </c>
      <c r="AD470">
        <v>0</v>
      </c>
      <c r="AE470">
        <v>0</v>
      </c>
      <c r="AF470">
        <v>83.1</v>
      </c>
      <c r="AG470">
        <v>12.62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0.37</v>
      </c>
      <c r="AU470" t="s">
        <v>496</v>
      </c>
      <c r="AV470">
        <v>0</v>
      </c>
      <c r="AW470">
        <v>2</v>
      </c>
      <c r="AX470">
        <v>60256007</v>
      </c>
      <c r="AY470">
        <v>1</v>
      </c>
      <c r="AZ470">
        <v>0</v>
      </c>
      <c r="BA470">
        <v>524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ROUND(Y470*Source!I347*DO470,9)</f>
        <v>110.356576253</v>
      </c>
      <c r="CX470">
        <f>ROUND(Y470*Source!I347,9)</f>
        <v>8.7445781500000006</v>
      </c>
      <c r="CY470">
        <f>AB470</f>
        <v>87.01</v>
      </c>
      <c r="CZ470">
        <f>AF470</f>
        <v>83.1</v>
      </c>
      <c r="DA470">
        <f>AJ470</f>
        <v>1</v>
      </c>
      <c r="DB470">
        <f>ROUND(((ROUND(AT470*CZ470,2)*1.25)*1.1),6)</f>
        <v>42.28125</v>
      </c>
      <c r="DC470">
        <f>ROUND(((ROUND(AT470*AG470,2)*1.25)*1.1),6)</f>
        <v>6.4212499999999997</v>
      </c>
      <c r="DD470" t="s">
        <v>3</v>
      </c>
      <c r="DE470" t="s">
        <v>3</v>
      </c>
      <c r="DF470">
        <f t="shared" si="177"/>
        <v>0</v>
      </c>
      <c r="DG470">
        <f t="shared" si="174"/>
        <v>726.67</v>
      </c>
      <c r="DH470">
        <f t="shared" si="175"/>
        <v>110.36</v>
      </c>
      <c r="DI470">
        <f t="shared" si="159"/>
        <v>0</v>
      </c>
      <c r="DJ470">
        <f>DG470</f>
        <v>726.67</v>
      </c>
      <c r="DK470">
        <v>0</v>
      </c>
      <c r="DL470" t="s">
        <v>489</v>
      </c>
      <c r="DM470">
        <v>0</v>
      </c>
      <c r="DN470" t="s">
        <v>484</v>
      </c>
      <c r="DO470">
        <v>12.62</v>
      </c>
    </row>
    <row r="471" spans="1:119" x14ac:dyDescent="0.2">
      <c r="A471">
        <f>ROW(Source!A347)</f>
        <v>347</v>
      </c>
      <c r="B471">
        <v>60255014</v>
      </c>
      <c r="C471">
        <v>60255840</v>
      </c>
      <c r="D471">
        <v>59070765</v>
      </c>
      <c r="E471">
        <v>1</v>
      </c>
      <c r="F471">
        <v>1</v>
      </c>
      <c r="G471">
        <v>1080</v>
      </c>
      <c r="H471">
        <v>2</v>
      </c>
      <c r="I471" t="s">
        <v>574</v>
      </c>
      <c r="J471" t="s">
        <v>575</v>
      </c>
      <c r="K471" t="s">
        <v>576</v>
      </c>
      <c r="L471">
        <v>1368</v>
      </c>
      <c r="N471">
        <v>1011</v>
      </c>
      <c r="O471" t="s">
        <v>488</v>
      </c>
      <c r="P471" t="s">
        <v>488</v>
      </c>
      <c r="Q471">
        <v>1</v>
      </c>
      <c r="W471">
        <v>0</v>
      </c>
      <c r="X471">
        <v>652658400</v>
      </c>
      <c r="Y471">
        <f>((AT471*1.25)*1.1)</f>
        <v>1.6225000000000001</v>
      </c>
      <c r="AA471">
        <v>0</v>
      </c>
      <c r="AB471">
        <v>12.11</v>
      </c>
      <c r="AC471">
        <v>11.71</v>
      </c>
      <c r="AD471">
        <v>0</v>
      </c>
      <c r="AE471">
        <v>0</v>
      </c>
      <c r="AF471">
        <v>11.57</v>
      </c>
      <c r="AG471">
        <v>11.18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1.18</v>
      </c>
      <c r="AU471" t="s">
        <v>496</v>
      </c>
      <c r="AV471">
        <v>0</v>
      </c>
      <c r="AW471">
        <v>2</v>
      </c>
      <c r="AX471">
        <v>60256008</v>
      </c>
      <c r="AY471">
        <v>1</v>
      </c>
      <c r="AZ471">
        <v>0</v>
      </c>
      <c r="BA471">
        <v>525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ROUND(Y471*Source!I347*DO471,9)</f>
        <v>311.789115638</v>
      </c>
      <c r="CX471">
        <f>ROUND(Y471*Source!I347,9)</f>
        <v>27.888114099999999</v>
      </c>
      <c r="CY471">
        <f>AB471</f>
        <v>12.11</v>
      </c>
      <c r="CZ471">
        <f>AF471</f>
        <v>11.57</v>
      </c>
      <c r="DA471">
        <f>AJ471</f>
        <v>1</v>
      </c>
      <c r="DB471">
        <f>ROUND(((ROUND(AT471*CZ471,2)*1.25)*1.1),6)</f>
        <v>18.768750000000001</v>
      </c>
      <c r="DC471">
        <f>ROUND(((ROUND(AT471*AG471,2)*1.25)*1.1),6)</f>
        <v>18.13625</v>
      </c>
      <c r="DD471" t="s">
        <v>3</v>
      </c>
      <c r="DE471" t="s">
        <v>3</v>
      </c>
      <c r="DF471">
        <f t="shared" si="177"/>
        <v>0</v>
      </c>
      <c r="DG471">
        <f t="shared" si="174"/>
        <v>322.67</v>
      </c>
      <c r="DH471">
        <f t="shared" si="175"/>
        <v>311.79000000000002</v>
      </c>
      <c r="DI471">
        <f t="shared" si="159"/>
        <v>0</v>
      </c>
      <c r="DJ471">
        <f>DG471</f>
        <v>322.67</v>
      </c>
      <c r="DK471">
        <v>0</v>
      </c>
      <c r="DL471" t="s">
        <v>489</v>
      </c>
      <c r="DM471">
        <v>0</v>
      </c>
      <c r="DN471" t="s">
        <v>484</v>
      </c>
      <c r="DO471">
        <v>11.18</v>
      </c>
    </row>
    <row r="472" spans="1:119" x14ac:dyDescent="0.2">
      <c r="A472">
        <f>ROW(Source!A347)</f>
        <v>347</v>
      </c>
      <c r="B472">
        <v>60255014</v>
      </c>
      <c r="C472">
        <v>60255840</v>
      </c>
      <c r="D472">
        <v>59039571</v>
      </c>
      <c r="E472">
        <v>1</v>
      </c>
      <c r="F472">
        <v>1</v>
      </c>
      <c r="G472">
        <v>1080</v>
      </c>
      <c r="H472">
        <v>3</v>
      </c>
      <c r="I472" t="s">
        <v>577</v>
      </c>
      <c r="J472" t="s">
        <v>578</v>
      </c>
      <c r="K472" t="s">
        <v>579</v>
      </c>
      <c r="L472">
        <v>1348</v>
      </c>
      <c r="N472">
        <v>1009</v>
      </c>
      <c r="O472" t="s">
        <v>534</v>
      </c>
      <c r="P472" t="s">
        <v>534</v>
      </c>
      <c r="Q472">
        <v>1000</v>
      </c>
      <c r="W472">
        <v>0</v>
      </c>
      <c r="X472">
        <v>1338767173</v>
      </c>
      <c r="Y472">
        <f>AT472</f>
        <v>3.9E-2</v>
      </c>
      <c r="AA472">
        <v>12006.83</v>
      </c>
      <c r="AB472">
        <v>0</v>
      </c>
      <c r="AC472">
        <v>0</v>
      </c>
      <c r="AD472">
        <v>0</v>
      </c>
      <c r="AE472">
        <v>11782.95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3.9E-2</v>
      </c>
      <c r="AU472" t="s">
        <v>3</v>
      </c>
      <c r="AV472">
        <v>0</v>
      </c>
      <c r="AW472">
        <v>2</v>
      </c>
      <c r="AX472">
        <v>60256009</v>
      </c>
      <c r="AY472">
        <v>1</v>
      </c>
      <c r="AZ472">
        <v>0</v>
      </c>
      <c r="BA472">
        <v>526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ROUND(Y472*Source!I347,9)</f>
        <v>0.67034603999999998</v>
      </c>
      <c r="CY472">
        <f>AA472</f>
        <v>12006.83</v>
      </c>
      <c r="CZ472">
        <f>AE472</f>
        <v>11782.95</v>
      </c>
      <c r="DA472">
        <f>AI472</f>
        <v>1</v>
      </c>
      <c r="DB472">
        <f>ROUND(ROUND(AT472*CZ472,2),6)</f>
        <v>459.54</v>
      </c>
      <c r="DC472">
        <f>ROUND(ROUND(AT472*AG472,2),6)</f>
        <v>0</v>
      </c>
      <c r="DD472" t="s">
        <v>3</v>
      </c>
      <c r="DE472" t="s">
        <v>3</v>
      </c>
      <c r="DF472">
        <f t="shared" si="177"/>
        <v>7898.65</v>
      </c>
      <c r="DG472">
        <f t="shared" si="174"/>
        <v>0</v>
      </c>
      <c r="DH472">
        <f t="shared" si="175"/>
        <v>0</v>
      </c>
      <c r="DI472">
        <f t="shared" si="159"/>
        <v>0</v>
      </c>
      <c r="DJ472">
        <f>DF472</f>
        <v>7898.65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ROW(Source!A347)</f>
        <v>347</v>
      </c>
      <c r="B473">
        <v>60255014</v>
      </c>
      <c r="C473">
        <v>60255840</v>
      </c>
      <c r="D473">
        <v>59040743</v>
      </c>
      <c r="E473">
        <v>1</v>
      </c>
      <c r="F473">
        <v>1</v>
      </c>
      <c r="G473">
        <v>1080</v>
      </c>
      <c r="H473">
        <v>3</v>
      </c>
      <c r="I473" t="s">
        <v>580</v>
      </c>
      <c r="J473" t="s">
        <v>581</v>
      </c>
      <c r="K473" t="s">
        <v>582</v>
      </c>
      <c r="L473">
        <v>1346</v>
      </c>
      <c r="N473">
        <v>1009</v>
      </c>
      <c r="O473" t="s">
        <v>528</v>
      </c>
      <c r="P473" t="s">
        <v>528</v>
      </c>
      <c r="Q473">
        <v>1</v>
      </c>
      <c r="W473">
        <v>0</v>
      </c>
      <c r="X473">
        <v>1225168167</v>
      </c>
      <c r="Y473">
        <f>AT473</f>
        <v>0.04</v>
      </c>
      <c r="AA473">
        <v>28.14</v>
      </c>
      <c r="AB473">
        <v>0</v>
      </c>
      <c r="AC473">
        <v>0</v>
      </c>
      <c r="AD473">
        <v>0</v>
      </c>
      <c r="AE473">
        <v>27.62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0.04</v>
      </c>
      <c r="AU473" t="s">
        <v>3</v>
      </c>
      <c r="AV473">
        <v>0</v>
      </c>
      <c r="AW473">
        <v>2</v>
      </c>
      <c r="AX473">
        <v>60256010</v>
      </c>
      <c r="AY473">
        <v>1</v>
      </c>
      <c r="AZ473">
        <v>0</v>
      </c>
      <c r="BA473">
        <v>527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ROUND(Y473*Source!I347,9)</f>
        <v>0.68753439999999999</v>
      </c>
      <c r="CY473">
        <f>AA473</f>
        <v>28.14</v>
      </c>
      <c r="CZ473">
        <f>AE473</f>
        <v>27.62</v>
      </c>
      <c r="DA473">
        <f>AI473</f>
        <v>1</v>
      </c>
      <c r="DB473">
        <f>ROUND(ROUND(AT473*CZ473,2),6)</f>
        <v>1.1000000000000001</v>
      </c>
      <c r="DC473">
        <f>ROUND(ROUND(AT473*AG473,2),6)</f>
        <v>0</v>
      </c>
      <c r="DD473" t="s">
        <v>3</v>
      </c>
      <c r="DE473" t="s">
        <v>3</v>
      </c>
      <c r="DF473">
        <f t="shared" si="177"/>
        <v>18.989999999999998</v>
      </c>
      <c r="DG473">
        <f t="shared" si="174"/>
        <v>0</v>
      </c>
      <c r="DH473">
        <f t="shared" si="175"/>
        <v>0</v>
      </c>
      <c r="DI473">
        <f t="shared" si="159"/>
        <v>0</v>
      </c>
      <c r="DJ473">
        <f>DF473</f>
        <v>18.989999999999998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ROW(Source!A347)</f>
        <v>347</v>
      </c>
      <c r="B474">
        <v>60255014</v>
      </c>
      <c r="C474">
        <v>60255840</v>
      </c>
      <c r="D474">
        <v>59039223</v>
      </c>
      <c r="E474">
        <v>1</v>
      </c>
      <c r="F474">
        <v>1</v>
      </c>
      <c r="G474">
        <v>1080</v>
      </c>
      <c r="H474">
        <v>3</v>
      </c>
      <c r="I474" t="s">
        <v>583</v>
      </c>
      <c r="J474" t="s">
        <v>584</v>
      </c>
      <c r="K474" t="s">
        <v>585</v>
      </c>
      <c r="L474">
        <v>1346</v>
      </c>
      <c r="N474">
        <v>1009</v>
      </c>
      <c r="O474" t="s">
        <v>528</v>
      </c>
      <c r="P474" t="s">
        <v>528</v>
      </c>
      <c r="Q474">
        <v>1</v>
      </c>
      <c r="W474">
        <v>0</v>
      </c>
      <c r="X474">
        <v>1766028683</v>
      </c>
      <c r="Y474">
        <f>AT474</f>
        <v>10.9</v>
      </c>
      <c r="AA474">
        <v>5.1100000000000003</v>
      </c>
      <c r="AB474">
        <v>0</v>
      </c>
      <c r="AC474">
        <v>0</v>
      </c>
      <c r="AD474">
        <v>0</v>
      </c>
      <c r="AE474">
        <v>5.01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10.9</v>
      </c>
      <c r="AU474" t="s">
        <v>3</v>
      </c>
      <c r="AV474">
        <v>0</v>
      </c>
      <c r="AW474">
        <v>2</v>
      </c>
      <c r="AX474">
        <v>60256011</v>
      </c>
      <c r="AY474">
        <v>1</v>
      </c>
      <c r="AZ474">
        <v>0</v>
      </c>
      <c r="BA474">
        <v>528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ROUND(Y474*Source!I347,9)</f>
        <v>187.35312400000001</v>
      </c>
      <c r="CY474">
        <f>AA474</f>
        <v>5.1100000000000003</v>
      </c>
      <c r="CZ474">
        <f>AE474</f>
        <v>5.01</v>
      </c>
      <c r="DA474">
        <f>AI474</f>
        <v>1</v>
      </c>
      <c r="DB474">
        <f>ROUND(ROUND(AT474*CZ474,2),6)</f>
        <v>54.61</v>
      </c>
      <c r="DC474">
        <f>ROUND(ROUND(AT474*AG474,2),6)</f>
        <v>0</v>
      </c>
      <c r="DD474" t="s">
        <v>3</v>
      </c>
      <c r="DE474" t="s">
        <v>3</v>
      </c>
      <c r="DF474">
        <f t="shared" si="177"/>
        <v>938.64</v>
      </c>
      <c r="DG474">
        <f t="shared" si="174"/>
        <v>0</v>
      </c>
      <c r="DH474">
        <f t="shared" si="175"/>
        <v>0</v>
      </c>
      <c r="DI474">
        <f t="shared" si="159"/>
        <v>0</v>
      </c>
      <c r="DJ474">
        <f>DF474</f>
        <v>938.64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ROW(Source!A347)</f>
        <v>347</v>
      </c>
      <c r="B475">
        <v>60255014</v>
      </c>
      <c r="C475">
        <v>60255840</v>
      </c>
      <c r="D475">
        <v>59039483</v>
      </c>
      <c r="E475">
        <v>1</v>
      </c>
      <c r="F475">
        <v>1</v>
      </c>
      <c r="G475">
        <v>1080</v>
      </c>
      <c r="H475">
        <v>3</v>
      </c>
      <c r="I475" t="s">
        <v>586</v>
      </c>
      <c r="J475" t="s">
        <v>587</v>
      </c>
      <c r="K475" t="s">
        <v>588</v>
      </c>
      <c r="L475">
        <v>1348</v>
      </c>
      <c r="N475">
        <v>1009</v>
      </c>
      <c r="O475" t="s">
        <v>534</v>
      </c>
      <c r="P475" t="s">
        <v>534</v>
      </c>
      <c r="Q475">
        <v>1000</v>
      </c>
      <c r="W475">
        <v>0</v>
      </c>
      <c r="X475">
        <v>-2031802777</v>
      </c>
      <c r="Y475">
        <f>AT475</f>
        <v>1.1000000000000001E-3</v>
      </c>
      <c r="AA475">
        <v>9545.9699999999993</v>
      </c>
      <c r="AB475">
        <v>0</v>
      </c>
      <c r="AC475">
        <v>0</v>
      </c>
      <c r="AD475">
        <v>0</v>
      </c>
      <c r="AE475">
        <v>9367.98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1.1000000000000001E-3</v>
      </c>
      <c r="AU475" t="s">
        <v>3</v>
      </c>
      <c r="AV475">
        <v>0</v>
      </c>
      <c r="AW475">
        <v>2</v>
      </c>
      <c r="AX475">
        <v>60256012</v>
      </c>
      <c r="AY475">
        <v>1</v>
      </c>
      <c r="AZ475">
        <v>0</v>
      </c>
      <c r="BA475">
        <v>529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ROUND(Y475*Source!I347,9)</f>
        <v>1.8907196000000001E-2</v>
      </c>
      <c r="CY475">
        <f>AA475</f>
        <v>9545.9699999999993</v>
      </c>
      <c r="CZ475">
        <f>AE475</f>
        <v>9367.98</v>
      </c>
      <c r="DA475">
        <f>AI475</f>
        <v>1</v>
      </c>
      <c r="DB475">
        <f>ROUND(ROUND(AT475*CZ475,2),6)</f>
        <v>10.3</v>
      </c>
      <c r="DC475">
        <f>ROUND(ROUND(AT475*AG475,2),6)</f>
        <v>0</v>
      </c>
      <c r="DD475" t="s">
        <v>3</v>
      </c>
      <c r="DE475" t="s">
        <v>3</v>
      </c>
      <c r="DF475">
        <f t="shared" si="177"/>
        <v>177.12</v>
      </c>
      <c r="DG475">
        <f t="shared" si="174"/>
        <v>0</v>
      </c>
      <c r="DH475">
        <f t="shared" si="175"/>
        <v>0</v>
      </c>
      <c r="DI475">
        <f t="shared" si="159"/>
        <v>0</v>
      </c>
      <c r="DJ475">
        <f>DF475</f>
        <v>177.12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ROW(Source!A347)</f>
        <v>347</v>
      </c>
      <c r="B476">
        <v>60255014</v>
      </c>
      <c r="C476">
        <v>60255840</v>
      </c>
      <c r="D476">
        <v>59039484</v>
      </c>
      <c r="E476">
        <v>1</v>
      </c>
      <c r="F476">
        <v>1</v>
      </c>
      <c r="G476">
        <v>1080</v>
      </c>
      <c r="H476">
        <v>3</v>
      </c>
      <c r="I476" t="s">
        <v>589</v>
      </c>
      <c r="J476" t="s">
        <v>590</v>
      </c>
      <c r="K476" t="s">
        <v>591</v>
      </c>
      <c r="L476">
        <v>1348</v>
      </c>
      <c r="N476">
        <v>1009</v>
      </c>
      <c r="O476" t="s">
        <v>534</v>
      </c>
      <c r="P476" t="s">
        <v>534</v>
      </c>
      <c r="Q476">
        <v>1000</v>
      </c>
      <c r="W476">
        <v>0</v>
      </c>
      <c r="X476">
        <v>-1942970469</v>
      </c>
      <c r="Y476">
        <f>AT476</f>
        <v>4.0000000000000001E-3</v>
      </c>
      <c r="AA476">
        <v>8125.17</v>
      </c>
      <c r="AB476">
        <v>0</v>
      </c>
      <c r="AC476">
        <v>0</v>
      </c>
      <c r="AD476">
        <v>0</v>
      </c>
      <c r="AE476">
        <v>7973.67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-2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4.0000000000000001E-3</v>
      </c>
      <c r="AU476" t="s">
        <v>3</v>
      </c>
      <c r="AV476">
        <v>0</v>
      </c>
      <c r="AW476">
        <v>2</v>
      </c>
      <c r="AX476">
        <v>60256013</v>
      </c>
      <c r="AY476">
        <v>1</v>
      </c>
      <c r="AZ476">
        <v>0</v>
      </c>
      <c r="BA476">
        <v>530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ROUND(Y476*Source!I347,9)</f>
        <v>6.8753439999999999E-2</v>
      </c>
      <c r="CY476">
        <f>AA476</f>
        <v>8125.17</v>
      </c>
      <c r="CZ476">
        <f>AE476</f>
        <v>7973.67</v>
      </c>
      <c r="DA476">
        <f>AI476</f>
        <v>1</v>
      </c>
      <c r="DB476">
        <f>ROUND(ROUND(AT476*CZ476,2),6)</f>
        <v>31.89</v>
      </c>
      <c r="DC476">
        <f>ROUND(ROUND(AT476*AG476,2),6)</f>
        <v>0</v>
      </c>
      <c r="DD476" t="s">
        <v>3</v>
      </c>
      <c r="DE476" t="s">
        <v>3</v>
      </c>
      <c r="DF476">
        <f t="shared" si="177"/>
        <v>548.22</v>
      </c>
      <c r="DG476">
        <f t="shared" si="174"/>
        <v>0</v>
      </c>
      <c r="DH476">
        <f t="shared" si="175"/>
        <v>0</v>
      </c>
      <c r="DI476">
        <f t="shared" si="159"/>
        <v>0</v>
      </c>
      <c r="DJ476">
        <f>DF476</f>
        <v>548.22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ROW(Source!A348)</f>
        <v>348</v>
      </c>
      <c r="B477">
        <v>60255011</v>
      </c>
      <c r="C477">
        <v>60255840</v>
      </c>
      <c r="D477">
        <v>58999254</v>
      </c>
      <c r="E477">
        <v>1080</v>
      </c>
      <c r="F477">
        <v>1</v>
      </c>
      <c r="G477">
        <v>1080</v>
      </c>
      <c r="H477">
        <v>1</v>
      </c>
      <c r="I477" t="s">
        <v>482</v>
      </c>
      <c r="J477" t="s">
        <v>3</v>
      </c>
      <c r="K477" t="s">
        <v>483</v>
      </c>
      <c r="L477">
        <v>1191</v>
      </c>
      <c r="N477">
        <v>1013</v>
      </c>
      <c r="O477" t="s">
        <v>484</v>
      </c>
      <c r="P477" t="s">
        <v>484</v>
      </c>
      <c r="Q477">
        <v>1</v>
      </c>
      <c r="W477">
        <v>0</v>
      </c>
      <c r="X477">
        <v>476480486</v>
      </c>
      <c r="Y477">
        <f>((AT477*1.15)*1.1)</f>
        <v>23.33925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5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18.45</v>
      </c>
      <c r="AU477" t="s">
        <v>99</v>
      </c>
      <c r="AV477">
        <v>1</v>
      </c>
      <c r="AW477">
        <v>2</v>
      </c>
      <c r="AX477">
        <v>60256006</v>
      </c>
      <c r="AY477">
        <v>1</v>
      </c>
      <c r="AZ477">
        <v>0</v>
      </c>
      <c r="BA477">
        <v>532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U477">
        <f>ROUND(AT477*Source!I348*AH477*AL477,2)</f>
        <v>0</v>
      </c>
      <c r="CV477">
        <f>ROUND(Y477*Source!I348,9)</f>
        <v>401.16343112999999</v>
      </c>
      <c r="CW477">
        <v>0</v>
      </c>
      <c r="CX477">
        <f>ROUND(Y477*Source!I348,9)</f>
        <v>401.16343112999999</v>
      </c>
      <c r="CY477">
        <f>AD477</f>
        <v>0</v>
      </c>
      <c r="CZ477">
        <f>AH477</f>
        <v>0</v>
      </c>
      <c r="DA477">
        <f>AL477</f>
        <v>1</v>
      </c>
      <c r="DB477">
        <f>ROUND(((ROUND(AT477*CZ477,2)*1.15)*1.1),6)</f>
        <v>0</v>
      </c>
      <c r="DC477">
        <f>ROUND(((ROUND(AT477*AG477,2)*1.15)*1.1),6)</f>
        <v>0</v>
      </c>
      <c r="DD477" t="s">
        <v>3</v>
      </c>
      <c r="DE477" t="s">
        <v>3</v>
      </c>
      <c r="DF477">
        <f t="shared" si="177"/>
        <v>0</v>
      </c>
      <c r="DG477">
        <f t="shared" si="174"/>
        <v>0</v>
      </c>
      <c r="DH477">
        <f t="shared" si="175"/>
        <v>0</v>
      </c>
      <c r="DI477">
        <f t="shared" si="159"/>
        <v>0</v>
      </c>
      <c r="DJ477">
        <f>DI477</f>
        <v>0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ROW(Source!A348)</f>
        <v>348</v>
      </c>
      <c r="B478">
        <v>60255011</v>
      </c>
      <c r="C478">
        <v>60255840</v>
      </c>
      <c r="D478">
        <v>59070669</v>
      </c>
      <c r="E478">
        <v>1</v>
      </c>
      <c r="F478">
        <v>1</v>
      </c>
      <c r="G478">
        <v>1080</v>
      </c>
      <c r="H478">
        <v>2</v>
      </c>
      <c r="I478" t="s">
        <v>485</v>
      </c>
      <c r="J478" t="s">
        <v>486</v>
      </c>
      <c r="K478" t="s">
        <v>487</v>
      </c>
      <c r="L478">
        <v>1368</v>
      </c>
      <c r="N478">
        <v>1011</v>
      </c>
      <c r="O478" t="s">
        <v>488</v>
      </c>
      <c r="P478" t="s">
        <v>488</v>
      </c>
      <c r="Q478">
        <v>1</v>
      </c>
      <c r="W478">
        <v>0</v>
      </c>
      <c r="X478">
        <v>-1985943078</v>
      </c>
      <c r="Y478">
        <f>((AT478*1.25)*1.1)</f>
        <v>0.50875000000000004</v>
      </c>
      <c r="AA478">
        <v>0</v>
      </c>
      <c r="AB478">
        <v>1418.19</v>
      </c>
      <c r="AC478">
        <v>726.59</v>
      </c>
      <c r="AD478">
        <v>0</v>
      </c>
      <c r="AE478">
        <v>0</v>
      </c>
      <c r="AF478">
        <v>83.1</v>
      </c>
      <c r="AG478">
        <v>12.62</v>
      </c>
      <c r="AH478">
        <v>0</v>
      </c>
      <c r="AI478">
        <v>1</v>
      </c>
      <c r="AJ478">
        <v>16.3</v>
      </c>
      <c r="AK478">
        <v>54.99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0.37</v>
      </c>
      <c r="AU478" t="s">
        <v>496</v>
      </c>
      <c r="AV478">
        <v>0</v>
      </c>
      <c r="AW478">
        <v>2</v>
      </c>
      <c r="AX478">
        <v>60256007</v>
      </c>
      <c r="AY478">
        <v>1</v>
      </c>
      <c r="AZ478">
        <v>0</v>
      </c>
      <c r="BA478">
        <v>533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f>ROUND(Y478*Source!I348*DO478,9)</f>
        <v>110.356576253</v>
      </c>
      <c r="CX478">
        <f>ROUND(Y478*Source!I348,9)</f>
        <v>8.7445781500000006</v>
      </c>
      <c r="CY478">
        <f>AB478</f>
        <v>1418.19</v>
      </c>
      <c r="CZ478">
        <f>AF478</f>
        <v>83.1</v>
      </c>
      <c r="DA478">
        <f>AJ478</f>
        <v>16.3</v>
      </c>
      <c r="DB478">
        <f>ROUND(((ROUND(AT478*CZ478,2)*1.25)*1.1),6)</f>
        <v>42.28125</v>
      </c>
      <c r="DC478">
        <f>ROUND(((ROUND(AT478*AG478,2)*1.25)*1.1),6)</f>
        <v>6.4212499999999997</v>
      </c>
      <c r="DD478" t="s">
        <v>3</v>
      </c>
      <c r="DE478" t="s">
        <v>3</v>
      </c>
      <c r="DF478">
        <f t="shared" si="177"/>
        <v>0</v>
      </c>
      <c r="DG478">
        <f>ROUND(ROUND(AF478*AJ478,2)*CX478,2)</f>
        <v>11844.79</v>
      </c>
      <c r="DH478">
        <f>ROUND(ROUND(AG478*AK478,2)*CX478,2)</f>
        <v>6068.47</v>
      </c>
      <c r="DI478">
        <f t="shared" si="159"/>
        <v>0</v>
      </c>
      <c r="DJ478">
        <f>DG478</f>
        <v>11844.79</v>
      </c>
      <c r="DK478">
        <v>0</v>
      </c>
      <c r="DL478" t="s">
        <v>489</v>
      </c>
      <c r="DM478">
        <v>0</v>
      </c>
      <c r="DN478" t="s">
        <v>484</v>
      </c>
      <c r="DO478">
        <v>12.62</v>
      </c>
    </row>
    <row r="479" spans="1:119" x14ac:dyDescent="0.2">
      <c r="A479">
        <f>ROW(Source!A348)</f>
        <v>348</v>
      </c>
      <c r="B479">
        <v>60255011</v>
      </c>
      <c r="C479">
        <v>60255840</v>
      </c>
      <c r="D479">
        <v>59070765</v>
      </c>
      <c r="E479">
        <v>1</v>
      </c>
      <c r="F479">
        <v>1</v>
      </c>
      <c r="G479">
        <v>1080</v>
      </c>
      <c r="H479">
        <v>2</v>
      </c>
      <c r="I479" t="s">
        <v>574</v>
      </c>
      <c r="J479" t="s">
        <v>575</v>
      </c>
      <c r="K479" t="s">
        <v>576</v>
      </c>
      <c r="L479">
        <v>1368</v>
      </c>
      <c r="N479">
        <v>1011</v>
      </c>
      <c r="O479" t="s">
        <v>488</v>
      </c>
      <c r="P479" t="s">
        <v>488</v>
      </c>
      <c r="Q479">
        <v>1</v>
      </c>
      <c r="W479">
        <v>0</v>
      </c>
      <c r="X479">
        <v>652658400</v>
      </c>
      <c r="Y479">
        <f>((AT479*1.25)*1.1)</f>
        <v>1.6225000000000001</v>
      </c>
      <c r="AA479">
        <v>0</v>
      </c>
      <c r="AB479">
        <v>647.24</v>
      </c>
      <c r="AC479">
        <v>643.67999999999995</v>
      </c>
      <c r="AD479">
        <v>0</v>
      </c>
      <c r="AE479">
        <v>0</v>
      </c>
      <c r="AF479">
        <v>11.57</v>
      </c>
      <c r="AG479">
        <v>11.18</v>
      </c>
      <c r="AH479">
        <v>0</v>
      </c>
      <c r="AI479">
        <v>1</v>
      </c>
      <c r="AJ479">
        <v>53.43</v>
      </c>
      <c r="AK479">
        <v>54.99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1.18</v>
      </c>
      <c r="AU479" t="s">
        <v>496</v>
      </c>
      <c r="AV479">
        <v>0</v>
      </c>
      <c r="AW479">
        <v>2</v>
      </c>
      <c r="AX479">
        <v>60256008</v>
      </c>
      <c r="AY479">
        <v>1</v>
      </c>
      <c r="AZ479">
        <v>0</v>
      </c>
      <c r="BA479">
        <v>534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ROUND(Y479*Source!I348*DO479,9)</f>
        <v>311.789115638</v>
      </c>
      <c r="CX479">
        <f>ROUND(Y479*Source!I348,9)</f>
        <v>27.888114099999999</v>
      </c>
      <c r="CY479">
        <f>AB479</f>
        <v>647.24</v>
      </c>
      <c r="CZ479">
        <f>AF479</f>
        <v>11.57</v>
      </c>
      <c r="DA479">
        <f>AJ479</f>
        <v>53.43</v>
      </c>
      <c r="DB479">
        <f>ROUND(((ROUND(AT479*CZ479,2)*1.25)*1.1),6)</f>
        <v>18.768750000000001</v>
      </c>
      <c r="DC479">
        <f>ROUND(((ROUND(AT479*AG479,2)*1.25)*1.1),6)</f>
        <v>18.13625</v>
      </c>
      <c r="DD479" t="s">
        <v>3</v>
      </c>
      <c r="DE479" t="s">
        <v>3</v>
      </c>
      <c r="DF479">
        <f t="shared" si="177"/>
        <v>0</v>
      </c>
      <c r="DG479">
        <f>ROUND(ROUND(AF479*AJ479,2)*CX479,2)</f>
        <v>17240.150000000001</v>
      </c>
      <c r="DH479">
        <f>ROUND(ROUND(AG479*AK479,2)*CX479,2)</f>
        <v>17145.330000000002</v>
      </c>
      <c r="DI479">
        <f t="shared" si="159"/>
        <v>0</v>
      </c>
      <c r="DJ479">
        <f>DG479</f>
        <v>17240.150000000001</v>
      </c>
      <c r="DK479">
        <v>0</v>
      </c>
      <c r="DL479" t="s">
        <v>489</v>
      </c>
      <c r="DM479">
        <v>0</v>
      </c>
      <c r="DN479" t="s">
        <v>484</v>
      </c>
      <c r="DO479">
        <v>11.18</v>
      </c>
    </row>
    <row r="480" spans="1:119" x14ac:dyDescent="0.2">
      <c r="A480">
        <f>ROW(Source!A348)</f>
        <v>348</v>
      </c>
      <c r="B480">
        <v>60255011</v>
      </c>
      <c r="C480">
        <v>60255840</v>
      </c>
      <c r="D480">
        <v>59039571</v>
      </c>
      <c r="E480">
        <v>1</v>
      </c>
      <c r="F480">
        <v>1</v>
      </c>
      <c r="G480">
        <v>1080</v>
      </c>
      <c r="H480">
        <v>3</v>
      </c>
      <c r="I480" t="s">
        <v>577</v>
      </c>
      <c r="J480" t="s">
        <v>578</v>
      </c>
      <c r="K480" t="s">
        <v>579</v>
      </c>
      <c r="L480">
        <v>1348</v>
      </c>
      <c r="N480">
        <v>1009</v>
      </c>
      <c r="O480" t="s">
        <v>534</v>
      </c>
      <c r="P480" t="s">
        <v>534</v>
      </c>
      <c r="Q480">
        <v>1000</v>
      </c>
      <c r="W480">
        <v>0</v>
      </c>
      <c r="X480">
        <v>1338767173</v>
      </c>
      <c r="Y480">
        <f>AT480</f>
        <v>3.9E-2</v>
      </c>
      <c r="AA480">
        <v>76603.55</v>
      </c>
      <c r="AB480">
        <v>0</v>
      </c>
      <c r="AC480">
        <v>0</v>
      </c>
      <c r="AD480">
        <v>0</v>
      </c>
      <c r="AE480">
        <v>11782.95</v>
      </c>
      <c r="AF480">
        <v>0</v>
      </c>
      <c r="AG480">
        <v>0</v>
      </c>
      <c r="AH480">
        <v>0</v>
      </c>
      <c r="AI480">
        <v>6.38</v>
      </c>
      <c r="AJ480">
        <v>1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3.9E-2</v>
      </c>
      <c r="AU480" t="s">
        <v>3</v>
      </c>
      <c r="AV480">
        <v>0</v>
      </c>
      <c r="AW480">
        <v>2</v>
      </c>
      <c r="AX480">
        <v>60256009</v>
      </c>
      <c r="AY480">
        <v>1</v>
      </c>
      <c r="AZ480">
        <v>0</v>
      </c>
      <c r="BA480">
        <v>535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ROUND(Y480*Source!I348,9)</f>
        <v>0.67034603999999998</v>
      </c>
      <c r="CY480">
        <f>AA480</f>
        <v>76603.55</v>
      </c>
      <c r="CZ480">
        <f>AE480</f>
        <v>11782.95</v>
      </c>
      <c r="DA480">
        <f>AI480</f>
        <v>6.38</v>
      </c>
      <c r="DB480">
        <f>ROUND(ROUND(AT480*CZ480,2),6)</f>
        <v>459.54</v>
      </c>
      <c r="DC480">
        <f>ROUND(ROUND(AT480*AG480,2),6)</f>
        <v>0</v>
      </c>
      <c r="DD480" t="s">
        <v>3</v>
      </c>
      <c r="DE480" t="s">
        <v>3</v>
      </c>
      <c r="DF480">
        <f>ROUND(ROUND(AE480*AI480,2)*CX480,2)</f>
        <v>50393.41</v>
      </c>
      <c r="DG480">
        <f>ROUND(ROUND(AF480,2)*CX480,2)</f>
        <v>0</v>
      </c>
      <c r="DH480">
        <f>ROUND(ROUND(AG480,2)*CX480,2)</f>
        <v>0</v>
      </c>
      <c r="DI480">
        <f t="shared" si="159"/>
        <v>0</v>
      </c>
      <c r="DJ480">
        <f>DF480</f>
        <v>50393.41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ROW(Source!A348)</f>
        <v>348</v>
      </c>
      <c r="B481">
        <v>60255011</v>
      </c>
      <c r="C481">
        <v>60255840</v>
      </c>
      <c r="D481">
        <v>59040743</v>
      </c>
      <c r="E481">
        <v>1</v>
      </c>
      <c r="F481">
        <v>1</v>
      </c>
      <c r="G481">
        <v>1080</v>
      </c>
      <c r="H481">
        <v>3</v>
      </c>
      <c r="I481" t="s">
        <v>580</v>
      </c>
      <c r="J481" t="s">
        <v>581</v>
      </c>
      <c r="K481" t="s">
        <v>582</v>
      </c>
      <c r="L481">
        <v>1346</v>
      </c>
      <c r="N481">
        <v>1009</v>
      </c>
      <c r="O481" t="s">
        <v>528</v>
      </c>
      <c r="P481" t="s">
        <v>528</v>
      </c>
      <c r="Q481">
        <v>1</v>
      </c>
      <c r="W481">
        <v>0</v>
      </c>
      <c r="X481">
        <v>1225168167</v>
      </c>
      <c r="Y481">
        <f>AT481</f>
        <v>0.04</v>
      </c>
      <c r="AA481">
        <v>175.62</v>
      </c>
      <c r="AB481">
        <v>0</v>
      </c>
      <c r="AC481">
        <v>0</v>
      </c>
      <c r="AD481">
        <v>0</v>
      </c>
      <c r="AE481">
        <v>27.62</v>
      </c>
      <c r="AF481">
        <v>0</v>
      </c>
      <c r="AG481">
        <v>0</v>
      </c>
      <c r="AH481">
        <v>0</v>
      </c>
      <c r="AI481">
        <v>6.24</v>
      </c>
      <c r="AJ481">
        <v>1</v>
      </c>
      <c r="AK481">
        <v>1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0.04</v>
      </c>
      <c r="AU481" t="s">
        <v>3</v>
      </c>
      <c r="AV481">
        <v>0</v>
      </c>
      <c r="AW481">
        <v>2</v>
      </c>
      <c r="AX481">
        <v>60256010</v>
      </c>
      <c r="AY481">
        <v>1</v>
      </c>
      <c r="AZ481">
        <v>0</v>
      </c>
      <c r="BA481">
        <v>536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ROUND(Y481*Source!I348,9)</f>
        <v>0.68753439999999999</v>
      </c>
      <c r="CY481">
        <f>AA481</f>
        <v>175.62</v>
      </c>
      <c r="CZ481">
        <f>AE481</f>
        <v>27.62</v>
      </c>
      <c r="DA481">
        <f>AI481</f>
        <v>6.24</v>
      </c>
      <c r="DB481">
        <f>ROUND(ROUND(AT481*CZ481,2),6)</f>
        <v>1.1000000000000001</v>
      </c>
      <c r="DC481">
        <f>ROUND(ROUND(AT481*AG481,2),6)</f>
        <v>0</v>
      </c>
      <c r="DD481" t="s">
        <v>3</v>
      </c>
      <c r="DE481" t="s">
        <v>3</v>
      </c>
      <c r="DF481">
        <f>ROUND(ROUND(AE481*AI481,2)*CX481,2)</f>
        <v>118.5</v>
      </c>
      <c r="DG481">
        <f>ROUND(ROUND(AF481,2)*CX481,2)</f>
        <v>0</v>
      </c>
      <c r="DH481">
        <f>ROUND(ROUND(AG481,2)*CX481,2)</f>
        <v>0</v>
      </c>
      <c r="DI481">
        <f t="shared" si="159"/>
        <v>0</v>
      </c>
      <c r="DJ481">
        <f>DF481</f>
        <v>118.5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ROW(Source!A348)</f>
        <v>348</v>
      </c>
      <c r="B482">
        <v>60255011</v>
      </c>
      <c r="C482">
        <v>60255840</v>
      </c>
      <c r="D482">
        <v>59039223</v>
      </c>
      <c r="E482">
        <v>1</v>
      </c>
      <c r="F482">
        <v>1</v>
      </c>
      <c r="G482">
        <v>1080</v>
      </c>
      <c r="H482">
        <v>3</v>
      </c>
      <c r="I482" t="s">
        <v>583</v>
      </c>
      <c r="J482" t="s">
        <v>584</v>
      </c>
      <c r="K482" t="s">
        <v>585</v>
      </c>
      <c r="L482">
        <v>1346</v>
      </c>
      <c r="N482">
        <v>1009</v>
      </c>
      <c r="O482" t="s">
        <v>528</v>
      </c>
      <c r="P482" t="s">
        <v>528</v>
      </c>
      <c r="Q482">
        <v>1</v>
      </c>
      <c r="W482">
        <v>0</v>
      </c>
      <c r="X482">
        <v>1766028683</v>
      </c>
      <c r="Y482">
        <f>AT482</f>
        <v>10.9</v>
      </c>
      <c r="AA482">
        <v>74.790000000000006</v>
      </c>
      <c r="AB482">
        <v>0</v>
      </c>
      <c r="AC482">
        <v>0</v>
      </c>
      <c r="AD482">
        <v>0</v>
      </c>
      <c r="AE482">
        <v>5.01</v>
      </c>
      <c r="AF482">
        <v>0</v>
      </c>
      <c r="AG482">
        <v>0</v>
      </c>
      <c r="AH482">
        <v>0</v>
      </c>
      <c r="AI482">
        <v>14.65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10.9</v>
      </c>
      <c r="AU482" t="s">
        <v>3</v>
      </c>
      <c r="AV482">
        <v>0</v>
      </c>
      <c r="AW482">
        <v>2</v>
      </c>
      <c r="AX482">
        <v>60256011</v>
      </c>
      <c r="AY482">
        <v>1</v>
      </c>
      <c r="AZ482">
        <v>0</v>
      </c>
      <c r="BA482">
        <v>537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ROUND(Y482*Source!I348,9)</f>
        <v>187.35312400000001</v>
      </c>
      <c r="CY482">
        <f>AA482</f>
        <v>74.790000000000006</v>
      </c>
      <c r="CZ482">
        <f>AE482</f>
        <v>5.01</v>
      </c>
      <c r="DA482">
        <f>AI482</f>
        <v>14.65</v>
      </c>
      <c r="DB482">
        <f>ROUND(ROUND(AT482*CZ482,2),6)</f>
        <v>54.61</v>
      </c>
      <c r="DC482">
        <f>ROUND(ROUND(AT482*AG482,2),6)</f>
        <v>0</v>
      </c>
      <c r="DD482" t="s">
        <v>3</v>
      </c>
      <c r="DE482" t="s">
        <v>3</v>
      </c>
      <c r="DF482">
        <f>ROUND(ROUND(AE482*AI482,2)*CX482,2)</f>
        <v>13751.72</v>
      </c>
      <c r="DG482">
        <f>ROUND(ROUND(AF482,2)*CX482,2)</f>
        <v>0</v>
      </c>
      <c r="DH482">
        <f>ROUND(ROUND(AG482,2)*CX482,2)</f>
        <v>0</v>
      </c>
      <c r="DI482">
        <f t="shared" si="159"/>
        <v>0</v>
      </c>
      <c r="DJ482">
        <f>DF482</f>
        <v>13751.72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ROW(Source!A348)</f>
        <v>348</v>
      </c>
      <c r="B483">
        <v>60255011</v>
      </c>
      <c r="C483">
        <v>60255840</v>
      </c>
      <c r="D483">
        <v>59039483</v>
      </c>
      <c r="E483">
        <v>1</v>
      </c>
      <c r="F483">
        <v>1</v>
      </c>
      <c r="G483">
        <v>1080</v>
      </c>
      <c r="H483">
        <v>3</v>
      </c>
      <c r="I483" t="s">
        <v>586</v>
      </c>
      <c r="J483" t="s">
        <v>587</v>
      </c>
      <c r="K483" t="s">
        <v>588</v>
      </c>
      <c r="L483">
        <v>1348</v>
      </c>
      <c r="N483">
        <v>1009</v>
      </c>
      <c r="O483" t="s">
        <v>534</v>
      </c>
      <c r="P483" t="s">
        <v>534</v>
      </c>
      <c r="Q483">
        <v>1000</v>
      </c>
      <c r="W483">
        <v>0</v>
      </c>
      <c r="X483">
        <v>-2031802777</v>
      </c>
      <c r="Y483">
        <f>AT483</f>
        <v>1.1000000000000001E-3</v>
      </c>
      <c r="AA483">
        <v>108251.32</v>
      </c>
      <c r="AB483">
        <v>0</v>
      </c>
      <c r="AC483">
        <v>0</v>
      </c>
      <c r="AD483">
        <v>0</v>
      </c>
      <c r="AE483">
        <v>9367.98</v>
      </c>
      <c r="AF483">
        <v>0</v>
      </c>
      <c r="AG483">
        <v>0</v>
      </c>
      <c r="AH483">
        <v>0</v>
      </c>
      <c r="AI483">
        <v>11.34</v>
      </c>
      <c r="AJ483">
        <v>1</v>
      </c>
      <c r="AK483">
        <v>1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1.1000000000000001E-3</v>
      </c>
      <c r="AU483" t="s">
        <v>3</v>
      </c>
      <c r="AV483">
        <v>0</v>
      </c>
      <c r="AW483">
        <v>2</v>
      </c>
      <c r="AX483">
        <v>60256012</v>
      </c>
      <c r="AY483">
        <v>1</v>
      </c>
      <c r="AZ483">
        <v>0</v>
      </c>
      <c r="BA483">
        <v>538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ROUND(Y483*Source!I348,9)</f>
        <v>1.8907196000000001E-2</v>
      </c>
      <c r="CY483">
        <f>AA483</f>
        <v>108251.32</v>
      </c>
      <c r="CZ483">
        <f>AE483</f>
        <v>9367.98</v>
      </c>
      <c r="DA483">
        <f>AI483</f>
        <v>11.34</v>
      </c>
      <c r="DB483">
        <f>ROUND(ROUND(AT483*CZ483,2),6)</f>
        <v>10.3</v>
      </c>
      <c r="DC483">
        <f>ROUND(ROUND(AT483*AG483,2),6)</f>
        <v>0</v>
      </c>
      <c r="DD483" t="s">
        <v>3</v>
      </c>
      <c r="DE483" t="s">
        <v>3</v>
      </c>
      <c r="DF483">
        <f>ROUND(ROUND(AE483*AI483,2)*CX483,2)</f>
        <v>2008.57</v>
      </c>
      <c r="DG483">
        <f>ROUND(ROUND(AF483,2)*CX483,2)</f>
        <v>0</v>
      </c>
      <c r="DH483">
        <f>ROUND(ROUND(AG483,2)*CX483,2)</f>
        <v>0</v>
      </c>
      <c r="DI483">
        <f t="shared" si="159"/>
        <v>0</v>
      </c>
      <c r="DJ483">
        <f>DF483</f>
        <v>2008.57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ROW(Source!A348)</f>
        <v>348</v>
      </c>
      <c r="B484">
        <v>60255011</v>
      </c>
      <c r="C484">
        <v>60255840</v>
      </c>
      <c r="D484">
        <v>59039484</v>
      </c>
      <c r="E484">
        <v>1</v>
      </c>
      <c r="F484">
        <v>1</v>
      </c>
      <c r="G484">
        <v>1080</v>
      </c>
      <c r="H484">
        <v>3</v>
      </c>
      <c r="I484" t="s">
        <v>589</v>
      </c>
      <c r="J484" t="s">
        <v>590</v>
      </c>
      <c r="K484" t="s">
        <v>591</v>
      </c>
      <c r="L484">
        <v>1348</v>
      </c>
      <c r="N484">
        <v>1009</v>
      </c>
      <c r="O484" t="s">
        <v>534</v>
      </c>
      <c r="P484" t="s">
        <v>534</v>
      </c>
      <c r="Q484">
        <v>1000</v>
      </c>
      <c r="W484">
        <v>0</v>
      </c>
      <c r="X484">
        <v>-1942970469</v>
      </c>
      <c r="Y484">
        <f>AT484</f>
        <v>4.0000000000000001E-3</v>
      </c>
      <c r="AA484">
        <v>79870.42</v>
      </c>
      <c r="AB484">
        <v>0</v>
      </c>
      <c r="AC484">
        <v>0</v>
      </c>
      <c r="AD484">
        <v>0</v>
      </c>
      <c r="AE484">
        <v>7973.67</v>
      </c>
      <c r="AF484">
        <v>0</v>
      </c>
      <c r="AG484">
        <v>0</v>
      </c>
      <c r="AH484">
        <v>0</v>
      </c>
      <c r="AI484">
        <v>9.83</v>
      </c>
      <c r="AJ484">
        <v>1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4.0000000000000001E-3</v>
      </c>
      <c r="AU484" t="s">
        <v>3</v>
      </c>
      <c r="AV484">
        <v>0</v>
      </c>
      <c r="AW484">
        <v>2</v>
      </c>
      <c r="AX484">
        <v>60256013</v>
      </c>
      <c r="AY484">
        <v>1</v>
      </c>
      <c r="AZ484">
        <v>0</v>
      </c>
      <c r="BA484">
        <v>539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ROUND(Y484*Source!I348,9)</f>
        <v>6.8753439999999999E-2</v>
      </c>
      <c r="CY484">
        <f>AA484</f>
        <v>79870.42</v>
      </c>
      <c r="CZ484">
        <f>AE484</f>
        <v>7973.67</v>
      </c>
      <c r="DA484">
        <f>AI484</f>
        <v>9.83</v>
      </c>
      <c r="DB484">
        <f>ROUND(ROUND(AT484*CZ484,2),6)</f>
        <v>31.89</v>
      </c>
      <c r="DC484">
        <f>ROUND(ROUND(AT484*AG484,2),6)</f>
        <v>0</v>
      </c>
      <c r="DD484" t="s">
        <v>3</v>
      </c>
      <c r="DE484" t="s">
        <v>3</v>
      </c>
      <c r="DF484">
        <f>ROUND(ROUND(AE484*AI484,2)*CX484,2)</f>
        <v>5388.98</v>
      </c>
      <c r="DG484">
        <f>ROUND(ROUND(AF484,2)*CX484,2)</f>
        <v>0</v>
      </c>
      <c r="DH484">
        <f>ROUND(ROUND(AG484,2)*CX484,2)</f>
        <v>0</v>
      </c>
      <c r="DI484">
        <f t="shared" si="159"/>
        <v>0</v>
      </c>
      <c r="DJ484">
        <f>DF484</f>
        <v>5388.98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4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60255866</v>
      </c>
      <c r="C1">
        <v>60255128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482</v>
      </c>
      <c r="J1" t="s">
        <v>3</v>
      </c>
      <c r="K1" t="s">
        <v>483</v>
      </c>
      <c r="L1">
        <v>1191</v>
      </c>
      <c r="N1">
        <v>1013</v>
      </c>
      <c r="O1" t="s">
        <v>484</v>
      </c>
      <c r="P1" t="s">
        <v>484</v>
      </c>
      <c r="Q1">
        <v>1</v>
      </c>
      <c r="X1">
        <v>1.03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23</v>
      </c>
      <c r="AG1">
        <v>1.1330000000000002</v>
      </c>
      <c r="AH1">
        <v>2</v>
      </c>
      <c r="AI1">
        <v>60255129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60255867</v>
      </c>
      <c r="C2">
        <v>60255128</v>
      </c>
      <c r="D2">
        <v>59070669</v>
      </c>
      <c r="E2">
        <v>1</v>
      </c>
      <c r="F2">
        <v>1</v>
      </c>
      <c r="G2">
        <v>1080</v>
      </c>
      <c r="H2">
        <v>2</v>
      </c>
      <c r="I2" t="s">
        <v>485</v>
      </c>
      <c r="J2" t="s">
        <v>486</v>
      </c>
      <c r="K2" t="s">
        <v>487</v>
      </c>
      <c r="L2">
        <v>1368</v>
      </c>
      <c r="N2">
        <v>1011</v>
      </c>
      <c r="O2" t="s">
        <v>488</v>
      </c>
      <c r="P2" t="s">
        <v>488</v>
      </c>
      <c r="Q2">
        <v>1</v>
      </c>
      <c r="X2">
        <v>0.01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1.1000000000000001E-2</v>
      </c>
      <c r="AH2">
        <v>2</v>
      </c>
      <c r="AI2">
        <v>60255130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60255868</v>
      </c>
      <c r="C3">
        <v>60255128</v>
      </c>
      <c r="D3">
        <v>59070782</v>
      </c>
      <c r="E3">
        <v>1</v>
      </c>
      <c r="F3">
        <v>1</v>
      </c>
      <c r="G3">
        <v>1080</v>
      </c>
      <c r="H3">
        <v>2</v>
      </c>
      <c r="I3" t="s">
        <v>490</v>
      </c>
      <c r="J3" t="s">
        <v>491</v>
      </c>
      <c r="K3" t="s">
        <v>492</v>
      </c>
      <c r="L3">
        <v>1368</v>
      </c>
      <c r="N3">
        <v>1011</v>
      </c>
      <c r="O3" t="s">
        <v>488</v>
      </c>
      <c r="P3" t="s">
        <v>488</v>
      </c>
      <c r="Q3">
        <v>1</v>
      </c>
      <c r="X3">
        <v>0.22</v>
      </c>
      <c r="Y3">
        <v>0</v>
      </c>
      <c r="Z3">
        <v>0.35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23</v>
      </c>
      <c r="AG3">
        <v>0.24200000000000002</v>
      </c>
      <c r="AH3">
        <v>2</v>
      </c>
      <c r="AI3">
        <v>60255131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60255869</v>
      </c>
      <c r="C4">
        <v>60255128</v>
      </c>
      <c r="D4">
        <v>59041420</v>
      </c>
      <c r="E4">
        <v>1</v>
      </c>
      <c r="F4">
        <v>1</v>
      </c>
      <c r="G4">
        <v>1080</v>
      </c>
      <c r="H4">
        <v>3</v>
      </c>
      <c r="I4" t="s">
        <v>493</v>
      </c>
      <c r="J4" t="s">
        <v>494</v>
      </c>
      <c r="K4" t="s">
        <v>495</v>
      </c>
      <c r="L4">
        <v>1355</v>
      </c>
      <c r="N4">
        <v>1010</v>
      </c>
      <c r="O4" t="s">
        <v>96</v>
      </c>
      <c r="P4" t="s">
        <v>96</v>
      </c>
      <c r="Q4">
        <v>100</v>
      </c>
      <c r="X4">
        <v>2.7E-2</v>
      </c>
      <c r="Y4">
        <v>15.04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2.7E-2</v>
      </c>
      <c r="AH4">
        <v>2</v>
      </c>
      <c r="AI4">
        <v>60255132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60255870</v>
      </c>
      <c r="C5">
        <v>60255128</v>
      </c>
      <c r="D5">
        <v>59014572</v>
      </c>
      <c r="E5">
        <v>1080</v>
      </c>
      <c r="F5">
        <v>1</v>
      </c>
      <c r="G5">
        <v>1080</v>
      </c>
      <c r="H5">
        <v>3</v>
      </c>
      <c r="I5" t="s">
        <v>592</v>
      </c>
      <c r="J5" t="s">
        <v>3</v>
      </c>
      <c r="K5" t="s">
        <v>593</v>
      </c>
      <c r="L5">
        <v>1354</v>
      </c>
      <c r="N5">
        <v>1010</v>
      </c>
      <c r="O5" t="s">
        <v>31</v>
      </c>
      <c r="P5" t="s">
        <v>31</v>
      </c>
      <c r="Q5">
        <v>1</v>
      </c>
      <c r="X5">
        <v>1.02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</v>
      </c>
      <c r="AG5">
        <v>1.02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60255866</v>
      </c>
      <c r="C6">
        <v>60255128</v>
      </c>
      <c r="D6">
        <v>58999254</v>
      </c>
      <c r="E6">
        <v>1080</v>
      </c>
      <c r="F6">
        <v>1</v>
      </c>
      <c r="G6">
        <v>1080</v>
      </c>
      <c r="H6">
        <v>1</v>
      </c>
      <c r="I6" t="s">
        <v>482</v>
      </c>
      <c r="J6" t="s">
        <v>3</v>
      </c>
      <c r="K6" t="s">
        <v>483</v>
      </c>
      <c r="L6">
        <v>1191</v>
      </c>
      <c r="N6">
        <v>1013</v>
      </c>
      <c r="O6" t="s">
        <v>484</v>
      </c>
      <c r="P6" t="s">
        <v>484</v>
      </c>
      <c r="Q6">
        <v>1</v>
      </c>
      <c r="X6">
        <v>1.03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23</v>
      </c>
      <c r="AG6">
        <v>1.1330000000000002</v>
      </c>
      <c r="AH6">
        <v>2</v>
      </c>
      <c r="AI6">
        <v>60255129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60255867</v>
      </c>
      <c r="C7">
        <v>60255128</v>
      </c>
      <c r="D7">
        <v>59070669</v>
      </c>
      <c r="E7">
        <v>1</v>
      </c>
      <c r="F7">
        <v>1</v>
      </c>
      <c r="G7">
        <v>1080</v>
      </c>
      <c r="H7">
        <v>2</v>
      </c>
      <c r="I7" t="s">
        <v>485</v>
      </c>
      <c r="J7" t="s">
        <v>486</v>
      </c>
      <c r="K7" t="s">
        <v>487</v>
      </c>
      <c r="L7">
        <v>1368</v>
      </c>
      <c r="N7">
        <v>1011</v>
      </c>
      <c r="O7" t="s">
        <v>488</v>
      </c>
      <c r="P7" t="s">
        <v>488</v>
      </c>
      <c r="Q7">
        <v>1</v>
      </c>
      <c r="X7">
        <v>0.01</v>
      </c>
      <c r="Y7">
        <v>0</v>
      </c>
      <c r="Z7">
        <v>83.1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23</v>
      </c>
      <c r="AG7">
        <v>1.1000000000000001E-2</v>
      </c>
      <c r="AH7">
        <v>2</v>
      </c>
      <c r="AI7">
        <v>60255130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60255868</v>
      </c>
      <c r="C8">
        <v>60255128</v>
      </c>
      <c r="D8">
        <v>59070782</v>
      </c>
      <c r="E8">
        <v>1</v>
      </c>
      <c r="F8">
        <v>1</v>
      </c>
      <c r="G8">
        <v>1080</v>
      </c>
      <c r="H8">
        <v>2</v>
      </c>
      <c r="I8" t="s">
        <v>490</v>
      </c>
      <c r="J8" t="s">
        <v>491</v>
      </c>
      <c r="K8" t="s">
        <v>492</v>
      </c>
      <c r="L8">
        <v>1368</v>
      </c>
      <c r="N8">
        <v>1011</v>
      </c>
      <c r="O8" t="s">
        <v>488</v>
      </c>
      <c r="P8" t="s">
        <v>488</v>
      </c>
      <c r="Q8">
        <v>1</v>
      </c>
      <c r="X8">
        <v>0.22</v>
      </c>
      <c r="Y8">
        <v>0</v>
      </c>
      <c r="Z8">
        <v>0.35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23</v>
      </c>
      <c r="AG8">
        <v>0.24200000000000002</v>
      </c>
      <c r="AH8">
        <v>2</v>
      </c>
      <c r="AI8">
        <v>60255131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60255869</v>
      </c>
      <c r="C9">
        <v>60255128</v>
      </c>
      <c r="D9">
        <v>59041420</v>
      </c>
      <c r="E9">
        <v>1</v>
      </c>
      <c r="F9">
        <v>1</v>
      </c>
      <c r="G9">
        <v>1080</v>
      </c>
      <c r="H9">
        <v>3</v>
      </c>
      <c r="I9" t="s">
        <v>493</v>
      </c>
      <c r="J9" t="s">
        <v>494</v>
      </c>
      <c r="K9" t="s">
        <v>495</v>
      </c>
      <c r="L9">
        <v>1355</v>
      </c>
      <c r="N9">
        <v>1010</v>
      </c>
      <c r="O9" t="s">
        <v>96</v>
      </c>
      <c r="P9" t="s">
        <v>96</v>
      </c>
      <c r="Q9">
        <v>100</v>
      </c>
      <c r="X9">
        <v>2.7E-2</v>
      </c>
      <c r="Y9">
        <v>15.04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2.7E-2</v>
      </c>
      <c r="AH9">
        <v>2</v>
      </c>
      <c r="AI9">
        <v>60255132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60255870</v>
      </c>
      <c r="C10">
        <v>60255128</v>
      </c>
      <c r="D10">
        <v>59014572</v>
      </c>
      <c r="E10">
        <v>1080</v>
      </c>
      <c r="F10">
        <v>1</v>
      </c>
      <c r="G10">
        <v>1080</v>
      </c>
      <c r="H10">
        <v>3</v>
      </c>
      <c r="I10" t="s">
        <v>592</v>
      </c>
      <c r="J10" t="s">
        <v>3</v>
      </c>
      <c r="K10" t="s">
        <v>593</v>
      </c>
      <c r="L10">
        <v>1354</v>
      </c>
      <c r="N10">
        <v>1010</v>
      </c>
      <c r="O10" t="s">
        <v>31</v>
      </c>
      <c r="P10" t="s">
        <v>31</v>
      </c>
      <c r="Q10">
        <v>1</v>
      </c>
      <c r="X10">
        <v>1.02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3</v>
      </c>
      <c r="AG10">
        <v>1.02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ROW(Source!A69)</f>
        <v>69</v>
      </c>
      <c r="B11">
        <v>60256077</v>
      </c>
      <c r="C11">
        <v>60256076</v>
      </c>
      <c r="D11">
        <v>58999254</v>
      </c>
      <c r="E11">
        <v>1080</v>
      </c>
      <c r="F11">
        <v>1</v>
      </c>
      <c r="G11">
        <v>1080</v>
      </c>
      <c r="H11">
        <v>1</v>
      </c>
      <c r="I11" t="s">
        <v>482</v>
      </c>
      <c r="J11" t="s">
        <v>3</v>
      </c>
      <c r="K11" t="s">
        <v>483</v>
      </c>
      <c r="L11">
        <v>1191</v>
      </c>
      <c r="N11">
        <v>1013</v>
      </c>
      <c r="O11" t="s">
        <v>484</v>
      </c>
      <c r="P11" t="s">
        <v>484</v>
      </c>
      <c r="Q11">
        <v>1</v>
      </c>
      <c r="X11">
        <v>74.7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99</v>
      </c>
      <c r="AG11">
        <v>94.495500000000007</v>
      </c>
      <c r="AH11">
        <v>2</v>
      </c>
      <c r="AI11">
        <v>60256077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ROW(Source!A69)</f>
        <v>69</v>
      </c>
      <c r="B12">
        <v>60256078</v>
      </c>
      <c r="C12">
        <v>60256076</v>
      </c>
      <c r="D12">
        <v>59070669</v>
      </c>
      <c r="E12">
        <v>1</v>
      </c>
      <c r="F12">
        <v>1</v>
      </c>
      <c r="G12">
        <v>1080</v>
      </c>
      <c r="H12">
        <v>2</v>
      </c>
      <c r="I12" t="s">
        <v>485</v>
      </c>
      <c r="J12" t="s">
        <v>486</v>
      </c>
      <c r="K12" t="s">
        <v>487</v>
      </c>
      <c r="L12">
        <v>1368</v>
      </c>
      <c r="N12">
        <v>1011</v>
      </c>
      <c r="O12" t="s">
        <v>488</v>
      </c>
      <c r="P12" t="s">
        <v>488</v>
      </c>
      <c r="Q12">
        <v>1</v>
      </c>
      <c r="X12">
        <v>0.32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98</v>
      </c>
      <c r="AG12">
        <v>0.44000000000000006</v>
      </c>
      <c r="AH12">
        <v>2</v>
      </c>
      <c r="AI12">
        <v>60256078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ROW(Source!A69)</f>
        <v>69</v>
      </c>
      <c r="B13">
        <v>60256080</v>
      </c>
      <c r="C13">
        <v>60256076</v>
      </c>
      <c r="D13">
        <v>59070721</v>
      </c>
      <c r="E13">
        <v>1</v>
      </c>
      <c r="F13">
        <v>1</v>
      </c>
      <c r="G13">
        <v>1080</v>
      </c>
      <c r="H13">
        <v>2</v>
      </c>
      <c r="I13" t="s">
        <v>497</v>
      </c>
      <c r="J13" t="s">
        <v>498</v>
      </c>
      <c r="K13" t="s">
        <v>499</v>
      </c>
      <c r="L13">
        <v>1368</v>
      </c>
      <c r="N13">
        <v>1011</v>
      </c>
      <c r="O13" t="s">
        <v>488</v>
      </c>
      <c r="P13" t="s">
        <v>488</v>
      </c>
      <c r="Q13">
        <v>1</v>
      </c>
      <c r="X13">
        <v>1.24</v>
      </c>
      <c r="Y13">
        <v>0</v>
      </c>
      <c r="Z13">
        <v>0.77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98</v>
      </c>
      <c r="AG13">
        <v>1.7050000000000003</v>
      </c>
      <c r="AH13">
        <v>2</v>
      </c>
      <c r="AI13">
        <v>60256080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ROW(Source!A69)</f>
        <v>69</v>
      </c>
      <c r="B14">
        <v>60256081</v>
      </c>
      <c r="C14">
        <v>60256076</v>
      </c>
      <c r="D14">
        <v>59070754</v>
      </c>
      <c r="E14">
        <v>1</v>
      </c>
      <c r="F14">
        <v>1</v>
      </c>
      <c r="G14">
        <v>1080</v>
      </c>
      <c r="H14">
        <v>2</v>
      </c>
      <c r="I14" t="s">
        <v>500</v>
      </c>
      <c r="J14" t="s">
        <v>501</v>
      </c>
      <c r="K14" t="s">
        <v>502</v>
      </c>
      <c r="L14">
        <v>1368</v>
      </c>
      <c r="N14">
        <v>1011</v>
      </c>
      <c r="O14" t="s">
        <v>488</v>
      </c>
      <c r="P14" t="s">
        <v>488</v>
      </c>
      <c r="Q14">
        <v>1</v>
      </c>
      <c r="X14">
        <v>3.22</v>
      </c>
      <c r="Y14">
        <v>0</v>
      </c>
      <c r="Z14">
        <v>0.47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98</v>
      </c>
      <c r="AG14">
        <v>4.4275000000000011</v>
      </c>
      <c r="AH14">
        <v>2</v>
      </c>
      <c r="AI14">
        <v>60256081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ROW(Source!A69)</f>
        <v>69</v>
      </c>
      <c r="B15">
        <v>60256079</v>
      </c>
      <c r="C15">
        <v>60256076</v>
      </c>
      <c r="D15">
        <v>59069905</v>
      </c>
      <c r="E15">
        <v>1</v>
      </c>
      <c r="F15">
        <v>1</v>
      </c>
      <c r="G15">
        <v>1080</v>
      </c>
      <c r="H15">
        <v>2</v>
      </c>
      <c r="I15" t="s">
        <v>503</v>
      </c>
      <c r="J15" t="s">
        <v>504</v>
      </c>
      <c r="K15" t="s">
        <v>505</v>
      </c>
      <c r="L15">
        <v>1368</v>
      </c>
      <c r="N15">
        <v>1011</v>
      </c>
      <c r="O15" t="s">
        <v>488</v>
      </c>
      <c r="P15" t="s">
        <v>488</v>
      </c>
      <c r="Q15">
        <v>1</v>
      </c>
      <c r="X15">
        <v>0.37</v>
      </c>
      <c r="Y15">
        <v>0</v>
      </c>
      <c r="Z15">
        <v>179.17</v>
      </c>
      <c r="AA15">
        <v>16.93</v>
      </c>
      <c r="AB15">
        <v>0</v>
      </c>
      <c r="AC15">
        <v>0</v>
      </c>
      <c r="AD15">
        <v>1</v>
      </c>
      <c r="AE15">
        <v>0</v>
      </c>
      <c r="AF15" t="s">
        <v>98</v>
      </c>
      <c r="AG15">
        <v>0.50875000000000004</v>
      </c>
      <c r="AH15">
        <v>2</v>
      </c>
      <c r="AI15">
        <v>60256079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ROW(Source!A69)</f>
        <v>69</v>
      </c>
      <c r="B16">
        <v>60256082</v>
      </c>
      <c r="C16">
        <v>60256076</v>
      </c>
      <c r="D16">
        <v>59038905</v>
      </c>
      <c r="E16">
        <v>1</v>
      </c>
      <c r="F16">
        <v>1</v>
      </c>
      <c r="G16">
        <v>1080</v>
      </c>
      <c r="H16">
        <v>3</v>
      </c>
      <c r="I16" t="s">
        <v>506</v>
      </c>
      <c r="J16" t="s">
        <v>507</v>
      </c>
      <c r="K16" t="s">
        <v>508</v>
      </c>
      <c r="L16">
        <v>1339</v>
      </c>
      <c r="N16">
        <v>1007</v>
      </c>
      <c r="O16" t="s">
        <v>509</v>
      </c>
      <c r="P16" t="s">
        <v>509</v>
      </c>
      <c r="Q16">
        <v>1</v>
      </c>
      <c r="X16">
        <v>0.22700000000000001</v>
      </c>
      <c r="Y16">
        <v>7.07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3</v>
      </c>
      <c r="AG16">
        <v>0.22700000000000001</v>
      </c>
      <c r="AH16">
        <v>2</v>
      </c>
      <c r="AI16">
        <v>60256082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ROW(Source!A69)</f>
        <v>69</v>
      </c>
      <c r="B17">
        <v>60256083</v>
      </c>
      <c r="C17">
        <v>60256076</v>
      </c>
      <c r="D17">
        <v>59045898</v>
      </c>
      <c r="E17">
        <v>1</v>
      </c>
      <c r="F17">
        <v>1</v>
      </c>
      <c r="G17">
        <v>1080</v>
      </c>
      <c r="H17">
        <v>3</v>
      </c>
      <c r="I17" t="s">
        <v>510</v>
      </c>
      <c r="J17" t="s">
        <v>511</v>
      </c>
      <c r="K17" t="s">
        <v>512</v>
      </c>
      <c r="L17">
        <v>1355</v>
      </c>
      <c r="N17">
        <v>1010</v>
      </c>
      <c r="O17" t="s">
        <v>96</v>
      </c>
      <c r="P17" t="s">
        <v>96</v>
      </c>
      <c r="Q17">
        <v>100</v>
      </c>
      <c r="X17">
        <v>4.04</v>
      </c>
      <c r="Y17">
        <v>154.72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4.04</v>
      </c>
      <c r="AH17">
        <v>2</v>
      </c>
      <c r="AI17">
        <v>60256083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ROW(Source!A69)</f>
        <v>69</v>
      </c>
      <c r="B18">
        <v>60256084</v>
      </c>
      <c r="C18">
        <v>60256076</v>
      </c>
      <c r="D18">
        <v>59056195</v>
      </c>
      <c r="E18">
        <v>1</v>
      </c>
      <c r="F18">
        <v>1</v>
      </c>
      <c r="G18">
        <v>1080</v>
      </c>
      <c r="H18">
        <v>3</v>
      </c>
      <c r="I18" t="s">
        <v>513</v>
      </c>
      <c r="J18" t="s">
        <v>514</v>
      </c>
      <c r="K18" t="s">
        <v>515</v>
      </c>
      <c r="L18">
        <v>1354</v>
      </c>
      <c r="N18">
        <v>1010</v>
      </c>
      <c r="O18" t="s">
        <v>31</v>
      </c>
      <c r="P18" t="s">
        <v>31</v>
      </c>
      <c r="Q18">
        <v>1</v>
      </c>
      <c r="X18">
        <v>200</v>
      </c>
      <c r="Y18">
        <v>7.24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200</v>
      </c>
      <c r="AH18">
        <v>2</v>
      </c>
      <c r="AI18">
        <v>60256084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ROW(Source!A69)</f>
        <v>69</v>
      </c>
      <c r="B19">
        <v>60256085</v>
      </c>
      <c r="C19">
        <v>60256076</v>
      </c>
      <c r="D19">
        <v>59049377</v>
      </c>
      <c r="E19">
        <v>1</v>
      </c>
      <c r="F19">
        <v>1</v>
      </c>
      <c r="G19">
        <v>1080</v>
      </c>
      <c r="H19">
        <v>3</v>
      </c>
      <c r="I19" t="s">
        <v>516</v>
      </c>
      <c r="J19" t="s">
        <v>517</v>
      </c>
      <c r="K19" t="s">
        <v>518</v>
      </c>
      <c r="L19">
        <v>1354</v>
      </c>
      <c r="N19">
        <v>1010</v>
      </c>
      <c r="O19" t="s">
        <v>31</v>
      </c>
      <c r="P19" t="s">
        <v>31</v>
      </c>
      <c r="Q19">
        <v>1</v>
      </c>
      <c r="X19">
        <v>0.68400000000000005</v>
      </c>
      <c r="Y19">
        <v>6.12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0.68400000000000005</v>
      </c>
      <c r="AH19">
        <v>2</v>
      </c>
      <c r="AI19">
        <v>60256085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ROW(Source!A69)</f>
        <v>69</v>
      </c>
      <c r="B20">
        <v>60256086</v>
      </c>
      <c r="C20">
        <v>60256076</v>
      </c>
      <c r="D20">
        <v>59023217</v>
      </c>
      <c r="E20">
        <v>1080</v>
      </c>
      <c r="F20">
        <v>1</v>
      </c>
      <c r="G20">
        <v>1080</v>
      </c>
      <c r="H20">
        <v>3</v>
      </c>
      <c r="I20" t="s">
        <v>594</v>
      </c>
      <c r="J20" t="s">
        <v>3</v>
      </c>
      <c r="K20" t="s">
        <v>595</v>
      </c>
      <c r="L20">
        <v>1354</v>
      </c>
      <c r="N20">
        <v>1010</v>
      </c>
      <c r="O20" t="s">
        <v>31</v>
      </c>
      <c r="P20" t="s">
        <v>31</v>
      </c>
      <c r="Q20">
        <v>1</v>
      </c>
      <c r="X20">
        <v>100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</v>
      </c>
      <c r="AG20">
        <v>100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ROW(Source!A69)</f>
        <v>69</v>
      </c>
      <c r="B21">
        <v>60256087</v>
      </c>
      <c r="C21">
        <v>60256076</v>
      </c>
      <c r="D21">
        <v>59004259</v>
      </c>
      <c r="E21">
        <v>1080</v>
      </c>
      <c r="F21">
        <v>1</v>
      </c>
      <c r="G21">
        <v>1080</v>
      </c>
      <c r="H21">
        <v>3</v>
      </c>
      <c r="I21" t="s">
        <v>519</v>
      </c>
      <c r="J21" t="s">
        <v>3</v>
      </c>
      <c r="K21" t="s">
        <v>520</v>
      </c>
      <c r="L21">
        <v>1344</v>
      </c>
      <c r="N21">
        <v>1008</v>
      </c>
      <c r="O21" t="s">
        <v>521</v>
      </c>
      <c r="P21" t="s">
        <v>521</v>
      </c>
      <c r="Q21">
        <v>1</v>
      </c>
      <c r="X21">
        <v>0.04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0.04</v>
      </c>
      <c r="AH21">
        <v>2</v>
      </c>
      <c r="AI21">
        <v>60256087</v>
      </c>
      <c r="AJ21">
        <v>18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ROW(Source!A70)</f>
        <v>70</v>
      </c>
      <c r="B22">
        <v>60256077</v>
      </c>
      <c r="C22">
        <v>60256076</v>
      </c>
      <c r="D22">
        <v>58999254</v>
      </c>
      <c r="E22">
        <v>1080</v>
      </c>
      <c r="F22">
        <v>1</v>
      </c>
      <c r="G22">
        <v>1080</v>
      </c>
      <c r="H22">
        <v>1</v>
      </c>
      <c r="I22" t="s">
        <v>482</v>
      </c>
      <c r="J22" t="s">
        <v>3</v>
      </c>
      <c r="K22" t="s">
        <v>483</v>
      </c>
      <c r="L22">
        <v>1191</v>
      </c>
      <c r="N22">
        <v>1013</v>
      </c>
      <c r="O22" t="s">
        <v>484</v>
      </c>
      <c r="P22" t="s">
        <v>484</v>
      </c>
      <c r="Q22">
        <v>1</v>
      </c>
      <c r="X22">
        <v>74.7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99</v>
      </c>
      <c r="AG22">
        <v>94.495500000000007</v>
      </c>
      <c r="AH22">
        <v>2</v>
      </c>
      <c r="AI22">
        <v>60256077</v>
      </c>
      <c r="AJ22">
        <v>19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ROW(Source!A70)</f>
        <v>70</v>
      </c>
      <c r="B23">
        <v>60256078</v>
      </c>
      <c r="C23">
        <v>60256076</v>
      </c>
      <c r="D23">
        <v>59070669</v>
      </c>
      <c r="E23">
        <v>1</v>
      </c>
      <c r="F23">
        <v>1</v>
      </c>
      <c r="G23">
        <v>1080</v>
      </c>
      <c r="H23">
        <v>2</v>
      </c>
      <c r="I23" t="s">
        <v>485</v>
      </c>
      <c r="J23" t="s">
        <v>486</v>
      </c>
      <c r="K23" t="s">
        <v>487</v>
      </c>
      <c r="L23">
        <v>1368</v>
      </c>
      <c r="N23">
        <v>1011</v>
      </c>
      <c r="O23" t="s">
        <v>488</v>
      </c>
      <c r="P23" t="s">
        <v>488</v>
      </c>
      <c r="Q23">
        <v>1</v>
      </c>
      <c r="X23">
        <v>0.32</v>
      </c>
      <c r="Y23">
        <v>0</v>
      </c>
      <c r="Z23">
        <v>83.1</v>
      </c>
      <c r="AA23">
        <v>12.62</v>
      </c>
      <c r="AB23">
        <v>0</v>
      </c>
      <c r="AC23">
        <v>0</v>
      </c>
      <c r="AD23">
        <v>1</v>
      </c>
      <c r="AE23">
        <v>0</v>
      </c>
      <c r="AF23" t="s">
        <v>98</v>
      </c>
      <c r="AG23">
        <v>0.44000000000000006</v>
      </c>
      <c r="AH23">
        <v>2</v>
      </c>
      <c r="AI23">
        <v>60256078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ROW(Source!A70)</f>
        <v>70</v>
      </c>
      <c r="B24">
        <v>60256080</v>
      </c>
      <c r="C24">
        <v>60256076</v>
      </c>
      <c r="D24">
        <v>59070721</v>
      </c>
      <c r="E24">
        <v>1</v>
      </c>
      <c r="F24">
        <v>1</v>
      </c>
      <c r="G24">
        <v>1080</v>
      </c>
      <c r="H24">
        <v>2</v>
      </c>
      <c r="I24" t="s">
        <v>497</v>
      </c>
      <c r="J24" t="s">
        <v>498</v>
      </c>
      <c r="K24" t="s">
        <v>499</v>
      </c>
      <c r="L24">
        <v>1368</v>
      </c>
      <c r="N24">
        <v>1011</v>
      </c>
      <c r="O24" t="s">
        <v>488</v>
      </c>
      <c r="P24" t="s">
        <v>488</v>
      </c>
      <c r="Q24">
        <v>1</v>
      </c>
      <c r="X24">
        <v>1.24</v>
      </c>
      <c r="Y24">
        <v>0</v>
      </c>
      <c r="Z24">
        <v>0.77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98</v>
      </c>
      <c r="AG24">
        <v>1.7050000000000003</v>
      </c>
      <c r="AH24">
        <v>2</v>
      </c>
      <c r="AI24">
        <v>60256080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ROW(Source!A70)</f>
        <v>70</v>
      </c>
      <c r="B25">
        <v>60256081</v>
      </c>
      <c r="C25">
        <v>60256076</v>
      </c>
      <c r="D25">
        <v>59070754</v>
      </c>
      <c r="E25">
        <v>1</v>
      </c>
      <c r="F25">
        <v>1</v>
      </c>
      <c r="G25">
        <v>1080</v>
      </c>
      <c r="H25">
        <v>2</v>
      </c>
      <c r="I25" t="s">
        <v>500</v>
      </c>
      <c r="J25" t="s">
        <v>501</v>
      </c>
      <c r="K25" t="s">
        <v>502</v>
      </c>
      <c r="L25">
        <v>1368</v>
      </c>
      <c r="N25">
        <v>1011</v>
      </c>
      <c r="O25" t="s">
        <v>488</v>
      </c>
      <c r="P25" t="s">
        <v>488</v>
      </c>
      <c r="Q25">
        <v>1</v>
      </c>
      <c r="X25">
        <v>3.22</v>
      </c>
      <c r="Y25">
        <v>0</v>
      </c>
      <c r="Z25">
        <v>0.47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98</v>
      </c>
      <c r="AG25">
        <v>4.4275000000000011</v>
      </c>
      <c r="AH25">
        <v>2</v>
      </c>
      <c r="AI25">
        <v>60256081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ROW(Source!A70)</f>
        <v>70</v>
      </c>
      <c r="B26">
        <v>60256079</v>
      </c>
      <c r="C26">
        <v>60256076</v>
      </c>
      <c r="D26">
        <v>59069905</v>
      </c>
      <c r="E26">
        <v>1</v>
      </c>
      <c r="F26">
        <v>1</v>
      </c>
      <c r="G26">
        <v>1080</v>
      </c>
      <c r="H26">
        <v>2</v>
      </c>
      <c r="I26" t="s">
        <v>503</v>
      </c>
      <c r="J26" t="s">
        <v>504</v>
      </c>
      <c r="K26" t="s">
        <v>505</v>
      </c>
      <c r="L26">
        <v>1368</v>
      </c>
      <c r="N26">
        <v>1011</v>
      </c>
      <c r="O26" t="s">
        <v>488</v>
      </c>
      <c r="P26" t="s">
        <v>488</v>
      </c>
      <c r="Q26">
        <v>1</v>
      </c>
      <c r="X26">
        <v>0.37</v>
      </c>
      <c r="Y26">
        <v>0</v>
      </c>
      <c r="Z26">
        <v>179.17</v>
      </c>
      <c r="AA26">
        <v>16.93</v>
      </c>
      <c r="AB26">
        <v>0</v>
      </c>
      <c r="AC26">
        <v>0</v>
      </c>
      <c r="AD26">
        <v>1</v>
      </c>
      <c r="AE26">
        <v>0</v>
      </c>
      <c r="AF26" t="s">
        <v>98</v>
      </c>
      <c r="AG26">
        <v>0.50875000000000004</v>
      </c>
      <c r="AH26">
        <v>2</v>
      </c>
      <c r="AI26">
        <v>60256079</v>
      </c>
      <c r="AJ26">
        <v>23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ROW(Source!A70)</f>
        <v>70</v>
      </c>
      <c r="B27">
        <v>60256082</v>
      </c>
      <c r="C27">
        <v>60256076</v>
      </c>
      <c r="D27">
        <v>59038905</v>
      </c>
      <c r="E27">
        <v>1</v>
      </c>
      <c r="F27">
        <v>1</v>
      </c>
      <c r="G27">
        <v>1080</v>
      </c>
      <c r="H27">
        <v>3</v>
      </c>
      <c r="I27" t="s">
        <v>506</v>
      </c>
      <c r="J27" t="s">
        <v>507</v>
      </c>
      <c r="K27" t="s">
        <v>508</v>
      </c>
      <c r="L27">
        <v>1339</v>
      </c>
      <c r="N27">
        <v>1007</v>
      </c>
      <c r="O27" t="s">
        <v>509</v>
      </c>
      <c r="P27" t="s">
        <v>509</v>
      </c>
      <c r="Q27">
        <v>1</v>
      </c>
      <c r="X27">
        <v>0.22700000000000001</v>
      </c>
      <c r="Y27">
        <v>7.07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</v>
      </c>
      <c r="AG27">
        <v>0.22700000000000001</v>
      </c>
      <c r="AH27">
        <v>2</v>
      </c>
      <c r="AI27">
        <v>60256082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ROW(Source!A70)</f>
        <v>70</v>
      </c>
      <c r="B28">
        <v>60256083</v>
      </c>
      <c r="C28">
        <v>60256076</v>
      </c>
      <c r="D28">
        <v>59045898</v>
      </c>
      <c r="E28">
        <v>1</v>
      </c>
      <c r="F28">
        <v>1</v>
      </c>
      <c r="G28">
        <v>1080</v>
      </c>
      <c r="H28">
        <v>3</v>
      </c>
      <c r="I28" t="s">
        <v>510</v>
      </c>
      <c r="J28" t="s">
        <v>511</v>
      </c>
      <c r="K28" t="s">
        <v>512</v>
      </c>
      <c r="L28">
        <v>1355</v>
      </c>
      <c r="N28">
        <v>1010</v>
      </c>
      <c r="O28" t="s">
        <v>96</v>
      </c>
      <c r="P28" t="s">
        <v>96</v>
      </c>
      <c r="Q28">
        <v>100</v>
      </c>
      <c r="X28">
        <v>4.04</v>
      </c>
      <c r="Y28">
        <v>154.72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4.04</v>
      </c>
      <c r="AH28">
        <v>2</v>
      </c>
      <c r="AI28">
        <v>60256083</v>
      </c>
      <c r="AJ28">
        <v>25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ROW(Source!A70)</f>
        <v>70</v>
      </c>
      <c r="B29">
        <v>60256084</v>
      </c>
      <c r="C29">
        <v>60256076</v>
      </c>
      <c r="D29">
        <v>59056195</v>
      </c>
      <c r="E29">
        <v>1</v>
      </c>
      <c r="F29">
        <v>1</v>
      </c>
      <c r="G29">
        <v>1080</v>
      </c>
      <c r="H29">
        <v>3</v>
      </c>
      <c r="I29" t="s">
        <v>513</v>
      </c>
      <c r="J29" t="s">
        <v>514</v>
      </c>
      <c r="K29" t="s">
        <v>515</v>
      </c>
      <c r="L29">
        <v>1354</v>
      </c>
      <c r="N29">
        <v>1010</v>
      </c>
      <c r="O29" t="s">
        <v>31</v>
      </c>
      <c r="P29" t="s">
        <v>31</v>
      </c>
      <c r="Q29">
        <v>1</v>
      </c>
      <c r="X29">
        <v>200</v>
      </c>
      <c r="Y29">
        <v>7.24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200</v>
      </c>
      <c r="AH29">
        <v>2</v>
      </c>
      <c r="AI29">
        <v>60256084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ROW(Source!A70)</f>
        <v>70</v>
      </c>
      <c r="B30">
        <v>60256085</v>
      </c>
      <c r="C30">
        <v>60256076</v>
      </c>
      <c r="D30">
        <v>59049377</v>
      </c>
      <c r="E30">
        <v>1</v>
      </c>
      <c r="F30">
        <v>1</v>
      </c>
      <c r="G30">
        <v>1080</v>
      </c>
      <c r="H30">
        <v>3</v>
      </c>
      <c r="I30" t="s">
        <v>516</v>
      </c>
      <c r="J30" t="s">
        <v>517</v>
      </c>
      <c r="K30" t="s">
        <v>518</v>
      </c>
      <c r="L30">
        <v>1354</v>
      </c>
      <c r="N30">
        <v>1010</v>
      </c>
      <c r="O30" t="s">
        <v>31</v>
      </c>
      <c r="P30" t="s">
        <v>31</v>
      </c>
      <c r="Q30">
        <v>1</v>
      </c>
      <c r="X30">
        <v>0.68400000000000005</v>
      </c>
      <c r="Y30">
        <v>6.12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0.68400000000000005</v>
      </c>
      <c r="AH30">
        <v>2</v>
      </c>
      <c r="AI30">
        <v>60256085</v>
      </c>
      <c r="AJ30">
        <v>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ROW(Source!A70)</f>
        <v>70</v>
      </c>
      <c r="B31">
        <v>60256086</v>
      </c>
      <c r="C31">
        <v>60256076</v>
      </c>
      <c r="D31">
        <v>59023217</v>
      </c>
      <c r="E31">
        <v>1080</v>
      </c>
      <c r="F31">
        <v>1</v>
      </c>
      <c r="G31">
        <v>1080</v>
      </c>
      <c r="H31">
        <v>3</v>
      </c>
      <c r="I31" t="s">
        <v>594</v>
      </c>
      <c r="J31" t="s">
        <v>3</v>
      </c>
      <c r="K31" t="s">
        <v>595</v>
      </c>
      <c r="L31">
        <v>1354</v>
      </c>
      <c r="N31">
        <v>1010</v>
      </c>
      <c r="O31" t="s">
        <v>31</v>
      </c>
      <c r="P31" t="s">
        <v>31</v>
      </c>
      <c r="Q31">
        <v>1</v>
      </c>
      <c r="X31">
        <v>100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</v>
      </c>
      <c r="AG31">
        <v>100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ROW(Source!A70)</f>
        <v>70</v>
      </c>
      <c r="B32">
        <v>60256087</v>
      </c>
      <c r="C32">
        <v>60256076</v>
      </c>
      <c r="D32">
        <v>59004259</v>
      </c>
      <c r="E32">
        <v>1080</v>
      </c>
      <c r="F32">
        <v>1</v>
      </c>
      <c r="G32">
        <v>1080</v>
      </c>
      <c r="H32">
        <v>3</v>
      </c>
      <c r="I32" t="s">
        <v>519</v>
      </c>
      <c r="J32" t="s">
        <v>3</v>
      </c>
      <c r="K32" t="s">
        <v>520</v>
      </c>
      <c r="L32">
        <v>1344</v>
      </c>
      <c r="N32">
        <v>1008</v>
      </c>
      <c r="O32" t="s">
        <v>521</v>
      </c>
      <c r="P32" t="s">
        <v>521</v>
      </c>
      <c r="Q32">
        <v>1</v>
      </c>
      <c r="X32">
        <v>0.04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0.04</v>
      </c>
      <c r="AH32">
        <v>2</v>
      </c>
      <c r="AI32">
        <v>60256087</v>
      </c>
      <c r="AJ32">
        <v>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ROW(Source!A83)</f>
        <v>83</v>
      </c>
      <c r="B33">
        <v>60256100</v>
      </c>
      <c r="C33">
        <v>60256089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482</v>
      </c>
      <c r="J33" t="s">
        <v>3</v>
      </c>
      <c r="K33" t="s">
        <v>483</v>
      </c>
      <c r="L33">
        <v>1191</v>
      </c>
      <c r="N33">
        <v>1013</v>
      </c>
      <c r="O33" t="s">
        <v>484</v>
      </c>
      <c r="P33" t="s">
        <v>484</v>
      </c>
      <c r="Q33">
        <v>1</v>
      </c>
      <c r="X33">
        <v>74.7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99</v>
      </c>
      <c r="AG33">
        <v>94.495500000000007</v>
      </c>
      <c r="AH33">
        <v>2</v>
      </c>
      <c r="AI33">
        <v>60256090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ROW(Source!A83)</f>
        <v>83</v>
      </c>
      <c r="B34">
        <v>60256101</v>
      </c>
      <c r="C34">
        <v>60256089</v>
      </c>
      <c r="D34">
        <v>59070669</v>
      </c>
      <c r="E34">
        <v>1</v>
      </c>
      <c r="F34">
        <v>1</v>
      </c>
      <c r="G34">
        <v>1080</v>
      </c>
      <c r="H34">
        <v>2</v>
      </c>
      <c r="I34" t="s">
        <v>485</v>
      </c>
      <c r="J34" t="s">
        <v>486</v>
      </c>
      <c r="K34" t="s">
        <v>487</v>
      </c>
      <c r="L34">
        <v>1368</v>
      </c>
      <c r="N34">
        <v>1011</v>
      </c>
      <c r="O34" t="s">
        <v>488</v>
      </c>
      <c r="P34" t="s">
        <v>488</v>
      </c>
      <c r="Q34">
        <v>1</v>
      </c>
      <c r="X34">
        <v>0.32</v>
      </c>
      <c r="Y34">
        <v>0</v>
      </c>
      <c r="Z34">
        <v>83.1</v>
      </c>
      <c r="AA34">
        <v>12.62</v>
      </c>
      <c r="AB34">
        <v>0</v>
      </c>
      <c r="AC34">
        <v>0</v>
      </c>
      <c r="AD34">
        <v>1</v>
      </c>
      <c r="AE34">
        <v>0</v>
      </c>
      <c r="AF34" t="s">
        <v>98</v>
      </c>
      <c r="AG34">
        <v>0.44000000000000006</v>
      </c>
      <c r="AH34">
        <v>2</v>
      </c>
      <c r="AI34">
        <v>60256091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ROW(Source!A83)</f>
        <v>83</v>
      </c>
      <c r="B35">
        <v>60256103</v>
      </c>
      <c r="C35">
        <v>60256089</v>
      </c>
      <c r="D35">
        <v>59070721</v>
      </c>
      <c r="E35">
        <v>1</v>
      </c>
      <c r="F35">
        <v>1</v>
      </c>
      <c r="G35">
        <v>1080</v>
      </c>
      <c r="H35">
        <v>2</v>
      </c>
      <c r="I35" t="s">
        <v>497</v>
      </c>
      <c r="J35" t="s">
        <v>498</v>
      </c>
      <c r="K35" t="s">
        <v>499</v>
      </c>
      <c r="L35">
        <v>1368</v>
      </c>
      <c r="N35">
        <v>1011</v>
      </c>
      <c r="O35" t="s">
        <v>488</v>
      </c>
      <c r="P35" t="s">
        <v>488</v>
      </c>
      <c r="Q35">
        <v>1</v>
      </c>
      <c r="X35">
        <v>1.24</v>
      </c>
      <c r="Y35">
        <v>0</v>
      </c>
      <c r="Z35">
        <v>0.77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98</v>
      </c>
      <c r="AG35">
        <v>1.7050000000000003</v>
      </c>
      <c r="AH35">
        <v>2</v>
      </c>
      <c r="AI35">
        <v>60256093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ROW(Source!A83)</f>
        <v>83</v>
      </c>
      <c r="B36">
        <v>60256104</v>
      </c>
      <c r="C36">
        <v>60256089</v>
      </c>
      <c r="D36">
        <v>59070754</v>
      </c>
      <c r="E36">
        <v>1</v>
      </c>
      <c r="F36">
        <v>1</v>
      </c>
      <c r="G36">
        <v>1080</v>
      </c>
      <c r="H36">
        <v>2</v>
      </c>
      <c r="I36" t="s">
        <v>500</v>
      </c>
      <c r="J36" t="s">
        <v>501</v>
      </c>
      <c r="K36" t="s">
        <v>502</v>
      </c>
      <c r="L36">
        <v>1368</v>
      </c>
      <c r="N36">
        <v>1011</v>
      </c>
      <c r="O36" t="s">
        <v>488</v>
      </c>
      <c r="P36" t="s">
        <v>488</v>
      </c>
      <c r="Q36">
        <v>1</v>
      </c>
      <c r="X36">
        <v>3.22</v>
      </c>
      <c r="Y36">
        <v>0</v>
      </c>
      <c r="Z36">
        <v>0.47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98</v>
      </c>
      <c r="AG36">
        <v>4.4275000000000011</v>
      </c>
      <c r="AH36">
        <v>2</v>
      </c>
      <c r="AI36">
        <v>60256094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ROW(Source!A83)</f>
        <v>83</v>
      </c>
      <c r="B37">
        <v>60256102</v>
      </c>
      <c r="C37">
        <v>60256089</v>
      </c>
      <c r="D37">
        <v>59069905</v>
      </c>
      <c r="E37">
        <v>1</v>
      </c>
      <c r="F37">
        <v>1</v>
      </c>
      <c r="G37">
        <v>1080</v>
      </c>
      <c r="H37">
        <v>2</v>
      </c>
      <c r="I37" t="s">
        <v>503</v>
      </c>
      <c r="J37" t="s">
        <v>504</v>
      </c>
      <c r="K37" t="s">
        <v>505</v>
      </c>
      <c r="L37">
        <v>1368</v>
      </c>
      <c r="N37">
        <v>1011</v>
      </c>
      <c r="O37" t="s">
        <v>488</v>
      </c>
      <c r="P37" t="s">
        <v>488</v>
      </c>
      <c r="Q37">
        <v>1</v>
      </c>
      <c r="X37">
        <v>0.37</v>
      </c>
      <c r="Y37">
        <v>0</v>
      </c>
      <c r="Z37">
        <v>179.17</v>
      </c>
      <c r="AA37">
        <v>16.93</v>
      </c>
      <c r="AB37">
        <v>0</v>
      </c>
      <c r="AC37">
        <v>0</v>
      </c>
      <c r="AD37">
        <v>1</v>
      </c>
      <c r="AE37">
        <v>0</v>
      </c>
      <c r="AF37" t="s">
        <v>98</v>
      </c>
      <c r="AG37">
        <v>0.50875000000000004</v>
      </c>
      <c r="AH37">
        <v>2</v>
      </c>
      <c r="AI37">
        <v>60256092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ROW(Source!A83)</f>
        <v>83</v>
      </c>
      <c r="B38">
        <v>60256105</v>
      </c>
      <c r="C38">
        <v>60256089</v>
      </c>
      <c r="D38">
        <v>59038905</v>
      </c>
      <c r="E38">
        <v>1</v>
      </c>
      <c r="F38">
        <v>1</v>
      </c>
      <c r="G38">
        <v>1080</v>
      </c>
      <c r="H38">
        <v>3</v>
      </c>
      <c r="I38" t="s">
        <v>506</v>
      </c>
      <c r="J38" t="s">
        <v>507</v>
      </c>
      <c r="K38" t="s">
        <v>508</v>
      </c>
      <c r="L38">
        <v>1339</v>
      </c>
      <c r="N38">
        <v>1007</v>
      </c>
      <c r="O38" t="s">
        <v>509</v>
      </c>
      <c r="P38" t="s">
        <v>509</v>
      </c>
      <c r="Q38">
        <v>1</v>
      </c>
      <c r="X38">
        <v>0.22700000000000001</v>
      </c>
      <c r="Y38">
        <v>7.07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0.22700000000000001</v>
      </c>
      <c r="AH38">
        <v>2</v>
      </c>
      <c r="AI38">
        <v>60256095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ROW(Source!A83)</f>
        <v>83</v>
      </c>
      <c r="B39">
        <v>60256106</v>
      </c>
      <c r="C39">
        <v>60256089</v>
      </c>
      <c r="D39">
        <v>59045898</v>
      </c>
      <c r="E39">
        <v>1</v>
      </c>
      <c r="F39">
        <v>1</v>
      </c>
      <c r="G39">
        <v>1080</v>
      </c>
      <c r="H39">
        <v>3</v>
      </c>
      <c r="I39" t="s">
        <v>510</v>
      </c>
      <c r="J39" t="s">
        <v>511</v>
      </c>
      <c r="K39" t="s">
        <v>512</v>
      </c>
      <c r="L39">
        <v>1355</v>
      </c>
      <c r="N39">
        <v>1010</v>
      </c>
      <c r="O39" t="s">
        <v>96</v>
      </c>
      <c r="P39" t="s">
        <v>96</v>
      </c>
      <c r="Q39">
        <v>100</v>
      </c>
      <c r="X39">
        <v>4.04</v>
      </c>
      <c r="Y39">
        <v>154.72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4.04</v>
      </c>
      <c r="AH39">
        <v>2</v>
      </c>
      <c r="AI39">
        <v>60256096</v>
      </c>
      <c r="AJ39">
        <v>35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ROW(Source!A83)</f>
        <v>83</v>
      </c>
      <c r="B40">
        <v>60256107</v>
      </c>
      <c r="C40">
        <v>60256089</v>
      </c>
      <c r="D40">
        <v>59056195</v>
      </c>
      <c r="E40">
        <v>1</v>
      </c>
      <c r="F40">
        <v>1</v>
      </c>
      <c r="G40">
        <v>1080</v>
      </c>
      <c r="H40">
        <v>3</v>
      </c>
      <c r="I40" t="s">
        <v>513</v>
      </c>
      <c r="J40" t="s">
        <v>514</v>
      </c>
      <c r="K40" t="s">
        <v>515</v>
      </c>
      <c r="L40">
        <v>1354</v>
      </c>
      <c r="N40">
        <v>1010</v>
      </c>
      <c r="O40" t="s">
        <v>31</v>
      </c>
      <c r="P40" t="s">
        <v>31</v>
      </c>
      <c r="Q40">
        <v>1</v>
      </c>
      <c r="X40">
        <v>200</v>
      </c>
      <c r="Y40">
        <v>7.24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200</v>
      </c>
      <c r="AH40">
        <v>2</v>
      </c>
      <c r="AI40">
        <v>60256097</v>
      </c>
      <c r="AJ40">
        <v>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ROW(Source!A83)</f>
        <v>83</v>
      </c>
      <c r="B41">
        <v>60256108</v>
      </c>
      <c r="C41">
        <v>60256089</v>
      </c>
      <c r="D41">
        <v>59049377</v>
      </c>
      <c r="E41">
        <v>1</v>
      </c>
      <c r="F41">
        <v>1</v>
      </c>
      <c r="G41">
        <v>1080</v>
      </c>
      <c r="H41">
        <v>3</v>
      </c>
      <c r="I41" t="s">
        <v>516</v>
      </c>
      <c r="J41" t="s">
        <v>517</v>
      </c>
      <c r="K41" t="s">
        <v>518</v>
      </c>
      <c r="L41">
        <v>1354</v>
      </c>
      <c r="N41">
        <v>1010</v>
      </c>
      <c r="O41" t="s">
        <v>31</v>
      </c>
      <c r="P41" t="s">
        <v>31</v>
      </c>
      <c r="Q41">
        <v>1</v>
      </c>
      <c r="X41">
        <v>0.68400000000000005</v>
      </c>
      <c r="Y41">
        <v>6.12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</v>
      </c>
      <c r="AG41">
        <v>0.68400000000000005</v>
      </c>
      <c r="AH41">
        <v>2</v>
      </c>
      <c r="AI41">
        <v>60256098</v>
      </c>
      <c r="AJ41">
        <v>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ROW(Source!A83)</f>
        <v>83</v>
      </c>
      <c r="B42">
        <v>60256109</v>
      </c>
      <c r="C42">
        <v>60256089</v>
      </c>
      <c r="D42">
        <v>59023215</v>
      </c>
      <c r="E42">
        <v>1080</v>
      </c>
      <c r="F42">
        <v>1</v>
      </c>
      <c r="G42">
        <v>1080</v>
      </c>
      <c r="H42">
        <v>3</v>
      </c>
      <c r="I42" t="s">
        <v>594</v>
      </c>
      <c r="J42" t="s">
        <v>3</v>
      </c>
      <c r="K42" t="s">
        <v>595</v>
      </c>
      <c r="L42">
        <v>1354</v>
      </c>
      <c r="N42">
        <v>1010</v>
      </c>
      <c r="O42" t="s">
        <v>31</v>
      </c>
      <c r="P42" t="s">
        <v>31</v>
      </c>
      <c r="Q42">
        <v>1</v>
      </c>
      <c r="X42">
        <v>100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100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ROW(Source!A83)</f>
        <v>83</v>
      </c>
      <c r="B43">
        <v>60256110</v>
      </c>
      <c r="C43">
        <v>60256089</v>
      </c>
      <c r="D43">
        <v>59004259</v>
      </c>
      <c r="E43">
        <v>1080</v>
      </c>
      <c r="F43">
        <v>1</v>
      </c>
      <c r="G43">
        <v>1080</v>
      </c>
      <c r="H43">
        <v>3</v>
      </c>
      <c r="I43" t="s">
        <v>519</v>
      </c>
      <c r="J43" t="s">
        <v>3</v>
      </c>
      <c r="K43" t="s">
        <v>520</v>
      </c>
      <c r="L43">
        <v>1344</v>
      </c>
      <c r="N43">
        <v>1008</v>
      </c>
      <c r="O43" t="s">
        <v>521</v>
      </c>
      <c r="P43" t="s">
        <v>521</v>
      </c>
      <c r="Q43">
        <v>1</v>
      </c>
      <c r="X43">
        <v>0.04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</v>
      </c>
      <c r="AG43">
        <v>0.04</v>
      </c>
      <c r="AH43">
        <v>2</v>
      </c>
      <c r="AI43">
        <v>60256099</v>
      </c>
      <c r="AJ43">
        <v>38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ROW(Source!A84)</f>
        <v>84</v>
      </c>
      <c r="B44">
        <v>60256100</v>
      </c>
      <c r="C44">
        <v>60256089</v>
      </c>
      <c r="D44">
        <v>58999254</v>
      </c>
      <c r="E44">
        <v>1080</v>
      </c>
      <c r="F44">
        <v>1</v>
      </c>
      <c r="G44">
        <v>1080</v>
      </c>
      <c r="H44">
        <v>1</v>
      </c>
      <c r="I44" t="s">
        <v>482</v>
      </c>
      <c r="J44" t="s">
        <v>3</v>
      </c>
      <c r="K44" t="s">
        <v>483</v>
      </c>
      <c r="L44">
        <v>1191</v>
      </c>
      <c r="N44">
        <v>1013</v>
      </c>
      <c r="O44" t="s">
        <v>484</v>
      </c>
      <c r="P44" t="s">
        <v>484</v>
      </c>
      <c r="Q44">
        <v>1</v>
      </c>
      <c r="X44">
        <v>74.7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 t="s">
        <v>99</v>
      </c>
      <c r="AG44">
        <v>94.495500000000007</v>
      </c>
      <c r="AH44">
        <v>2</v>
      </c>
      <c r="AI44">
        <v>60256090</v>
      </c>
      <c r="AJ44">
        <v>39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ROW(Source!A84)</f>
        <v>84</v>
      </c>
      <c r="B45">
        <v>60256101</v>
      </c>
      <c r="C45">
        <v>60256089</v>
      </c>
      <c r="D45">
        <v>59070669</v>
      </c>
      <c r="E45">
        <v>1</v>
      </c>
      <c r="F45">
        <v>1</v>
      </c>
      <c r="G45">
        <v>1080</v>
      </c>
      <c r="H45">
        <v>2</v>
      </c>
      <c r="I45" t="s">
        <v>485</v>
      </c>
      <c r="J45" t="s">
        <v>486</v>
      </c>
      <c r="K45" t="s">
        <v>487</v>
      </c>
      <c r="L45">
        <v>1368</v>
      </c>
      <c r="N45">
        <v>1011</v>
      </c>
      <c r="O45" t="s">
        <v>488</v>
      </c>
      <c r="P45" t="s">
        <v>488</v>
      </c>
      <c r="Q45">
        <v>1</v>
      </c>
      <c r="X45">
        <v>0.32</v>
      </c>
      <c r="Y45">
        <v>0</v>
      </c>
      <c r="Z45">
        <v>83.1</v>
      </c>
      <c r="AA45">
        <v>12.62</v>
      </c>
      <c r="AB45">
        <v>0</v>
      </c>
      <c r="AC45">
        <v>0</v>
      </c>
      <c r="AD45">
        <v>1</v>
      </c>
      <c r="AE45">
        <v>0</v>
      </c>
      <c r="AF45" t="s">
        <v>98</v>
      </c>
      <c r="AG45">
        <v>0.44000000000000006</v>
      </c>
      <c r="AH45">
        <v>2</v>
      </c>
      <c r="AI45">
        <v>60256091</v>
      </c>
      <c r="AJ45">
        <v>40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ROW(Source!A84)</f>
        <v>84</v>
      </c>
      <c r="B46">
        <v>60256103</v>
      </c>
      <c r="C46">
        <v>60256089</v>
      </c>
      <c r="D46">
        <v>59070721</v>
      </c>
      <c r="E46">
        <v>1</v>
      </c>
      <c r="F46">
        <v>1</v>
      </c>
      <c r="G46">
        <v>1080</v>
      </c>
      <c r="H46">
        <v>2</v>
      </c>
      <c r="I46" t="s">
        <v>497</v>
      </c>
      <c r="J46" t="s">
        <v>498</v>
      </c>
      <c r="K46" t="s">
        <v>499</v>
      </c>
      <c r="L46">
        <v>1368</v>
      </c>
      <c r="N46">
        <v>1011</v>
      </c>
      <c r="O46" t="s">
        <v>488</v>
      </c>
      <c r="P46" t="s">
        <v>488</v>
      </c>
      <c r="Q46">
        <v>1</v>
      </c>
      <c r="X46">
        <v>1.24</v>
      </c>
      <c r="Y46">
        <v>0</v>
      </c>
      <c r="Z46">
        <v>0.77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98</v>
      </c>
      <c r="AG46">
        <v>1.7050000000000003</v>
      </c>
      <c r="AH46">
        <v>2</v>
      </c>
      <c r="AI46">
        <v>60256093</v>
      </c>
      <c r="AJ46">
        <v>41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ROW(Source!A84)</f>
        <v>84</v>
      </c>
      <c r="B47">
        <v>60256104</v>
      </c>
      <c r="C47">
        <v>60256089</v>
      </c>
      <c r="D47">
        <v>59070754</v>
      </c>
      <c r="E47">
        <v>1</v>
      </c>
      <c r="F47">
        <v>1</v>
      </c>
      <c r="G47">
        <v>1080</v>
      </c>
      <c r="H47">
        <v>2</v>
      </c>
      <c r="I47" t="s">
        <v>500</v>
      </c>
      <c r="J47" t="s">
        <v>501</v>
      </c>
      <c r="K47" t="s">
        <v>502</v>
      </c>
      <c r="L47">
        <v>1368</v>
      </c>
      <c r="N47">
        <v>1011</v>
      </c>
      <c r="O47" t="s">
        <v>488</v>
      </c>
      <c r="P47" t="s">
        <v>488</v>
      </c>
      <c r="Q47">
        <v>1</v>
      </c>
      <c r="X47">
        <v>3.22</v>
      </c>
      <c r="Y47">
        <v>0</v>
      </c>
      <c r="Z47">
        <v>0.47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98</v>
      </c>
      <c r="AG47">
        <v>4.4275000000000011</v>
      </c>
      <c r="AH47">
        <v>2</v>
      </c>
      <c r="AI47">
        <v>60256094</v>
      </c>
      <c r="AJ47">
        <v>42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ROW(Source!A84)</f>
        <v>84</v>
      </c>
      <c r="B48">
        <v>60256102</v>
      </c>
      <c r="C48">
        <v>60256089</v>
      </c>
      <c r="D48">
        <v>59069905</v>
      </c>
      <c r="E48">
        <v>1</v>
      </c>
      <c r="F48">
        <v>1</v>
      </c>
      <c r="G48">
        <v>1080</v>
      </c>
      <c r="H48">
        <v>2</v>
      </c>
      <c r="I48" t="s">
        <v>503</v>
      </c>
      <c r="J48" t="s">
        <v>504</v>
      </c>
      <c r="K48" t="s">
        <v>505</v>
      </c>
      <c r="L48">
        <v>1368</v>
      </c>
      <c r="N48">
        <v>1011</v>
      </c>
      <c r="O48" t="s">
        <v>488</v>
      </c>
      <c r="P48" t="s">
        <v>488</v>
      </c>
      <c r="Q48">
        <v>1</v>
      </c>
      <c r="X48">
        <v>0.37</v>
      </c>
      <c r="Y48">
        <v>0</v>
      </c>
      <c r="Z48">
        <v>179.17</v>
      </c>
      <c r="AA48">
        <v>16.93</v>
      </c>
      <c r="AB48">
        <v>0</v>
      </c>
      <c r="AC48">
        <v>0</v>
      </c>
      <c r="AD48">
        <v>1</v>
      </c>
      <c r="AE48">
        <v>0</v>
      </c>
      <c r="AF48" t="s">
        <v>98</v>
      </c>
      <c r="AG48">
        <v>0.50875000000000004</v>
      </c>
      <c r="AH48">
        <v>2</v>
      </c>
      <c r="AI48">
        <v>60256092</v>
      </c>
      <c r="AJ48">
        <v>43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ROW(Source!A84)</f>
        <v>84</v>
      </c>
      <c r="B49">
        <v>60256105</v>
      </c>
      <c r="C49">
        <v>60256089</v>
      </c>
      <c r="D49">
        <v>59038905</v>
      </c>
      <c r="E49">
        <v>1</v>
      </c>
      <c r="F49">
        <v>1</v>
      </c>
      <c r="G49">
        <v>1080</v>
      </c>
      <c r="H49">
        <v>3</v>
      </c>
      <c r="I49" t="s">
        <v>506</v>
      </c>
      <c r="J49" t="s">
        <v>507</v>
      </c>
      <c r="K49" t="s">
        <v>508</v>
      </c>
      <c r="L49">
        <v>1339</v>
      </c>
      <c r="N49">
        <v>1007</v>
      </c>
      <c r="O49" t="s">
        <v>509</v>
      </c>
      <c r="P49" t="s">
        <v>509</v>
      </c>
      <c r="Q49">
        <v>1</v>
      </c>
      <c r="X49">
        <v>0.22700000000000001</v>
      </c>
      <c r="Y49">
        <v>7.07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0.22700000000000001</v>
      </c>
      <c r="AH49">
        <v>2</v>
      </c>
      <c r="AI49">
        <v>60256095</v>
      </c>
      <c r="AJ49">
        <v>44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ROW(Source!A84)</f>
        <v>84</v>
      </c>
      <c r="B50">
        <v>60256106</v>
      </c>
      <c r="C50">
        <v>60256089</v>
      </c>
      <c r="D50">
        <v>59045898</v>
      </c>
      <c r="E50">
        <v>1</v>
      </c>
      <c r="F50">
        <v>1</v>
      </c>
      <c r="G50">
        <v>1080</v>
      </c>
      <c r="H50">
        <v>3</v>
      </c>
      <c r="I50" t="s">
        <v>510</v>
      </c>
      <c r="J50" t="s">
        <v>511</v>
      </c>
      <c r="K50" t="s">
        <v>512</v>
      </c>
      <c r="L50">
        <v>1355</v>
      </c>
      <c r="N50">
        <v>1010</v>
      </c>
      <c r="O50" t="s">
        <v>96</v>
      </c>
      <c r="P50" t="s">
        <v>96</v>
      </c>
      <c r="Q50">
        <v>100</v>
      </c>
      <c r="X50">
        <v>4.04</v>
      </c>
      <c r="Y50">
        <v>154.72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4.04</v>
      </c>
      <c r="AH50">
        <v>2</v>
      </c>
      <c r="AI50">
        <v>60256096</v>
      </c>
      <c r="AJ50">
        <v>45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ROW(Source!A84)</f>
        <v>84</v>
      </c>
      <c r="B51">
        <v>60256107</v>
      </c>
      <c r="C51">
        <v>60256089</v>
      </c>
      <c r="D51">
        <v>59056195</v>
      </c>
      <c r="E51">
        <v>1</v>
      </c>
      <c r="F51">
        <v>1</v>
      </c>
      <c r="G51">
        <v>1080</v>
      </c>
      <c r="H51">
        <v>3</v>
      </c>
      <c r="I51" t="s">
        <v>513</v>
      </c>
      <c r="J51" t="s">
        <v>514</v>
      </c>
      <c r="K51" t="s">
        <v>515</v>
      </c>
      <c r="L51">
        <v>1354</v>
      </c>
      <c r="N51">
        <v>1010</v>
      </c>
      <c r="O51" t="s">
        <v>31</v>
      </c>
      <c r="P51" t="s">
        <v>31</v>
      </c>
      <c r="Q51">
        <v>1</v>
      </c>
      <c r="X51">
        <v>200</v>
      </c>
      <c r="Y51">
        <v>7.24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200</v>
      </c>
      <c r="AH51">
        <v>2</v>
      </c>
      <c r="AI51">
        <v>60256097</v>
      </c>
      <c r="AJ51">
        <v>46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ROW(Source!A84)</f>
        <v>84</v>
      </c>
      <c r="B52">
        <v>60256108</v>
      </c>
      <c r="C52">
        <v>60256089</v>
      </c>
      <c r="D52">
        <v>59049377</v>
      </c>
      <c r="E52">
        <v>1</v>
      </c>
      <c r="F52">
        <v>1</v>
      </c>
      <c r="G52">
        <v>1080</v>
      </c>
      <c r="H52">
        <v>3</v>
      </c>
      <c r="I52" t="s">
        <v>516</v>
      </c>
      <c r="J52" t="s">
        <v>517</v>
      </c>
      <c r="K52" t="s">
        <v>518</v>
      </c>
      <c r="L52">
        <v>1354</v>
      </c>
      <c r="N52">
        <v>1010</v>
      </c>
      <c r="O52" t="s">
        <v>31</v>
      </c>
      <c r="P52" t="s">
        <v>31</v>
      </c>
      <c r="Q52">
        <v>1</v>
      </c>
      <c r="X52">
        <v>0.68400000000000005</v>
      </c>
      <c r="Y52">
        <v>6.12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0.68400000000000005</v>
      </c>
      <c r="AH52">
        <v>2</v>
      </c>
      <c r="AI52">
        <v>60256098</v>
      </c>
      <c r="AJ52">
        <v>47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ROW(Source!A84)</f>
        <v>84</v>
      </c>
      <c r="B53">
        <v>60256109</v>
      </c>
      <c r="C53">
        <v>60256089</v>
      </c>
      <c r="D53">
        <v>59023215</v>
      </c>
      <c r="E53">
        <v>1080</v>
      </c>
      <c r="F53">
        <v>1</v>
      </c>
      <c r="G53">
        <v>1080</v>
      </c>
      <c r="H53">
        <v>3</v>
      </c>
      <c r="I53" t="s">
        <v>594</v>
      </c>
      <c r="J53" t="s">
        <v>3</v>
      </c>
      <c r="K53" t="s">
        <v>595</v>
      </c>
      <c r="L53">
        <v>1354</v>
      </c>
      <c r="N53">
        <v>1010</v>
      </c>
      <c r="O53" t="s">
        <v>31</v>
      </c>
      <c r="P53" t="s">
        <v>31</v>
      </c>
      <c r="Q53">
        <v>1</v>
      </c>
      <c r="X53">
        <v>100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</v>
      </c>
      <c r="AG53">
        <v>100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ROW(Source!A84)</f>
        <v>84</v>
      </c>
      <c r="B54">
        <v>60256110</v>
      </c>
      <c r="C54">
        <v>60256089</v>
      </c>
      <c r="D54">
        <v>59004259</v>
      </c>
      <c r="E54">
        <v>1080</v>
      </c>
      <c r="F54">
        <v>1</v>
      </c>
      <c r="G54">
        <v>1080</v>
      </c>
      <c r="H54">
        <v>3</v>
      </c>
      <c r="I54" t="s">
        <v>519</v>
      </c>
      <c r="J54" t="s">
        <v>3</v>
      </c>
      <c r="K54" t="s">
        <v>520</v>
      </c>
      <c r="L54">
        <v>1344</v>
      </c>
      <c r="N54">
        <v>1008</v>
      </c>
      <c r="O54" t="s">
        <v>521</v>
      </c>
      <c r="P54" t="s">
        <v>521</v>
      </c>
      <c r="Q54">
        <v>1</v>
      </c>
      <c r="X54">
        <v>0.04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3</v>
      </c>
      <c r="AG54">
        <v>0.04</v>
      </c>
      <c r="AH54">
        <v>2</v>
      </c>
      <c r="AI54">
        <v>60256099</v>
      </c>
      <c r="AJ54">
        <v>48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ROW(Source!A97)</f>
        <v>97</v>
      </c>
      <c r="B55">
        <v>60256122</v>
      </c>
      <c r="C55">
        <v>60256111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482</v>
      </c>
      <c r="J55" t="s">
        <v>3</v>
      </c>
      <c r="K55" t="s">
        <v>483</v>
      </c>
      <c r="L55">
        <v>1191</v>
      </c>
      <c r="N55">
        <v>1013</v>
      </c>
      <c r="O55" t="s">
        <v>484</v>
      </c>
      <c r="P55" t="s">
        <v>484</v>
      </c>
      <c r="Q55">
        <v>1</v>
      </c>
      <c r="X55">
        <v>74.7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99</v>
      </c>
      <c r="AG55">
        <v>94.495500000000007</v>
      </c>
      <c r="AH55">
        <v>2</v>
      </c>
      <c r="AI55">
        <v>60256112</v>
      </c>
      <c r="AJ55">
        <v>49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ROW(Source!A97)</f>
        <v>97</v>
      </c>
      <c r="B56">
        <v>60256123</v>
      </c>
      <c r="C56">
        <v>60256111</v>
      </c>
      <c r="D56">
        <v>59070669</v>
      </c>
      <c r="E56">
        <v>1</v>
      </c>
      <c r="F56">
        <v>1</v>
      </c>
      <c r="G56">
        <v>1080</v>
      </c>
      <c r="H56">
        <v>2</v>
      </c>
      <c r="I56" t="s">
        <v>485</v>
      </c>
      <c r="J56" t="s">
        <v>486</v>
      </c>
      <c r="K56" t="s">
        <v>487</v>
      </c>
      <c r="L56">
        <v>1368</v>
      </c>
      <c r="N56">
        <v>1011</v>
      </c>
      <c r="O56" t="s">
        <v>488</v>
      </c>
      <c r="P56" t="s">
        <v>488</v>
      </c>
      <c r="Q56">
        <v>1</v>
      </c>
      <c r="X56">
        <v>0.32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98</v>
      </c>
      <c r="AG56">
        <v>0.44000000000000006</v>
      </c>
      <c r="AH56">
        <v>2</v>
      </c>
      <c r="AI56">
        <v>60256113</v>
      </c>
      <c r="AJ56">
        <v>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ROW(Source!A97)</f>
        <v>97</v>
      </c>
      <c r="B57">
        <v>60256125</v>
      </c>
      <c r="C57">
        <v>60256111</v>
      </c>
      <c r="D57">
        <v>59070721</v>
      </c>
      <c r="E57">
        <v>1</v>
      </c>
      <c r="F57">
        <v>1</v>
      </c>
      <c r="G57">
        <v>1080</v>
      </c>
      <c r="H57">
        <v>2</v>
      </c>
      <c r="I57" t="s">
        <v>497</v>
      </c>
      <c r="J57" t="s">
        <v>498</v>
      </c>
      <c r="K57" t="s">
        <v>499</v>
      </c>
      <c r="L57">
        <v>1368</v>
      </c>
      <c r="N57">
        <v>1011</v>
      </c>
      <c r="O57" t="s">
        <v>488</v>
      </c>
      <c r="P57" t="s">
        <v>488</v>
      </c>
      <c r="Q57">
        <v>1</v>
      </c>
      <c r="X57">
        <v>1.24</v>
      </c>
      <c r="Y57">
        <v>0</v>
      </c>
      <c r="Z57">
        <v>0.77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98</v>
      </c>
      <c r="AG57">
        <v>1.7050000000000003</v>
      </c>
      <c r="AH57">
        <v>2</v>
      </c>
      <c r="AI57">
        <v>60256115</v>
      </c>
      <c r="AJ57">
        <v>51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ROW(Source!A97)</f>
        <v>97</v>
      </c>
      <c r="B58">
        <v>60256126</v>
      </c>
      <c r="C58">
        <v>60256111</v>
      </c>
      <c r="D58">
        <v>59070754</v>
      </c>
      <c r="E58">
        <v>1</v>
      </c>
      <c r="F58">
        <v>1</v>
      </c>
      <c r="G58">
        <v>1080</v>
      </c>
      <c r="H58">
        <v>2</v>
      </c>
      <c r="I58" t="s">
        <v>500</v>
      </c>
      <c r="J58" t="s">
        <v>501</v>
      </c>
      <c r="K58" t="s">
        <v>502</v>
      </c>
      <c r="L58">
        <v>1368</v>
      </c>
      <c r="N58">
        <v>1011</v>
      </c>
      <c r="O58" t="s">
        <v>488</v>
      </c>
      <c r="P58" t="s">
        <v>488</v>
      </c>
      <c r="Q58">
        <v>1</v>
      </c>
      <c r="X58">
        <v>3.22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98</v>
      </c>
      <c r="AG58">
        <v>4.4275000000000011</v>
      </c>
      <c r="AH58">
        <v>2</v>
      </c>
      <c r="AI58">
        <v>60256116</v>
      </c>
      <c r="AJ58">
        <v>52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ROW(Source!A97)</f>
        <v>97</v>
      </c>
      <c r="B59">
        <v>60256124</v>
      </c>
      <c r="C59">
        <v>60256111</v>
      </c>
      <c r="D59">
        <v>59069905</v>
      </c>
      <c r="E59">
        <v>1</v>
      </c>
      <c r="F59">
        <v>1</v>
      </c>
      <c r="G59">
        <v>1080</v>
      </c>
      <c r="H59">
        <v>2</v>
      </c>
      <c r="I59" t="s">
        <v>503</v>
      </c>
      <c r="J59" t="s">
        <v>504</v>
      </c>
      <c r="K59" t="s">
        <v>505</v>
      </c>
      <c r="L59">
        <v>1368</v>
      </c>
      <c r="N59">
        <v>1011</v>
      </c>
      <c r="O59" t="s">
        <v>488</v>
      </c>
      <c r="P59" t="s">
        <v>488</v>
      </c>
      <c r="Q59">
        <v>1</v>
      </c>
      <c r="X59">
        <v>0.37</v>
      </c>
      <c r="Y59">
        <v>0</v>
      </c>
      <c r="Z59">
        <v>179.17</v>
      </c>
      <c r="AA59">
        <v>16.93</v>
      </c>
      <c r="AB59">
        <v>0</v>
      </c>
      <c r="AC59">
        <v>0</v>
      </c>
      <c r="AD59">
        <v>1</v>
      </c>
      <c r="AE59">
        <v>0</v>
      </c>
      <c r="AF59" t="s">
        <v>98</v>
      </c>
      <c r="AG59">
        <v>0.50875000000000004</v>
      </c>
      <c r="AH59">
        <v>2</v>
      </c>
      <c r="AI59">
        <v>60256114</v>
      </c>
      <c r="AJ59">
        <v>53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ROW(Source!A97)</f>
        <v>97</v>
      </c>
      <c r="B60">
        <v>60256127</v>
      </c>
      <c r="C60">
        <v>60256111</v>
      </c>
      <c r="D60">
        <v>59038905</v>
      </c>
      <c r="E60">
        <v>1</v>
      </c>
      <c r="F60">
        <v>1</v>
      </c>
      <c r="G60">
        <v>1080</v>
      </c>
      <c r="H60">
        <v>3</v>
      </c>
      <c r="I60" t="s">
        <v>506</v>
      </c>
      <c r="J60" t="s">
        <v>507</v>
      </c>
      <c r="K60" t="s">
        <v>508</v>
      </c>
      <c r="L60">
        <v>1339</v>
      </c>
      <c r="N60">
        <v>1007</v>
      </c>
      <c r="O60" t="s">
        <v>509</v>
      </c>
      <c r="P60" t="s">
        <v>509</v>
      </c>
      <c r="Q60">
        <v>1</v>
      </c>
      <c r="X60">
        <v>0.22700000000000001</v>
      </c>
      <c r="Y60">
        <v>7.07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3</v>
      </c>
      <c r="AG60">
        <v>0.22700000000000001</v>
      </c>
      <c r="AH60">
        <v>2</v>
      </c>
      <c r="AI60">
        <v>60256117</v>
      </c>
      <c r="AJ60">
        <v>54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ROW(Source!A97)</f>
        <v>97</v>
      </c>
      <c r="B61">
        <v>60256128</v>
      </c>
      <c r="C61">
        <v>60256111</v>
      </c>
      <c r="D61">
        <v>59045898</v>
      </c>
      <c r="E61">
        <v>1</v>
      </c>
      <c r="F61">
        <v>1</v>
      </c>
      <c r="G61">
        <v>1080</v>
      </c>
      <c r="H61">
        <v>3</v>
      </c>
      <c r="I61" t="s">
        <v>510</v>
      </c>
      <c r="J61" t="s">
        <v>511</v>
      </c>
      <c r="K61" t="s">
        <v>512</v>
      </c>
      <c r="L61">
        <v>1355</v>
      </c>
      <c r="N61">
        <v>1010</v>
      </c>
      <c r="O61" t="s">
        <v>96</v>
      </c>
      <c r="P61" t="s">
        <v>96</v>
      </c>
      <c r="Q61">
        <v>100</v>
      </c>
      <c r="X61">
        <v>4.04</v>
      </c>
      <c r="Y61">
        <v>154.72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</v>
      </c>
      <c r="AG61">
        <v>4.04</v>
      </c>
      <c r="AH61">
        <v>2</v>
      </c>
      <c r="AI61">
        <v>60256118</v>
      </c>
      <c r="AJ61">
        <v>55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ROW(Source!A97)</f>
        <v>97</v>
      </c>
      <c r="B62">
        <v>60256129</v>
      </c>
      <c r="C62">
        <v>60256111</v>
      </c>
      <c r="D62">
        <v>59056195</v>
      </c>
      <c r="E62">
        <v>1</v>
      </c>
      <c r="F62">
        <v>1</v>
      </c>
      <c r="G62">
        <v>1080</v>
      </c>
      <c r="H62">
        <v>3</v>
      </c>
      <c r="I62" t="s">
        <v>513</v>
      </c>
      <c r="J62" t="s">
        <v>514</v>
      </c>
      <c r="K62" t="s">
        <v>515</v>
      </c>
      <c r="L62">
        <v>1354</v>
      </c>
      <c r="N62">
        <v>1010</v>
      </c>
      <c r="O62" t="s">
        <v>31</v>
      </c>
      <c r="P62" t="s">
        <v>31</v>
      </c>
      <c r="Q62">
        <v>1</v>
      </c>
      <c r="X62">
        <v>200</v>
      </c>
      <c r="Y62">
        <v>7.24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200</v>
      </c>
      <c r="AH62">
        <v>2</v>
      </c>
      <c r="AI62">
        <v>60256119</v>
      </c>
      <c r="AJ62">
        <v>56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ROW(Source!A97)</f>
        <v>97</v>
      </c>
      <c r="B63">
        <v>60256130</v>
      </c>
      <c r="C63">
        <v>60256111</v>
      </c>
      <c r="D63">
        <v>59049377</v>
      </c>
      <c r="E63">
        <v>1</v>
      </c>
      <c r="F63">
        <v>1</v>
      </c>
      <c r="G63">
        <v>1080</v>
      </c>
      <c r="H63">
        <v>3</v>
      </c>
      <c r="I63" t="s">
        <v>516</v>
      </c>
      <c r="J63" t="s">
        <v>517</v>
      </c>
      <c r="K63" t="s">
        <v>518</v>
      </c>
      <c r="L63">
        <v>1354</v>
      </c>
      <c r="N63">
        <v>1010</v>
      </c>
      <c r="O63" t="s">
        <v>31</v>
      </c>
      <c r="P63" t="s">
        <v>31</v>
      </c>
      <c r="Q63">
        <v>1</v>
      </c>
      <c r="X63">
        <v>0.68400000000000005</v>
      </c>
      <c r="Y63">
        <v>6.12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0.68400000000000005</v>
      </c>
      <c r="AH63">
        <v>2</v>
      </c>
      <c r="AI63">
        <v>60256120</v>
      </c>
      <c r="AJ63">
        <v>57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ROW(Source!A97)</f>
        <v>97</v>
      </c>
      <c r="B64">
        <v>60256131</v>
      </c>
      <c r="C64">
        <v>60256111</v>
      </c>
      <c r="D64">
        <v>59023215</v>
      </c>
      <c r="E64">
        <v>1080</v>
      </c>
      <c r="F64">
        <v>1</v>
      </c>
      <c r="G64">
        <v>1080</v>
      </c>
      <c r="H64">
        <v>3</v>
      </c>
      <c r="I64" t="s">
        <v>594</v>
      </c>
      <c r="J64" t="s">
        <v>3</v>
      </c>
      <c r="K64" t="s">
        <v>595</v>
      </c>
      <c r="L64">
        <v>1354</v>
      </c>
      <c r="N64">
        <v>1010</v>
      </c>
      <c r="O64" t="s">
        <v>31</v>
      </c>
      <c r="P64" t="s">
        <v>31</v>
      </c>
      <c r="Q64">
        <v>1</v>
      </c>
      <c r="X64">
        <v>100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100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ROW(Source!A97)</f>
        <v>97</v>
      </c>
      <c r="B65">
        <v>60256132</v>
      </c>
      <c r="C65">
        <v>60256111</v>
      </c>
      <c r="D65">
        <v>59004259</v>
      </c>
      <c r="E65">
        <v>1080</v>
      </c>
      <c r="F65">
        <v>1</v>
      </c>
      <c r="G65">
        <v>1080</v>
      </c>
      <c r="H65">
        <v>3</v>
      </c>
      <c r="I65" t="s">
        <v>519</v>
      </c>
      <c r="J65" t="s">
        <v>3</v>
      </c>
      <c r="K65" t="s">
        <v>520</v>
      </c>
      <c r="L65">
        <v>1344</v>
      </c>
      <c r="N65">
        <v>1008</v>
      </c>
      <c r="O65" t="s">
        <v>521</v>
      </c>
      <c r="P65" t="s">
        <v>521</v>
      </c>
      <c r="Q65">
        <v>1</v>
      </c>
      <c r="X65">
        <v>0.04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3</v>
      </c>
      <c r="AG65">
        <v>0.04</v>
      </c>
      <c r="AH65">
        <v>2</v>
      </c>
      <c r="AI65">
        <v>60256121</v>
      </c>
      <c r="AJ65">
        <v>58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ROW(Source!A98)</f>
        <v>98</v>
      </c>
      <c r="B66">
        <v>60256122</v>
      </c>
      <c r="C66">
        <v>60256111</v>
      </c>
      <c r="D66">
        <v>58999254</v>
      </c>
      <c r="E66">
        <v>1080</v>
      </c>
      <c r="F66">
        <v>1</v>
      </c>
      <c r="G66">
        <v>1080</v>
      </c>
      <c r="H66">
        <v>1</v>
      </c>
      <c r="I66" t="s">
        <v>482</v>
      </c>
      <c r="J66" t="s">
        <v>3</v>
      </c>
      <c r="K66" t="s">
        <v>483</v>
      </c>
      <c r="L66">
        <v>1191</v>
      </c>
      <c r="N66">
        <v>1013</v>
      </c>
      <c r="O66" t="s">
        <v>484</v>
      </c>
      <c r="P66" t="s">
        <v>484</v>
      </c>
      <c r="Q66">
        <v>1</v>
      </c>
      <c r="X66">
        <v>74.7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 t="s">
        <v>99</v>
      </c>
      <c r="AG66">
        <v>94.495500000000007</v>
      </c>
      <c r="AH66">
        <v>2</v>
      </c>
      <c r="AI66">
        <v>60256112</v>
      </c>
      <c r="AJ66">
        <v>59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ROW(Source!A98)</f>
        <v>98</v>
      </c>
      <c r="B67">
        <v>60256123</v>
      </c>
      <c r="C67">
        <v>60256111</v>
      </c>
      <c r="D67">
        <v>59070669</v>
      </c>
      <c r="E67">
        <v>1</v>
      </c>
      <c r="F67">
        <v>1</v>
      </c>
      <c r="G67">
        <v>1080</v>
      </c>
      <c r="H67">
        <v>2</v>
      </c>
      <c r="I67" t="s">
        <v>485</v>
      </c>
      <c r="J67" t="s">
        <v>486</v>
      </c>
      <c r="K67" t="s">
        <v>487</v>
      </c>
      <c r="L67">
        <v>1368</v>
      </c>
      <c r="N67">
        <v>1011</v>
      </c>
      <c r="O67" t="s">
        <v>488</v>
      </c>
      <c r="P67" t="s">
        <v>488</v>
      </c>
      <c r="Q67">
        <v>1</v>
      </c>
      <c r="X67">
        <v>0.32</v>
      </c>
      <c r="Y67">
        <v>0</v>
      </c>
      <c r="Z67">
        <v>83.1</v>
      </c>
      <c r="AA67">
        <v>12.62</v>
      </c>
      <c r="AB67">
        <v>0</v>
      </c>
      <c r="AC67">
        <v>0</v>
      </c>
      <c r="AD67">
        <v>1</v>
      </c>
      <c r="AE67">
        <v>0</v>
      </c>
      <c r="AF67" t="s">
        <v>98</v>
      </c>
      <c r="AG67">
        <v>0.44000000000000006</v>
      </c>
      <c r="AH67">
        <v>2</v>
      </c>
      <c r="AI67">
        <v>60256113</v>
      </c>
      <c r="AJ67">
        <v>60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ROW(Source!A98)</f>
        <v>98</v>
      </c>
      <c r="B68">
        <v>60256125</v>
      </c>
      <c r="C68">
        <v>60256111</v>
      </c>
      <c r="D68">
        <v>59070721</v>
      </c>
      <c r="E68">
        <v>1</v>
      </c>
      <c r="F68">
        <v>1</v>
      </c>
      <c r="G68">
        <v>1080</v>
      </c>
      <c r="H68">
        <v>2</v>
      </c>
      <c r="I68" t="s">
        <v>497</v>
      </c>
      <c r="J68" t="s">
        <v>498</v>
      </c>
      <c r="K68" t="s">
        <v>499</v>
      </c>
      <c r="L68">
        <v>1368</v>
      </c>
      <c r="N68">
        <v>1011</v>
      </c>
      <c r="O68" t="s">
        <v>488</v>
      </c>
      <c r="P68" t="s">
        <v>488</v>
      </c>
      <c r="Q68">
        <v>1</v>
      </c>
      <c r="X68">
        <v>1.24</v>
      </c>
      <c r="Y68">
        <v>0</v>
      </c>
      <c r="Z68">
        <v>0.77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98</v>
      </c>
      <c r="AG68">
        <v>1.7050000000000003</v>
      </c>
      <c r="AH68">
        <v>2</v>
      </c>
      <c r="AI68">
        <v>60256115</v>
      </c>
      <c r="AJ68">
        <v>61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ROW(Source!A98)</f>
        <v>98</v>
      </c>
      <c r="B69">
        <v>60256126</v>
      </c>
      <c r="C69">
        <v>60256111</v>
      </c>
      <c r="D69">
        <v>59070754</v>
      </c>
      <c r="E69">
        <v>1</v>
      </c>
      <c r="F69">
        <v>1</v>
      </c>
      <c r="G69">
        <v>1080</v>
      </c>
      <c r="H69">
        <v>2</v>
      </c>
      <c r="I69" t="s">
        <v>500</v>
      </c>
      <c r="J69" t="s">
        <v>501</v>
      </c>
      <c r="K69" t="s">
        <v>502</v>
      </c>
      <c r="L69">
        <v>1368</v>
      </c>
      <c r="N69">
        <v>1011</v>
      </c>
      <c r="O69" t="s">
        <v>488</v>
      </c>
      <c r="P69" t="s">
        <v>488</v>
      </c>
      <c r="Q69">
        <v>1</v>
      </c>
      <c r="X69">
        <v>3.22</v>
      </c>
      <c r="Y69">
        <v>0</v>
      </c>
      <c r="Z69">
        <v>0.47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98</v>
      </c>
      <c r="AG69">
        <v>4.4275000000000011</v>
      </c>
      <c r="AH69">
        <v>2</v>
      </c>
      <c r="AI69">
        <v>60256116</v>
      </c>
      <c r="AJ69">
        <v>62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ROW(Source!A98)</f>
        <v>98</v>
      </c>
      <c r="B70">
        <v>60256124</v>
      </c>
      <c r="C70">
        <v>60256111</v>
      </c>
      <c r="D70">
        <v>59069905</v>
      </c>
      <c r="E70">
        <v>1</v>
      </c>
      <c r="F70">
        <v>1</v>
      </c>
      <c r="G70">
        <v>1080</v>
      </c>
      <c r="H70">
        <v>2</v>
      </c>
      <c r="I70" t="s">
        <v>503</v>
      </c>
      <c r="J70" t="s">
        <v>504</v>
      </c>
      <c r="K70" t="s">
        <v>505</v>
      </c>
      <c r="L70">
        <v>1368</v>
      </c>
      <c r="N70">
        <v>1011</v>
      </c>
      <c r="O70" t="s">
        <v>488</v>
      </c>
      <c r="P70" t="s">
        <v>488</v>
      </c>
      <c r="Q70">
        <v>1</v>
      </c>
      <c r="X70">
        <v>0.37</v>
      </c>
      <c r="Y70">
        <v>0</v>
      </c>
      <c r="Z70">
        <v>179.17</v>
      </c>
      <c r="AA70">
        <v>16.93</v>
      </c>
      <c r="AB70">
        <v>0</v>
      </c>
      <c r="AC70">
        <v>0</v>
      </c>
      <c r="AD70">
        <v>1</v>
      </c>
      <c r="AE70">
        <v>0</v>
      </c>
      <c r="AF70" t="s">
        <v>98</v>
      </c>
      <c r="AG70">
        <v>0.50875000000000004</v>
      </c>
      <c r="AH70">
        <v>2</v>
      </c>
      <c r="AI70">
        <v>60256114</v>
      </c>
      <c r="AJ70">
        <v>63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ROW(Source!A98)</f>
        <v>98</v>
      </c>
      <c r="B71">
        <v>60256127</v>
      </c>
      <c r="C71">
        <v>60256111</v>
      </c>
      <c r="D71">
        <v>59038905</v>
      </c>
      <c r="E71">
        <v>1</v>
      </c>
      <c r="F71">
        <v>1</v>
      </c>
      <c r="G71">
        <v>1080</v>
      </c>
      <c r="H71">
        <v>3</v>
      </c>
      <c r="I71" t="s">
        <v>506</v>
      </c>
      <c r="J71" t="s">
        <v>507</v>
      </c>
      <c r="K71" t="s">
        <v>508</v>
      </c>
      <c r="L71">
        <v>1339</v>
      </c>
      <c r="N71">
        <v>1007</v>
      </c>
      <c r="O71" t="s">
        <v>509</v>
      </c>
      <c r="P71" t="s">
        <v>509</v>
      </c>
      <c r="Q71">
        <v>1</v>
      </c>
      <c r="X71">
        <v>0.22700000000000001</v>
      </c>
      <c r="Y71">
        <v>7.07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</v>
      </c>
      <c r="AG71">
        <v>0.22700000000000001</v>
      </c>
      <c r="AH71">
        <v>2</v>
      </c>
      <c r="AI71">
        <v>60256117</v>
      </c>
      <c r="AJ71">
        <v>64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ROW(Source!A98)</f>
        <v>98</v>
      </c>
      <c r="B72">
        <v>60256128</v>
      </c>
      <c r="C72">
        <v>60256111</v>
      </c>
      <c r="D72">
        <v>59045898</v>
      </c>
      <c r="E72">
        <v>1</v>
      </c>
      <c r="F72">
        <v>1</v>
      </c>
      <c r="G72">
        <v>1080</v>
      </c>
      <c r="H72">
        <v>3</v>
      </c>
      <c r="I72" t="s">
        <v>510</v>
      </c>
      <c r="J72" t="s">
        <v>511</v>
      </c>
      <c r="K72" t="s">
        <v>512</v>
      </c>
      <c r="L72">
        <v>1355</v>
      </c>
      <c r="N72">
        <v>1010</v>
      </c>
      <c r="O72" t="s">
        <v>96</v>
      </c>
      <c r="P72" t="s">
        <v>96</v>
      </c>
      <c r="Q72">
        <v>100</v>
      </c>
      <c r="X72">
        <v>4.04</v>
      </c>
      <c r="Y72">
        <v>154.72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3</v>
      </c>
      <c r="AG72">
        <v>4.04</v>
      </c>
      <c r="AH72">
        <v>2</v>
      </c>
      <c r="AI72">
        <v>60256118</v>
      </c>
      <c r="AJ72">
        <v>65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ROW(Source!A98)</f>
        <v>98</v>
      </c>
      <c r="B73">
        <v>60256129</v>
      </c>
      <c r="C73">
        <v>60256111</v>
      </c>
      <c r="D73">
        <v>59056195</v>
      </c>
      <c r="E73">
        <v>1</v>
      </c>
      <c r="F73">
        <v>1</v>
      </c>
      <c r="G73">
        <v>1080</v>
      </c>
      <c r="H73">
        <v>3</v>
      </c>
      <c r="I73" t="s">
        <v>513</v>
      </c>
      <c r="J73" t="s">
        <v>514</v>
      </c>
      <c r="K73" t="s">
        <v>515</v>
      </c>
      <c r="L73">
        <v>1354</v>
      </c>
      <c r="N73">
        <v>1010</v>
      </c>
      <c r="O73" t="s">
        <v>31</v>
      </c>
      <c r="P73" t="s">
        <v>31</v>
      </c>
      <c r="Q73">
        <v>1</v>
      </c>
      <c r="X73">
        <v>200</v>
      </c>
      <c r="Y73">
        <v>7.24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3</v>
      </c>
      <c r="AG73">
        <v>200</v>
      </c>
      <c r="AH73">
        <v>2</v>
      </c>
      <c r="AI73">
        <v>60256119</v>
      </c>
      <c r="AJ73">
        <v>66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ROW(Source!A98)</f>
        <v>98</v>
      </c>
      <c r="B74">
        <v>60256130</v>
      </c>
      <c r="C74">
        <v>60256111</v>
      </c>
      <c r="D74">
        <v>59049377</v>
      </c>
      <c r="E74">
        <v>1</v>
      </c>
      <c r="F74">
        <v>1</v>
      </c>
      <c r="G74">
        <v>1080</v>
      </c>
      <c r="H74">
        <v>3</v>
      </c>
      <c r="I74" t="s">
        <v>516</v>
      </c>
      <c r="J74" t="s">
        <v>517</v>
      </c>
      <c r="K74" t="s">
        <v>518</v>
      </c>
      <c r="L74">
        <v>1354</v>
      </c>
      <c r="N74">
        <v>1010</v>
      </c>
      <c r="O74" t="s">
        <v>31</v>
      </c>
      <c r="P74" t="s">
        <v>31</v>
      </c>
      <c r="Q74">
        <v>1</v>
      </c>
      <c r="X74">
        <v>0.68400000000000005</v>
      </c>
      <c r="Y74">
        <v>6.12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3</v>
      </c>
      <c r="AG74">
        <v>0.68400000000000005</v>
      </c>
      <c r="AH74">
        <v>2</v>
      </c>
      <c r="AI74">
        <v>60256120</v>
      </c>
      <c r="AJ74">
        <v>67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ROW(Source!A98)</f>
        <v>98</v>
      </c>
      <c r="B75">
        <v>60256131</v>
      </c>
      <c r="C75">
        <v>60256111</v>
      </c>
      <c r="D75">
        <v>59023215</v>
      </c>
      <c r="E75">
        <v>1080</v>
      </c>
      <c r="F75">
        <v>1</v>
      </c>
      <c r="G75">
        <v>1080</v>
      </c>
      <c r="H75">
        <v>3</v>
      </c>
      <c r="I75" t="s">
        <v>594</v>
      </c>
      <c r="J75" t="s">
        <v>3</v>
      </c>
      <c r="K75" t="s">
        <v>595</v>
      </c>
      <c r="L75">
        <v>1354</v>
      </c>
      <c r="N75">
        <v>1010</v>
      </c>
      <c r="O75" t="s">
        <v>31</v>
      </c>
      <c r="P75" t="s">
        <v>31</v>
      </c>
      <c r="Q75">
        <v>1</v>
      </c>
      <c r="X75">
        <v>100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3</v>
      </c>
      <c r="AG75">
        <v>100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ROW(Source!A98)</f>
        <v>98</v>
      </c>
      <c r="B76">
        <v>60256132</v>
      </c>
      <c r="C76">
        <v>60256111</v>
      </c>
      <c r="D76">
        <v>59004259</v>
      </c>
      <c r="E76">
        <v>1080</v>
      </c>
      <c r="F76">
        <v>1</v>
      </c>
      <c r="G76">
        <v>1080</v>
      </c>
      <c r="H76">
        <v>3</v>
      </c>
      <c r="I76" t="s">
        <v>519</v>
      </c>
      <c r="J76" t="s">
        <v>3</v>
      </c>
      <c r="K76" t="s">
        <v>520</v>
      </c>
      <c r="L76">
        <v>1344</v>
      </c>
      <c r="N76">
        <v>1008</v>
      </c>
      <c r="O76" t="s">
        <v>521</v>
      </c>
      <c r="P76" t="s">
        <v>521</v>
      </c>
      <c r="Q76">
        <v>1</v>
      </c>
      <c r="X76">
        <v>0.04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0.04</v>
      </c>
      <c r="AH76">
        <v>2</v>
      </c>
      <c r="AI76">
        <v>60256121</v>
      </c>
      <c r="AJ76">
        <v>68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ROW(Source!A107)</f>
        <v>107</v>
      </c>
      <c r="B77">
        <v>60256144</v>
      </c>
      <c r="C77">
        <v>60256133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482</v>
      </c>
      <c r="J77" t="s">
        <v>3</v>
      </c>
      <c r="K77" t="s">
        <v>483</v>
      </c>
      <c r="L77">
        <v>1191</v>
      </c>
      <c r="N77">
        <v>1013</v>
      </c>
      <c r="O77" t="s">
        <v>484</v>
      </c>
      <c r="P77" t="s">
        <v>484</v>
      </c>
      <c r="Q77">
        <v>1</v>
      </c>
      <c r="X77">
        <v>74.7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99</v>
      </c>
      <c r="AG77">
        <v>94.495500000000007</v>
      </c>
      <c r="AH77">
        <v>2</v>
      </c>
      <c r="AI77">
        <v>60256134</v>
      </c>
      <c r="AJ77">
        <v>69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ROW(Source!A107)</f>
        <v>107</v>
      </c>
      <c r="B78">
        <v>60256145</v>
      </c>
      <c r="C78">
        <v>60256133</v>
      </c>
      <c r="D78">
        <v>59070669</v>
      </c>
      <c r="E78">
        <v>1</v>
      </c>
      <c r="F78">
        <v>1</v>
      </c>
      <c r="G78">
        <v>1080</v>
      </c>
      <c r="H78">
        <v>2</v>
      </c>
      <c r="I78" t="s">
        <v>485</v>
      </c>
      <c r="J78" t="s">
        <v>486</v>
      </c>
      <c r="K78" t="s">
        <v>487</v>
      </c>
      <c r="L78">
        <v>1368</v>
      </c>
      <c r="N78">
        <v>1011</v>
      </c>
      <c r="O78" t="s">
        <v>488</v>
      </c>
      <c r="P78" t="s">
        <v>488</v>
      </c>
      <c r="Q78">
        <v>1</v>
      </c>
      <c r="X78">
        <v>0.32</v>
      </c>
      <c r="Y78">
        <v>0</v>
      </c>
      <c r="Z78">
        <v>83.1</v>
      </c>
      <c r="AA78">
        <v>12.62</v>
      </c>
      <c r="AB78">
        <v>0</v>
      </c>
      <c r="AC78">
        <v>0</v>
      </c>
      <c r="AD78">
        <v>1</v>
      </c>
      <c r="AE78">
        <v>0</v>
      </c>
      <c r="AF78" t="s">
        <v>98</v>
      </c>
      <c r="AG78">
        <v>0.44000000000000006</v>
      </c>
      <c r="AH78">
        <v>2</v>
      </c>
      <c r="AI78">
        <v>60256135</v>
      </c>
      <c r="AJ78">
        <v>70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ROW(Source!A107)</f>
        <v>107</v>
      </c>
      <c r="B79">
        <v>60256147</v>
      </c>
      <c r="C79">
        <v>60256133</v>
      </c>
      <c r="D79">
        <v>59070721</v>
      </c>
      <c r="E79">
        <v>1</v>
      </c>
      <c r="F79">
        <v>1</v>
      </c>
      <c r="G79">
        <v>1080</v>
      </c>
      <c r="H79">
        <v>2</v>
      </c>
      <c r="I79" t="s">
        <v>497</v>
      </c>
      <c r="J79" t="s">
        <v>498</v>
      </c>
      <c r="K79" t="s">
        <v>499</v>
      </c>
      <c r="L79">
        <v>1368</v>
      </c>
      <c r="N79">
        <v>1011</v>
      </c>
      <c r="O79" t="s">
        <v>488</v>
      </c>
      <c r="P79" t="s">
        <v>488</v>
      </c>
      <c r="Q79">
        <v>1</v>
      </c>
      <c r="X79">
        <v>1.24</v>
      </c>
      <c r="Y79">
        <v>0</v>
      </c>
      <c r="Z79">
        <v>0.77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98</v>
      </c>
      <c r="AG79">
        <v>1.7050000000000003</v>
      </c>
      <c r="AH79">
        <v>2</v>
      </c>
      <c r="AI79">
        <v>60256137</v>
      </c>
      <c r="AJ79">
        <v>71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ROW(Source!A107)</f>
        <v>107</v>
      </c>
      <c r="B80">
        <v>60256148</v>
      </c>
      <c r="C80">
        <v>60256133</v>
      </c>
      <c r="D80">
        <v>59070754</v>
      </c>
      <c r="E80">
        <v>1</v>
      </c>
      <c r="F80">
        <v>1</v>
      </c>
      <c r="G80">
        <v>1080</v>
      </c>
      <c r="H80">
        <v>2</v>
      </c>
      <c r="I80" t="s">
        <v>500</v>
      </c>
      <c r="J80" t="s">
        <v>501</v>
      </c>
      <c r="K80" t="s">
        <v>502</v>
      </c>
      <c r="L80">
        <v>1368</v>
      </c>
      <c r="N80">
        <v>1011</v>
      </c>
      <c r="O80" t="s">
        <v>488</v>
      </c>
      <c r="P80" t="s">
        <v>488</v>
      </c>
      <c r="Q80">
        <v>1</v>
      </c>
      <c r="X80">
        <v>3.22</v>
      </c>
      <c r="Y80">
        <v>0</v>
      </c>
      <c r="Z80">
        <v>0.47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98</v>
      </c>
      <c r="AG80">
        <v>4.4275000000000011</v>
      </c>
      <c r="AH80">
        <v>2</v>
      </c>
      <c r="AI80">
        <v>60256138</v>
      </c>
      <c r="AJ80">
        <v>72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ROW(Source!A107)</f>
        <v>107</v>
      </c>
      <c r="B81">
        <v>60256146</v>
      </c>
      <c r="C81">
        <v>60256133</v>
      </c>
      <c r="D81">
        <v>59069905</v>
      </c>
      <c r="E81">
        <v>1</v>
      </c>
      <c r="F81">
        <v>1</v>
      </c>
      <c r="G81">
        <v>1080</v>
      </c>
      <c r="H81">
        <v>2</v>
      </c>
      <c r="I81" t="s">
        <v>503</v>
      </c>
      <c r="J81" t="s">
        <v>504</v>
      </c>
      <c r="K81" t="s">
        <v>505</v>
      </c>
      <c r="L81">
        <v>1368</v>
      </c>
      <c r="N81">
        <v>1011</v>
      </c>
      <c r="O81" t="s">
        <v>488</v>
      </c>
      <c r="P81" t="s">
        <v>488</v>
      </c>
      <c r="Q81">
        <v>1</v>
      </c>
      <c r="X81">
        <v>0.37</v>
      </c>
      <c r="Y81">
        <v>0</v>
      </c>
      <c r="Z81">
        <v>179.17</v>
      </c>
      <c r="AA81">
        <v>16.93</v>
      </c>
      <c r="AB81">
        <v>0</v>
      </c>
      <c r="AC81">
        <v>0</v>
      </c>
      <c r="AD81">
        <v>1</v>
      </c>
      <c r="AE81">
        <v>0</v>
      </c>
      <c r="AF81" t="s">
        <v>98</v>
      </c>
      <c r="AG81">
        <v>0.50875000000000004</v>
      </c>
      <c r="AH81">
        <v>2</v>
      </c>
      <c r="AI81">
        <v>60256136</v>
      </c>
      <c r="AJ81">
        <v>73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ROW(Source!A107)</f>
        <v>107</v>
      </c>
      <c r="B82">
        <v>60256149</v>
      </c>
      <c r="C82">
        <v>60256133</v>
      </c>
      <c r="D82">
        <v>59038905</v>
      </c>
      <c r="E82">
        <v>1</v>
      </c>
      <c r="F82">
        <v>1</v>
      </c>
      <c r="G82">
        <v>1080</v>
      </c>
      <c r="H82">
        <v>3</v>
      </c>
      <c r="I82" t="s">
        <v>506</v>
      </c>
      <c r="J82" t="s">
        <v>507</v>
      </c>
      <c r="K82" t="s">
        <v>508</v>
      </c>
      <c r="L82">
        <v>1339</v>
      </c>
      <c r="N82">
        <v>1007</v>
      </c>
      <c r="O82" t="s">
        <v>509</v>
      </c>
      <c r="P82" t="s">
        <v>509</v>
      </c>
      <c r="Q82">
        <v>1</v>
      </c>
      <c r="X82">
        <v>0.22700000000000001</v>
      </c>
      <c r="Y82">
        <v>7.07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0.22700000000000001</v>
      </c>
      <c r="AH82">
        <v>2</v>
      </c>
      <c r="AI82">
        <v>60256139</v>
      </c>
      <c r="AJ82">
        <v>74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ROW(Source!A107)</f>
        <v>107</v>
      </c>
      <c r="B83">
        <v>60256150</v>
      </c>
      <c r="C83">
        <v>60256133</v>
      </c>
      <c r="D83">
        <v>59045898</v>
      </c>
      <c r="E83">
        <v>1</v>
      </c>
      <c r="F83">
        <v>1</v>
      </c>
      <c r="G83">
        <v>1080</v>
      </c>
      <c r="H83">
        <v>3</v>
      </c>
      <c r="I83" t="s">
        <v>510</v>
      </c>
      <c r="J83" t="s">
        <v>511</v>
      </c>
      <c r="K83" t="s">
        <v>512</v>
      </c>
      <c r="L83">
        <v>1355</v>
      </c>
      <c r="N83">
        <v>1010</v>
      </c>
      <c r="O83" t="s">
        <v>96</v>
      </c>
      <c r="P83" t="s">
        <v>96</v>
      </c>
      <c r="Q83">
        <v>100</v>
      </c>
      <c r="X83">
        <v>4.04</v>
      </c>
      <c r="Y83">
        <v>154.72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3</v>
      </c>
      <c r="AG83">
        <v>4.04</v>
      </c>
      <c r="AH83">
        <v>2</v>
      </c>
      <c r="AI83">
        <v>60256140</v>
      </c>
      <c r="AJ83">
        <v>75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ROW(Source!A107)</f>
        <v>107</v>
      </c>
      <c r="B84">
        <v>60256151</v>
      </c>
      <c r="C84">
        <v>60256133</v>
      </c>
      <c r="D84">
        <v>59056195</v>
      </c>
      <c r="E84">
        <v>1</v>
      </c>
      <c r="F84">
        <v>1</v>
      </c>
      <c r="G84">
        <v>1080</v>
      </c>
      <c r="H84">
        <v>3</v>
      </c>
      <c r="I84" t="s">
        <v>513</v>
      </c>
      <c r="J84" t="s">
        <v>514</v>
      </c>
      <c r="K84" t="s">
        <v>515</v>
      </c>
      <c r="L84">
        <v>1354</v>
      </c>
      <c r="N84">
        <v>1010</v>
      </c>
      <c r="O84" t="s">
        <v>31</v>
      </c>
      <c r="P84" t="s">
        <v>31</v>
      </c>
      <c r="Q84">
        <v>1</v>
      </c>
      <c r="X84">
        <v>200</v>
      </c>
      <c r="Y84">
        <v>7.24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3</v>
      </c>
      <c r="AG84">
        <v>200</v>
      </c>
      <c r="AH84">
        <v>2</v>
      </c>
      <c r="AI84">
        <v>60256141</v>
      </c>
      <c r="AJ84">
        <v>76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ROW(Source!A107)</f>
        <v>107</v>
      </c>
      <c r="B85">
        <v>60256152</v>
      </c>
      <c r="C85">
        <v>60256133</v>
      </c>
      <c r="D85">
        <v>59049377</v>
      </c>
      <c r="E85">
        <v>1</v>
      </c>
      <c r="F85">
        <v>1</v>
      </c>
      <c r="G85">
        <v>1080</v>
      </c>
      <c r="H85">
        <v>3</v>
      </c>
      <c r="I85" t="s">
        <v>516</v>
      </c>
      <c r="J85" t="s">
        <v>517</v>
      </c>
      <c r="K85" t="s">
        <v>518</v>
      </c>
      <c r="L85">
        <v>1354</v>
      </c>
      <c r="N85">
        <v>1010</v>
      </c>
      <c r="O85" t="s">
        <v>31</v>
      </c>
      <c r="P85" t="s">
        <v>31</v>
      </c>
      <c r="Q85">
        <v>1</v>
      </c>
      <c r="X85">
        <v>0.68400000000000005</v>
      </c>
      <c r="Y85">
        <v>6.12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</v>
      </c>
      <c r="AG85">
        <v>0.68400000000000005</v>
      </c>
      <c r="AH85">
        <v>2</v>
      </c>
      <c r="AI85">
        <v>60256142</v>
      </c>
      <c r="AJ85">
        <v>77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ROW(Source!A107)</f>
        <v>107</v>
      </c>
      <c r="B86">
        <v>60256153</v>
      </c>
      <c r="C86">
        <v>60256133</v>
      </c>
      <c r="D86">
        <v>59023215</v>
      </c>
      <c r="E86">
        <v>1080</v>
      </c>
      <c r="F86">
        <v>1</v>
      </c>
      <c r="G86">
        <v>1080</v>
      </c>
      <c r="H86">
        <v>3</v>
      </c>
      <c r="I86" t="s">
        <v>594</v>
      </c>
      <c r="J86" t="s">
        <v>3</v>
      </c>
      <c r="K86" t="s">
        <v>595</v>
      </c>
      <c r="L86">
        <v>1354</v>
      </c>
      <c r="N86">
        <v>1010</v>
      </c>
      <c r="O86" t="s">
        <v>31</v>
      </c>
      <c r="P86" t="s">
        <v>31</v>
      </c>
      <c r="Q86">
        <v>1</v>
      </c>
      <c r="X86">
        <v>100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3</v>
      </c>
      <c r="AG86">
        <v>100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ROW(Source!A107)</f>
        <v>107</v>
      </c>
      <c r="B87">
        <v>60256154</v>
      </c>
      <c r="C87">
        <v>60256133</v>
      </c>
      <c r="D87">
        <v>59004259</v>
      </c>
      <c r="E87">
        <v>1080</v>
      </c>
      <c r="F87">
        <v>1</v>
      </c>
      <c r="G87">
        <v>1080</v>
      </c>
      <c r="H87">
        <v>3</v>
      </c>
      <c r="I87" t="s">
        <v>519</v>
      </c>
      <c r="J87" t="s">
        <v>3</v>
      </c>
      <c r="K87" t="s">
        <v>520</v>
      </c>
      <c r="L87">
        <v>1344</v>
      </c>
      <c r="N87">
        <v>1008</v>
      </c>
      <c r="O87" t="s">
        <v>521</v>
      </c>
      <c r="P87" t="s">
        <v>521</v>
      </c>
      <c r="Q87">
        <v>1</v>
      </c>
      <c r="X87">
        <v>0.04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</v>
      </c>
      <c r="AG87">
        <v>0.04</v>
      </c>
      <c r="AH87">
        <v>2</v>
      </c>
      <c r="AI87">
        <v>60256143</v>
      </c>
      <c r="AJ87">
        <v>78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ROW(Source!A108)</f>
        <v>108</v>
      </c>
      <c r="B88">
        <v>60256144</v>
      </c>
      <c r="C88">
        <v>60256133</v>
      </c>
      <c r="D88">
        <v>58999254</v>
      </c>
      <c r="E88">
        <v>1080</v>
      </c>
      <c r="F88">
        <v>1</v>
      </c>
      <c r="G88">
        <v>1080</v>
      </c>
      <c r="H88">
        <v>1</v>
      </c>
      <c r="I88" t="s">
        <v>482</v>
      </c>
      <c r="J88" t="s">
        <v>3</v>
      </c>
      <c r="K88" t="s">
        <v>483</v>
      </c>
      <c r="L88">
        <v>1191</v>
      </c>
      <c r="N88">
        <v>1013</v>
      </c>
      <c r="O88" t="s">
        <v>484</v>
      </c>
      <c r="P88" t="s">
        <v>484</v>
      </c>
      <c r="Q88">
        <v>1</v>
      </c>
      <c r="X88">
        <v>74.7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99</v>
      </c>
      <c r="AG88">
        <v>94.495500000000007</v>
      </c>
      <c r="AH88">
        <v>2</v>
      </c>
      <c r="AI88">
        <v>60256134</v>
      </c>
      <c r="AJ88">
        <v>79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ROW(Source!A108)</f>
        <v>108</v>
      </c>
      <c r="B89">
        <v>60256145</v>
      </c>
      <c r="C89">
        <v>60256133</v>
      </c>
      <c r="D89">
        <v>59070669</v>
      </c>
      <c r="E89">
        <v>1</v>
      </c>
      <c r="F89">
        <v>1</v>
      </c>
      <c r="G89">
        <v>1080</v>
      </c>
      <c r="H89">
        <v>2</v>
      </c>
      <c r="I89" t="s">
        <v>485</v>
      </c>
      <c r="J89" t="s">
        <v>486</v>
      </c>
      <c r="K89" t="s">
        <v>487</v>
      </c>
      <c r="L89">
        <v>1368</v>
      </c>
      <c r="N89">
        <v>1011</v>
      </c>
      <c r="O89" t="s">
        <v>488</v>
      </c>
      <c r="P89" t="s">
        <v>488</v>
      </c>
      <c r="Q89">
        <v>1</v>
      </c>
      <c r="X89">
        <v>0.32</v>
      </c>
      <c r="Y89">
        <v>0</v>
      </c>
      <c r="Z89">
        <v>83.1</v>
      </c>
      <c r="AA89">
        <v>12.62</v>
      </c>
      <c r="AB89">
        <v>0</v>
      </c>
      <c r="AC89">
        <v>0</v>
      </c>
      <c r="AD89">
        <v>1</v>
      </c>
      <c r="AE89">
        <v>0</v>
      </c>
      <c r="AF89" t="s">
        <v>98</v>
      </c>
      <c r="AG89">
        <v>0.44000000000000006</v>
      </c>
      <c r="AH89">
        <v>2</v>
      </c>
      <c r="AI89">
        <v>60256135</v>
      </c>
      <c r="AJ89">
        <v>80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ROW(Source!A108)</f>
        <v>108</v>
      </c>
      <c r="B90">
        <v>60256147</v>
      </c>
      <c r="C90">
        <v>60256133</v>
      </c>
      <c r="D90">
        <v>59070721</v>
      </c>
      <c r="E90">
        <v>1</v>
      </c>
      <c r="F90">
        <v>1</v>
      </c>
      <c r="G90">
        <v>1080</v>
      </c>
      <c r="H90">
        <v>2</v>
      </c>
      <c r="I90" t="s">
        <v>497</v>
      </c>
      <c r="J90" t="s">
        <v>498</v>
      </c>
      <c r="K90" t="s">
        <v>499</v>
      </c>
      <c r="L90">
        <v>1368</v>
      </c>
      <c r="N90">
        <v>1011</v>
      </c>
      <c r="O90" t="s">
        <v>488</v>
      </c>
      <c r="P90" t="s">
        <v>488</v>
      </c>
      <c r="Q90">
        <v>1</v>
      </c>
      <c r="X90">
        <v>1.24</v>
      </c>
      <c r="Y90">
        <v>0</v>
      </c>
      <c r="Z90">
        <v>0.77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98</v>
      </c>
      <c r="AG90">
        <v>1.7050000000000003</v>
      </c>
      <c r="AH90">
        <v>2</v>
      </c>
      <c r="AI90">
        <v>60256137</v>
      </c>
      <c r="AJ90">
        <v>81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ROW(Source!A108)</f>
        <v>108</v>
      </c>
      <c r="B91">
        <v>60256148</v>
      </c>
      <c r="C91">
        <v>60256133</v>
      </c>
      <c r="D91">
        <v>59070754</v>
      </c>
      <c r="E91">
        <v>1</v>
      </c>
      <c r="F91">
        <v>1</v>
      </c>
      <c r="G91">
        <v>1080</v>
      </c>
      <c r="H91">
        <v>2</v>
      </c>
      <c r="I91" t="s">
        <v>500</v>
      </c>
      <c r="J91" t="s">
        <v>501</v>
      </c>
      <c r="K91" t="s">
        <v>502</v>
      </c>
      <c r="L91">
        <v>1368</v>
      </c>
      <c r="N91">
        <v>1011</v>
      </c>
      <c r="O91" t="s">
        <v>488</v>
      </c>
      <c r="P91" t="s">
        <v>488</v>
      </c>
      <c r="Q91">
        <v>1</v>
      </c>
      <c r="X91">
        <v>3.22</v>
      </c>
      <c r="Y91">
        <v>0</v>
      </c>
      <c r="Z91">
        <v>0.47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98</v>
      </c>
      <c r="AG91">
        <v>4.4275000000000011</v>
      </c>
      <c r="AH91">
        <v>2</v>
      </c>
      <c r="AI91">
        <v>60256138</v>
      </c>
      <c r="AJ91">
        <v>82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ROW(Source!A108)</f>
        <v>108</v>
      </c>
      <c r="B92">
        <v>60256146</v>
      </c>
      <c r="C92">
        <v>60256133</v>
      </c>
      <c r="D92">
        <v>59069905</v>
      </c>
      <c r="E92">
        <v>1</v>
      </c>
      <c r="F92">
        <v>1</v>
      </c>
      <c r="G92">
        <v>1080</v>
      </c>
      <c r="H92">
        <v>2</v>
      </c>
      <c r="I92" t="s">
        <v>503</v>
      </c>
      <c r="J92" t="s">
        <v>504</v>
      </c>
      <c r="K92" t="s">
        <v>505</v>
      </c>
      <c r="L92">
        <v>1368</v>
      </c>
      <c r="N92">
        <v>1011</v>
      </c>
      <c r="O92" t="s">
        <v>488</v>
      </c>
      <c r="P92" t="s">
        <v>488</v>
      </c>
      <c r="Q92">
        <v>1</v>
      </c>
      <c r="X92">
        <v>0.37</v>
      </c>
      <c r="Y92">
        <v>0</v>
      </c>
      <c r="Z92">
        <v>179.17</v>
      </c>
      <c r="AA92">
        <v>16.93</v>
      </c>
      <c r="AB92">
        <v>0</v>
      </c>
      <c r="AC92">
        <v>0</v>
      </c>
      <c r="AD92">
        <v>1</v>
      </c>
      <c r="AE92">
        <v>0</v>
      </c>
      <c r="AF92" t="s">
        <v>98</v>
      </c>
      <c r="AG92">
        <v>0.50875000000000004</v>
      </c>
      <c r="AH92">
        <v>2</v>
      </c>
      <c r="AI92">
        <v>60256136</v>
      </c>
      <c r="AJ92">
        <v>83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ROW(Source!A108)</f>
        <v>108</v>
      </c>
      <c r="B93">
        <v>60256149</v>
      </c>
      <c r="C93">
        <v>60256133</v>
      </c>
      <c r="D93">
        <v>59038905</v>
      </c>
      <c r="E93">
        <v>1</v>
      </c>
      <c r="F93">
        <v>1</v>
      </c>
      <c r="G93">
        <v>1080</v>
      </c>
      <c r="H93">
        <v>3</v>
      </c>
      <c r="I93" t="s">
        <v>506</v>
      </c>
      <c r="J93" t="s">
        <v>507</v>
      </c>
      <c r="K93" t="s">
        <v>508</v>
      </c>
      <c r="L93">
        <v>1339</v>
      </c>
      <c r="N93">
        <v>1007</v>
      </c>
      <c r="O93" t="s">
        <v>509</v>
      </c>
      <c r="P93" t="s">
        <v>509</v>
      </c>
      <c r="Q93">
        <v>1</v>
      </c>
      <c r="X93">
        <v>0.22700000000000001</v>
      </c>
      <c r="Y93">
        <v>7.07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0.22700000000000001</v>
      </c>
      <c r="AH93">
        <v>2</v>
      </c>
      <c r="AI93">
        <v>60256139</v>
      </c>
      <c r="AJ93">
        <v>84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ROW(Source!A108)</f>
        <v>108</v>
      </c>
      <c r="B94">
        <v>60256150</v>
      </c>
      <c r="C94">
        <v>60256133</v>
      </c>
      <c r="D94">
        <v>59045898</v>
      </c>
      <c r="E94">
        <v>1</v>
      </c>
      <c r="F94">
        <v>1</v>
      </c>
      <c r="G94">
        <v>1080</v>
      </c>
      <c r="H94">
        <v>3</v>
      </c>
      <c r="I94" t="s">
        <v>510</v>
      </c>
      <c r="J94" t="s">
        <v>511</v>
      </c>
      <c r="K94" t="s">
        <v>512</v>
      </c>
      <c r="L94">
        <v>1355</v>
      </c>
      <c r="N94">
        <v>1010</v>
      </c>
      <c r="O94" t="s">
        <v>96</v>
      </c>
      <c r="P94" t="s">
        <v>96</v>
      </c>
      <c r="Q94">
        <v>100</v>
      </c>
      <c r="X94">
        <v>4.04</v>
      </c>
      <c r="Y94">
        <v>154.72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4.04</v>
      </c>
      <c r="AH94">
        <v>2</v>
      </c>
      <c r="AI94">
        <v>60256140</v>
      </c>
      <c r="AJ94">
        <v>85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ROW(Source!A108)</f>
        <v>108</v>
      </c>
      <c r="B95">
        <v>60256151</v>
      </c>
      <c r="C95">
        <v>60256133</v>
      </c>
      <c r="D95">
        <v>59056195</v>
      </c>
      <c r="E95">
        <v>1</v>
      </c>
      <c r="F95">
        <v>1</v>
      </c>
      <c r="G95">
        <v>1080</v>
      </c>
      <c r="H95">
        <v>3</v>
      </c>
      <c r="I95" t="s">
        <v>513</v>
      </c>
      <c r="J95" t="s">
        <v>514</v>
      </c>
      <c r="K95" t="s">
        <v>515</v>
      </c>
      <c r="L95">
        <v>1354</v>
      </c>
      <c r="N95">
        <v>1010</v>
      </c>
      <c r="O95" t="s">
        <v>31</v>
      </c>
      <c r="P95" t="s">
        <v>31</v>
      </c>
      <c r="Q95">
        <v>1</v>
      </c>
      <c r="X95">
        <v>200</v>
      </c>
      <c r="Y95">
        <v>7.24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200</v>
      </c>
      <c r="AH95">
        <v>2</v>
      </c>
      <c r="AI95">
        <v>60256141</v>
      </c>
      <c r="AJ95">
        <v>86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ROW(Source!A108)</f>
        <v>108</v>
      </c>
      <c r="B96">
        <v>60256152</v>
      </c>
      <c r="C96">
        <v>60256133</v>
      </c>
      <c r="D96">
        <v>59049377</v>
      </c>
      <c r="E96">
        <v>1</v>
      </c>
      <c r="F96">
        <v>1</v>
      </c>
      <c r="G96">
        <v>1080</v>
      </c>
      <c r="H96">
        <v>3</v>
      </c>
      <c r="I96" t="s">
        <v>516</v>
      </c>
      <c r="J96" t="s">
        <v>517</v>
      </c>
      <c r="K96" t="s">
        <v>518</v>
      </c>
      <c r="L96">
        <v>1354</v>
      </c>
      <c r="N96">
        <v>1010</v>
      </c>
      <c r="O96" t="s">
        <v>31</v>
      </c>
      <c r="P96" t="s">
        <v>31</v>
      </c>
      <c r="Q96">
        <v>1</v>
      </c>
      <c r="X96">
        <v>0.68400000000000005</v>
      </c>
      <c r="Y96">
        <v>6.12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0.68400000000000005</v>
      </c>
      <c r="AH96">
        <v>2</v>
      </c>
      <c r="AI96">
        <v>60256142</v>
      </c>
      <c r="AJ96">
        <v>87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ROW(Source!A108)</f>
        <v>108</v>
      </c>
      <c r="B97">
        <v>60256153</v>
      </c>
      <c r="C97">
        <v>60256133</v>
      </c>
      <c r="D97">
        <v>59023215</v>
      </c>
      <c r="E97">
        <v>1080</v>
      </c>
      <c r="F97">
        <v>1</v>
      </c>
      <c r="G97">
        <v>1080</v>
      </c>
      <c r="H97">
        <v>3</v>
      </c>
      <c r="I97" t="s">
        <v>594</v>
      </c>
      <c r="J97" t="s">
        <v>3</v>
      </c>
      <c r="K97" t="s">
        <v>595</v>
      </c>
      <c r="L97">
        <v>1354</v>
      </c>
      <c r="N97">
        <v>1010</v>
      </c>
      <c r="O97" t="s">
        <v>31</v>
      </c>
      <c r="P97" t="s">
        <v>31</v>
      </c>
      <c r="Q97">
        <v>1</v>
      </c>
      <c r="X97">
        <v>100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</v>
      </c>
      <c r="AG97">
        <v>100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ROW(Source!A108)</f>
        <v>108</v>
      </c>
      <c r="B98">
        <v>60256154</v>
      </c>
      <c r="C98">
        <v>60256133</v>
      </c>
      <c r="D98">
        <v>59004259</v>
      </c>
      <c r="E98">
        <v>1080</v>
      </c>
      <c r="F98">
        <v>1</v>
      </c>
      <c r="G98">
        <v>1080</v>
      </c>
      <c r="H98">
        <v>3</v>
      </c>
      <c r="I98" t="s">
        <v>519</v>
      </c>
      <c r="J98" t="s">
        <v>3</v>
      </c>
      <c r="K98" t="s">
        <v>520</v>
      </c>
      <c r="L98">
        <v>1344</v>
      </c>
      <c r="N98">
        <v>1008</v>
      </c>
      <c r="O98" t="s">
        <v>521</v>
      </c>
      <c r="P98" t="s">
        <v>521</v>
      </c>
      <c r="Q98">
        <v>1</v>
      </c>
      <c r="X98">
        <v>0.04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</v>
      </c>
      <c r="AG98">
        <v>0.04</v>
      </c>
      <c r="AH98">
        <v>2</v>
      </c>
      <c r="AI98">
        <v>60256143</v>
      </c>
      <c r="AJ98">
        <v>88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ROW(Source!A111)</f>
        <v>111</v>
      </c>
      <c r="B99">
        <v>60256166</v>
      </c>
      <c r="C99">
        <v>60256155</v>
      </c>
      <c r="D99">
        <v>58999254</v>
      </c>
      <c r="E99">
        <v>1080</v>
      </c>
      <c r="F99">
        <v>1</v>
      </c>
      <c r="G99">
        <v>1080</v>
      </c>
      <c r="H99">
        <v>1</v>
      </c>
      <c r="I99" t="s">
        <v>482</v>
      </c>
      <c r="J99" t="s">
        <v>3</v>
      </c>
      <c r="K99" t="s">
        <v>483</v>
      </c>
      <c r="L99">
        <v>1191</v>
      </c>
      <c r="N99">
        <v>1013</v>
      </c>
      <c r="O99" t="s">
        <v>484</v>
      </c>
      <c r="P99" t="s">
        <v>484</v>
      </c>
      <c r="Q99">
        <v>1</v>
      </c>
      <c r="X99">
        <v>74.7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99</v>
      </c>
      <c r="AG99">
        <v>94.495500000000007</v>
      </c>
      <c r="AH99">
        <v>2</v>
      </c>
      <c r="AI99">
        <v>60256156</v>
      </c>
      <c r="AJ99">
        <v>89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ROW(Source!A111)</f>
        <v>111</v>
      </c>
      <c r="B100">
        <v>60256167</v>
      </c>
      <c r="C100">
        <v>60256155</v>
      </c>
      <c r="D100">
        <v>59070669</v>
      </c>
      <c r="E100">
        <v>1</v>
      </c>
      <c r="F100">
        <v>1</v>
      </c>
      <c r="G100">
        <v>1080</v>
      </c>
      <c r="H100">
        <v>2</v>
      </c>
      <c r="I100" t="s">
        <v>485</v>
      </c>
      <c r="J100" t="s">
        <v>486</v>
      </c>
      <c r="K100" t="s">
        <v>487</v>
      </c>
      <c r="L100">
        <v>1368</v>
      </c>
      <c r="N100">
        <v>1011</v>
      </c>
      <c r="O100" t="s">
        <v>488</v>
      </c>
      <c r="P100" t="s">
        <v>488</v>
      </c>
      <c r="Q100">
        <v>1</v>
      </c>
      <c r="X100">
        <v>0.32</v>
      </c>
      <c r="Y100">
        <v>0</v>
      </c>
      <c r="Z100">
        <v>83.1</v>
      </c>
      <c r="AA100">
        <v>12.62</v>
      </c>
      <c r="AB100">
        <v>0</v>
      </c>
      <c r="AC100">
        <v>0</v>
      </c>
      <c r="AD100">
        <v>1</v>
      </c>
      <c r="AE100">
        <v>0</v>
      </c>
      <c r="AF100" t="s">
        <v>98</v>
      </c>
      <c r="AG100">
        <v>0.44000000000000006</v>
      </c>
      <c r="AH100">
        <v>2</v>
      </c>
      <c r="AI100">
        <v>60256157</v>
      </c>
      <c r="AJ100">
        <v>90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ROW(Source!A111)</f>
        <v>111</v>
      </c>
      <c r="B101">
        <v>60256169</v>
      </c>
      <c r="C101">
        <v>60256155</v>
      </c>
      <c r="D101">
        <v>59070721</v>
      </c>
      <c r="E101">
        <v>1</v>
      </c>
      <c r="F101">
        <v>1</v>
      </c>
      <c r="G101">
        <v>1080</v>
      </c>
      <c r="H101">
        <v>2</v>
      </c>
      <c r="I101" t="s">
        <v>497</v>
      </c>
      <c r="J101" t="s">
        <v>498</v>
      </c>
      <c r="K101" t="s">
        <v>499</v>
      </c>
      <c r="L101">
        <v>1368</v>
      </c>
      <c r="N101">
        <v>1011</v>
      </c>
      <c r="O101" t="s">
        <v>488</v>
      </c>
      <c r="P101" t="s">
        <v>488</v>
      </c>
      <c r="Q101">
        <v>1</v>
      </c>
      <c r="X101">
        <v>1.24</v>
      </c>
      <c r="Y101">
        <v>0</v>
      </c>
      <c r="Z101">
        <v>0.77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98</v>
      </c>
      <c r="AG101">
        <v>1.7050000000000003</v>
      </c>
      <c r="AH101">
        <v>2</v>
      </c>
      <c r="AI101">
        <v>60256159</v>
      </c>
      <c r="AJ101">
        <v>91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ROW(Source!A111)</f>
        <v>111</v>
      </c>
      <c r="B102">
        <v>60256170</v>
      </c>
      <c r="C102">
        <v>60256155</v>
      </c>
      <c r="D102">
        <v>59070754</v>
      </c>
      <c r="E102">
        <v>1</v>
      </c>
      <c r="F102">
        <v>1</v>
      </c>
      <c r="G102">
        <v>1080</v>
      </c>
      <c r="H102">
        <v>2</v>
      </c>
      <c r="I102" t="s">
        <v>500</v>
      </c>
      <c r="J102" t="s">
        <v>501</v>
      </c>
      <c r="K102" t="s">
        <v>502</v>
      </c>
      <c r="L102">
        <v>1368</v>
      </c>
      <c r="N102">
        <v>1011</v>
      </c>
      <c r="O102" t="s">
        <v>488</v>
      </c>
      <c r="P102" t="s">
        <v>488</v>
      </c>
      <c r="Q102">
        <v>1</v>
      </c>
      <c r="X102">
        <v>3.22</v>
      </c>
      <c r="Y102">
        <v>0</v>
      </c>
      <c r="Z102">
        <v>0.47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98</v>
      </c>
      <c r="AG102">
        <v>4.4275000000000011</v>
      </c>
      <c r="AH102">
        <v>2</v>
      </c>
      <c r="AI102">
        <v>60256160</v>
      </c>
      <c r="AJ102">
        <v>92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ROW(Source!A111)</f>
        <v>111</v>
      </c>
      <c r="B103">
        <v>60256168</v>
      </c>
      <c r="C103">
        <v>60256155</v>
      </c>
      <c r="D103">
        <v>59069905</v>
      </c>
      <c r="E103">
        <v>1</v>
      </c>
      <c r="F103">
        <v>1</v>
      </c>
      <c r="G103">
        <v>1080</v>
      </c>
      <c r="H103">
        <v>2</v>
      </c>
      <c r="I103" t="s">
        <v>503</v>
      </c>
      <c r="J103" t="s">
        <v>504</v>
      </c>
      <c r="K103" t="s">
        <v>505</v>
      </c>
      <c r="L103">
        <v>1368</v>
      </c>
      <c r="N103">
        <v>1011</v>
      </c>
      <c r="O103" t="s">
        <v>488</v>
      </c>
      <c r="P103" t="s">
        <v>488</v>
      </c>
      <c r="Q103">
        <v>1</v>
      </c>
      <c r="X103">
        <v>0.37</v>
      </c>
      <c r="Y103">
        <v>0</v>
      </c>
      <c r="Z103">
        <v>179.17</v>
      </c>
      <c r="AA103">
        <v>16.93</v>
      </c>
      <c r="AB103">
        <v>0</v>
      </c>
      <c r="AC103">
        <v>0</v>
      </c>
      <c r="AD103">
        <v>1</v>
      </c>
      <c r="AE103">
        <v>0</v>
      </c>
      <c r="AF103" t="s">
        <v>98</v>
      </c>
      <c r="AG103">
        <v>0.50875000000000004</v>
      </c>
      <c r="AH103">
        <v>2</v>
      </c>
      <c r="AI103">
        <v>60256158</v>
      </c>
      <c r="AJ103">
        <v>93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ROW(Source!A111)</f>
        <v>111</v>
      </c>
      <c r="B104">
        <v>60256171</v>
      </c>
      <c r="C104">
        <v>60256155</v>
      </c>
      <c r="D104">
        <v>59038905</v>
      </c>
      <c r="E104">
        <v>1</v>
      </c>
      <c r="F104">
        <v>1</v>
      </c>
      <c r="G104">
        <v>1080</v>
      </c>
      <c r="H104">
        <v>3</v>
      </c>
      <c r="I104" t="s">
        <v>506</v>
      </c>
      <c r="J104" t="s">
        <v>507</v>
      </c>
      <c r="K104" t="s">
        <v>508</v>
      </c>
      <c r="L104">
        <v>1339</v>
      </c>
      <c r="N104">
        <v>1007</v>
      </c>
      <c r="O104" t="s">
        <v>509</v>
      </c>
      <c r="P104" t="s">
        <v>509</v>
      </c>
      <c r="Q104">
        <v>1</v>
      </c>
      <c r="X104">
        <v>0.22700000000000001</v>
      </c>
      <c r="Y104">
        <v>7.07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0.22700000000000001</v>
      </c>
      <c r="AH104">
        <v>2</v>
      </c>
      <c r="AI104">
        <v>60256161</v>
      </c>
      <c r="AJ104">
        <v>94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ROW(Source!A111)</f>
        <v>111</v>
      </c>
      <c r="B105">
        <v>60256172</v>
      </c>
      <c r="C105">
        <v>60256155</v>
      </c>
      <c r="D105">
        <v>59045898</v>
      </c>
      <c r="E105">
        <v>1</v>
      </c>
      <c r="F105">
        <v>1</v>
      </c>
      <c r="G105">
        <v>1080</v>
      </c>
      <c r="H105">
        <v>3</v>
      </c>
      <c r="I105" t="s">
        <v>510</v>
      </c>
      <c r="J105" t="s">
        <v>511</v>
      </c>
      <c r="K105" t="s">
        <v>512</v>
      </c>
      <c r="L105">
        <v>1355</v>
      </c>
      <c r="N105">
        <v>1010</v>
      </c>
      <c r="O105" t="s">
        <v>96</v>
      </c>
      <c r="P105" t="s">
        <v>96</v>
      </c>
      <c r="Q105">
        <v>100</v>
      </c>
      <c r="X105">
        <v>4.04</v>
      </c>
      <c r="Y105">
        <v>154.72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4.04</v>
      </c>
      <c r="AH105">
        <v>2</v>
      </c>
      <c r="AI105">
        <v>60256162</v>
      </c>
      <c r="AJ105">
        <v>95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ROW(Source!A111)</f>
        <v>111</v>
      </c>
      <c r="B106">
        <v>60256173</v>
      </c>
      <c r="C106">
        <v>60256155</v>
      </c>
      <c r="D106">
        <v>59056195</v>
      </c>
      <c r="E106">
        <v>1</v>
      </c>
      <c r="F106">
        <v>1</v>
      </c>
      <c r="G106">
        <v>1080</v>
      </c>
      <c r="H106">
        <v>3</v>
      </c>
      <c r="I106" t="s">
        <v>513</v>
      </c>
      <c r="J106" t="s">
        <v>514</v>
      </c>
      <c r="K106" t="s">
        <v>515</v>
      </c>
      <c r="L106">
        <v>1354</v>
      </c>
      <c r="N106">
        <v>1010</v>
      </c>
      <c r="O106" t="s">
        <v>31</v>
      </c>
      <c r="P106" t="s">
        <v>31</v>
      </c>
      <c r="Q106">
        <v>1</v>
      </c>
      <c r="X106">
        <v>200</v>
      </c>
      <c r="Y106">
        <v>7.24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200</v>
      </c>
      <c r="AH106">
        <v>2</v>
      </c>
      <c r="AI106">
        <v>60256163</v>
      </c>
      <c r="AJ106">
        <v>96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ROW(Source!A111)</f>
        <v>111</v>
      </c>
      <c r="B107">
        <v>60256174</v>
      </c>
      <c r="C107">
        <v>60256155</v>
      </c>
      <c r="D107">
        <v>59049377</v>
      </c>
      <c r="E107">
        <v>1</v>
      </c>
      <c r="F107">
        <v>1</v>
      </c>
      <c r="G107">
        <v>1080</v>
      </c>
      <c r="H107">
        <v>3</v>
      </c>
      <c r="I107" t="s">
        <v>516</v>
      </c>
      <c r="J107" t="s">
        <v>517</v>
      </c>
      <c r="K107" t="s">
        <v>518</v>
      </c>
      <c r="L107">
        <v>1354</v>
      </c>
      <c r="N107">
        <v>1010</v>
      </c>
      <c r="O107" t="s">
        <v>31</v>
      </c>
      <c r="P107" t="s">
        <v>31</v>
      </c>
      <c r="Q107">
        <v>1</v>
      </c>
      <c r="X107">
        <v>0.68400000000000005</v>
      </c>
      <c r="Y107">
        <v>6.12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0.68400000000000005</v>
      </c>
      <c r="AH107">
        <v>2</v>
      </c>
      <c r="AI107">
        <v>60256164</v>
      </c>
      <c r="AJ107">
        <v>97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ROW(Source!A111)</f>
        <v>111</v>
      </c>
      <c r="B108">
        <v>60256175</v>
      </c>
      <c r="C108">
        <v>60256155</v>
      </c>
      <c r="D108">
        <v>59023215</v>
      </c>
      <c r="E108">
        <v>1080</v>
      </c>
      <c r="F108">
        <v>1</v>
      </c>
      <c r="G108">
        <v>1080</v>
      </c>
      <c r="H108">
        <v>3</v>
      </c>
      <c r="I108" t="s">
        <v>594</v>
      </c>
      <c r="J108" t="s">
        <v>3</v>
      </c>
      <c r="K108" t="s">
        <v>595</v>
      </c>
      <c r="L108">
        <v>1354</v>
      </c>
      <c r="N108">
        <v>1010</v>
      </c>
      <c r="O108" t="s">
        <v>31</v>
      </c>
      <c r="P108" t="s">
        <v>31</v>
      </c>
      <c r="Q108">
        <v>1</v>
      </c>
      <c r="X108">
        <v>100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100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ROW(Source!A111)</f>
        <v>111</v>
      </c>
      <c r="B109">
        <v>60256176</v>
      </c>
      <c r="C109">
        <v>60256155</v>
      </c>
      <c r="D109">
        <v>59004259</v>
      </c>
      <c r="E109">
        <v>1080</v>
      </c>
      <c r="F109">
        <v>1</v>
      </c>
      <c r="G109">
        <v>1080</v>
      </c>
      <c r="H109">
        <v>3</v>
      </c>
      <c r="I109" t="s">
        <v>519</v>
      </c>
      <c r="J109" t="s">
        <v>3</v>
      </c>
      <c r="K109" t="s">
        <v>520</v>
      </c>
      <c r="L109">
        <v>1344</v>
      </c>
      <c r="N109">
        <v>1008</v>
      </c>
      <c r="O109" t="s">
        <v>521</v>
      </c>
      <c r="P109" t="s">
        <v>521</v>
      </c>
      <c r="Q109">
        <v>1</v>
      </c>
      <c r="X109">
        <v>0.04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3</v>
      </c>
      <c r="AG109">
        <v>0.04</v>
      </c>
      <c r="AH109">
        <v>2</v>
      </c>
      <c r="AI109">
        <v>60256165</v>
      </c>
      <c r="AJ109">
        <v>98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ROW(Source!A112)</f>
        <v>112</v>
      </c>
      <c r="B110">
        <v>60256166</v>
      </c>
      <c r="C110">
        <v>60256155</v>
      </c>
      <c r="D110">
        <v>58999254</v>
      </c>
      <c r="E110">
        <v>1080</v>
      </c>
      <c r="F110">
        <v>1</v>
      </c>
      <c r="G110">
        <v>1080</v>
      </c>
      <c r="H110">
        <v>1</v>
      </c>
      <c r="I110" t="s">
        <v>482</v>
      </c>
      <c r="J110" t="s">
        <v>3</v>
      </c>
      <c r="K110" t="s">
        <v>483</v>
      </c>
      <c r="L110">
        <v>1191</v>
      </c>
      <c r="N110">
        <v>1013</v>
      </c>
      <c r="O110" t="s">
        <v>484</v>
      </c>
      <c r="P110" t="s">
        <v>484</v>
      </c>
      <c r="Q110">
        <v>1</v>
      </c>
      <c r="X110">
        <v>74.7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99</v>
      </c>
      <c r="AG110">
        <v>94.495500000000007</v>
      </c>
      <c r="AH110">
        <v>2</v>
      </c>
      <c r="AI110">
        <v>60256156</v>
      </c>
      <c r="AJ110">
        <v>99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ROW(Source!A112)</f>
        <v>112</v>
      </c>
      <c r="B111">
        <v>60256167</v>
      </c>
      <c r="C111">
        <v>60256155</v>
      </c>
      <c r="D111">
        <v>59070669</v>
      </c>
      <c r="E111">
        <v>1</v>
      </c>
      <c r="F111">
        <v>1</v>
      </c>
      <c r="G111">
        <v>1080</v>
      </c>
      <c r="H111">
        <v>2</v>
      </c>
      <c r="I111" t="s">
        <v>485</v>
      </c>
      <c r="J111" t="s">
        <v>486</v>
      </c>
      <c r="K111" t="s">
        <v>487</v>
      </c>
      <c r="L111">
        <v>1368</v>
      </c>
      <c r="N111">
        <v>1011</v>
      </c>
      <c r="O111" t="s">
        <v>488</v>
      </c>
      <c r="P111" t="s">
        <v>488</v>
      </c>
      <c r="Q111">
        <v>1</v>
      </c>
      <c r="X111">
        <v>0.32</v>
      </c>
      <c r="Y111">
        <v>0</v>
      </c>
      <c r="Z111">
        <v>83.1</v>
      </c>
      <c r="AA111">
        <v>12.62</v>
      </c>
      <c r="AB111">
        <v>0</v>
      </c>
      <c r="AC111">
        <v>0</v>
      </c>
      <c r="AD111">
        <v>1</v>
      </c>
      <c r="AE111">
        <v>0</v>
      </c>
      <c r="AF111" t="s">
        <v>98</v>
      </c>
      <c r="AG111">
        <v>0.44000000000000006</v>
      </c>
      <c r="AH111">
        <v>2</v>
      </c>
      <c r="AI111">
        <v>60256157</v>
      </c>
      <c r="AJ111">
        <v>100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ROW(Source!A112)</f>
        <v>112</v>
      </c>
      <c r="B112">
        <v>60256169</v>
      </c>
      <c r="C112">
        <v>60256155</v>
      </c>
      <c r="D112">
        <v>59070721</v>
      </c>
      <c r="E112">
        <v>1</v>
      </c>
      <c r="F112">
        <v>1</v>
      </c>
      <c r="G112">
        <v>1080</v>
      </c>
      <c r="H112">
        <v>2</v>
      </c>
      <c r="I112" t="s">
        <v>497</v>
      </c>
      <c r="J112" t="s">
        <v>498</v>
      </c>
      <c r="K112" t="s">
        <v>499</v>
      </c>
      <c r="L112">
        <v>1368</v>
      </c>
      <c r="N112">
        <v>1011</v>
      </c>
      <c r="O112" t="s">
        <v>488</v>
      </c>
      <c r="P112" t="s">
        <v>488</v>
      </c>
      <c r="Q112">
        <v>1</v>
      </c>
      <c r="X112">
        <v>1.24</v>
      </c>
      <c r="Y112">
        <v>0</v>
      </c>
      <c r="Z112">
        <v>0.77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98</v>
      </c>
      <c r="AG112">
        <v>1.7050000000000003</v>
      </c>
      <c r="AH112">
        <v>2</v>
      </c>
      <c r="AI112">
        <v>60256159</v>
      </c>
      <c r="AJ112">
        <v>101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ROW(Source!A112)</f>
        <v>112</v>
      </c>
      <c r="B113">
        <v>60256170</v>
      </c>
      <c r="C113">
        <v>60256155</v>
      </c>
      <c r="D113">
        <v>59070754</v>
      </c>
      <c r="E113">
        <v>1</v>
      </c>
      <c r="F113">
        <v>1</v>
      </c>
      <c r="G113">
        <v>1080</v>
      </c>
      <c r="H113">
        <v>2</v>
      </c>
      <c r="I113" t="s">
        <v>500</v>
      </c>
      <c r="J113" t="s">
        <v>501</v>
      </c>
      <c r="K113" t="s">
        <v>502</v>
      </c>
      <c r="L113">
        <v>1368</v>
      </c>
      <c r="N113">
        <v>1011</v>
      </c>
      <c r="O113" t="s">
        <v>488</v>
      </c>
      <c r="P113" t="s">
        <v>488</v>
      </c>
      <c r="Q113">
        <v>1</v>
      </c>
      <c r="X113">
        <v>3.22</v>
      </c>
      <c r="Y113">
        <v>0</v>
      </c>
      <c r="Z113">
        <v>0.47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98</v>
      </c>
      <c r="AG113">
        <v>4.4275000000000011</v>
      </c>
      <c r="AH113">
        <v>2</v>
      </c>
      <c r="AI113">
        <v>60256160</v>
      </c>
      <c r="AJ113">
        <v>102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ROW(Source!A112)</f>
        <v>112</v>
      </c>
      <c r="B114">
        <v>60256168</v>
      </c>
      <c r="C114">
        <v>60256155</v>
      </c>
      <c r="D114">
        <v>59069905</v>
      </c>
      <c r="E114">
        <v>1</v>
      </c>
      <c r="F114">
        <v>1</v>
      </c>
      <c r="G114">
        <v>1080</v>
      </c>
      <c r="H114">
        <v>2</v>
      </c>
      <c r="I114" t="s">
        <v>503</v>
      </c>
      <c r="J114" t="s">
        <v>504</v>
      </c>
      <c r="K114" t="s">
        <v>505</v>
      </c>
      <c r="L114">
        <v>1368</v>
      </c>
      <c r="N114">
        <v>1011</v>
      </c>
      <c r="O114" t="s">
        <v>488</v>
      </c>
      <c r="P114" t="s">
        <v>488</v>
      </c>
      <c r="Q114">
        <v>1</v>
      </c>
      <c r="X114">
        <v>0.37</v>
      </c>
      <c r="Y114">
        <v>0</v>
      </c>
      <c r="Z114">
        <v>179.17</v>
      </c>
      <c r="AA114">
        <v>16.93</v>
      </c>
      <c r="AB114">
        <v>0</v>
      </c>
      <c r="AC114">
        <v>0</v>
      </c>
      <c r="AD114">
        <v>1</v>
      </c>
      <c r="AE114">
        <v>0</v>
      </c>
      <c r="AF114" t="s">
        <v>98</v>
      </c>
      <c r="AG114">
        <v>0.50875000000000004</v>
      </c>
      <c r="AH114">
        <v>2</v>
      </c>
      <c r="AI114">
        <v>60256158</v>
      </c>
      <c r="AJ114">
        <v>103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ROW(Source!A112)</f>
        <v>112</v>
      </c>
      <c r="B115">
        <v>60256171</v>
      </c>
      <c r="C115">
        <v>60256155</v>
      </c>
      <c r="D115">
        <v>59038905</v>
      </c>
      <c r="E115">
        <v>1</v>
      </c>
      <c r="F115">
        <v>1</v>
      </c>
      <c r="G115">
        <v>1080</v>
      </c>
      <c r="H115">
        <v>3</v>
      </c>
      <c r="I115" t="s">
        <v>506</v>
      </c>
      <c r="J115" t="s">
        <v>507</v>
      </c>
      <c r="K115" t="s">
        <v>508</v>
      </c>
      <c r="L115">
        <v>1339</v>
      </c>
      <c r="N115">
        <v>1007</v>
      </c>
      <c r="O115" t="s">
        <v>509</v>
      </c>
      <c r="P115" t="s">
        <v>509</v>
      </c>
      <c r="Q115">
        <v>1</v>
      </c>
      <c r="X115">
        <v>0.22700000000000001</v>
      </c>
      <c r="Y115">
        <v>7.07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</v>
      </c>
      <c r="AG115">
        <v>0.22700000000000001</v>
      </c>
      <c r="AH115">
        <v>2</v>
      </c>
      <c r="AI115">
        <v>60256161</v>
      </c>
      <c r="AJ115">
        <v>104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ROW(Source!A112)</f>
        <v>112</v>
      </c>
      <c r="B116">
        <v>60256172</v>
      </c>
      <c r="C116">
        <v>60256155</v>
      </c>
      <c r="D116">
        <v>59045898</v>
      </c>
      <c r="E116">
        <v>1</v>
      </c>
      <c r="F116">
        <v>1</v>
      </c>
      <c r="G116">
        <v>1080</v>
      </c>
      <c r="H116">
        <v>3</v>
      </c>
      <c r="I116" t="s">
        <v>510</v>
      </c>
      <c r="J116" t="s">
        <v>511</v>
      </c>
      <c r="K116" t="s">
        <v>512</v>
      </c>
      <c r="L116">
        <v>1355</v>
      </c>
      <c r="N116">
        <v>1010</v>
      </c>
      <c r="O116" t="s">
        <v>96</v>
      </c>
      <c r="P116" t="s">
        <v>96</v>
      </c>
      <c r="Q116">
        <v>100</v>
      </c>
      <c r="X116">
        <v>4.04</v>
      </c>
      <c r="Y116">
        <v>154.72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3</v>
      </c>
      <c r="AG116">
        <v>4.04</v>
      </c>
      <c r="AH116">
        <v>2</v>
      </c>
      <c r="AI116">
        <v>60256162</v>
      </c>
      <c r="AJ116">
        <v>105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ROW(Source!A112)</f>
        <v>112</v>
      </c>
      <c r="B117">
        <v>60256173</v>
      </c>
      <c r="C117">
        <v>60256155</v>
      </c>
      <c r="D117">
        <v>59056195</v>
      </c>
      <c r="E117">
        <v>1</v>
      </c>
      <c r="F117">
        <v>1</v>
      </c>
      <c r="G117">
        <v>1080</v>
      </c>
      <c r="H117">
        <v>3</v>
      </c>
      <c r="I117" t="s">
        <v>513</v>
      </c>
      <c r="J117" t="s">
        <v>514</v>
      </c>
      <c r="K117" t="s">
        <v>515</v>
      </c>
      <c r="L117">
        <v>1354</v>
      </c>
      <c r="N117">
        <v>1010</v>
      </c>
      <c r="O117" t="s">
        <v>31</v>
      </c>
      <c r="P117" t="s">
        <v>31</v>
      </c>
      <c r="Q117">
        <v>1</v>
      </c>
      <c r="X117">
        <v>200</v>
      </c>
      <c r="Y117">
        <v>7.24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3</v>
      </c>
      <c r="AG117">
        <v>200</v>
      </c>
      <c r="AH117">
        <v>2</v>
      </c>
      <c r="AI117">
        <v>60256163</v>
      </c>
      <c r="AJ117">
        <v>106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ROW(Source!A112)</f>
        <v>112</v>
      </c>
      <c r="B118">
        <v>60256174</v>
      </c>
      <c r="C118">
        <v>60256155</v>
      </c>
      <c r="D118">
        <v>59049377</v>
      </c>
      <c r="E118">
        <v>1</v>
      </c>
      <c r="F118">
        <v>1</v>
      </c>
      <c r="G118">
        <v>1080</v>
      </c>
      <c r="H118">
        <v>3</v>
      </c>
      <c r="I118" t="s">
        <v>516</v>
      </c>
      <c r="J118" t="s">
        <v>517</v>
      </c>
      <c r="K118" t="s">
        <v>518</v>
      </c>
      <c r="L118">
        <v>1354</v>
      </c>
      <c r="N118">
        <v>1010</v>
      </c>
      <c r="O118" t="s">
        <v>31</v>
      </c>
      <c r="P118" t="s">
        <v>31</v>
      </c>
      <c r="Q118">
        <v>1</v>
      </c>
      <c r="X118">
        <v>0.68400000000000005</v>
      </c>
      <c r="Y118">
        <v>6.12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3</v>
      </c>
      <c r="AG118">
        <v>0.68400000000000005</v>
      </c>
      <c r="AH118">
        <v>2</v>
      </c>
      <c r="AI118">
        <v>60256164</v>
      </c>
      <c r="AJ118">
        <v>107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ROW(Source!A112)</f>
        <v>112</v>
      </c>
      <c r="B119">
        <v>60256175</v>
      </c>
      <c r="C119">
        <v>60256155</v>
      </c>
      <c r="D119">
        <v>59023215</v>
      </c>
      <c r="E119">
        <v>1080</v>
      </c>
      <c r="F119">
        <v>1</v>
      </c>
      <c r="G119">
        <v>1080</v>
      </c>
      <c r="H119">
        <v>3</v>
      </c>
      <c r="I119" t="s">
        <v>594</v>
      </c>
      <c r="J119" t="s">
        <v>3</v>
      </c>
      <c r="K119" t="s">
        <v>595</v>
      </c>
      <c r="L119">
        <v>1354</v>
      </c>
      <c r="N119">
        <v>1010</v>
      </c>
      <c r="O119" t="s">
        <v>31</v>
      </c>
      <c r="P119" t="s">
        <v>31</v>
      </c>
      <c r="Q119">
        <v>1</v>
      </c>
      <c r="X119">
        <v>100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3</v>
      </c>
      <c r="AG119">
        <v>100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ROW(Source!A112)</f>
        <v>112</v>
      </c>
      <c r="B120">
        <v>60256176</v>
      </c>
      <c r="C120">
        <v>60256155</v>
      </c>
      <c r="D120">
        <v>59004259</v>
      </c>
      <c r="E120">
        <v>1080</v>
      </c>
      <c r="F120">
        <v>1</v>
      </c>
      <c r="G120">
        <v>1080</v>
      </c>
      <c r="H120">
        <v>3</v>
      </c>
      <c r="I120" t="s">
        <v>519</v>
      </c>
      <c r="J120" t="s">
        <v>3</v>
      </c>
      <c r="K120" t="s">
        <v>520</v>
      </c>
      <c r="L120">
        <v>1344</v>
      </c>
      <c r="N120">
        <v>1008</v>
      </c>
      <c r="O120" t="s">
        <v>521</v>
      </c>
      <c r="P120" t="s">
        <v>521</v>
      </c>
      <c r="Q120">
        <v>1</v>
      </c>
      <c r="X120">
        <v>0.04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</v>
      </c>
      <c r="AG120">
        <v>0.04</v>
      </c>
      <c r="AH120">
        <v>2</v>
      </c>
      <c r="AI120">
        <v>60256165</v>
      </c>
      <c r="AJ120">
        <v>108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ROW(Source!A121)</f>
        <v>121</v>
      </c>
      <c r="B121">
        <v>60256178</v>
      </c>
      <c r="C121">
        <v>60256177</v>
      </c>
      <c r="D121">
        <v>58999254</v>
      </c>
      <c r="E121">
        <v>1080</v>
      </c>
      <c r="F121">
        <v>1</v>
      </c>
      <c r="G121">
        <v>1080</v>
      </c>
      <c r="H121">
        <v>1</v>
      </c>
      <c r="I121" t="s">
        <v>482</v>
      </c>
      <c r="J121" t="s">
        <v>3</v>
      </c>
      <c r="K121" t="s">
        <v>483</v>
      </c>
      <c r="L121">
        <v>1191</v>
      </c>
      <c r="N121">
        <v>1013</v>
      </c>
      <c r="O121" t="s">
        <v>484</v>
      </c>
      <c r="P121" t="s">
        <v>484</v>
      </c>
      <c r="Q121">
        <v>1</v>
      </c>
      <c r="X121">
        <v>97.55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199</v>
      </c>
      <c r="AG121">
        <v>123.40075</v>
      </c>
      <c r="AH121">
        <v>2</v>
      </c>
      <c r="AI121">
        <v>60256178</v>
      </c>
      <c r="AJ121">
        <v>109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ROW(Source!A121)</f>
        <v>121</v>
      </c>
      <c r="B122">
        <v>60256179</v>
      </c>
      <c r="C122">
        <v>60256177</v>
      </c>
      <c r="D122">
        <v>59070669</v>
      </c>
      <c r="E122">
        <v>1</v>
      </c>
      <c r="F122">
        <v>1</v>
      </c>
      <c r="G122">
        <v>1080</v>
      </c>
      <c r="H122">
        <v>2</v>
      </c>
      <c r="I122" t="s">
        <v>485</v>
      </c>
      <c r="J122" t="s">
        <v>486</v>
      </c>
      <c r="K122" t="s">
        <v>487</v>
      </c>
      <c r="L122">
        <v>1368</v>
      </c>
      <c r="N122">
        <v>1011</v>
      </c>
      <c r="O122" t="s">
        <v>488</v>
      </c>
      <c r="P122" t="s">
        <v>488</v>
      </c>
      <c r="Q122">
        <v>1</v>
      </c>
      <c r="X122">
        <v>0.56000000000000005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198</v>
      </c>
      <c r="AG122">
        <v>0.77000000000000013</v>
      </c>
      <c r="AH122">
        <v>2</v>
      </c>
      <c r="AI122">
        <v>60256179</v>
      </c>
      <c r="AJ122">
        <v>110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ROW(Source!A121)</f>
        <v>121</v>
      </c>
      <c r="B123">
        <v>60256181</v>
      </c>
      <c r="C123">
        <v>60256177</v>
      </c>
      <c r="D123">
        <v>59070721</v>
      </c>
      <c r="E123">
        <v>1</v>
      </c>
      <c r="F123">
        <v>1</v>
      </c>
      <c r="G123">
        <v>1080</v>
      </c>
      <c r="H123">
        <v>2</v>
      </c>
      <c r="I123" t="s">
        <v>497</v>
      </c>
      <c r="J123" t="s">
        <v>498</v>
      </c>
      <c r="K123" t="s">
        <v>499</v>
      </c>
      <c r="L123">
        <v>1368</v>
      </c>
      <c r="N123">
        <v>1011</v>
      </c>
      <c r="O123" t="s">
        <v>488</v>
      </c>
      <c r="P123" t="s">
        <v>488</v>
      </c>
      <c r="Q123">
        <v>1</v>
      </c>
      <c r="X123">
        <v>1.86</v>
      </c>
      <c r="Y123">
        <v>0</v>
      </c>
      <c r="Z123">
        <v>0.77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198</v>
      </c>
      <c r="AG123">
        <v>2.5575000000000001</v>
      </c>
      <c r="AH123">
        <v>2</v>
      </c>
      <c r="AI123">
        <v>60256181</v>
      </c>
      <c r="AJ123">
        <v>111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ROW(Source!A121)</f>
        <v>121</v>
      </c>
      <c r="B124">
        <v>60256182</v>
      </c>
      <c r="C124">
        <v>60256177</v>
      </c>
      <c r="D124">
        <v>59070754</v>
      </c>
      <c r="E124">
        <v>1</v>
      </c>
      <c r="F124">
        <v>1</v>
      </c>
      <c r="G124">
        <v>1080</v>
      </c>
      <c r="H124">
        <v>2</v>
      </c>
      <c r="I124" t="s">
        <v>500</v>
      </c>
      <c r="J124" t="s">
        <v>501</v>
      </c>
      <c r="K124" t="s">
        <v>502</v>
      </c>
      <c r="L124">
        <v>1368</v>
      </c>
      <c r="N124">
        <v>1011</v>
      </c>
      <c r="O124" t="s">
        <v>488</v>
      </c>
      <c r="P124" t="s">
        <v>488</v>
      </c>
      <c r="Q124">
        <v>1</v>
      </c>
      <c r="X124">
        <v>4.83</v>
      </c>
      <c r="Y124">
        <v>0</v>
      </c>
      <c r="Z124">
        <v>0.47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198</v>
      </c>
      <c r="AG124">
        <v>6.6412500000000012</v>
      </c>
      <c r="AH124">
        <v>2</v>
      </c>
      <c r="AI124">
        <v>60256182</v>
      </c>
      <c r="AJ124">
        <v>112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ROW(Source!A121)</f>
        <v>121</v>
      </c>
      <c r="B125">
        <v>60256180</v>
      </c>
      <c r="C125">
        <v>60256177</v>
      </c>
      <c r="D125">
        <v>59069905</v>
      </c>
      <c r="E125">
        <v>1</v>
      </c>
      <c r="F125">
        <v>1</v>
      </c>
      <c r="G125">
        <v>1080</v>
      </c>
      <c r="H125">
        <v>2</v>
      </c>
      <c r="I125" t="s">
        <v>503</v>
      </c>
      <c r="J125" t="s">
        <v>504</v>
      </c>
      <c r="K125" t="s">
        <v>505</v>
      </c>
      <c r="L125">
        <v>1368</v>
      </c>
      <c r="N125">
        <v>1011</v>
      </c>
      <c r="O125" t="s">
        <v>488</v>
      </c>
      <c r="P125" t="s">
        <v>488</v>
      </c>
      <c r="Q125">
        <v>1</v>
      </c>
      <c r="X125">
        <v>0.65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198</v>
      </c>
      <c r="AG125">
        <v>0.89375000000000004</v>
      </c>
      <c r="AH125">
        <v>2</v>
      </c>
      <c r="AI125">
        <v>60256180</v>
      </c>
      <c r="AJ125">
        <v>113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ROW(Source!A121)</f>
        <v>121</v>
      </c>
      <c r="B126">
        <v>60256183</v>
      </c>
      <c r="C126">
        <v>60256177</v>
      </c>
      <c r="D126">
        <v>59038905</v>
      </c>
      <c r="E126">
        <v>1</v>
      </c>
      <c r="F126">
        <v>1</v>
      </c>
      <c r="G126">
        <v>1080</v>
      </c>
      <c r="H126">
        <v>3</v>
      </c>
      <c r="I126" t="s">
        <v>506</v>
      </c>
      <c r="J126" t="s">
        <v>507</v>
      </c>
      <c r="K126" t="s">
        <v>508</v>
      </c>
      <c r="L126">
        <v>1339</v>
      </c>
      <c r="N126">
        <v>1007</v>
      </c>
      <c r="O126" t="s">
        <v>509</v>
      </c>
      <c r="P126" t="s">
        <v>509</v>
      </c>
      <c r="Q126">
        <v>1</v>
      </c>
      <c r="X126">
        <v>0.44800000000000001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0.44800000000000001</v>
      </c>
      <c r="AH126">
        <v>2</v>
      </c>
      <c r="AI126">
        <v>60256183</v>
      </c>
      <c r="AJ126">
        <v>114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ROW(Source!A121)</f>
        <v>121</v>
      </c>
      <c r="B127">
        <v>60256184</v>
      </c>
      <c r="C127">
        <v>60256177</v>
      </c>
      <c r="D127">
        <v>59045898</v>
      </c>
      <c r="E127">
        <v>1</v>
      </c>
      <c r="F127">
        <v>1</v>
      </c>
      <c r="G127">
        <v>1080</v>
      </c>
      <c r="H127">
        <v>3</v>
      </c>
      <c r="I127" t="s">
        <v>510</v>
      </c>
      <c r="J127" t="s">
        <v>511</v>
      </c>
      <c r="K127" t="s">
        <v>512</v>
      </c>
      <c r="L127">
        <v>1355</v>
      </c>
      <c r="N127">
        <v>1010</v>
      </c>
      <c r="O127" t="s">
        <v>96</v>
      </c>
      <c r="P127" t="s">
        <v>96</v>
      </c>
      <c r="Q127">
        <v>100</v>
      </c>
      <c r="X127">
        <v>6.06</v>
      </c>
      <c r="Y127">
        <v>154.72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6.06</v>
      </c>
      <c r="AH127">
        <v>2</v>
      </c>
      <c r="AI127">
        <v>60256184</v>
      </c>
      <c r="AJ127">
        <v>115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ROW(Source!A121)</f>
        <v>121</v>
      </c>
      <c r="B128">
        <v>60256185</v>
      </c>
      <c r="C128">
        <v>60256177</v>
      </c>
      <c r="D128">
        <v>59056195</v>
      </c>
      <c r="E128">
        <v>1</v>
      </c>
      <c r="F128">
        <v>1</v>
      </c>
      <c r="G128">
        <v>1080</v>
      </c>
      <c r="H128">
        <v>3</v>
      </c>
      <c r="I128" t="s">
        <v>513</v>
      </c>
      <c r="J128" t="s">
        <v>514</v>
      </c>
      <c r="K128" t="s">
        <v>515</v>
      </c>
      <c r="L128">
        <v>1354</v>
      </c>
      <c r="N128">
        <v>1010</v>
      </c>
      <c r="O128" t="s">
        <v>31</v>
      </c>
      <c r="P128" t="s">
        <v>31</v>
      </c>
      <c r="Q128">
        <v>1</v>
      </c>
      <c r="X128">
        <v>300</v>
      </c>
      <c r="Y128">
        <v>7.24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300</v>
      </c>
      <c r="AH128">
        <v>2</v>
      </c>
      <c r="AI128">
        <v>60256185</v>
      </c>
      <c r="AJ128">
        <v>116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ROW(Source!A121)</f>
        <v>121</v>
      </c>
      <c r="B129">
        <v>60256186</v>
      </c>
      <c r="C129">
        <v>60256177</v>
      </c>
      <c r="D129">
        <v>59049377</v>
      </c>
      <c r="E129">
        <v>1</v>
      </c>
      <c r="F129">
        <v>1</v>
      </c>
      <c r="G129">
        <v>1080</v>
      </c>
      <c r="H129">
        <v>3</v>
      </c>
      <c r="I129" t="s">
        <v>516</v>
      </c>
      <c r="J129" t="s">
        <v>517</v>
      </c>
      <c r="K129" t="s">
        <v>518</v>
      </c>
      <c r="L129">
        <v>1354</v>
      </c>
      <c r="N129">
        <v>1010</v>
      </c>
      <c r="O129" t="s">
        <v>31</v>
      </c>
      <c r="P129" t="s">
        <v>31</v>
      </c>
      <c r="Q129">
        <v>1</v>
      </c>
      <c r="X129">
        <v>1.026</v>
      </c>
      <c r="Y129">
        <v>6.12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1.026</v>
      </c>
      <c r="AH129">
        <v>2</v>
      </c>
      <c r="AI129">
        <v>60256186</v>
      </c>
      <c r="AJ129">
        <v>117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ROW(Source!A121)</f>
        <v>121</v>
      </c>
      <c r="B130">
        <v>60256187</v>
      </c>
      <c r="C130">
        <v>60256177</v>
      </c>
      <c r="D130">
        <v>59023217</v>
      </c>
      <c r="E130">
        <v>1080</v>
      </c>
      <c r="F130">
        <v>1</v>
      </c>
      <c r="G130">
        <v>1080</v>
      </c>
      <c r="H130">
        <v>3</v>
      </c>
      <c r="I130" t="s">
        <v>594</v>
      </c>
      <c r="J130" t="s">
        <v>3</v>
      </c>
      <c r="K130" t="s">
        <v>595</v>
      </c>
      <c r="L130">
        <v>1354</v>
      </c>
      <c r="N130">
        <v>1010</v>
      </c>
      <c r="O130" t="s">
        <v>31</v>
      </c>
      <c r="P130" t="s">
        <v>31</v>
      </c>
      <c r="Q130">
        <v>1</v>
      </c>
      <c r="X130">
        <v>100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</v>
      </c>
      <c r="AG130">
        <v>100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ROW(Source!A121)</f>
        <v>121</v>
      </c>
      <c r="B131">
        <v>60256188</v>
      </c>
      <c r="C131">
        <v>60256177</v>
      </c>
      <c r="D131">
        <v>59004259</v>
      </c>
      <c r="E131">
        <v>1080</v>
      </c>
      <c r="F131">
        <v>1</v>
      </c>
      <c r="G131">
        <v>1080</v>
      </c>
      <c r="H131">
        <v>3</v>
      </c>
      <c r="I131" t="s">
        <v>519</v>
      </c>
      <c r="J131" t="s">
        <v>3</v>
      </c>
      <c r="K131" t="s">
        <v>520</v>
      </c>
      <c r="L131">
        <v>1344</v>
      </c>
      <c r="N131">
        <v>1008</v>
      </c>
      <c r="O131" t="s">
        <v>521</v>
      </c>
      <c r="P131" t="s">
        <v>521</v>
      </c>
      <c r="Q131">
        <v>1</v>
      </c>
      <c r="X131">
        <v>0.06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0.06</v>
      </c>
      <c r="AH131">
        <v>2</v>
      </c>
      <c r="AI131">
        <v>60256188</v>
      </c>
      <c r="AJ131">
        <v>118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ROW(Source!A122)</f>
        <v>122</v>
      </c>
      <c r="B132">
        <v>60256178</v>
      </c>
      <c r="C132">
        <v>60256177</v>
      </c>
      <c r="D132">
        <v>58999254</v>
      </c>
      <c r="E132">
        <v>1080</v>
      </c>
      <c r="F132">
        <v>1</v>
      </c>
      <c r="G132">
        <v>1080</v>
      </c>
      <c r="H132">
        <v>1</v>
      </c>
      <c r="I132" t="s">
        <v>482</v>
      </c>
      <c r="J132" t="s">
        <v>3</v>
      </c>
      <c r="K132" t="s">
        <v>483</v>
      </c>
      <c r="L132">
        <v>1191</v>
      </c>
      <c r="N132">
        <v>1013</v>
      </c>
      <c r="O132" t="s">
        <v>484</v>
      </c>
      <c r="P132" t="s">
        <v>484</v>
      </c>
      <c r="Q132">
        <v>1</v>
      </c>
      <c r="X132">
        <v>97.55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199</v>
      </c>
      <c r="AG132">
        <v>123.40075</v>
      </c>
      <c r="AH132">
        <v>2</v>
      </c>
      <c r="AI132">
        <v>60256178</v>
      </c>
      <c r="AJ132">
        <v>119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ROW(Source!A122)</f>
        <v>122</v>
      </c>
      <c r="B133">
        <v>60256179</v>
      </c>
      <c r="C133">
        <v>60256177</v>
      </c>
      <c r="D133">
        <v>59070669</v>
      </c>
      <c r="E133">
        <v>1</v>
      </c>
      <c r="F133">
        <v>1</v>
      </c>
      <c r="G133">
        <v>1080</v>
      </c>
      <c r="H133">
        <v>2</v>
      </c>
      <c r="I133" t="s">
        <v>485</v>
      </c>
      <c r="J133" t="s">
        <v>486</v>
      </c>
      <c r="K133" t="s">
        <v>487</v>
      </c>
      <c r="L133">
        <v>1368</v>
      </c>
      <c r="N133">
        <v>1011</v>
      </c>
      <c r="O133" t="s">
        <v>488</v>
      </c>
      <c r="P133" t="s">
        <v>488</v>
      </c>
      <c r="Q133">
        <v>1</v>
      </c>
      <c r="X133">
        <v>0.56000000000000005</v>
      </c>
      <c r="Y133">
        <v>0</v>
      </c>
      <c r="Z133">
        <v>83.1</v>
      </c>
      <c r="AA133">
        <v>12.62</v>
      </c>
      <c r="AB133">
        <v>0</v>
      </c>
      <c r="AC133">
        <v>0</v>
      </c>
      <c r="AD133">
        <v>1</v>
      </c>
      <c r="AE133">
        <v>0</v>
      </c>
      <c r="AF133" t="s">
        <v>198</v>
      </c>
      <c r="AG133">
        <v>0.77000000000000013</v>
      </c>
      <c r="AH133">
        <v>2</v>
      </c>
      <c r="AI133">
        <v>60256179</v>
      </c>
      <c r="AJ133">
        <v>120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ROW(Source!A122)</f>
        <v>122</v>
      </c>
      <c r="B134">
        <v>60256181</v>
      </c>
      <c r="C134">
        <v>60256177</v>
      </c>
      <c r="D134">
        <v>59070721</v>
      </c>
      <c r="E134">
        <v>1</v>
      </c>
      <c r="F134">
        <v>1</v>
      </c>
      <c r="G134">
        <v>1080</v>
      </c>
      <c r="H134">
        <v>2</v>
      </c>
      <c r="I134" t="s">
        <v>497</v>
      </c>
      <c r="J134" t="s">
        <v>498</v>
      </c>
      <c r="K134" t="s">
        <v>499</v>
      </c>
      <c r="L134">
        <v>1368</v>
      </c>
      <c r="N134">
        <v>1011</v>
      </c>
      <c r="O134" t="s">
        <v>488</v>
      </c>
      <c r="P134" t="s">
        <v>488</v>
      </c>
      <c r="Q134">
        <v>1</v>
      </c>
      <c r="X134">
        <v>1.86</v>
      </c>
      <c r="Y134">
        <v>0</v>
      </c>
      <c r="Z134">
        <v>0.77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198</v>
      </c>
      <c r="AG134">
        <v>2.5575000000000001</v>
      </c>
      <c r="AH134">
        <v>2</v>
      </c>
      <c r="AI134">
        <v>60256181</v>
      </c>
      <c r="AJ134">
        <v>121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ROW(Source!A122)</f>
        <v>122</v>
      </c>
      <c r="B135">
        <v>60256182</v>
      </c>
      <c r="C135">
        <v>60256177</v>
      </c>
      <c r="D135">
        <v>59070754</v>
      </c>
      <c r="E135">
        <v>1</v>
      </c>
      <c r="F135">
        <v>1</v>
      </c>
      <c r="G135">
        <v>1080</v>
      </c>
      <c r="H135">
        <v>2</v>
      </c>
      <c r="I135" t="s">
        <v>500</v>
      </c>
      <c r="J135" t="s">
        <v>501</v>
      </c>
      <c r="K135" t="s">
        <v>502</v>
      </c>
      <c r="L135">
        <v>1368</v>
      </c>
      <c r="N135">
        <v>1011</v>
      </c>
      <c r="O135" t="s">
        <v>488</v>
      </c>
      <c r="P135" t="s">
        <v>488</v>
      </c>
      <c r="Q135">
        <v>1</v>
      </c>
      <c r="X135">
        <v>4.83</v>
      </c>
      <c r="Y135">
        <v>0</v>
      </c>
      <c r="Z135">
        <v>0.47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198</v>
      </c>
      <c r="AG135">
        <v>6.6412500000000012</v>
      </c>
      <c r="AH135">
        <v>2</v>
      </c>
      <c r="AI135">
        <v>60256182</v>
      </c>
      <c r="AJ135">
        <v>122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ROW(Source!A122)</f>
        <v>122</v>
      </c>
      <c r="B136">
        <v>60256180</v>
      </c>
      <c r="C136">
        <v>60256177</v>
      </c>
      <c r="D136">
        <v>59069905</v>
      </c>
      <c r="E136">
        <v>1</v>
      </c>
      <c r="F136">
        <v>1</v>
      </c>
      <c r="G136">
        <v>1080</v>
      </c>
      <c r="H136">
        <v>2</v>
      </c>
      <c r="I136" t="s">
        <v>503</v>
      </c>
      <c r="J136" t="s">
        <v>504</v>
      </c>
      <c r="K136" t="s">
        <v>505</v>
      </c>
      <c r="L136">
        <v>1368</v>
      </c>
      <c r="N136">
        <v>1011</v>
      </c>
      <c r="O136" t="s">
        <v>488</v>
      </c>
      <c r="P136" t="s">
        <v>488</v>
      </c>
      <c r="Q136">
        <v>1</v>
      </c>
      <c r="X136">
        <v>0.65</v>
      </c>
      <c r="Y136">
        <v>0</v>
      </c>
      <c r="Z136">
        <v>179.17</v>
      </c>
      <c r="AA136">
        <v>16.93</v>
      </c>
      <c r="AB136">
        <v>0</v>
      </c>
      <c r="AC136">
        <v>0</v>
      </c>
      <c r="AD136">
        <v>1</v>
      </c>
      <c r="AE136">
        <v>0</v>
      </c>
      <c r="AF136" t="s">
        <v>198</v>
      </c>
      <c r="AG136">
        <v>0.89375000000000004</v>
      </c>
      <c r="AH136">
        <v>2</v>
      </c>
      <c r="AI136">
        <v>60256180</v>
      </c>
      <c r="AJ136">
        <v>123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ROW(Source!A122)</f>
        <v>122</v>
      </c>
      <c r="B137">
        <v>60256183</v>
      </c>
      <c r="C137">
        <v>60256177</v>
      </c>
      <c r="D137">
        <v>59038905</v>
      </c>
      <c r="E137">
        <v>1</v>
      </c>
      <c r="F137">
        <v>1</v>
      </c>
      <c r="G137">
        <v>1080</v>
      </c>
      <c r="H137">
        <v>3</v>
      </c>
      <c r="I137" t="s">
        <v>506</v>
      </c>
      <c r="J137" t="s">
        <v>507</v>
      </c>
      <c r="K137" t="s">
        <v>508</v>
      </c>
      <c r="L137">
        <v>1339</v>
      </c>
      <c r="N137">
        <v>1007</v>
      </c>
      <c r="O137" t="s">
        <v>509</v>
      </c>
      <c r="P137" t="s">
        <v>509</v>
      </c>
      <c r="Q137">
        <v>1</v>
      </c>
      <c r="X137">
        <v>0.44800000000000001</v>
      </c>
      <c r="Y137">
        <v>7.07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0.44800000000000001</v>
      </c>
      <c r="AH137">
        <v>2</v>
      </c>
      <c r="AI137">
        <v>60256183</v>
      </c>
      <c r="AJ137">
        <v>124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ROW(Source!A122)</f>
        <v>122</v>
      </c>
      <c r="B138">
        <v>60256184</v>
      </c>
      <c r="C138">
        <v>60256177</v>
      </c>
      <c r="D138">
        <v>59045898</v>
      </c>
      <c r="E138">
        <v>1</v>
      </c>
      <c r="F138">
        <v>1</v>
      </c>
      <c r="G138">
        <v>1080</v>
      </c>
      <c r="H138">
        <v>3</v>
      </c>
      <c r="I138" t="s">
        <v>510</v>
      </c>
      <c r="J138" t="s">
        <v>511</v>
      </c>
      <c r="K138" t="s">
        <v>512</v>
      </c>
      <c r="L138">
        <v>1355</v>
      </c>
      <c r="N138">
        <v>1010</v>
      </c>
      <c r="O138" t="s">
        <v>96</v>
      </c>
      <c r="P138" t="s">
        <v>96</v>
      </c>
      <c r="Q138">
        <v>100</v>
      </c>
      <c r="X138">
        <v>6.06</v>
      </c>
      <c r="Y138">
        <v>154.72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6.06</v>
      </c>
      <c r="AH138">
        <v>2</v>
      </c>
      <c r="AI138">
        <v>60256184</v>
      </c>
      <c r="AJ138">
        <v>125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ROW(Source!A122)</f>
        <v>122</v>
      </c>
      <c r="B139">
        <v>60256185</v>
      </c>
      <c r="C139">
        <v>60256177</v>
      </c>
      <c r="D139">
        <v>59056195</v>
      </c>
      <c r="E139">
        <v>1</v>
      </c>
      <c r="F139">
        <v>1</v>
      </c>
      <c r="G139">
        <v>1080</v>
      </c>
      <c r="H139">
        <v>3</v>
      </c>
      <c r="I139" t="s">
        <v>513</v>
      </c>
      <c r="J139" t="s">
        <v>514</v>
      </c>
      <c r="K139" t="s">
        <v>515</v>
      </c>
      <c r="L139">
        <v>1354</v>
      </c>
      <c r="N139">
        <v>1010</v>
      </c>
      <c r="O139" t="s">
        <v>31</v>
      </c>
      <c r="P139" t="s">
        <v>31</v>
      </c>
      <c r="Q139">
        <v>1</v>
      </c>
      <c r="X139">
        <v>300</v>
      </c>
      <c r="Y139">
        <v>7.24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300</v>
      </c>
      <c r="AH139">
        <v>2</v>
      </c>
      <c r="AI139">
        <v>60256185</v>
      </c>
      <c r="AJ139">
        <v>126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ROW(Source!A122)</f>
        <v>122</v>
      </c>
      <c r="B140">
        <v>60256186</v>
      </c>
      <c r="C140">
        <v>60256177</v>
      </c>
      <c r="D140">
        <v>59049377</v>
      </c>
      <c r="E140">
        <v>1</v>
      </c>
      <c r="F140">
        <v>1</v>
      </c>
      <c r="G140">
        <v>1080</v>
      </c>
      <c r="H140">
        <v>3</v>
      </c>
      <c r="I140" t="s">
        <v>516</v>
      </c>
      <c r="J140" t="s">
        <v>517</v>
      </c>
      <c r="K140" t="s">
        <v>518</v>
      </c>
      <c r="L140">
        <v>1354</v>
      </c>
      <c r="N140">
        <v>1010</v>
      </c>
      <c r="O140" t="s">
        <v>31</v>
      </c>
      <c r="P140" t="s">
        <v>31</v>
      </c>
      <c r="Q140">
        <v>1</v>
      </c>
      <c r="X140">
        <v>1.026</v>
      </c>
      <c r="Y140">
        <v>6.12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1.026</v>
      </c>
      <c r="AH140">
        <v>2</v>
      </c>
      <c r="AI140">
        <v>60256186</v>
      </c>
      <c r="AJ140">
        <v>127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ROW(Source!A122)</f>
        <v>122</v>
      </c>
      <c r="B141">
        <v>60256187</v>
      </c>
      <c r="C141">
        <v>60256177</v>
      </c>
      <c r="D141">
        <v>59023217</v>
      </c>
      <c r="E141">
        <v>1080</v>
      </c>
      <c r="F141">
        <v>1</v>
      </c>
      <c r="G141">
        <v>1080</v>
      </c>
      <c r="H141">
        <v>3</v>
      </c>
      <c r="I141" t="s">
        <v>594</v>
      </c>
      <c r="J141" t="s">
        <v>3</v>
      </c>
      <c r="K141" t="s">
        <v>595</v>
      </c>
      <c r="L141">
        <v>1354</v>
      </c>
      <c r="N141">
        <v>1010</v>
      </c>
      <c r="O141" t="s">
        <v>31</v>
      </c>
      <c r="P141" t="s">
        <v>31</v>
      </c>
      <c r="Q141">
        <v>1</v>
      </c>
      <c r="X141">
        <v>100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3</v>
      </c>
      <c r="AG141">
        <v>100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ROW(Source!A122)</f>
        <v>122</v>
      </c>
      <c r="B142">
        <v>60256188</v>
      </c>
      <c r="C142">
        <v>60256177</v>
      </c>
      <c r="D142">
        <v>59004259</v>
      </c>
      <c r="E142">
        <v>1080</v>
      </c>
      <c r="F142">
        <v>1</v>
      </c>
      <c r="G142">
        <v>1080</v>
      </c>
      <c r="H142">
        <v>3</v>
      </c>
      <c r="I142" t="s">
        <v>519</v>
      </c>
      <c r="J142" t="s">
        <v>3</v>
      </c>
      <c r="K142" t="s">
        <v>520</v>
      </c>
      <c r="L142">
        <v>1344</v>
      </c>
      <c r="N142">
        <v>1008</v>
      </c>
      <c r="O142" t="s">
        <v>521</v>
      </c>
      <c r="P142" t="s">
        <v>521</v>
      </c>
      <c r="Q142">
        <v>1</v>
      </c>
      <c r="X142">
        <v>0.06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0.06</v>
      </c>
      <c r="AH142">
        <v>2</v>
      </c>
      <c r="AI142">
        <v>60256188</v>
      </c>
      <c r="AJ142">
        <v>128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ROW(Source!A125)</f>
        <v>125</v>
      </c>
      <c r="B143">
        <v>60256245</v>
      </c>
      <c r="C143">
        <v>60256234</v>
      </c>
      <c r="D143">
        <v>58999254</v>
      </c>
      <c r="E143">
        <v>1080</v>
      </c>
      <c r="F143">
        <v>1</v>
      </c>
      <c r="G143">
        <v>1080</v>
      </c>
      <c r="H143">
        <v>1</v>
      </c>
      <c r="I143" t="s">
        <v>482</v>
      </c>
      <c r="J143" t="s">
        <v>3</v>
      </c>
      <c r="K143" t="s">
        <v>483</v>
      </c>
      <c r="L143">
        <v>1191</v>
      </c>
      <c r="N143">
        <v>1013</v>
      </c>
      <c r="O143" t="s">
        <v>484</v>
      </c>
      <c r="P143" t="s">
        <v>484</v>
      </c>
      <c r="Q143">
        <v>1</v>
      </c>
      <c r="X143">
        <v>74.7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 t="s">
        <v>99</v>
      </c>
      <c r="AG143">
        <v>94.495500000000007</v>
      </c>
      <c r="AH143">
        <v>2</v>
      </c>
      <c r="AI143">
        <v>60256235</v>
      </c>
      <c r="AJ143">
        <v>129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ROW(Source!A125)</f>
        <v>125</v>
      </c>
      <c r="B144">
        <v>60256246</v>
      </c>
      <c r="C144">
        <v>60256234</v>
      </c>
      <c r="D144">
        <v>59070669</v>
      </c>
      <c r="E144">
        <v>1</v>
      </c>
      <c r="F144">
        <v>1</v>
      </c>
      <c r="G144">
        <v>1080</v>
      </c>
      <c r="H144">
        <v>2</v>
      </c>
      <c r="I144" t="s">
        <v>485</v>
      </c>
      <c r="J144" t="s">
        <v>486</v>
      </c>
      <c r="K144" t="s">
        <v>487</v>
      </c>
      <c r="L144">
        <v>1368</v>
      </c>
      <c r="N144">
        <v>1011</v>
      </c>
      <c r="O144" t="s">
        <v>488</v>
      </c>
      <c r="P144" t="s">
        <v>488</v>
      </c>
      <c r="Q144">
        <v>1</v>
      </c>
      <c r="X144">
        <v>0.32</v>
      </c>
      <c r="Y144">
        <v>0</v>
      </c>
      <c r="Z144">
        <v>83.1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98</v>
      </c>
      <c r="AG144">
        <v>0.44000000000000006</v>
      </c>
      <c r="AH144">
        <v>2</v>
      </c>
      <c r="AI144">
        <v>60256236</v>
      </c>
      <c r="AJ144">
        <v>130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ROW(Source!A125)</f>
        <v>125</v>
      </c>
      <c r="B145">
        <v>60256248</v>
      </c>
      <c r="C145">
        <v>60256234</v>
      </c>
      <c r="D145">
        <v>59070721</v>
      </c>
      <c r="E145">
        <v>1</v>
      </c>
      <c r="F145">
        <v>1</v>
      </c>
      <c r="G145">
        <v>1080</v>
      </c>
      <c r="H145">
        <v>2</v>
      </c>
      <c r="I145" t="s">
        <v>497</v>
      </c>
      <c r="J145" t="s">
        <v>498</v>
      </c>
      <c r="K145" t="s">
        <v>499</v>
      </c>
      <c r="L145">
        <v>1368</v>
      </c>
      <c r="N145">
        <v>1011</v>
      </c>
      <c r="O145" t="s">
        <v>488</v>
      </c>
      <c r="P145" t="s">
        <v>488</v>
      </c>
      <c r="Q145">
        <v>1</v>
      </c>
      <c r="X145">
        <v>1.24</v>
      </c>
      <c r="Y145">
        <v>0</v>
      </c>
      <c r="Z145">
        <v>0.77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98</v>
      </c>
      <c r="AG145">
        <v>1.7050000000000003</v>
      </c>
      <c r="AH145">
        <v>2</v>
      </c>
      <c r="AI145">
        <v>60256238</v>
      </c>
      <c r="AJ145">
        <v>131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ROW(Source!A125)</f>
        <v>125</v>
      </c>
      <c r="B146">
        <v>60256249</v>
      </c>
      <c r="C146">
        <v>60256234</v>
      </c>
      <c r="D146">
        <v>59070754</v>
      </c>
      <c r="E146">
        <v>1</v>
      </c>
      <c r="F146">
        <v>1</v>
      </c>
      <c r="G146">
        <v>1080</v>
      </c>
      <c r="H146">
        <v>2</v>
      </c>
      <c r="I146" t="s">
        <v>500</v>
      </c>
      <c r="J146" t="s">
        <v>501</v>
      </c>
      <c r="K146" t="s">
        <v>502</v>
      </c>
      <c r="L146">
        <v>1368</v>
      </c>
      <c r="N146">
        <v>1011</v>
      </c>
      <c r="O146" t="s">
        <v>488</v>
      </c>
      <c r="P146" t="s">
        <v>488</v>
      </c>
      <c r="Q146">
        <v>1</v>
      </c>
      <c r="X146">
        <v>3.22</v>
      </c>
      <c r="Y146">
        <v>0</v>
      </c>
      <c r="Z146">
        <v>0.47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98</v>
      </c>
      <c r="AG146">
        <v>4.4275000000000011</v>
      </c>
      <c r="AH146">
        <v>2</v>
      </c>
      <c r="AI146">
        <v>60256239</v>
      </c>
      <c r="AJ146">
        <v>132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ROW(Source!A125)</f>
        <v>125</v>
      </c>
      <c r="B147">
        <v>60256247</v>
      </c>
      <c r="C147">
        <v>60256234</v>
      </c>
      <c r="D147">
        <v>59069905</v>
      </c>
      <c r="E147">
        <v>1</v>
      </c>
      <c r="F147">
        <v>1</v>
      </c>
      <c r="G147">
        <v>1080</v>
      </c>
      <c r="H147">
        <v>2</v>
      </c>
      <c r="I147" t="s">
        <v>503</v>
      </c>
      <c r="J147" t="s">
        <v>504</v>
      </c>
      <c r="K147" t="s">
        <v>505</v>
      </c>
      <c r="L147">
        <v>1368</v>
      </c>
      <c r="N147">
        <v>1011</v>
      </c>
      <c r="O147" t="s">
        <v>488</v>
      </c>
      <c r="P147" t="s">
        <v>488</v>
      </c>
      <c r="Q147">
        <v>1</v>
      </c>
      <c r="X147">
        <v>0.37</v>
      </c>
      <c r="Y147">
        <v>0</v>
      </c>
      <c r="Z147">
        <v>179.17</v>
      </c>
      <c r="AA147">
        <v>16.93</v>
      </c>
      <c r="AB147">
        <v>0</v>
      </c>
      <c r="AC147">
        <v>0</v>
      </c>
      <c r="AD147">
        <v>1</v>
      </c>
      <c r="AE147">
        <v>0</v>
      </c>
      <c r="AF147" t="s">
        <v>98</v>
      </c>
      <c r="AG147">
        <v>0.50875000000000004</v>
      </c>
      <c r="AH147">
        <v>2</v>
      </c>
      <c r="AI147">
        <v>60256237</v>
      </c>
      <c r="AJ147">
        <v>133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ROW(Source!A125)</f>
        <v>125</v>
      </c>
      <c r="B148">
        <v>60256250</v>
      </c>
      <c r="C148">
        <v>60256234</v>
      </c>
      <c r="D148">
        <v>59038905</v>
      </c>
      <c r="E148">
        <v>1</v>
      </c>
      <c r="F148">
        <v>1</v>
      </c>
      <c r="G148">
        <v>1080</v>
      </c>
      <c r="H148">
        <v>3</v>
      </c>
      <c r="I148" t="s">
        <v>506</v>
      </c>
      <c r="J148" t="s">
        <v>507</v>
      </c>
      <c r="K148" t="s">
        <v>508</v>
      </c>
      <c r="L148">
        <v>1339</v>
      </c>
      <c r="N148">
        <v>1007</v>
      </c>
      <c r="O148" t="s">
        <v>509</v>
      </c>
      <c r="P148" t="s">
        <v>509</v>
      </c>
      <c r="Q148">
        <v>1</v>
      </c>
      <c r="X148">
        <v>0.22700000000000001</v>
      </c>
      <c r="Y148">
        <v>7.07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3</v>
      </c>
      <c r="AG148">
        <v>0.22700000000000001</v>
      </c>
      <c r="AH148">
        <v>2</v>
      </c>
      <c r="AI148">
        <v>60256240</v>
      </c>
      <c r="AJ148">
        <v>134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ROW(Source!A125)</f>
        <v>125</v>
      </c>
      <c r="B149">
        <v>60256251</v>
      </c>
      <c r="C149">
        <v>60256234</v>
      </c>
      <c r="D149">
        <v>59045898</v>
      </c>
      <c r="E149">
        <v>1</v>
      </c>
      <c r="F149">
        <v>1</v>
      </c>
      <c r="G149">
        <v>1080</v>
      </c>
      <c r="H149">
        <v>3</v>
      </c>
      <c r="I149" t="s">
        <v>510</v>
      </c>
      <c r="J149" t="s">
        <v>511</v>
      </c>
      <c r="K149" t="s">
        <v>512</v>
      </c>
      <c r="L149">
        <v>1355</v>
      </c>
      <c r="N149">
        <v>1010</v>
      </c>
      <c r="O149" t="s">
        <v>96</v>
      </c>
      <c r="P149" t="s">
        <v>96</v>
      </c>
      <c r="Q149">
        <v>100</v>
      </c>
      <c r="X149">
        <v>4.04</v>
      </c>
      <c r="Y149">
        <v>154.72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4.04</v>
      </c>
      <c r="AH149">
        <v>2</v>
      </c>
      <c r="AI149">
        <v>60256241</v>
      </c>
      <c r="AJ149">
        <v>135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ROW(Source!A125)</f>
        <v>125</v>
      </c>
      <c r="B150">
        <v>60256252</v>
      </c>
      <c r="C150">
        <v>60256234</v>
      </c>
      <c r="D150">
        <v>59056195</v>
      </c>
      <c r="E150">
        <v>1</v>
      </c>
      <c r="F150">
        <v>1</v>
      </c>
      <c r="G150">
        <v>1080</v>
      </c>
      <c r="H150">
        <v>3</v>
      </c>
      <c r="I150" t="s">
        <v>513</v>
      </c>
      <c r="J150" t="s">
        <v>514</v>
      </c>
      <c r="K150" t="s">
        <v>515</v>
      </c>
      <c r="L150">
        <v>1354</v>
      </c>
      <c r="N150">
        <v>1010</v>
      </c>
      <c r="O150" t="s">
        <v>31</v>
      </c>
      <c r="P150" t="s">
        <v>31</v>
      </c>
      <c r="Q150">
        <v>1</v>
      </c>
      <c r="X150">
        <v>200</v>
      </c>
      <c r="Y150">
        <v>7.24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200</v>
      </c>
      <c r="AH150">
        <v>2</v>
      </c>
      <c r="AI150">
        <v>60256242</v>
      </c>
      <c r="AJ150">
        <v>136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ROW(Source!A125)</f>
        <v>125</v>
      </c>
      <c r="B151">
        <v>60256253</v>
      </c>
      <c r="C151">
        <v>60256234</v>
      </c>
      <c r="D151">
        <v>59049377</v>
      </c>
      <c r="E151">
        <v>1</v>
      </c>
      <c r="F151">
        <v>1</v>
      </c>
      <c r="G151">
        <v>1080</v>
      </c>
      <c r="H151">
        <v>3</v>
      </c>
      <c r="I151" t="s">
        <v>516</v>
      </c>
      <c r="J151" t="s">
        <v>517</v>
      </c>
      <c r="K151" t="s">
        <v>518</v>
      </c>
      <c r="L151">
        <v>1354</v>
      </c>
      <c r="N151">
        <v>1010</v>
      </c>
      <c r="O151" t="s">
        <v>31</v>
      </c>
      <c r="P151" t="s">
        <v>31</v>
      </c>
      <c r="Q151">
        <v>1</v>
      </c>
      <c r="X151">
        <v>0.68400000000000005</v>
      </c>
      <c r="Y151">
        <v>6.12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0.68400000000000005</v>
      </c>
      <c r="AH151">
        <v>2</v>
      </c>
      <c r="AI151">
        <v>60256243</v>
      </c>
      <c r="AJ151">
        <v>137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ROW(Source!A125)</f>
        <v>125</v>
      </c>
      <c r="B152">
        <v>60256254</v>
      </c>
      <c r="C152">
        <v>60256234</v>
      </c>
      <c r="D152">
        <v>59023215</v>
      </c>
      <c r="E152">
        <v>1080</v>
      </c>
      <c r="F152">
        <v>1</v>
      </c>
      <c r="G152">
        <v>1080</v>
      </c>
      <c r="H152">
        <v>3</v>
      </c>
      <c r="I152" t="s">
        <v>594</v>
      </c>
      <c r="J152" t="s">
        <v>3</v>
      </c>
      <c r="K152" t="s">
        <v>595</v>
      </c>
      <c r="L152">
        <v>1354</v>
      </c>
      <c r="N152">
        <v>1010</v>
      </c>
      <c r="O152" t="s">
        <v>31</v>
      </c>
      <c r="P152" t="s">
        <v>31</v>
      </c>
      <c r="Q152">
        <v>1</v>
      </c>
      <c r="X152">
        <v>100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</v>
      </c>
      <c r="AG152">
        <v>100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ROW(Source!A125)</f>
        <v>125</v>
      </c>
      <c r="B153">
        <v>60256255</v>
      </c>
      <c r="C153">
        <v>60256234</v>
      </c>
      <c r="D153">
        <v>59004259</v>
      </c>
      <c r="E153">
        <v>1080</v>
      </c>
      <c r="F153">
        <v>1</v>
      </c>
      <c r="G153">
        <v>1080</v>
      </c>
      <c r="H153">
        <v>3</v>
      </c>
      <c r="I153" t="s">
        <v>519</v>
      </c>
      <c r="J153" t="s">
        <v>3</v>
      </c>
      <c r="K153" t="s">
        <v>520</v>
      </c>
      <c r="L153">
        <v>1344</v>
      </c>
      <c r="N153">
        <v>1008</v>
      </c>
      <c r="O153" t="s">
        <v>521</v>
      </c>
      <c r="P153" t="s">
        <v>521</v>
      </c>
      <c r="Q153">
        <v>1</v>
      </c>
      <c r="X153">
        <v>0.04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0.04</v>
      </c>
      <c r="AH153">
        <v>2</v>
      </c>
      <c r="AI153">
        <v>60256244</v>
      </c>
      <c r="AJ153">
        <v>138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ROW(Source!A126)</f>
        <v>126</v>
      </c>
      <c r="B154">
        <v>60256245</v>
      </c>
      <c r="C154">
        <v>60256234</v>
      </c>
      <c r="D154">
        <v>58999254</v>
      </c>
      <c r="E154">
        <v>1080</v>
      </c>
      <c r="F154">
        <v>1</v>
      </c>
      <c r="G154">
        <v>1080</v>
      </c>
      <c r="H154">
        <v>1</v>
      </c>
      <c r="I154" t="s">
        <v>482</v>
      </c>
      <c r="J154" t="s">
        <v>3</v>
      </c>
      <c r="K154" t="s">
        <v>483</v>
      </c>
      <c r="L154">
        <v>1191</v>
      </c>
      <c r="N154">
        <v>1013</v>
      </c>
      <c r="O154" t="s">
        <v>484</v>
      </c>
      <c r="P154" t="s">
        <v>484</v>
      </c>
      <c r="Q154">
        <v>1</v>
      </c>
      <c r="X154">
        <v>74.7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99</v>
      </c>
      <c r="AG154">
        <v>94.495500000000007</v>
      </c>
      <c r="AH154">
        <v>2</v>
      </c>
      <c r="AI154">
        <v>60256235</v>
      </c>
      <c r="AJ154">
        <v>139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ROW(Source!A126)</f>
        <v>126</v>
      </c>
      <c r="B155">
        <v>60256246</v>
      </c>
      <c r="C155">
        <v>60256234</v>
      </c>
      <c r="D155">
        <v>59070669</v>
      </c>
      <c r="E155">
        <v>1</v>
      </c>
      <c r="F155">
        <v>1</v>
      </c>
      <c r="G155">
        <v>1080</v>
      </c>
      <c r="H155">
        <v>2</v>
      </c>
      <c r="I155" t="s">
        <v>485</v>
      </c>
      <c r="J155" t="s">
        <v>486</v>
      </c>
      <c r="K155" t="s">
        <v>487</v>
      </c>
      <c r="L155">
        <v>1368</v>
      </c>
      <c r="N155">
        <v>1011</v>
      </c>
      <c r="O155" t="s">
        <v>488</v>
      </c>
      <c r="P155" t="s">
        <v>488</v>
      </c>
      <c r="Q155">
        <v>1</v>
      </c>
      <c r="X155">
        <v>0.32</v>
      </c>
      <c r="Y155">
        <v>0</v>
      </c>
      <c r="Z155">
        <v>83.1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98</v>
      </c>
      <c r="AG155">
        <v>0.44000000000000006</v>
      </c>
      <c r="AH155">
        <v>2</v>
      </c>
      <c r="AI155">
        <v>60256236</v>
      </c>
      <c r="AJ155">
        <v>140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ROW(Source!A126)</f>
        <v>126</v>
      </c>
      <c r="B156">
        <v>60256248</v>
      </c>
      <c r="C156">
        <v>60256234</v>
      </c>
      <c r="D156">
        <v>59070721</v>
      </c>
      <c r="E156">
        <v>1</v>
      </c>
      <c r="F156">
        <v>1</v>
      </c>
      <c r="G156">
        <v>1080</v>
      </c>
      <c r="H156">
        <v>2</v>
      </c>
      <c r="I156" t="s">
        <v>497</v>
      </c>
      <c r="J156" t="s">
        <v>498</v>
      </c>
      <c r="K156" t="s">
        <v>499</v>
      </c>
      <c r="L156">
        <v>1368</v>
      </c>
      <c r="N156">
        <v>1011</v>
      </c>
      <c r="O156" t="s">
        <v>488</v>
      </c>
      <c r="P156" t="s">
        <v>488</v>
      </c>
      <c r="Q156">
        <v>1</v>
      </c>
      <c r="X156">
        <v>1.24</v>
      </c>
      <c r="Y156">
        <v>0</v>
      </c>
      <c r="Z156">
        <v>0.77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98</v>
      </c>
      <c r="AG156">
        <v>1.7050000000000003</v>
      </c>
      <c r="AH156">
        <v>2</v>
      </c>
      <c r="AI156">
        <v>60256238</v>
      </c>
      <c r="AJ156">
        <v>141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ROW(Source!A126)</f>
        <v>126</v>
      </c>
      <c r="B157">
        <v>60256249</v>
      </c>
      <c r="C157">
        <v>60256234</v>
      </c>
      <c r="D157">
        <v>59070754</v>
      </c>
      <c r="E157">
        <v>1</v>
      </c>
      <c r="F157">
        <v>1</v>
      </c>
      <c r="G157">
        <v>1080</v>
      </c>
      <c r="H157">
        <v>2</v>
      </c>
      <c r="I157" t="s">
        <v>500</v>
      </c>
      <c r="J157" t="s">
        <v>501</v>
      </c>
      <c r="K157" t="s">
        <v>502</v>
      </c>
      <c r="L157">
        <v>1368</v>
      </c>
      <c r="N157">
        <v>1011</v>
      </c>
      <c r="O157" t="s">
        <v>488</v>
      </c>
      <c r="P157" t="s">
        <v>488</v>
      </c>
      <c r="Q157">
        <v>1</v>
      </c>
      <c r="X157">
        <v>3.22</v>
      </c>
      <c r="Y157">
        <v>0</v>
      </c>
      <c r="Z157">
        <v>0.47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98</v>
      </c>
      <c r="AG157">
        <v>4.4275000000000011</v>
      </c>
      <c r="AH157">
        <v>2</v>
      </c>
      <c r="AI157">
        <v>60256239</v>
      </c>
      <c r="AJ157">
        <v>142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ROW(Source!A126)</f>
        <v>126</v>
      </c>
      <c r="B158">
        <v>60256247</v>
      </c>
      <c r="C158">
        <v>60256234</v>
      </c>
      <c r="D158">
        <v>59069905</v>
      </c>
      <c r="E158">
        <v>1</v>
      </c>
      <c r="F158">
        <v>1</v>
      </c>
      <c r="G158">
        <v>1080</v>
      </c>
      <c r="H158">
        <v>2</v>
      </c>
      <c r="I158" t="s">
        <v>503</v>
      </c>
      <c r="J158" t="s">
        <v>504</v>
      </c>
      <c r="K158" t="s">
        <v>505</v>
      </c>
      <c r="L158">
        <v>1368</v>
      </c>
      <c r="N158">
        <v>1011</v>
      </c>
      <c r="O158" t="s">
        <v>488</v>
      </c>
      <c r="P158" t="s">
        <v>488</v>
      </c>
      <c r="Q158">
        <v>1</v>
      </c>
      <c r="X158">
        <v>0.37</v>
      </c>
      <c r="Y158">
        <v>0</v>
      </c>
      <c r="Z158">
        <v>179.17</v>
      </c>
      <c r="AA158">
        <v>16.93</v>
      </c>
      <c r="AB158">
        <v>0</v>
      </c>
      <c r="AC158">
        <v>0</v>
      </c>
      <c r="AD158">
        <v>1</v>
      </c>
      <c r="AE158">
        <v>0</v>
      </c>
      <c r="AF158" t="s">
        <v>98</v>
      </c>
      <c r="AG158">
        <v>0.50875000000000004</v>
      </c>
      <c r="AH158">
        <v>2</v>
      </c>
      <c r="AI158">
        <v>60256237</v>
      </c>
      <c r="AJ158">
        <v>143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ROW(Source!A126)</f>
        <v>126</v>
      </c>
      <c r="B159">
        <v>60256250</v>
      </c>
      <c r="C159">
        <v>60256234</v>
      </c>
      <c r="D159">
        <v>59038905</v>
      </c>
      <c r="E159">
        <v>1</v>
      </c>
      <c r="F159">
        <v>1</v>
      </c>
      <c r="G159">
        <v>1080</v>
      </c>
      <c r="H159">
        <v>3</v>
      </c>
      <c r="I159" t="s">
        <v>506</v>
      </c>
      <c r="J159" t="s">
        <v>507</v>
      </c>
      <c r="K159" t="s">
        <v>508</v>
      </c>
      <c r="L159">
        <v>1339</v>
      </c>
      <c r="N159">
        <v>1007</v>
      </c>
      <c r="O159" t="s">
        <v>509</v>
      </c>
      <c r="P159" t="s">
        <v>509</v>
      </c>
      <c r="Q159">
        <v>1</v>
      </c>
      <c r="X159">
        <v>0.22700000000000001</v>
      </c>
      <c r="Y159">
        <v>7.07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</v>
      </c>
      <c r="AG159">
        <v>0.22700000000000001</v>
      </c>
      <c r="AH159">
        <v>2</v>
      </c>
      <c r="AI159">
        <v>60256240</v>
      </c>
      <c r="AJ159">
        <v>144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ROW(Source!A126)</f>
        <v>126</v>
      </c>
      <c r="B160">
        <v>60256251</v>
      </c>
      <c r="C160">
        <v>60256234</v>
      </c>
      <c r="D160">
        <v>59045898</v>
      </c>
      <c r="E160">
        <v>1</v>
      </c>
      <c r="F160">
        <v>1</v>
      </c>
      <c r="G160">
        <v>1080</v>
      </c>
      <c r="H160">
        <v>3</v>
      </c>
      <c r="I160" t="s">
        <v>510</v>
      </c>
      <c r="J160" t="s">
        <v>511</v>
      </c>
      <c r="K160" t="s">
        <v>512</v>
      </c>
      <c r="L160">
        <v>1355</v>
      </c>
      <c r="N160">
        <v>1010</v>
      </c>
      <c r="O160" t="s">
        <v>96</v>
      </c>
      <c r="P160" t="s">
        <v>96</v>
      </c>
      <c r="Q160">
        <v>100</v>
      </c>
      <c r="X160">
        <v>4.04</v>
      </c>
      <c r="Y160">
        <v>154.72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3</v>
      </c>
      <c r="AG160">
        <v>4.04</v>
      </c>
      <c r="AH160">
        <v>2</v>
      </c>
      <c r="AI160">
        <v>60256241</v>
      </c>
      <c r="AJ160">
        <v>145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ROW(Source!A126)</f>
        <v>126</v>
      </c>
      <c r="B161">
        <v>60256252</v>
      </c>
      <c r="C161">
        <v>60256234</v>
      </c>
      <c r="D161">
        <v>59056195</v>
      </c>
      <c r="E161">
        <v>1</v>
      </c>
      <c r="F161">
        <v>1</v>
      </c>
      <c r="G161">
        <v>1080</v>
      </c>
      <c r="H161">
        <v>3</v>
      </c>
      <c r="I161" t="s">
        <v>513</v>
      </c>
      <c r="J161" t="s">
        <v>514</v>
      </c>
      <c r="K161" t="s">
        <v>515</v>
      </c>
      <c r="L161">
        <v>1354</v>
      </c>
      <c r="N161">
        <v>1010</v>
      </c>
      <c r="O161" t="s">
        <v>31</v>
      </c>
      <c r="P161" t="s">
        <v>31</v>
      </c>
      <c r="Q161">
        <v>1</v>
      </c>
      <c r="X161">
        <v>200</v>
      </c>
      <c r="Y161">
        <v>7.24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3</v>
      </c>
      <c r="AG161">
        <v>200</v>
      </c>
      <c r="AH161">
        <v>2</v>
      </c>
      <c r="AI161">
        <v>60256242</v>
      </c>
      <c r="AJ161">
        <v>146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ROW(Source!A126)</f>
        <v>126</v>
      </c>
      <c r="B162">
        <v>60256253</v>
      </c>
      <c r="C162">
        <v>60256234</v>
      </c>
      <c r="D162">
        <v>59049377</v>
      </c>
      <c r="E162">
        <v>1</v>
      </c>
      <c r="F162">
        <v>1</v>
      </c>
      <c r="G162">
        <v>1080</v>
      </c>
      <c r="H162">
        <v>3</v>
      </c>
      <c r="I162" t="s">
        <v>516</v>
      </c>
      <c r="J162" t="s">
        <v>517</v>
      </c>
      <c r="K162" t="s">
        <v>518</v>
      </c>
      <c r="L162">
        <v>1354</v>
      </c>
      <c r="N162">
        <v>1010</v>
      </c>
      <c r="O162" t="s">
        <v>31</v>
      </c>
      <c r="P162" t="s">
        <v>31</v>
      </c>
      <c r="Q162">
        <v>1</v>
      </c>
      <c r="X162">
        <v>0.68400000000000005</v>
      </c>
      <c r="Y162">
        <v>6.12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0.68400000000000005</v>
      </c>
      <c r="AH162">
        <v>2</v>
      </c>
      <c r="AI162">
        <v>60256243</v>
      </c>
      <c r="AJ162">
        <v>147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ROW(Source!A126)</f>
        <v>126</v>
      </c>
      <c r="B163">
        <v>60256254</v>
      </c>
      <c r="C163">
        <v>60256234</v>
      </c>
      <c r="D163">
        <v>59023215</v>
      </c>
      <c r="E163">
        <v>1080</v>
      </c>
      <c r="F163">
        <v>1</v>
      </c>
      <c r="G163">
        <v>1080</v>
      </c>
      <c r="H163">
        <v>3</v>
      </c>
      <c r="I163" t="s">
        <v>594</v>
      </c>
      <c r="J163" t="s">
        <v>3</v>
      </c>
      <c r="K163" t="s">
        <v>595</v>
      </c>
      <c r="L163">
        <v>1354</v>
      </c>
      <c r="N163">
        <v>1010</v>
      </c>
      <c r="O163" t="s">
        <v>31</v>
      </c>
      <c r="P163" t="s">
        <v>31</v>
      </c>
      <c r="Q163">
        <v>1</v>
      </c>
      <c r="X163">
        <v>100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3</v>
      </c>
      <c r="AG163">
        <v>100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ROW(Source!A126)</f>
        <v>126</v>
      </c>
      <c r="B164">
        <v>60256255</v>
      </c>
      <c r="C164">
        <v>60256234</v>
      </c>
      <c r="D164">
        <v>59004259</v>
      </c>
      <c r="E164">
        <v>1080</v>
      </c>
      <c r="F164">
        <v>1</v>
      </c>
      <c r="G164">
        <v>1080</v>
      </c>
      <c r="H164">
        <v>3</v>
      </c>
      <c r="I164" t="s">
        <v>519</v>
      </c>
      <c r="J164" t="s">
        <v>3</v>
      </c>
      <c r="K164" t="s">
        <v>520</v>
      </c>
      <c r="L164">
        <v>1344</v>
      </c>
      <c r="N164">
        <v>1008</v>
      </c>
      <c r="O164" t="s">
        <v>521</v>
      </c>
      <c r="P164" t="s">
        <v>521</v>
      </c>
      <c r="Q164">
        <v>1</v>
      </c>
      <c r="X164">
        <v>0.04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0.04</v>
      </c>
      <c r="AH164">
        <v>2</v>
      </c>
      <c r="AI164">
        <v>60256244</v>
      </c>
      <c r="AJ164">
        <v>148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ROW(Source!A135)</f>
        <v>135</v>
      </c>
      <c r="B165">
        <v>60256267</v>
      </c>
      <c r="C165">
        <v>60256256</v>
      </c>
      <c r="D165">
        <v>58999254</v>
      </c>
      <c r="E165">
        <v>1080</v>
      </c>
      <c r="F165">
        <v>1</v>
      </c>
      <c r="G165">
        <v>1080</v>
      </c>
      <c r="H165">
        <v>1</v>
      </c>
      <c r="I165" t="s">
        <v>482</v>
      </c>
      <c r="J165" t="s">
        <v>3</v>
      </c>
      <c r="K165" t="s">
        <v>483</v>
      </c>
      <c r="L165">
        <v>1191</v>
      </c>
      <c r="N165">
        <v>1013</v>
      </c>
      <c r="O165" t="s">
        <v>484</v>
      </c>
      <c r="P165" t="s">
        <v>484</v>
      </c>
      <c r="Q165">
        <v>1</v>
      </c>
      <c r="X165">
        <v>97.55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 t="s">
        <v>199</v>
      </c>
      <c r="AG165">
        <v>123.40075</v>
      </c>
      <c r="AH165">
        <v>2</v>
      </c>
      <c r="AI165">
        <v>60256257</v>
      </c>
      <c r="AJ165">
        <v>149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ROW(Source!A135)</f>
        <v>135</v>
      </c>
      <c r="B166">
        <v>60256268</v>
      </c>
      <c r="C166">
        <v>60256256</v>
      </c>
      <c r="D166">
        <v>59070669</v>
      </c>
      <c r="E166">
        <v>1</v>
      </c>
      <c r="F166">
        <v>1</v>
      </c>
      <c r="G166">
        <v>1080</v>
      </c>
      <c r="H166">
        <v>2</v>
      </c>
      <c r="I166" t="s">
        <v>485</v>
      </c>
      <c r="J166" t="s">
        <v>486</v>
      </c>
      <c r="K166" t="s">
        <v>487</v>
      </c>
      <c r="L166">
        <v>1368</v>
      </c>
      <c r="N166">
        <v>1011</v>
      </c>
      <c r="O166" t="s">
        <v>488</v>
      </c>
      <c r="P166" t="s">
        <v>488</v>
      </c>
      <c r="Q166">
        <v>1</v>
      </c>
      <c r="X166">
        <v>0.56000000000000005</v>
      </c>
      <c r="Y166">
        <v>0</v>
      </c>
      <c r="Z166">
        <v>83.1</v>
      </c>
      <c r="AA166">
        <v>12.62</v>
      </c>
      <c r="AB166">
        <v>0</v>
      </c>
      <c r="AC166">
        <v>0</v>
      </c>
      <c r="AD166">
        <v>1</v>
      </c>
      <c r="AE166">
        <v>0</v>
      </c>
      <c r="AF166" t="s">
        <v>198</v>
      </c>
      <c r="AG166">
        <v>0.77000000000000013</v>
      </c>
      <c r="AH166">
        <v>2</v>
      </c>
      <c r="AI166">
        <v>60256258</v>
      </c>
      <c r="AJ166">
        <v>150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ROW(Source!A135)</f>
        <v>135</v>
      </c>
      <c r="B167">
        <v>60256270</v>
      </c>
      <c r="C167">
        <v>60256256</v>
      </c>
      <c r="D167">
        <v>59070721</v>
      </c>
      <c r="E167">
        <v>1</v>
      </c>
      <c r="F167">
        <v>1</v>
      </c>
      <c r="G167">
        <v>1080</v>
      </c>
      <c r="H167">
        <v>2</v>
      </c>
      <c r="I167" t="s">
        <v>497</v>
      </c>
      <c r="J167" t="s">
        <v>498</v>
      </c>
      <c r="K167" t="s">
        <v>499</v>
      </c>
      <c r="L167">
        <v>1368</v>
      </c>
      <c r="N167">
        <v>1011</v>
      </c>
      <c r="O167" t="s">
        <v>488</v>
      </c>
      <c r="P167" t="s">
        <v>488</v>
      </c>
      <c r="Q167">
        <v>1</v>
      </c>
      <c r="X167">
        <v>1.86</v>
      </c>
      <c r="Y167">
        <v>0</v>
      </c>
      <c r="Z167">
        <v>0.77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198</v>
      </c>
      <c r="AG167">
        <v>2.5575000000000001</v>
      </c>
      <c r="AH167">
        <v>2</v>
      </c>
      <c r="AI167">
        <v>60256260</v>
      </c>
      <c r="AJ167">
        <v>151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ROW(Source!A135)</f>
        <v>135</v>
      </c>
      <c r="B168">
        <v>60256271</v>
      </c>
      <c r="C168">
        <v>60256256</v>
      </c>
      <c r="D168">
        <v>59070754</v>
      </c>
      <c r="E168">
        <v>1</v>
      </c>
      <c r="F168">
        <v>1</v>
      </c>
      <c r="G168">
        <v>1080</v>
      </c>
      <c r="H168">
        <v>2</v>
      </c>
      <c r="I168" t="s">
        <v>500</v>
      </c>
      <c r="J168" t="s">
        <v>501</v>
      </c>
      <c r="K168" t="s">
        <v>502</v>
      </c>
      <c r="L168">
        <v>1368</v>
      </c>
      <c r="N168">
        <v>1011</v>
      </c>
      <c r="O168" t="s">
        <v>488</v>
      </c>
      <c r="P168" t="s">
        <v>488</v>
      </c>
      <c r="Q168">
        <v>1</v>
      </c>
      <c r="X168">
        <v>4.83</v>
      </c>
      <c r="Y168">
        <v>0</v>
      </c>
      <c r="Z168">
        <v>0.47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198</v>
      </c>
      <c r="AG168">
        <v>6.6412500000000012</v>
      </c>
      <c r="AH168">
        <v>2</v>
      </c>
      <c r="AI168">
        <v>60256261</v>
      </c>
      <c r="AJ168">
        <v>152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ROW(Source!A135)</f>
        <v>135</v>
      </c>
      <c r="B169">
        <v>60256269</v>
      </c>
      <c r="C169">
        <v>60256256</v>
      </c>
      <c r="D169">
        <v>59069905</v>
      </c>
      <c r="E169">
        <v>1</v>
      </c>
      <c r="F169">
        <v>1</v>
      </c>
      <c r="G169">
        <v>1080</v>
      </c>
      <c r="H169">
        <v>2</v>
      </c>
      <c r="I169" t="s">
        <v>503</v>
      </c>
      <c r="J169" t="s">
        <v>504</v>
      </c>
      <c r="K169" t="s">
        <v>505</v>
      </c>
      <c r="L169">
        <v>1368</v>
      </c>
      <c r="N169">
        <v>1011</v>
      </c>
      <c r="O169" t="s">
        <v>488</v>
      </c>
      <c r="P169" t="s">
        <v>488</v>
      </c>
      <c r="Q169">
        <v>1</v>
      </c>
      <c r="X169">
        <v>0.65</v>
      </c>
      <c r="Y169">
        <v>0</v>
      </c>
      <c r="Z169">
        <v>179.17</v>
      </c>
      <c r="AA169">
        <v>16.93</v>
      </c>
      <c r="AB169">
        <v>0</v>
      </c>
      <c r="AC169">
        <v>0</v>
      </c>
      <c r="AD169">
        <v>1</v>
      </c>
      <c r="AE169">
        <v>0</v>
      </c>
      <c r="AF169" t="s">
        <v>198</v>
      </c>
      <c r="AG169">
        <v>0.89375000000000004</v>
      </c>
      <c r="AH169">
        <v>2</v>
      </c>
      <c r="AI169">
        <v>60256259</v>
      </c>
      <c r="AJ169">
        <v>153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ROW(Source!A135)</f>
        <v>135</v>
      </c>
      <c r="B170">
        <v>60256272</v>
      </c>
      <c r="C170">
        <v>60256256</v>
      </c>
      <c r="D170">
        <v>59038905</v>
      </c>
      <c r="E170">
        <v>1</v>
      </c>
      <c r="F170">
        <v>1</v>
      </c>
      <c r="G170">
        <v>1080</v>
      </c>
      <c r="H170">
        <v>3</v>
      </c>
      <c r="I170" t="s">
        <v>506</v>
      </c>
      <c r="J170" t="s">
        <v>507</v>
      </c>
      <c r="K170" t="s">
        <v>508</v>
      </c>
      <c r="L170">
        <v>1339</v>
      </c>
      <c r="N170">
        <v>1007</v>
      </c>
      <c r="O170" t="s">
        <v>509</v>
      </c>
      <c r="P170" t="s">
        <v>509</v>
      </c>
      <c r="Q170">
        <v>1</v>
      </c>
      <c r="X170">
        <v>0.44800000000000001</v>
      </c>
      <c r="Y170">
        <v>7.07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0.44800000000000001</v>
      </c>
      <c r="AH170">
        <v>2</v>
      </c>
      <c r="AI170">
        <v>60256262</v>
      </c>
      <c r="AJ170">
        <v>154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ROW(Source!A135)</f>
        <v>135</v>
      </c>
      <c r="B171">
        <v>60256273</v>
      </c>
      <c r="C171">
        <v>60256256</v>
      </c>
      <c r="D171">
        <v>59045898</v>
      </c>
      <c r="E171">
        <v>1</v>
      </c>
      <c r="F171">
        <v>1</v>
      </c>
      <c r="G171">
        <v>1080</v>
      </c>
      <c r="H171">
        <v>3</v>
      </c>
      <c r="I171" t="s">
        <v>510</v>
      </c>
      <c r="J171" t="s">
        <v>511</v>
      </c>
      <c r="K171" t="s">
        <v>512</v>
      </c>
      <c r="L171">
        <v>1355</v>
      </c>
      <c r="N171">
        <v>1010</v>
      </c>
      <c r="O171" t="s">
        <v>96</v>
      </c>
      <c r="P171" t="s">
        <v>96</v>
      </c>
      <c r="Q171">
        <v>100</v>
      </c>
      <c r="X171">
        <v>6.06</v>
      </c>
      <c r="Y171">
        <v>154.72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6.06</v>
      </c>
      <c r="AH171">
        <v>2</v>
      </c>
      <c r="AI171">
        <v>60256263</v>
      </c>
      <c r="AJ171">
        <v>155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ROW(Source!A135)</f>
        <v>135</v>
      </c>
      <c r="B172">
        <v>60256274</v>
      </c>
      <c r="C172">
        <v>60256256</v>
      </c>
      <c r="D172">
        <v>59056195</v>
      </c>
      <c r="E172">
        <v>1</v>
      </c>
      <c r="F172">
        <v>1</v>
      </c>
      <c r="G172">
        <v>1080</v>
      </c>
      <c r="H172">
        <v>3</v>
      </c>
      <c r="I172" t="s">
        <v>513</v>
      </c>
      <c r="J172" t="s">
        <v>514</v>
      </c>
      <c r="K172" t="s">
        <v>515</v>
      </c>
      <c r="L172">
        <v>1354</v>
      </c>
      <c r="N172">
        <v>1010</v>
      </c>
      <c r="O172" t="s">
        <v>31</v>
      </c>
      <c r="P172" t="s">
        <v>31</v>
      </c>
      <c r="Q172">
        <v>1</v>
      </c>
      <c r="X172">
        <v>300</v>
      </c>
      <c r="Y172">
        <v>7.24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300</v>
      </c>
      <c r="AH172">
        <v>2</v>
      </c>
      <c r="AI172">
        <v>60256264</v>
      </c>
      <c r="AJ172">
        <v>156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ROW(Source!A135)</f>
        <v>135</v>
      </c>
      <c r="B173">
        <v>60256275</v>
      </c>
      <c r="C173">
        <v>60256256</v>
      </c>
      <c r="D173">
        <v>59049377</v>
      </c>
      <c r="E173">
        <v>1</v>
      </c>
      <c r="F173">
        <v>1</v>
      </c>
      <c r="G173">
        <v>1080</v>
      </c>
      <c r="H173">
        <v>3</v>
      </c>
      <c r="I173" t="s">
        <v>516</v>
      </c>
      <c r="J173" t="s">
        <v>517</v>
      </c>
      <c r="K173" t="s">
        <v>518</v>
      </c>
      <c r="L173">
        <v>1354</v>
      </c>
      <c r="N173">
        <v>1010</v>
      </c>
      <c r="O173" t="s">
        <v>31</v>
      </c>
      <c r="P173" t="s">
        <v>31</v>
      </c>
      <c r="Q173">
        <v>1</v>
      </c>
      <c r="X173">
        <v>1.026</v>
      </c>
      <c r="Y173">
        <v>6.12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1.026</v>
      </c>
      <c r="AH173">
        <v>2</v>
      </c>
      <c r="AI173">
        <v>60256265</v>
      </c>
      <c r="AJ173">
        <v>157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ROW(Source!A135)</f>
        <v>135</v>
      </c>
      <c r="B174">
        <v>60256276</v>
      </c>
      <c r="C174">
        <v>60256256</v>
      </c>
      <c r="D174">
        <v>59023215</v>
      </c>
      <c r="E174">
        <v>1080</v>
      </c>
      <c r="F174">
        <v>1</v>
      </c>
      <c r="G174">
        <v>1080</v>
      </c>
      <c r="H174">
        <v>3</v>
      </c>
      <c r="I174" t="s">
        <v>594</v>
      </c>
      <c r="J174" t="s">
        <v>3</v>
      </c>
      <c r="K174" t="s">
        <v>595</v>
      </c>
      <c r="L174">
        <v>1354</v>
      </c>
      <c r="N174">
        <v>1010</v>
      </c>
      <c r="O174" t="s">
        <v>31</v>
      </c>
      <c r="P174" t="s">
        <v>31</v>
      </c>
      <c r="Q174">
        <v>1</v>
      </c>
      <c r="X174">
        <v>100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</v>
      </c>
      <c r="AG174">
        <v>100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ROW(Source!A135)</f>
        <v>135</v>
      </c>
      <c r="B175">
        <v>60256277</v>
      </c>
      <c r="C175">
        <v>60256256</v>
      </c>
      <c r="D175">
        <v>59004259</v>
      </c>
      <c r="E175">
        <v>1080</v>
      </c>
      <c r="F175">
        <v>1</v>
      </c>
      <c r="G175">
        <v>1080</v>
      </c>
      <c r="H175">
        <v>3</v>
      </c>
      <c r="I175" t="s">
        <v>519</v>
      </c>
      <c r="J175" t="s">
        <v>3</v>
      </c>
      <c r="K175" t="s">
        <v>520</v>
      </c>
      <c r="L175">
        <v>1344</v>
      </c>
      <c r="N175">
        <v>1008</v>
      </c>
      <c r="O175" t="s">
        <v>521</v>
      </c>
      <c r="P175" t="s">
        <v>521</v>
      </c>
      <c r="Q175">
        <v>1</v>
      </c>
      <c r="X175">
        <v>0.06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</v>
      </c>
      <c r="AG175">
        <v>0.06</v>
      </c>
      <c r="AH175">
        <v>2</v>
      </c>
      <c r="AI175">
        <v>60256266</v>
      </c>
      <c r="AJ175">
        <v>158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ROW(Source!A136)</f>
        <v>136</v>
      </c>
      <c r="B176">
        <v>60256267</v>
      </c>
      <c r="C176">
        <v>60256256</v>
      </c>
      <c r="D176">
        <v>58999254</v>
      </c>
      <c r="E176">
        <v>1080</v>
      </c>
      <c r="F176">
        <v>1</v>
      </c>
      <c r="G176">
        <v>1080</v>
      </c>
      <c r="H176">
        <v>1</v>
      </c>
      <c r="I176" t="s">
        <v>482</v>
      </c>
      <c r="J176" t="s">
        <v>3</v>
      </c>
      <c r="K176" t="s">
        <v>483</v>
      </c>
      <c r="L176">
        <v>1191</v>
      </c>
      <c r="N176">
        <v>1013</v>
      </c>
      <c r="O176" t="s">
        <v>484</v>
      </c>
      <c r="P176" t="s">
        <v>484</v>
      </c>
      <c r="Q176">
        <v>1</v>
      </c>
      <c r="X176">
        <v>97.55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 t="s">
        <v>199</v>
      </c>
      <c r="AG176">
        <v>123.40075</v>
      </c>
      <c r="AH176">
        <v>2</v>
      </c>
      <c r="AI176">
        <v>60256257</v>
      </c>
      <c r="AJ176">
        <v>159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ROW(Source!A136)</f>
        <v>136</v>
      </c>
      <c r="B177">
        <v>60256268</v>
      </c>
      <c r="C177">
        <v>60256256</v>
      </c>
      <c r="D177">
        <v>59070669</v>
      </c>
      <c r="E177">
        <v>1</v>
      </c>
      <c r="F177">
        <v>1</v>
      </c>
      <c r="G177">
        <v>1080</v>
      </c>
      <c r="H177">
        <v>2</v>
      </c>
      <c r="I177" t="s">
        <v>485</v>
      </c>
      <c r="J177" t="s">
        <v>486</v>
      </c>
      <c r="K177" t="s">
        <v>487</v>
      </c>
      <c r="L177">
        <v>1368</v>
      </c>
      <c r="N177">
        <v>1011</v>
      </c>
      <c r="O177" t="s">
        <v>488</v>
      </c>
      <c r="P177" t="s">
        <v>488</v>
      </c>
      <c r="Q177">
        <v>1</v>
      </c>
      <c r="X177">
        <v>0.56000000000000005</v>
      </c>
      <c r="Y177">
        <v>0</v>
      </c>
      <c r="Z177">
        <v>83.1</v>
      </c>
      <c r="AA177">
        <v>12.62</v>
      </c>
      <c r="AB177">
        <v>0</v>
      </c>
      <c r="AC177">
        <v>0</v>
      </c>
      <c r="AD177">
        <v>1</v>
      </c>
      <c r="AE177">
        <v>0</v>
      </c>
      <c r="AF177" t="s">
        <v>198</v>
      </c>
      <c r="AG177">
        <v>0.77000000000000013</v>
      </c>
      <c r="AH177">
        <v>2</v>
      </c>
      <c r="AI177">
        <v>60256258</v>
      </c>
      <c r="AJ177">
        <v>160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ROW(Source!A136)</f>
        <v>136</v>
      </c>
      <c r="B178">
        <v>60256270</v>
      </c>
      <c r="C178">
        <v>60256256</v>
      </c>
      <c r="D178">
        <v>59070721</v>
      </c>
      <c r="E178">
        <v>1</v>
      </c>
      <c r="F178">
        <v>1</v>
      </c>
      <c r="G178">
        <v>1080</v>
      </c>
      <c r="H178">
        <v>2</v>
      </c>
      <c r="I178" t="s">
        <v>497</v>
      </c>
      <c r="J178" t="s">
        <v>498</v>
      </c>
      <c r="K178" t="s">
        <v>499</v>
      </c>
      <c r="L178">
        <v>1368</v>
      </c>
      <c r="N178">
        <v>1011</v>
      </c>
      <c r="O178" t="s">
        <v>488</v>
      </c>
      <c r="P178" t="s">
        <v>488</v>
      </c>
      <c r="Q178">
        <v>1</v>
      </c>
      <c r="X178">
        <v>1.86</v>
      </c>
      <c r="Y178">
        <v>0</v>
      </c>
      <c r="Z178">
        <v>0.77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198</v>
      </c>
      <c r="AG178">
        <v>2.5575000000000001</v>
      </c>
      <c r="AH178">
        <v>2</v>
      </c>
      <c r="AI178">
        <v>60256260</v>
      </c>
      <c r="AJ178">
        <v>161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ROW(Source!A136)</f>
        <v>136</v>
      </c>
      <c r="B179">
        <v>60256271</v>
      </c>
      <c r="C179">
        <v>60256256</v>
      </c>
      <c r="D179">
        <v>59070754</v>
      </c>
      <c r="E179">
        <v>1</v>
      </c>
      <c r="F179">
        <v>1</v>
      </c>
      <c r="G179">
        <v>1080</v>
      </c>
      <c r="H179">
        <v>2</v>
      </c>
      <c r="I179" t="s">
        <v>500</v>
      </c>
      <c r="J179" t="s">
        <v>501</v>
      </c>
      <c r="K179" t="s">
        <v>502</v>
      </c>
      <c r="L179">
        <v>1368</v>
      </c>
      <c r="N179">
        <v>1011</v>
      </c>
      <c r="O179" t="s">
        <v>488</v>
      </c>
      <c r="P179" t="s">
        <v>488</v>
      </c>
      <c r="Q179">
        <v>1</v>
      </c>
      <c r="X179">
        <v>4.83</v>
      </c>
      <c r="Y179">
        <v>0</v>
      </c>
      <c r="Z179">
        <v>0.47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198</v>
      </c>
      <c r="AG179">
        <v>6.6412500000000012</v>
      </c>
      <c r="AH179">
        <v>2</v>
      </c>
      <c r="AI179">
        <v>60256261</v>
      </c>
      <c r="AJ179">
        <v>162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ROW(Source!A136)</f>
        <v>136</v>
      </c>
      <c r="B180">
        <v>60256269</v>
      </c>
      <c r="C180">
        <v>60256256</v>
      </c>
      <c r="D180">
        <v>59069905</v>
      </c>
      <c r="E180">
        <v>1</v>
      </c>
      <c r="F180">
        <v>1</v>
      </c>
      <c r="G180">
        <v>1080</v>
      </c>
      <c r="H180">
        <v>2</v>
      </c>
      <c r="I180" t="s">
        <v>503</v>
      </c>
      <c r="J180" t="s">
        <v>504</v>
      </c>
      <c r="K180" t="s">
        <v>505</v>
      </c>
      <c r="L180">
        <v>1368</v>
      </c>
      <c r="N180">
        <v>1011</v>
      </c>
      <c r="O180" t="s">
        <v>488</v>
      </c>
      <c r="P180" t="s">
        <v>488</v>
      </c>
      <c r="Q180">
        <v>1</v>
      </c>
      <c r="X180">
        <v>0.65</v>
      </c>
      <c r="Y180">
        <v>0</v>
      </c>
      <c r="Z180">
        <v>179.17</v>
      </c>
      <c r="AA180">
        <v>16.93</v>
      </c>
      <c r="AB180">
        <v>0</v>
      </c>
      <c r="AC180">
        <v>0</v>
      </c>
      <c r="AD180">
        <v>1</v>
      </c>
      <c r="AE180">
        <v>0</v>
      </c>
      <c r="AF180" t="s">
        <v>198</v>
      </c>
      <c r="AG180">
        <v>0.89375000000000004</v>
      </c>
      <c r="AH180">
        <v>2</v>
      </c>
      <c r="AI180">
        <v>60256259</v>
      </c>
      <c r="AJ180">
        <v>163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ROW(Source!A136)</f>
        <v>136</v>
      </c>
      <c r="B181">
        <v>60256272</v>
      </c>
      <c r="C181">
        <v>60256256</v>
      </c>
      <c r="D181">
        <v>59038905</v>
      </c>
      <c r="E181">
        <v>1</v>
      </c>
      <c r="F181">
        <v>1</v>
      </c>
      <c r="G181">
        <v>1080</v>
      </c>
      <c r="H181">
        <v>3</v>
      </c>
      <c r="I181" t="s">
        <v>506</v>
      </c>
      <c r="J181" t="s">
        <v>507</v>
      </c>
      <c r="K181" t="s">
        <v>508</v>
      </c>
      <c r="L181">
        <v>1339</v>
      </c>
      <c r="N181">
        <v>1007</v>
      </c>
      <c r="O181" t="s">
        <v>509</v>
      </c>
      <c r="P181" t="s">
        <v>509</v>
      </c>
      <c r="Q181">
        <v>1</v>
      </c>
      <c r="X181">
        <v>0.44800000000000001</v>
      </c>
      <c r="Y181">
        <v>7.07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0.44800000000000001</v>
      </c>
      <c r="AH181">
        <v>2</v>
      </c>
      <c r="AI181">
        <v>60256262</v>
      </c>
      <c r="AJ181">
        <v>164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ROW(Source!A136)</f>
        <v>136</v>
      </c>
      <c r="B182">
        <v>60256273</v>
      </c>
      <c r="C182">
        <v>60256256</v>
      </c>
      <c r="D182">
        <v>59045898</v>
      </c>
      <c r="E182">
        <v>1</v>
      </c>
      <c r="F182">
        <v>1</v>
      </c>
      <c r="G182">
        <v>1080</v>
      </c>
      <c r="H182">
        <v>3</v>
      </c>
      <c r="I182" t="s">
        <v>510</v>
      </c>
      <c r="J182" t="s">
        <v>511</v>
      </c>
      <c r="K182" t="s">
        <v>512</v>
      </c>
      <c r="L182">
        <v>1355</v>
      </c>
      <c r="N182">
        <v>1010</v>
      </c>
      <c r="O182" t="s">
        <v>96</v>
      </c>
      <c r="P182" t="s">
        <v>96</v>
      </c>
      <c r="Q182">
        <v>100</v>
      </c>
      <c r="X182">
        <v>6.06</v>
      </c>
      <c r="Y182">
        <v>154.72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6.06</v>
      </c>
      <c r="AH182">
        <v>2</v>
      </c>
      <c r="AI182">
        <v>60256263</v>
      </c>
      <c r="AJ182">
        <v>165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ROW(Source!A136)</f>
        <v>136</v>
      </c>
      <c r="B183">
        <v>60256274</v>
      </c>
      <c r="C183">
        <v>60256256</v>
      </c>
      <c r="D183">
        <v>59056195</v>
      </c>
      <c r="E183">
        <v>1</v>
      </c>
      <c r="F183">
        <v>1</v>
      </c>
      <c r="G183">
        <v>1080</v>
      </c>
      <c r="H183">
        <v>3</v>
      </c>
      <c r="I183" t="s">
        <v>513</v>
      </c>
      <c r="J183" t="s">
        <v>514</v>
      </c>
      <c r="K183" t="s">
        <v>515</v>
      </c>
      <c r="L183">
        <v>1354</v>
      </c>
      <c r="N183">
        <v>1010</v>
      </c>
      <c r="O183" t="s">
        <v>31</v>
      </c>
      <c r="P183" t="s">
        <v>31</v>
      </c>
      <c r="Q183">
        <v>1</v>
      </c>
      <c r="X183">
        <v>300</v>
      </c>
      <c r="Y183">
        <v>7.24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300</v>
      </c>
      <c r="AH183">
        <v>2</v>
      </c>
      <c r="AI183">
        <v>60256264</v>
      </c>
      <c r="AJ183">
        <v>166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ROW(Source!A136)</f>
        <v>136</v>
      </c>
      <c r="B184">
        <v>60256275</v>
      </c>
      <c r="C184">
        <v>60256256</v>
      </c>
      <c r="D184">
        <v>59049377</v>
      </c>
      <c r="E184">
        <v>1</v>
      </c>
      <c r="F184">
        <v>1</v>
      </c>
      <c r="G184">
        <v>1080</v>
      </c>
      <c r="H184">
        <v>3</v>
      </c>
      <c r="I184" t="s">
        <v>516</v>
      </c>
      <c r="J184" t="s">
        <v>517</v>
      </c>
      <c r="K184" t="s">
        <v>518</v>
      </c>
      <c r="L184">
        <v>1354</v>
      </c>
      <c r="N184">
        <v>1010</v>
      </c>
      <c r="O184" t="s">
        <v>31</v>
      </c>
      <c r="P184" t="s">
        <v>31</v>
      </c>
      <c r="Q184">
        <v>1</v>
      </c>
      <c r="X184">
        <v>1.026</v>
      </c>
      <c r="Y184">
        <v>6.12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1.026</v>
      </c>
      <c r="AH184">
        <v>2</v>
      </c>
      <c r="AI184">
        <v>60256265</v>
      </c>
      <c r="AJ184">
        <v>167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ROW(Source!A136)</f>
        <v>136</v>
      </c>
      <c r="B185">
        <v>60256276</v>
      </c>
      <c r="C185">
        <v>60256256</v>
      </c>
      <c r="D185">
        <v>59023215</v>
      </c>
      <c r="E185">
        <v>1080</v>
      </c>
      <c r="F185">
        <v>1</v>
      </c>
      <c r="G185">
        <v>1080</v>
      </c>
      <c r="H185">
        <v>3</v>
      </c>
      <c r="I185" t="s">
        <v>594</v>
      </c>
      <c r="J185" t="s">
        <v>3</v>
      </c>
      <c r="K185" t="s">
        <v>595</v>
      </c>
      <c r="L185">
        <v>1354</v>
      </c>
      <c r="N185">
        <v>1010</v>
      </c>
      <c r="O185" t="s">
        <v>31</v>
      </c>
      <c r="P185" t="s">
        <v>31</v>
      </c>
      <c r="Q185">
        <v>1</v>
      </c>
      <c r="X185">
        <v>100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</v>
      </c>
      <c r="AG185">
        <v>100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ROW(Source!A136)</f>
        <v>136</v>
      </c>
      <c r="B186">
        <v>60256277</v>
      </c>
      <c r="C186">
        <v>60256256</v>
      </c>
      <c r="D186">
        <v>59004259</v>
      </c>
      <c r="E186">
        <v>1080</v>
      </c>
      <c r="F186">
        <v>1</v>
      </c>
      <c r="G186">
        <v>1080</v>
      </c>
      <c r="H186">
        <v>3</v>
      </c>
      <c r="I186" t="s">
        <v>519</v>
      </c>
      <c r="J186" t="s">
        <v>3</v>
      </c>
      <c r="K186" t="s">
        <v>520</v>
      </c>
      <c r="L186">
        <v>1344</v>
      </c>
      <c r="N186">
        <v>1008</v>
      </c>
      <c r="O186" t="s">
        <v>521</v>
      </c>
      <c r="P186" t="s">
        <v>521</v>
      </c>
      <c r="Q186">
        <v>1</v>
      </c>
      <c r="X186">
        <v>0.06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</v>
      </c>
      <c r="AG186">
        <v>0.06</v>
      </c>
      <c r="AH186">
        <v>2</v>
      </c>
      <c r="AI186">
        <v>60256266</v>
      </c>
      <c r="AJ186">
        <v>168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ROW(Source!A141)</f>
        <v>141</v>
      </c>
      <c r="B187">
        <v>60256289</v>
      </c>
      <c r="C187">
        <v>60256278</v>
      </c>
      <c r="D187">
        <v>58999254</v>
      </c>
      <c r="E187">
        <v>1080</v>
      </c>
      <c r="F187">
        <v>1</v>
      </c>
      <c r="G187">
        <v>1080</v>
      </c>
      <c r="H187">
        <v>1</v>
      </c>
      <c r="I187" t="s">
        <v>482</v>
      </c>
      <c r="J187" t="s">
        <v>3</v>
      </c>
      <c r="K187" t="s">
        <v>483</v>
      </c>
      <c r="L187">
        <v>1191</v>
      </c>
      <c r="N187">
        <v>1013</v>
      </c>
      <c r="O187" t="s">
        <v>484</v>
      </c>
      <c r="P187" t="s">
        <v>484</v>
      </c>
      <c r="Q187">
        <v>1</v>
      </c>
      <c r="X187">
        <v>74.7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99</v>
      </c>
      <c r="AG187">
        <v>94.495500000000007</v>
      </c>
      <c r="AH187">
        <v>2</v>
      </c>
      <c r="AI187">
        <v>60256279</v>
      </c>
      <c r="AJ187">
        <v>169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ROW(Source!A141)</f>
        <v>141</v>
      </c>
      <c r="B188">
        <v>60256290</v>
      </c>
      <c r="C188">
        <v>60256278</v>
      </c>
      <c r="D188">
        <v>59070669</v>
      </c>
      <c r="E188">
        <v>1</v>
      </c>
      <c r="F188">
        <v>1</v>
      </c>
      <c r="G188">
        <v>1080</v>
      </c>
      <c r="H188">
        <v>2</v>
      </c>
      <c r="I188" t="s">
        <v>485</v>
      </c>
      <c r="J188" t="s">
        <v>486</v>
      </c>
      <c r="K188" t="s">
        <v>487</v>
      </c>
      <c r="L188">
        <v>1368</v>
      </c>
      <c r="N188">
        <v>1011</v>
      </c>
      <c r="O188" t="s">
        <v>488</v>
      </c>
      <c r="P188" t="s">
        <v>488</v>
      </c>
      <c r="Q188">
        <v>1</v>
      </c>
      <c r="X188">
        <v>0.32</v>
      </c>
      <c r="Y188">
        <v>0</v>
      </c>
      <c r="Z188">
        <v>83.1</v>
      </c>
      <c r="AA188">
        <v>12.62</v>
      </c>
      <c r="AB188">
        <v>0</v>
      </c>
      <c r="AC188">
        <v>0</v>
      </c>
      <c r="AD188">
        <v>1</v>
      </c>
      <c r="AE188">
        <v>0</v>
      </c>
      <c r="AF188" t="s">
        <v>98</v>
      </c>
      <c r="AG188">
        <v>0.44000000000000006</v>
      </c>
      <c r="AH188">
        <v>2</v>
      </c>
      <c r="AI188">
        <v>60256280</v>
      </c>
      <c r="AJ188">
        <v>170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ROW(Source!A141)</f>
        <v>141</v>
      </c>
      <c r="B189">
        <v>60256292</v>
      </c>
      <c r="C189">
        <v>60256278</v>
      </c>
      <c r="D189">
        <v>59070721</v>
      </c>
      <c r="E189">
        <v>1</v>
      </c>
      <c r="F189">
        <v>1</v>
      </c>
      <c r="G189">
        <v>1080</v>
      </c>
      <c r="H189">
        <v>2</v>
      </c>
      <c r="I189" t="s">
        <v>497</v>
      </c>
      <c r="J189" t="s">
        <v>498</v>
      </c>
      <c r="K189" t="s">
        <v>499</v>
      </c>
      <c r="L189">
        <v>1368</v>
      </c>
      <c r="N189">
        <v>1011</v>
      </c>
      <c r="O189" t="s">
        <v>488</v>
      </c>
      <c r="P189" t="s">
        <v>488</v>
      </c>
      <c r="Q189">
        <v>1</v>
      </c>
      <c r="X189">
        <v>1.24</v>
      </c>
      <c r="Y189">
        <v>0</v>
      </c>
      <c r="Z189">
        <v>0.77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98</v>
      </c>
      <c r="AG189">
        <v>1.7050000000000003</v>
      </c>
      <c r="AH189">
        <v>2</v>
      </c>
      <c r="AI189">
        <v>60256282</v>
      </c>
      <c r="AJ189">
        <v>171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ROW(Source!A141)</f>
        <v>141</v>
      </c>
      <c r="B190">
        <v>60256293</v>
      </c>
      <c r="C190">
        <v>60256278</v>
      </c>
      <c r="D190">
        <v>59070754</v>
      </c>
      <c r="E190">
        <v>1</v>
      </c>
      <c r="F190">
        <v>1</v>
      </c>
      <c r="G190">
        <v>1080</v>
      </c>
      <c r="H190">
        <v>2</v>
      </c>
      <c r="I190" t="s">
        <v>500</v>
      </c>
      <c r="J190" t="s">
        <v>501</v>
      </c>
      <c r="K190" t="s">
        <v>502</v>
      </c>
      <c r="L190">
        <v>1368</v>
      </c>
      <c r="N190">
        <v>1011</v>
      </c>
      <c r="O190" t="s">
        <v>488</v>
      </c>
      <c r="P190" t="s">
        <v>488</v>
      </c>
      <c r="Q190">
        <v>1</v>
      </c>
      <c r="X190">
        <v>3.22</v>
      </c>
      <c r="Y190">
        <v>0</v>
      </c>
      <c r="Z190">
        <v>0.47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98</v>
      </c>
      <c r="AG190">
        <v>4.4275000000000011</v>
      </c>
      <c r="AH190">
        <v>2</v>
      </c>
      <c r="AI190">
        <v>60256283</v>
      </c>
      <c r="AJ190">
        <v>172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ROW(Source!A141)</f>
        <v>141</v>
      </c>
      <c r="B191">
        <v>60256291</v>
      </c>
      <c r="C191">
        <v>60256278</v>
      </c>
      <c r="D191">
        <v>59069905</v>
      </c>
      <c r="E191">
        <v>1</v>
      </c>
      <c r="F191">
        <v>1</v>
      </c>
      <c r="G191">
        <v>1080</v>
      </c>
      <c r="H191">
        <v>2</v>
      </c>
      <c r="I191" t="s">
        <v>503</v>
      </c>
      <c r="J191" t="s">
        <v>504</v>
      </c>
      <c r="K191" t="s">
        <v>505</v>
      </c>
      <c r="L191">
        <v>1368</v>
      </c>
      <c r="N191">
        <v>1011</v>
      </c>
      <c r="O191" t="s">
        <v>488</v>
      </c>
      <c r="P191" t="s">
        <v>488</v>
      </c>
      <c r="Q191">
        <v>1</v>
      </c>
      <c r="X191">
        <v>0.37</v>
      </c>
      <c r="Y191">
        <v>0</v>
      </c>
      <c r="Z191">
        <v>179.17</v>
      </c>
      <c r="AA191">
        <v>16.93</v>
      </c>
      <c r="AB191">
        <v>0</v>
      </c>
      <c r="AC191">
        <v>0</v>
      </c>
      <c r="AD191">
        <v>1</v>
      </c>
      <c r="AE191">
        <v>0</v>
      </c>
      <c r="AF191" t="s">
        <v>98</v>
      </c>
      <c r="AG191">
        <v>0.50875000000000004</v>
      </c>
      <c r="AH191">
        <v>2</v>
      </c>
      <c r="AI191">
        <v>60256281</v>
      </c>
      <c r="AJ191">
        <v>173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ROW(Source!A141)</f>
        <v>141</v>
      </c>
      <c r="B192">
        <v>60256294</v>
      </c>
      <c r="C192">
        <v>60256278</v>
      </c>
      <c r="D192">
        <v>59038905</v>
      </c>
      <c r="E192">
        <v>1</v>
      </c>
      <c r="F192">
        <v>1</v>
      </c>
      <c r="G192">
        <v>1080</v>
      </c>
      <c r="H192">
        <v>3</v>
      </c>
      <c r="I192" t="s">
        <v>506</v>
      </c>
      <c r="J192" t="s">
        <v>507</v>
      </c>
      <c r="K192" t="s">
        <v>508</v>
      </c>
      <c r="L192">
        <v>1339</v>
      </c>
      <c r="N192">
        <v>1007</v>
      </c>
      <c r="O192" t="s">
        <v>509</v>
      </c>
      <c r="P192" t="s">
        <v>509</v>
      </c>
      <c r="Q192">
        <v>1</v>
      </c>
      <c r="X192">
        <v>0.22700000000000001</v>
      </c>
      <c r="Y192">
        <v>7.07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0.22700000000000001</v>
      </c>
      <c r="AH192">
        <v>2</v>
      </c>
      <c r="AI192">
        <v>60256284</v>
      </c>
      <c r="AJ192">
        <v>174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ROW(Source!A141)</f>
        <v>141</v>
      </c>
      <c r="B193">
        <v>60256295</v>
      </c>
      <c r="C193">
        <v>60256278</v>
      </c>
      <c r="D193">
        <v>59045898</v>
      </c>
      <c r="E193">
        <v>1</v>
      </c>
      <c r="F193">
        <v>1</v>
      </c>
      <c r="G193">
        <v>1080</v>
      </c>
      <c r="H193">
        <v>3</v>
      </c>
      <c r="I193" t="s">
        <v>510</v>
      </c>
      <c r="J193" t="s">
        <v>511</v>
      </c>
      <c r="K193" t="s">
        <v>512</v>
      </c>
      <c r="L193">
        <v>1355</v>
      </c>
      <c r="N193">
        <v>1010</v>
      </c>
      <c r="O193" t="s">
        <v>96</v>
      </c>
      <c r="P193" t="s">
        <v>96</v>
      </c>
      <c r="Q193">
        <v>100</v>
      </c>
      <c r="X193">
        <v>4.04</v>
      </c>
      <c r="Y193">
        <v>154.72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4.04</v>
      </c>
      <c r="AH193">
        <v>2</v>
      </c>
      <c r="AI193">
        <v>60256285</v>
      </c>
      <c r="AJ193">
        <v>175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ROW(Source!A141)</f>
        <v>141</v>
      </c>
      <c r="B194">
        <v>60256296</v>
      </c>
      <c r="C194">
        <v>60256278</v>
      </c>
      <c r="D194">
        <v>59056195</v>
      </c>
      <c r="E194">
        <v>1</v>
      </c>
      <c r="F194">
        <v>1</v>
      </c>
      <c r="G194">
        <v>1080</v>
      </c>
      <c r="H194">
        <v>3</v>
      </c>
      <c r="I194" t="s">
        <v>513</v>
      </c>
      <c r="J194" t="s">
        <v>514</v>
      </c>
      <c r="K194" t="s">
        <v>515</v>
      </c>
      <c r="L194">
        <v>1354</v>
      </c>
      <c r="N194">
        <v>1010</v>
      </c>
      <c r="O194" t="s">
        <v>31</v>
      </c>
      <c r="P194" t="s">
        <v>31</v>
      </c>
      <c r="Q194">
        <v>1</v>
      </c>
      <c r="X194">
        <v>200</v>
      </c>
      <c r="Y194">
        <v>7.24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200</v>
      </c>
      <c r="AH194">
        <v>2</v>
      </c>
      <c r="AI194">
        <v>60256286</v>
      </c>
      <c r="AJ194">
        <v>176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ROW(Source!A141)</f>
        <v>141</v>
      </c>
      <c r="B195">
        <v>60256297</v>
      </c>
      <c r="C195">
        <v>60256278</v>
      </c>
      <c r="D195">
        <v>59049377</v>
      </c>
      <c r="E195">
        <v>1</v>
      </c>
      <c r="F195">
        <v>1</v>
      </c>
      <c r="G195">
        <v>1080</v>
      </c>
      <c r="H195">
        <v>3</v>
      </c>
      <c r="I195" t="s">
        <v>516</v>
      </c>
      <c r="J195" t="s">
        <v>517</v>
      </c>
      <c r="K195" t="s">
        <v>518</v>
      </c>
      <c r="L195">
        <v>1354</v>
      </c>
      <c r="N195">
        <v>1010</v>
      </c>
      <c r="O195" t="s">
        <v>31</v>
      </c>
      <c r="P195" t="s">
        <v>31</v>
      </c>
      <c r="Q195">
        <v>1</v>
      </c>
      <c r="X195">
        <v>0.68400000000000005</v>
      </c>
      <c r="Y195">
        <v>6.12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0.68400000000000005</v>
      </c>
      <c r="AH195">
        <v>2</v>
      </c>
      <c r="AI195">
        <v>60256287</v>
      </c>
      <c r="AJ195">
        <v>177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ROW(Source!A141)</f>
        <v>141</v>
      </c>
      <c r="B196">
        <v>60256298</v>
      </c>
      <c r="C196">
        <v>60256278</v>
      </c>
      <c r="D196">
        <v>59023215</v>
      </c>
      <c r="E196">
        <v>1080</v>
      </c>
      <c r="F196">
        <v>1</v>
      </c>
      <c r="G196">
        <v>1080</v>
      </c>
      <c r="H196">
        <v>3</v>
      </c>
      <c r="I196" t="s">
        <v>594</v>
      </c>
      <c r="J196" t="s">
        <v>3</v>
      </c>
      <c r="K196" t="s">
        <v>595</v>
      </c>
      <c r="L196">
        <v>1354</v>
      </c>
      <c r="N196">
        <v>1010</v>
      </c>
      <c r="O196" t="s">
        <v>31</v>
      </c>
      <c r="P196" t="s">
        <v>31</v>
      </c>
      <c r="Q196">
        <v>1</v>
      </c>
      <c r="X196">
        <v>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3</v>
      </c>
      <c r="AG196">
        <v>100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ROW(Source!A141)</f>
        <v>141</v>
      </c>
      <c r="B197">
        <v>60256299</v>
      </c>
      <c r="C197">
        <v>60256278</v>
      </c>
      <c r="D197">
        <v>59004259</v>
      </c>
      <c r="E197">
        <v>1080</v>
      </c>
      <c r="F197">
        <v>1</v>
      </c>
      <c r="G197">
        <v>1080</v>
      </c>
      <c r="H197">
        <v>3</v>
      </c>
      <c r="I197" t="s">
        <v>519</v>
      </c>
      <c r="J197" t="s">
        <v>3</v>
      </c>
      <c r="K197" t="s">
        <v>520</v>
      </c>
      <c r="L197">
        <v>1344</v>
      </c>
      <c r="N197">
        <v>1008</v>
      </c>
      <c r="O197" t="s">
        <v>521</v>
      </c>
      <c r="P197" t="s">
        <v>521</v>
      </c>
      <c r="Q197">
        <v>1</v>
      </c>
      <c r="X197">
        <v>0.04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0.04</v>
      </c>
      <c r="AH197">
        <v>2</v>
      </c>
      <c r="AI197">
        <v>60256288</v>
      </c>
      <c r="AJ197">
        <v>178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ROW(Source!A142)</f>
        <v>142</v>
      </c>
      <c r="B198">
        <v>60256289</v>
      </c>
      <c r="C198">
        <v>60256278</v>
      </c>
      <c r="D198">
        <v>58999254</v>
      </c>
      <c r="E198">
        <v>1080</v>
      </c>
      <c r="F198">
        <v>1</v>
      </c>
      <c r="G198">
        <v>1080</v>
      </c>
      <c r="H198">
        <v>1</v>
      </c>
      <c r="I198" t="s">
        <v>482</v>
      </c>
      <c r="J198" t="s">
        <v>3</v>
      </c>
      <c r="K198" t="s">
        <v>483</v>
      </c>
      <c r="L198">
        <v>1191</v>
      </c>
      <c r="N198">
        <v>1013</v>
      </c>
      <c r="O198" t="s">
        <v>484</v>
      </c>
      <c r="P198" t="s">
        <v>484</v>
      </c>
      <c r="Q198">
        <v>1</v>
      </c>
      <c r="X198">
        <v>74.7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99</v>
      </c>
      <c r="AG198">
        <v>94.495500000000007</v>
      </c>
      <c r="AH198">
        <v>2</v>
      </c>
      <c r="AI198">
        <v>60256279</v>
      </c>
      <c r="AJ198">
        <v>179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ROW(Source!A142)</f>
        <v>142</v>
      </c>
      <c r="B199">
        <v>60256290</v>
      </c>
      <c r="C199">
        <v>60256278</v>
      </c>
      <c r="D199">
        <v>59070669</v>
      </c>
      <c r="E199">
        <v>1</v>
      </c>
      <c r="F199">
        <v>1</v>
      </c>
      <c r="G199">
        <v>1080</v>
      </c>
      <c r="H199">
        <v>2</v>
      </c>
      <c r="I199" t="s">
        <v>485</v>
      </c>
      <c r="J199" t="s">
        <v>486</v>
      </c>
      <c r="K199" t="s">
        <v>487</v>
      </c>
      <c r="L199">
        <v>1368</v>
      </c>
      <c r="N199">
        <v>1011</v>
      </c>
      <c r="O199" t="s">
        <v>488</v>
      </c>
      <c r="P199" t="s">
        <v>488</v>
      </c>
      <c r="Q199">
        <v>1</v>
      </c>
      <c r="X199">
        <v>0.32</v>
      </c>
      <c r="Y199">
        <v>0</v>
      </c>
      <c r="Z199">
        <v>83.1</v>
      </c>
      <c r="AA199">
        <v>12.62</v>
      </c>
      <c r="AB199">
        <v>0</v>
      </c>
      <c r="AC199">
        <v>0</v>
      </c>
      <c r="AD199">
        <v>1</v>
      </c>
      <c r="AE199">
        <v>0</v>
      </c>
      <c r="AF199" t="s">
        <v>98</v>
      </c>
      <c r="AG199">
        <v>0.44000000000000006</v>
      </c>
      <c r="AH199">
        <v>2</v>
      </c>
      <c r="AI199">
        <v>60256280</v>
      </c>
      <c r="AJ199">
        <v>180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ROW(Source!A142)</f>
        <v>142</v>
      </c>
      <c r="B200">
        <v>60256292</v>
      </c>
      <c r="C200">
        <v>60256278</v>
      </c>
      <c r="D200">
        <v>59070721</v>
      </c>
      <c r="E200">
        <v>1</v>
      </c>
      <c r="F200">
        <v>1</v>
      </c>
      <c r="G200">
        <v>1080</v>
      </c>
      <c r="H200">
        <v>2</v>
      </c>
      <c r="I200" t="s">
        <v>497</v>
      </c>
      <c r="J200" t="s">
        <v>498</v>
      </c>
      <c r="K200" t="s">
        <v>499</v>
      </c>
      <c r="L200">
        <v>1368</v>
      </c>
      <c r="N200">
        <v>1011</v>
      </c>
      <c r="O200" t="s">
        <v>488</v>
      </c>
      <c r="P200" t="s">
        <v>488</v>
      </c>
      <c r="Q200">
        <v>1</v>
      </c>
      <c r="X200">
        <v>1.24</v>
      </c>
      <c r="Y200">
        <v>0</v>
      </c>
      <c r="Z200">
        <v>0.77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98</v>
      </c>
      <c r="AG200">
        <v>1.7050000000000003</v>
      </c>
      <c r="AH200">
        <v>2</v>
      </c>
      <c r="AI200">
        <v>60256282</v>
      </c>
      <c r="AJ200">
        <v>181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ROW(Source!A142)</f>
        <v>142</v>
      </c>
      <c r="B201">
        <v>60256293</v>
      </c>
      <c r="C201">
        <v>60256278</v>
      </c>
      <c r="D201">
        <v>59070754</v>
      </c>
      <c r="E201">
        <v>1</v>
      </c>
      <c r="F201">
        <v>1</v>
      </c>
      <c r="G201">
        <v>1080</v>
      </c>
      <c r="H201">
        <v>2</v>
      </c>
      <c r="I201" t="s">
        <v>500</v>
      </c>
      <c r="J201" t="s">
        <v>501</v>
      </c>
      <c r="K201" t="s">
        <v>502</v>
      </c>
      <c r="L201">
        <v>1368</v>
      </c>
      <c r="N201">
        <v>1011</v>
      </c>
      <c r="O201" t="s">
        <v>488</v>
      </c>
      <c r="P201" t="s">
        <v>488</v>
      </c>
      <c r="Q201">
        <v>1</v>
      </c>
      <c r="X201">
        <v>3.22</v>
      </c>
      <c r="Y201">
        <v>0</v>
      </c>
      <c r="Z201">
        <v>0.47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98</v>
      </c>
      <c r="AG201">
        <v>4.4275000000000011</v>
      </c>
      <c r="AH201">
        <v>2</v>
      </c>
      <c r="AI201">
        <v>60256283</v>
      </c>
      <c r="AJ201">
        <v>182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ROW(Source!A142)</f>
        <v>142</v>
      </c>
      <c r="B202">
        <v>60256291</v>
      </c>
      <c r="C202">
        <v>60256278</v>
      </c>
      <c r="D202">
        <v>59069905</v>
      </c>
      <c r="E202">
        <v>1</v>
      </c>
      <c r="F202">
        <v>1</v>
      </c>
      <c r="G202">
        <v>1080</v>
      </c>
      <c r="H202">
        <v>2</v>
      </c>
      <c r="I202" t="s">
        <v>503</v>
      </c>
      <c r="J202" t="s">
        <v>504</v>
      </c>
      <c r="K202" t="s">
        <v>505</v>
      </c>
      <c r="L202">
        <v>1368</v>
      </c>
      <c r="N202">
        <v>1011</v>
      </c>
      <c r="O202" t="s">
        <v>488</v>
      </c>
      <c r="P202" t="s">
        <v>488</v>
      </c>
      <c r="Q202">
        <v>1</v>
      </c>
      <c r="X202">
        <v>0.37</v>
      </c>
      <c r="Y202">
        <v>0</v>
      </c>
      <c r="Z202">
        <v>179.17</v>
      </c>
      <c r="AA202">
        <v>16.93</v>
      </c>
      <c r="AB202">
        <v>0</v>
      </c>
      <c r="AC202">
        <v>0</v>
      </c>
      <c r="AD202">
        <v>1</v>
      </c>
      <c r="AE202">
        <v>0</v>
      </c>
      <c r="AF202" t="s">
        <v>98</v>
      </c>
      <c r="AG202">
        <v>0.50875000000000004</v>
      </c>
      <c r="AH202">
        <v>2</v>
      </c>
      <c r="AI202">
        <v>60256281</v>
      </c>
      <c r="AJ202">
        <v>183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ROW(Source!A142)</f>
        <v>142</v>
      </c>
      <c r="B203">
        <v>60256294</v>
      </c>
      <c r="C203">
        <v>60256278</v>
      </c>
      <c r="D203">
        <v>59038905</v>
      </c>
      <c r="E203">
        <v>1</v>
      </c>
      <c r="F203">
        <v>1</v>
      </c>
      <c r="G203">
        <v>1080</v>
      </c>
      <c r="H203">
        <v>3</v>
      </c>
      <c r="I203" t="s">
        <v>506</v>
      </c>
      <c r="J203" t="s">
        <v>507</v>
      </c>
      <c r="K203" t="s">
        <v>508</v>
      </c>
      <c r="L203">
        <v>1339</v>
      </c>
      <c r="N203">
        <v>1007</v>
      </c>
      <c r="O203" t="s">
        <v>509</v>
      </c>
      <c r="P203" t="s">
        <v>509</v>
      </c>
      <c r="Q203">
        <v>1</v>
      </c>
      <c r="X203">
        <v>0.22700000000000001</v>
      </c>
      <c r="Y203">
        <v>7.07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0.22700000000000001</v>
      </c>
      <c r="AH203">
        <v>2</v>
      </c>
      <c r="AI203">
        <v>60256284</v>
      </c>
      <c r="AJ203">
        <v>184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ROW(Source!A142)</f>
        <v>142</v>
      </c>
      <c r="B204">
        <v>60256295</v>
      </c>
      <c r="C204">
        <v>60256278</v>
      </c>
      <c r="D204">
        <v>59045898</v>
      </c>
      <c r="E204">
        <v>1</v>
      </c>
      <c r="F204">
        <v>1</v>
      </c>
      <c r="G204">
        <v>1080</v>
      </c>
      <c r="H204">
        <v>3</v>
      </c>
      <c r="I204" t="s">
        <v>510</v>
      </c>
      <c r="J204" t="s">
        <v>511</v>
      </c>
      <c r="K204" t="s">
        <v>512</v>
      </c>
      <c r="L204">
        <v>1355</v>
      </c>
      <c r="N204">
        <v>1010</v>
      </c>
      <c r="O204" t="s">
        <v>96</v>
      </c>
      <c r="P204" t="s">
        <v>96</v>
      </c>
      <c r="Q204">
        <v>100</v>
      </c>
      <c r="X204">
        <v>4.04</v>
      </c>
      <c r="Y204">
        <v>154.72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4.04</v>
      </c>
      <c r="AH204">
        <v>2</v>
      </c>
      <c r="AI204">
        <v>60256285</v>
      </c>
      <c r="AJ204">
        <v>185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ROW(Source!A142)</f>
        <v>142</v>
      </c>
      <c r="B205">
        <v>60256296</v>
      </c>
      <c r="C205">
        <v>60256278</v>
      </c>
      <c r="D205">
        <v>59056195</v>
      </c>
      <c r="E205">
        <v>1</v>
      </c>
      <c r="F205">
        <v>1</v>
      </c>
      <c r="G205">
        <v>1080</v>
      </c>
      <c r="H205">
        <v>3</v>
      </c>
      <c r="I205" t="s">
        <v>513</v>
      </c>
      <c r="J205" t="s">
        <v>514</v>
      </c>
      <c r="K205" t="s">
        <v>515</v>
      </c>
      <c r="L205">
        <v>1354</v>
      </c>
      <c r="N205">
        <v>1010</v>
      </c>
      <c r="O205" t="s">
        <v>31</v>
      </c>
      <c r="P205" t="s">
        <v>31</v>
      </c>
      <c r="Q205">
        <v>1</v>
      </c>
      <c r="X205">
        <v>200</v>
      </c>
      <c r="Y205">
        <v>7.24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200</v>
      </c>
      <c r="AH205">
        <v>2</v>
      </c>
      <c r="AI205">
        <v>60256286</v>
      </c>
      <c r="AJ205">
        <v>186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ROW(Source!A142)</f>
        <v>142</v>
      </c>
      <c r="B206">
        <v>60256297</v>
      </c>
      <c r="C206">
        <v>60256278</v>
      </c>
      <c r="D206">
        <v>59049377</v>
      </c>
      <c r="E206">
        <v>1</v>
      </c>
      <c r="F206">
        <v>1</v>
      </c>
      <c r="G206">
        <v>1080</v>
      </c>
      <c r="H206">
        <v>3</v>
      </c>
      <c r="I206" t="s">
        <v>516</v>
      </c>
      <c r="J206" t="s">
        <v>517</v>
      </c>
      <c r="K206" t="s">
        <v>518</v>
      </c>
      <c r="L206">
        <v>1354</v>
      </c>
      <c r="N206">
        <v>1010</v>
      </c>
      <c r="O206" t="s">
        <v>31</v>
      </c>
      <c r="P206" t="s">
        <v>31</v>
      </c>
      <c r="Q206">
        <v>1</v>
      </c>
      <c r="X206">
        <v>0.68400000000000005</v>
      </c>
      <c r="Y206">
        <v>6.12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0.68400000000000005</v>
      </c>
      <c r="AH206">
        <v>2</v>
      </c>
      <c r="AI206">
        <v>60256287</v>
      </c>
      <c r="AJ206">
        <v>187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ROW(Source!A142)</f>
        <v>142</v>
      </c>
      <c r="B207">
        <v>60256298</v>
      </c>
      <c r="C207">
        <v>60256278</v>
      </c>
      <c r="D207">
        <v>59023215</v>
      </c>
      <c r="E207">
        <v>1080</v>
      </c>
      <c r="F207">
        <v>1</v>
      </c>
      <c r="G207">
        <v>1080</v>
      </c>
      <c r="H207">
        <v>3</v>
      </c>
      <c r="I207" t="s">
        <v>594</v>
      </c>
      <c r="J207" t="s">
        <v>3</v>
      </c>
      <c r="K207" t="s">
        <v>595</v>
      </c>
      <c r="L207">
        <v>1354</v>
      </c>
      <c r="N207">
        <v>1010</v>
      </c>
      <c r="O207" t="s">
        <v>31</v>
      </c>
      <c r="P207" t="s">
        <v>31</v>
      </c>
      <c r="Q207">
        <v>1</v>
      </c>
      <c r="X207">
        <v>100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</v>
      </c>
      <c r="AG207">
        <v>100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ROW(Source!A142)</f>
        <v>142</v>
      </c>
      <c r="B208">
        <v>60256299</v>
      </c>
      <c r="C208">
        <v>60256278</v>
      </c>
      <c r="D208">
        <v>59004259</v>
      </c>
      <c r="E208">
        <v>1080</v>
      </c>
      <c r="F208">
        <v>1</v>
      </c>
      <c r="G208">
        <v>1080</v>
      </c>
      <c r="H208">
        <v>3</v>
      </c>
      <c r="I208" t="s">
        <v>519</v>
      </c>
      <c r="J208" t="s">
        <v>3</v>
      </c>
      <c r="K208" t="s">
        <v>520</v>
      </c>
      <c r="L208">
        <v>1344</v>
      </c>
      <c r="N208">
        <v>1008</v>
      </c>
      <c r="O208" t="s">
        <v>521</v>
      </c>
      <c r="P208" t="s">
        <v>521</v>
      </c>
      <c r="Q208">
        <v>1</v>
      </c>
      <c r="X208">
        <v>0.04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</v>
      </c>
      <c r="AG208">
        <v>0.04</v>
      </c>
      <c r="AH208">
        <v>2</v>
      </c>
      <c r="AI208">
        <v>60256288</v>
      </c>
      <c r="AJ208">
        <v>188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ROW(Source!A147)</f>
        <v>147</v>
      </c>
      <c r="B209">
        <v>60256311</v>
      </c>
      <c r="C209">
        <v>60256300</v>
      </c>
      <c r="D209">
        <v>58999254</v>
      </c>
      <c r="E209">
        <v>1080</v>
      </c>
      <c r="F209">
        <v>1</v>
      </c>
      <c r="G209">
        <v>1080</v>
      </c>
      <c r="H209">
        <v>1</v>
      </c>
      <c r="I209" t="s">
        <v>482</v>
      </c>
      <c r="J209" t="s">
        <v>3</v>
      </c>
      <c r="K209" t="s">
        <v>483</v>
      </c>
      <c r="L209">
        <v>1191</v>
      </c>
      <c r="N209">
        <v>1013</v>
      </c>
      <c r="O209" t="s">
        <v>484</v>
      </c>
      <c r="P209" t="s">
        <v>484</v>
      </c>
      <c r="Q209">
        <v>1</v>
      </c>
      <c r="X209">
        <v>97.55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199</v>
      </c>
      <c r="AG209">
        <v>123.40075</v>
      </c>
      <c r="AH209">
        <v>2</v>
      </c>
      <c r="AI209">
        <v>60256301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ROW(Source!A147)</f>
        <v>147</v>
      </c>
      <c r="B210">
        <v>60256312</v>
      </c>
      <c r="C210">
        <v>60256300</v>
      </c>
      <c r="D210">
        <v>59070669</v>
      </c>
      <c r="E210">
        <v>1</v>
      </c>
      <c r="F210">
        <v>1</v>
      </c>
      <c r="G210">
        <v>1080</v>
      </c>
      <c r="H210">
        <v>2</v>
      </c>
      <c r="I210" t="s">
        <v>485</v>
      </c>
      <c r="J210" t="s">
        <v>486</v>
      </c>
      <c r="K210" t="s">
        <v>487</v>
      </c>
      <c r="L210">
        <v>1368</v>
      </c>
      <c r="N210">
        <v>1011</v>
      </c>
      <c r="O210" t="s">
        <v>488</v>
      </c>
      <c r="P210" t="s">
        <v>488</v>
      </c>
      <c r="Q210">
        <v>1</v>
      </c>
      <c r="X210">
        <v>0.56000000000000005</v>
      </c>
      <c r="Y210">
        <v>0</v>
      </c>
      <c r="Z210">
        <v>83.1</v>
      </c>
      <c r="AA210">
        <v>12.62</v>
      </c>
      <c r="AB210">
        <v>0</v>
      </c>
      <c r="AC210">
        <v>0</v>
      </c>
      <c r="AD210">
        <v>1</v>
      </c>
      <c r="AE210">
        <v>0</v>
      </c>
      <c r="AF210" t="s">
        <v>198</v>
      </c>
      <c r="AG210">
        <v>0.77000000000000013</v>
      </c>
      <c r="AH210">
        <v>2</v>
      </c>
      <c r="AI210">
        <v>60256302</v>
      </c>
      <c r="AJ210">
        <v>190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ROW(Source!A147)</f>
        <v>147</v>
      </c>
      <c r="B211">
        <v>60256314</v>
      </c>
      <c r="C211">
        <v>60256300</v>
      </c>
      <c r="D211">
        <v>59070721</v>
      </c>
      <c r="E211">
        <v>1</v>
      </c>
      <c r="F211">
        <v>1</v>
      </c>
      <c r="G211">
        <v>1080</v>
      </c>
      <c r="H211">
        <v>2</v>
      </c>
      <c r="I211" t="s">
        <v>497</v>
      </c>
      <c r="J211" t="s">
        <v>498</v>
      </c>
      <c r="K211" t="s">
        <v>499</v>
      </c>
      <c r="L211">
        <v>1368</v>
      </c>
      <c r="N211">
        <v>1011</v>
      </c>
      <c r="O211" t="s">
        <v>488</v>
      </c>
      <c r="P211" t="s">
        <v>488</v>
      </c>
      <c r="Q211">
        <v>1</v>
      </c>
      <c r="X211">
        <v>1.86</v>
      </c>
      <c r="Y211">
        <v>0</v>
      </c>
      <c r="Z211">
        <v>0.77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198</v>
      </c>
      <c r="AG211">
        <v>2.5575000000000001</v>
      </c>
      <c r="AH211">
        <v>2</v>
      </c>
      <c r="AI211">
        <v>60256304</v>
      </c>
      <c r="AJ211">
        <v>191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ROW(Source!A147)</f>
        <v>147</v>
      </c>
      <c r="B212">
        <v>60256315</v>
      </c>
      <c r="C212">
        <v>60256300</v>
      </c>
      <c r="D212">
        <v>59070754</v>
      </c>
      <c r="E212">
        <v>1</v>
      </c>
      <c r="F212">
        <v>1</v>
      </c>
      <c r="G212">
        <v>1080</v>
      </c>
      <c r="H212">
        <v>2</v>
      </c>
      <c r="I212" t="s">
        <v>500</v>
      </c>
      <c r="J212" t="s">
        <v>501</v>
      </c>
      <c r="K212" t="s">
        <v>502</v>
      </c>
      <c r="L212">
        <v>1368</v>
      </c>
      <c r="N212">
        <v>1011</v>
      </c>
      <c r="O212" t="s">
        <v>488</v>
      </c>
      <c r="P212" t="s">
        <v>488</v>
      </c>
      <c r="Q212">
        <v>1</v>
      </c>
      <c r="X212">
        <v>4.83</v>
      </c>
      <c r="Y212">
        <v>0</v>
      </c>
      <c r="Z212">
        <v>0.47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198</v>
      </c>
      <c r="AG212">
        <v>6.6412500000000012</v>
      </c>
      <c r="AH212">
        <v>2</v>
      </c>
      <c r="AI212">
        <v>60256305</v>
      </c>
      <c r="AJ212">
        <v>192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ROW(Source!A147)</f>
        <v>147</v>
      </c>
      <c r="B213">
        <v>60256313</v>
      </c>
      <c r="C213">
        <v>60256300</v>
      </c>
      <c r="D213">
        <v>59069905</v>
      </c>
      <c r="E213">
        <v>1</v>
      </c>
      <c r="F213">
        <v>1</v>
      </c>
      <c r="G213">
        <v>1080</v>
      </c>
      <c r="H213">
        <v>2</v>
      </c>
      <c r="I213" t="s">
        <v>503</v>
      </c>
      <c r="J213" t="s">
        <v>504</v>
      </c>
      <c r="K213" t="s">
        <v>505</v>
      </c>
      <c r="L213">
        <v>1368</v>
      </c>
      <c r="N213">
        <v>1011</v>
      </c>
      <c r="O213" t="s">
        <v>488</v>
      </c>
      <c r="P213" t="s">
        <v>488</v>
      </c>
      <c r="Q213">
        <v>1</v>
      </c>
      <c r="X213">
        <v>0.65</v>
      </c>
      <c r="Y213">
        <v>0</v>
      </c>
      <c r="Z213">
        <v>179.17</v>
      </c>
      <c r="AA213">
        <v>16.93</v>
      </c>
      <c r="AB213">
        <v>0</v>
      </c>
      <c r="AC213">
        <v>0</v>
      </c>
      <c r="AD213">
        <v>1</v>
      </c>
      <c r="AE213">
        <v>0</v>
      </c>
      <c r="AF213" t="s">
        <v>198</v>
      </c>
      <c r="AG213">
        <v>0.89375000000000004</v>
      </c>
      <c r="AH213">
        <v>2</v>
      </c>
      <c r="AI213">
        <v>60256303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ROW(Source!A147)</f>
        <v>147</v>
      </c>
      <c r="B214">
        <v>60256316</v>
      </c>
      <c r="C214">
        <v>60256300</v>
      </c>
      <c r="D214">
        <v>59038905</v>
      </c>
      <c r="E214">
        <v>1</v>
      </c>
      <c r="F214">
        <v>1</v>
      </c>
      <c r="G214">
        <v>1080</v>
      </c>
      <c r="H214">
        <v>3</v>
      </c>
      <c r="I214" t="s">
        <v>506</v>
      </c>
      <c r="J214" t="s">
        <v>507</v>
      </c>
      <c r="K214" t="s">
        <v>508</v>
      </c>
      <c r="L214">
        <v>1339</v>
      </c>
      <c r="N214">
        <v>1007</v>
      </c>
      <c r="O214" t="s">
        <v>509</v>
      </c>
      <c r="P214" t="s">
        <v>509</v>
      </c>
      <c r="Q214">
        <v>1</v>
      </c>
      <c r="X214">
        <v>0.44800000000000001</v>
      </c>
      <c r="Y214">
        <v>7.07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</v>
      </c>
      <c r="AG214">
        <v>0.44800000000000001</v>
      </c>
      <c r="AH214">
        <v>2</v>
      </c>
      <c r="AI214">
        <v>60256306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ROW(Source!A147)</f>
        <v>147</v>
      </c>
      <c r="B215">
        <v>60256317</v>
      </c>
      <c r="C215">
        <v>60256300</v>
      </c>
      <c r="D215">
        <v>59045898</v>
      </c>
      <c r="E215">
        <v>1</v>
      </c>
      <c r="F215">
        <v>1</v>
      </c>
      <c r="G215">
        <v>1080</v>
      </c>
      <c r="H215">
        <v>3</v>
      </c>
      <c r="I215" t="s">
        <v>510</v>
      </c>
      <c r="J215" t="s">
        <v>511</v>
      </c>
      <c r="K215" t="s">
        <v>512</v>
      </c>
      <c r="L215">
        <v>1355</v>
      </c>
      <c r="N215">
        <v>1010</v>
      </c>
      <c r="O215" t="s">
        <v>96</v>
      </c>
      <c r="P215" t="s">
        <v>96</v>
      </c>
      <c r="Q215">
        <v>100</v>
      </c>
      <c r="X215">
        <v>6.06</v>
      </c>
      <c r="Y215">
        <v>154.72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6.06</v>
      </c>
      <c r="AH215">
        <v>2</v>
      </c>
      <c r="AI215">
        <v>60256307</v>
      </c>
      <c r="AJ215">
        <v>195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ROW(Source!A147)</f>
        <v>147</v>
      </c>
      <c r="B216">
        <v>60256318</v>
      </c>
      <c r="C216">
        <v>60256300</v>
      </c>
      <c r="D216">
        <v>59056195</v>
      </c>
      <c r="E216">
        <v>1</v>
      </c>
      <c r="F216">
        <v>1</v>
      </c>
      <c r="G216">
        <v>1080</v>
      </c>
      <c r="H216">
        <v>3</v>
      </c>
      <c r="I216" t="s">
        <v>513</v>
      </c>
      <c r="J216" t="s">
        <v>514</v>
      </c>
      <c r="K216" t="s">
        <v>515</v>
      </c>
      <c r="L216">
        <v>1354</v>
      </c>
      <c r="N216">
        <v>1010</v>
      </c>
      <c r="O216" t="s">
        <v>31</v>
      </c>
      <c r="P216" t="s">
        <v>31</v>
      </c>
      <c r="Q216">
        <v>1</v>
      </c>
      <c r="X216">
        <v>300</v>
      </c>
      <c r="Y216">
        <v>7.24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300</v>
      </c>
      <c r="AH216">
        <v>2</v>
      </c>
      <c r="AI216">
        <v>60256308</v>
      </c>
      <c r="AJ216">
        <v>196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ROW(Source!A147)</f>
        <v>147</v>
      </c>
      <c r="B217">
        <v>60256319</v>
      </c>
      <c r="C217">
        <v>60256300</v>
      </c>
      <c r="D217">
        <v>59049377</v>
      </c>
      <c r="E217">
        <v>1</v>
      </c>
      <c r="F217">
        <v>1</v>
      </c>
      <c r="G217">
        <v>1080</v>
      </c>
      <c r="H217">
        <v>3</v>
      </c>
      <c r="I217" t="s">
        <v>516</v>
      </c>
      <c r="J217" t="s">
        <v>517</v>
      </c>
      <c r="K217" t="s">
        <v>518</v>
      </c>
      <c r="L217">
        <v>1354</v>
      </c>
      <c r="N217">
        <v>1010</v>
      </c>
      <c r="O217" t="s">
        <v>31</v>
      </c>
      <c r="P217" t="s">
        <v>31</v>
      </c>
      <c r="Q217">
        <v>1</v>
      </c>
      <c r="X217">
        <v>1.026</v>
      </c>
      <c r="Y217">
        <v>6.12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</v>
      </c>
      <c r="AG217">
        <v>1.026</v>
      </c>
      <c r="AH217">
        <v>2</v>
      </c>
      <c r="AI217">
        <v>60256309</v>
      </c>
      <c r="AJ217">
        <v>197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ROW(Source!A147)</f>
        <v>147</v>
      </c>
      <c r="B218">
        <v>60256320</v>
      </c>
      <c r="C218">
        <v>60256300</v>
      </c>
      <c r="D218">
        <v>59023215</v>
      </c>
      <c r="E218">
        <v>1080</v>
      </c>
      <c r="F218">
        <v>1</v>
      </c>
      <c r="G218">
        <v>1080</v>
      </c>
      <c r="H218">
        <v>3</v>
      </c>
      <c r="I218" t="s">
        <v>594</v>
      </c>
      <c r="J218" t="s">
        <v>3</v>
      </c>
      <c r="K218" t="s">
        <v>595</v>
      </c>
      <c r="L218">
        <v>1354</v>
      </c>
      <c r="N218">
        <v>1010</v>
      </c>
      <c r="O218" t="s">
        <v>31</v>
      </c>
      <c r="P218" t="s">
        <v>31</v>
      </c>
      <c r="Q218">
        <v>1</v>
      </c>
      <c r="X218">
        <v>100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</v>
      </c>
      <c r="AG218">
        <v>100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ROW(Source!A147)</f>
        <v>147</v>
      </c>
      <c r="B219">
        <v>60256321</v>
      </c>
      <c r="C219">
        <v>60256300</v>
      </c>
      <c r="D219">
        <v>59004259</v>
      </c>
      <c r="E219">
        <v>1080</v>
      </c>
      <c r="F219">
        <v>1</v>
      </c>
      <c r="G219">
        <v>1080</v>
      </c>
      <c r="H219">
        <v>3</v>
      </c>
      <c r="I219" t="s">
        <v>519</v>
      </c>
      <c r="J219" t="s">
        <v>3</v>
      </c>
      <c r="K219" t="s">
        <v>520</v>
      </c>
      <c r="L219">
        <v>1344</v>
      </c>
      <c r="N219">
        <v>1008</v>
      </c>
      <c r="O219" t="s">
        <v>521</v>
      </c>
      <c r="P219" t="s">
        <v>521</v>
      </c>
      <c r="Q219">
        <v>1</v>
      </c>
      <c r="X219">
        <v>0.06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</v>
      </c>
      <c r="AG219">
        <v>0.06</v>
      </c>
      <c r="AH219">
        <v>2</v>
      </c>
      <c r="AI219">
        <v>60256310</v>
      </c>
      <c r="AJ219">
        <v>198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ROW(Source!A148)</f>
        <v>148</v>
      </c>
      <c r="B220">
        <v>60256311</v>
      </c>
      <c r="C220">
        <v>60256300</v>
      </c>
      <c r="D220">
        <v>58999254</v>
      </c>
      <c r="E220">
        <v>1080</v>
      </c>
      <c r="F220">
        <v>1</v>
      </c>
      <c r="G220">
        <v>1080</v>
      </c>
      <c r="H220">
        <v>1</v>
      </c>
      <c r="I220" t="s">
        <v>482</v>
      </c>
      <c r="J220" t="s">
        <v>3</v>
      </c>
      <c r="K220" t="s">
        <v>483</v>
      </c>
      <c r="L220">
        <v>1191</v>
      </c>
      <c r="N220">
        <v>1013</v>
      </c>
      <c r="O220" t="s">
        <v>484</v>
      </c>
      <c r="P220" t="s">
        <v>484</v>
      </c>
      <c r="Q220">
        <v>1</v>
      </c>
      <c r="X220">
        <v>97.55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 t="s">
        <v>199</v>
      </c>
      <c r="AG220">
        <v>123.40075</v>
      </c>
      <c r="AH220">
        <v>2</v>
      </c>
      <c r="AI220">
        <v>60256301</v>
      </c>
      <c r="AJ220">
        <v>199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ROW(Source!A148)</f>
        <v>148</v>
      </c>
      <c r="B221">
        <v>60256312</v>
      </c>
      <c r="C221">
        <v>60256300</v>
      </c>
      <c r="D221">
        <v>59070669</v>
      </c>
      <c r="E221">
        <v>1</v>
      </c>
      <c r="F221">
        <v>1</v>
      </c>
      <c r="G221">
        <v>1080</v>
      </c>
      <c r="H221">
        <v>2</v>
      </c>
      <c r="I221" t="s">
        <v>485</v>
      </c>
      <c r="J221" t="s">
        <v>486</v>
      </c>
      <c r="K221" t="s">
        <v>487</v>
      </c>
      <c r="L221">
        <v>1368</v>
      </c>
      <c r="N221">
        <v>1011</v>
      </c>
      <c r="O221" t="s">
        <v>488</v>
      </c>
      <c r="P221" t="s">
        <v>488</v>
      </c>
      <c r="Q221">
        <v>1</v>
      </c>
      <c r="X221">
        <v>0.56000000000000005</v>
      </c>
      <c r="Y221">
        <v>0</v>
      </c>
      <c r="Z221">
        <v>83.1</v>
      </c>
      <c r="AA221">
        <v>12.62</v>
      </c>
      <c r="AB221">
        <v>0</v>
      </c>
      <c r="AC221">
        <v>0</v>
      </c>
      <c r="AD221">
        <v>1</v>
      </c>
      <c r="AE221">
        <v>0</v>
      </c>
      <c r="AF221" t="s">
        <v>198</v>
      </c>
      <c r="AG221">
        <v>0.77000000000000013</v>
      </c>
      <c r="AH221">
        <v>2</v>
      </c>
      <c r="AI221">
        <v>60256302</v>
      </c>
      <c r="AJ221">
        <v>200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ROW(Source!A148)</f>
        <v>148</v>
      </c>
      <c r="B222">
        <v>60256314</v>
      </c>
      <c r="C222">
        <v>60256300</v>
      </c>
      <c r="D222">
        <v>59070721</v>
      </c>
      <c r="E222">
        <v>1</v>
      </c>
      <c r="F222">
        <v>1</v>
      </c>
      <c r="G222">
        <v>1080</v>
      </c>
      <c r="H222">
        <v>2</v>
      </c>
      <c r="I222" t="s">
        <v>497</v>
      </c>
      <c r="J222" t="s">
        <v>498</v>
      </c>
      <c r="K222" t="s">
        <v>499</v>
      </c>
      <c r="L222">
        <v>1368</v>
      </c>
      <c r="N222">
        <v>1011</v>
      </c>
      <c r="O222" t="s">
        <v>488</v>
      </c>
      <c r="P222" t="s">
        <v>488</v>
      </c>
      <c r="Q222">
        <v>1</v>
      </c>
      <c r="X222">
        <v>1.86</v>
      </c>
      <c r="Y222">
        <v>0</v>
      </c>
      <c r="Z222">
        <v>0.77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198</v>
      </c>
      <c r="AG222">
        <v>2.5575000000000001</v>
      </c>
      <c r="AH222">
        <v>2</v>
      </c>
      <c r="AI222">
        <v>60256304</v>
      </c>
      <c r="AJ222">
        <v>201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ROW(Source!A148)</f>
        <v>148</v>
      </c>
      <c r="B223">
        <v>60256315</v>
      </c>
      <c r="C223">
        <v>60256300</v>
      </c>
      <c r="D223">
        <v>59070754</v>
      </c>
      <c r="E223">
        <v>1</v>
      </c>
      <c r="F223">
        <v>1</v>
      </c>
      <c r="G223">
        <v>1080</v>
      </c>
      <c r="H223">
        <v>2</v>
      </c>
      <c r="I223" t="s">
        <v>500</v>
      </c>
      <c r="J223" t="s">
        <v>501</v>
      </c>
      <c r="K223" t="s">
        <v>502</v>
      </c>
      <c r="L223">
        <v>1368</v>
      </c>
      <c r="N223">
        <v>1011</v>
      </c>
      <c r="O223" t="s">
        <v>488</v>
      </c>
      <c r="P223" t="s">
        <v>488</v>
      </c>
      <c r="Q223">
        <v>1</v>
      </c>
      <c r="X223">
        <v>4.83</v>
      </c>
      <c r="Y223">
        <v>0</v>
      </c>
      <c r="Z223">
        <v>0.47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198</v>
      </c>
      <c r="AG223">
        <v>6.6412500000000012</v>
      </c>
      <c r="AH223">
        <v>2</v>
      </c>
      <c r="AI223">
        <v>60256305</v>
      </c>
      <c r="AJ223">
        <v>202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ROW(Source!A148)</f>
        <v>148</v>
      </c>
      <c r="B224">
        <v>60256313</v>
      </c>
      <c r="C224">
        <v>60256300</v>
      </c>
      <c r="D224">
        <v>59069905</v>
      </c>
      <c r="E224">
        <v>1</v>
      </c>
      <c r="F224">
        <v>1</v>
      </c>
      <c r="G224">
        <v>1080</v>
      </c>
      <c r="H224">
        <v>2</v>
      </c>
      <c r="I224" t="s">
        <v>503</v>
      </c>
      <c r="J224" t="s">
        <v>504</v>
      </c>
      <c r="K224" t="s">
        <v>505</v>
      </c>
      <c r="L224">
        <v>1368</v>
      </c>
      <c r="N224">
        <v>1011</v>
      </c>
      <c r="O224" t="s">
        <v>488</v>
      </c>
      <c r="P224" t="s">
        <v>488</v>
      </c>
      <c r="Q224">
        <v>1</v>
      </c>
      <c r="X224">
        <v>0.65</v>
      </c>
      <c r="Y224">
        <v>0</v>
      </c>
      <c r="Z224">
        <v>179.17</v>
      </c>
      <c r="AA224">
        <v>16.93</v>
      </c>
      <c r="AB224">
        <v>0</v>
      </c>
      <c r="AC224">
        <v>0</v>
      </c>
      <c r="AD224">
        <v>1</v>
      </c>
      <c r="AE224">
        <v>0</v>
      </c>
      <c r="AF224" t="s">
        <v>198</v>
      </c>
      <c r="AG224">
        <v>0.89375000000000004</v>
      </c>
      <c r="AH224">
        <v>2</v>
      </c>
      <c r="AI224">
        <v>60256303</v>
      </c>
      <c r="AJ224">
        <v>203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ROW(Source!A148)</f>
        <v>148</v>
      </c>
      <c r="B225">
        <v>60256316</v>
      </c>
      <c r="C225">
        <v>60256300</v>
      </c>
      <c r="D225">
        <v>59038905</v>
      </c>
      <c r="E225">
        <v>1</v>
      </c>
      <c r="F225">
        <v>1</v>
      </c>
      <c r="G225">
        <v>1080</v>
      </c>
      <c r="H225">
        <v>3</v>
      </c>
      <c r="I225" t="s">
        <v>506</v>
      </c>
      <c r="J225" t="s">
        <v>507</v>
      </c>
      <c r="K225" t="s">
        <v>508</v>
      </c>
      <c r="L225">
        <v>1339</v>
      </c>
      <c r="N225">
        <v>1007</v>
      </c>
      <c r="O225" t="s">
        <v>509</v>
      </c>
      <c r="P225" t="s">
        <v>509</v>
      </c>
      <c r="Q225">
        <v>1</v>
      </c>
      <c r="X225">
        <v>0.44800000000000001</v>
      </c>
      <c r="Y225">
        <v>7.07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0.44800000000000001</v>
      </c>
      <c r="AH225">
        <v>2</v>
      </c>
      <c r="AI225">
        <v>60256306</v>
      </c>
      <c r="AJ225">
        <v>204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ROW(Source!A148)</f>
        <v>148</v>
      </c>
      <c r="B226">
        <v>60256317</v>
      </c>
      <c r="C226">
        <v>60256300</v>
      </c>
      <c r="D226">
        <v>59045898</v>
      </c>
      <c r="E226">
        <v>1</v>
      </c>
      <c r="F226">
        <v>1</v>
      </c>
      <c r="G226">
        <v>1080</v>
      </c>
      <c r="H226">
        <v>3</v>
      </c>
      <c r="I226" t="s">
        <v>510</v>
      </c>
      <c r="J226" t="s">
        <v>511</v>
      </c>
      <c r="K226" t="s">
        <v>512</v>
      </c>
      <c r="L226">
        <v>1355</v>
      </c>
      <c r="N226">
        <v>1010</v>
      </c>
      <c r="O226" t="s">
        <v>96</v>
      </c>
      <c r="P226" t="s">
        <v>96</v>
      </c>
      <c r="Q226">
        <v>100</v>
      </c>
      <c r="X226">
        <v>6.06</v>
      </c>
      <c r="Y226">
        <v>154.72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6.06</v>
      </c>
      <c r="AH226">
        <v>2</v>
      </c>
      <c r="AI226">
        <v>60256307</v>
      </c>
      <c r="AJ226">
        <v>205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ROW(Source!A148)</f>
        <v>148</v>
      </c>
      <c r="B227">
        <v>60256318</v>
      </c>
      <c r="C227">
        <v>60256300</v>
      </c>
      <c r="D227">
        <v>59056195</v>
      </c>
      <c r="E227">
        <v>1</v>
      </c>
      <c r="F227">
        <v>1</v>
      </c>
      <c r="G227">
        <v>1080</v>
      </c>
      <c r="H227">
        <v>3</v>
      </c>
      <c r="I227" t="s">
        <v>513</v>
      </c>
      <c r="J227" t="s">
        <v>514</v>
      </c>
      <c r="K227" t="s">
        <v>515</v>
      </c>
      <c r="L227">
        <v>1354</v>
      </c>
      <c r="N227">
        <v>1010</v>
      </c>
      <c r="O227" t="s">
        <v>31</v>
      </c>
      <c r="P227" t="s">
        <v>31</v>
      </c>
      <c r="Q227">
        <v>1</v>
      </c>
      <c r="X227">
        <v>300</v>
      </c>
      <c r="Y227">
        <v>7.24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300</v>
      </c>
      <c r="AH227">
        <v>2</v>
      </c>
      <c r="AI227">
        <v>60256308</v>
      </c>
      <c r="AJ227">
        <v>206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ROW(Source!A148)</f>
        <v>148</v>
      </c>
      <c r="B228">
        <v>60256319</v>
      </c>
      <c r="C228">
        <v>60256300</v>
      </c>
      <c r="D228">
        <v>59049377</v>
      </c>
      <c r="E228">
        <v>1</v>
      </c>
      <c r="F228">
        <v>1</v>
      </c>
      <c r="G228">
        <v>1080</v>
      </c>
      <c r="H228">
        <v>3</v>
      </c>
      <c r="I228" t="s">
        <v>516</v>
      </c>
      <c r="J228" t="s">
        <v>517</v>
      </c>
      <c r="K228" t="s">
        <v>518</v>
      </c>
      <c r="L228">
        <v>1354</v>
      </c>
      <c r="N228">
        <v>1010</v>
      </c>
      <c r="O228" t="s">
        <v>31</v>
      </c>
      <c r="P228" t="s">
        <v>31</v>
      </c>
      <c r="Q228">
        <v>1</v>
      </c>
      <c r="X228">
        <v>1.026</v>
      </c>
      <c r="Y228">
        <v>6.12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</v>
      </c>
      <c r="AG228">
        <v>1.026</v>
      </c>
      <c r="AH228">
        <v>2</v>
      </c>
      <c r="AI228">
        <v>60256309</v>
      </c>
      <c r="AJ228">
        <v>207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ROW(Source!A148)</f>
        <v>148</v>
      </c>
      <c r="B229">
        <v>60256320</v>
      </c>
      <c r="C229">
        <v>60256300</v>
      </c>
      <c r="D229">
        <v>59023215</v>
      </c>
      <c r="E229">
        <v>1080</v>
      </c>
      <c r="F229">
        <v>1</v>
      </c>
      <c r="G229">
        <v>1080</v>
      </c>
      <c r="H229">
        <v>3</v>
      </c>
      <c r="I229" t="s">
        <v>594</v>
      </c>
      <c r="J229" t="s">
        <v>3</v>
      </c>
      <c r="K229" t="s">
        <v>595</v>
      </c>
      <c r="L229">
        <v>1354</v>
      </c>
      <c r="N229">
        <v>1010</v>
      </c>
      <c r="O229" t="s">
        <v>31</v>
      </c>
      <c r="P229" t="s">
        <v>31</v>
      </c>
      <c r="Q229">
        <v>1</v>
      </c>
      <c r="X229">
        <v>100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3</v>
      </c>
      <c r="AG229">
        <v>100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ROW(Source!A148)</f>
        <v>148</v>
      </c>
      <c r="B230">
        <v>60256321</v>
      </c>
      <c r="C230">
        <v>60256300</v>
      </c>
      <c r="D230">
        <v>59004259</v>
      </c>
      <c r="E230">
        <v>1080</v>
      </c>
      <c r="F230">
        <v>1</v>
      </c>
      <c r="G230">
        <v>1080</v>
      </c>
      <c r="H230">
        <v>3</v>
      </c>
      <c r="I230" t="s">
        <v>519</v>
      </c>
      <c r="J230" t="s">
        <v>3</v>
      </c>
      <c r="K230" t="s">
        <v>520</v>
      </c>
      <c r="L230">
        <v>1344</v>
      </c>
      <c r="N230">
        <v>1008</v>
      </c>
      <c r="O230" t="s">
        <v>521</v>
      </c>
      <c r="P230" t="s">
        <v>521</v>
      </c>
      <c r="Q230">
        <v>1</v>
      </c>
      <c r="X230">
        <v>0.06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</v>
      </c>
      <c r="AG230">
        <v>0.06</v>
      </c>
      <c r="AH230">
        <v>2</v>
      </c>
      <c r="AI230">
        <v>60256310</v>
      </c>
      <c r="AJ230">
        <v>208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ROW(Source!A151)</f>
        <v>151</v>
      </c>
      <c r="B231">
        <v>60256333</v>
      </c>
      <c r="C231">
        <v>60256322</v>
      </c>
      <c r="D231">
        <v>58999254</v>
      </c>
      <c r="E231">
        <v>1080</v>
      </c>
      <c r="F231">
        <v>1</v>
      </c>
      <c r="G231">
        <v>1080</v>
      </c>
      <c r="H231">
        <v>1</v>
      </c>
      <c r="I231" t="s">
        <v>482</v>
      </c>
      <c r="J231" t="s">
        <v>3</v>
      </c>
      <c r="K231" t="s">
        <v>483</v>
      </c>
      <c r="L231">
        <v>1191</v>
      </c>
      <c r="N231">
        <v>1013</v>
      </c>
      <c r="O231" t="s">
        <v>484</v>
      </c>
      <c r="P231" t="s">
        <v>484</v>
      </c>
      <c r="Q231">
        <v>1</v>
      </c>
      <c r="X231">
        <v>74.7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99</v>
      </c>
      <c r="AG231">
        <v>94.495500000000007</v>
      </c>
      <c r="AH231">
        <v>2</v>
      </c>
      <c r="AI231">
        <v>60256323</v>
      </c>
      <c r="AJ231">
        <v>209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ROW(Source!A151)</f>
        <v>151</v>
      </c>
      <c r="B232">
        <v>60256334</v>
      </c>
      <c r="C232">
        <v>60256322</v>
      </c>
      <c r="D232">
        <v>59070669</v>
      </c>
      <c r="E232">
        <v>1</v>
      </c>
      <c r="F232">
        <v>1</v>
      </c>
      <c r="G232">
        <v>1080</v>
      </c>
      <c r="H232">
        <v>2</v>
      </c>
      <c r="I232" t="s">
        <v>485</v>
      </c>
      <c r="J232" t="s">
        <v>486</v>
      </c>
      <c r="K232" t="s">
        <v>487</v>
      </c>
      <c r="L232">
        <v>1368</v>
      </c>
      <c r="N232">
        <v>1011</v>
      </c>
      <c r="O232" t="s">
        <v>488</v>
      </c>
      <c r="P232" t="s">
        <v>488</v>
      </c>
      <c r="Q232">
        <v>1</v>
      </c>
      <c r="X232">
        <v>0.32</v>
      </c>
      <c r="Y232">
        <v>0</v>
      </c>
      <c r="Z232">
        <v>83.1</v>
      </c>
      <c r="AA232">
        <v>12.62</v>
      </c>
      <c r="AB232">
        <v>0</v>
      </c>
      <c r="AC232">
        <v>0</v>
      </c>
      <c r="AD232">
        <v>1</v>
      </c>
      <c r="AE232">
        <v>0</v>
      </c>
      <c r="AF232" t="s">
        <v>98</v>
      </c>
      <c r="AG232">
        <v>0.44000000000000006</v>
      </c>
      <c r="AH232">
        <v>2</v>
      </c>
      <c r="AI232">
        <v>60256324</v>
      </c>
      <c r="AJ232">
        <v>210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ROW(Source!A151)</f>
        <v>151</v>
      </c>
      <c r="B233">
        <v>60256336</v>
      </c>
      <c r="C233">
        <v>60256322</v>
      </c>
      <c r="D233">
        <v>59070721</v>
      </c>
      <c r="E233">
        <v>1</v>
      </c>
      <c r="F233">
        <v>1</v>
      </c>
      <c r="G233">
        <v>1080</v>
      </c>
      <c r="H233">
        <v>2</v>
      </c>
      <c r="I233" t="s">
        <v>497</v>
      </c>
      <c r="J233" t="s">
        <v>498</v>
      </c>
      <c r="K233" t="s">
        <v>499</v>
      </c>
      <c r="L233">
        <v>1368</v>
      </c>
      <c r="N233">
        <v>1011</v>
      </c>
      <c r="O233" t="s">
        <v>488</v>
      </c>
      <c r="P233" t="s">
        <v>488</v>
      </c>
      <c r="Q233">
        <v>1</v>
      </c>
      <c r="X233">
        <v>1.24</v>
      </c>
      <c r="Y233">
        <v>0</v>
      </c>
      <c r="Z233">
        <v>0.77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98</v>
      </c>
      <c r="AG233">
        <v>1.7050000000000003</v>
      </c>
      <c r="AH233">
        <v>2</v>
      </c>
      <c r="AI233">
        <v>60256326</v>
      </c>
      <c r="AJ233">
        <v>211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ROW(Source!A151)</f>
        <v>151</v>
      </c>
      <c r="B234">
        <v>60256337</v>
      </c>
      <c r="C234">
        <v>60256322</v>
      </c>
      <c r="D234">
        <v>59070754</v>
      </c>
      <c r="E234">
        <v>1</v>
      </c>
      <c r="F234">
        <v>1</v>
      </c>
      <c r="G234">
        <v>1080</v>
      </c>
      <c r="H234">
        <v>2</v>
      </c>
      <c r="I234" t="s">
        <v>500</v>
      </c>
      <c r="J234" t="s">
        <v>501</v>
      </c>
      <c r="K234" t="s">
        <v>502</v>
      </c>
      <c r="L234">
        <v>1368</v>
      </c>
      <c r="N234">
        <v>1011</v>
      </c>
      <c r="O234" t="s">
        <v>488</v>
      </c>
      <c r="P234" t="s">
        <v>488</v>
      </c>
      <c r="Q234">
        <v>1</v>
      </c>
      <c r="X234">
        <v>3.22</v>
      </c>
      <c r="Y234">
        <v>0</v>
      </c>
      <c r="Z234">
        <v>0.47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98</v>
      </c>
      <c r="AG234">
        <v>4.4275000000000011</v>
      </c>
      <c r="AH234">
        <v>2</v>
      </c>
      <c r="AI234">
        <v>60256327</v>
      </c>
      <c r="AJ234">
        <v>212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ROW(Source!A151)</f>
        <v>151</v>
      </c>
      <c r="B235">
        <v>60256335</v>
      </c>
      <c r="C235">
        <v>60256322</v>
      </c>
      <c r="D235">
        <v>59069905</v>
      </c>
      <c r="E235">
        <v>1</v>
      </c>
      <c r="F235">
        <v>1</v>
      </c>
      <c r="G235">
        <v>1080</v>
      </c>
      <c r="H235">
        <v>2</v>
      </c>
      <c r="I235" t="s">
        <v>503</v>
      </c>
      <c r="J235" t="s">
        <v>504</v>
      </c>
      <c r="K235" t="s">
        <v>505</v>
      </c>
      <c r="L235">
        <v>1368</v>
      </c>
      <c r="N235">
        <v>1011</v>
      </c>
      <c r="O235" t="s">
        <v>488</v>
      </c>
      <c r="P235" t="s">
        <v>488</v>
      </c>
      <c r="Q235">
        <v>1</v>
      </c>
      <c r="X235">
        <v>0.37</v>
      </c>
      <c r="Y235">
        <v>0</v>
      </c>
      <c r="Z235">
        <v>179.17</v>
      </c>
      <c r="AA235">
        <v>16.93</v>
      </c>
      <c r="AB235">
        <v>0</v>
      </c>
      <c r="AC235">
        <v>0</v>
      </c>
      <c r="AD235">
        <v>1</v>
      </c>
      <c r="AE235">
        <v>0</v>
      </c>
      <c r="AF235" t="s">
        <v>98</v>
      </c>
      <c r="AG235">
        <v>0.50875000000000004</v>
      </c>
      <c r="AH235">
        <v>2</v>
      </c>
      <c r="AI235">
        <v>60256325</v>
      </c>
      <c r="AJ235">
        <v>213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ROW(Source!A151)</f>
        <v>151</v>
      </c>
      <c r="B236">
        <v>60256338</v>
      </c>
      <c r="C236">
        <v>60256322</v>
      </c>
      <c r="D236">
        <v>59038905</v>
      </c>
      <c r="E236">
        <v>1</v>
      </c>
      <c r="F236">
        <v>1</v>
      </c>
      <c r="G236">
        <v>1080</v>
      </c>
      <c r="H236">
        <v>3</v>
      </c>
      <c r="I236" t="s">
        <v>506</v>
      </c>
      <c r="J236" t="s">
        <v>507</v>
      </c>
      <c r="K236" t="s">
        <v>508</v>
      </c>
      <c r="L236">
        <v>1339</v>
      </c>
      <c r="N236">
        <v>1007</v>
      </c>
      <c r="O236" t="s">
        <v>509</v>
      </c>
      <c r="P236" t="s">
        <v>509</v>
      </c>
      <c r="Q236">
        <v>1</v>
      </c>
      <c r="X236">
        <v>0.22700000000000001</v>
      </c>
      <c r="Y236">
        <v>7.07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0.22700000000000001</v>
      </c>
      <c r="AH236">
        <v>2</v>
      </c>
      <c r="AI236">
        <v>60256328</v>
      </c>
      <c r="AJ236">
        <v>214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ROW(Source!A151)</f>
        <v>151</v>
      </c>
      <c r="B237">
        <v>60256339</v>
      </c>
      <c r="C237">
        <v>60256322</v>
      </c>
      <c r="D237">
        <v>59045898</v>
      </c>
      <c r="E237">
        <v>1</v>
      </c>
      <c r="F237">
        <v>1</v>
      </c>
      <c r="G237">
        <v>1080</v>
      </c>
      <c r="H237">
        <v>3</v>
      </c>
      <c r="I237" t="s">
        <v>510</v>
      </c>
      <c r="J237" t="s">
        <v>511</v>
      </c>
      <c r="K237" t="s">
        <v>512</v>
      </c>
      <c r="L237">
        <v>1355</v>
      </c>
      <c r="N237">
        <v>1010</v>
      </c>
      <c r="O237" t="s">
        <v>96</v>
      </c>
      <c r="P237" t="s">
        <v>96</v>
      </c>
      <c r="Q237">
        <v>100</v>
      </c>
      <c r="X237">
        <v>4.04</v>
      </c>
      <c r="Y237">
        <v>154.72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4.04</v>
      </c>
      <c r="AH237">
        <v>2</v>
      </c>
      <c r="AI237">
        <v>60256329</v>
      </c>
      <c r="AJ237">
        <v>215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ROW(Source!A151)</f>
        <v>151</v>
      </c>
      <c r="B238">
        <v>60256340</v>
      </c>
      <c r="C238">
        <v>60256322</v>
      </c>
      <c r="D238">
        <v>59056195</v>
      </c>
      <c r="E238">
        <v>1</v>
      </c>
      <c r="F238">
        <v>1</v>
      </c>
      <c r="G238">
        <v>1080</v>
      </c>
      <c r="H238">
        <v>3</v>
      </c>
      <c r="I238" t="s">
        <v>513</v>
      </c>
      <c r="J238" t="s">
        <v>514</v>
      </c>
      <c r="K238" t="s">
        <v>515</v>
      </c>
      <c r="L238">
        <v>1354</v>
      </c>
      <c r="N238">
        <v>1010</v>
      </c>
      <c r="O238" t="s">
        <v>31</v>
      </c>
      <c r="P238" t="s">
        <v>31</v>
      </c>
      <c r="Q238">
        <v>1</v>
      </c>
      <c r="X238">
        <v>200</v>
      </c>
      <c r="Y238">
        <v>7.24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</v>
      </c>
      <c r="AG238">
        <v>200</v>
      </c>
      <c r="AH238">
        <v>2</v>
      </c>
      <c r="AI238">
        <v>60256330</v>
      </c>
      <c r="AJ238">
        <v>216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ROW(Source!A151)</f>
        <v>151</v>
      </c>
      <c r="B239">
        <v>60256341</v>
      </c>
      <c r="C239">
        <v>60256322</v>
      </c>
      <c r="D239">
        <v>59049377</v>
      </c>
      <c r="E239">
        <v>1</v>
      </c>
      <c r="F239">
        <v>1</v>
      </c>
      <c r="G239">
        <v>1080</v>
      </c>
      <c r="H239">
        <v>3</v>
      </c>
      <c r="I239" t="s">
        <v>516</v>
      </c>
      <c r="J239" t="s">
        <v>517</v>
      </c>
      <c r="K239" t="s">
        <v>518</v>
      </c>
      <c r="L239">
        <v>1354</v>
      </c>
      <c r="N239">
        <v>1010</v>
      </c>
      <c r="O239" t="s">
        <v>31</v>
      </c>
      <c r="P239" t="s">
        <v>31</v>
      </c>
      <c r="Q239">
        <v>1</v>
      </c>
      <c r="X239">
        <v>0.68400000000000005</v>
      </c>
      <c r="Y239">
        <v>6.12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</v>
      </c>
      <c r="AG239">
        <v>0.68400000000000005</v>
      </c>
      <c r="AH239">
        <v>2</v>
      </c>
      <c r="AI239">
        <v>60256331</v>
      </c>
      <c r="AJ239">
        <v>217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ROW(Source!A151)</f>
        <v>151</v>
      </c>
      <c r="B240">
        <v>60256342</v>
      </c>
      <c r="C240">
        <v>60256322</v>
      </c>
      <c r="D240">
        <v>59023215</v>
      </c>
      <c r="E240">
        <v>1080</v>
      </c>
      <c r="F240">
        <v>1</v>
      </c>
      <c r="G240">
        <v>1080</v>
      </c>
      <c r="H240">
        <v>3</v>
      </c>
      <c r="I240" t="s">
        <v>594</v>
      </c>
      <c r="J240" t="s">
        <v>3</v>
      </c>
      <c r="K240" t="s">
        <v>595</v>
      </c>
      <c r="L240">
        <v>1354</v>
      </c>
      <c r="N240">
        <v>1010</v>
      </c>
      <c r="O240" t="s">
        <v>31</v>
      </c>
      <c r="P240" t="s">
        <v>31</v>
      </c>
      <c r="Q240">
        <v>1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3</v>
      </c>
      <c r="AG240">
        <v>100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ROW(Source!A151)</f>
        <v>151</v>
      </c>
      <c r="B241">
        <v>60256343</v>
      </c>
      <c r="C241">
        <v>60256322</v>
      </c>
      <c r="D241">
        <v>59004259</v>
      </c>
      <c r="E241">
        <v>1080</v>
      </c>
      <c r="F241">
        <v>1</v>
      </c>
      <c r="G241">
        <v>1080</v>
      </c>
      <c r="H241">
        <v>3</v>
      </c>
      <c r="I241" t="s">
        <v>519</v>
      </c>
      <c r="J241" t="s">
        <v>3</v>
      </c>
      <c r="K241" t="s">
        <v>520</v>
      </c>
      <c r="L241">
        <v>1344</v>
      </c>
      <c r="N241">
        <v>1008</v>
      </c>
      <c r="O241" t="s">
        <v>521</v>
      </c>
      <c r="P241" t="s">
        <v>521</v>
      </c>
      <c r="Q241">
        <v>1</v>
      </c>
      <c r="X241">
        <v>0.04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0.04</v>
      </c>
      <c r="AH241">
        <v>2</v>
      </c>
      <c r="AI241">
        <v>60256332</v>
      </c>
      <c r="AJ241">
        <v>218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ROW(Source!A152)</f>
        <v>152</v>
      </c>
      <c r="B242">
        <v>60256333</v>
      </c>
      <c r="C242">
        <v>60256322</v>
      </c>
      <c r="D242">
        <v>58999254</v>
      </c>
      <c r="E242">
        <v>1080</v>
      </c>
      <c r="F242">
        <v>1</v>
      </c>
      <c r="G242">
        <v>1080</v>
      </c>
      <c r="H242">
        <v>1</v>
      </c>
      <c r="I242" t="s">
        <v>482</v>
      </c>
      <c r="J242" t="s">
        <v>3</v>
      </c>
      <c r="K242" t="s">
        <v>483</v>
      </c>
      <c r="L242">
        <v>1191</v>
      </c>
      <c r="N242">
        <v>1013</v>
      </c>
      <c r="O242" t="s">
        <v>484</v>
      </c>
      <c r="P242" t="s">
        <v>484</v>
      </c>
      <c r="Q242">
        <v>1</v>
      </c>
      <c r="X242">
        <v>74.7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99</v>
      </c>
      <c r="AG242">
        <v>94.495500000000007</v>
      </c>
      <c r="AH242">
        <v>2</v>
      </c>
      <c r="AI242">
        <v>60256323</v>
      </c>
      <c r="AJ242">
        <v>219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ROW(Source!A152)</f>
        <v>152</v>
      </c>
      <c r="B243">
        <v>60256334</v>
      </c>
      <c r="C243">
        <v>60256322</v>
      </c>
      <c r="D243">
        <v>59070669</v>
      </c>
      <c r="E243">
        <v>1</v>
      </c>
      <c r="F243">
        <v>1</v>
      </c>
      <c r="G243">
        <v>1080</v>
      </c>
      <c r="H243">
        <v>2</v>
      </c>
      <c r="I243" t="s">
        <v>485</v>
      </c>
      <c r="J243" t="s">
        <v>486</v>
      </c>
      <c r="K243" t="s">
        <v>487</v>
      </c>
      <c r="L243">
        <v>1368</v>
      </c>
      <c r="N243">
        <v>1011</v>
      </c>
      <c r="O243" t="s">
        <v>488</v>
      </c>
      <c r="P243" t="s">
        <v>488</v>
      </c>
      <c r="Q243">
        <v>1</v>
      </c>
      <c r="X243">
        <v>0.32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98</v>
      </c>
      <c r="AG243">
        <v>0.44000000000000006</v>
      </c>
      <c r="AH243">
        <v>2</v>
      </c>
      <c r="AI243">
        <v>60256324</v>
      </c>
      <c r="AJ243">
        <v>220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ROW(Source!A152)</f>
        <v>152</v>
      </c>
      <c r="B244">
        <v>60256336</v>
      </c>
      <c r="C244">
        <v>60256322</v>
      </c>
      <c r="D244">
        <v>59070721</v>
      </c>
      <c r="E244">
        <v>1</v>
      </c>
      <c r="F244">
        <v>1</v>
      </c>
      <c r="G244">
        <v>1080</v>
      </c>
      <c r="H244">
        <v>2</v>
      </c>
      <c r="I244" t="s">
        <v>497</v>
      </c>
      <c r="J244" t="s">
        <v>498</v>
      </c>
      <c r="K244" t="s">
        <v>499</v>
      </c>
      <c r="L244">
        <v>1368</v>
      </c>
      <c r="N244">
        <v>1011</v>
      </c>
      <c r="O244" t="s">
        <v>488</v>
      </c>
      <c r="P244" t="s">
        <v>488</v>
      </c>
      <c r="Q244">
        <v>1</v>
      </c>
      <c r="X244">
        <v>1.24</v>
      </c>
      <c r="Y244">
        <v>0</v>
      </c>
      <c r="Z244">
        <v>0.77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98</v>
      </c>
      <c r="AG244">
        <v>1.7050000000000003</v>
      </c>
      <c r="AH244">
        <v>2</v>
      </c>
      <c r="AI244">
        <v>60256326</v>
      </c>
      <c r="AJ244">
        <v>221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ROW(Source!A152)</f>
        <v>152</v>
      </c>
      <c r="B245">
        <v>60256337</v>
      </c>
      <c r="C245">
        <v>60256322</v>
      </c>
      <c r="D245">
        <v>59070754</v>
      </c>
      <c r="E245">
        <v>1</v>
      </c>
      <c r="F245">
        <v>1</v>
      </c>
      <c r="G245">
        <v>1080</v>
      </c>
      <c r="H245">
        <v>2</v>
      </c>
      <c r="I245" t="s">
        <v>500</v>
      </c>
      <c r="J245" t="s">
        <v>501</v>
      </c>
      <c r="K245" t="s">
        <v>502</v>
      </c>
      <c r="L245">
        <v>1368</v>
      </c>
      <c r="N245">
        <v>1011</v>
      </c>
      <c r="O245" t="s">
        <v>488</v>
      </c>
      <c r="P245" t="s">
        <v>488</v>
      </c>
      <c r="Q245">
        <v>1</v>
      </c>
      <c r="X245">
        <v>3.22</v>
      </c>
      <c r="Y245">
        <v>0</v>
      </c>
      <c r="Z245">
        <v>0.47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98</v>
      </c>
      <c r="AG245">
        <v>4.4275000000000011</v>
      </c>
      <c r="AH245">
        <v>2</v>
      </c>
      <c r="AI245">
        <v>60256327</v>
      </c>
      <c r="AJ245">
        <v>222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ROW(Source!A152)</f>
        <v>152</v>
      </c>
      <c r="B246">
        <v>60256335</v>
      </c>
      <c r="C246">
        <v>60256322</v>
      </c>
      <c r="D246">
        <v>59069905</v>
      </c>
      <c r="E246">
        <v>1</v>
      </c>
      <c r="F246">
        <v>1</v>
      </c>
      <c r="G246">
        <v>1080</v>
      </c>
      <c r="H246">
        <v>2</v>
      </c>
      <c r="I246" t="s">
        <v>503</v>
      </c>
      <c r="J246" t="s">
        <v>504</v>
      </c>
      <c r="K246" t="s">
        <v>505</v>
      </c>
      <c r="L246">
        <v>1368</v>
      </c>
      <c r="N246">
        <v>1011</v>
      </c>
      <c r="O246" t="s">
        <v>488</v>
      </c>
      <c r="P246" t="s">
        <v>488</v>
      </c>
      <c r="Q246">
        <v>1</v>
      </c>
      <c r="X246">
        <v>0.37</v>
      </c>
      <c r="Y246">
        <v>0</v>
      </c>
      <c r="Z246">
        <v>179.17</v>
      </c>
      <c r="AA246">
        <v>16.93</v>
      </c>
      <c r="AB246">
        <v>0</v>
      </c>
      <c r="AC246">
        <v>0</v>
      </c>
      <c r="AD246">
        <v>1</v>
      </c>
      <c r="AE246">
        <v>0</v>
      </c>
      <c r="AF246" t="s">
        <v>98</v>
      </c>
      <c r="AG246">
        <v>0.50875000000000004</v>
      </c>
      <c r="AH246">
        <v>2</v>
      </c>
      <c r="AI246">
        <v>60256325</v>
      </c>
      <c r="AJ246">
        <v>223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ROW(Source!A152)</f>
        <v>152</v>
      </c>
      <c r="B247">
        <v>60256338</v>
      </c>
      <c r="C247">
        <v>60256322</v>
      </c>
      <c r="D247">
        <v>59038905</v>
      </c>
      <c r="E247">
        <v>1</v>
      </c>
      <c r="F247">
        <v>1</v>
      </c>
      <c r="G247">
        <v>1080</v>
      </c>
      <c r="H247">
        <v>3</v>
      </c>
      <c r="I247" t="s">
        <v>506</v>
      </c>
      <c r="J247" t="s">
        <v>507</v>
      </c>
      <c r="K247" t="s">
        <v>508</v>
      </c>
      <c r="L247">
        <v>1339</v>
      </c>
      <c r="N247">
        <v>1007</v>
      </c>
      <c r="O247" t="s">
        <v>509</v>
      </c>
      <c r="P247" t="s">
        <v>509</v>
      </c>
      <c r="Q247">
        <v>1</v>
      </c>
      <c r="X247">
        <v>0.22700000000000001</v>
      </c>
      <c r="Y247">
        <v>7.07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0.22700000000000001</v>
      </c>
      <c r="AH247">
        <v>2</v>
      </c>
      <c r="AI247">
        <v>60256328</v>
      </c>
      <c r="AJ247">
        <v>224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ROW(Source!A152)</f>
        <v>152</v>
      </c>
      <c r="B248">
        <v>60256339</v>
      </c>
      <c r="C248">
        <v>60256322</v>
      </c>
      <c r="D248">
        <v>59045898</v>
      </c>
      <c r="E248">
        <v>1</v>
      </c>
      <c r="F248">
        <v>1</v>
      </c>
      <c r="G248">
        <v>1080</v>
      </c>
      <c r="H248">
        <v>3</v>
      </c>
      <c r="I248" t="s">
        <v>510</v>
      </c>
      <c r="J248" t="s">
        <v>511</v>
      </c>
      <c r="K248" t="s">
        <v>512</v>
      </c>
      <c r="L248">
        <v>1355</v>
      </c>
      <c r="N248">
        <v>1010</v>
      </c>
      <c r="O248" t="s">
        <v>96</v>
      </c>
      <c r="P248" t="s">
        <v>96</v>
      </c>
      <c r="Q248">
        <v>100</v>
      </c>
      <c r="X248">
        <v>4.04</v>
      </c>
      <c r="Y248">
        <v>154.72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4.04</v>
      </c>
      <c r="AH248">
        <v>2</v>
      </c>
      <c r="AI248">
        <v>60256329</v>
      </c>
      <c r="AJ248">
        <v>225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ROW(Source!A152)</f>
        <v>152</v>
      </c>
      <c r="B249">
        <v>60256340</v>
      </c>
      <c r="C249">
        <v>60256322</v>
      </c>
      <c r="D249">
        <v>59056195</v>
      </c>
      <c r="E249">
        <v>1</v>
      </c>
      <c r="F249">
        <v>1</v>
      </c>
      <c r="G249">
        <v>1080</v>
      </c>
      <c r="H249">
        <v>3</v>
      </c>
      <c r="I249" t="s">
        <v>513</v>
      </c>
      <c r="J249" t="s">
        <v>514</v>
      </c>
      <c r="K249" t="s">
        <v>515</v>
      </c>
      <c r="L249">
        <v>1354</v>
      </c>
      <c r="N249">
        <v>1010</v>
      </c>
      <c r="O249" t="s">
        <v>31</v>
      </c>
      <c r="P249" t="s">
        <v>31</v>
      </c>
      <c r="Q249">
        <v>1</v>
      </c>
      <c r="X249">
        <v>200</v>
      </c>
      <c r="Y249">
        <v>7.24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</v>
      </c>
      <c r="AG249">
        <v>200</v>
      </c>
      <c r="AH249">
        <v>2</v>
      </c>
      <c r="AI249">
        <v>60256330</v>
      </c>
      <c r="AJ249">
        <v>226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ROW(Source!A152)</f>
        <v>152</v>
      </c>
      <c r="B250">
        <v>60256341</v>
      </c>
      <c r="C250">
        <v>60256322</v>
      </c>
      <c r="D250">
        <v>59049377</v>
      </c>
      <c r="E250">
        <v>1</v>
      </c>
      <c r="F250">
        <v>1</v>
      </c>
      <c r="G250">
        <v>1080</v>
      </c>
      <c r="H250">
        <v>3</v>
      </c>
      <c r="I250" t="s">
        <v>516</v>
      </c>
      <c r="J250" t="s">
        <v>517</v>
      </c>
      <c r="K250" t="s">
        <v>518</v>
      </c>
      <c r="L250">
        <v>1354</v>
      </c>
      <c r="N250">
        <v>1010</v>
      </c>
      <c r="O250" t="s">
        <v>31</v>
      </c>
      <c r="P250" t="s">
        <v>31</v>
      </c>
      <c r="Q250">
        <v>1</v>
      </c>
      <c r="X250">
        <v>0.68400000000000005</v>
      </c>
      <c r="Y250">
        <v>6.12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3</v>
      </c>
      <c r="AG250">
        <v>0.68400000000000005</v>
      </c>
      <c r="AH250">
        <v>2</v>
      </c>
      <c r="AI250">
        <v>60256331</v>
      </c>
      <c r="AJ250">
        <v>227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ROW(Source!A152)</f>
        <v>152</v>
      </c>
      <c r="B251">
        <v>60256342</v>
      </c>
      <c r="C251">
        <v>60256322</v>
      </c>
      <c r="D251">
        <v>59023215</v>
      </c>
      <c r="E251">
        <v>1080</v>
      </c>
      <c r="F251">
        <v>1</v>
      </c>
      <c r="G251">
        <v>1080</v>
      </c>
      <c r="H251">
        <v>3</v>
      </c>
      <c r="I251" t="s">
        <v>594</v>
      </c>
      <c r="J251" t="s">
        <v>3</v>
      </c>
      <c r="K251" t="s">
        <v>595</v>
      </c>
      <c r="L251">
        <v>1354</v>
      </c>
      <c r="N251">
        <v>1010</v>
      </c>
      <c r="O251" t="s">
        <v>31</v>
      </c>
      <c r="P251" t="s">
        <v>31</v>
      </c>
      <c r="Q251">
        <v>1</v>
      </c>
      <c r="X251">
        <v>100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</v>
      </c>
      <c r="AG251">
        <v>100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ROW(Source!A152)</f>
        <v>152</v>
      </c>
      <c r="B252">
        <v>60256343</v>
      </c>
      <c r="C252">
        <v>60256322</v>
      </c>
      <c r="D252">
        <v>59004259</v>
      </c>
      <c r="E252">
        <v>1080</v>
      </c>
      <c r="F252">
        <v>1</v>
      </c>
      <c r="G252">
        <v>1080</v>
      </c>
      <c r="H252">
        <v>3</v>
      </c>
      <c r="I252" t="s">
        <v>519</v>
      </c>
      <c r="J252" t="s">
        <v>3</v>
      </c>
      <c r="K252" t="s">
        <v>520</v>
      </c>
      <c r="L252">
        <v>1344</v>
      </c>
      <c r="N252">
        <v>1008</v>
      </c>
      <c r="O252" t="s">
        <v>521</v>
      </c>
      <c r="P252" t="s">
        <v>521</v>
      </c>
      <c r="Q252">
        <v>1</v>
      </c>
      <c r="X252">
        <v>0.04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0.04</v>
      </c>
      <c r="AH252">
        <v>2</v>
      </c>
      <c r="AI252">
        <v>60256332</v>
      </c>
      <c r="AJ252">
        <v>228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ROW(Source!A165)</f>
        <v>165</v>
      </c>
      <c r="B253">
        <v>60255871</v>
      </c>
      <c r="C253">
        <v>60255378</v>
      </c>
      <c r="D253">
        <v>58999254</v>
      </c>
      <c r="E253">
        <v>1080</v>
      </c>
      <c r="F253">
        <v>1</v>
      </c>
      <c r="G253">
        <v>1080</v>
      </c>
      <c r="H253">
        <v>1</v>
      </c>
      <c r="I253" t="s">
        <v>482</v>
      </c>
      <c r="J253" t="s">
        <v>3</v>
      </c>
      <c r="K253" t="s">
        <v>483</v>
      </c>
      <c r="L253">
        <v>1191</v>
      </c>
      <c r="N253">
        <v>1013</v>
      </c>
      <c r="O253" t="s">
        <v>484</v>
      </c>
      <c r="P253" t="s">
        <v>484</v>
      </c>
      <c r="Q253">
        <v>1</v>
      </c>
      <c r="X253">
        <v>86.53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 t="s">
        <v>99</v>
      </c>
      <c r="AG253">
        <v>109.46044999999999</v>
      </c>
      <c r="AH253">
        <v>2</v>
      </c>
      <c r="AI253">
        <v>60255379</v>
      </c>
      <c r="AJ253">
        <v>229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ROW(Source!A165)</f>
        <v>165</v>
      </c>
      <c r="B254">
        <v>60255872</v>
      </c>
      <c r="C254">
        <v>60255378</v>
      </c>
      <c r="D254">
        <v>59070669</v>
      </c>
      <c r="E254">
        <v>1</v>
      </c>
      <c r="F254">
        <v>1</v>
      </c>
      <c r="G254">
        <v>1080</v>
      </c>
      <c r="H254">
        <v>2</v>
      </c>
      <c r="I254" t="s">
        <v>485</v>
      </c>
      <c r="J254" t="s">
        <v>486</v>
      </c>
      <c r="K254" t="s">
        <v>487</v>
      </c>
      <c r="L254">
        <v>1368</v>
      </c>
      <c r="N254">
        <v>1011</v>
      </c>
      <c r="O254" t="s">
        <v>488</v>
      </c>
      <c r="P254" t="s">
        <v>488</v>
      </c>
      <c r="Q254">
        <v>1</v>
      </c>
      <c r="X254">
        <v>0.01</v>
      </c>
      <c r="Y254">
        <v>0</v>
      </c>
      <c r="Z254">
        <v>83.1</v>
      </c>
      <c r="AA254">
        <v>12.62</v>
      </c>
      <c r="AB254">
        <v>0</v>
      </c>
      <c r="AC254">
        <v>0</v>
      </c>
      <c r="AD254">
        <v>1</v>
      </c>
      <c r="AE254">
        <v>0</v>
      </c>
      <c r="AF254" t="s">
        <v>98</v>
      </c>
      <c r="AG254">
        <v>1.3750000000000002E-2</v>
      </c>
      <c r="AH254">
        <v>2</v>
      </c>
      <c r="AI254">
        <v>60255380</v>
      </c>
      <c r="AJ254">
        <v>230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ROW(Source!A165)</f>
        <v>165</v>
      </c>
      <c r="B255">
        <v>60255874</v>
      </c>
      <c r="C255">
        <v>60255378</v>
      </c>
      <c r="D255">
        <v>59070798</v>
      </c>
      <c r="E255">
        <v>1</v>
      </c>
      <c r="F255">
        <v>1</v>
      </c>
      <c r="G255">
        <v>1080</v>
      </c>
      <c r="H255">
        <v>2</v>
      </c>
      <c r="I255" t="s">
        <v>522</v>
      </c>
      <c r="J255" t="s">
        <v>523</v>
      </c>
      <c r="K255" t="s">
        <v>524</v>
      </c>
      <c r="L255">
        <v>1368</v>
      </c>
      <c r="N255">
        <v>1011</v>
      </c>
      <c r="O255" t="s">
        <v>488</v>
      </c>
      <c r="P255" t="s">
        <v>488</v>
      </c>
      <c r="Q255">
        <v>1</v>
      </c>
      <c r="X255">
        <v>10</v>
      </c>
      <c r="Y255">
        <v>0</v>
      </c>
      <c r="Z255">
        <v>0.45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98</v>
      </c>
      <c r="AG255">
        <v>13.750000000000002</v>
      </c>
      <c r="AH255">
        <v>2</v>
      </c>
      <c r="AI255">
        <v>60255382</v>
      </c>
      <c r="AJ255">
        <v>231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ROW(Source!A165)</f>
        <v>165</v>
      </c>
      <c r="B256">
        <v>60255873</v>
      </c>
      <c r="C256">
        <v>60255378</v>
      </c>
      <c r="D256">
        <v>59069905</v>
      </c>
      <c r="E256">
        <v>1</v>
      </c>
      <c r="F256">
        <v>1</v>
      </c>
      <c r="G256">
        <v>1080</v>
      </c>
      <c r="H256">
        <v>2</v>
      </c>
      <c r="I256" t="s">
        <v>503</v>
      </c>
      <c r="J256" t="s">
        <v>504</v>
      </c>
      <c r="K256" t="s">
        <v>505</v>
      </c>
      <c r="L256">
        <v>1368</v>
      </c>
      <c r="N256">
        <v>1011</v>
      </c>
      <c r="O256" t="s">
        <v>488</v>
      </c>
      <c r="P256" t="s">
        <v>488</v>
      </c>
      <c r="Q256">
        <v>1</v>
      </c>
      <c r="X256">
        <v>0.01</v>
      </c>
      <c r="Y256">
        <v>0</v>
      </c>
      <c r="Z256">
        <v>179.17</v>
      </c>
      <c r="AA256">
        <v>16.93</v>
      </c>
      <c r="AB256">
        <v>0</v>
      </c>
      <c r="AC256">
        <v>0</v>
      </c>
      <c r="AD256">
        <v>1</v>
      </c>
      <c r="AE256">
        <v>0</v>
      </c>
      <c r="AF256" t="s">
        <v>98</v>
      </c>
      <c r="AG256">
        <v>1.3750000000000002E-2</v>
      </c>
      <c r="AH256">
        <v>2</v>
      </c>
      <c r="AI256">
        <v>60255381</v>
      </c>
      <c r="AJ256">
        <v>232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ROW(Source!A165)</f>
        <v>165</v>
      </c>
      <c r="B257">
        <v>60255875</v>
      </c>
      <c r="C257">
        <v>60255378</v>
      </c>
      <c r="D257">
        <v>59041375</v>
      </c>
      <c r="E257">
        <v>1</v>
      </c>
      <c r="F257">
        <v>1</v>
      </c>
      <c r="G257">
        <v>1080</v>
      </c>
      <c r="H257">
        <v>3</v>
      </c>
      <c r="I257" t="s">
        <v>525</v>
      </c>
      <c r="J257" t="s">
        <v>526</v>
      </c>
      <c r="K257" t="s">
        <v>527</v>
      </c>
      <c r="L257">
        <v>1346</v>
      </c>
      <c r="N257">
        <v>1009</v>
      </c>
      <c r="O257" t="s">
        <v>528</v>
      </c>
      <c r="P257" t="s">
        <v>528</v>
      </c>
      <c r="Q257">
        <v>1</v>
      </c>
      <c r="X257">
        <v>0.3</v>
      </c>
      <c r="Y257">
        <v>520.51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</v>
      </c>
      <c r="AG257">
        <v>0.3</v>
      </c>
      <c r="AH257">
        <v>2</v>
      </c>
      <c r="AI257">
        <v>60255383</v>
      </c>
      <c r="AJ257">
        <v>233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ROW(Source!A165)</f>
        <v>165</v>
      </c>
      <c r="B258">
        <v>60255876</v>
      </c>
      <c r="C258">
        <v>60255378</v>
      </c>
      <c r="D258">
        <v>59020307</v>
      </c>
      <c r="E258">
        <v>1080</v>
      </c>
      <c r="F258">
        <v>1</v>
      </c>
      <c r="G258">
        <v>1080</v>
      </c>
      <c r="H258">
        <v>3</v>
      </c>
      <c r="I258" t="s">
        <v>596</v>
      </c>
      <c r="J258" t="s">
        <v>3</v>
      </c>
      <c r="K258" t="s">
        <v>597</v>
      </c>
      <c r="L258">
        <v>1354</v>
      </c>
      <c r="N258">
        <v>1010</v>
      </c>
      <c r="O258" t="s">
        <v>31</v>
      </c>
      <c r="P258" t="s">
        <v>31</v>
      </c>
      <c r="Q258">
        <v>1</v>
      </c>
      <c r="X258">
        <v>100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</v>
      </c>
      <c r="AG258">
        <v>100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ROW(Source!A165)</f>
        <v>165</v>
      </c>
      <c r="B259">
        <v>60255877</v>
      </c>
      <c r="C259">
        <v>60255378</v>
      </c>
      <c r="D259">
        <v>59021251</v>
      </c>
      <c r="E259">
        <v>1080</v>
      </c>
      <c r="F259">
        <v>1</v>
      </c>
      <c r="G259">
        <v>1080</v>
      </c>
      <c r="H259">
        <v>3</v>
      </c>
      <c r="I259" t="s">
        <v>598</v>
      </c>
      <c r="J259" t="s">
        <v>3</v>
      </c>
      <c r="K259" t="s">
        <v>599</v>
      </c>
      <c r="L259">
        <v>1354</v>
      </c>
      <c r="N259">
        <v>1010</v>
      </c>
      <c r="O259" t="s">
        <v>31</v>
      </c>
      <c r="P259" t="s">
        <v>31</v>
      </c>
      <c r="Q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3</v>
      </c>
      <c r="AG259">
        <v>0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ROW(Source!A166)</f>
        <v>166</v>
      </c>
      <c r="B260">
        <v>60255871</v>
      </c>
      <c r="C260">
        <v>60255378</v>
      </c>
      <c r="D260">
        <v>58999254</v>
      </c>
      <c r="E260">
        <v>1080</v>
      </c>
      <c r="F260">
        <v>1</v>
      </c>
      <c r="G260">
        <v>1080</v>
      </c>
      <c r="H260">
        <v>1</v>
      </c>
      <c r="I260" t="s">
        <v>482</v>
      </c>
      <c r="J260" t="s">
        <v>3</v>
      </c>
      <c r="K260" t="s">
        <v>483</v>
      </c>
      <c r="L260">
        <v>1191</v>
      </c>
      <c r="N260">
        <v>1013</v>
      </c>
      <c r="O260" t="s">
        <v>484</v>
      </c>
      <c r="P260" t="s">
        <v>484</v>
      </c>
      <c r="Q260">
        <v>1</v>
      </c>
      <c r="X260">
        <v>86.53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99</v>
      </c>
      <c r="AG260">
        <v>109.46044999999999</v>
      </c>
      <c r="AH260">
        <v>2</v>
      </c>
      <c r="AI260">
        <v>60255379</v>
      </c>
      <c r="AJ260">
        <v>236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ROW(Source!A166)</f>
        <v>166</v>
      </c>
      <c r="B261">
        <v>60255872</v>
      </c>
      <c r="C261">
        <v>60255378</v>
      </c>
      <c r="D261">
        <v>59070669</v>
      </c>
      <c r="E261">
        <v>1</v>
      </c>
      <c r="F261">
        <v>1</v>
      </c>
      <c r="G261">
        <v>1080</v>
      </c>
      <c r="H261">
        <v>2</v>
      </c>
      <c r="I261" t="s">
        <v>485</v>
      </c>
      <c r="J261" t="s">
        <v>486</v>
      </c>
      <c r="K261" t="s">
        <v>487</v>
      </c>
      <c r="L261">
        <v>1368</v>
      </c>
      <c r="N261">
        <v>1011</v>
      </c>
      <c r="O261" t="s">
        <v>488</v>
      </c>
      <c r="P261" t="s">
        <v>488</v>
      </c>
      <c r="Q261">
        <v>1</v>
      </c>
      <c r="X261">
        <v>0.01</v>
      </c>
      <c r="Y261">
        <v>0</v>
      </c>
      <c r="Z261">
        <v>83.1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98</v>
      </c>
      <c r="AG261">
        <v>1.3750000000000002E-2</v>
      </c>
      <c r="AH261">
        <v>2</v>
      </c>
      <c r="AI261">
        <v>60255380</v>
      </c>
      <c r="AJ261">
        <v>237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ROW(Source!A166)</f>
        <v>166</v>
      </c>
      <c r="B262">
        <v>60255874</v>
      </c>
      <c r="C262">
        <v>60255378</v>
      </c>
      <c r="D262">
        <v>59070798</v>
      </c>
      <c r="E262">
        <v>1</v>
      </c>
      <c r="F262">
        <v>1</v>
      </c>
      <c r="G262">
        <v>1080</v>
      </c>
      <c r="H262">
        <v>2</v>
      </c>
      <c r="I262" t="s">
        <v>522</v>
      </c>
      <c r="J262" t="s">
        <v>523</v>
      </c>
      <c r="K262" t="s">
        <v>524</v>
      </c>
      <c r="L262">
        <v>1368</v>
      </c>
      <c r="N262">
        <v>1011</v>
      </c>
      <c r="O262" t="s">
        <v>488</v>
      </c>
      <c r="P262" t="s">
        <v>488</v>
      </c>
      <c r="Q262">
        <v>1</v>
      </c>
      <c r="X262">
        <v>10</v>
      </c>
      <c r="Y262">
        <v>0</v>
      </c>
      <c r="Z262">
        <v>0.45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98</v>
      </c>
      <c r="AG262">
        <v>13.750000000000002</v>
      </c>
      <c r="AH262">
        <v>2</v>
      </c>
      <c r="AI262">
        <v>60255382</v>
      </c>
      <c r="AJ262">
        <v>238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ROW(Source!A166)</f>
        <v>166</v>
      </c>
      <c r="B263">
        <v>60255873</v>
      </c>
      <c r="C263">
        <v>60255378</v>
      </c>
      <c r="D263">
        <v>59069905</v>
      </c>
      <c r="E263">
        <v>1</v>
      </c>
      <c r="F263">
        <v>1</v>
      </c>
      <c r="G263">
        <v>1080</v>
      </c>
      <c r="H263">
        <v>2</v>
      </c>
      <c r="I263" t="s">
        <v>503</v>
      </c>
      <c r="J263" t="s">
        <v>504</v>
      </c>
      <c r="K263" t="s">
        <v>505</v>
      </c>
      <c r="L263">
        <v>1368</v>
      </c>
      <c r="N263">
        <v>1011</v>
      </c>
      <c r="O263" t="s">
        <v>488</v>
      </c>
      <c r="P263" t="s">
        <v>488</v>
      </c>
      <c r="Q263">
        <v>1</v>
      </c>
      <c r="X263">
        <v>0.01</v>
      </c>
      <c r="Y263">
        <v>0</v>
      </c>
      <c r="Z263">
        <v>179.17</v>
      </c>
      <c r="AA263">
        <v>16.93</v>
      </c>
      <c r="AB263">
        <v>0</v>
      </c>
      <c r="AC263">
        <v>0</v>
      </c>
      <c r="AD263">
        <v>1</v>
      </c>
      <c r="AE263">
        <v>0</v>
      </c>
      <c r="AF263" t="s">
        <v>98</v>
      </c>
      <c r="AG263">
        <v>1.3750000000000002E-2</v>
      </c>
      <c r="AH263">
        <v>2</v>
      </c>
      <c r="AI263">
        <v>60255381</v>
      </c>
      <c r="AJ263">
        <v>239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ROW(Source!A166)</f>
        <v>166</v>
      </c>
      <c r="B264">
        <v>60255875</v>
      </c>
      <c r="C264">
        <v>60255378</v>
      </c>
      <c r="D264">
        <v>59041375</v>
      </c>
      <c r="E264">
        <v>1</v>
      </c>
      <c r="F264">
        <v>1</v>
      </c>
      <c r="G264">
        <v>1080</v>
      </c>
      <c r="H264">
        <v>3</v>
      </c>
      <c r="I264" t="s">
        <v>525</v>
      </c>
      <c r="J264" t="s">
        <v>526</v>
      </c>
      <c r="K264" t="s">
        <v>527</v>
      </c>
      <c r="L264">
        <v>1346</v>
      </c>
      <c r="N264">
        <v>1009</v>
      </c>
      <c r="O264" t="s">
        <v>528</v>
      </c>
      <c r="P264" t="s">
        <v>528</v>
      </c>
      <c r="Q264">
        <v>1</v>
      </c>
      <c r="X264">
        <v>0.3</v>
      </c>
      <c r="Y264">
        <v>520.51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</v>
      </c>
      <c r="AG264">
        <v>0.3</v>
      </c>
      <c r="AH264">
        <v>2</v>
      </c>
      <c r="AI264">
        <v>60255383</v>
      </c>
      <c r="AJ264">
        <v>240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ROW(Source!A166)</f>
        <v>166</v>
      </c>
      <c r="B265">
        <v>60255876</v>
      </c>
      <c r="C265">
        <v>60255378</v>
      </c>
      <c r="D265">
        <v>59020307</v>
      </c>
      <c r="E265">
        <v>1080</v>
      </c>
      <c r="F265">
        <v>1</v>
      </c>
      <c r="G265">
        <v>1080</v>
      </c>
      <c r="H265">
        <v>3</v>
      </c>
      <c r="I265" t="s">
        <v>596</v>
      </c>
      <c r="J265" t="s">
        <v>3</v>
      </c>
      <c r="K265" t="s">
        <v>597</v>
      </c>
      <c r="L265">
        <v>1354</v>
      </c>
      <c r="N265">
        <v>1010</v>
      </c>
      <c r="O265" t="s">
        <v>31</v>
      </c>
      <c r="P265" t="s">
        <v>31</v>
      </c>
      <c r="Q265">
        <v>1</v>
      </c>
      <c r="X265">
        <v>100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3</v>
      </c>
      <c r="AG265">
        <v>100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ROW(Source!A166)</f>
        <v>166</v>
      </c>
      <c r="B266">
        <v>60255877</v>
      </c>
      <c r="C266">
        <v>60255378</v>
      </c>
      <c r="D266">
        <v>59021251</v>
      </c>
      <c r="E266">
        <v>1080</v>
      </c>
      <c r="F266">
        <v>1</v>
      </c>
      <c r="G266">
        <v>1080</v>
      </c>
      <c r="H266">
        <v>3</v>
      </c>
      <c r="I266" t="s">
        <v>598</v>
      </c>
      <c r="J266" t="s">
        <v>3</v>
      </c>
      <c r="K266" t="s">
        <v>599</v>
      </c>
      <c r="L266">
        <v>1354</v>
      </c>
      <c r="N266">
        <v>1010</v>
      </c>
      <c r="O266" t="s">
        <v>31</v>
      </c>
      <c r="P266" t="s">
        <v>31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ROW(Source!A171)</f>
        <v>171</v>
      </c>
      <c r="B267">
        <v>60255878</v>
      </c>
      <c r="C267">
        <v>60255395</v>
      </c>
      <c r="D267">
        <v>58999254</v>
      </c>
      <c r="E267">
        <v>1080</v>
      </c>
      <c r="F267">
        <v>1</v>
      </c>
      <c r="G267">
        <v>1080</v>
      </c>
      <c r="H267">
        <v>1</v>
      </c>
      <c r="I267" t="s">
        <v>482</v>
      </c>
      <c r="J267" t="s">
        <v>3</v>
      </c>
      <c r="K267" t="s">
        <v>483</v>
      </c>
      <c r="L267">
        <v>1191</v>
      </c>
      <c r="N267">
        <v>1013</v>
      </c>
      <c r="O267" t="s">
        <v>484</v>
      </c>
      <c r="P267" t="s">
        <v>484</v>
      </c>
      <c r="Q267">
        <v>1</v>
      </c>
      <c r="X267">
        <v>0.3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99</v>
      </c>
      <c r="AG267">
        <v>0.3795</v>
      </c>
      <c r="AH267">
        <v>2</v>
      </c>
      <c r="AI267">
        <v>60255396</v>
      </c>
      <c r="AJ267">
        <v>243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ROW(Source!A171)</f>
        <v>171</v>
      </c>
      <c r="B268">
        <v>60255879</v>
      </c>
      <c r="C268">
        <v>60255395</v>
      </c>
      <c r="D268">
        <v>59060498</v>
      </c>
      <c r="E268">
        <v>1</v>
      </c>
      <c r="F268">
        <v>1</v>
      </c>
      <c r="G268">
        <v>1080</v>
      </c>
      <c r="H268">
        <v>3</v>
      </c>
      <c r="I268" t="s">
        <v>529</v>
      </c>
      <c r="J268" t="s">
        <v>530</v>
      </c>
      <c r="K268" t="s">
        <v>531</v>
      </c>
      <c r="L268">
        <v>1346</v>
      </c>
      <c r="N268">
        <v>1009</v>
      </c>
      <c r="O268" t="s">
        <v>528</v>
      </c>
      <c r="P268" t="s">
        <v>528</v>
      </c>
      <c r="Q268">
        <v>1</v>
      </c>
      <c r="X268">
        <v>4.2000000000000003E-2</v>
      </c>
      <c r="Y268">
        <v>19.28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4.2000000000000003E-2</v>
      </c>
      <c r="AH268">
        <v>2</v>
      </c>
      <c r="AI268">
        <v>60255397</v>
      </c>
      <c r="AJ268">
        <v>245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ROW(Source!A171)</f>
        <v>171</v>
      </c>
      <c r="B269">
        <v>60255880</v>
      </c>
      <c r="C269">
        <v>60255395</v>
      </c>
      <c r="D269">
        <v>59021128</v>
      </c>
      <c r="E269">
        <v>1080</v>
      </c>
      <c r="F269">
        <v>1</v>
      </c>
      <c r="G269">
        <v>1080</v>
      </c>
      <c r="H269">
        <v>3</v>
      </c>
      <c r="I269" t="s">
        <v>600</v>
      </c>
      <c r="J269" t="s">
        <v>3</v>
      </c>
      <c r="K269" t="s">
        <v>601</v>
      </c>
      <c r="L269">
        <v>1354</v>
      </c>
      <c r="N269">
        <v>1010</v>
      </c>
      <c r="O269" t="s">
        <v>31</v>
      </c>
      <c r="P269" t="s">
        <v>31</v>
      </c>
      <c r="Q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3</v>
      </c>
      <c r="AG269">
        <v>1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ROW(Source!A171)</f>
        <v>171</v>
      </c>
      <c r="B270">
        <v>60255881</v>
      </c>
      <c r="C270">
        <v>60255395</v>
      </c>
      <c r="D270">
        <v>59004256</v>
      </c>
      <c r="E270">
        <v>1080</v>
      </c>
      <c r="F270">
        <v>1</v>
      </c>
      <c r="G270">
        <v>1080</v>
      </c>
      <c r="H270">
        <v>3</v>
      </c>
      <c r="I270" t="s">
        <v>532</v>
      </c>
      <c r="J270" t="s">
        <v>3</v>
      </c>
      <c r="K270" t="s">
        <v>533</v>
      </c>
      <c r="L270">
        <v>1348</v>
      </c>
      <c r="N270">
        <v>1009</v>
      </c>
      <c r="O270" t="s">
        <v>534</v>
      </c>
      <c r="P270" t="s">
        <v>534</v>
      </c>
      <c r="Q270">
        <v>1000</v>
      </c>
      <c r="X270">
        <v>1.5E-3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3</v>
      </c>
      <c r="AG270">
        <v>1.5E-3</v>
      </c>
      <c r="AH270">
        <v>2</v>
      </c>
      <c r="AI270">
        <v>60255398</v>
      </c>
      <c r="AJ270">
        <v>246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ROW(Source!A172)</f>
        <v>172</v>
      </c>
      <c r="B271">
        <v>60255878</v>
      </c>
      <c r="C271">
        <v>60255395</v>
      </c>
      <c r="D271">
        <v>58999254</v>
      </c>
      <c r="E271">
        <v>1080</v>
      </c>
      <c r="F271">
        <v>1</v>
      </c>
      <c r="G271">
        <v>1080</v>
      </c>
      <c r="H271">
        <v>1</v>
      </c>
      <c r="I271" t="s">
        <v>482</v>
      </c>
      <c r="J271" t="s">
        <v>3</v>
      </c>
      <c r="K271" t="s">
        <v>483</v>
      </c>
      <c r="L271">
        <v>1191</v>
      </c>
      <c r="N271">
        <v>1013</v>
      </c>
      <c r="O271" t="s">
        <v>484</v>
      </c>
      <c r="P271" t="s">
        <v>484</v>
      </c>
      <c r="Q271">
        <v>1</v>
      </c>
      <c r="X271">
        <v>0.3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99</v>
      </c>
      <c r="AG271">
        <v>0.3795</v>
      </c>
      <c r="AH271">
        <v>2</v>
      </c>
      <c r="AI271">
        <v>60255396</v>
      </c>
      <c r="AJ271">
        <v>247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ROW(Source!A172)</f>
        <v>172</v>
      </c>
      <c r="B272">
        <v>60255879</v>
      </c>
      <c r="C272">
        <v>60255395</v>
      </c>
      <c r="D272">
        <v>59060498</v>
      </c>
      <c r="E272">
        <v>1</v>
      </c>
      <c r="F272">
        <v>1</v>
      </c>
      <c r="G272">
        <v>1080</v>
      </c>
      <c r="H272">
        <v>3</v>
      </c>
      <c r="I272" t="s">
        <v>529</v>
      </c>
      <c r="J272" t="s">
        <v>530</v>
      </c>
      <c r="K272" t="s">
        <v>531</v>
      </c>
      <c r="L272">
        <v>1346</v>
      </c>
      <c r="N272">
        <v>1009</v>
      </c>
      <c r="O272" t="s">
        <v>528</v>
      </c>
      <c r="P272" t="s">
        <v>528</v>
      </c>
      <c r="Q272">
        <v>1</v>
      </c>
      <c r="X272">
        <v>4.2000000000000003E-2</v>
      </c>
      <c r="Y272">
        <v>19.28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</v>
      </c>
      <c r="AG272">
        <v>4.2000000000000003E-2</v>
      </c>
      <c r="AH272">
        <v>2</v>
      </c>
      <c r="AI272">
        <v>60255397</v>
      </c>
      <c r="AJ272">
        <v>249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ROW(Source!A172)</f>
        <v>172</v>
      </c>
      <c r="B273">
        <v>60255880</v>
      </c>
      <c r="C273">
        <v>60255395</v>
      </c>
      <c r="D273">
        <v>59021128</v>
      </c>
      <c r="E273">
        <v>1080</v>
      </c>
      <c r="F273">
        <v>1</v>
      </c>
      <c r="G273">
        <v>1080</v>
      </c>
      <c r="H273">
        <v>3</v>
      </c>
      <c r="I273" t="s">
        <v>600</v>
      </c>
      <c r="J273" t="s">
        <v>3</v>
      </c>
      <c r="K273" t="s">
        <v>601</v>
      </c>
      <c r="L273">
        <v>1354</v>
      </c>
      <c r="N273">
        <v>1010</v>
      </c>
      <c r="O273" t="s">
        <v>31</v>
      </c>
      <c r="P273" t="s">
        <v>31</v>
      </c>
      <c r="Q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3</v>
      </c>
      <c r="AG273">
        <v>1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ROW(Source!A172)</f>
        <v>172</v>
      </c>
      <c r="B274">
        <v>60255881</v>
      </c>
      <c r="C274">
        <v>60255395</v>
      </c>
      <c r="D274">
        <v>59004256</v>
      </c>
      <c r="E274">
        <v>1080</v>
      </c>
      <c r="F274">
        <v>1</v>
      </c>
      <c r="G274">
        <v>1080</v>
      </c>
      <c r="H274">
        <v>3</v>
      </c>
      <c r="I274" t="s">
        <v>532</v>
      </c>
      <c r="J274" t="s">
        <v>3</v>
      </c>
      <c r="K274" t="s">
        <v>533</v>
      </c>
      <c r="L274">
        <v>1348</v>
      </c>
      <c r="N274">
        <v>1009</v>
      </c>
      <c r="O274" t="s">
        <v>534</v>
      </c>
      <c r="P274" t="s">
        <v>534</v>
      </c>
      <c r="Q274">
        <v>1000</v>
      </c>
      <c r="X274">
        <v>1.5E-3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3</v>
      </c>
      <c r="AG274">
        <v>1.5E-3</v>
      </c>
      <c r="AH274">
        <v>2</v>
      </c>
      <c r="AI274">
        <v>60255398</v>
      </c>
      <c r="AJ274">
        <v>250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ROW(Source!A212)</f>
        <v>212</v>
      </c>
      <c r="B275">
        <v>60255882</v>
      </c>
      <c r="C275">
        <v>60255462</v>
      </c>
      <c r="D275">
        <v>58999254</v>
      </c>
      <c r="E275">
        <v>1080</v>
      </c>
      <c r="F275">
        <v>1</v>
      </c>
      <c r="G275">
        <v>1080</v>
      </c>
      <c r="H275">
        <v>1</v>
      </c>
      <c r="I275" t="s">
        <v>482</v>
      </c>
      <c r="J275" t="s">
        <v>3</v>
      </c>
      <c r="K275" t="s">
        <v>483</v>
      </c>
      <c r="L275">
        <v>1191</v>
      </c>
      <c r="N275">
        <v>1013</v>
      </c>
      <c r="O275" t="s">
        <v>484</v>
      </c>
      <c r="P275" t="s">
        <v>484</v>
      </c>
      <c r="Q275">
        <v>1</v>
      </c>
      <c r="X275">
        <v>0.12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99</v>
      </c>
      <c r="AG275">
        <v>0.15179999999999999</v>
      </c>
      <c r="AH275">
        <v>2</v>
      </c>
      <c r="AI275">
        <v>60255463</v>
      </c>
      <c r="AJ275">
        <v>251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ROW(Source!A212)</f>
        <v>212</v>
      </c>
      <c r="B276">
        <v>60255883</v>
      </c>
      <c r="C276">
        <v>60255462</v>
      </c>
      <c r="D276">
        <v>59040617</v>
      </c>
      <c r="E276">
        <v>1</v>
      </c>
      <c r="F276">
        <v>1</v>
      </c>
      <c r="G276">
        <v>1080</v>
      </c>
      <c r="H276">
        <v>3</v>
      </c>
      <c r="I276" t="s">
        <v>535</v>
      </c>
      <c r="J276" t="s">
        <v>536</v>
      </c>
      <c r="K276" t="s">
        <v>537</v>
      </c>
      <c r="L276">
        <v>1346</v>
      </c>
      <c r="N276">
        <v>1009</v>
      </c>
      <c r="O276" t="s">
        <v>528</v>
      </c>
      <c r="P276" t="s">
        <v>528</v>
      </c>
      <c r="Q276">
        <v>1</v>
      </c>
      <c r="X276">
        <v>0.01</v>
      </c>
      <c r="Y276">
        <v>37.979999999999997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</v>
      </c>
      <c r="AG276">
        <v>0.01</v>
      </c>
      <c r="AH276">
        <v>2</v>
      </c>
      <c r="AI276">
        <v>60255464</v>
      </c>
      <c r="AJ276">
        <v>252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ROW(Source!A212)</f>
        <v>212</v>
      </c>
      <c r="B277">
        <v>60255884</v>
      </c>
      <c r="C277">
        <v>60255462</v>
      </c>
      <c r="D277">
        <v>59039175</v>
      </c>
      <c r="E277">
        <v>1</v>
      </c>
      <c r="F277">
        <v>1</v>
      </c>
      <c r="G277">
        <v>1080</v>
      </c>
      <c r="H277">
        <v>3</v>
      </c>
      <c r="I277" t="s">
        <v>538</v>
      </c>
      <c r="J277" t="s">
        <v>539</v>
      </c>
      <c r="K277" t="s">
        <v>540</v>
      </c>
      <c r="L277">
        <v>1348</v>
      </c>
      <c r="N277">
        <v>1009</v>
      </c>
      <c r="O277" t="s">
        <v>534</v>
      </c>
      <c r="P277" t="s">
        <v>534</v>
      </c>
      <c r="Q277">
        <v>1000</v>
      </c>
      <c r="X277">
        <v>3.0000000000000001E-5</v>
      </c>
      <c r="Y277">
        <v>16214.84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</v>
      </c>
      <c r="AG277">
        <v>3.0000000000000001E-5</v>
      </c>
      <c r="AH277">
        <v>2</v>
      </c>
      <c r="AI277">
        <v>60255465</v>
      </c>
      <c r="AJ277">
        <v>253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ROW(Source!A212)</f>
        <v>212</v>
      </c>
      <c r="B278">
        <v>60255885</v>
      </c>
      <c r="C278">
        <v>60255462</v>
      </c>
      <c r="D278">
        <v>59039344</v>
      </c>
      <c r="E278">
        <v>1</v>
      </c>
      <c r="F278">
        <v>1</v>
      </c>
      <c r="G278">
        <v>1080</v>
      </c>
      <c r="H278">
        <v>3</v>
      </c>
      <c r="I278" t="s">
        <v>541</v>
      </c>
      <c r="J278" t="s">
        <v>542</v>
      </c>
      <c r="K278" t="s">
        <v>543</v>
      </c>
      <c r="L278">
        <v>1346</v>
      </c>
      <c r="N278">
        <v>1009</v>
      </c>
      <c r="O278" t="s">
        <v>528</v>
      </c>
      <c r="P278" t="s">
        <v>528</v>
      </c>
      <c r="Q278">
        <v>1</v>
      </c>
      <c r="X278">
        <v>3.0000000000000001E-3</v>
      </c>
      <c r="Y278">
        <v>20.190000000000001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3</v>
      </c>
      <c r="AG278">
        <v>3.0000000000000001E-3</v>
      </c>
      <c r="AH278">
        <v>2</v>
      </c>
      <c r="AI278">
        <v>60255466</v>
      </c>
      <c r="AJ278">
        <v>254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ROW(Source!A212)</f>
        <v>212</v>
      </c>
      <c r="B279">
        <v>60255886</v>
      </c>
      <c r="C279">
        <v>60255462</v>
      </c>
      <c r="D279">
        <v>59057599</v>
      </c>
      <c r="E279">
        <v>1</v>
      </c>
      <c r="F279">
        <v>1</v>
      </c>
      <c r="G279">
        <v>1080</v>
      </c>
      <c r="H279">
        <v>3</v>
      </c>
      <c r="I279" t="s">
        <v>303</v>
      </c>
      <c r="J279" t="s">
        <v>305</v>
      </c>
      <c r="K279" t="s">
        <v>304</v>
      </c>
      <c r="L279">
        <v>1354</v>
      </c>
      <c r="N279">
        <v>1010</v>
      </c>
      <c r="O279" t="s">
        <v>31</v>
      </c>
      <c r="P279" t="s">
        <v>31</v>
      </c>
      <c r="Q279">
        <v>1</v>
      </c>
      <c r="X279">
        <v>1</v>
      </c>
      <c r="Y279">
        <v>4.99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3</v>
      </c>
      <c r="AG279">
        <v>1</v>
      </c>
      <c r="AH279">
        <v>2</v>
      </c>
      <c r="AI279">
        <v>60255473</v>
      </c>
      <c r="AJ279">
        <v>255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ROW(Source!A213)</f>
        <v>213</v>
      </c>
      <c r="B280">
        <v>60255882</v>
      </c>
      <c r="C280">
        <v>60255462</v>
      </c>
      <c r="D280">
        <v>58999254</v>
      </c>
      <c r="E280">
        <v>1080</v>
      </c>
      <c r="F280">
        <v>1</v>
      </c>
      <c r="G280">
        <v>1080</v>
      </c>
      <c r="H280">
        <v>1</v>
      </c>
      <c r="I280" t="s">
        <v>482</v>
      </c>
      <c r="J280" t="s">
        <v>3</v>
      </c>
      <c r="K280" t="s">
        <v>483</v>
      </c>
      <c r="L280">
        <v>1191</v>
      </c>
      <c r="N280">
        <v>1013</v>
      </c>
      <c r="O280" t="s">
        <v>484</v>
      </c>
      <c r="P280" t="s">
        <v>484</v>
      </c>
      <c r="Q280">
        <v>1</v>
      </c>
      <c r="X280">
        <v>0.12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1</v>
      </c>
      <c r="AF280" t="s">
        <v>99</v>
      </c>
      <c r="AG280">
        <v>0.15179999999999999</v>
      </c>
      <c r="AH280">
        <v>2</v>
      </c>
      <c r="AI280">
        <v>60255463</v>
      </c>
      <c r="AJ280">
        <v>257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ROW(Source!A213)</f>
        <v>213</v>
      </c>
      <c r="B281">
        <v>60255883</v>
      </c>
      <c r="C281">
        <v>60255462</v>
      </c>
      <c r="D281">
        <v>59040617</v>
      </c>
      <c r="E281">
        <v>1</v>
      </c>
      <c r="F281">
        <v>1</v>
      </c>
      <c r="G281">
        <v>1080</v>
      </c>
      <c r="H281">
        <v>3</v>
      </c>
      <c r="I281" t="s">
        <v>535</v>
      </c>
      <c r="J281" t="s">
        <v>536</v>
      </c>
      <c r="K281" t="s">
        <v>537</v>
      </c>
      <c r="L281">
        <v>1346</v>
      </c>
      <c r="N281">
        <v>1009</v>
      </c>
      <c r="O281" t="s">
        <v>528</v>
      </c>
      <c r="P281" t="s">
        <v>528</v>
      </c>
      <c r="Q281">
        <v>1</v>
      </c>
      <c r="X281">
        <v>0.01</v>
      </c>
      <c r="Y281">
        <v>37.979999999999997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</v>
      </c>
      <c r="AG281">
        <v>0.01</v>
      </c>
      <c r="AH281">
        <v>2</v>
      </c>
      <c r="AI281">
        <v>60255464</v>
      </c>
      <c r="AJ281">
        <v>258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ROW(Source!A213)</f>
        <v>213</v>
      </c>
      <c r="B282">
        <v>60255884</v>
      </c>
      <c r="C282">
        <v>60255462</v>
      </c>
      <c r="D282">
        <v>59039175</v>
      </c>
      <c r="E282">
        <v>1</v>
      </c>
      <c r="F282">
        <v>1</v>
      </c>
      <c r="G282">
        <v>1080</v>
      </c>
      <c r="H282">
        <v>3</v>
      </c>
      <c r="I282" t="s">
        <v>538</v>
      </c>
      <c r="J282" t="s">
        <v>539</v>
      </c>
      <c r="K282" t="s">
        <v>540</v>
      </c>
      <c r="L282">
        <v>1348</v>
      </c>
      <c r="N282">
        <v>1009</v>
      </c>
      <c r="O282" t="s">
        <v>534</v>
      </c>
      <c r="P282" t="s">
        <v>534</v>
      </c>
      <c r="Q282">
        <v>1000</v>
      </c>
      <c r="X282">
        <v>3.0000000000000001E-5</v>
      </c>
      <c r="Y282">
        <v>16214.84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</v>
      </c>
      <c r="AG282">
        <v>3.0000000000000001E-5</v>
      </c>
      <c r="AH282">
        <v>2</v>
      </c>
      <c r="AI282">
        <v>60255465</v>
      </c>
      <c r="AJ282">
        <v>259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ROW(Source!A213)</f>
        <v>213</v>
      </c>
      <c r="B283">
        <v>60255885</v>
      </c>
      <c r="C283">
        <v>60255462</v>
      </c>
      <c r="D283">
        <v>59039344</v>
      </c>
      <c r="E283">
        <v>1</v>
      </c>
      <c r="F283">
        <v>1</v>
      </c>
      <c r="G283">
        <v>1080</v>
      </c>
      <c r="H283">
        <v>3</v>
      </c>
      <c r="I283" t="s">
        <v>541</v>
      </c>
      <c r="J283" t="s">
        <v>542</v>
      </c>
      <c r="K283" t="s">
        <v>543</v>
      </c>
      <c r="L283">
        <v>1346</v>
      </c>
      <c r="N283">
        <v>1009</v>
      </c>
      <c r="O283" t="s">
        <v>528</v>
      </c>
      <c r="P283" t="s">
        <v>528</v>
      </c>
      <c r="Q283">
        <v>1</v>
      </c>
      <c r="X283">
        <v>3.0000000000000001E-3</v>
      </c>
      <c r="Y283">
        <v>20.190000000000001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3</v>
      </c>
      <c r="AG283">
        <v>3.0000000000000001E-3</v>
      </c>
      <c r="AH283">
        <v>2</v>
      </c>
      <c r="AI283">
        <v>60255466</v>
      </c>
      <c r="AJ283">
        <v>260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ROW(Source!A213)</f>
        <v>213</v>
      </c>
      <c r="B284">
        <v>60255886</v>
      </c>
      <c r="C284">
        <v>60255462</v>
      </c>
      <c r="D284">
        <v>59057599</v>
      </c>
      <c r="E284">
        <v>1</v>
      </c>
      <c r="F284">
        <v>1</v>
      </c>
      <c r="G284">
        <v>1080</v>
      </c>
      <c r="H284">
        <v>3</v>
      </c>
      <c r="I284" t="s">
        <v>303</v>
      </c>
      <c r="J284" t="s">
        <v>305</v>
      </c>
      <c r="K284" t="s">
        <v>304</v>
      </c>
      <c r="L284">
        <v>1354</v>
      </c>
      <c r="N284">
        <v>1010</v>
      </c>
      <c r="O284" t="s">
        <v>31</v>
      </c>
      <c r="P284" t="s">
        <v>31</v>
      </c>
      <c r="Q284">
        <v>1</v>
      </c>
      <c r="X284">
        <v>1</v>
      </c>
      <c r="Y284">
        <v>4.99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3</v>
      </c>
      <c r="AG284">
        <v>1</v>
      </c>
      <c r="AH284">
        <v>2</v>
      </c>
      <c r="AI284">
        <v>60255473</v>
      </c>
      <c r="AJ284">
        <v>261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ROW(Source!A224)</f>
        <v>224</v>
      </c>
      <c r="B285">
        <v>60255887</v>
      </c>
      <c r="C285">
        <v>60255479</v>
      </c>
      <c r="D285">
        <v>58999254</v>
      </c>
      <c r="E285">
        <v>1080</v>
      </c>
      <c r="F285">
        <v>1</v>
      </c>
      <c r="G285">
        <v>1080</v>
      </c>
      <c r="H285">
        <v>1</v>
      </c>
      <c r="I285" t="s">
        <v>482</v>
      </c>
      <c r="J285" t="s">
        <v>3</v>
      </c>
      <c r="K285" t="s">
        <v>483</v>
      </c>
      <c r="L285">
        <v>1191</v>
      </c>
      <c r="N285">
        <v>1013</v>
      </c>
      <c r="O285" t="s">
        <v>484</v>
      </c>
      <c r="P285" t="s">
        <v>484</v>
      </c>
      <c r="Q285">
        <v>1</v>
      </c>
      <c r="X285">
        <v>0.3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99</v>
      </c>
      <c r="AG285">
        <v>0.3795</v>
      </c>
      <c r="AH285">
        <v>2</v>
      </c>
      <c r="AI285">
        <v>60255480</v>
      </c>
      <c r="AJ285">
        <v>263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ROW(Source!A224)</f>
        <v>224</v>
      </c>
      <c r="B286">
        <v>60255888</v>
      </c>
      <c r="C286">
        <v>60255479</v>
      </c>
      <c r="D286">
        <v>59060498</v>
      </c>
      <c r="E286">
        <v>1</v>
      </c>
      <c r="F286">
        <v>1</v>
      </c>
      <c r="G286">
        <v>1080</v>
      </c>
      <c r="H286">
        <v>3</v>
      </c>
      <c r="I286" t="s">
        <v>529</v>
      </c>
      <c r="J286" t="s">
        <v>530</v>
      </c>
      <c r="K286" t="s">
        <v>531</v>
      </c>
      <c r="L286">
        <v>1346</v>
      </c>
      <c r="N286">
        <v>1009</v>
      </c>
      <c r="O286" t="s">
        <v>528</v>
      </c>
      <c r="P286" t="s">
        <v>528</v>
      </c>
      <c r="Q286">
        <v>1</v>
      </c>
      <c r="X286">
        <v>4.2000000000000003E-2</v>
      </c>
      <c r="Y286">
        <v>19.28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3</v>
      </c>
      <c r="AG286">
        <v>4.2000000000000003E-2</v>
      </c>
      <c r="AH286">
        <v>2</v>
      </c>
      <c r="AI286">
        <v>60255481</v>
      </c>
      <c r="AJ286">
        <v>264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ROW(Source!A224)</f>
        <v>224</v>
      </c>
      <c r="B287">
        <v>60255889</v>
      </c>
      <c r="C287">
        <v>60255479</v>
      </c>
      <c r="D287">
        <v>59021128</v>
      </c>
      <c r="E287">
        <v>1080</v>
      </c>
      <c r="F287">
        <v>1</v>
      </c>
      <c r="G287">
        <v>1080</v>
      </c>
      <c r="H287">
        <v>3</v>
      </c>
      <c r="I287" t="s">
        <v>600</v>
      </c>
      <c r="J287" t="s">
        <v>3</v>
      </c>
      <c r="K287" t="s">
        <v>601</v>
      </c>
      <c r="L287">
        <v>1354</v>
      </c>
      <c r="N287">
        <v>1010</v>
      </c>
      <c r="O287" t="s">
        <v>31</v>
      </c>
      <c r="P287" t="s">
        <v>31</v>
      </c>
      <c r="Q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3</v>
      </c>
      <c r="AG287">
        <v>1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ROW(Source!A224)</f>
        <v>224</v>
      </c>
      <c r="B288">
        <v>60255890</v>
      </c>
      <c r="C288">
        <v>60255479</v>
      </c>
      <c r="D288">
        <v>59004256</v>
      </c>
      <c r="E288">
        <v>1080</v>
      </c>
      <c r="F288">
        <v>1</v>
      </c>
      <c r="G288">
        <v>1080</v>
      </c>
      <c r="H288">
        <v>3</v>
      </c>
      <c r="I288" t="s">
        <v>532</v>
      </c>
      <c r="J288" t="s">
        <v>3</v>
      </c>
      <c r="K288" t="s">
        <v>533</v>
      </c>
      <c r="L288">
        <v>1348</v>
      </c>
      <c r="N288">
        <v>1009</v>
      </c>
      <c r="O288" t="s">
        <v>534</v>
      </c>
      <c r="P288" t="s">
        <v>534</v>
      </c>
      <c r="Q288">
        <v>1000</v>
      </c>
      <c r="X288">
        <v>1.5E-3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1.5E-3</v>
      </c>
      <c r="AH288">
        <v>2</v>
      </c>
      <c r="AI288">
        <v>60255482</v>
      </c>
      <c r="AJ288">
        <v>265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ROW(Source!A225)</f>
        <v>225</v>
      </c>
      <c r="B289">
        <v>60255887</v>
      </c>
      <c r="C289">
        <v>60255479</v>
      </c>
      <c r="D289">
        <v>58999254</v>
      </c>
      <c r="E289">
        <v>1080</v>
      </c>
      <c r="F289">
        <v>1</v>
      </c>
      <c r="G289">
        <v>1080</v>
      </c>
      <c r="H289">
        <v>1</v>
      </c>
      <c r="I289" t="s">
        <v>482</v>
      </c>
      <c r="J289" t="s">
        <v>3</v>
      </c>
      <c r="K289" t="s">
        <v>483</v>
      </c>
      <c r="L289">
        <v>1191</v>
      </c>
      <c r="N289">
        <v>1013</v>
      </c>
      <c r="O289" t="s">
        <v>484</v>
      </c>
      <c r="P289" t="s">
        <v>484</v>
      </c>
      <c r="Q289">
        <v>1</v>
      </c>
      <c r="X289">
        <v>0.3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99</v>
      </c>
      <c r="AG289">
        <v>0.3795</v>
      </c>
      <c r="AH289">
        <v>2</v>
      </c>
      <c r="AI289">
        <v>60255480</v>
      </c>
      <c r="AJ289">
        <v>266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ROW(Source!A225)</f>
        <v>225</v>
      </c>
      <c r="B290">
        <v>60255888</v>
      </c>
      <c r="C290">
        <v>60255479</v>
      </c>
      <c r="D290">
        <v>59060498</v>
      </c>
      <c r="E290">
        <v>1</v>
      </c>
      <c r="F290">
        <v>1</v>
      </c>
      <c r="G290">
        <v>1080</v>
      </c>
      <c r="H290">
        <v>3</v>
      </c>
      <c r="I290" t="s">
        <v>529</v>
      </c>
      <c r="J290" t="s">
        <v>530</v>
      </c>
      <c r="K290" t="s">
        <v>531</v>
      </c>
      <c r="L290">
        <v>1346</v>
      </c>
      <c r="N290">
        <v>1009</v>
      </c>
      <c r="O290" t="s">
        <v>528</v>
      </c>
      <c r="P290" t="s">
        <v>528</v>
      </c>
      <c r="Q290">
        <v>1</v>
      </c>
      <c r="X290">
        <v>4.2000000000000003E-2</v>
      </c>
      <c r="Y290">
        <v>19.28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4.2000000000000003E-2</v>
      </c>
      <c r="AH290">
        <v>2</v>
      </c>
      <c r="AI290">
        <v>60255481</v>
      </c>
      <c r="AJ290">
        <v>267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ROW(Source!A225)</f>
        <v>225</v>
      </c>
      <c r="B291">
        <v>60255889</v>
      </c>
      <c r="C291">
        <v>60255479</v>
      </c>
      <c r="D291">
        <v>59021128</v>
      </c>
      <c r="E291">
        <v>1080</v>
      </c>
      <c r="F291">
        <v>1</v>
      </c>
      <c r="G291">
        <v>1080</v>
      </c>
      <c r="H291">
        <v>3</v>
      </c>
      <c r="I291" t="s">
        <v>600</v>
      </c>
      <c r="J291" t="s">
        <v>3</v>
      </c>
      <c r="K291" t="s">
        <v>601</v>
      </c>
      <c r="L291">
        <v>1354</v>
      </c>
      <c r="N291">
        <v>1010</v>
      </c>
      <c r="O291" t="s">
        <v>31</v>
      </c>
      <c r="P291" t="s">
        <v>31</v>
      </c>
      <c r="Q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3</v>
      </c>
      <c r="AG291">
        <v>1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ROW(Source!A225)</f>
        <v>225</v>
      </c>
      <c r="B292">
        <v>60255890</v>
      </c>
      <c r="C292">
        <v>60255479</v>
      </c>
      <c r="D292">
        <v>59004256</v>
      </c>
      <c r="E292">
        <v>1080</v>
      </c>
      <c r="F292">
        <v>1</v>
      </c>
      <c r="G292">
        <v>1080</v>
      </c>
      <c r="H292">
        <v>3</v>
      </c>
      <c r="I292" t="s">
        <v>532</v>
      </c>
      <c r="J292" t="s">
        <v>3</v>
      </c>
      <c r="K292" t="s">
        <v>533</v>
      </c>
      <c r="L292">
        <v>1348</v>
      </c>
      <c r="N292">
        <v>1009</v>
      </c>
      <c r="O292" t="s">
        <v>534</v>
      </c>
      <c r="P292" t="s">
        <v>534</v>
      </c>
      <c r="Q292">
        <v>1000</v>
      </c>
      <c r="X292">
        <v>1.5E-3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1.5E-3</v>
      </c>
      <c r="AH292">
        <v>2</v>
      </c>
      <c r="AI292">
        <v>60255482</v>
      </c>
      <c r="AJ292">
        <v>268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ROW(Source!A230)</f>
        <v>230</v>
      </c>
      <c r="B293">
        <v>60255891</v>
      </c>
      <c r="C293">
        <v>60255489</v>
      </c>
      <c r="D293">
        <v>58999254</v>
      </c>
      <c r="E293">
        <v>1080</v>
      </c>
      <c r="F293">
        <v>1</v>
      </c>
      <c r="G293">
        <v>1080</v>
      </c>
      <c r="H293">
        <v>1</v>
      </c>
      <c r="I293" t="s">
        <v>482</v>
      </c>
      <c r="J293" t="s">
        <v>3</v>
      </c>
      <c r="K293" t="s">
        <v>483</v>
      </c>
      <c r="L293">
        <v>1191</v>
      </c>
      <c r="N293">
        <v>1013</v>
      </c>
      <c r="O293" t="s">
        <v>484</v>
      </c>
      <c r="P293" t="s">
        <v>484</v>
      </c>
      <c r="Q293">
        <v>1</v>
      </c>
      <c r="X293">
        <v>0.3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99</v>
      </c>
      <c r="AG293">
        <v>0.3795</v>
      </c>
      <c r="AH293">
        <v>2</v>
      </c>
      <c r="AI293">
        <v>60255490</v>
      </c>
      <c r="AJ293">
        <v>269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ROW(Source!A230)</f>
        <v>230</v>
      </c>
      <c r="B294">
        <v>60255892</v>
      </c>
      <c r="C294">
        <v>60255489</v>
      </c>
      <c r="D294">
        <v>59060498</v>
      </c>
      <c r="E294">
        <v>1</v>
      </c>
      <c r="F294">
        <v>1</v>
      </c>
      <c r="G294">
        <v>1080</v>
      </c>
      <c r="H294">
        <v>3</v>
      </c>
      <c r="I294" t="s">
        <v>529</v>
      </c>
      <c r="J294" t="s">
        <v>530</v>
      </c>
      <c r="K294" t="s">
        <v>531</v>
      </c>
      <c r="L294">
        <v>1346</v>
      </c>
      <c r="N294">
        <v>1009</v>
      </c>
      <c r="O294" t="s">
        <v>528</v>
      </c>
      <c r="P294" t="s">
        <v>528</v>
      </c>
      <c r="Q294">
        <v>1</v>
      </c>
      <c r="X294">
        <v>4.2000000000000003E-2</v>
      </c>
      <c r="Y294">
        <v>19.28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4.2000000000000003E-2</v>
      </c>
      <c r="AH294">
        <v>2</v>
      </c>
      <c r="AI294">
        <v>60255491</v>
      </c>
      <c r="AJ294">
        <v>270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ROW(Source!A230)</f>
        <v>230</v>
      </c>
      <c r="B295">
        <v>60255893</v>
      </c>
      <c r="C295">
        <v>60255489</v>
      </c>
      <c r="D295">
        <v>59021128</v>
      </c>
      <c r="E295">
        <v>1080</v>
      </c>
      <c r="F295">
        <v>1</v>
      </c>
      <c r="G295">
        <v>1080</v>
      </c>
      <c r="H295">
        <v>3</v>
      </c>
      <c r="I295" t="s">
        <v>600</v>
      </c>
      <c r="J295" t="s">
        <v>3</v>
      </c>
      <c r="K295" t="s">
        <v>601</v>
      </c>
      <c r="L295">
        <v>1354</v>
      </c>
      <c r="N295">
        <v>1010</v>
      </c>
      <c r="O295" t="s">
        <v>31</v>
      </c>
      <c r="P295" t="s">
        <v>31</v>
      </c>
      <c r="Q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</v>
      </c>
      <c r="AG295">
        <v>1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ROW(Source!A230)</f>
        <v>230</v>
      </c>
      <c r="B296">
        <v>60255894</v>
      </c>
      <c r="C296">
        <v>60255489</v>
      </c>
      <c r="D296">
        <v>59004256</v>
      </c>
      <c r="E296">
        <v>1080</v>
      </c>
      <c r="F296">
        <v>1</v>
      </c>
      <c r="G296">
        <v>1080</v>
      </c>
      <c r="H296">
        <v>3</v>
      </c>
      <c r="I296" t="s">
        <v>532</v>
      </c>
      <c r="J296" t="s">
        <v>3</v>
      </c>
      <c r="K296" t="s">
        <v>533</v>
      </c>
      <c r="L296">
        <v>1348</v>
      </c>
      <c r="N296">
        <v>1009</v>
      </c>
      <c r="O296" t="s">
        <v>534</v>
      </c>
      <c r="P296" t="s">
        <v>534</v>
      </c>
      <c r="Q296">
        <v>1000</v>
      </c>
      <c r="X296">
        <v>1.5E-3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1.5E-3</v>
      </c>
      <c r="AH296">
        <v>2</v>
      </c>
      <c r="AI296">
        <v>60255492</v>
      </c>
      <c r="AJ296">
        <v>271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ROW(Source!A231)</f>
        <v>231</v>
      </c>
      <c r="B297">
        <v>60255891</v>
      </c>
      <c r="C297">
        <v>60255489</v>
      </c>
      <c r="D297">
        <v>58999254</v>
      </c>
      <c r="E297">
        <v>1080</v>
      </c>
      <c r="F297">
        <v>1</v>
      </c>
      <c r="G297">
        <v>1080</v>
      </c>
      <c r="H297">
        <v>1</v>
      </c>
      <c r="I297" t="s">
        <v>482</v>
      </c>
      <c r="J297" t="s">
        <v>3</v>
      </c>
      <c r="K297" t="s">
        <v>483</v>
      </c>
      <c r="L297">
        <v>1191</v>
      </c>
      <c r="N297">
        <v>1013</v>
      </c>
      <c r="O297" t="s">
        <v>484</v>
      </c>
      <c r="P297" t="s">
        <v>484</v>
      </c>
      <c r="Q297">
        <v>1</v>
      </c>
      <c r="X297">
        <v>0.3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99</v>
      </c>
      <c r="AG297">
        <v>0.3795</v>
      </c>
      <c r="AH297">
        <v>2</v>
      </c>
      <c r="AI297">
        <v>60255490</v>
      </c>
      <c r="AJ297">
        <v>272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ROW(Source!A231)</f>
        <v>231</v>
      </c>
      <c r="B298">
        <v>60255892</v>
      </c>
      <c r="C298">
        <v>60255489</v>
      </c>
      <c r="D298">
        <v>59060498</v>
      </c>
      <c r="E298">
        <v>1</v>
      </c>
      <c r="F298">
        <v>1</v>
      </c>
      <c r="G298">
        <v>1080</v>
      </c>
      <c r="H298">
        <v>3</v>
      </c>
      <c r="I298" t="s">
        <v>529</v>
      </c>
      <c r="J298" t="s">
        <v>530</v>
      </c>
      <c r="K298" t="s">
        <v>531</v>
      </c>
      <c r="L298">
        <v>1346</v>
      </c>
      <c r="N298">
        <v>1009</v>
      </c>
      <c r="O298" t="s">
        <v>528</v>
      </c>
      <c r="P298" t="s">
        <v>528</v>
      </c>
      <c r="Q298">
        <v>1</v>
      </c>
      <c r="X298">
        <v>4.2000000000000003E-2</v>
      </c>
      <c r="Y298">
        <v>19.28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3</v>
      </c>
      <c r="AG298">
        <v>4.2000000000000003E-2</v>
      </c>
      <c r="AH298">
        <v>2</v>
      </c>
      <c r="AI298">
        <v>60255491</v>
      </c>
      <c r="AJ298">
        <v>273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ROW(Source!A231)</f>
        <v>231</v>
      </c>
      <c r="B299">
        <v>60255893</v>
      </c>
      <c r="C299">
        <v>60255489</v>
      </c>
      <c r="D299">
        <v>59021128</v>
      </c>
      <c r="E299">
        <v>1080</v>
      </c>
      <c r="F299">
        <v>1</v>
      </c>
      <c r="G299">
        <v>1080</v>
      </c>
      <c r="H299">
        <v>3</v>
      </c>
      <c r="I299" t="s">
        <v>600</v>
      </c>
      <c r="J299" t="s">
        <v>3</v>
      </c>
      <c r="K299" t="s">
        <v>601</v>
      </c>
      <c r="L299">
        <v>1354</v>
      </c>
      <c r="N299">
        <v>1010</v>
      </c>
      <c r="O299" t="s">
        <v>31</v>
      </c>
      <c r="P299" t="s">
        <v>31</v>
      </c>
      <c r="Q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3</v>
      </c>
      <c r="AG299">
        <v>1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ROW(Source!A231)</f>
        <v>231</v>
      </c>
      <c r="B300">
        <v>60255894</v>
      </c>
      <c r="C300">
        <v>60255489</v>
      </c>
      <c r="D300">
        <v>59004256</v>
      </c>
      <c r="E300">
        <v>1080</v>
      </c>
      <c r="F300">
        <v>1</v>
      </c>
      <c r="G300">
        <v>1080</v>
      </c>
      <c r="H300">
        <v>3</v>
      </c>
      <c r="I300" t="s">
        <v>532</v>
      </c>
      <c r="J300" t="s">
        <v>3</v>
      </c>
      <c r="K300" t="s">
        <v>533</v>
      </c>
      <c r="L300">
        <v>1348</v>
      </c>
      <c r="N300">
        <v>1009</v>
      </c>
      <c r="O300" t="s">
        <v>534</v>
      </c>
      <c r="P300" t="s">
        <v>534</v>
      </c>
      <c r="Q300">
        <v>1000</v>
      </c>
      <c r="X300">
        <v>1.5E-3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</v>
      </c>
      <c r="AG300">
        <v>1.5E-3</v>
      </c>
      <c r="AH300">
        <v>2</v>
      </c>
      <c r="AI300">
        <v>60255492</v>
      </c>
      <c r="AJ300">
        <v>274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ROW(Source!A236)</f>
        <v>236</v>
      </c>
      <c r="B301">
        <v>60255895</v>
      </c>
      <c r="C301">
        <v>60255499</v>
      </c>
      <c r="D301">
        <v>58999254</v>
      </c>
      <c r="E301">
        <v>1080</v>
      </c>
      <c r="F301">
        <v>1</v>
      </c>
      <c r="G301">
        <v>1080</v>
      </c>
      <c r="H301">
        <v>1</v>
      </c>
      <c r="I301" t="s">
        <v>482</v>
      </c>
      <c r="J301" t="s">
        <v>3</v>
      </c>
      <c r="K301" t="s">
        <v>483</v>
      </c>
      <c r="L301">
        <v>1191</v>
      </c>
      <c r="N301">
        <v>1013</v>
      </c>
      <c r="O301" t="s">
        <v>484</v>
      </c>
      <c r="P301" t="s">
        <v>484</v>
      </c>
      <c r="Q301">
        <v>1</v>
      </c>
      <c r="X301">
        <v>0.3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99</v>
      </c>
      <c r="AG301">
        <v>0.3795</v>
      </c>
      <c r="AH301">
        <v>2</v>
      </c>
      <c r="AI301">
        <v>60255500</v>
      </c>
      <c r="AJ301">
        <v>275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ROW(Source!A236)</f>
        <v>236</v>
      </c>
      <c r="B302">
        <v>60255896</v>
      </c>
      <c r="C302">
        <v>60255499</v>
      </c>
      <c r="D302">
        <v>59060498</v>
      </c>
      <c r="E302">
        <v>1</v>
      </c>
      <c r="F302">
        <v>1</v>
      </c>
      <c r="G302">
        <v>1080</v>
      </c>
      <c r="H302">
        <v>3</v>
      </c>
      <c r="I302" t="s">
        <v>529</v>
      </c>
      <c r="J302" t="s">
        <v>530</v>
      </c>
      <c r="K302" t="s">
        <v>531</v>
      </c>
      <c r="L302">
        <v>1346</v>
      </c>
      <c r="N302">
        <v>1009</v>
      </c>
      <c r="O302" t="s">
        <v>528</v>
      </c>
      <c r="P302" t="s">
        <v>528</v>
      </c>
      <c r="Q302">
        <v>1</v>
      </c>
      <c r="X302">
        <v>4.2000000000000003E-2</v>
      </c>
      <c r="Y302">
        <v>19.28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</v>
      </c>
      <c r="AG302">
        <v>4.2000000000000003E-2</v>
      </c>
      <c r="AH302">
        <v>2</v>
      </c>
      <c r="AI302">
        <v>60255501</v>
      </c>
      <c r="AJ302">
        <v>276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ROW(Source!A236)</f>
        <v>236</v>
      </c>
      <c r="B303">
        <v>60255897</v>
      </c>
      <c r="C303">
        <v>60255499</v>
      </c>
      <c r="D303">
        <v>59021128</v>
      </c>
      <c r="E303">
        <v>1080</v>
      </c>
      <c r="F303">
        <v>1</v>
      </c>
      <c r="G303">
        <v>1080</v>
      </c>
      <c r="H303">
        <v>3</v>
      </c>
      <c r="I303" t="s">
        <v>600</v>
      </c>
      <c r="J303" t="s">
        <v>3</v>
      </c>
      <c r="K303" t="s">
        <v>601</v>
      </c>
      <c r="L303">
        <v>1354</v>
      </c>
      <c r="N303">
        <v>1010</v>
      </c>
      <c r="O303" t="s">
        <v>31</v>
      </c>
      <c r="P303" t="s">
        <v>31</v>
      </c>
      <c r="Q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3</v>
      </c>
      <c r="AG303">
        <v>1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ROW(Source!A236)</f>
        <v>236</v>
      </c>
      <c r="B304">
        <v>60255898</v>
      </c>
      <c r="C304">
        <v>60255499</v>
      </c>
      <c r="D304">
        <v>59004256</v>
      </c>
      <c r="E304">
        <v>1080</v>
      </c>
      <c r="F304">
        <v>1</v>
      </c>
      <c r="G304">
        <v>1080</v>
      </c>
      <c r="H304">
        <v>3</v>
      </c>
      <c r="I304" t="s">
        <v>532</v>
      </c>
      <c r="J304" t="s">
        <v>3</v>
      </c>
      <c r="K304" t="s">
        <v>533</v>
      </c>
      <c r="L304">
        <v>1348</v>
      </c>
      <c r="N304">
        <v>1009</v>
      </c>
      <c r="O304" t="s">
        <v>534</v>
      </c>
      <c r="P304" t="s">
        <v>534</v>
      </c>
      <c r="Q304">
        <v>1000</v>
      </c>
      <c r="X304">
        <v>1.5E-3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3</v>
      </c>
      <c r="AG304">
        <v>1.5E-3</v>
      </c>
      <c r="AH304">
        <v>2</v>
      </c>
      <c r="AI304">
        <v>60255502</v>
      </c>
      <c r="AJ304">
        <v>277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ROW(Source!A237)</f>
        <v>237</v>
      </c>
      <c r="B305">
        <v>60255895</v>
      </c>
      <c r="C305">
        <v>60255499</v>
      </c>
      <c r="D305">
        <v>58999254</v>
      </c>
      <c r="E305">
        <v>1080</v>
      </c>
      <c r="F305">
        <v>1</v>
      </c>
      <c r="G305">
        <v>1080</v>
      </c>
      <c r="H305">
        <v>1</v>
      </c>
      <c r="I305" t="s">
        <v>482</v>
      </c>
      <c r="J305" t="s">
        <v>3</v>
      </c>
      <c r="K305" t="s">
        <v>483</v>
      </c>
      <c r="L305">
        <v>1191</v>
      </c>
      <c r="N305">
        <v>1013</v>
      </c>
      <c r="O305" t="s">
        <v>484</v>
      </c>
      <c r="P305" t="s">
        <v>484</v>
      </c>
      <c r="Q305">
        <v>1</v>
      </c>
      <c r="X305">
        <v>0.3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99</v>
      </c>
      <c r="AG305">
        <v>0.3795</v>
      </c>
      <c r="AH305">
        <v>2</v>
      </c>
      <c r="AI305">
        <v>60255500</v>
      </c>
      <c r="AJ305">
        <v>278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ROW(Source!A237)</f>
        <v>237</v>
      </c>
      <c r="B306">
        <v>60255896</v>
      </c>
      <c r="C306">
        <v>60255499</v>
      </c>
      <c r="D306">
        <v>59060498</v>
      </c>
      <c r="E306">
        <v>1</v>
      </c>
      <c r="F306">
        <v>1</v>
      </c>
      <c r="G306">
        <v>1080</v>
      </c>
      <c r="H306">
        <v>3</v>
      </c>
      <c r="I306" t="s">
        <v>529</v>
      </c>
      <c r="J306" t="s">
        <v>530</v>
      </c>
      <c r="K306" t="s">
        <v>531</v>
      </c>
      <c r="L306">
        <v>1346</v>
      </c>
      <c r="N306">
        <v>1009</v>
      </c>
      <c r="O306" t="s">
        <v>528</v>
      </c>
      <c r="P306" t="s">
        <v>528</v>
      </c>
      <c r="Q306">
        <v>1</v>
      </c>
      <c r="X306">
        <v>4.2000000000000003E-2</v>
      </c>
      <c r="Y306">
        <v>19.28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</v>
      </c>
      <c r="AG306">
        <v>4.2000000000000003E-2</v>
      </c>
      <c r="AH306">
        <v>2</v>
      </c>
      <c r="AI306">
        <v>60255501</v>
      </c>
      <c r="AJ306">
        <v>279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ROW(Source!A237)</f>
        <v>237</v>
      </c>
      <c r="B307">
        <v>60255897</v>
      </c>
      <c r="C307">
        <v>60255499</v>
      </c>
      <c r="D307">
        <v>59021128</v>
      </c>
      <c r="E307">
        <v>1080</v>
      </c>
      <c r="F307">
        <v>1</v>
      </c>
      <c r="G307">
        <v>1080</v>
      </c>
      <c r="H307">
        <v>3</v>
      </c>
      <c r="I307" t="s">
        <v>600</v>
      </c>
      <c r="J307" t="s">
        <v>3</v>
      </c>
      <c r="K307" t="s">
        <v>601</v>
      </c>
      <c r="L307">
        <v>1354</v>
      </c>
      <c r="N307">
        <v>1010</v>
      </c>
      <c r="O307" t="s">
        <v>31</v>
      </c>
      <c r="P307" t="s">
        <v>31</v>
      </c>
      <c r="Q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3</v>
      </c>
      <c r="AG307">
        <v>1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ROW(Source!A237)</f>
        <v>237</v>
      </c>
      <c r="B308">
        <v>60255898</v>
      </c>
      <c r="C308">
        <v>60255499</v>
      </c>
      <c r="D308">
        <v>59004256</v>
      </c>
      <c r="E308">
        <v>1080</v>
      </c>
      <c r="F308">
        <v>1</v>
      </c>
      <c r="G308">
        <v>1080</v>
      </c>
      <c r="H308">
        <v>3</v>
      </c>
      <c r="I308" t="s">
        <v>532</v>
      </c>
      <c r="J308" t="s">
        <v>3</v>
      </c>
      <c r="K308" t="s">
        <v>533</v>
      </c>
      <c r="L308">
        <v>1348</v>
      </c>
      <c r="N308">
        <v>1009</v>
      </c>
      <c r="O308" t="s">
        <v>534</v>
      </c>
      <c r="P308" t="s">
        <v>534</v>
      </c>
      <c r="Q308">
        <v>1000</v>
      </c>
      <c r="X308">
        <v>1.5E-3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1.5E-3</v>
      </c>
      <c r="AH308">
        <v>2</v>
      </c>
      <c r="AI308">
        <v>60255502</v>
      </c>
      <c r="AJ308">
        <v>280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ROW(Source!A243)</f>
        <v>243</v>
      </c>
      <c r="B309">
        <v>60255899</v>
      </c>
      <c r="C309">
        <v>60255510</v>
      </c>
      <c r="D309">
        <v>58999254</v>
      </c>
      <c r="E309">
        <v>1080</v>
      </c>
      <c r="F309">
        <v>1</v>
      </c>
      <c r="G309">
        <v>1080</v>
      </c>
      <c r="H309">
        <v>1</v>
      </c>
      <c r="I309" t="s">
        <v>482</v>
      </c>
      <c r="J309" t="s">
        <v>3</v>
      </c>
      <c r="K309" t="s">
        <v>483</v>
      </c>
      <c r="L309">
        <v>1191</v>
      </c>
      <c r="N309">
        <v>1013</v>
      </c>
      <c r="O309" t="s">
        <v>484</v>
      </c>
      <c r="P309" t="s">
        <v>484</v>
      </c>
      <c r="Q309">
        <v>1</v>
      </c>
      <c r="X309">
        <v>6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355</v>
      </c>
      <c r="AG309">
        <v>7.59</v>
      </c>
      <c r="AH309">
        <v>2</v>
      </c>
      <c r="AI309">
        <v>60255511</v>
      </c>
      <c r="AJ309">
        <v>281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ROW(Source!A243)</f>
        <v>243</v>
      </c>
      <c r="B310">
        <v>60255900</v>
      </c>
      <c r="C310">
        <v>60255510</v>
      </c>
      <c r="D310">
        <v>59070669</v>
      </c>
      <c r="E310">
        <v>1</v>
      </c>
      <c r="F310">
        <v>1</v>
      </c>
      <c r="G310">
        <v>1080</v>
      </c>
      <c r="H310">
        <v>2</v>
      </c>
      <c r="I310" t="s">
        <v>485</v>
      </c>
      <c r="J310" t="s">
        <v>486</v>
      </c>
      <c r="K310" t="s">
        <v>487</v>
      </c>
      <c r="L310">
        <v>1368</v>
      </c>
      <c r="N310">
        <v>1011</v>
      </c>
      <c r="O310" t="s">
        <v>488</v>
      </c>
      <c r="P310" t="s">
        <v>488</v>
      </c>
      <c r="Q310">
        <v>1</v>
      </c>
      <c r="X310">
        <v>0.02</v>
      </c>
      <c r="Y310">
        <v>0</v>
      </c>
      <c r="Z310">
        <v>83.1</v>
      </c>
      <c r="AA310">
        <v>12.62</v>
      </c>
      <c r="AB310">
        <v>0</v>
      </c>
      <c r="AC310">
        <v>0</v>
      </c>
      <c r="AD310">
        <v>1</v>
      </c>
      <c r="AE310">
        <v>0</v>
      </c>
      <c r="AF310" t="s">
        <v>354</v>
      </c>
      <c r="AG310">
        <v>2.7500000000000004E-2</v>
      </c>
      <c r="AH310">
        <v>2</v>
      </c>
      <c r="AI310">
        <v>60255512</v>
      </c>
      <c r="AJ310">
        <v>282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ROW(Source!A243)</f>
        <v>243</v>
      </c>
      <c r="B311">
        <v>60255901</v>
      </c>
      <c r="C311">
        <v>60255510</v>
      </c>
      <c r="D311">
        <v>59070788</v>
      </c>
      <c r="E311">
        <v>1</v>
      </c>
      <c r="F311">
        <v>1</v>
      </c>
      <c r="G311">
        <v>1080</v>
      </c>
      <c r="H311">
        <v>2</v>
      </c>
      <c r="I311" t="s">
        <v>544</v>
      </c>
      <c r="J311" t="s">
        <v>545</v>
      </c>
      <c r="K311" t="s">
        <v>546</v>
      </c>
      <c r="L311">
        <v>1368</v>
      </c>
      <c r="N311">
        <v>1011</v>
      </c>
      <c r="O311" t="s">
        <v>488</v>
      </c>
      <c r="P311" t="s">
        <v>488</v>
      </c>
      <c r="Q311">
        <v>1</v>
      </c>
      <c r="X311">
        <v>1.7</v>
      </c>
      <c r="Y311">
        <v>0</v>
      </c>
      <c r="Z311">
        <v>0.8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354</v>
      </c>
      <c r="AG311">
        <v>2.3375000000000004</v>
      </c>
      <c r="AH311">
        <v>2</v>
      </c>
      <c r="AI311">
        <v>60255513</v>
      </c>
      <c r="AJ311">
        <v>283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ROW(Source!A243)</f>
        <v>243</v>
      </c>
      <c r="B312">
        <v>60255902</v>
      </c>
      <c r="C312">
        <v>60255510</v>
      </c>
      <c r="D312">
        <v>59039008</v>
      </c>
      <c r="E312">
        <v>1</v>
      </c>
      <c r="F312">
        <v>1</v>
      </c>
      <c r="G312">
        <v>1080</v>
      </c>
      <c r="H312">
        <v>3</v>
      </c>
      <c r="I312" t="s">
        <v>547</v>
      </c>
      <c r="J312" t="s">
        <v>548</v>
      </c>
      <c r="K312" t="s">
        <v>549</v>
      </c>
      <c r="L312">
        <v>1354</v>
      </c>
      <c r="N312">
        <v>1010</v>
      </c>
      <c r="O312" t="s">
        <v>31</v>
      </c>
      <c r="P312" t="s">
        <v>31</v>
      </c>
      <c r="Q312">
        <v>1</v>
      </c>
      <c r="X312">
        <v>40</v>
      </c>
      <c r="Y312">
        <v>0.89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3</v>
      </c>
      <c r="AG312">
        <v>40</v>
      </c>
      <c r="AH312">
        <v>2</v>
      </c>
      <c r="AI312">
        <v>60255514</v>
      </c>
      <c r="AJ312">
        <v>284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ROW(Source!A243)</f>
        <v>243</v>
      </c>
      <c r="B313">
        <v>60255903</v>
      </c>
      <c r="C313">
        <v>60255510</v>
      </c>
      <c r="D313">
        <v>59040802</v>
      </c>
      <c r="E313">
        <v>1</v>
      </c>
      <c r="F313">
        <v>1</v>
      </c>
      <c r="G313">
        <v>1080</v>
      </c>
      <c r="H313">
        <v>3</v>
      </c>
      <c r="I313" t="s">
        <v>550</v>
      </c>
      <c r="J313" t="s">
        <v>551</v>
      </c>
      <c r="K313" t="s">
        <v>552</v>
      </c>
      <c r="L313">
        <v>1355</v>
      </c>
      <c r="N313">
        <v>1010</v>
      </c>
      <c r="O313" t="s">
        <v>96</v>
      </c>
      <c r="P313" t="s">
        <v>96</v>
      </c>
      <c r="Q313">
        <v>100</v>
      </c>
      <c r="X313">
        <v>0.4</v>
      </c>
      <c r="Y313">
        <v>212.65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3</v>
      </c>
      <c r="AG313">
        <v>0.4</v>
      </c>
      <c r="AH313">
        <v>2</v>
      </c>
      <c r="AI313">
        <v>60255515</v>
      </c>
      <c r="AJ313">
        <v>285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ROW(Source!A243)</f>
        <v>243</v>
      </c>
      <c r="B314">
        <v>60255904</v>
      </c>
      <c r="C314">
        <v>60255510</v>
      </c>
      <c r="D314">
        <v>59049297</v>
      </c>
      <c r="E314">
        <v>1</v>
      </c>
      <c r="F314">
        <v>1</v>
      </c>
      <c r="G314">
        <v>1080</v>
      </c>
      <c r="H314">
        <v>3</v>
      </c>
      <c r="I314" t="s">
        <v>553</v>
      </c>
      <c r="J314" t="s">
        <v>554</v>
      </c>
      <c r="K314" t="s">
        <v>555</v>
      </c>
      <c r="L314">
        <v>1354</v>
      </c>
      <c r="N314">
        <v>1010</v>
      </c>
      <c r="O314" t="s">
        <v>31</v>
      </c>
      <c r="P314" t="s">
        <v>31</v>
      </c>
      <c r="Q314">
        <v>1</v>
      </c>
      <c r="X314">
        <v>0.4</v>
      </c>
      <c r="Y314">
        <v>105.06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</v>
      </c>
      <c r="AG314">
        <v>0.4</v>
      </c>
      <c r="AH314">
        <v>2</v>
      </c>
      <c r="AI314">
        <v>60255516</v>
      </c>
      <c r="AJ314">
        <v>286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ROW(Source!A243)</f>
        <v>243</v>
      </c>
      <c r="B315">
        <v>60255905</v>
      </c>
      <c r="C315">
        <v>60255510</v>
      </c>
      <c r="D315">
        <v>59025385</v>
      </c>
      <c r="E315">
        <v>1080</v>
      </c>
      <c r="F315">
        <v>1</v>
      </c>
      <c r="G315">
        <v>1080</v>
      </c>
      <c r="H315">
        <v>3</v>
      </c>
      <c r="I315" t="s">
        <v>602</v>
      </c>
      <c r="J315" t="s">
        <v>3</v>
      </c>
      <c r="K315" t="s">
        <v>603</v>
      </c>
      <c r="L315">
        <v>1391</v>
      </c>
      <c r="N315">
        <v>1013</v>
      </c>
      <c r="O315" t="s">
        <v>604</v>
      </c>
      <c r="P315" t="s">
        <v>604</v>
      </c>
      <c r="Q315">
        <v>1</v>
      </c>
      <c r="X315">
        <v>10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3</v>
      </c>
      <c r="AG315">
        <v>10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ROW(Source!A244)</f>
        <v>244</v>
      </c>
      <c r="B316">
        <v>60255899</v>
      </c>
      <c r="C316">
        <v>60255510</v>
      </c>
      <c r="D316">
        <v>58999254</v>
      </c>
      <c r="E316">
        <v>1080</v>
      </c>
      <c r="F316">
        <v>1</v>
      </c>
      <c r="G316">
        <v>1080</v>
      </c>
      <c r="H316">
        <v>1</v>
      </c>
      <c r="I316" t="s">
        <v>482</v>
      </c>
      <c r="J316" t="s">
        <v>3</v>
      </c>
      <c r="K316" t="s">
        <v>483</v>
      </c>
      <c r="L316">
        <v>1191</v>
      </c>
      <c r="N316">
        <v>1013</v>
      </c>
      <c r="O316" t="s">
        <v>484</v>
      </c>
      <c r="P316" t="s">
        <v>484</v>
      </c>
      <c r="Q316">
        <v>1</v>
      </c>
      <c r="X316">
        <v>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 t="s">
        <v>355</v>
      </c>
      <c r="AG316">
        <v>7.59</v>
      </c>
      <c r="AH316">
        <v>2</v>
      </c>
      <c r="AI316">
        <v>60255511</v>
      </c>
      <c r="AJ316">
        <v>287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ROW(Source!A244)</f>
        <v>244</v>
      </c>
      <c r="B317">
        <v>60255900</v>
      </c>
      <c r="C317">
        <v>60255510</v>
      </c>
      <c r="D317">
        <v>59070669</v>
      </c>
      <c r="E317">
        <v>1</v>
      </c>
      <c r="F317">
        <v>1</v>
      </c>
      <c r="G317">
        <v>1080</v>
      </c>
      <c r="H317">
        <v>2</v>
      </c>
      <c r="I317" t="s">
        <v>485</v>
      </c>
      <c r="J317" t="s">
        <v>486</v>
      </c>
      <c r="K317" t="s">
        <v>487</v>
      </c>
      <c r="L317">
        <v>1368</v>
      </c>
      <c r="N317">
        <v>1011</v>
      </c>
      <c r="O317" t="s">
        <v>488</v>
      </c>
      <c r="P317" t="s">
        <v>488</v>
      </c>
      <c r="Q317">
        <v>1</v>
      </c>
      <c r="X317">
        <v>0.02</v>
      </c>
      <c r="Y317">
        <v>0</v>
      </c>
      <c r="Z317">
        <v>83.1</v>
      </c>
      <c r="AA317">
        <v>12.62</v>
      </c>
      <c r="AB317">
        <v>0</v>
      </c>
      <c r="AC317">
        <v>0</v>
      </c>
      <c r="AD317">
        <v>1</v>
      </c>
      <c r="AE317">
        <v>0</v>
      </c>
      <c r="AF317" t="s">
        <v>354</v>
      </c>
      <c r="AG317">
        <v>2.7500000000000004E-2</v>
      </c>
      <c r="AH317">
        <v>2</v>
      </c>
      <c r="AI317">
        <v>60255512</v>
      </c>
      <c r="AJ317">
        <v>288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ROW(Source!A244)</f>
        <v>244</v>
      </c>
      <c r="B318">
        <v>60255901</v>
      </c>
      <c r="C318">
        <v>60255510</v>
      </c>
      <c r="D318">
        <v>59070788</v>
      </c>
      <c r="E318">
        <v>1</v>
      </c>
      <c r="F318">
        <v>1</v>
      </c>
      <c r="G318">
        <v>1080</v>
      </c>
      <c r="H318">
        <v>2</v>
      </c>
      <c r="I318" t="s">
        <v>544</v>
      </c>
      <c r="J318" t="s">
        <v>545</v>
      </c>
      <c r="K318" t="s">
        <v>546</v>
      </c>
      <c r="L318">
        <v>1368</v>
      </c>
      <c r="N318">
        <v>1011</v>
      </c>
      <c r="O318" t="s">
        <v>488</v>
      </c>
      <c r="P318" t="s">
        <v>488</v>
      </c>
      <c r="Q318">
        <v>1</v>
      </c>
      <c r="X318">
        <v>1.7</v>
      </c>
      <c r="Y318">
        <v>0</v>
      </c>
      <c r="Z318">
        <v>0.8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354</v>
      </c>
      <c r="AG318">
        <v>2.3375000000000004</v>
      </c>
      <c r="AH318">
        <v>2</v>
      </c>
      <c r="AI318">
        <v>60255513</v>
      </c>
      <c r="AJ318">
        <v>289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ROW(Source!A244)</f>
        <v>244</v>
      </c>
      <c r="B319">
        <v>60255902</v>
      </c>
      <c r="C319">
        <v>60255510</v>
      </c>
      <c r="D319">
        <v>59039008</v>
      </c>
      <c r="E319">
        <v>1</v>
      </c>
      <c r="F319">
        <v>1</v>
      </c>
      <c r="G319">
        <v>1080</v>
      </c>
      <c r="H319">
        <v>3</v>
      </c>
      <c r="I319" t="s">
        <v>547</v>
      </c>
      <c r="J319" t="s">
        <v>548</v>
      </c>
      <c r="K319" t="s">
        <v>549</v>
      </c>
      <c r="L319">
        <v>1354</v>
      </c>
      <c r="N319">
        <v>1010</v>
      </c>
      <c r="O319" t="s">
        <v>31</v>
      </c>
      <c r="P319" t="s">
        <v>31</v>
      </c>
      <c r="Q319">
        <v>1</v>
      </c>
      <c r="X319">
        <v>40</v>
      </c>
      <c r="Y319">
        <v>0.89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</v>
      </c>
      <c r="AG319">
        <v>40</v>
      </c>
      <c r="AH319">
        <v>2</v>
      </c>
      <c r="AI319">
        <v>60255514</v>
      </c>
      <c r="AJ319">
        <v>290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ROW(Source!A244)</f>
        <v>244</v>
      </c>
      <c r="B320">
        <v>60255903</v>
      </c>
      <c r="C320">
        <v>60255510</v>
      </c>
      <c r="D320">
        <v>59040802</v>
      </c>
      <c r="E320">
        <v>1</v>
      </c>
      <c r="F320">
        <v>1</v>
      </c>
      <c r="G320">
        <v>1080</v>
      </c>
      <c r="H320">
        <v>3</v>
      </c>
      <c r="I320" t="s">
        <v>550</v>
      </c>
      <c r="J320" t="s">
        <v>551</v>
      </c>
      <c r="K320" t="s">
        <v>552</v>
      </c>
      <c r="L320">
        <v>1355</v>
      </c>
      <c r="N320">
        <v>1010</v>
      </c>
      <c r="O320" t="s">
        <v>96</v>
      </c>
      <c r="P320" t="s">
        <v>96</v>
      </c>
      <c r="Q320">
        <v>100</v>
      </c>
      <c r="X320">
        <v>0.4</v>
      </c>
      <c r="Y320">
        <v>212.65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3</v>
      </c>
      <c r="AG320">
        <v>0.4</v>
      </c>
      <c r="AH320">
        <v>2</v>
      </c>
      <c r="AI320">
        <v>60255515</v>
      </c>
      <c r="AJ320">
        <v>291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ROW(Source!A244)</f>
        <v>244</v>
      </c>
      <c r="B321">
        <v>60255904</v>
      </c>
      <c r="C321">
        <v>60255510</v>
      </c>
      <c r="D321">
        <v>59049297</v>
      </c>
      <c r="E321">
        <v>1</v>
      </c>
      <c r="F321">
        <v>1</v>
      </c>
      <c r="G321">
        <v>1080</v>
      </c>
      <c r="H321">
        <v>3</v>
      </c>
      <c r="I321" t="s">
        <v>553</v>
      </c>
      <c r="J321" t="s">
        <v>554</v>
      </c>
      <c r="K321" t="s">
        <v>555</v>
      </c>
      <c r="L321">
        <v>1354</v>
      </c>
      <c r="N321">
        <v>1010</v>
      </c>
      <c r="O321" t="s">
        <v>31</v>
      </c>
      <c r="P321" t="s">
        <v>31</v>
      </c>
      <c r="Q321">
        <v>1</v>
      </c>
      <c r="X321">
        <v>0.4</v>
      </c>
      <c r="Y321">
        <v>105.06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</v>
      </c>
      <c r="AG321">
        <v>0.4</v>
      </c>
      <c r="AH321">
        <v>2</v>
      </c>
      <c r="AI321">
        <v>60255516</v>
      </c>
      <c r="AJ321">
        <v>292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ROW(Source!A244)</f>
        <v>244</v>
      </c>
      <c r="B322">
        <v>60255905</v>
      </c>
      <c r="C322">
        <v>60255510</v>
      </c>
      <c r="D322">
        <v>59025385</v>
      </c>
      <c r="E322">
        <v>1080</v>
      </c>
      <c r="F322">
        <v>1</v>
      </c>
      <c r="G322">
        <v>1080</v>
      </c>
      <c r="H322">
        <v>3</v>
      </c>
      <c r="I322" t="s">
        <v>602</v>
      </c>
      <c r="J322" t="s">
        <v>3</v>
      </c>
      <c r="K322" t="s">
        <v>603</v>
      </c>
      <c r="L322">
        <v>1391</v>
      </c>
      <c r="N322">
        <v>1013</v>
      </c>
      <c r="O322" t="s">
        <v>604</v>
      </c>
      <c r="P322" t="s">
        <v>604</v>
      </c>
      <c r="Q322">
        <v>1</v>
      </c>
      <c r="X322">
        <v>10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3</v>
      </c>
      <c r="AG322">
        <v>10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ROW(Source!A245)</f>
        <v>245</v>
      </c>
      <c r="B323">
        <v>60255906</v>
      </c>
      <c r="C323">
        <v>60255524</v>
      </c>
      <c r="D323">
        <v>58999254</v>
      </c>
      <c r="E323">
        <v>1080</v>
      </c>
      <c r="F323">
        <v>1</v>
      </c>
      <c r="G323">
        <v>1080</v>
      </c>
      <c r="H323">
        <v>1</v>
      </c>
      <c r="I323" t="s">
        <v>482</v>
      </c>
      <c r="J323" t="s">
        <v>3</v>
      </c>
      <c r="K323" t="s">
        <v>483</v>
      </c>
      <c r="L323">
        <v>1191</v>
      </c>
      <c r="N323">
        <v>1013</v>
      </c>
      <c r="O323" t="s">
        <v>484</v>
      </c>
      <c r="P323" t="s">
        <v>484</v>
      </c>
      <c r="Q323">
        <v>1</v>
      </c>
      <c r="X323">
        <v>0.9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 t="s">
        <v>99</v>
      </c>
      <c r="AG323">
        <v>1.1385000000000001</v>
      </c>
      <c r="AH323">
        <v>2</v>
      </c>
      <c r="AI323">
        <v>60255525</v>
      </c>
      <c r="AJ323">
        <v>293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ROW(Source!A246)</f>
        <v>246</v>
      </c>
      <c r="B324">
        <v>60255906</v>
      </c>
      <c r="C324">
        <v>60255524</v>
      </c>
      <c r="D324">
        <v>58999254</v>
      </c>
      <c r="E324">
        <v>1080</v>
      </c>
      <c r="F324">
        <v>1</v>
      </c>
      <c r="G324">
        <v>1080</v>
      </c>
      <c r="H324">
        <v>1</v>
      </c>
      <c r="I324" t="s">
        <v>482</v>
      </c>
      <c r="J324" t="s">
        <v>3</v>
      </c>
      <c r="K324" t="s">
        <v>483</v>
      </c>
      <c r="L324">
        <v>1191</v>
      </c>
      <c r="N324">
        <v>1013</v>
      </c>
      <c r="O324" t="s">
        <v>484</v>
      </c>
      <c r="P324" t="s">
        <v>484</v>
      </c>
      <c r="Q324">
        <v>1</v>
      </c>
      <c r="X324">
        <v>0.9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 t="s">
        <v>99</v>
      </c>
      <c r="AG324">
        <v>1.1385000000000001</v>
      </c>
      <c r="AH324">
        <v>2</v>
      </c>
      <c r="AI324">
        <v>60255525</v>
      </c>
      <c r="AJ324">
        <v>294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ROW(Source!A284)</f>
        <v>284</v>
      </c>
      <c r="B325">
        <v>60255907</v>
      </c>
      <c r="C325">
        <v>60255584</v>
      </c>
      <c r="D325">
        <v>58999254</v>
      </c>
      <c r="E325">
        <v>1080</v>
      </c>
      <c r="F325">
        <v>1</v>
      </c>
      <c r="G325">
        <v>1080</v>
      </c>
      <c r="H325">
        <v>1</v>
      </c>
      <c r="I325" t="s">
        <v>482</v>
      </c>
      <c r="J325" t="s">
        <v>3</v>
      </c>
      <c r="K325" t="s">
        <v>483</v>
      </c>
      <c r="L325">
        <v>1191</v>
      </c>
      <c r="N325">
        <v>1013</v>
      </c>
      <c r="O325" t="s">
        <v>484</v>
      </c>
      <c r="P325" t="s">
        <v>484</v>
      </c>
      <c r="Q325">
        <v>1</v>
      </c>
      <c r="X325">
        <v>29.7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99</v>
      </c>
      <c r="AG325">
        <v>37.570499999999996</v>
      </c>
      <c r="AH325">
        <v>2</v>
      </c>
      <c r="AI325">
        <v>60255585</v>
      </c>
      <c r="AJ325">
        <v>295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ROW(Source!A284)</f>
        <v>284</v>
      </c>
      <c r="B326">
        <v>60255908</v>
      </c>
      <c r="C326">
        <v>60255584</v>
      </c>
      <c r="D326">
        <v>59070372</v>
      </c>
      <c r="E326">
        <v>1</v>
      </c>
      <c r="F326">
        <v>1</v>
      </c>
      <c r="G326">
        <v>1080</v>
      </c>
      <c r="H326">
        <v>2</v>
      </c>
      <c r="I326" t="s">
        <v>556</v>
      </c>
      <c r="J326" t="s">
        <v>557</v>
      </c>
      <c r="K326" t="s">
        <v>558</v>
      </c>
      <c r="L326">
        <v>1368</v>
      </c>
      <c r="N326">
        <v>1011</v>
      </c>
      <c r="O326" t="s">
        <v>488</v>
      </c>
      <c r="P326" t="s">
        <v>488</v>
      </c>
      <c r="Q326">
        <v>1</v>
      </c>
      <c r="X326">
        <v>1.1499999999999999</v>
      </c>
      <c r="Y326">
        <v>0</v>
      </c>
      <c r="Z326">
        <v>0.28000000000000003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98</v>
      </c>
      <c r="AG326">
        <v>1.58125</v>
      </c>
      <c r="AH326">
        <v>2</v>
      </c>
      <c r="AI326">
        <v>60255586</v>
      </c>
      <c r="AJ326">
        <v>296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ROW(Source!A284)</f>
        <v>284</v>
      </c>
      <c r="B327">
        <v>60255909</v>
      </c>
      <c r="C327">
        <v>60255584</v>
      </c>
      <c r="D327">
        <v>59070669</v>
      </c>
      <c r="E327">
        <v>1</v>
      </c>
      <c r="F327">
        <v>1</v>
      </c>
      <c r="G327">
        <v>1080</v>
      </c>
      <c r="H327">
        <v>2</v>
      </c>
      <c r="I327" t="s">
        <v>485</v>
      </c>
      <c r="J327" t="s">
        <v>486</v>
      </c>
      <c r="K327" t="s">
        <v>487</v>
      </c>
      <c r="L327">
        <v>1368</v>
      </c>
      <c r="N327">
        <v>1011</v>
      </c>
      <c r="O327" t="s">
        <v>488</v>
      </c>
      <c r="P327" t="s">
        <v>488</v>
      </c>
      <c r="Q327">
        <v>1</v>
      </c>
      <c r="X327">
        <v>0.35</v>
      </c>
      <c r="Y327">
        <v>0</v>
      </c>
      <c r="Z327">
        <v>83.1</v>
      </c>
      <c r="AA327">
        <v>12.62</v>
      </c>
      <c r="AB327">
        <v>0</v>
      </c>
      <c r="AC327">
        <v>0</v>
      </c>
      <c r="AD327">
        <v>1</v>
      </c>
      <c r="AE327">
        <v>0</v>
      </c>
      <c r="AF327" t="s">
        <v>98</v>
      </c>
      <c r="AG327">
        <v>0.48125000000000007</v>
      </c>
      <c r="AH327">
        <v>2</v>
      </c>
      <c r="AI327">
        <v>60255587</v>
      </c>
      <c r="AJ327">
        <v>297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ROW(Source!A284)</f>
        <v>284</v>
      </c>
      <c r="B328">
        <v>60255910</v>
      </c>
      <c r="C328">
        <v>60255584</v>
      </c>
      <c r="D328">
        <v>59069905</v>
      </c>
      <c r="E328">
        <v>1</v>
      </c>
      <c r="F328">
        <v>1</v>
      </c>
      <c r="G328">
        <v>1080</v>
      </c>
      <c r="H328">
        <v>2</v>
      </c>
      <c r="I328" t="s">
        <v>503</v>
      </c>
      <c r="J328" t="s">
        <v>504</v>
      </c>
      <c r="K328" t="s">
        <v>505</v>
      </c>
      <c r="L328">
        <v>1368</v>
      </c>
      <c r="N328">
        <v>1011</v>
      </c>
      <c r="O328" t="s">
        <v>488</v>
      </c>
      <c r="P328" t="s">
        <v>488</v>
      </c>
      <c r="Q328">
        <v>1</v>
      </c>
      <c r="X328">
        <v>7.0000000000000007E-2</v>
      </c>
      <c r="Y328">
        <v>0</v>
      </c>
      <c r="Z328">
        <v>179.17</v>
      </c>
      <c r="AA328">
        <v>16.93</v>
      </c>
      <c r="AB328">
        <v>0</v>
      </c>
      <c r="AC328">
        <v>0</v>
      </c>
      <c r="AD328">
        <v>1</v>
      </c>
      <c r="AE328">
        <v>0</v>
      </c>
      <c r="AF328" t="s">
        <v>98</v>
      </c>
      <c r="AG328">
        <v>9.6250000000000016E-2</v>
      </c>
      <c r="AH328">
        <v>2</v>
      </c>
      <c r="AI328">
        <v>60255588</v>
      </c>
      <c r="AJ328">
        <v>298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ROW(Source!A284)</f>
        <v>284</v>
      </c>
      <c r="B329">
        <v>60255911</v>
      </c>
      <c r="C329">
        <v>60255584</v>
      </c>
      <c r="D329">
        <v>59038905</v>
      </c>
      <c r="E329">
        <v>1</v>
      </c>
      <c r="F329">
        <v>1</v>
      </c>
      <c r="G329">
        <v>1080</v>
      </c>
      <c r="H329">
        <v>3</v>
      </c>
      <c r="I329" t="s">
        <v>506</v>
      </c>
      <c r="J329" t="s">
        <v>507</v>
      </c>
      <c r="K329" t="s">
        <v>508</v>
      </c>
      <c r="L329">
        <v>1339</v>
      </c>
      <c r="N329">
        <v>1007</v>
      </c>
      <c r="O329" t="s">
        <v>509</v>
      </c>
      <c r="P329" t="s">
        <v>509</v>
      </c>
      <c r="Q329">
        <v>1</v>
      </c>
      <c r="X329">
        <v>6.5000000000000002E-2</v>
      </c>
      <c r="Y329">
        <v>7.07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</v>
      </c>
      <c r="AG329">
        <v>6.5000000000000002E-2</v>
      </c>
      <c r="AH329">
        <v>2</v>
      </c>
      <c r="AI329">
        <v>60255589</v>
      </c>
      <c r="AJ329">
        <v>299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ROW(Source!A284)</f>
        <v>284</v>
      </c>
      <c r="B330">
        <v>60255912</v>
      </c>
      <c r="C330">
        <v>60255584</v>
      </c>
      <c r="D330">
        <v>59040044</v>
      </c>
      <c r="E330">
        <v>1</v>
      </c>
      <c r="F330">
        <v>1</v>
      </c>
      <c r="G330">
        <v>1080</v>
      </c>
      <c r="H330">
        <v>3</v>
      </c>
      <c r="I330" t="s">
        <v>559</v>
      </c>
      <c r="J330" t="s">
        <v>560</v>
      </c>
      <c r="K330" t="s">
        <v>561</v>
      </c>
      <c r="L330">
        <v>1346</v>
      </c>
      <c r="N330">
        <v>1009</v>
      </c>
      <c r="O330" t="s">
        <v>528</v>
      </c>
      <c r="P330" t="s">
        <v>528</v>
      </c>
      <c r="Q330">
        <v>1</v>
      </c>
      <c r="X330">
        <v>0.17</v>
      </c>
      <c r="Y330">
        <v>21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3</v>
      </c>
      <c r="AG330">
        <v>0.17</v>
      </c>
      <c r="AH330">
        <v>2</v>
      </c>
      <c r="AI330">
        <v>60255590</v>
      </c>
      <c r="AJ330">
        <v>300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ROW(Source!A284)</f>
        <v>284</v>
      </c>
      <c r="B331">
        <v>60255913</v>
      </c>
      <c r="C331">
        <v>60255584</v>
      </c>
      <c r="D331">
        <v>59040617</v>
      </c>
      <c r="E331">
        <v>1</v>
      </c>
      <c r="F331">
        <v>1</v>
      </c>
      <c r="G331">
        <v>1080</v>
      </c>
      <c r="H331">
        <v>3</v>
      </c>
      <c r="I331" t="s">
        <v>535</v>
      </c>
      <c r="J331" t="s">
        <v>536</v>
      </c>
      <c r="K331" t="s">
        <v>537</v>
      </c>
      <c r="L331">
        <v>1346</v>
      </c>
      <c r="N331">
        <v>1009</v>
      </c>
      <c r="O331" t="s">
        <v>528</v>
      </c>
      <c r="P331" t="s">
        <v>528</v>
      </c>
      <c r="Q331">
        <v>1</v>
      </c>
      <c r="X331">
        <v>0.06</v>
      </c>
      <c r="Y331">
        <v>37.979999999999997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</v>
      </c>
      <c r="AG331">
        <v>0.06</v>
      </c>
      <c r="AH331">
        <v>2</v>
      </c>
      <c r="AI331">
        <v>60255591</v>
      </c>
      <c r="AJ331">
        <v>301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ROW(Source!A284)</f>
        <v>284</v>
      </c>
      <c r="B332">
        <v>60255914</v>
      </c>
      <c r="C332">
        <v>60255584</v>
      </c>
      <c r="D332">
        <v>59039024</v>
      </c>
      <c r="E332">
        <v>1</v>
      </c>
      <c r="F332">
        <v>1</v>
      </c>
      <c r="G332">
        <v>1080</v>
      </c>
      <c r="H332">
        <v>3</v>
      </c>
      <c r="I332" t="s">
        <v>562</v>
      </c>
      <c r="J332" t="s">
        <v>563</v>
      </c>
      <c r="K332" t="s">
        <v>564</v>
      </c>
      <c r="L332">
        <v>1348</v>
      </c>
      <c r="N332">
        <v>1009</v>
      </c>
      <c r="O332" t="s">
        <v>534</v>
      </c>
      <c r="P332" t="s">
        <v>534</v>
      </c>
      <c r="Q332">
        <v>1000</v>
      </c>
      <c r="X332">
        <v>1.0000000000000001E-5</v>
      </c>
      <c r="Y332">
        <v>3234.81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</v>
      </c>
      <c r="AG332">
        <v>1.0000000000000001E-5</v>
      </c>
      <c r="AH332">
        <v>2</v>
      </c>
      <c r="AI332">
        <v>60255592</v>
      </c>
      <c r="AJ332">
        <v>302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ROW(Source!A284)</f>
        <v>284</v>
      </c>
      <c r="B333">
        <v>60255915</v>
      </c>
      <c r="C333">
        <v>60255584</v>
      </c>
      <c r="D333">
        <v>59038837</v>
      </c>
      <c r="E333">
        <v>1</v>
      </c>
      <c r="F333">
        <v>1</v>
      </c>
      <c r="G333">
        <v>1080</v>
      </c>
      <c r="H333">
        <v>3</v>
      </c>
      <c r="I333" t="s">
        <v>565</v>
      </c>
      <c r="J333" t="s">
        <v>566</v>
      </c>
      <c r="K333" t="s">
        <v>567</v>
      </c>
      <c r="L333">
        <v>1339</v>
      </c>
      <c r="N333">
        <v>1007</v>
      </c>
      <c r="O333" t="s">
        <v>509</v>
      </c>
      <c r="P333" t="s">
        <v>509</v>
      </c>
      <c r="Q333">
        <v>1</v>
      </c>
      <c r="X333">
        <v>0.11899999999999999</v>
      </c>
      <c r="Y333">
        <v>53.42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</v>
      </c>
      <c r="AG333">
        <v>0.11899999999999999</v>
      </c>
      <c r="AH333">
        <v>2</v>
      </c>
      <c r="AI333">
        <v>60255593</v>
      </c>
      <c r="AJ333">
        <v>303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ROW(Source!A284)</f>
        <v>284</v>
      </c>
      <c r="B334">
        <v>60255916</v>
      </c>
      <c r="C334">
        <v>60255584</v>
      </c>
      <c r="D334">
        <v>59039103</v>
      </c>
      <c r="E334">
        <v>1</v>
      </c>
      <c r="F334">
        <v>1</v>
      </c>
      <c r="G334">
        <v>1080</v>
      </c>
      <c r="H334">
        <v>3</v>
      </c>
      <c r="I334" t="s">
        <v>568</v>
      </c>
      <c r="J334" t="s">
        <v>569</v>
      </c>
      <c r="K334" t="s">
        <v>570</v>
      </c>
      <c r="L334">
        <v>1339</v>
      </c>
      <c r="N334">
        <v>1007</v>
      </c>
      <c r="O334" t="s">
        <v>509</v>
      </c>
      <c r="P334" t="s">
        <v>509</v>
      </c>
      <c r="Q334">
        <v>1</v>
      </c>
      <c r="X334">
        <v>0.28100000000000003</v>
      </c>
      <c r="Y334">
        <v>5.82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</v>
      </c>
      <c r="AG334">
        <v>0.28100000000000003</v>
      </c>
      <c r="AH334">
        <v>2</v>
      </c>
      <c r="AI334">
        <v>60255594</v>
      </c>
      <c r="AJ334">
        <v>304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ROW(Source!A284)</f>
        <v>284</v>
      </c>
      <c r="B335">
        <v>60255917</v>
      </c>
      <c r="C335">
        <v>60255584</v>
      </c>
      <c r="D335">
        <v>59039175</v>
      </c>
      <c r="E335">
        <v>1</v>
      </c>
      <c r="F335">
        <v>1</v>
      </c>
      <c r="G335">
        <v>1080</v>
      </c>
      <c r="H335">
        <v>3</v>
      </c>
      <c r="I335" t="s">
        <v>538</v>
      </c>
      <c r="J335" t="s">
        <v>539</v>
      </c>
      <c r="K335" t="s">
        <v>540</v>
      </c>
      <c r="L335">
        <v>1348</v>
      </c>
      <c r="N335">
        <v>1009</v>
      </c>
      <c r="O335" t="s">
        <v>534</v>
      </c>
      <c r="P335" t="s">
        <v>534</v>
      </c>
      <c r="Q335">
        <v>1000</v>
      </c>
      <c r="X335">
        <v>4.4000000000000002E-4</v>
      </c>
      <c r="Y335">
        <v>16214.84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4.4000000000000002E-4</v>
      </c>
      <c r="AH335">
        <v>2</v>
      </c>
      <c r="AI335">
        <v>60255595</v>
      </c>
      <c r="AJ335">
        <v>305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ROW(Source!A284)</f>
        <v>284</v>
      </c>
      <c r="B336">
        <v>60255918</v>
      </c>
      <c r="C336">
        <v>60255584</v>
      </c>
      <c r="D336">
        <v>59039344</v>
      </c>
      <c r="E336">
        <v>1</v>
      </c>
      <c r="F336">
        <v>1</v>
      </c>
      <c r="G336">
        <v>1080</v>
      </c>
      <c r="H336">
        <v>3</v>
      </c>
      <c r="I336" t="s">
        <v>541</v>
      </c>
      <c r="J336" t="s">
        <v>542</v>
      </c>
      <c r="K336" t="s">
        <v>543</v>
      </c>
      <c r="L336">
        <v>1346</v>
      </c>
      <c r="N336">
        <v>1009</v>
      </c>
      <c r="O336" t="s">
        <v>528</v>
      </c>
      <c r="P336" t="s">
        <v>528</v>
      </c>
      <c r="Q336">
        <v>1</v>
      </c>
      <c r="X336">
        <v>0.53</v>
      </c>
      <c r="Y336">
        <v>20.190000000000001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0.53</v>
      </c>
      <c r="AH336">
        <v>2</v>
      </c>
      <c r="AI336">
        <v>60255596</v>
      </c>
      <c r="AJ336">
        <v>306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ROW(Source!A284)</f>
        <v>284</v>
      </c>
      <c r="B337">
        <v>60255919</v>
      </c>
      <c r="C337">
        <v>60255584</v>
      </c>
      <c r="D337">
        <v>59000379</v>
      </c>
      <c r="E337">
        <v>1080</v>
      </c>
      <c r="F337">
        <v>1</v>
      </c>
      <c r="G337">
        <v>1080</v>
      </c>
      <c r="H337">
        <v>3</v>
      </c>
      <c r="I337" t="s">
        <v>605</v>
      </c>
      <c r="J337" t="s">
        <v>3</v>
      </c>
      <c r="K337" t="s">
        <v>606</v>
      </c>
      <c r="L337">
        <v>1346</v>
      </c>
      <c r="N337">
        <v>1009</v>
      </c>
      <c r="O337" t="s">
        <v>528</v>
      </c>
      <c r="P337" t="s">
        <v>528</v>
      </c>
      <c r="Q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</v>
      </c>
      <c r="AG337">
        <v>0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ROW(Source!A284)</f>
        <v>284</v>
      </c>
      <c r="B338">
        <v>60255920</v>
      </c>
      <c r="C338">
        <v>60255584</v>
      </c>
      <c r="D338">
        <v>59020043</v>
      </c>
      <c r="E338">
        <v>1080</v>
      </c>
      <c r="F338">
        <v>1</v>
      </c>
      <c r="G338">
        <v>1080</v>
      </c>
      <c r="H338">
        <v>3</v>
      </c>
      <c r="I338" t="s">
        <v>607</v>
      </c>
      <c r="J338" t="s">
        <v>3</v>
      </c>
      <c r="K338" t="s">
        <v>293</v>
      </c>
      <c r="L338">
        <v>1354</v>
      </c>
      <c r="N338">
        <v>1010</v>
      </c>
      <c r="O338" t="s">
        <v>31</v>
      </c>
      <c r="P338" t="s">
        <v>31</v>
      </c>
      <c r="Q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3</v>
      </c>
      <c r="AG338">
        <v>0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ROW(Source!A284)</f>
        <v>284</v>
      </c>
      <c r="B339">
        <v>60255921</v>
      </c>
      <c r="C339">
        <v>60255584</v>
      </c>
      <c r="D339">
        <v>59022812</v>
      </c>
      <c r="E339">
        <v>1080</v>
      </c>
      <c r="F339">
        <v>1</v>
      </c>
      <c r="G339">
        <v>1080</v>
      </c>
      <c r="H339">
        <v>3</v>
      </c>
      <c r="I339" t="s">
        <v>608</v>
      </c>
      <c r="J339" t="s">
        <v>3</v>
      </c>
      <c r="K339" t="s">
        <v>609</v>
      </c>
      <c r="L339">
        <v>1301</v>
      </c>
      <c r="N339">
        <v>1003</v>
      </c>
      <c r="O339" t="s">
        <v>376</v>
      </c>
      <c r="P339" t="s">
        <v>376</v>
      </c>
      <c r="Q339">
        <v>1</v>
      </c>
      <c r="X339">
        <v>100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3</v>
      </c>
      <c r="AG339">
        <v>100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ROW(Source!A285)</f>
        <v>285</v>
      </c>
      <c r="B340">
        <v>60255907</v>
      </c>
      <c r="C340">
        <v>60255584</v>
      </c>
      <c r="D340">
        <v>58999254</v>
      </c>
      <c r="E340">
        <v>1080</v>
      </c>
      <c r="F340">
        <v>1</v>
      </c>
      <c r="G340">
        <v>1080</v>
      </c>
      <c r="H340">
        <v>1</v>
      </c>
      <c r="I340" t="s">
        <v>482</v>
      </c>
      <c r="J340" t="s">
        <v>3</v>
      </c>
      <c r="K340" t="s">
        <v>483</v>
      </c>
      <c r="L340">
        <v>1191</v>
      </c>
      <c r="N340">
        <v>1013</v>
      </c>
      <c r="O340" t="s">
        <v>484</v>
      </c>
      <c r="P340" t="s">
        <v>484</v>
      </c>
      <c r="Q340">
        <v>1</v>
      </c>
      <c r="X340">
        <v>29.7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99</v>
      </c>
      <c r="AG340">
        <v>37.570499999999996</v>
      </c>
      <c r="AH340">
        <v>2</v>
      </c>
      <c r="AI340">
        <v>60255585</v>
      </c>
      <c r="AJ340">
        <v>308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ROW(Source!A285)</f>
        <v>285</v>
      </c>
      <c r="B341">
        <v>60255908</v>
      </c>
      <c r="C341">
        <v>60255584</v>
      </c>
      <c r="D341">
        <v>59070372</v>
      </c>
      <c r="E341">
        <v>1</v>
      </c>
      <c r="F341">
        <v>1</v>
      </c>
      <c r="G341">
        <v>1080</v>
      </c>
      <c r="H341">
        <v>2</v>
      </c>
      <c r="I341" t="s">
        <v>556</v>
      </c>
      <c r="J341" t="s">
        <v>557</v>
      </c>
      <c r="K341" t="s">
        <v>558</v>
      </c>
      <c r="L341">
        <v>1368</v>
      </c>
      <c r="N341">
        <v>1011</v>
      </c>
      <c r="O341" t="s">
        <v>488</v>
      </c>
      <c r="P341" t="s">
        <v>488</v>
      </c>
      <c r="Q341">
        <v>1</v>
      </c>
      <c r="X341">
        <v>1.1499999999999999</v>
      </c>
      <c r="Y341">
        <v>0</v>
      </c>
      <c r="Z341">
        <v>0.28000000000000003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98</v>
      </c>
      <c r="AG341">
        <v>1.58125</v>
      </c>
      <c r="AH341">
        <v>2</v>
      </c>
      <c r="AI341">
        <v>60255586</v>
      </c>
      <c r="AJ341">
        <v>309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ROW(Source!A285)</f>
        <v>285</v>
      </c>
      <c r="B342">
        <v>60255909</v>
      </c>
      <c r="C342">
        <v>60255584</v>
      </c>
      <c r="D342">
        <v>59070669</v>
      </c>
      <c r="E342">
        <v>1</v>
      </c>
      <c r="F342">
        <v>1</v>
      </c>
      <c r="G342">
        <v>1080</v>
      </c>
      <c r="H342">
        <v>2</v>
      </c>
      <c r="I342" t="s">
        <v>485</v>
      </c>
      <c r="J342" t="s">
        <v>486</v>
      </c>
      <c r="K342" t="s">
        <v>487</v>
      </c>
      <c r="L342">
        <v>1368</v>
      </c>
      <c r="N342">
        <v>1011</v>
      </c>
      <c r="O342" t="s">
        <v>488</v>
      </c>
      <c r="P342" t="s">
        <v>488</v>
      </c>
      <c r="Q342">
        <v>1</v>
      </c>
      <c r="X342">
        <v>0.35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98</v>
      </c>
      <c r="AG342">
        <v>0.48125000000000007</v>
      </c>
      <c r="AH342">
        <v>2</v>
      </c>
      <c r="AI342">
        <v>60255587</v>
      </c>
      <c r="AJ342">
        <v>310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ROW(Source!A285)</f>
        <v>285</v>
      </c>
      <c r="B343">
        <v>60255910</v>
      </c>
      <c r="C343">
        <v>60255584</v>
      </c>
      <c r="D343">
        <v>59069905</v>
      </c>
      <c r="E343">
        <v>1</v>
      </c>
      <c r="F343">
        <v>1</v>
      </c>
      <c r="G343">
        <v>1080</v>
      </c>
      <c r="H343">
        <v>2</v>
      </c>
      <c r="I343" t="s">
        <v>503</v>
      </c>
      <c r="J343" t="s">
        <v>504</v>
      </c>
      <c r="K343" t="s">
        <v>505</v>
      </c>
      <c r="L343">
        <v>1368</v>
      </c>
      <c r="N343">
        <v>1011</v>
      </c>
      <c r="O343" t="s">
        <v>488</v>
      </c>
      <c r="P343" t="s">
        <v>488</v>
      </c>
      <c r="Q343">
        <v>1</v>
      </c>
      <c r="X343">
        <v>7.0000000000000007E-2</v>
      </c>
      <c r="Y343">
        <v>0</v>
      </c>
      <c r="Z343">
        <v>179.17</v>
      </c>
      <c r="AA343">
        <v>16.93</v>
      </c>
      <c r="AB343">
        <v>0</v>
      </c>
      <c r="AC343">
        <v>0</v>
      </c>
      <c r="AD343">
        <v>1</v>
      </c>
      <c r="AE343">
        <v>0</v>
      </c>
      <c r="AF343" t="s">
        <v>98</v>
      </c>
      <c r="AG343">
        <v>9.6250000000000016E-2</v>
      </c>
      <c r="AH343">
        <v>2</v>
      </c>
      <c r="AI343">
        <v>60255588</v>
      </c>
      <c r="AJ343">
        <v>311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ROW(Source!A285)</f>
        <v>285</v>
      </c>
      <c r="B344">
        <v>60255911</v>
      </c>
      <c r="C344">
        <v>60255584</v>
      </c>
      <c r="D344">
        <v>59038905</v>
      </c>
      <c r="E344">
        <v>1</v>
      </c>
      <c r="F344">
        <v>1</v>
      </c>
      <c r="G344">
        <v>1080</v>
      </c>
      <c r="H344">
        <v>3</v>
      </c>
      <c r="I344" t="s">
        <v>506</v>
      </c>
      <c r="J344" t="s">
        <v>507</v>
      </c>
      <c r="K344" t="s">
        <v>508</v>
      </c>
      <c r="L344">
        <v>1339</v>
      </c>
      <c r="N344">
        <v>1007</v>
      </c>
      <c r="O344" t="s">
        <v>509</v>
      </c>
      <c r="P344" t="s">
        <v>509</v>
      </c>
      <c r="Q344">
        <v>1</v>
      </c>
      <c r="X344">
        <v>6.5000000000000002E-2</v>
      </c>
      <c r="Y344">
        <v>7.07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</v>
      </c>
      <c r="AG344">
        <v>6.5000000000000002E-2</v>
      </c>
      <c r="AH344">
        <v>2</v>
      </c>
      <c r="AI344">
        <v>60255589</v>
      </c>
      <c r="AJ344">
        <v>312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ROW(Source!A285)</f>
        <v>285</v>
      </c>
      <c r="B345">
        <v>60255912</v>
      </c>
      <c r="C345">
        <v>60255584</v>
      </c>
      <c r="D345">
        <v>59040044</v>
      </c>
      <c r="E345">
        <v>1</v>
      </c>
      <c r="F345">
        <v>1</v>
      </c>
      <c r="G345">
        <v>1080</v>
      </c>
      <c r="H345">
        <v>3</v>
      </c>
      <c r="I345" t="s">
        <v>559</v>
      </c>
      <c r="J345" t="s">
        <v>560</v>
      </c>
      <c r="K345" t="s">
        <v>561</v>
      </c>
      <c r="L345">
        <v>1346</v>
      </c>
      <c r="N345">
        <v>1009</v>
      </c>
      <c r="O345" t="s">
        <v>528</v>
      </c>
      <c r="P345" t="s">
        <v>528</v>
      </c>
      <c r="Q345">
        <v>1</v>
      </c>
      <c r="X345">
        <v>0.17</v>
      </c>
      <c r="Y345">
        <v>21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</v>
      </c>
      <c r="AG345">
        <v>0.17</v>
      </c>
      <c r="AH345">
        <v>2</v>
      </c>
      <c r="AI345">
        <v>60255590</v>
      </c>
      <c r="AJ345">
        <v>313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ROW(Source!A285)</f>
        <v>285</v>
      </c>
      <c r="B346">
        <v>60255913</v>
      </c>
      <c r="C346">
        <v>60255584</v>
      </c>
      <c r="D346">
        <v>59040617</v>
      </c>
      <c r="E346">
        <v>1</v>
      </c>
      <c r="F346">
        <v>1</v>
      </c>
      <c r="G346">
        <v>1080</v>
      </c>
      <c r="H346">
        <v>3</v>
      </c>
      <c r="I346" t="s">
        <v>535</v>
      </c>
      <c r="J346" t="s">
        <v>536</v>
      </c>
      <c r="K346" t="s">
        <v>537</v>
      </c>
      <c r="L346">
        <v>1346</v>
      </c>
      <c r="N346">
        <v>1009</v>
      </c>
      <c r="O346" t="s">
        <v>528</v>
      </c>
      <c r="P346" t="s">
        <v>528</v>
      </c>
      <c r="Q346">
        <v>1</v>
      </c>
      <c r="X346">
        <v>0.06</v>
      </c>
      <c r="Y346">
        <v>37.979999999999997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3</v>
      </c>
      <c r="AG346">
        <v>0.06</v>
      </c>
      <c r="AH346">
        <v>2</v>
      </c>
      <c r="AI346">
        <v>60255591</v>
      </c>
      <c r="AJ346">
        <v>314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ROW(Source!A285)</f>
        <v>285</v>
      </c>
      <c r="B347">
        <v>60255914</v>
      </c>
      <c r="C347">
        <v>60255584</v>
      </c>
      <c r="D347">
        <v>59039024</v>
      </c>
      <c r="E347">
        <v>1</v>
      </c>
      <c r="F347">
        <v>1</v>
      </c>
      <c r="G347">
        <v>1080</v>
      </c>
      <c r="H347">
        <v>3</v>
      </c>
      <c r="I347" t="s">
        <v>562</v>
      </c>
      <c r="J347" t="s">
        <v>563</v>
      </c>
      <c r="K347" t="s">
        <v>564</v>
      </c>
      <c r="L347">
        <v>1348</v>
      </c>
      <c r="N347">
        <v>1009</v>
      </c>
      <c r="O347" t="s">
        <v>534</v>
      </c>
      <c r="P347" t="s">
        <v>534</v>
      </c>
      <c r="Q347">
        <v>1000</v>
      </c>
      <c r="X347">
        <v>1.0000000000000001E-5</v>
      </c>
      <c r="Y347">
        <v>3234.81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1.0000000000000001E-5</v>
      </c>
      <c r="AH347">
        <v>2</v>
      </c>
      <c r="AI347">
        <v>60255592</v>
      </c>
      <c r="AJ347">
        <v>315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ROW(Source!A285)</f>
        <v>285</v>
      </c>
      <c r="B348">
        <v>60255915</v>
      </c>
      <c r="C348">
        <v>60255584</v>
      </c>
      <c r="D348">
        <v>59038837</v>
      </c>
      <c r="E348">
        <v>1</v>
      </c>
      <c r="F348">
        <v>1</v>
      </c>
      <c r="G348">
        <v>1080</v>
      </c>
      <c r="H348">
        <v>3</v>
      </c>
      <c r="I348" t="s">
        <v>565</v>
      </c>
      <c r="J348" t="s">
        <v>566</v>
      </c>
      <c r="K348" t="s">
        <v>567</v>
      </c>
      <c r="L348">
        <v>1339</v>
      </c>
      <c r="N348">
        <v>1007</v>
      </c>
      <c r="O348" t="s">
        <v>509</v>
      </c>
      <c r="P348" t="s">
        <v>509</v>
      </c>
      <c r="Q348">
        <v>1</v>
      </c>
      <c r="X348">
        <v>0.11899999999999999</v>
      </c>
      <c r="Y348">
        <v>53.42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0.11899999999999999</v>
      </c>
      <c r="AH348">
        <v>2</v>
      </c>
      <c r="AI348">
        <v>60255593</v>
      </c>
      <c r="AJ348">
        <v>316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ROW(Source!A285)</f>
        <v>285</v>
      </c>
      <c r="B349">
        <v>60255916</v>
      </c>
      <c r="C349">
        <v>60255584</v>
      </c>
      <c r="D349">
        <v>59039103</v>
      </c>
      <c r="E349">
        <v>1</v>
      </c>
      <c r="F349">
        <v>1</v>
      </c>
      <c r="G349">
        <v>1080</v>
      </c>
      <c r="H349">
        <v>3</v>
      </c>
      <c r="I349" t="s">
        <v>568</v>
      </c>
      <c r="J349" t="s">
        <v>569</v>
      </c>
      <c r="K349" t="s">
        <v>570</v>
      </c>
      <c r="L349">
        <v>1339</v>
      </c>
      <c r="N349">
        <v>1007</v>
      </c>
      <c r="O349" t="s">
        <v>509</v>
      </c>
      <c r="P349" t="s">
        <v>509</v>
      </c>
      <c r="Q349">
        <v>1</v>
      </c>
      <c r="X349">
        <v>0.28100000000000003</v>
      </c>
      <c r="Y349">
        <v>5.82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0.28100000000000003</v>
      </c>
      <c r="AH349">
        <v>2</v>
      </c>
      <c r="AI349">
        <v>60255594</v>
      </c>
      <c r="AJ349">
        <v>317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ROW(Source!A285)</f>
        <v>285</v>
      </c>
      <c r="B350">
        <v>60255917</v>
      </c>
      <c r="C350">
        <v>60255584</v>
      </c>
      <c r="D350">
        <v>59039175</v>
      </c>
      <c r="E350">
        <v>1</v>
      </c>
      <c r="F350">
        <v>1</v>
      </c>
      <c r="G350">
        <v>1080</v>
      </c>
      <c r="H350">
        <v>3</v>
      </c>
      <c r="I350" t="s">
        <v>538</v>
      </c>
      <c r="J350" t="s">
        <v>539</v>
      </c>
      <c r="K350" t="s">
        <v>540</v>
      </c>
      <c r="L350">
        <v>1348</v>
      </c>
      <c r="N350">
        <v>1009</v>
      </c>
      <c r="O350" t="s">
        <v>534</v>
      </c>
      <c r="P350" t="s">
        <v>534</v>
      </c>
      <c r="Q350">
        <v>1000</v>
      </c>
      <c r="X350">
        <v>4.4000000000000002E-4</v>
      </c>
      <c r="Y350">
        <v>16214.84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4.4000000000000002E-4</v>
      </c>
      <c r="AH350">
        <v>2</v>
      </c>
      <c r="AI350">
        <v>60255595</v>
      </c>
      <c r="AJ350">
        <v>318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ROW(Source!A285)</f>
        <v>285</v>
      </c>
      <c r="B351">
        <v>60255918</v>
      </c>
      <c r="C351">
        <v>60255584</v>
      </c>
      <c r="D351">
        <v>59039344</v>
      </c>
      <c r="E351">
        <v>1</v>
      </c>
      <c r="F351">
        <v>1</v>
      </c>
      <c r="G351">
        <v>1080</v>
      </c>
      <c r="H351">
        <v>3</v>
      </c>
      <c r="I351" t="s">
        <v>541</v>
      </c>
      <c r="J351" t="s">
        <v>542</v>
      </c>
      <c r="K351" t="s">
        <v>543</v>
      </c>
      <c r="L351">
        <v>1346</v>
      </c>
      <c r="N351">
        <v>1009</v>
      </c>
      <c r="O351" t="s">
        <v>528</v>
      </c>
      <c r="P351" t="s">
        <v>528</v>
      </c>
      <c r="Q351">
        <v>1</v>
      </c>
      <c r="X351">
        <v>0.53</v>
      </c>
      <c r="Y351">
        <v>20.190000000000001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0.53</v>
      </c>
      <c r="AH351">
        <v>2</v>
      </c>
      <c r="AI351">
        <v>60255596</v>
      </c>
      <c r="AJ351">
        <v>319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ROW(Source!A285)</f>
        <v>285</v>
      </c>
      <c r="B352">
        <v>60255919</v>
      </c>
      <c r="C352">
        <v>60255584</v>
      </c>
      <c r="D352">
        <v>59000379</v>
      </c>
      <c r="E352">
        <v>1080</v>
      </c>
      <c r="F352">
        <v>1</v>
      </c>
      <c r="G352">
        <v>1080</v>
      </c>
      <c r="H352">
        <v>3</v>
      </c>
      <c r="I352" t="s">
        <v>605</v>
      </c>
      <c r="J352" t="s">
        <v>3</v>
      </c>
      <c r="K352" t="s">
        <v>606</v>
      </c>
      <c r="L352">
        <v>1346</v>
      </c>
      <c r="N352">
        <v>1009</v>
      </c>
      <c r="O352" t="s">
        <v>528</v>
      </c>
      <c r="P352" t="s">
        <v>528</v>
      </c>
      <c r="Q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3</v>
      </c>
      <c r="AG352">
        <v>0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ROW(Source!A285)</f>
        <v>285</v>
      </c>
      <c r="B353">
        <v>60255920</v>
      </c>
      <c r="C353">
        <v>60255584</v>
      </c>
      <c r="D353">
        <v>59020043</v>
      </c>
      <c r="E353">
        <v>1080</v>
      </c>
      <c r="F353">
        <v>1</v>
      </c>
      <c r="G353">
        <v>1080</v>
      </c>
      <c r="H353">
        <v>3</v>
      </c>
      <c r="I353" t="s">
        <v>607</v>
      </c>
      <c r="J353" t="s">
        <v>3</v>
      </c>
      <c r="K353" t="s">
        <v>293</v>
      </c>
      <c r="L353">
        <v>1354</v>
      </c>
      <c r="N353">
        <v>1010</v>
      </c>
      <c r="O353" t="s">
        <v>31</v>
      </c>
      <c r="P353" t="s">
        <v>31</v>
      </c>
      <c r="Q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3</v>
      </c>
      <c r="AG353">
        <v>0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ROW(Source!A285)</f>
        <v>285</v>
      </c>
      <c r="B354">
        <v>60255921</v>
      </c>
      <c r="C354">
        <v>60255584</v>
      </c>
      <c r="D354">
        <v>59022812</v>
      </c>
      <c r="E354">
        <v>1080</v>
      </c>
      <c r="F354">
        <v>1</v>
      </c>
      <c r="G354">
        <v>1080</v>
      </c>
      <c r="H354">
        <v>3</v>
      </c>
      <c r="I354" t="s">
        <v>608</v>
      </c>
      <c r="J354" t="s">
        <v>3</v>
      </c>
      <c r="K354" t="s">
        <v>609</v>
      </c>
      <c r="L354">
        <v>1301</v>
      </c>
      <c r="N354">
        <v>1003</v>
      </c>
      <c r="O354" t="s">
        <v>376</v>
      </c>
      <c r="P354" t="s">
        <v>376</v>
      </c>
      <c r="Q354">
        <v>1</v>
      </c>
      <c r="X354">
        <v>100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</v>
      </c>
      <c r="AG354">
        <v>100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ROW(Source!A288)</f>
        <v>288</v>
      </c>
      <c r="B355">
        <v>60255922</v>
      </c>
      <c r="C355">
        <v>60255614</v>
      </c>
      <c r="D355">
        <v>58999254</v>
      </c>
      <c r="E355">
        <v>1080</v>
      </c>
      <c r="F355">
        <v>1</v>
      </c>
      <c r="G355">
        <v>1080</v>
      </c>
      <c r="H355">
        <v>1</v>
      </c>
      <c r="I355" t="s">
        <v>482</v>
      </c>
      <c r="J355" t="s">
        <v>3</v>
      </c>
      <c r="K355" t="s">
        <v>483</v>
      </c>
      <c r="L355">
        <v>1191</v>
      </c>
      <c r="N355">
        <v>1013</v>
      </c>
      <c r="O355" t="s">
        <v>484</v>
      </c>
      <c r="P355" t="s">
        <v>484</v>
      </c>
      <c r="Q355">
        <v>1</v>
      </c>
      <c r="X355">
        <v>29.7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99</v>
      </c>
      <c r="AG355">
        <v>37.570499999999996</v>
      </c>
      <c r="AH355">
        <v>2</v>
      </c>
      <c r="AI355">
        <v>60255615</v>
      </c>
      <c r="AJ355">
        <v>321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ROW(Source!A288)</f>
        <v>288</v>
      </c>
      <c r="B356">
        <v>60255923</v>
      </c>
      <c r="C356">
        <v>60255614</v>
      </c>
      <c r="D356">
        <v>59070372</v>
      </c>
      <c r="E356">
        <v>1</v>
      </c>
      <c r="F356">
        <v>1</v>
      </c>
      <c r="G356">
        <v>1080</v>
      </c>
      <c r="H356">
        <v>2</v>
      </c>
      <c r="I356" t="s">
        <v>556</v>
      </c>
      <c r="J356" t="s">
        <v>557</v>
      </c>
      <c r="K356" t="s">
        <v>558</v>
      </c>
      <c r="L356">
        <v>1368</v>
      </c>
      <c r="N356">
        <v>1011</v>
      </c>
      <c r="O356" t="s">
        <v>488</v>
      </c>
      <c r="P356" t="s">
        <v>488</v>
      </c>
      <c r="Q356">
        <v>1</v>
      </c>
      <c r="X356">
        <v>1.1499999999999999</v>
      </c>
      <c r="Y356">
        <v>0</v>
      </c>
      <c r="Z356">
        <v>0.28000000000000003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98</v>
      </c>
      <c r="AG356">
        <v>1.58125</v>
      </c>
      <c r="AH356">
        <v>2</v>
      </c>
      <c r="AI356">
        <v>60255616</v>
      </c>
      <c r="AJ356">
        <v>322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ROW(Source!A288)</f>
        <v>288</v>
      </c>
      <c r="B357">
        <v>60255924</v>
      </c>
      <c r="C357">
        <v>60255614</v>
      </c>
      <c r="D357">
        <v>59070669</v>
      </c>
      <c r="E357">
        <v>1</v>
      </c>
      <c r="F357">
        <v>1</v>
      </c>
      <c r="G357">
        <v>1080</v>
      </c>
      <c r="H357">
        <v>2</v>
      </c>
      <c r="I357" t="s">
        <v>485</v>
      </c>
      <c r="J357" t="s">
        <v>486</v>
      </c>
      <c r="K357" t="s">
        <v>487</v>
      </c>
      <c r="L357">
        <v>1368</v>
      </c>
      <c r="N357">
        <v>1011</v>
      </c>
      <c r="O357" t="s">
        <v>488</v>
      </c>
      <c r="P357" t="s">
        <v>488</v>
      </c>
      <c r="Q357">
        <v>1</v>
      </c>
      <c r="X357">
        <v>0.35</v>
      </c>
      <c r="Y357">
        <v>0</v>
      </c>
      <c r="Z357">
        <v>83.1</v>
      </c>
      <c r="AA357">
        <v>12.62</v>
      </c>
      <c r="AB357">
        <v>0</v>
      </c>
      <c r="AC357">
        <v>0</v>
      </c>
      <c r="AD357">
        <v>1</v>
      </c>
      <c r="AE357">
        <v>0</v>
      </c>
      <c r="AF357" t="s">
        <v>98</v>
      </c>
      <c r="AG357">
        <v>0.48125000000000007</v>
      </c>
      <c r="AH357">
        <v>2</v>
      </c>
      <c r="AI357">
        <v>60255617</v>
      </c>
      <c r="AJ357">
        <v>323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ROW(Source!A288)</f>
        <v>288</v>
      </c>
      <c r="B358">
        <v>60255925</v>
      </c>
      <c r="C358">
        <v>60255614</v>
      </c>
      <c r="D358">
        <v>59069905</v>
      </c>
      <c r="E358">
        <v>1</v>
      </c>
      <c r="F358">
        <v>1</v>
      </c>
      <c r="G358">
        <v>1080</v>
      </c>
      <c r="H358">
        <v>2</v>
      </c>
      <c r="I358" t="s">
        <v>503</v>
      </c>
      <c r="J358" t="s">
        <v>504</v>
      </c>
      <c r="K358" t="s">
        <v>505</v>
      </c>
      <c r="L358">
        <v>1368</v>
      </c>
      <c r="N358">
        <v>1011</v>
      </c>
      <c r="O358" t="s">
        <v>488</v>
      </c>
      <c r="P358" t="s">
        <v>488</v>
      </c>
      <c r="Q358">
        <v>1</v>
      </c>
      <c r="X358">
        <v>7.0000000000000007E-2</v>
      </c>
      <c r="Y358">
        <v>0</v>
      </c>
      <c r="Z358">
        <v>179.17</v>
      </c>
      <c r="AA358">
        <v>16.93</v>
      </c>
      <c r="AB358">
        <v>0</v>
      </c>
      <c r="AC358">
        <v>0</v>
      </c>
      <c r="AD358">
        <v>1</v>
      </c>
      <c r="AE358">
        <v>0</v>
      </c>
      <c r="AF358" t="s">
        <v>98</v>
      </c>
      <c r="AG358">
        <v>9.6250000000000016E-2</v>
      </c>
      <c r="AH358">
        <v>2</v>
      </c>
      <c r="AI358">
        <v>60255618</v>
      </c>
      <c r="AJ358">
        <v>324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ROW(Source!A288)</f>
        <v>288</v>
      </c>
      <c r="B359">
        <v>60255926</v>
      </c>
      <c r="C359">
        <v>60255614</v>
      </c>
      <c r="D359">
        <v>59038905</v>
      </c>
      <c r="E359">
        <v>1</v>
      </c>
      <c r="F359">
        <v>1</v>
      </c>
      <c r="G359">
        <v>1080</v>
      </c>
      <c r="H359">
        <v>3</v>
      </c>
      <c r="I359" t="s">
        <v>506</v>
      </c>
      <c r="J359" t="s">
        <v>507</v>
      </c>
      <c r="K359" t="s">
        <v>508</v>
      </c>
      <c r="L359">
        <v>1339</v>
      </c>
      <c r="N359">
        <v>1007</v>
      </c>
      <c r="O359" t="s">
        <v>509</v>
      </c>
      <c r="P359" t="s">
        <v>509</v>
      </c>
      <c r="Q359">
        <v>1</v>
      </c>
      <c r="X359">
        <v>0.113</v>
      </c>
      <c r="Y359">
        <v>7.07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0.113</v>
      </c>
      <c r="AH359">
        <v>2</v>
      </c>
      <c r="AI359">
        <v>60255619</v>
      </c>
      <c r="AJ359">
        <v>325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ROW(Source!A288)</f>
        <v>288</v>
      </c>
      <c r="B360">
        <v>60255927</v>
      </c>
      <c r="C360">
        <v>60255614</v>
      </c>
      <c r="D360">
        <v>59040044</v>
      </c>
      <c r="E360">
        <v>1</v>
      </c>
      <c r="F360">
        <v>1</v>
      </c>
      <c r="G360">
        <v>1080</v>
      </c>
      <c r="H360">
        <v>3</v>
      </c>
      <c r="I360" t="s">
        <v>559</v>
      </c>
      <c r="J360" t="s">
        <v>560</v>
      </c>
      <c r="K360" t="s">
        <v>561</v>
      </c>
      <c r="L360">
        <v>1346</v>
      </c>
      <c r="N360">
        <v>1009</v>
      </c>
      <c r="O360" t="s">
        <v>528</v>
      </c>
      <c r="P360" t="s">
        <v>528</v>
      </c>
      <c r="Q360">
        <v>1</v>
      </c>
      <c r="X360">
        <v>0.17</v>
      </c>
      <c r="Y360">
        <v>21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3</v>
      </c>
      <c r="AG360">
        <v>0.17</v>
      </c>
      <c r="AH360">
        <v>2</v>
      </c>
      <c r="AI360">
        <v>60255620</v>
      </c>
      <c r="AJ360">
        <v>326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ROW(Source!A288)</f>
        <v>288</v>
      </c>
      <c r="B361">
        <v>60255928</v>
      </c>
      <c r="C361">
        <v>60255614</v>
      </c>
      <c r="D361">
        <v>59040617</v>
      </c>
      <c r="E361">
        <v>1</v>
      </c>
      <c r="F361">
        <v>1</v>
      </c>
      <c r="G361">
        <v>1080</v>
      </c>
      <c r="H361">
        <v>3</v>
      </c>
      <c r="I361" t="s">
        <v>535</v>
      </c>
      <c r="J361" t="s">
        <v>536</v>
      </c>
      <c r="K361" t="s">
        <v>537</v>
      </c>
      <c r="L361">
        <v>1346</v>
      </c>
      <c r="N361">
        <v>1009</v>
      </c>
      <c r="O361" t="s">
        <v>528</v>
      </c>
      <c r="P361" t="s">
        <v>528</v>
      </c>
      <c r="Q361">
        <v>1</v>
      </c>
      <c r="X361">
        <v>0.06</v>
      </c>
      <c r="Y361">
        <v>37.979999999999997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3</v>
      </c>
      <c r="AG361">
        <v>0.06</v>
      </c>
      <c r="AH361">
        <v>2</v>
      </c>
      <c r="AI361">
        <v>60255621</v>
      </c>
      <c r="AJ361">
        <v>327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ROW(Source!A288)</f>
        <v>288</v>
      </c>
      <c r="B362">
        <v>60255929</v>
      </c>
      <c r="C362">
        <v>60255614</v>
      </c>
      <c r="D362">
        <v>59039024</v>
      </c>
      <c r="E362">
        <v>1</v>
      </c>
      <c r="F362">
        <v>1</v>
      </c>
      <c r="G362">
        <v>1080</v>
      </c>
      <c r="H362">
        <v>3</v>
      </c>
      <c r="I362" t="s">
        <v>562</v>
      </c>
      <c r="J362" t="s">
        <v>563</v>
      </c>
      <c r="K362" t="s">
        <v>564</v>
      </c>
      <c r="L362">
        <v>1348</v>
      </c>
      <c r="N362">
        <v>1009</v>
      </c>
      <c r="O362" t="s">
        <v>534</v>
      </c>
      <c r="P362" t="s">
        <v>534</v>
      </c>
      <c r="Q362">
        <v>1000</v>
      </c>
      <c r="X362">
        <v>1.0000000000000001E-5</v>
      </c>
      <c r="Y362">
        <v>3234.81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3</v>
      </c>
      <c r="AG362">
        <v>1.0000000000000001E-5</v>
      </c>
      <c r="AH362">
        <v>2</v>
      </c>
      <c r="AI362">
        <v>60255622</v>
      </c>
      <c r="AJ362">
        <v>328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ROW(Source!A288)</f>
        <v>288</v>
      </c>
      <c r="B363">
        <v>60255930</v>
      </c>
      <c r="C363">
        <v>60255614</v>
      </c>
      <c r="D363">
        <v>59038837</v>
      </c>
      <c r="E363">
        <v>1</v>
      </c>
      <c r="F363">
        <v>1</v>
      </c>
      <c r="G363">
        <v>1080</v>
      </c>
      <c r="H363">
        <v>3</v>
      </c>
      <c r="I363" t="s">
        <v>565</v>
      </c>
      <c r="J363" t="s">
        <v>566</v>
      </c>
      <c r="K363" t="s">
        <v>567</v>
      </c>
      <c r="L363">
        <v>1339</v>
      </c>
      <c r="N363">
        <v>1007</v>
      </c>
      <c r="O363" t="s">
        <v>509</v>
      </c>
      <c r="P363" t="s">
        <v>509</v>
      </c>
      <c r="Q363">
        <v>1</v>
      </c>
      <c r="X363">
        <v>0.11899999999999999</v>
      </c>
      <c r="Y363">
        <v>53.42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</v>
      </c>
      <c r="AG363">
        <v>0.11899999999999999</v>
      </c>
      <c r="AH363">
        <v>2</v>
      </c>
      <c r="AI363">
        <v>60255623</v>
      </c>
      <c r="AJ363">
        <v>329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ROW(Source!A288)</f>
        <v>288</v>
      </c>
      <c r="B364">
        <v>60255931</v>
      </c>
      <c r="C364">
        <v>60255614</v>
      </c>
      <c r="D364">
        <v>59039103</v>
      </c>
      <c r="E364">
        <v>1</v>
      </c>
      <c r="F364">
        <v>1</v>
      </c>
      <c r="G364">
        <v>1080</v>
      </c>
      <c r="H364">
        <v>3</v>
      </c>
      <c r="I364" t="s">
        <v>568</v>
      </c>
      <c r="J364" t="s">
        <v>569</v>
      </c>
      <c r="K364" t="s">
        <v>570</v>
      </c>
      <c r="L364">
        <v>1339</v>
      </c>
      <c r="N364">
        <v>1007</v>
      </c>
      <c r="O364" t="s">
        <v>509</v>
      </c>
      <c r="P364" t="s">
        <v>509</v>
      </c>
      <c r="Q364">
        <v>1</v>
      </c>
      <c r="X364">
        <v>0.28100000000000003</v>
      </c>
      <c r="Y364">
        <v>5.82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</v>
      </c>
      <c r="AG364">
        <v>0.28100000000000003</v>
      </c>
      <c r="AH364">
        <v>2</v>
      </c>
      <c r="AI364">
        <v>60255624</v>
      </c>
      <c r="AJ364">
        <v>330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ROW(Source!A288)</f>
        <v>288</v>
      </c>
      <c r="B365">
        <v>60255932</v>
      </c>
      <c r="C365">
        <v>60255614</v>
      </c>
      <c r="D365">
        <v>59039175</v>
      </c>
      <c r="E365">
        <v>1</v>
      </c>
      <c r="F365">
        <v>1</v>
      </c>
      <c r="G365">
        <v>1080</v>
      </c>
      <c r="H365">
        <v>3</v>
      </c>
      <c r="I365" t="s">
        <v>538</v>
      </c>
      <c r="J365" t="s">
        <v>539</v>
      </c>
      <c r="K365" t="s">
        <v>540</v>
      </c>
      <c r="L365">
        <v>1348</v>
      </c>
      <c r="N365">
        <v>1009</v>
      </c>
      <c r="O365" t="s">
        <v>534</v>
      </c>
      <c r="P365" t="s">
        <v>534</v>
      </c>
      <c r="Q365">
        <v>1000</v>
      </c>
      <c r="X365">
        <v>4.4000000000000002E-4</v>
      </c>
      <c r="Y365">
        <v>16214.84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</v>
      </c>
      <c r="AG365">
        <v>4.4000000000000002E-4</v>
      </c>
      <c r="AH365">
        <v>2</v>
      </c>
      <c r="AI365">
        <v>60255625</v>
      </c>
      <c r="AJ365">
        <v>331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ROW(Source!A288)</f>
        <v>288</v>
      </c>
      <c r="B366">
        <v>60255933</v>
      </c>
      <c r="C366">
        <v>60255614</v>
      </c>
      <c r="D366">
        <v>59039344</v>
      </c>
      <c r="E366">
        <v>1</v>
      </c>
      <c r="F366">
        <v>1</v>
      </c>
      <c r="G366">
        <v>1080</v>
      </c>
      <c r="H366">
        <v>3</v>
      </c>
      <c r="I366" t="s">
        <v>541</v>
      </c>
      <c r="J366" t="s">
        <v>542</v>
      </c>
      <c r="K366" t="s">
        <v>543</v>
      </c>
      <c r="L366">
        <v>1346</v>
      </c>
      <c r="N366">
        <v>1009</v>
      </c>
      <c r="O366" t="s">
        <v>528</v>
      </c>
      <c r="P366" t="s">
        <v>528</v>
      </c>
      <c r="Q366">
        <v>1</v>
      </c>
      <c r="X366">
        <v>0.53</v>
      </c>
      <c r="Y366">
        <v>20.190000000000001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0.53</v>
      </c>
      <c r="AH366">
        <v>2</v>
      </c>
      <c r="AI366">
        <v>60255626</v>
      </c>
      <c r="AJ366">
        <v>332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ROW(Source!A288)</f>
        <v>288</v>
      </c>
      <c r="B367">
        <v>60255934</v>
      </c>
      <c r="C367">
        <v>60255614</v>
      </c>
      <c r="D367">
        <v>59000379</v>
      </c>
      <c r="E367">
        <v>1080</v>
      </c>
      <c r="F367">
        <v>1</v>
      </c>
      <c r="G367">
        <v>1080</v>
      </c>
      <c r="H367">
        <v>3</v>
      </c>
      <c r="I367" t="s">
        <v>605</v>
      </c>
      <c r="J367" t="s">
        <v>3</v>
      </c>
      <c r="K367" t="s">
        <v>606</v>
      </c>
      <c r="L367">
        <v>1346</v>
      </c>
      <c r="N367">
        <v>1009</v>
      </c>
      <c r="O367" t="s">
        <v>528</v>
      </c>
      <c r="P367" t="s">
        <v>528</v>
      </c>
      <c r="Q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3</v>
      </c>
      <c r="AG367">
        <v>0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ROW(Source!A288)</f>
        <v>288</v>
      </c>
      <c r="B368">
        <v>60255935</v>
      </c>
      <c r="C368">
        <v>60255614</v>
      </c>
      <c r="D368">
        <v>59020043</v>
      </c>
      <c r="E368">
        <v>1080</v>
      </c>
      <c r="F368">
        <v>1</v>
      </c>
      <c r="G368">
        <v>1080</v>
      </c>
      <c r="H368">
        <v>3</v>
      </c>
      <c r="I368" t="s">
        <v>607</v>
      </c>
      <c r="J368" t="s">
        <v>3</v>
      </c>
      <c r="K368" t="s">
        <v>293</v>
      </c>
      <c r="L368">
        <v>1354</v>
      </c>
      <c r="N368">
        <v>1010</v>
      </c>
      <c r="O368" t="s">
        <v>31</v>
      </c>
      <c r="P368" t="s">
        <v>31</v>
      </c>
      <c r="Q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</v>
      </c>
      <c r="AG368">
        <v>0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ROW(Source!A288)</f>
        <v>288</v>
      </c>
      <c r="B369">
        <v>60255936</v>
      </c>
      <c r="C369">
        <v>60255614</v>
      </c>
      <c r="D369">
        <v>59022812</v>
      </c>
      <c r="E369">
        <v>1080</v>
      </c>
      <c r="F369">
        <v>1</v>
      </c>
      <c r="G369">
        <v>1080</v>
      </c>
      <c r="H369">
        <v>3</v>
      </c>
      <c r="I369" t="s">
        <v>608</v>
      </c>
      <c r="J369" t="s">
        <v>3</v>
      </c>
      <c r="K369" t="s">
        <v>609</v>
      </c>
      <c r="L369">
        <v>1301</v>
      </c>
      <c r="N369">
        <v>1003</v>
      </c>
      <c r="O369" t="s">
        <v>376</v>
      </c>
      <c r="P369" t="s">
        <v>376</v>
      </c>
      <c r="Q369">
        <v>1</v>
      </c>
      <c r="X369">
        <v>100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</v>
      </c>
      <c r="AG369">
        <v>100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ROW(Source!A289)</f>
        <v>289</v>
      </c>
      <c r="B370">
        <v>60255922</v>
      </c>
      <c r="C370">
        <v>60255614</v>
      </c>
      <c r="D370">
        <v>58999254</v>
      </c>
      <c r="E370">
        <v>1080</v>
      </c>
      <c r="F370">
        <v>1</v>
      </c>
      <c r="G370">
        <v>1080</v>
      </c>
      <c r="H370">
        <v>1</v>
      </c>
      <c r="I370" t="s">
        <v>482</v>
      </c>
      <c r="J370" t="s">
        <v>3</v>
      </c>
      <c r="K370" t="s">
        <v>483</v>
      </c>
      <c r="L370">
        <v>1191</v>
      </c>
      <c r="N370">
        <v>1013</v>
      </c>
      <c r="O370" t="s">
        <v>484</v>
      </c>
      <c r="P370" t="s">
        <v>484</v>
      </c>
      <c r="Q370">
        <v>1</v>
      </c>
      <c r="X370">
        <v>29.7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 t="s">
        <v>99</v>
      </c>
      <c r="AG370">
        <v>37.570499999999996</v>
      </c>
      <c r="AH370">
        <v>2</v>
      </c>
      <c r="AI370">
        <v>60255615</v>
      </c>
      <c r="AJ370">
        <v>334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ROW(Source!A289)</f>
        <v>289</v>
      </c>
      <c r="B371">
        <v>60255923</v>
      </c>
      <c r="C371">
        <v>60255614</v>
      </c>
      <c r="D371">
        <v>59070372</v>
      </c>
      <c r="E371">
        <v>1</v>
      </c>
      <c r="F371">
        <v>1</v>
      </c>
      <c r="G371">
        <v>1080</v>
      </c>
      <c r="H371">
        <v>2</v>
      </c>
      <c r="I371" t="s">
        <v>556</v>
      </c>
      <c r="J371" t="s">
        <v>557</v>
      </c>
      <c r="K371" t="s">
        <v>558</v>
      </c>
      <c r="L371">
        <v>1368</v>
      </c>
      <c r="N371">
        <v>1011</v>
      </c>
      <c r="O371" t="s">
        <v>488</v>
      </c>
      <c r="P371" t="s">
        <v>488</v>
      </c>
      <c r="Q371">
        <v>1</v>
      </c>
      <c r="X371">
        <v>1.1499999999999999</v>
      </c>
      <c r="Y371">
        <v>0</v>
      </c>
      <c r="Z371">
        <v>0.28000000000000003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98</v>
      </c>
      <c r="AG371">
        <v>1.58125</v>
      </c>
      <c r="AH371">
        <v>2</v>
      </c>
      <c r="AI371">
        <v>60255616</v>
      </c>
      <c r="AJ371">
        <v>335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ROW(Source!A289)</f>
        <v>289</v>
      </c>
      <c r="B372">
        <v>60255924</v>
      </c>
      <c r="C372">
        <v>60255614</v>
      </c>
      <c r="D372">
        <v>59070669</v>
      </c>
      <c r="E372">
        <v>1</v>
      </c>
      <c r="F372">
        <v>1</v>
      </c>
      <c r="G372">
        <v>1080</v>
      </c>
      <c r="H372">
        <v>2</v>
      </c>
      <c r="I372" t="s">
        <v>485</v>
      </c>
      <c r="J372" t="s">
        <v>486</v>
      </c>
      <c r="K372" t="s">
        <v>487</v>
      </c>
      <c r="L372">
        <v>1368</v>
      </c>
      <c r="N372">
        <v>1011</v>
      </c>
      <c r="O372" t="s">
        <v>488</v>
      </c>
      <c r="P372" t="s">
        <v>488</v>
      </c>
      <c r="Q372">
        <v>1</v>
      </c>
      <c r="X372">
        <v>0.35</v>
      </c>
      <c r="Y372">
        <v>0</v>
      </c>
      <c r="Z372">
        <v>83.1</v>
      </c>
      <c r="AA372">
        <v>12.62</v>
      </c>
      <c r="AB372">
        <v>0</v>
      </c>
      <c r="AC372">
        <v>0</v>
      </c>
      <c r="AD372">
        <v>1</v>
      </c>
      <c r="AE372">
        <v>0</v>
      </c>
      <c r="AF372" t="s">
        <v>98</v>
      </c>
      <c r="AG372">
        <v>0.48125000000000007</v>
      </c>
      <c r="AH372">
        <v>2</v>
      </c>
      <c r="AI372">
        <v>60255617</v>
      </c>
      <c r="AJ372">
        <v>336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ROW(Source!A289)</f>
        <v>289</v>
      </c>
      <c r="B373">
        <v>60255925</v>
      </c>
      <c r="C373">
        <v>60255614</v>
      </c>
      <c r="D373">
        <v>59069905</v>
      </c>
      <c r="E373">
        <v>1</v>
      </c>
      <c r="F373">
        <v>1</v>
      </c>
      <c r="G373">
        <v>1080</v>
      </c>
      <c r="H373">
        <v>2</v>
      </c>
      <c r="I373" t="s">
        <v>503</v>
      </c>
      <c r="J373" t="s">
        <v>504</v>
      </c>
      <c r="K373" t="s">
        <v>505</v>
      </c>
      <c r="L373">
        <v>1368</v>
      </c>
      <c r="N373">
        <v>1011</v>
      </c>
      <c r="O373" t="s">
        <v>488</v>
      </c>
      <c r="P373" t="s">
        <v>488</v>
      </c>
      <c r="Q373">
        <v>1</v>
      </c>
      <c r="X373">
        <v>7.0000000000000007E-2</v>
      </c>
      <c r="Y373">
        <v>0</v>
      </c>
      <c r="Z373">
        <v>179.17</v>
      </c>
      <c r="AA373">
        <v>16.93</v>
      </c>
      <c r="AB373">
        <v>0</v>
      </c>
      <c r="AC373">
        <v>0</v>
      </c>
      <c r="AD373">
        <v>1</v>
      </c>
      <c r="AE373">
        <v>0</v>
      </c>
      <c r="AF373" t="s">
        <v>98</v>
      </c>
      <c r="AG373">
        <v>9.6250000000000016E-2</v>
      </c>
      <c r="AH373">
        <v>2</v>
      </c>
      <c r="AI373">
        <v>60255618</v>
      </c>
      <c r="AJ373">
        <v>337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ROW(Source!A289)</f>
        <v>289</v>
      </c>
      <c r="B374">
        <v>60255926</v>
      </c>
      <c r="C374">
        <v>60255614</v>
      </c>
      <c r="D374">
        <v>59038905</v>
      </c>
      <c r="E374">
        <v>1</v>
      </c>
      <c r="F374">
        <v>1</v>
      </c>
      <c r="G374">
        <v>1080</v>
      </c>
      <c r="H374">
        <v>3</v>
      </c>
      <c r="I374" t="s">
        <v>506</v>
      </c>
      <c r="J374" t="s">
        <v>507</v>
      </c>
      <c r="K374" t="s">
        <v>508</v>
      </c>
      <c r="L374">
        <v>1339</v>
      </c>
      <c r="N374">
        <v>1007</v>
      </c>
      <c r="O374" t="s">
        <v>509</v>
      </c>
      <c r="P374" t="s">
        <v>509</v>
      </c>
      <c r="Q374">
        <v>1</v>
      </c>
      <c r="X374">
        <v>0.113</v>
      </c>
      <c r="Y374">
        <v>7.07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</v>
      </c>
      <c r="AG374">
        <v>0.113</v>
      </c>
      <c r="AH374">
        <v>2</v>
      </c>
      <c r="AI374">
        <v>60255619</v>
      </c>
      <c r="AJ374">
        <v>338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ROW(Source!A289)</f>
        <v>289</v>
      </c>
      <c r="B375">
        <v>60255927</v>
      </c>
      <c r="C375">
        <v>60255614</v>
      </c>
      <c r="D375">
        <v>59040044</v>
      </c>
      <c r="E375">
        <v>1</v>
      </c>
      <c r="F375">
        <v>1</v>
      </c>
      <c r="G375">
        <v>1080</v>
      </c>
      <c r="H375">
        <v>3</v>
      </c>
      <c r="I375" t="s">
        <v>559</v>
      </c>
      <c r="J375" t="s">
        <v>560</v>
      </c>
      <c r="K375" t="s">
        <v>561</v>
      </c>
      <c r="L375">
        <v>1346</v>
      </c>
      <c r="N375">
        <v>1009</v>
      </c>
      <c r="O375" t="s">
        <v>528</v>
      </c>
      <c r="P375" t="s">
        <v>528</v>
      </c>
      <c r="Q375">
        <v>1</v>
      </c>
      <c r="X375">
        <v>0.17</v>
      </c>
      <c r="Y375">
        <v>21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3</v>
      </c>
      <c r="AG375">
        <v>0.17</v>
      </c>
      <c r="AH375">
        <v>2</v>
      </c>
      <c r="AI375">
        <v>60255620</v>
      </c>
      <c r="AJ375">
        <v>339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ROW(Source!A289)</f>
        <v>289</v>
      </c>
      <c r="B376">
        <v>60255928</v>
      </c>
      <c r="C376">
        <v>60255614</v>
      </c>
      <c r="D376">
        <v>59040617</v>
      </c>
      <c r="E376">
        <v>1</v>
      </c>
      <c r="F376">
        <v>1</v>
      </c>
      <c r="G376">
        <v>1080</v>
      </c>
      <c r="H376">
        <v>3</v>
      </c>
      <c r="I376" t="s">
        <v>535</v>
      </c>
      <c r="J376" t="s">
        <v>536</v>
      </c>
      <c r="K376" t="s">
        <v>537</v>
      </c>
      <c r="L376">
        <v>1346</v>
      </c>
      <c r="N376">
        <v>1009</v>
      </c>
      <c r="O376" t="s">
        <v>528</v>
      </c>
      <c r="P376" t="s">
        <v>528</v>
      </c>
      <c r="Q376">
        <v>1</v>
      </c>
      <c r="X376">
        <v>0.06</v>
      </c>
      <c r="Y376">
        <v>37.979999999999997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3</v>
      </c>
      <c r="AG376">
        <v>0.06</v>
      </c>
      <c r="AH376">
        <v>2</v>
      </c>
      <c r="AI376">
        <v>60255621</v>
      </c>
      <c r="AJ376">
        <v>340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ROW(Source!A289)</f>
        <v>289</v>
      </c>
      <c r="B377">
        <v>60255929</v>
      </c>
      <c r="C377">
        <v>60255614</v>
      </c>
      <c r="D377">
        <v>59039024</v>
      </c>
      <c r="E377">
        <v>1</v>
      </c>
      <c r="F377">
        <v>1</v>
      </c>
      <c r="G377">
        <v>1080</v>
      </c>
      <c r="H377">
        <v>3</v>
      </c>
      <c r="I377" t="s">
        <v>562</v>
      </c>
      <c r="J377" t="s">
        <v>563</v>
      </c>
      <c r="K377" t="s">
        <v>564</v>
      </c>
      <c r="L377">
        <v>1348</v>
      </c>
      <c r="N377">
        <v>1009</v>
      </c>
      <c r="O377" t="s">
        <v>534</v>
      </c>
      <c r="P377" t="s">
        <v>534</v>
      </c>
      <c r="Q377">
        <v>1000</v>
      </c>
      <c r="X377">
        <v>1.0000000000000001E-5</v>
      </c>
      <c r="Y377">
        <v>3234.81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3</v>
      </c>
      <c r="AG377">
        <v>1.0000000000000001E-5</v>
      </c>
      <c r="AH377">
        <v>2</v>
      </c>
      <c r="AI377">
        <v>60255622</v>
      </c>
      <c r="AJ377">
        <v>341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ROW(Source!A289)</f>
        <v>289</v>
      </c>
      <c r="B378">
        <v>60255930</v>
      </c>
      <c r="C378">
        <v>60255614</v>
      </c>
      <c r="D378">
        <v>59038837</v>
      </c>
      <c r="E378">
        <v>1</v>
      </c>
      <c r="F378">
        <v>1</v>
      </c>
      <c r="G378">
        <v>1080</v>
      </c>
      <c r="H378">
        <v>3</v>
      </c>
      <c r="I378" t="s">
        <v>565</v>
      </c>
      <c r="J378" t="s">
        <v>566</v>
      </c>
      <c r="K378" t="s">
        <v>567</v>
      </c>
      <c r="L378">
        <v>1339</v>
      </c>
      <c r="N378">
        <v>1007</v>
      </c>
      <c r="O378" t="s">
        <v>509</v>
      </c>
      <c r="P378" t="s">
        <v>509</v>
      </c>
      <c r="Q378">
        <v>1</v>
      </c>
      <c r="X378">
        <v>0.11899999999999999</v>
      </c>
      <c r="Y378">
        <v>53.42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3</v>
      </c>
      <c r="AG378">
        <v>0.11899999999999999</v>
      </c>
      <c r="AH378">
        <v>2</v>
      </c>
      <c r="AI378">
        <v>60255623</v>
      </c>
      <c r="AJ378">
        <v>342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ROW(Source!A289)</f>
        <v>289</v>
      </c>
      <c r="B379">
        <v>60255931</v>
      </c>
      <c r="C379">
        <v>60255614</v>
      </c>
      <c r="D379">
        <v>59039103</v>
      </c>
      <c r="E379">
        <v>1</v>
      </c>
      <c r="F379">
        <v>1</v>
      </c>
      <c r="G379">
        <v>1080</v>
      </c>
      <c r="H379">
        <v>3</v>
      </c>
      <c r="I379" t="s">
        <v>568</v>
      </c>
      <c r="J379" t="s">
        <v>569</v>
      </c>
      <c r="K379" t="s">
        <v>570</v>
      </c>
      <c r="L379">
        <v>1339</v>
      </c>
      <c r="N379">
        <v>1007</v>
      </c>
      <c r="O379" t="s">
        <v>509</v>
      </c>
      <c r="P379" t="s">
        <v>509</v>
      </c>
      <c r="Q379">
        <v>1</v>
      </c>
      <c r="X379">
        <v>0.28100000000000003</v>
      </c>
      <c r="Y379">
        <v>5.82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0.28100000000000003</v>
      </c>
      <c r="AH379">
        <v>2</v>
      </c>
      <c r="AI379">
        <v>60255624</v>
      </c>
      <c r="AJ379">
        <v>343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ROW(Source!A289)</f>
        <v>289</v>
      </c>
      <c r="B380">
        <v>60255932</v>
      </c>
      <c r="C380">
        <v>60255614</v>
      </c>
      <c r="D380">
        <v>59039175</v>
      </c>
      <c r="E380">
        <v>1</v>
      </c>
      <c r="F380">
        <v>1</v>
      </c>
      <c r="G380">
        <v>1080</v>
      </c>
      <c r="H380">
        <v>3</v>
      </c>
      <c r="I380" t="s">
        <v>538</v>
      </c>
      <c r="J380" t="s">
        <v>539</v>
      </c>
      <c r="K380" t="s">
        <v>540</v>
      </c>
      <c r="L380">
        <v>1348</v>
      </c>
      <c r="N380">
        <v>1009</v>
      </c>
      <c r="O380" t="s">
        <v>534</v>
      </c>
      <c r="P380" t="s">
        <v>534</v>
      </c>
      <c r="Q380">
        <v>1000</v>
      </c>
      <c r="X380">
        <v>4.4000000000000002E-4</v>
      </c>
      <c r="Y380">
        <v>16214.84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</v>
      </c>
      <c r="AG380">
        <v>4.4000000000000002E-4</v>
      </c>
      <c r="AH380">
        <v>2</v>
      </c>
      <c r="AI380">
        <v>60255625</v>
      </c>
      <c r="AJ380">
        <v>344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ROW(Source!A289)</f>
        <v>289</v>
      </c>
      <c r="B381">
        <v>60255933</v>
      </c>
      <c r="C381">
        <v>60255614</v>
      </c>
      <c r="D381">
        <v>59039344</v>
      </c>
      <c r="E381">
        <v>1</v>
      </c>
      <c r="F381">
        <v>1</v>
      </c>
      <c r="G381">
        <v>1080</v>
      </c>
      <c r="H381">
        <v>3</v>
      </c>
      <c r="I381" t="s">
        <v>541</v>
      </c>
      <c r="J381" t="s">
        <v>542</v>
      </c>
      <c r="K381" t="s">
        <v>543</v>
      </c>
      <c r="L381">
        <v>1346</v>
      </c>
      <c r="N381">
        <v>1009</v>
      </c>
      <c r="O381" t="s">
        <v>528</v>
      </c>
      <c r="P381" t="s">
        <v>528</v>
      </c>
      <c r="Q381">
        <v>1</v>
      </c>
      <c r="X381">
        <v>0.53</v>
      </c>
      <c r="Y381">
        <v>20.190000000000001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</v>
      </c>
      <c r="AG381">
        <v>0.53</v>
      </c>
      <c r="AH381">
        <v>2</v>
      </c>
      <c r="AI381">
        <v>60255626</v>
      </c>
      <c r="AJ381">
        <v>345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ROW(Source!A289)</f>
        <v>289</v>
      </c>
      <c r="B382">
        <v>60255934</v>
      </c>
      <c r="C382">
        <v>60255614</v>
      </c>
      <c r="D382">
        <v>59000379</v>
      </c>
      <c r="E382">
        <v>1080</v>
      </c>
      <c r="F382">
        <v>1</v>
      </c>
      <c r="G382">
        <v>1080</v>
      </c>
      <c r="H382">
        <v>3</v>
      </c>
      <c r="I382" t="s">
        <v>605</v>
      </c>
      <c r="J382" t="s">
        <v>3</v>
      </c>
      <c r="K382" t="s">
        <v>606</v>
      </c>
      <c r="L382">
        <v>1346</v>
      </c>
      <c r="N382">
        <v>1009</v>
      </c>
      <c r="O382" t="s">
        <v>528</v>
      </c>
      <c r="P382" t="s">
        <v>528</v>
      </c>
      <c r="Q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3</v>
      </c>
      <c r="AG382">
        <v>0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ROW(Source!A289)</f>
        <v>289</v>
      </c>
      <c r="B383">
        <v>60255935</v>
      </c>
      <c r="C383">
        <v>60255614</v>
      </c>
      <c r="D383">
        <v>59020043</v>
      </c>
      <c r="E383">
        <v>1080</v>
      </c>
      <c r="F383">
        <v>1</v>
      </c>
      <c r="G383">
        <v>1080</v>
      </c>
      <c r="H383">
        <v>3</v>
      </c>
      <c r="I383" t="s">
        <v>607</v>
      </c>
      <c r="J383" t="s">
        <v>3</v>
      </c>
      <c r="K383" t="s">
        <v>293</v>
      </c>
      <c r="L383">
        <v>1354</v>
      </c>
      <c r="N383">
        <v>1010</v>
      </c>
      <c r="O383" t="s">
        <v>31</v>
      </c>
      <c r="P383" t="s">
        <v>31</v>
      </c>
      <c r="Q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3</v>
      </c>
      <c r="AG383">
        <v>0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ROW(Source!A289)</f>
        <v>289</v>
      </c>
      <c r="B384">
        <v>60255936</v>
      </c>
      <c r="C384">
        <v>60255614</v>
      </c>
      <c r="D384">
        <v>59022812</v>
      </c>
      <c r="E384">
        <v>1080</v>
      </c>
      <c r="F384">
        <v>1</v>
      </c>
      <c r="G384">
        <v>1080</v>
      </c>
      <c r="H384">
        <v>3</v>
      </c>
      <c r="I384" t="s">
        <v>608</v>
      </c>
      <c r="J384" t="s">
        <v>3</v>
      </c>
      <c r="K384" t="s">
        <v>609</v>
      </c>
      <c r="L384">
        <v>1301</v>
      </c>
      <c r="N384">
        <v>1003</v>
      </c>
      <c r="O384" t="s">
        <v>376</v>
      </c>
      <c r="P384" t="s">
        <v>376</v>
      </c>
      <c r="Q384">
        <v>1</v>
      </c>
      <c r="X384">
        <v>100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</v>
      </c>
      <c r="AG384">
        <v>100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ROW(Source!A292)</f>
        <v>292</v>
      </c>
      <c r="B385">
        <v>60255937</v>
      </c>
      <c r="C385">
        <v>60255644</v>
      </c>
      <c r="D385">
        <v>58999254</v>
      </c>
      <c r="E385">
        <v>1080</v>
      </c>
      <c r="F385">
        <v>1</v>
      </c>
      <c r="G385">
        <v>1080</v>
      </c>
      <c r="H385">
        <v>1</v>
      </c>
      <c r="I385" t="s">
        <v>482</v>
      </c>
      <c r="J385" t="s">
        <v>3</v>
      </c>
      <c r="K385" t="s">
        <v>483</v>
      </c>
      <c r="L385">
        <v>1191</v>
      </c>
      <c r="N385">
        <v>1013</v>
      </c>
      <c r="O385" t="s">
        <v>484</v>
      </c>
      <c r="P385" t="s">
        <v>484</v>
      </c>
      <c r="Q385">
        <v>1</v>
      </c>
      <c r="X385">
        <v>29.7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 t="s">
        <v>99</v>
      </c>
      <c r="AG385">
        <v>37.570499999999996</v>
      </c>
      <c r="AH385">
        <v>2</v>
      </c>
      <c r="AI385">
        <v>60255645</v>
      </c>
      <c r="AJ385">
        <v>347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ROW(Source!A292)</f>
        <v>292</v>
      </c>
      <c r="B386">
        <v>60255938</v>
      </c>
      <c r="C386">
        <v>60255644</v>
      </c>
      <c r="D386">
        <v>59070372</v>
      </c>
      <c r="E386">
        <v>1</v>
      </c>
      <c r="F386">
        <v>1</v>
      </c>
      <c r="G386">
        <v>1080</v>
      </c>
      <c r="H386">
        <v>2</v>
      </c>
      <c r="I386" t="s">
        <v>556</v>
      </c>
      <c r="J386" t="s">
        <v>557</v>
      </c>
      <c r="K386" t="s">
        <v>558</v>
      </c>
      <c r="L386">
        <v>1368</v>
      </c>
      <c r="N386">
        <v>1011</v>
      </c>
      <c r="O386" t="s">
        <v>488</v>
      </c>
      <c r="P386" t="s">
        <v>488</v>
      </c>
      <c r="Q386">
        <v>1</v>
      </c>
      <c r="X386">
        <v>1.1499999999999999</v>
      </c>
      <c r="Y386">
        <v>0</v>
      </c>
      <c r="Z386">
        <v>0.28000000000000003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98</v>
      </c>
      <c r="AG386">
        <v>1.58125</v>
      </c>
      <c r="AH386">
        <v>2</v>
      </c>
      <c r="AI386">
        <v>60255646</v>
      </c>
      <c r="AJ386">
        <v>348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ROW(Source!A292)</f>
        <v>292</v>
      </c>
      <c r="B387">
        <v>60255939</v>
      </c>
      <c r="C387">
        <v>60255644</v>
      </c>
      <c r="D387">
        <v>59070669</v>
      </c>
      <c r="E387">
        <v>1</v>
      </c>
      <c r="F387">
        <v>1</v>
      </c>
      <c r="G387">
        <v>1080</v>
      </c>
      <c r="H387">
        <v>2</v>
      </c>
      <c r="I387" t="s">
        <v>485</v>
      </c>
      <c r="J387" t="s">
        <v>486</v>
      </c>
      <c r="K387" t="s">
        <v>487</v>
      </c>
      <c r="L387">
        <v>1368</v>
      </c>
      <c r="N387">
        <v>1011</v>
      </c>
      <c r="O387" t="s">
        <v>488</v>
      </c>
      <c r="P387" t="s">
        <v>488</v>
      </c>
      <c r="Q387">
        <v>1</v>
      </c>
      <c r="X387">
        <v>0.35</v>
      </c>
      <c r="Y387">
        <v>0</v>
      </c>
      <c r="Z387">
        <v>83.1</v>
      </c>
      <c r="AA387">
        <v>12.62</v>
      </c>
      <c r="AB387">
        <v>0</v>
      </c>
      <c r="AC387">
        <v>0</v>
      </c>
      <c r="AD387">
        <v>1</v>
      </c>
      <c r="AE387">
        <v>0</v>
      </c>
      <c r="AF387" t="s">
        <v>98</v>
      </c>
      <c r="AG387">
        <v>0.48125000000000007</v>
      </c>
      <c r="AH387">
        <v>2</v>
      </c>
      <c r="AI387">
        <v>60255647</v>
      </c>
      <c r="AJ387">
        <v>349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ROW(Source!A292)</f>
        <v>292</v>
      </c>
      <c r="B388">
        <v>60255940</v>
      </c>
      <c r="C388">
        <v>60255644</v>
      </c>
      <c r="D388">
        <v>59069905</v>
      </c>
      <c r="E388">
        <v>1</v>
      </c>
      <c r="F388">
        <v>1</v>
      </c>
      <c r="G388">
        <v>1080</v>
      </c>
      <c r="H388">
        <v>2</v>
      </c>
      <c r="I388" t="s">
        <v>503</v>
      </c>
      <c r="J388" t="s">
        <v>504</v>
      </c>
      <c r="K388" t="s">
        <v>505</v>
      </c>
      <c r="L388">
        <v>1368</v>
      </c>
      <c r="N388">
        <v>1011</v>
      </c>
      <c r="O388" t="s">
        <v>488</v>
      </c>
      <c r="P388" t="s">
        <v>488</v>
      </c>
      <c r="Q388">
        <v>1</v>
      </c>
      <c r="X388">
        <v>7.0000000000000007E-2</v>
      </c>
      <c r="Y388">
        <v>0</v>
      </c>
      <c r="Z388">
        <v>179.17</v>
      </c>
      <c r="AA388">
        <v>16.93</v>
      </c>
      <c r="AB388">
        <v>0</v>
      </c>
      <c r="AC388">
        <v>0</v>
      </c>
      <c r="AD388">
        <v>1</v>
      </c>
      <c r="AE388">
        <v>0</v>
      </c>
      <c r="AF388" t="s">
        <v>98</v>
      </c>
      <c r="AG388">
        <v>9.6250000000000016E-2</v>
      </c>
      <c r="AH388">
        <v>2</v>
      </c>
      <c r="AI388">
        <v>60255648</v>
      </c>
      <c r="AJ388">
        <v>350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ROW(Source!A292)</f>
        <v>292</v>
      </c>
      <c r="B389">
        <v>60255941</v>
      </c>
      <c r="C389">
        <v>60255644</v>
      </c>
      <c r="D389">
        <v>59038905</v>
      </c>
      <c r="E389">
        <v>1</v>
      </c>
      <c r="F389">
        <v>1</v>
      </c>
      <c r="G389">
        <v>1080</v>
      </c>
      <c r="H389">
        <v>3</v>
      </c>
      <c r="I389" t="s">
        <v>506</v>
      </c>
      <c r="J389" t="s">
        <v>507</v>
      </c>
      <c r="K389" t="s">
        <v>508</v>
      </c>
      <c r="L389">
        <v>1339</v>
      </c>
      <c r="N389">
        <v>1007</v>
      </c>
      <c r="O389" t="s">
        <v>509</v>
      </c>
      <c r="P389" t="s">
        <v>509</v>
      </c>
      <c r="Q389">
        <v>1</v>
      </c>
      <c r="X389">
        <v>0.17699999999999999</v>
      </c>
      <c r="Y389">
        <v>7.07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</v>
      </c>
      <c r="AG389">
        <v>0.17699999999999999</v>
      </c>
      <c r="AH389">
        <v>2</v>
      </c>
      <c r="AI389">
        <v>60255649</v>
      </c>
      <c r="AJ389">
        <v>351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ROW(Source!A292)</f>
        <v>292</v>
      </c>
      <c r="B390">
        <v>60255942</v>
      </c>
      <c r="C390">
        <v>60255644</v>
      </c>
      <c r="D390">
        <v>59040044</v>
      </c>
      <c r="E390">
        <v>1</v>
      </c>
      <c r="F390">
        <v>1</v>
      </c>
      <c r="G390">
        <v>1080</v>
      </c>
      <c r="H390">
        <v>3</v>
      </c>
      <c r="I390" t="s">
        <v>559</v>
      </c>
      <c r="J390" t="s">
        <v>560</v>
      </c>
      <c r="K390" t="s">
        <v>561</v>
      </c>
      <c r="L390">
        <v>1346</v>
      </c>
      <c r="N390">
        <v>1009</v>
      </c>
      <c r="O390" t="s">
        <v>528</v>
      </c>
      <c r="P390" t="s">
        <v>528</v>
      </c>
      <c r="Q390">
        <v>1</v>
      </c>
      <c r="X390">
        <v>0.17</v>
      </c>
      <c r="Y390">
        <v>21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0.17</v>
      </c>
      <c r="AH390">
        <v>2</v>
      </c>
      <c r="AI390">
        <v>60255650</v>
      </c>
      <c r="AJ390">
        <v>352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ROW(Source!A292)</f>
        <v>292</v>
      </c>
      <c r="B391">
        <v>60255943</v>
      </c>
      <c r="C391">
        <v>60255644</v>
      </c>
      <c r="D391">
        <v>59040617</v>
      </c>
      <c r="E391">
        <v>1</v>
      </c>
      <c r="F391">
        <v>1</v>
      </c>
      <c r="G391">
        <v>1080</v>
      </c>
      <c r="H391">
        <v>3</v>
      </c>
      <c r="I391" t="s">
        <v>535</v>
      </c>
      <c r="J391" t="s">
        <v>536</v>
      </c>
      <c r="K391" t="s">
        <v>537</v>
      </c>
      <c r="L391">
        <v>1346</v>
      </c>
      <c r="N391">
        <v>1009</v>
      </c>
      <c r="O391" t="s">
        <v>528</v>
      </c>
      <c r="P391" t="s">
        <v>528</v>
      </c>
      <c r="Q391">
        <v>1</v>
      </c>
      <c r="X391">
        <v>0.06</v>
      </c>
      <c r="Y391">
        <v>37.979999999999997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</v>
      </c>
      <c r="AG391">
        <v>0.06</v>
      </c>
      <c r="AH391">
        <v>2</v>
      </c>
      <c r="AI391">
        <v>60255651</v>
      </c>
      <c r="AJ391">
        <v>353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ROW(Source!A292)</f>
        <v>292</v>
      </c>
      <c r="B392">
        <v>60255944</v>
      </c>
      <c r="C392">
        <v>60255644</v>
      </c>
      <c r="D392">
        <v>59039024</v>
      </c>
      <c r="E392">
        <v>1</v>
      </c>
      <c r="F392">
        <v>1</v>
      </c>
      <c r="G392">
        <v>1080</v>
      </c>
      <c r="H392">
        <v>3</v>
      </c>
      <c r="I392" t="s">
        <v>562</v>
      </c>
      <c r="J392" t="s">
        <v>563</v>
      </c>
      <c r="K392" t="s">
        <v>564</v>
      </c>
      <c r="L392">
        <v>1348</v>
      </c>
      <c r="N392">
        <v>1009</v>
      </c>
      <c r="O392" t="s">
        <v>534</v>
      </c>
      <c r="P392" t="s">
        <v>534</v>
      </c>
      <c r="Q392">
        <v>1000</v>
      </c>
      <c r="X392">
        <v>1.0000000000000001E-5</v>
      </c>
      <c r="Y392">
        <v>3234.81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</v>
      </c>
      <c r="AG392">
        <v>1.0000000000000001E-5</v>
      </c>
      <c r="AH392">
        <v>2</v>
      </c>
      <c r="AI392">
        <v>60255652</v>
      </c>
      <c r="AJ392">
        <v>354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ROW(Source!A292)</f>
        <v>292</v>
      </c>
      <c r="B393">
        <v>60255945</v>
      </c>
      <c r="C393">
        <v>60255644</v>
      </c>
      <c r="D393">
        <v>59038837</v>
      </c>
      <c r="E393">
        <v>1</v>
      </c>
      <c r="F393">
        <v>1</v>
      </c>
      <c r="G393">
        <v>1080</v>
      </c>
      <c r="H393">
        <v>3</v>
      </c>
      <c r="I393" t="s">
        <v>565</v>
      </c>
      <c r="J393" t="s">
        <v>566</v>
      </c>
      <c r="K393" t="s">
        <v>567</v>
      </c>
      <c r="L393">
        <v>1339</v>
      </c>
      <c r="N393">
        <v>1007</v>
      </c>
      <c r="O393" t="s">
        <v>509</v>
      </c>
      <c r="P393" t="s">
        <v>509</v>
      </c>
      <c r="Q393">
        <v>1</v>
      </c>
      <c r="X393">
        <v>0.11899999999999999</v>
      </c>
      <c r="Y393">
        <v>53.42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</v>
      </c>
      <c r="AG393">
        <v>0.11899999999999999</v>
      </c>
      <c r="AH393">
        <v>2</v>
      </c>
      <c r="AI393">
        <v>60255653</v>
      </c>
      <c r="AJ393">
        <v>355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ROW(Source!A292)</f>
        <v>292</v>
      </c>
      <c r="B394">
        <v>60255946</v>
      </c>
      <c r="C394">
        <v>60255644</v>
      </c>
      <c r="D394">
        <v>59039103</v>
      </c>
      <c r="E394">
        <v>1</v>
      </c>
      <c r="F394">
        <v>1</v>
      </c>
      <c r="G394">
        <v>1080</v>
      </c>
      <c r="H394">
        <v>3</v>
      </c>
      <c r="I394" t="s">
        <v>568</v>
      </c>
      <c r="J394" t="s">
        <v>569</v>
      </c>
      <c r="K394" t="s">
        <v>570</v>
      </c>
      <c r="L394">
        <v>1339</v>
      </c>
      <c r="N394">
        <v>1007</v>
      </c>
      <c r="O394" t="s">
        <v>509</v>
      </c>
      <c r="P394" t="s">
        <v>509</v>
      </c>
      <c r="Q394">
        <v>1</v>
      </c>
      <c r="X394">
        <v>0.28100000000000003</v>
      </c>
      <c r="Y394">
        <v>5.82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0.28100000000000003</v>
      </c>
      <c r="AH394">
        <v>2</v>
      </c>
      <c r="AI394">
        <v>60255654</v>
      </c>
      <c r="AJ394">
        <v>356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ROW(Source!A292)</f>
        <v>292</v>
      </c>
      <c r="B395">
        <v>60255947</v>
      </c>
      <c r="C395">
        <v>60255644</v>
      </c>
      <c r="D395">
        <v>59039175</v>
      </c>
      <c r="E395">
        <v>1</v>
      </c>
      <c r="F395">
        <v>1</v>
      </c>
      <c r="G395">
        <v>1080</v>
      </c>
      <c r="H395">
        <v>3</v>
      </c>
      <c r="I395" t="s">
        <v>538</v>
      </c>
      <c r="J395" t="s">
        <v>539</v>
      </c>
      <c r="K395" t="s">
        <v>540</v>
      </c>
      <c r="L395">
        <v>1348</v>
      </c>
      <c r="N395">
        <v>1009</v>
      </c>
      <c r="O395" t="s">
        <v>534</v>
      </c>
      <c r="P395" t="s">
        <v>534</v>
      </c>
      <c r="Q395">
        <v>1000</v>
      </c>
      <c r="X395">
        <v>4.4000000000000002E-4</v>
      </c>
      <c r="Y395">
        <v>16214.84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4.4000000000000002E-4</v>
      </c>
      <c r="AH395">
        <v>2</v>
      </c>
      <c r="AI395">
        <v>60255655</v>
      </c>
      <c r="AJ395">
        <v>357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ROW(Source!A292)</f>
        <v>292</v>
      </c>
      <c r="B396">
        <v>60255948</v>
      </c>
      <c r="C396">
        <v>60255644</v>
      </c>
      <c r="D396">
        <v>59039344</v>
      </c>
      <c r="E396">
        <v>1</v>
      </c>
      <c r="F396">
        <v>1</v>
      </c>
      <c r="G396">
        <v>1080</v>
      </c>
      <c r="H396">
        <v>3</v>
      </c>
      <c r="I396" t="s">
        <v>541</v>
      </c>
      <c r="J396" t="s">
        <v>542</v>
      </c>
      <c r="K396" t="s">
        <v>543</v>
      </c>
      <c r="L396">
        <v>1346</v>
      </c>
      <c r="N396">
        <v>1009</v>
      </c>
      <c r="O396" t="s">
        <v>528</v>
      </c>
      <c r="P396" t="s">
        <v>528</v>
      </c>
      <c r="Q396">
        <v>1</v>
      </c>
      <c r="X396">
        <v>0.53</v>
      </c>
      <c r="Y396">
        <v>20.190000000000001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</v>
      </c>
      <c r="AG396">
        <v>0.53</v>
      </c>
      <c r="AH396">
        <v>2</v>
      </c>
      <c r="AI396">
        <v>60255656</v>
      </c>
      <c r="AJ396">
        <v>358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ROW(Source!A292)</f>
        <v>292</v>
      </c>
      <c r="B397">
        <v>60255949</v>
      </c>
      <c r="C397">
        <v>60255644</v>
      </c>
      <c r="D397">
        <v>59000379</v>
      </c>
      <c r="E397">
        <v>1080</v>
      </c>
      <c r="F397">
        <v>1</v>
      </c>
      <c r="G397">
        <v>1080</v>
      </c>
      <c r="H397">
        <v>3</v>
      </c>
      <c r="I397" t="s">
        <v>605</v>
      </c>
      <c r="J397" t="s">
        <v>3</v>
      </c>
      <c r="K397" t="s">
        <v>606</v>
      </c>
      <c r="L397">
        <v>1346</v>
      </c>
      <c r="N397">
        <v>1009</v>
      </c>
      <c r="O397" t="s">
        <v>528</v>
      </c>
      <c r="P397" t="s">
        <v>528</v>
      </c>
      <c r="Q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3</v>
      </c>
      <c r="AG397">
        <v>0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ROW(Source!A292)</f>
        <v>292</v>
      </c>
      <c r="B398">
        <v>60255950</v>
      </c>
      <c r="C398">
        <v>60255644</v>
      </c>
      <c r="D398">
        <v>59020043</v>
      </c>
      <c r="E398">
        <v>1080</v>
      </c>
      <c r="F398">
        <v>1</v>
      </c>
      <c r="G398">
        <v>1080</v>
      </c>
      <c r="H398">
        <v>3</v>
      </c>
      <c r="I398" t="s">
        <v>607</v>
      </c>
      <c r="J398" t="s">
        <v>3</v>
      </c>
      <c r="K398" t="s">
        <v>293</v>
      </c>
      <c r="L398">
        <v>1354</v>
      </c>
      <c r="N398">
        <v>1010</v>
      </c>
      <c r="O398" t="s">
        <v>31</v>
      </c>
      <c r="P398" t="s">
        <v>31</v>
      </c>
      <c r="Q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</v>
      </c>
      <c r="AG398">
        <v>0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ROW(Source!A292)</f>
        <v>292</v>
      </c>
      <c r="B399">
        <v>60255951</v>
      </c>
      <c r="C399">
        <v>60255644</v>
      </c>
      <c r="D399">
        <v>59022812</v>
      </c>
      <c r="E399">
        <v>1080</v>
      </c>
      <c r="F399">
        <v>1</v>
      </c>
      <c r="G399">
        <v>1080</v>
      </c>
      <c r="H399">
        <v>3</v>
      </c>
      <c r="I399" t="s">
        <v>608</v>
      </c>
      <c r="J399" t="s">
        <v>3</v>
      </c>
      <c r="K399" t="s">
        <v>609</v>
      </c>
      <c r="L399">
        <v>1301</v>
      </c>
      <c r="N399">
        <v>1003</v>
      </c>
      <c r="O399" t="s">
        <v>376</v>
      </c>
      <c r="P399" t="s">
        <v>376</v>
      </c>
      <c r="Q399">
        <v>1</v>
      </c>
      <c r="X399">
        <v>100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3</v>
      </c>
      <c r="AG399">
        <v>100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ROW(Source!A293)</f>
        <v>293</v>
      </c>
      <c r="B400">
        <v>60255937</v>
      </c>
      <c r="C400">
        <v>60255644</v>
      </c>
      <c r="D400">
        <v>58999254</v>
      </c>
      <c r="E400">
        <v>1080</v>
      </c>
      <c r="F400">
        <v>1</v>
      </c>
      <c r="G400">
        <v>1080</v>
      </c>
      <c r="H400">
        <v>1</v>
      </c>
      <c r="I400" t="s">
        <v>482</v>
      </c>
      <c r="J400" t="s">
        <v>3</v>
      </c>
      <c r="K400" t="s">
        <v>483</v>
      </c>
      <c r="L400">
        <v>1191</v>
      </c>
      <c r="N400">
        <v>1013</v>
      </c>
      <c r="O400" t="s">
        <v>484</v>
      </c>
      <c r="P400" t="s">
        <v>484</v>
      </c>
      <c r="Q400">
        <v>1</v>
      </c>
      <c r="X400">
        <v>29.7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99</v>
      </c>
      <c r="AG400">
        <v>37.570499999999996</v>
      </c>
      <c r="AH400">
        <v>2</v>
      </c>
      <c r="AI400">
        <v>60255645</v>
      </c>
      <c r="AJ400">
        <v>360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ROW(Source!A293)</f>
        <v>293</v>
      </c>
      <c r="B401">
        <v>60255938</v>
      </c>
      <c r="C401">
        <v>60255644</v>
      </c>
      <c r="D401">
        <v>59070372</v>
      </c>
      <c r="E401">
        <v>1</v>
      </c>
      <c r="F401">
        <v>1</v>
      </c>
      <c r="G401">
        <v>1080</v>
      </c>
      <c r="H401">
        <v>2</v>
      </c>
      <c r="I401" t="s">
        <v>556</v>
      </c>
      <c r="J401" t="s">
        <v>557</v>
      </c>
      <c r="K401" t="s">
        <v>558</v>
      </c>
      <c r="L401">
        <v>1368</v>
      </c>
      <c r="N401">
        <v>1011</v>
      </c>
      <c r="O401" t="s">
        <v>488</v>
      </c>
      <c r="P401" t="s">
        <v>488</v>
      </c>
      <c r="Q401">
        <v>1</v>
      </c>
      <c r="X401">
        <v>1.1499999999999999</v>
      </c>
      <c r="Y401">
        <v>0</v>
      </c>
      <c r="Z401">
        <v>0.28000000000000003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98</v>
      </c>
      <c r="AG401">
        <v>1.58125</v>
      </c>
      <c r="AH401">
        <v>2</v>
      </c>
      <c r="AI401">
        <v>60255646</v>
      </c>
      <c r="AJ401">
        <v>361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ROW(Source!A293)</f>
        <v>293</v>
      </c>
      <c r="B402">
        <v>60255939</v>
      </c>
      <c r="C402">
        <v>60255644</v>
      </c>
      <c r="D402">
        <v>59070669</v>
      </c>
      <c r="E402">
        <v>1</v>
      </c>
      <c r="F402">
        <v>1</v>
      </c>
      <c r="G402">
        <v>1080</v>
      </c>
      <c r="H402">
        <v>2</v>
      </c>
      <c r="I402" t="s">
        <v>485</v>
      </c>
      <c r="J402" t="s">
        <v>486</v>
      </c>
      <c r="K402" t="s">
        <v>487</v>
      </c>
      <c r="L402">
        <v>1368</v>
      </c>
      <c r="N402">
        <v>1011</v>
      </c>
      <c r="O402" t="s">
        <v>488</v>
      </c>
      <c r="P402" t="s">
        <v>488</v>
      </c>
      <c r="Q402">
        <v>1</v>
      </c>
      <c r="X402">
        <v>0.35</v>
      </c>
      <c r="Y402">
        <v>0</v>
      </c>
      <c r="Z402">
        <v>83.1</v>
      </c>
      <c r="AA402">
        <v>12.62</v>
      </c>
      <c r="AB402">
        <v>0</v>
      </c>
      <c r="AC402">
        <v>0</v>
      </c>
      <c r="AD402">
        <v>1</v>
      </c>
      <c r="AE402">
        <v>0</v>
      </c>
      <c r="AF402" t="s">
        <v>98</v>
      </c>
      <c r="AG402">
        <v>0.48125000000000007</v>
      </c>
      <c r="AH402">
        <v>2</v>
      </c>
      <c r="AI402">
        <v>60255647</v>
      </c>
      <c r="AJ402">
        <v>362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ROW(Source!A293)</f>
        <v>293</v>
      </c>
      <c r="B403">
        <v>60255940</v>
      </c>
      <c r="C403">
        <v>60255644</v>
      </c>
      <c r="D403">
        <v>59069905</v>
      </c>
      <c r="E403">
        <v>1</v>
      </c>
      <c r="F403">
        <v>1</v>
      </c>
      <c r="G403">
        <v>1080</v>
      </c>
      <c r="H403">
        <v>2</v>
      </c>
      <c r="I403" t="s">
        <v>503</v>
      </c>
      <c r="J403" t="s">
        <v>504</v>
      </c>
      <c r="K403" t="s">
        <v>505</v>
      </c>
      <c r="L403">
        <v>1368</v>
      </c>
      <c r="N403">
        <v>1011</v>
      </c>
      <c r="O403" t="s">
        <v>488</v>
      </c>
      <c r="P403" t="s">
        <v>488</v>
      </c>
      <c r="Q403">
        <v>1</v>
      </c>
      <c r="X403">
        <v>7.0000000000000007E-2</v>
      </c>
      <c r="Y403">
        <v>0</v>
      </c>
      <c r="Z403">
        <v>179.17</v>
      </c>
      <c r="AA403">
        <v>16.93</v>
      </c>
      <c r="AB403">
        <v>0</v>
      </c>
      <c r="AC403">
        <v>0</v>
      </c>
      <c r="AD403">
        <v>1</v>
      </c>
      <c r="AE403">
        <v>0</v>
      </c>
      <c r="AF403" t="s">
        <v>98</v>
      </c>
      <c r="AG403">
        <v>9.6250000000000016E-2</v>
      </c>
      <c r="AH403">
        <v>2</v>
      </c>
      <c r="AI403">
        <v>60255648</v>
      </c>
      <c r="AJ403">
        <v>363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ROW(Source!A293)</f>
        <v>293</v>
      </c>
      <c r="B404">
        <v>60255941</v>
      </c>
      <c r="C404">
        <v>60255644</v>
      </c>
      <c r="D404">
        <v>59038905</v>
      </c>
      <c r="E404">
        <v>1</v>
      </c>
      <c r="F404">
        <v>1</v>
      </c>
      <c r="G404">
        <v>1080</v>
      </c>
      <c r="H404">
        <v>3</v>
      </c>
      <c r="I404" t="s">
        <v>506</v>
      </c>
      <c r="J404" t="s">
        <v>507</v>
      </c>
      <c r="K404" t="s">
        <v>508</v>
      </c>
      <c r="L404">
        <v>1339</v>
      </c>
      <c r="N404">
        <v>1007</v>
      </c>
      <c r="O404" t="s">
        <v>509</v>
      </c>
      <c r="P404" t="s">
        <v>509</v>
      </c>
      <c r="Q404">
        <v>1</v>
      </c>
      <c r="X404">
        <v>0.17699999999999999</v>
      </c>
      <c r="Y404">
        <v>7.07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3</v>
      </c>
      <c r="AG404">
        <v>0.17699999999999999</v>
      </c>
      <c r="AH404">
        <v>2</v>
      </c>
      <c r="AI404">
        <v>60255649</v>
      </c>
      <c r="AJ404">
        <v>364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ROW(Source!A293)</f>
        <v>293</v>
      </c>
      <c r="B405">
        <v>60255942</v>
      </c>
      <c r="C405">
        <v>60255644</v>
      </c>
      <c r="D405">
        <v>59040044</v>
      </c>
      <c r="E405">
        <v>1</v>
      </c>
      <c r="F405">
        <v>1</v>
      </c>
      <c r="G405">
        <v>1080</v>
      </c>
      <c r="H405">
        <v>3</v>
      </c>
      <c r="I405" t="s">
        <v>559</v>
      </c>
      <c r="J405" t="s">
        <v>560</v>
      </c>
      <c r="K405" t="s">
        <v>561</v>
      </c>
      <c r="L405">
        <v>1346</v>
      </c>
      <c r="N405">
        <v>1009</v>
      </c>
      <c r="O405" t="s">
        <v>528</v>
      </c>
      <c r="P405" t="s">
        <v>528</v>
      </c>
      <c r="Q405">
        <v>1</v>
      </c>
      <c r="X405">
        <v>0.17</v>
      </c>
      <c r="Y405">
        <v>21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</v>
      </c>
      <c r="AG405">
        <v>0.17</v>
      </c>
      <c r="AH405">
        <v>2</v>
      </c>
      <c r="AI405">
        <v>60255650</v>
      </c>
      <c r="AJ405">
        <v>365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ROW(Source!A293)</f>
        <v>293</v>
      </c>
      <c r="B406">
        <v>60255943</v>
      </c>
      <c r="C406">
        <v>60255644</v>
      </c>
      <c r="D406">
        <v>59040617</v>
      </c>
      <c r="E406">
        <v>1</v>
      </c>
      <c r="F406">
        <v>1</v>
      </c>
      <c r="G406">
        <v>1080</v>
      </c>
      <c r="H406">
        <v>3</v>
      </c>
      <c r="I406" t="s">
        <v>535</v>
      </c>
      <c r="J406" t="s">
        <v>536</v>
      </c>
      <c r="K406" t="s">
        <v>537</v>
      </c>
      <c r="L406">
        <v>1346</v>
      </c>
      <c r="N406">
        <v>1009</v>
      </c>
      <c r="O406" t="s">
        <v>528</v>
      </c>
      <c r="P406" t="s">
        <v>528</v>
      </c>
      <c r="Q406">
        <v>1</v>
      </c>
      <c r="X406">
        <v>0.06</v>
      </c>
      <c r="Y406">
        <v>37.979999999999997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3</v>
      </c>
      <c r="AG406">
        <v>0.06</v>
      </c>
      <c r="AH406">
        <v>2</v>
      </c>
      <c r="AI406">
        <v>60255651</v>
      </c>
      <c r="AJ406">
        <v>366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ROW(Source!A293)</f>
        <v>293</v>
      </c>
      <c r="B407">
        <v>60255944</v>
      </c>
      <c r="C407">
        <v>60255644</v>
      </c>
      <c r="D407">
        <v>59039024</v>
      </c>
      <c r="E407">
        <v>1</v>
      </c>
      <c r="F407">
        <v>1</v>
      </c>
      <c r="G407">
        <v>1080</v>
      </c>
      <c r="H407">
        <v>3</v>
      </c>
      <c r="I407" t="s">
        <v>562</v>
      </c>
      <c r="J407" t="s">
        <v>563</v>
      </c>
      <c r="K407" t="s">
        <v>564</v>
      </c>
      <c r="L407">
        <v>1348</v>
      </c>
      <c r="N407">
        <v>1009</v>
      </c>
      <c r="O407" t="s">
        <v>534</v>
      </c>
      <c r="P407" t="s">
        <v>534</v>
      </c>
      <c r="Q407">
        <v>1000</v>
      </c>
      <c r="X407">
        <v>1.0000000000000001E-5</v>
      </c>
      <c r="Y407">
        <v>3234.81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</v>
      </c>
      <c r="AG407">
        <v>1.0000000000000001E-5</v>
      </c>
      <c r="AH407">
        <v>2</v>
      </c>
      <c r="AI407">
        <v>60255652</v>
      </c>
      <c r="AJ407">
        <v>367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ROW(Source!A293)</f>
        <v>293</v>
      </c>
      <c r="B408">
        <v>60255945</v>
      </c>
      <c r="C408">
        <v>60255644</v>
      </c>
      <c r="D408">
        <v>59038837</v>
      </c>
      <c r="E408">
        <v>1</v>
      </c>
      <c r="F408">
        <v>1</v>
      </c>
      <c r="G408">
        <v>1080</v>
      </c>
      <c r="H408">
        <v>3</v>
      </c>
      <c r="I408" t="s">
        <v>565</v>
      </c>
      <c r="J408" t="s">
        <v>566</v>
      </c>
      <c r="K408" t="s">
        <v>567</v>
      </c>
      <c r="L408">
        <v>1339</v>
      </c>
      <c r="N408">
        <v>1007</v>
      </c>
      <c r="O408" t="s">
        <v>509</v>
      </c>
      <c r="P408" t="s">
        <v>509</v>
      </c>
      <c r="Q408">
        <v>1</v>
      </c>
      <c r="X408">
        <v>0.11899999999999999</v>
      </c>
      <c r="Y408">
        <v>53.42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3</v>
      </c>
      <c r="AG408">
        <v>0.11899999999999999</v>
      </c>
      <c r="AH408">
        <v>2</v>
      </c>
      <c r="AI408">
        <v>60255653</v>
      </c>
      <c r="AJ408">
        <v>368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ROW(Source!A293)</f>
        <v>293</v>
      </c>
      <c r="B409">
        <v>60255946</v>
      </c>
      <c r="C409">
        <v>60255644</v>
      </c>
      <c r="D409">
        <v>59039103</v>
      </c>
      <c r="E409">
        <v>1</v>
      </c>
      <c r="F409">
        <v>1</v>
      </c>
      <c r="G409">
        <v>1080</v>
      </c>
      <c r="H409">
        <v>3</v>
      </c>
      <c r="I409" t="s">
        <v>568</v>
      </c>
      <c r="J409" t="s">
        <v>569</v>
      </c>
      <c r="K409" t="s">
        <v>570</v>
      </c>
      <c r="L409">
        <v>1339</v>
      </c>
      <c r="N409">
        <v>1007</v>
      </c>
      <c r="O409" t="s">
        <v>509</v>
      </c>
      <c r="P409" t="s">
        <v>509</v>
      </c>
      <c r="Q409">
        <v>1</v>
      </c>
      <c r="X409">
        <v>0.28100000000000003</v>
      </c>
      <c r="Y409">
        <v>5.82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3</v>
      </c>
      <c r="AG409">
        <v>0.28100000000000003</v>
      </c>
      <c r="AH409">
        <v>2</v>
      </c>
      <c r="AI409">
        <v>60255654</v>
      </c>
      <c r="AJ409">
        <v>369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ROW(Source!A293)</f>
        <v>293</v>
      </c>
      <c r="B410">
        <v>60255947</v>
      </c>
      <c r="C410">
        <v>60255644</v>
      </c>
      <c r="D410">
        <v>59039175</v>
      </c>
      <c r="E410">
        <v>1</v>
      </c>
      <c r="F410">
        <v>1</v>
      </c>
      <c r="G410">
        <v>1080</v>
      </c>
      <c r="H410">
        <v>3</v>
      </c>
      <c r="I410" t="s">
        <v>538</v>
      </c>
      <c r="J410" t="s">
        <v>539</v>
      </c>
      <c r="K410" t="s">
        <v>540</v>
      </c>
      <c r="L410">
        <v>1348</v>
      </c>
      <c r="N410">
        <v>1009</v>
      </c>
      <c r="O410" t="s">
        <v>534</v>
      </c>
      <c r="P410" t="s">
        <v>534</v>
      </c>
      <c r="Q410">
        <v>1000</v>
      </c>
      <c r="X410">
        <v>4.4000000000000002E-4</v>
      </c>
      <c r="Y410">
        <v>16214.84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</v>
      </c>
      <c r="AG410">
        <v>4.4000000000000002E-4</v>
      </c>
      <c r="AH410">
        <v>2</v>
      </c>
      <c r="AI410">
        <v>60255655</v>
      </c>
      <c r="AJ410">
        <v>370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ROW(Source!A293)</f>
        <v>293</v>
      </c>
      <c r="B411">
        <v>60255948</v>
      </c>
      <c r="C411">
        <v>60255644</v>
      </c>
      <c r="D411">
        <v>59039344</v>
      </c>
      <c r="E411">
        <v>1</v>
      </c>
      <c r="F411">
        <v>1</v>
      </c>
      <c r="G411">
        <v>1080</v>
      </c>
      <c r="H411">
        <v>3</v>
      </c>
      <c r="I411" t="s">
        <v>541</v>
      </c>
      <c r="J411" t="s">
        <v>542</v>
      </c>
      <c r="K411" t="s">
        <v>543</v>
      </c>
      <c r="L411">
        <v>1346</v>
      </c>
      <c r="N411">
        <v>1009</v>
      </c>
      <c r="O411" t="s">
        <v>528</v>
      </c>
      <c r="P411" t="s">
        <v>528</v>
      </c>
      <c r="Q411">
        <v>1</v>
      </c>
      <c r="X411">
        <v>0.53</v>
      </c>
      <c r="Y411">
        <v>20.190000000000001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</v>
      </c>
      <c r="AG411">
        <v>0.53</v>
      </c>
      <c r="AH411">
        <v>2</v>
      </c>
      <c r="AI411">
        <v>60255656</v>
      </c>
      <c r="AJ411">
        <v>371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ROW(Source!A293)</f>
        <v>293</v>
      </c>
      <c r="B412">
        <v>60255949</v>
      </c>
      <c r="C412">
        <v>60255644</v>
      </c>
      <c r="D412">
        <v>59000379</v>
      </c>
      <c r="E412">
        <v>1080</v>
      </c>
      <c r="F412">
        <v>1</v>
      </c>
      <c r="G412">
        <v>1080</v>
      </c>
      <c r="H412">
        <v>3</v>
      </c>
      <c r="I412" t="s">
        <v>605</v>
      </c>
      <c r="J412" t="s">
        <v>3</v>
      </c>
      <c r="K412" t="s">
        <v>606</v>
      </c>
      <c r="L412">
        <v>1346</v>
      </c>
      <c r="N412">
        <v>1009</v>
      </c>
      <c r="O412" t="s">
        <v>528</v>
      </c>
      <c r="P412" t="s">
        <v>528</v>
      </c>
      <c r="Q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3</v>
      </c>
      <c r="AG412">
        <v>0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ROW(Source!A293)</f>
        <v>293</v>
      </c>
      <c r="B413">
        <v>60255950</v>
      </c>
      <c r="C413">
        <v>60255644</v>
      </c>
      <c r="D413">
        <v>59020043</v>
      </c>
      <c r="E413">
        <v>1080</v>
      </c>
      <c r="F413">
        <v>1</v>
      </c>
      <c r="G413">
        <v>1080</v>
      </c>
      <c r="H413">
        <v>3</v>
      </c>
      <c r="I413" t="s">
        <v>607</v>
      </c>
      <c r="J413" t="s">
        <v>3</v>
      </c>
      <c r="K413" t="s">
        <v>293</v>
      </c>
      <c r="L413">
        <v>1354</v>
      </c>
      <c r="N413">
        <v>1010</v>
      </c>
      <c r="O413" t="s">
        <v>31</v>
      </c>
      <c r="P413" t="s">
        <v>31</v>
      </c>
      <c r="Q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3</v>
      </c>
      <c r="AG413">
        <v>0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ROW(Source!A293)</f>
        <v>293</v>
      </c>
      <c r="B414">
        <v>60255951</v>
      </c>
      <c r="C414">
        <v>60255644</v>
      </c>
      <c r="D414">
        <v>59022812</v>
      </c>
      <c r="E414">
        <v>1080</v>
      </c>
      <c r="F414">
        <v>1</v>
      </c>
      <c r="G414">
        <v>1080</v>
      </c>
      <c r="H414">
        <v>3</v>
      </c>
      <c r="I414" t="s">
        <v>608</v>
      </c>
      <c r="J414" t="s">
        <v>3</v>
      </c>
      <c r="K414" t="s">
        <v>609</v>
      </c>
      <c r="L414">
        <v>1301</v>
      </c>
      <c r="N414">
        <v>1003</v>
      </c>
      <c r="O414" t="s">
        <v>376</v>
      </c>
      <c r="P414" t="s">
        <v>376</v>
      </c>
      <c r="Q414">
        <v>1</v>
      </c>
      <c r="X414">
        <v>100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3</v>
      </c>
      <c r="AG414">
        <v>100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ROW(Source!A296)</f>
        <v>296</v>
      </c>
      <c r="B415">
        <v>60255952</v>
      </c>
      <c r="C415">
        <v>60255674</v>
      </c>
      <c r="D415">
        <v>58999254</v>
      </c>
      <c r="E415">
        <v>1080</v>
      </c>
      <c r="F415">
        <v>1</v>
      </c>
      <c r="G415">
        <v>1080</v>
      </c>
      <c r="H415">
        <v>1</v>
      </c>
      <c r="I415" t="s">
        <v>482</v>
      </c>
      <c r="J415" t="s">
        <v>3</v>
      </c>
      <c r="K415" t="s">
        <v>483</v>
      </c>
      <c r="L415">
        <v>1191</v>
      </c>
      <c r="N415">
        <v>1013</v>
      </c>
      <c r="O415" t="s">
        <v>484</v>
      </c>
      <c r="P415" t="s">
        <v>484</v>
      </c>
      <c r="Q415">
        <v>1</v>
      </c>
      <c r="X415">
        <v>29.7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 t="s">
        <v>99</v>
      </c>
      <c r="AG415">
        <v>37.570499999999996</v>
      </c>
      <c r="AH415">
        <v>2</v>
      </c>
      <c r="AI415">
        <v>60255675</v>
      </c>
      <c r="AJ415">
        <v>373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ROW(Source!A296)</f>
        <v>296</v>
      </c>
      <c r="B416">
        <v>60255953</v>
      </c>
      <c r="C416">
        <v>60255674</v>
      </c>
      <c r="D416">
        <v>59070372</v>
      </c>
      <c r="E416">
        <v>1</v>
      </c>
      <c r="F416">
        <v>1</v>
      </c>
      <c r="G416">
        <v>1080</v>
      </c>
      <c r="H416">
        <v>2</v>
      </c>
      <c r="I416" t="s">
        <v>556</v>
      </c>
      <c r="J416" t="s">
        <v>557</v>
      </c>
      <c r="K416" t="s">
        <v>558</v>
      </c>
      <c r="L416">
        <v>1368</v>
      </c>
      <c r="N416">
        <v>1011</v>
      </c>
      <c r="O416" t="s">
        <v>488</v>
      </c>
      <c r="P416" t="s">
        <v>488</v>
      </c>
      <c r="Q416">
        <v>1</v>
      </c>
      <c r="X416">
        <v>1.1499999999999999</v>
      </c>
      <c r="Y416">
        <v>0</v>
      </c>
      <c r="Z416">
        <v>0.28000000000000003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98</v>
      </c>
      <c r="AG416">
        <v>1.58125</v>
      </c>
      <c r="AH416">
        <v>2</v>
      </c>
      <c r="AI416">
        <v>60255676</v>
      </c>
      <c r="AJ416">
        <v>374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ROW(Source!A296)</f>
        <v>296</v>
      </c>
      <c r="B417">
        <v>60255954</v>
      </c>
      <c r="C417">
        <v>60255674</v>
      </c>
      <c r="D417">
        <v>59070669</v>
      </c>
      <c r="E417">
        <v>1</v>
      </c>
      <c r="F417">
        <v>1</v>
      </c>
      <c r="G417">
        <v>1080</v>
      </c>
      <c r="H417">
        <v>2</v>
      </c>
      <c r="I417" t="s">
        <v>485</v>
      </c>
      <c r="J417" t="s">
        <v>486</v>
      </c>
      <c r="K417" t="s">
        <v>487</v>
      </c>
      <c r="L417">
        <v>1368</v>
      </c>
      <c r="N417">
        <v>1011</v>
      </c>
      <c r="O417" t="s">
        <v>488</v>
      </c>
      <c r="P417" t="s">
        <v>488</v>
      </c>
      <c r="Q417">
        <v>1</v>
      </c>
      <c r="X417">
        <v>0.35</v>
      </c>
      <c r="Y417">
        <v>0</v>
      </c>
      <c r="Z417">
        <v>83.1</v>
      </c>
      <c r="AA417">
        <v>12.62</v>
      </c>
      <c r="AB417">
        <v>0</v>
      </c>
      <c r="AC417">
        <v>0</v>
      </c>
      <c r="AD417">
        <v>1</v>
      </c>
      <c r="AE417">
        <v>0</v>
      </c>
      <c r="AF417" t="s">
        <v>98</v>
      </c>
      <c r="AG417">
        <v>0.48125000000000007</v>
      </c>
      <c r="AH417">
        <v>2</v>
      </c>
      <c r="AI417">
        <v>60255677</v>
      </c>
      <c r="AJ417">
        <v>375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ROW(Source!A296)</f>
        <v>296</v>
      </c>
      <c r="B418">
        <v>60255955</v>
      </c>
      <c r="C418">
        <v>60255674</v>
      </c>
      <c r="D418">
        <v>59069905</v>
      </c>
      <c r="E418">
        <v>1</v>
      </c>
      <c r="F418">
        <v>1</v>
      </c>
      <c r="G418">
        <v>1080</v>
      </c>
      <c r="H418">
        <v>2</v>
      </c>
      <c r="I418" t="s">
        <v>503</v>
      </c>
      <c r="J418" t="s">
        <v>504</v>
      </c>
      <c r="K418" t="s">
        <v>505</v>
      </c>
      <c r="L418">
        <v>1368</v>
      </c>
      <c r="N418">
        <v>1011</v>
      </c>
      <c r="O418" t="s">
        <v>488</v>
      </c>
      <c r="P418" t="s">
        <v>488</v>
      </c>
      <c r="Q418">
        <v>1</v>
      </c>
      <c r="X418">
        <v>7.0000000000000007E-2</v>
      </c>
      <c r="Y418">
        <v>0</v>
      </c>
      <c r="Z418">
        <v>179.17</v>
      </c>
      <c r="AA418">
        <v>16.93</v>
      </c>
      <c r="AB418">
        <v>0</v>
      </c>
      <c r="AC418">
        <v>0</v>
      </c>
      <c r="AD418">
        <v>1</v>
      </c>
      <c r="AE418">
        <v>0</v>
      </c>
      <c r="AF418" t="s">
        <v>98</v>
      </c>
      <c r="AG418">
        <v>9.6250000000000016E-2</v>
      </c>
      <c r="AH418">
        <v>2</v>
      </c>
      <c r="AI418">
        <v>60255678</v>
      </c>
      <c r="AJ418">
        <v>376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ROW(Source!A296)</f>
        <v>296</v>
      </c>
      <c r="B419">
        <v>60255956</v>
      </c>
      <c r="C419">
        <v>60255674</v>
      </c>
      <c r="D419">
        <v>59038905</v>
      </c>
      <c r="E419">
        <v>1</v>
      </c>
      <c r="F419">
        <v>1</v>
      </c>
      <c r="G419">
        <v>1080</v>
      </c>
      <c r="H419">
        <v>3</v>
      </c>
      <c r="I419" t="s">
        <v>506</v>
      </c>
      <c r="J419" t="s">
        <v>507</v>
      </c>
      <c r="K419" t="s">
        <v>508</v>
      </c>
      <c r="L419">
        <v>1339</v>
      </c>
      <c r="N419">
        <v>1007</v>
      </c>
      <c r="O419" t="s">
        <v>509</v>
      </c>
      <c r="P419" t="s">
        <v>509</v>
      </c>
      <c r="Q419">
        <v>1</v>
      </c>
      <c r="X419">
        <v>0.28799999999999998</v>
      </c>
      <c r="Y419">
        <v>7.07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</v>
      </c>
      <c r="AG419">
        <v>0.28799999999999998</v>
      </c>
      <c r="AH419">
        <v>2</v>
      </c>
      <c r="AI419">
        <v>60255679</v>
      </c>
      <c r="AJ419">
        <v>377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ROW(Source!A296)</f>
        <v>296</v>
      </c>
      <c r="B420">
        <v>60255957</v>
      </c>
      <c r="C420">
        <v>60255674</v>
      </c>
      <c r="D420">
        <v>59040044</v>
      </c>
      <c r="E420">
        <v>1</v>
      </c>
      <c r="F420">
        <v>1</v>
      </c>
      <c r="G420">
        <v>1080</v>
      </c>
      <c r="H420">
        <v>3</v>
      </c>
      <c r="I420" t="s">
        <v>559</v>
      </c>
      <c r="J420" t="s">
        <v>560</v>
      </c>
      <c r="K420" t="s">
        <v>561</v>
      </c>
      <c r="L420">
        <v>1346</v>
      </c>
      <c r="N420">
        <v>1009</v>
      </c>
      <c r="O420" t="s">
        <v>528</v>
      </c>
      <c r="P420" t="s">
        <v>528</v>
      </c>
      <c r="Q420">
        <v>1</v>
      </c>
      <c r="X420">
        <v>0.17</v>
      </c>
      <c r="Y420">
        <v>21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3</v>
      </c>
      <c r="AG420">
        <v>0.17</v>
      </c>
      <c r="AH420">
        <v>2</v>
      </c>
      <c r="AI420">
        <v>60255680</v>
      </c>
      <c r="AJ420">
        <v>378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ROW(Source!A296)</f>
        <v>296</v>
      </c>
      <c r="B421">
        <v>60255958</v>
      </c>
      <c r="C421">
        <v>60255674</v>
      </c>
      <c r="D421">
        <v>59040617</v>
      </c>
      <c r="E421">
        <v>1</v>
      </c>
      <c r="F421">
        <v>1</v>
      </c>
      <c r="G421">
        <v>1080</v>
      </c>
      <c r="H421">
        <v>3</v>
      </c>
      <c r="I421" t="s">
        <v>535</v>
      </c>
      <c r="J421" t="s">
        <v>536</v>
      </c>
      <c r="K421" t="s">
        <v>537</v>
      </c>
      <c r="L421">
        <v>1346</v>
      </c>
      <c r="N421">
        <v>1009</v>
      </c>
      <c r="O421" t="s">
        <v>528</v>
      </c>
      <c r="P421" t="s">
        <v>528</v>
      </c>
      <c r="Q421">
        <v>1</v>
      </c>
      <c r="X421">
        <v>0.06</v>
      </c>
      <c r="Y421">
        <v>37.979999999999997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</v>
      </c>
      <c r="AG421">
        <v>0.06</v>
      </c>
      <c r="AH421">
        <v>2</v>
      </c>
      <c r="AI421">
        <v>60255681</v>
      </c>
      <c r="AJ421">
        <v>379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ROW(Source!A296)</f>
        <v>296</v>
      </c>
      <c r="B422">
        <v>60255959</v>
      </c>
      <c r="C422">
        <v>60255674</v>
      </c>
      <c r="D422">
        <v>59039024</v>
      </c>
      <c r="E422">
        <v>1</v>
      </c>
      <c r="F422">
        <v>1</v>
      </c>
      <c r="G422">
        <v>1080</v>
      </c>
      <c r="H422">
        <v>3</v>
      </c>
      <c r="I422" t="s">
        <v>562</v>
      </c>
      <c r="J422" t="s">
        <v>563</v>
      </c>
      <c r="K422" t="s">
        <v>564</v>
      </c>
      <c r="L422">
        <v>1348</v>
      </c>
      <c r="N422">
        <v>1009</v>
      </c>
      <c r="O422" t="s">
        <v>534</v>
      </c>
      <c r="P422" t="s">
        <v>534</v>
      </c>
      <c r="Q422">
        <v>1000</v>
      </c>
      <c r="X422">
        <v>1.0000000000000001E-5</v>
      </c>
      <c r="Y422">
        <v>3234.81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</v>
      </c>
      <c r="AG422">
        <v>1.0000000000000001E-5</v>
      </c>
      <c r="AH422">
        <v>2</v>
      </c>
      <c r="AI422">
        <v>60255682</v>
      </c>
      <c r="AJ422">
        <v>380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ROW(Source!A296)</f>
        <v>296</v>
      </c>
      <c r="B423">
        <v>60255960</v>
      </c>
      <c r="C423">
        <v>60255674</v>
      </c>
      <c r="D423">
        <v>59038837</v>
      </c>
      <c r="E423">
        <v>1</v>
      </c>
      <c r="F423">
        <v>1</v>
      </c>
      <c r="G423">
        <v>1080</v>
      </c>
      <c r="H423">
        <v>3</v>
      </c>
      <c r="I423" t="s">
        <v>565</v>
      </c>
      <c r="J423" t="s">
        <v>566</v>
      </c>
      <c r="K423" t="s">
        <v>567</v>
      </c>
      <c r="L423">
        <v>1339</v>
      </c>
      <c r="N423">
        <v>1007</v>
      </c>
      <c r="O423" t="s">
        <v>509</v>
      </c>
      <c r="P423" t="s">
        <v>509</v>
      </c>
      <c r="Q423">
        <v>1</v>
      </c>
      <c r="X423">
        <v>0.11899999999999999</v>
      </c>
      <c r="Y423">
        <v>53.42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</v>
      </c>
      <c r="AG423">
        <v>0.11899999999999999</v>
      </c>
      <c r="AH423">
        <v>2</v>
      </c>
      <c r="AI423">
        <v>60255683</v>
      </c>
      <c r="AJ423">
        <v>381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ROW(Source!A296)</f>
        <v>296</v>
      </c>
      <c r="B424">
        <v>60255961</v>
      </c>
      <c r="C424">
        <v>60255674</v>
      </c>
      <c r="D424">
        <v>59039103</v>
      </c>
      <c r="E424">
        <v>1</v>
      </c>
      <c r="F424">
        <v>1</v>
      </c>
      <c r="G424">
        <v>1080</v>
      </c>
      <c r="H424">
        <v>3</v>
      </c>
      <c r="I424" t="s">
        <v>568</v>
      </c>
      <c r="J424" t="s">
        <v>569</v>
      </c>
      <c r="K424" t="s">
        <v>570</v>
      </c>
      <c r="L424">
        <v>1339</v>
      </c>
      <c r="N424">
        <v>1007</v>
      </c>
      <c r="O424" t="s">
        <v>509</v>
      </c>
      <c r="P424" t="s">
        <v>509</v>
      </c>
      <c r="Q424">
        <v>1</v>
      </c>
      <c r="X424">
        <v>0.28100000000000003</v>
      </c>
      <c r="Y424">
        <v>5.82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3</v>
      </c>
      <c r="AG424">
        <v>0.28100000000000003</v>
      </c>
      <c r="AH424">
        <v>2</v>
      </c>
      <c r="AI424">
        <v>60255684</v>
      </c>
      <c r="AJ424">
        <v>382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ROW(Source!A296)</f>
        <v>296</v>
      </c>
      <c r="B425">
        <v>60255962</v>
      </c>
      <c r="C425">
        <v>60255674</v>
      </c>
      <c r="D425">
        <v>59039175</v>
      </c>
      <c r="E425">
        <v>1</v>
      </c>
      <c r="F425">
        <v>1</v>
      </c>
      <c r="G425">
        <v>1080</v>
      </c>
      <c r="H425">
        <v>3</v>
      </c>
      <c r="I425" t="s">
        <v>538</v>
      </c>
      <c r="J425" t="s">
        <v>539</v>
      </c>
      <c r="K425" t="s">
        <v>540</v>
      </c>
      <c r="L425">
        <v>1348</v>
      </c>
      <c r="N425">
        <v>1009</v>
      </c>
      <c r="O425" t="s">
        <v>534</v>
      </c>
      <c r="P425" t="s">
        <v>534</v>
      </c>
      <c r="Q425">
        <v>1000</v>
      </c>
      <c r="X425">
        <v>4.4000000000000002E-4</v>
      </c>
      <c r="Y425">
        <v>16214.84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</v>
      </c>
      <c r="AG425">
        <v>4.4000000000000002E-4</v>
      </c>
      <c r="AH425">
        <v>2</v>
      </c>
      <c r="AI425">
        <v>60255685</v>
      </c>
      <c r="AJ425">
        <v>383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ROW(Source!A296)</f>
        <v>296</v>
      </c>
      <c r="B426">
        <v>60255963</v>
      </c>
      <c r="C426">
        <v>60255674</v>
      </c>
      <c r="D426">
        <v>59039344</v>
      </c>
      <c r="E426">
        <v>1</v>
      </c>
      <c r="F426">
        <v>1</v>
      </c>
      <c r="G426">
        <v>1080</v>
      </c>
      <c r="H426">
        <v>3</v>
      </c>
      <c r="I426" t="s">
        <v>541</v>
      </c>
      <c r="J426" t="s">
        <v>542</v>
      </c>
      <c r="K426" t="s">
        <v>543</v>
      </c>
      <c r="L426">
        <v>1346</v>
      </c>
      <c r="N426">
        <v>1009</v>
      </c>
      <c r="O426" t="s">
        <v>528</v>
      </c>
      <c r="P426" t="s">
        <v>528</v>
      </c>
      <c r="Q426">
        <v>1</v>
      </c>
      <c r="X426">
        <v>0.53</v>
      </c>
      <c r="Y426">
        <v>20.190000000000001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3</v>
      </c>
      <c r="AG426">
        <v>0.53</v>
      </c>
      <c r="AH426">
        <v>2</v>
      </c>
      <c r="AI426">
        <v>60255686</v>
      </c>
      <c r="AJ426">
        <v>384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ROW(Source!A296)</f>
        <v>296</v>
      </c>
      <c r="B427">
        <v>60255964</v>
      </c>
      <c r="C427">
        <v>60255674</v>
      </c>
      <c r="D427">
        <v>59000379</v>
      </c>
      <c r="E427">
        <v>1080</v>
      </c>
      <c r="F427">
        <v>1</v>
      </c>
      <c r="G427">
        <v>1080</v>
      </c>
      <c r="H427">
        <v>3</v>
      </c>
      <c r="I427" t="s">
        <v>605</v>
      </c>
      <c r="J427" t="s">
        <v>3</v>
      </c>
      <c r="K427" t="s">
        <v>606</v>
      </c>
      <c r="L427">
        <v>1346</v>
      </c>
      <c r="N427">
        <v>1009</v>
      </c>
      <c r="O427" t="s">
        <v>528</v>
      </c>
      <c r="P427" t="s">
        <v>528</v>
      </c>
      <c r="Q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3</v>
      </c>
      <c r="AG427">
        <v>0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ROW(Source!A296)</f>
        <v>296</v>
      </c>
      <c r="B428">
        <v>60255965</v>
      </c>
      <c r="C428">
        <v>60255674</v>
      </c>
      <c r="D428">
        <v>59020043</v>
      </c>
      <c r="E428">
        <v>1080</v>
      </c>
      <c r="F428">
        <v>1</v>
      </c>
      <c r="G428">
        <v>1080</v>
      </c>
      <c r="H428">
        <v>3</v>
      </c>
      <c r="I428" t="s">
        <v>607</v>
      </c>
      <c r="J428" t="s">
        <v>3</v>
      </c>
      <c r="K428" t="s">
        <v>293</v>
      </c>
      <c r="L428">
        <v>1354</v>
      </c>
      <c r="N428">
        <v>1010</v>
      </c>
      <c r="O428" t="s">
        <v>31</v>
      </c>
      <c r="P428" t="s">
        <v>31</v>
      </c>
      <c r="Q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3</v>
      </c>
      <c r="AG428">
        <v>0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ROW(Source!A296)</f>
        <v>296</v>
      </c>
      <c r="B429">
        <v>60255966</v>
      </c>
      <c r="C429">
        <v>60255674</v>
      </c>
      <c r="D429">
        <v>59022812</v>
      </c>
      <c r="E429">
        <v>1080</v>
      </c>
      <c r="F429">
        <v>1</v>
      </c>
      <c r="G429">
        <v>1080</v>
      </c>
      <c r="H429">
        <v>3</v>
      </c>
      <c r="I429" t="s">
        <v>608</v>
      </c>
      <c r="J429" t="s">
        <v>3</v>
      </c>
      <c r="K429" t="s">
        <v>609</v>
      </c>
      <c r="L429">
        <v>1301</v>
      </c>
      <c r="N429">
        <v>1003</v>
      </c>
      <c r="O429" t="s">
        <v>376</v>
      </c>
      <c r="P429" t="s">
        <v>376</v>
      </c>
      <c r="Q429">
        <v>1</v>
      </c>
      <c r="X429">
        <v>100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3</v>
      </c>
      <c r="AG429">
        <v>100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ROW(Source!A297)</f>
        <v>297</v>
      </c>
      <c r="B430">
        <v>60255952</v>
      </c>
      <c r="C430">
        <v>60255674</v>
      </c>
      <c r="D430">
        <v>58999254</v>
      </c>
      <c r="E430">
        <v>1080</v>
      </c>
      <c r="F430">
        <v>1</v>
      </c>
      <c r="G430">
        <v>1080</v>
      </c>
      <c r="H430">
        <v>1</v>
      </c>
      <c r="I430" t="s">
        <v>482</v>
      </c>
      <c r="J430" t="s">
        <v>3</v>
      </c>
      <c r="K430" t="s">
        <v>483</v>
      </c>
      <c r="L430">
        <v>1191</v>
      </c>
      <c r="N430">
        <v>1013</v>
      </c>
      <c r="O430" t="s">
        <v>484</v>
      </c>
      <c r="P430" t="s">
        <v>484</v>
      </c>
      <c r="Q430">
        <v>1</v>
      </c>
      <c r="X430">
        <v>29.7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 t="s">
        <v>99</v>
      </c>
      <c r="AG430">
        <v>37.570499999999996</v>
      </c>
      <c r="AH430">
        <v>2</v>
      </c>
      <c r="AI430">
        <v>60255675</v>
      </c>
      <c r="AJ430">
        <v>386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ROW(Source!A297)</f>
        <v>297</v>
      </c>
      <c r="B431">
        <v>60255953</v>
      </c>
      <c r="C431">
        <v>60255674</v>
      </c>
      <c r="D431">
        <v>59070372</v>
      </c>
      <c r="E431">
        <v>1</v>
      </c>
      <c r="F431">
        <v>1</v>
      </c>
      <c r="G431">
        <v>1080</v>
      </c>
      <c r="H431">
        <v>2</v>
      </c>
      <c r="I431" t="s">
        <v>556</v>
      </c>
      <c r="J431" t="s">
        <v>557</v>
      </c>
      <c r="K431" t="s">
        <v>558</v>
      </c>
      <c r="L431">
        <v>1368</v>
      </c>
      <c r="N431">
        <v>1011</v>
      </c>
      <c r="O431" t="s">
        <v>488</v>
      </c>
      <c r="P431" t="s">
        <v>488</v>
      </c>
      <c r="Q431">
        <v>1</v>
      </c>
      <c r="X431">
        <v>1.1499999999999999</v>
      </c>
      <c r="Y431">
        <v>0</v>
      </c>
      <c r="Z431">
        <v>0.28000000000000003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98</v>
      </c>
      <c r="AG431">
        <v>1.58125</v>
      </c>
      <c r="AH431">
        <v>2</v>
      </c>
      <c r="AI431">
        <v>60255676</v>
      </c>
      <c r="AJ431">
        <v>387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ROW(Source!A297)</f>
        <v>297</v>
      </c>
      <c r="B432">
        <v>60255954</v>
      </c>
      <c r="C432">
        <v>60255674</v>
      </c>
      <c r="D432">
        <v>59070669</v>
      </c>
      <c r="E432">
        <v>1</v>
      </c>
      <c r="F432">
        <v>1</v>
      </c>
      <c r="G432">
        <v>1080</v>
      </c>
      <c r="H432">
        <v>2</v>
      </c>
      <c r="I432" t="s">
        <v>485</v>
      </c>
      <c r="J432" t="s">
        <v>486</v>
      </c>
      <c r="K432" t="s">
        <v>487</v>
      </c>
      <c r="L432">
        <v>1368</v>
      </c>
      <c r="N432">
        <v>1011</v>
      </c>
      <c r="O432" t="s">
        <v>488</v>
      </c>
      <c r="P432" t="s">
        <v>488</v>
      </c>
      <c r="Q432">
        <v>1</v>
      </c>
      <c r="X432">
        <v>0.35</v>
      </c>
      <c r="Y432">
        <v>0</v>
      </c>
      <c r="Z432">
        <v>83.1</v>
      </c>
      <c r="AA432">
        <v>12.62</v>
      </c>
      <c r="AB432">
        <v>0</v>
      </c>
      <c r="AC432">
        <v>0</v>
      </c>
      <c r="AD432">
        <v>1</v>
      </c>
      <c r="AE432">
        <v>0</v>
      </c>
      <c r="AF432" t="s">
        <v>98</v>
      </c>
      <c r="AG432">
        <v>0.48125000000000007</v>
      </c>
      <c r="AH432">
        <v>2</v>
      </c>
      <c r="AI432">
        <v>60255677</v>
      </c>
      <c r="AJ432">
        <v>388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ROW(Source!A297)</f>
        <v>297</v>
      </c>
      <c r="B433">
        <v>60255955</v>
      </c>
      <c r="C433">
        <v>60255674</v>
      </c>
      <c r="D433">
        <v>59069905</v>
      </c>
      <c r="E433">
        <v>1</v>
      </c>
      <c r="F433">
        <v>1</v>
      </c>
      <c r="G433">
        <v>1080</v>
      </c>
      <c r="H433">
        <v>2</v>
      </c>
      <c r="I433" t="s">
        <v>503</v>
      </c>
      <c r="J433" t="s">
        <v>504</v>
      </c>
      <c r="K433" t="s">
        <v>505</v>
      </c>
      <c r="L433">
        <v>1368</v>
      </c>
      <c r="N433">
        <v>1011</v>
      </c>
      <c r="O433" t="s">
        <v>488</v>
      </c>
      <c r="P433" t="s">
        <v>488</v>
      </c>
      <c r="Q433">
        <v>1</v>
      </c>
      <c r="X433">
        <v>7.0000000000000007E-2</v>
      </c>
      <c r="Y433">
        <v>0</v>
      </c>
      <c r="Z433">
        <v>179.17</v>
      </c>
      <c r="AA433">
        <v>16.93</v>
      </c>
      <c r="AB433">
        <v>0</v>
      </c>
      <c r="AC433">
        <v>0</v>
      </c>
      <c r="AD433">
        <v>1</v>
      </c>
      <c r="AE433">
        <v>0</v>
      </c>
      <c r="AF433" t="s">
        <v>98</v>
      </c>
      <c r="AG433">
        <v>9.6250000000000016E-2</v>
      </c>
      <c r="AH433">
        <v>2</v>
      </c>
      <c r="AI433">
        <v>60255678</v>
      </c>
      <c r="AJ433">
        <v>389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ROW(Source!A297)</f>
        <v>297</v>
      </c>
      <c r="B434">
        <v>60255956</v>
      </c>
      <c r="C434">
        <v>60255674</v>
      </c>
      <c r="D434">
        <v>59038905</v>
      </c>
      <c r="E434">
        <v>1</v>
      </c>
      <c r="F434">
        <v>1</v>
      </c>
      <c r="G434">
        <v>1080</v>
      </c>
      <c r="H434">
        <v>3</v>
      </c>
      <c r="I434" t="s">
        <v>506</v>
      </c>
      <c r="J434" t="s">
        <v>507</v>
      </c>
      <c r="K434" t="s">
        <v>508</v>
      </c>
      <c r="L434">
        <v>1339</v>
      </c>
      <c r="N434">
        <v>1007</v>
      </c>
      <c r="O434" t="s">
        <v>509</v>
      </c>
      <c r="P434" t="s">
        <v>509</v>
      </c>
      <c r="Q434">
        <v>1</v>
      </c>
      <c r="X434">
        <v>0.28799999999999998</v>
      </c>
      <c r="Y434">
        <v>7.07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</v>
      </c>
      <c r="AG434">
        <v>0.28799999999999998</v>
      </c>
      <c r="AH434">
        <v>2</v>
      </c>
      <c r="AI434">
        <v>60255679</v>
      </c>
      <c r="AJ434">
        <v>390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ROW(Source!A297)</f>
        <v>297</v>
      </c>
      <c r="B435">
        <v>60255957</v>
      </c>
      <c r="C435">
        <v>60255674</v>
      </c>
      <c r="D435">
        <v>59040044</v>
      </c>
      <c r="E435">
        <v>1</v>
      </c>
      <c r="F435">
        <v>1</v>
      </c>
      <c r="G435">
        <v>1080</v>
      </c>
      <c r="H435">
        <v>3</v>
      </c>
      <c r="I435" t="s">
        <v>559</v>
      </c>
      <c r="J435" t="s">
        <v>560</v>
      </c>
      <c r="K435" t="s">
        <v>561</v>
      </c>
      <c r="L435">
        <v>1346</v>
      </c>
      <c r="N435">
        <v>1009</v>
      </c>
      <c r="O435" t="s">
        <v>528</v>
      </c>
      <c r="P435" t="s">
        <v>528</v>
      </c>
      <c r="Q435">
        <v>1</v>
      </c>
      <c r="X435">
        <v>0.17</v>
      </c>
      <c r="Y435">
        <v>21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3</v>
      </c>
      <c r="AG435">
        <v>0.17</v>
      </c>
      <c r="AH435">
        <v>2</v>
      </c>
      <c r="AI435">
        <v>60255680</v>
      </c>
      <c r="AJ435">
        <v>391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ROW(Source!A297)</f>
        <v>297</v>
      </c>
      <c r="B436">
        <v>60255958</v>
      </c>
      <c r="C436">
        <v>60255674</v>
      </c>
      <c r="D436">
        <v>59040617</v>
      </c>
      <c r="E436">
        <v>1</v>
      </c>
      <c r="F436">
        <v>1</v>
      </c>
      <c r="G436">
        <v>1080</v>
      </c>
      <c r="H436">
        <v>3</v>
      </c>
      <c r="I436" t="s">
        <v>535</v>
      </c>
      <c r="J436" t="s">
        <v>536</v>
      </c>
      <c r="K436" t="s">
        <v>537</v>
      </c>
      <c r="L436">
        <v>1346</v>
      </c>
      <c r="N436">
        <v>1009</v>
      </c>
      <c r="O436" t="s">
        <v>528</v>
      </c>
      <c r="P436" t="s">
        <v>528</v>
      </c>
      <c r="Q436">
        <v>1</v>
      </c>
      <c r="X436">
        <v>0.06</v>
      </c>
      <c r="Y436">
        <v>37.979999999999997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</v>
      </c>
      <c r="AG436">
        <v>0.06</v>
      </c>
      <c r="AH436">
        <v>2</v>
      </c>
      <c r="AI436">
        <v>60255681</v>
      </c>
      <c r="AJ436">
        <v>392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ROW(Source!A297)</f>
        <v>297</v>
      </c>
      <c r="B437">
        <v>60255959</v>
      </c>
      <c r="C437">
        <v>60255674</v>
      </c>
      <c r="D437">
        <v>59039024</v>
      </c>
      <c r="E437">
        <v>1</v>
      </c>
      <c r="F437">
        <v>1</v>
      </c>
      <c r="G437">
        <v>1080</v>
      </c>
      <c r="H437">
        <v>3</v>
      </c>
      <c r="I437" t="s">
        <v>562</v>
      </c>
      <c r="J437" t="s">
        <v>563</v>
      </c>
      <c r="K437" t="s">
        <v>564</v>
      </c>
      <c r="L437">
        <v>1348</v>
      </c>
      <c r="N437">
        <v>1009</v>
      </c>
      <c r="O437" t="s">
        <v>534</v>
      </c>
      <c r="P437" t="s">
        <v>534</v>
      </c>
      <c r="Q437">
        <v>1000</v>
      </c>
      <c r="X437">
        <v>1.0000000000000001E-5</v>
      </c>
      <c r="Y437">
        <v>3234.81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</v>
      </c>
      <c r="AG437">
        <v>1.0000000000000001E-5</v>
      </c>
      <c r="AH437">
        <v>2</v>
      </c>
      <c r="AI437">
        <v>60255682</v>
      </c>
      <c r="AJ437">
        <v>393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ROW(Source!A297)</f>
        <v>297</v>
      </c>
      <c r="B438">
        <v>60255960</v>
      </c>
      <c r="C438">
        <v>60255674</v>
      </c>
      <c r="D438">
        <v>59038837</v>
      </c>
      <c r="E438">
        <v>1</v>
      </c>
      <c r="F438">
        <v>1</v>
      </c>
      <c r="G438">
        <v>1080</v>
      </c>
      <c r="H438">
        <v>3</v>
      </c>
      <c r="I438" t="s">
        <v>565</v>
      </c>
      <c r="J438" t="s">
        <v>566</v>
      </c>
      <c r="K438" t="s">
        <v>567</v>
      </c>
      <c r="L438">
        <v>1339</v>
      </c>
      <c r="N438">
        <v>1007</v>
      </c>
      <c r="O438" t="s">
        <v>509</v>
      </c>
      <c r="P438" t="s">
        <v>509</v>
      </c>
      <c r="Q438">
        <v>1</v>
      </c>
      <c r="X438">
        <v>0.11899999999999999</v>
      </c>
      <c r="Y438">
        <v>53.42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3</v>
      </c>
      <c r="AG438">
        <v>0.11899999999999999</v>
      </c>
      <c r="AH438">
        <v>2</v>
      </c>
      <c r="AI438">
        <v>60255683</v>
      </c>
      <c r="AJ438">
        <v>394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ROW(Source!A297)</f>
        <v>297</v>
      </c>
      <c r="B439">
        <v>60255961</v>
      </c>
      <c r="C439">
        <v>60255674</v>
      </c>
      <c r="D439">
        <v>59039103</v>
      </c>
      <c r="E439">
        <v>1</v>
      </c>
      <c r="F439">
        <v>1</v>
      </c>
      <c r="G439">
        <v>1080</v>
      </c>
      <c r="H439">
        <v>3</v>
      </c>
      <c r="I439" t="s">
        <v>568</v>
      </c>
      <c r="J439" t="s">
        <v>569</v>
      </c>
      <c r="K439" t="s">
        <v>570</v>
      </c>
      <c r="L439">
        <v>1339</v>
      </c>
      <c r="N439">
        <v>1007</v>
      </c>
      <c r="O439" t="s">
        <v>509</v>
      </c>
      <c r="P439" t="s">
        <v>509</v>
      </c>
      <c r="Q439">
        <v>1</v>
      </c>
      <c r="X439">
        <v>0.28100000000000003</v>
      </c>
      <c r="Y439">
        <v>5.82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</v>
      </c>
      <c r="AG439">
        <v>0.28100000000000003</v>
      </c>
      <c r="AH439">
        <v>2</v>
      </c>
      <c r="AI439">
        <v>60255684</v>
      </c>
      <c r="AJ439">
        <v>395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ROW(Source!A297)</f>
        <v>297</v>
      </c>
      <c r="B440">
        <v>60255962</v>
      </c>
      <c r="C440">
        <v>60255674</v>
      </c>
      <c r="D440">
        <v>59039175</v>
      </c>
      <c r="E440">
        <v>1</v>
      </c>
      <c r="F440">
        <v>1</v>
      </c>
      <c r="G440">
        <v>1080</v>
      </c>
      <c r="H440">
        <v>3</v>
      </c>
      <c r="I440" t="s">
        <v>538</v>
      </c>
      <c r="J440" t="s">
        <v>539</v>
      </c>
      <c r="K440" t="s">
        <v>540</v>
      </c>
      <c r="L440">
        <v>1348</v>
      </c>
      <c r="N440">
        <v>1009</v>
      </c>
      <c r="O440" t="s">
        <v>534</v>
      </c>
      <c r="P440" t="s">
        <v>534</v>
      </c>
      <c r="Q440">
        <v>1000</v>
      </c>
      <c r="X440">
        <v>4.4000000000000002E-4</v>
      </c>
      <c r="Y440">
        <v>16214.84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3</v>
      </c>
      <c r="AG440">
        <v>4.4000000000000002E-4</v>
      </c>
      <c r="AH440">
        <v>2</v>
      </c>
      <c r="AI440">
        <v>60255685</v>
      </c>
      <c r="AJ440">
        <v>396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ROW(Source!A297)</f>
        <v>297</v>
      </c>
      <c r="B441">
        <v>60255963</v>
      </c>
      <c r="C441">
        <v>60255674</v>
      </c>
      <c r="D441">
        <v>59039344</v>
      </c>
      <c r="E441">
        <v>1</v>
      </c>
      <c r="F441">
        <v>1</v>
      </c>
      <c r="G441">
        <v>1080</v>
      </c>
      <c r="H441">
        <v>3</v>
      </c>
      <c r="I441" t="s">
        <v>541</v>
      </c>
      <c r="J441" t="s">
        <v>542</v>
      </c>
      <c r="K441" t="s">
        <v>543</v>
      </c>
      <c r="L441">
        <v>1346</v>
      </c>
      <c r="N441">
        <v>1009</v>
      </c>
      <c r="O441" t="s">
        <v>528</v>
      </c>
      <c r="P441" t="s">
        <v>528</v>
      </c>
      <c r="Q441">
        <v>1</v>
      </c>
      <c r="X441">
        <v>0.53</v>
      </c>
      <c r="Y441">
        <v>20.190000000000001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3</v>
      </c>
      <c r="AG441">
        <v>0.53</v>
      </c>
      <c r="AH441">
        <v>2</v>
      </c>
      <c r="AI441">
        <v>60255686</v>
      </c>
      <c r="AJ441">
        <v>397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ROW(Source!A297)</f>
        <v>297</v>
      </c>
      <c r="B442">
        <v>60255964</v>
      </c>
      <c r="C442">
        <v>60255674</v>
      </c>
      <c r="D442">
        <v>59000379</v>
      </c>
      <c r="E442">
        <v>1080</v>
      </c>
      <c r="F442">
        <v>1</v>
      </c>
      <c r="G442">
        <v>1080</v>
      </c>
      <c r="H442">
        <v>3</v>
      </c>
      <c r="I442" t="s">
        <v>605</v>
      </c>
      <c r="J442" t="s">
        <v>3</v>
      </c>
      <c r="K442" t="s">
        <v>606</v>
      </c>
      <c r="L442">
        <v>1346</v>
      </c>
      <c r="N442">
        <v>1009</v>
      </c>
      <c r="O442" t="s">
        <v>528</v>
      </c>
      <c r="P442" t="s">
        <v>528</v>
      </c>
      <c r="Q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</v>
      </c>
      <c r="AG442">
        <v>0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ROW(Source!A297)</f>
        <v>297</v>
      </c>
      <c r="B443">
        <v>60255965</v>
      </c>
      <c r="C443">
        <v>60255674</v>
      </c>
      <c r="D443">
        <v>59020043</v>
      </c>
      <c r="E443">
        <v>1080</v>
      </c>
      <c r="F443">
        <v>1</v>
      </c>
      <c r="G443">
        <v>1080</v>
      </c>
      <c r="H443">
        <v>3</v>
      </c>
      <c r="I443" t="s">
        <v>607</v>
      </c>
      <c r="J443" t="s">
        <v>3</v>
      </c>
      <c r="K443" t="s">
        <v>293</v>
      </c>
      <c r="L443">
        <v>1354</v>
      </c>
      <c r="N443">
        <v>1010</v>
      </c>
      <c r="O443" t="s">
        <v>31</v>
      </c>
      <c r="P443" t="s">
        <v>31</v>
      </c>
      <c r="Q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</v>
      </c>
      <c r="AG443">
        <v>0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ROW(Source!A297)</f>
        <v>297</v>
      </c>
      <c r="B444">
        <v>60255966</v>
      </c>
      <c r="C444">
        <v>60255674</v>
      </c>
      <c r="D444">
        <v>59022812</v>
      </c>
      <c r="E444">
        <v>1080</v>
      </c>
      <c r="F444">
        <v>1</v>
      </c>
      <c r="G444">
        <v>1080</v>
      </c>
      <c r="H444">
        <v>3</v>
      </c>
      <c r="I444" t="s">
        <v>608</v>
      </c>
      <c r="J444" t="s">
        <v>3</v>
      </c>
      <c r="K444" t="s">
        <v>609</v>
      </c>
      <c r="L444">
        <v>1301</v>
      </c>
      <c r="N444">
        <v>1003</v>
      </c>
      <c r="O444" t="s">
        <v>376</v>
      </c>
      <c r="P444" t="s">
        <v>376</v>
      </c>
      <c r="Q444">
        <v>1</v>
      </c>
      <c r="X444">
        <v>100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</v>
      </c>
      <c r="AG444">
        <v>100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ROW(Source!A300)</f>
        <v>300</v>
      </c>
      <c r="B445">
        <v>60255967</v>
      </c>
      <c r="C445">
        <v>60255704</v>
      </c>
      <c r="D445">
        <v>58999254</v>
      </c>
      <c r="E445">
        <v>1080</v>
      </c>
      <c r="F445">
        <v>1</v>
      </c>
      <c r="G445">
        <v>1080</v>
      </c>
      <c r="H445">
        <v>1</v>
      </c>
      <c r="I445" t="s">
        <v>482</v>
      </c>
      <c r="J445" t="s">
        <v>3</v>
      </c>
      <c r="K445" t="s">
        <v>483</v>
      </c>
      <c r="L445">
        <v>1191</v>
      </c>
      <c r="N445">
        <v>1013</v>
      </c>
      <c r="O445" t="s">
        <v>484</v>
      </c>
      <c r="P445" t="s">
        <v>484</v>
      </c>
      <c r="Q445">
        <v>1</v>
      </c>
      <c r="X445">
        <v>29.7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 t="s">
        <v>99</v>
      </c>
      <c r="AG445">
        <v>37.570499999999996</v>
      </c>
      <c r="AH445">
        <v>2</v>
      </c>
      <c r="AI445">
        <v>60255705</v>
      </c>
      <c r="AJ445">
        <v>399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ROW(Source!A300)</f>
        <v>300</v>
      </c>
      <c r="B446">
        <v>60255968</v>
      </c>
      <c r="C446">
        <v>60255704</v>
      </c>
      <c r="D446">
        <v>59070372</v>
      </c>
      <c r="E446">
        <v>1</v>
      </c>
      <c r="F446">
        <v>1</v>
      </c>
      <c r="G446">
        <v>1080</v>
      </c>
      <c r="H446">
        <v>2</v>
      </c>
      <c r="I446" t="s">
        <v>556</v>
      </c>
      <c r="J446" t="s">
        <v>557</v>
      </c>
      <c r="K446" t="s">
        <v>558</v>
      </c>
      <c r="L446">
        <v>1368</v>
      </c>
      <c r="N446">
        <v>1011</v>
      </c>
      <c r="O446" t="s">
        <v>488</v>
      </c>
      <c r="P446" t="s">
        <v>488</v>
      </c>
      <c r="Q446">
        <v>1</v>
      </c>
      <c r="X446">
        <v>1.1499999999999999</v>
      </c>
      <c r="Y446">
        <v>0</v>
      </c>
      <c r="Z446">
        <v>0.28000000000000003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98</v>
      </c>
      <c r="AG446">
        <v>1.58125</v>
      </c>
      <c r="AH446">
        <v>2</v>
      </c>
      <c r="AI446">
        <v>60255706</v>
      </c>
      <c r="AJ446">
        <v>400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ROW(Source!A300)</f>
        <v>300</v>
      </c>
      <c r="B447">
        <v>60255969</v>
      </c>
      <c r="C447">
        <v>60255704</v>
      </c>
      <c r="D447">
        <v>59070669</v>
      </c>
      <c r="E447">
        <v>1</v>
      </c>
      <c r="F447">
        <v>1</v>
      </c>
      <c r="G447">
        <v>1080</v>
      </c>
      <c r="H447">
        <v>2</v>
      </c>
      <c r="I447" t="s">
        <v>485</v>
      </c>
      <c r="J447" t="s">
        <v>486</v>
      </c>
      <c r="K447" t="s">
        <v>487</v>
      </c>
      <c r="L447">
        <v>1368</v>
      </c>
      <c r="N447">
        <v>1011</v>
      </c>
      <c r="O447" t="s">
        <v>488</v>
      </c>
      <c r="P447" t="s">
        <v>488</v>
      </c>
      <c r="Q447">
        <v>1</v>
      </c>
      <c r="X447">
        <v>0.35</v>
      </c>
      <c r="Y447">
        <v>0</v>
      </c>
      <c r="Z447">
        <v>83.1</v>
      </c>
      <c r="AA447">
        <v>12.62</v>
      </c>
      <c r="AB447">
        <v>0</v>
      </c>
      <c r="AC447">
        <v>0</v>
      </c>
      <c r="AD447">
        <v>1</v>
      </c>
      <c r="AE447">
        <v>0</v>
      </c>
      <c r="AF447" t="s">
        <v>98</v>
      </c>
      <c r="AG447">
        <v>0.48125000000000007</v>
      </c>
      <c r="AH447">
        <v>2</v>
      </c>
      <c r="AI447">
        <v>60255707</v>
      </c>
      <c r="AJ447">
        <v>401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ROW(Source!A300)</f>
        <v>300</v>
      </c>
      <c r="B448">
        <v>60255970</v>
      </c>
      <c r="C448">
        <v>60255704</v>
      </c>
      <c r="D448">
        <v>59069905</v>
      </c>
      <c r="E448">
        <v>1</v>
      </c>
      <c r="F448">
        <v>1</v>
      </c>
      <c r="G448">
        <v>1080</v>
      </c>
      <c r="H448">
        <v>2</v>
      </c>
      <c r="I448" t="s">
        <v>503</v>
      </c>
      <c r="J448" t="s">
        <v>504</v>
      </c>
      <c r="K448" t="s">
        <v>505</v>
      </c>
      <c r="L448">
        <v>1368</v>
      </c>
      <c r="N448">
        <v>1011</v>
      </c>
      <c r="O448" t="s">
        <v>488</v>
      </c>
      <c r="P448" t="s">
        <v>488</v>
      </c>
      <c r="Q448">
        <v>1</v>
      </c>
      <c r="X448">
        <v>7.0000000000000007E-2</v>
      </c>
      <c r="Y448">
        <v>0</v>
      </c>
      <c r="Z448">
        <v>179.17</v>
      </c>
      <c r="AA448">
        <v>16.93</v>
      </c>
      <c r="AB448">
        <v>0</v>
      </c>
      <c r="AC448">
        <v>0</v>
      </c>
      <c r="AD448">
        <v>1</v>
      </c>
      <c r="AE448">
        <v>0</v>
      </c>
      <c r="AF448" t="s">
        <v>98</v>
      </c>
      <c r="AG448">
        <v>9.6250000000000016E-2</v>
      </c>
      <c r="AH448">
        <v>2</v>
      </c>
      <c r="AI448">
        <v>60255708</v>
      </c>
      <c r="AJ448">
        <v>402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ROW(Source!A300)</f>
        <v>300</v>
      </c>
      <c r="B449">
        <v>60255971</v>
      </c>
      <c r="C449">
        <v>60255704</v>
      </c>
      <c r="D449">
        <v>59038905</v>
      </c>
      <c r="E449">
        <v>1</v>
      </c>
      <c r="F449">
        <v>1</v>
      </c>
      <c r="G449">
        <v>1080</v>
      </c>
      <c r="H449">
        <v>3</v>
      </c>
      <c r="I449" t="s">
        <v>506</v>
      </c>
      <c r="J449" t="s">
        <v>507</v>
      </c>
      <c r="K449" t="s">
        <v>508</v>
      </c>
      <c r="L449">
        <v>1339</v>
      </c>
      <c r="N449">
        <v>1007</v>
      </c>
      <c r="O449" t="s">
        <v>509</v>
      </c>
      <c r="P449" t="s">
        <v>509</v>
      </c>
      <c r="Q449">
        <v>1</v>
      </c>
      <c r="X449">
        <v>0.45400000000000001</v>
      </c>
      <c r="Y449">
        <v>7.07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</v>
      </c>
      <c r="AG449">
        <v>0.45400000000000001</v>
      </c>
      <c r="AH449">
        <v>2</v>
      </c>
      <c r="AI449">
        <v>60255709</v>
      </c>
      <c r="AJ449">
        <v>403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ROW(Source!A300)</f>
        <v>300</v>
      </c>
      <c r="B450">
        <v>60255972</v>
      </c>
      <c r="C450">
        <v>60255704</v>
      </c>
      <c r="D450">
        <v>59040044</v>
      </c>
      <c r="E450">
        <v>1</v>
      </c>
      <c r="F450">
        <v>1</v>
      </c>
      <c r="G450">
        <v>1080</v>
      </c>
      <c r="H450">
        <v>3</v>
      </c>
      <c r="I450" t="s">
        <v>559</v>
      </c>
      <c r="J450" t="s">
        <v>560</v>
      </c>
      <c r="K450" t="s">
        <v>561</v>
      </c>
      <c r="L450">
        <v>1346</v>
      </c>
      <c r="N450">
        <v>1009</v>
      </c>
      <c r="O450" t="s">
        <v>528</v>
      </c>
      <c r="P450" t="s">
        <v>528</v>
      </c>
      <c r="Q450">
        <v>1</v>
      </c>
      <c r="X450">
        <v>0.17</v>
      </c>
      <c r="Y450">
        <v>21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3</v>
      </c>
      <c r="AG450">
        <v>0.17</v>
      </c>
      <c r="AH450">
        <v>2</v>
      </c>
      <c r="AI450">
        <v>60255710</v>
      </c>
      <c r="AJ450">
        <v>404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ROW(Source!A300)</f>
        <v>300</v>
      </c>
      <c r="B451">
        <v>60255973</v>
      </c>
      <c r="C451">
        <v>60255704</v>
      </c>
      <c r="D451">
        <v>59040617</v>
      </c>
      <c r="E451">
        <v>1</v>
      </c>
      <c r="F451">
        <v>1</v>
      </c>
      <c r="G451">
        <v>1080</v>
      </c>
      <c r="H451">
        <v>3</v>
      </c>
      <c r="I451" t="s">
        <v>535</v>
      </c>
      <c r="J451" t="s">
        <v>536</v>
      </c>
      <c r="K451" t="s">
        <v>537</v>
      </c>
      <c r="L451">
        <v>1346</v>
      </c>
      <c r="N451">
        <v>1009</v>
      </c>
      <c r="O451" t="s">
        <v>528</v>
      </c>
      <c r="P451" t="s">
        <v>528</v>
      </c>
      <c r="Q451">
        <v>1</v>
      </c>
      <c r="X451">
        <v>0.06</v>
      </c>
      <c r="Y451">
        <v>37.979999999999997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3</v>
      </c>
      <c r="AG451">
        <v>0.06</v>
      </c>
      <c r="AH451">
        <v>2</v>
      </c>
      <c r="AI451">
        <v>60255711</v>
      </c>
      <c r="AJ451">
        <v>405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ROW(Source!A300)</f>
        <v>300</v>
      </c>
      <c r="B452">
        <v>60255974</v>
      </c>
      <c r="C452">
        <v>60255704</v>
      </c>
      <c r="D452">
        <v>59039024</v>
      </c>
      <c r="E452">
        <v>1</v>
      </c>
      <c r="F452">
        <v>1</v>
      </c>
      <c r="G452">
        <v>1080</v>
      </c>
      <c r="H452">
        <v>3</v>
      </c>
      <c r="I452" t="s">
        <v>562</v>
      </c>
      <c r="J452" t="s">
        <v>563</v>
      </c>
      <c r="K452" t="s">
        <v>564</v>
      </c>
      <c r="L452">
        <v>1348</v>
      </c>
      <c r="N452">
        <v>1009</v>
      </c>
      <c r="O452" t="s">
        <v>534</v>
      </c>
      <c r="P452" t="s">
        <v>534</v>
      </c>
      <c r="Q452">
        <v>1000</v>
      </c>
      <c r="X452">
        <v>1.0000000000000001E-5</v>
      </c>
      <c r="Y452">
        <v>3234.81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3</v>
      </c>
      <c r="AG452">
        <v>1.0000000000000001E-5</v>
      </c>
      <c r="AH452">
        <v>2</v>
      </c>
      <c r="AI452">
        <v>60255712</v>
      </c>
      <c r="AJ452">
        <v>406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ROW(Source!A300)</f>
        <v>300</v>
      </c>
      <c r="B453">
        <v>60255975</v>
      </c>
      <c r="C453">
        <v>60255704</v>
      </c>
      <c r="D453">
        <v>59038837</v>
      </c>
      <c r="E453">
        <v>1</v>
      </c>
      <c r="F453">
        <v>1</v>
      </c>
      <c r="G453">
        <v>1080</v>
      </c>
      <c r="H453">
        <v>3</v>
      </c>
      <c r="I453" t="s">
        <v>565</v>
      </c>
      <c r="J453" t="s">
        <v>566</v>
      </c>
      <c r="K453" t="s">
        <v>567</v>
      </c>
      <c r="L453">
        <v>1339</v>
      </c>
      <c r="N453">
        <v>1007</v>
      </c>
      <c r="O453" t="s">
        <v>509</v>
      </c>
      <c r="P453" t="s">
        <v>509</v>
      </c>
      <c r="Q453">
        <v>1</v>
      </c>
      <c r="X453">
        <v>0.11899999999999999</v>
      </c>
      <c r="Y453">
        <v>53.42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3</v>
      </c>
      <c r="AG453">
        <v>0.11899999999999999</v>
      </c>
      <c r="AH453">
        <v>2</v>
      </c>
      <c r="AI453">
        <v>60255713</v>
      </c>
      <c r="AJ453">
        <v>407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ROW(Source!A300)</f>
        <v>300</v>
      </c>
      <c r="B454">
        <v>60255976</v>
      </c>
      <c r="C454">
        <v>60255704</v>
      </c>
      <c r="D454">
        <v>59039103</v>
      </c>
      <c r="E454">
        <v>1</v>
      </c>
      <c r="F454">
        <v>1</v>
      </c>
      <c r="G454">
        <v>1080</v>
      </c>
      <c r="H454">
        <v>3</v>
      </c>
      <c r="I454" t="s">
        <v>568</v>
      </c>
      <c r="J454" t="s">
        <v>569</v>
      </c>
      <c r="K454" t="s">
        <v>570</v>
      </c>
      <c r="L454">
        <v>1339</v>
      </c>
      <c r="N454">
        <v>1007</v>
      </c>
      <c r="O454" t="s">
        <v>509</v>
      </c>
      <c r="P454" t="s">
        <v>509</v>
      </c>
      <c r="Q454">
        <v>1</v>
      </c>
      <c r="X454">
        <v>0.28100000000000003</v>
      </c>
      <c r="Y454">
        <v>5.82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3</v>
      </c>
      <c r="AG454">
        <v>0.28100000000000003</v>
      </c>
      <c r="AH454">
        <v>2</v>
      </c>
      <c r="AI454">
        <v>60255714</v>
      </c>
      <c r="AJ454">
        <v>408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ROW(Source!A300)</f>
        <v>300</v>
      </c>
      <c r="B455">
        <v>60255977</v>
      </c>
      <c r="C455">
        <v>60255704</v>
      </c>
      <c r="D455">
        <v>59039175</v>
      </c>
      <c r="E455">
        <v>1</v>
      </c>
      <c r="F455">
        <v>1</v>
      </c>
      <c r="G455">
        <v>1080</v>
      </c>
      <c r="H455">
        <v>3</v>
      </c>
      <c r="I455" t="s">
        <v>538</v>
      </c>
      <c r="J455" t="s">
        <v>539</v>
      </c>
      <c r="K455" t="s">
        <v>540</v>
      </c>
      <c r="L455">
        <v>1348</v>
      </c>
      <c r="N455">
        <v>1009</v>
      </c>
      <c r="O455" t="s">
        <v>534</v>
      </c>
      <c r="P455" t="s">
        <v>534</v>
      </c>
      <c r="Q455">
        <v>1000</v>
      </c>
      <c r="X455">
        <v>4.4000000000000002E-4</v>
      </c>
      <c r="Y455">
        <v>16214.84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3</v>
      </c>
      <c r="AG455">
        <v>4.4000000000000002E-4</v>
      </c>
      <c r="AH455">
        <v>2</v>
      </c>
      <c r="AI455">
        <v>60255715</v>
      </c>
      <c r="AJ455">
        <v>409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ROW(Source!A300)</f>
        <v>300</v>
      </c>
      <c r="B456">
        <v>60255978</v>
      </c>
      <c r="C456">
        <v>60255704</v>
      </c>
      <c r="D456">
        <v>59039344</v>
      </c>
      <c r="E456">
        <v>1</v>
      </c>
      <c r="F456">
        <v>1</v>
      </c>
      <c r="G456">
        <v>1080</v>
      </c>
      <c r="H456">
        <v>3</v>
      </c>
      <c r="I456" t="s">
        <v>541</v>
      </c>
      <c r="J456" t="s">
        <v>542</v>
      </c>
      <c r="K456" t="s">
        <v>543</v>
      </c>
      <c r="L456">
        <v>1346</v>
      </c>
      <c r="N456">
        <v>1009</v>
      </c>
      <c r="O456" t="s">
        <v>528</v>
      </c>
      <c r="P456" t="s">
        <v>528</v>
      </c>
      <c r="Q456">
        <v>1</v>
      </c>
      <c r="X456">
        <v>0.53</v>
      </c>
      <c r="Y456">
        <v>20.190000000000001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</v>
      </c>
      <c r="AG456">
        <v>0.53</v>
      </c>
      <c r="AH456">
        <v>2</v>
      </c>
      <c r="AI456">
        <v>60255716</v>
      </c>
      <c r="AJ456">
        <v>410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ROW(Source!A300)</f>
        <v>300</v>
      </c>
      <c r="B457">
        <v>60255979</v>
      </c>
      <c r="C457">
        <v>60255704</v>
      </c>
      <c r="D457">
        <v>59000379</v>
      </c>
      <c r="E457">
        <v>1080</v>
      </c>
      <c r="F457">
        <v>1</v>
      </c>
      <c r="G457">
        <v>1080</v>
      </c>
      <c r="H457">
        <v>3</v>
      </c>
      <c r="I457" t="s">
        <v>605</v>
      </c>
      <c r="J457" t="s">
        <v>3</v>
      </c>
      <c r="K457" t="s">
        <v>606</v>
      </c>
      <c r="L457">
        <v>1346</v>
      </c>
      <c r="N457">
        <v>1009</v>
      </c>
      <c r="O457" t="s">
        <v>528</v>
      </c>
      <c r="P457" t="s">
        <v>528</v>
      </c>
      <c r="Q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3</v>
      </c>
      <c r="AG457">
        <v>0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ROW(Source!A300)</f>
        <v>300</v>
      </c>
      <c r="B458">
        <v>60255980</v>
      </c>
      <c r="C458">
        <v>60255704</v>
      </c>
      <c r="D458">
        <v>59020043</v>
      </c>
      <c r="E458">
        <v>1080</v>
      </c>
      <c r="F458">
        <v>1</v>
      </c>
      <c r="G458">
        <v>1080</v>
      </c>
      <c r="H458">
        <v>3</v>
      </c>
      <c r="I458" t="s">
        <v>607</v>
      </c>
      <c r="J458" t="s">
        <v>3</v>
      </c>
      <c r="K458" t="s">
        <v>293</v>
      </c>
      <c r="L458">
        <v>1354</v>
      </c>
      <c r="N458">
        <v>1010</v>
      </c>
      <c r="O458" t="s">
        <v>31</v>
      </c>
      <c r="P458" t="s">
        <v>31</v>
      </c>
      <c r="Q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3</v>
      </c>
      <c r="AG458">
        <v>0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ROW(Source!A300)</f>
        <v>300</v>
      </c>
      <c r="B459">
        <v>60255981</v>
      </c>
      <c r="C459">
        <v>60255704</v>
      </c>
      <c r="D459">
        <v>59022812</v>
      </c>
      <c r="E459">
        <v>1080</v>
      </c>
      <c r="F459">
        <v>1</v>
      </c>
      <c r="G459">
        <v>1080</v>
      </c>
      <c r="H459">
        <v>3</v>
      </c>
      <c r="I459" t="s">
        <v>608</v>
      </c>
      <c r="J459" t="s">
        <v>3</v>
      </c>
      <c r="K459" t="s">
        <v>609</v>
      </c>
      <c r="L459">
        <v>1301</v>
      </c>
      <c r="N459">
        <v>1003</v>
      </c>
      <c r="O459" t="s">
        <v>376</v>
      </c>
      <c r="P459" t="s">
        <v>376</v>
      </c>
      <c r="Q459">
        <v>1</v>
      </c>
      <c r="X459">
        <v>100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3</v>
      </c>
      <c r="AG459">
        <v>100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ROW(Source!A301)</f>
        <v>301</v>
      </c>
      <c r="B460">
        <v>60255967</v>
      </c>
      <c r="C460">
        <v>60255704</v>
      </c>
      <c r="D460">
        <v>58999254</v>
      </c>
      <c r="E460">
        <v>1080</v>
      </c>
      <c r="F460">
        <v>1</v>
      </c>
      <c r="G460">
        <v>1080</v>
      </c>
      <c r="H460">
        <v>1</v>
      </c>
      <c r="I460" t="s">
        <v>482</v>
      </c>
      <c r="J460" t="s">
        <v>3</v>
      </c>
      <c r="K460" t="s">
        <v>483</v>
      </c>
      <c r="L460">
        <v>1191</v>
      </c>
      <c r="N460">
        <v>1013</v>
      </c>
      <c r="O460" t="s">
        <v>484</v>
      </c>
      <c r="P460" t="s">
        <v>484</v>
      </c>
      <c r="Q460">
        <v>1</v>
      </c>
      <c r="X460">
        <v>29.7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 t="s">
        <v>99</v>
      </c>
      <c r="AG460">
        <v>37.570499999999996</v>
      </c>
      <c r="AH460">
        <v>2</v>
      </c>
      <c r="AI460">
        <v>60255705</v>
      </c>
      <c r="AJ460">
        <v>412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ROW(Source!A301)</f>
        <v>301</v>
      </c>
      <c r="B461">
        <v>60255968</v>
      </c>
      <c r="C461">
        <v>60255704</v>
      </c>
      <c r="D461">
        <v>59070372</v>
      </c>
      <c r="E461">
        <v>1</v>
      </c>
      <c r="F461">
        <v>1</v>
      </c>
      <c r="G461">
        <v>1080</v>
      </c>
      <c r="H461">
        <v>2</v>
      </c>
      <c r="I461" t="s">
        <v>556</v>
      </c>
      <c r="J461" t="s">
        <v>557</v>
      </c>
      <c r="K461" t="s">
        <v>558</v>
      </c>
      <c r="L461">
        <v>1368</v>
      </c>
      <c r="N461">
        <v>1011</v>
      </c>
      <c r="O461" t="s">
        <v>488</v>
      </c>
      <c r="P461" t="s">
        <v>488</v>
      </c>
      <c r="Q461">
        <v>1</v>
      </c>
      <c r="X461">
        <v>1.1499999999999999</v>
      </c>
      <c r="Y461">
        <v>0</v>
      </c>
      <c r="Z461">
        <v>0.28000000000000003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98</v>
      </c>
      <c r="AG461">
        <v>1.58125</v>
      </c>
      <c r="AH461">
        <v>2</v>
      </c>
      <c r="AI461">
        <v>60255706</v>
      </c>
      <c r="AJ461">
        <v>413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ROW(Source!A301)</f>
        <v>301</v>
      </c>
      <c r="B462">
        <v>60255969</v>
      </c>
      <c r="C462">
        <v>60255704</v>
      </c>
      <c r="D462">
        <v>59070669</v>
      </c>
      <c r="E462">
        <v>1</v>
      </c>
      <c r="F462">
        <v>1</v>
      </c>
      <c r="G462">
        <v>1080</v>
      </c>
      <c r="H462">
        <v>2</v>
      </c>
      <c r="I462" t="s">
        <v>485</v>
      </c>
      <c r="J462" t="s">
        <v>486</v>
      </c>
      <c r="K462" t="s">
        <v>487</v>
      </c>
      <c r="L462">
        <v>1368</v>
      </c>
      <c r="N462">
        <v>1011</v>
      </c>
      <c r="O462" t="s">
        <v>488</v>
      </c>
      <c r="P462" t="s">
        <v>488</v>
      </c>
      <c r="Q462">
        <v>1</v>
      </c>
      <c r="X462">
        <v>0.35</v>
      </c>
      <c r="Y462">
        <v>0</v>
      </c>
      <c r="Z462">
        <v>83.1</v>
      </c>
      <c r="AA462">
        <v>12.62</v>
      </c>
      <c r="AB462">
        <v>0</v>
      </c>
      <c r="AC462">
        <v>0</v>
      </c>
      <c r="AD462">
        <v>1</v>
      </c>
      <c r="AE462">
        <v>0</v>
      </c>
      <c r="AF462" t="s">
        <v>98</v>
      </c>
      <c r="AG462">
        <v>0.48125000000000007</v>
      </c>
      <c r="AH462">
        <v>2</v>
      </c>
      <c r="AI462">
        <v>60255707</v>
      </c>
      <c r="AJ462">
        <v>414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ROW(Source!A301)</f>
        <v>301</v>
      </c>
      <c r="B463">
        <v>60255970</v>
      </c>
      <c r="C463">
        <v>60255704</v>
      </c>
      <c r="D463">
        <v>59069905</v>
      </c>
      <c r="E463">
        <v>1</v>
      </c>
      <c r="F463">
        <v>1</v>
      </c>
      <c r="G463">
        <v>1080</v>
      </c>
      <c r="H463">
        <v>2</v>
      </c>
      <c r="I463" t="s">
        <v>503</v>
      </c>
      <c r="J463" t="s">
        <v>504</v>
      </c>
      <c r="K463" t="s">
        <v>505</v>
      </c>
      <c r="L463">
        <v>1368</v>
      </c>
      <c r="N463">
        <v>1011</v>
      </c>
      <c r="O463" t="s">
        <v>488</v>
      </c>
      <c r="P463" t="s">
        <v>488</v>
      </c>
      <c r="Q463">
        <v>1</v>
      </c>
      <c r="X463">
        <v>7.0000000000000007E-2</v>
      </c>
      <c r="Y463">
        <v>0</v>
      </c>
      <c r="Z463">
        <v>179.17</v>
      </c>
      <c r="AA463">
        <v>16.93</v>
      </c>
      <c r="AB463">
        <v>0</v>
      </c>
      <c r="AC463">
        <v>0</v>
      </c>
      <c r="AD463">
        <v>1</v>
      </c>
      <c r="AE463">
        <v>0</v>
      </c>
      <c r="AF463" t="s">
        <v>98</v>
      </c>
      <c r="AG463">
        <v>9.6250000000000016E-2</v>
      </c>
      <c r="AH463">
        <v>2</v>
      </c>
      <c r="AI463">
        <v>60255708</v>
      </c>
      <c r="AJ463">
        <v>415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ROW(Source!A301)</f>
        <v>301</v>
      </c>
      <c r="B464">
        <v>60255971</v>
      </c>
      <c r="C464">
        <v>60255704</v>
      </c>
      <c r="D464">
        <v>59038905</v>
      </c>
      <c r="E464">
        <v>1</v>
      </c>
      <c r="F464">
        <v>1</v>
      </c>
      <c r="G464">
        <v>1080</v>
      </c>
      <c r="H464">
        <v>3</v>
      </c>
      <c r="I464" t="s">
        <v>506</v>
      </c>
      <c r="J464" t="s">
        <v>507</v>
      </c>
      <c r="K464" t="s">
        <v>508</v>
      </c>
      <c r="L464">
        <v>1339</v>
      </c>
      <c r="N464">
        <v>1007</v>
      </c>
      <c r="O464" t="s">
        <v>509</v>
      </c>
      <c r="P464" t="s">
        <v>509</v>
      </c>
      <c r="Q464">
        <v>1</v>
      </c>
      <c r="X464">
        <v>0.45400000000000001</v>
      </c>
      <c r="Y464">
        <v>7.07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3</v>
      </c>
      <c r="AG464">
        <v>0.45400000000000001</v>
      </c>
      <c r="AH464">
        <v>2</v>
      </c>
      <c r="AI464">
        <v>60255709</v>
      </c>
      <c r="AJ464">
        <v>416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ROW(Source!A301)</f>
        <v>301</v>
      </c>
      <c r="B465">
        <v>60255972</v>
      </c>
      <c r="C465">
        <v>60255704</v>
      </c>
      <c r="D465">
        <v>59040044</v>
      </c>
      <c r="E465">
        <v>1</v>
      </c>
      <c r="F465">
        <v>1</v>
      </c>
      <c r="G465">
        <v>1080</v>
      </c>
      <c r="H465">
        <v>3</v>
      </c>
      <c r="I465" t="s">
        <v>559</v>
      </c>
      <c r="J465" t="s">
        <v>560</v>
      </c>
      <c r="K465" t="s">
        <v>561</v>
      </c>
      <c r="L465">
        <v>1346</v>
      </c>
      <c r="N465">
        <v>1009</v>
      </c>
      <c r="O465" t="s">
        <v>528</v>
      </c>
      <c r="P465" t="s">
        <v>528</v>
      </c>
      <c r="Q465">
        <v>1</v>
      </c>
      <c r="X465">
        <v>0.17</v>
      </c>
      <c r="Y465">
        <v>21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3</v>
      </c>
      <c r="AG465">
        <v>0.17</v>
      </c>
      <c r="AH465">
        <v>2</v>
      </c>
      <c r="AI465">
        <v>60255710</v>
      </c>
      <c r="AJ465">
        <v>417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ROW(Source!A301)</f>
        <v>301</v>
      </c>
      <c r="B466">
        <v>60255973</v>
      </c>
      <c r="C466">
        <v>60255704</v>
      </c>
      <c r="D466">
        <v>59040617</v>
      </c>
      <c r="E466">
        <v>1</v>
      </c>
      <c r="F466">
        <v>1</v>
      </c>
      <c r="G466">
        <v>1080</v>
      </c>
      <c r="H466">
        <v>3</v>
      </c>
      <c r="I466" t="s">
        <v>535</v>
      </c>
      <c r="J466" t="s">
        <v>536</v>
      </c>
      <c r="K466" t="s">
        <v>537</v>
      </c>
      <c r="L466">
        <v>1346</v>
      </c>
      <c r="N466">
        <v>1009</v>
      </c>
      <c r="O466" t="s">
        <v>528</v>
      </c>
      <c r="P466" t="s">
        <v>528</v>
      </c>
      <c r="Q466">
        <v>1</v>
      </c>
      <c r="X466">
        <v>0.06</v>
      </c>
      <c r="Y466">
        <v>37.979999999999997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3</v>
      </c>
      <c r="AG466">
        <v>0.06</v>
      </c>
      <c r="AH466">
        <v>2</v>
      </c>
      <c r="AI466">
        <v>60255711</v>
      </c>
      <c r="AJ466">
        <v>418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ROW(Source!A301)</f>
        <v>301</v>
      </c>
      <c r="B467">
        <v>60255974</v>
      </c>
      <c r="C467">
        <v>60255704</v>
      </c>
      <c r="D467">
        <v>59039024</v>
      </c>
      <c r="E467">
        <v>1</v>
      </c>
      <c r="F467">
        <v>1</v>
      </c>
      <c r="G467">
        <v>1080</v>
      </c>
      <c r="H467">
        <v>3</v>
      </c>
      <c r="I467" t="s">
        <v>562</v>
      </c>
      <c r="J467" t="s">
        <v>563</v>
      </c>
      <c r="K467" t="s">
        <v>564</v>
      </c>
      <c r="L467">
        <v>1348</v>
      </c>
      <c r="N467">
        <v>1009</v>
      </c>
      <c r="O467" t="s">
        <v>534</v>
      </c>
      <c r="P467" t="s">
        <v>534</v>
      </c>
      <c r="Q467">
        <v>1000</v>
      </c>
      <c r="X467">
        <v>1.0000000000000001E-5</v>
      </c>
      <c r="Y467">
        <v>3234.81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</v>
      </c>
      <c r="AG467">
        <v>1.0000000000000001E-5</v>
      </c>
      <c r="AH467">
        <v>2</v>
      </c>
      <c r="AI467">
        <v>60255712</v>
      </c>
      <c r="AJ467">
        <v>419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ROW(Source!A301)</f>
        <v>301</v>
      </c>
      <c r="B468">
        <v>60255975</v>
      </c>
      <c r="C468">
        <v>60255704</v>
      </c>
      <c r="D468">
        <v>59038837</v>
      </c>
      <c r="E468">
        <v>1</v>
      </c>
      <c r="F468">
        <v>1</v>
      </c>
      <c r="G468">
        <v>1080</v>
      </c>
      <c r="H468">
        <v>3</v>
      </c>
      <c r="I468" t="s">
        <v>565</v>
      </c>
      <c r="J468" t="s">
        <v>566</v>
      </c>
      <c r="K468" t="s">
        <v>567</v>
      </c>
      <c r="L468">
        <v>1339</v>
      </c>
      <c r="N468">
        <v>1007</v>
      </c>
      <c r="O468" t="s">
        <v>509</v>
      </c>
      <c r="P468" t="s">
        <v>509</v>
      </c>
      <c r="Q468">
        <v>1</v>
      </c>
      <c r="X468">
        <v>0.11899999999999999</v>
      </c>
      <c r="Y468">
        <v>53.42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3</v>
      </c>
      <c r="AG468">
        <v>0.11899999999999999</v>
      </c>
      <c r="AH468">
        <v>2</v>
      </c>
      <c r="AI468">
        <v>60255713</v>
      </c>
      <c r="AJ468">
        <v>420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ROW(Source!A301)</f>
        <v>301</v>
      </c>
      <c r="B469">
        <v>60255976</v>
      </c>
      <c r="C469">
        <v>60255704</v>
      </c>
      <c r="D469">
        <v>59039103</v>
      </c>
      <c r="E469">
        <v>1</v>
      </c>
      <c r="F469">
        <v>1</v>
      </c>
      <c r="G469">
        <v>1080</v>
      </c>
      <c r="H469">
        <v>3</v>
      </c>
      <c r="I469" t="s">
        <v>568</v>
      </c>
      <c r="J469" t="s">
        <v>569</v>
      </c>
      <c r="K469" t="s">
        <v>570</v>
      </c>
      <c r="L469">
        <v>1339</v>
      </c>
      <c r="N469">
        <v>1007</v>
      </c>
      <c r="O469" t="s">
        <v>509</v>
      </c>
      <c r="P469" t="s">
        <v>509</v>
      </c>
      <c r="Q469">
        <v>1</v>
      </c>
      <c r="X469">
        <v>0.28100000000000003</v>
      </c>
      <c r="Y469">
        <v>5.82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3</v>
      </c>
      <c r="AG469">
        <v>0.28100000000000003</v>
      </c>
      <c r="AH469">
        <v>2</v>
      </c>
      <c r="AI469">
        <v>60255714</v>
      </c>
      <c r="AJ469">
        <v>421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ROW(Source!A301)</f>
        <v>301</v>
      </c>
      <c r="B470">
        <v>60255977</v>
      </c>
      <c r="C470">
        <v>60255704</v>
      </c>
      <c r="D470">
        <v>59039175</v>
      </c>
      <c r="E470">
        <v>1</v>
      </c>
      <c r="F470">
        <v>1</v>
      </c>
      <c r="G470">
        <v>1080</v>
      </c>
      <c r="H470">
        <v>3</v>
      </c>
      <c r="I470" t="s">
        <v>538</v>
      </c>
      <c r="J470" t="s">
        <v>539</v>
      </c>
      <c r="K470" t="s">
        <v>540</v>
      </c>
      <c r="L470">
        <v>1348</v>
      </c>
      <c r="N470">
        <v>1009</v>
      </c>
      <c r="O470" t="s">
        <v>534</v>
      </c>
      <c r="P470" t="s">
        <v>534</v>
      </c>
      <c r="Q470">
        <v>1000</v>
      </c>
      <c r="X470">
        <v>4.4000000000000002E-4</v>
      </c>
      <c r="Y470">
        <v>16214.84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</v>
      </c>
      <c r="AG470">
        <v>4.4000000000000002E-4</v>
      </c>
      <c r="AH470">
        <v>2</v>
      </c>
      <c r="AI470">
        <v>60255715</v>
      </c>
      <c r="AJ470">
        <v>422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ROW(Source!A301)</f>
        <v>301</v>
      </c>
      <c r="B471">
        <v>60255978</v>
      </c>
      <c r="C471">
        <v>60255704</v>
      </c>
      <c r="D471">
        <v>59039344</v>
      </c>
      <c r="E471">
        <v>1</v>
      </c>
      <c r="F471">
        <v>1</v>
      </c>
      <c r="G471">
        <v>1080</v>
      </c>
      <c r="H471">
        <v>3</v>
      </c>
      <c r="I471" t="s">
        <v>541</v>
      </c>
      <c r="J471" t="s">
        <v>542</v>
      </c>
      <c r="K471" t="s">
        <v>543</v>
      </c>
      <c r="L471">
        <v>1346</v>
      </c>
      <c r="N471">
        <v>1009</v>
      </c>
      <c r="O471" t="s">
        <v>528</v>
      </c>
      <c r="P471" t="s">
        <v>528</v>
      </c>
      <c r="Q471">
        <v>1</v>
      </c>
      <c r="X471">
        <v>0.53</v>
      </c>
      <c r="Y471">
        <v>20.190000000000001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0.53</v>
      </c>
      <c r="AH471">
        <v>2</v>
      </c>
      <c r="AI471">
        <v>60255716</v>
      </c>
      <c r="AJ471">
        <v>423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ROW(Source!A301)</f>
        <v>301</v>
      </c>
      <c r="B472">
        <v>60255979</v>
      </c>
      <c r="C472">
        <v>60255704</v>
      </c>
      <c r="D472">
        <v>59000379</v>
      </c>
      <c r="E472">
        <v>1080</v>
      </c>
      <c r="F472">
        <v>1</v>
      </c>
      <c r="G472">
        <v>1080</v>
      </c>
      <c r="H472">
        <v>3</v>
      </c>
      <c r="I472" t="s">
        <v>605</v>
      </c>
      <c r="J472" t="s">
        <v>3</v>
      </c>
      <c r="K472" t="s">
        <v>606</v>
      </c>
      <c r="L472">
        <v>1346</v>
      </c>
      <c r="N472">
        <v>1009</v>
      </c>
      <c r="O472" t="s">
        <v>528</v>
      </c>
      <c r="P472" t="s">
        <v>528</v>
      </c>
      <c r="Q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3</v>
      </c>
      <c r="AG472">
        <v>0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ROW(Source!A301)</f>
        <v>301</v>
      </c>
      <c r="B473">
        <v>60255980</v>
      </c>
      <c r="C473">
        <v>60255704</v>
      </c>
      <c r="D473">
        <v>59020043</v>
      </c>
      <c r="E473">
        <v>1080</v>
      </c>
      <c r="F473">
        <v>1</v>
      </c>
      <c r="G473">
        <v>1080</v>
      </c>
      <c r="H473">
        <v>3</v>
      </c>
      <c r="I473" t="s">
        <v>607</v>
      </c>
      <c r="J473" t="s">
        <v>3</v>
      </c>
      <c r="K473" t="s">
        <v>293</v>
      </c>
      <c r="L473">
        <v>1354</v>
      </c>
      <c r="N473">
        <v>1010</v>
      </c>
      <c r="O473" t="s">
        <v>31</v>
      </c>
      <c r="P473" t="s">
        <v>31</v>
      </c>
      <c r="Q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</v>
      </c>
      <c r="AG473">
        <v>0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ROW(Source!A301)</f>
        <v>301</v>
      </c>
      <c r="B474">
        <v>60255981</v>
      </c>
      <c r="C474">
        <v>60255704</v>
      </c>
      <c r="D474">
        <v>59022812</v>
      </c>
      <c r="E474">
        <v>1080</v>
      </c>
      <c r="F474">
        <v>1</v>
      </c>
      <c r="G474">
        <v>1080</v>
      </c>
      <c r="H474">
        <v>3</v>
      </c>
      <c r="I474" t="s">
        <v>608</v>
      </c>
      <c r="J474" t="s">
        <v>3</v>
      </c>
      <c r="K474" t="s">
        <v>609</v>
      </c>
      <c r="L474">
        <v>1301</v>
      </c>
      <c r="N474">
        <v>1003</v>
      </c>
      <c r="O474" t="s">
        <v>376</v>
      </c>
      <c r="P474" t="s">
        <v>376</v>
      </c>
      <c r="Q474">
        <v>1</v>
      </c>
      <c r="X474">
        <v>100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3</v>
      </c>
      <c r="AG474">
        <v>100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ROW(Source!A304)</f>
        <v>304</v>
      </c>
      <c r="B475">
        <v>60255982</v>
      </c>
      <c r="C475">
        <v>60255734</v>
      </c>
      <c r="D475">
        <v>58999254</v>
      </c>
      <c r="E475">
        <v>1080</v>
      </c>
      <c r="F475">
        <v>1</v>
      </c>
      <c r="G475">
        <v>1080</v>
      </c>
      <c r="H475">
        <v>1</v>
      </c>
      <c r="I475" t="s">
        <v>482</v>
      </c>
      <c r="J475" t="s">
        <v>3</v>
      </c>
      <c r="K475" t="s">
        <v>483</v>
      </c>
      <c r="L475">
        <v>1191</v>
      </c>
      <c r="N475">
        <v>1013</v>
      </c>
      <c r="O475" t="s">
        <v>484</v>
      </c>
      <c r="P475" t="s">
        <v>484</v>
      </c>
      <c r="Q475">
        <v>1</v>
      </c>
      <c r="X475">
        <v>55.3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99</v>
      </c>
      <c r="AG475">
        <v>69.954499999999996</v>
      </c>
      <c r="AH475">
        <v>2</v>
      </c>
      <c r="AI475">
        <v>60255735</v>
      </c>
      <c r="AJ475">
        <v>425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ROW(Source!A304)</f>
        <v>304</v>
      </c>
      <c r="B476">
        <v>60255983</v>
      </c>
      <c r="C476">
        <v>60255734</v>
      </c>
      <c r="D476">
        <v>59070372</v>
      </c>
      <c r="E476">
        <v>1</v>
      </c>
      <c r="F476">
        <v>1</v>
      </c>
      <c r="G476">
        <v>1080</v>
      </c>
      <c r="H476">
        <v>2</v>
      </c>
      <c r="I476" t="s">
        <v>556</v>
      </c>
      <c r="J476" t="s">
        <v>557</v>
      </c>
      <c r="K476" t="s">
        <v>558</v>
      </c>
      <c r="L476">
        <v>1368</v>
      </c>
      <c r="N476">
        <v>1011</v>
      </c>
      <c r="O476" t="s">
        <v>488</v>
      </c>
      <c r="P476" t="s">
        <v>488</v>
      </c>
      <c r="Q476">
        <v>1</v>
      </c>
      <c r="X476">
        <v>18.440000000000001</v>
      </c>
      <c r="Y476">
        <v>0</v>
      </c>
      <c r="Z476">
        <v>0.28000000000000003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98</v>
      </c>
      <c r="AG476">
        <v>25.355000000000004</v>
      </c>
      <c r="AH476">
        <v>2</v>
      </c>
      <c r="AI476">
        <v>60255736</v>
      </c>
      <c r="AJ476">
        <v>426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ROW(Source!A304)</f>
        <v>304</v>
      </c>
      <c r="B477">
        <v>60255984</v>
      </c>
      <c r="C477">
        <v>60255734</v>
      </c>
      <c r="D477">
        <v>59070669</v>
      </c>
      <c r="E477">
        <v>1</v>
      </c>
      <c r="F477">
        <v>1</v>
      </c>
      <c r="G477">
        <v>1080</v>
      </c>
      <c r="H477">
        <v>2</v>
      </c>
      <c r="I477" t="s">
        <v>485</v>
      </c>
      <c r="J477" t="s">
        <v>486</v>
      </c>
      <c r="K477" t="s">
        <v>487</v>
      </c>
      <c r="L477">
        <v>1368</v>
      </c>
      <c r="N477">
        <v>1011</v>
      </c>
      <c r="O477" t="s">
        <v>488</v>
      </c>
      <c r="P477" t="s">
        <v>488</v>
      </c>
      <c r="Q477">
        <v>1</v>
      </c>
      <c r="X477">
        <v>0.87</v>
      </c>
      <c r="Y477">
        <v>0</v>
      </c>
      <c r="Z477">
        <v>83.1</v>
      </c>
      <c r="AA477">
        <v>12.62</v>
      </c>
      <c r="AB477">
        <v>0</v>
      </c>
      <c r="AC477">
        <v>0</v>
      </c>
      <c r="AD477">
        <v>1</v>
      </c>
      <c r="AE477">
        <v>0</v>
      </c>
      <c r="AF477" t="s">
        <v>98</v>
      </c>
      <c r="AG477">
        <v>1.19625</v>
      </c>
      <c r="AH477">
        <v>2</v>
      </c>
      <c r="AI477">
        <v>60255737</v>
      </c>
      <c r="AJ477">
        <v>427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ROW(Source!A304)</f>
        <v>304</v>
      </c>
      <c r="B478">
        <v>60255985</v>
      </c>
      <c r="C478">
        <v>60255734</v>
      </c>
      <c r="D478">
        <v>59069905</v>
      </c>
      <c r="E478">
        <v>1</v>
      </c>
      <c r="F478">
        <v>1</v>
      </c>
      <c r="G478">
        <v>1080</v>
      </c>
      <c r="H478">
        <v>2</v>
      </c>
      <c r="I478" t="s">
        <v>503</v>
      </c>
      <c r="J478" t="s">
        <v>504</v>
      </c>
      <c r="K478" t="s">
        <v>505</v>
      </c>
      <c r="L478">
        <v>1368</v>
      </c>
      <c r="N478">
        <v>1011</v>
      </c>
      <c r="O478" t="s">
        <v>488</v>
      </c>
      <c r="P478" t="s">
        <v>488</v>
      </c>
      <c r="Q478">
        <v>1</v>
      </c>
      <c r="X478">
        <v>7.0000000000000007E-2</v>
      </c>
      <c r="Y478">
        <v>0</v>
      </c>
      <c r="Z478">
        <v>179.17</v>
      </c>
      <c r="AA478">
        <v>16.93</v>
      </c>
      <c r="AB478">
        <v>0</v>
      </c>
      <c r="AC478">
        <v>0</v>
      </c>
      <c r="AD478">
        <v>1</v>
      </c>
      <c r="AE478">
        <v>0</v>
      </c>
      <c r="AF478" t="s">
        <v>98</v>
      </c>
      <c r="AG478">
        <v>9.6250000000000016E-2</v>
      </c>
      <c r="AH478">
        <v>2</v>
      </c>
      <c r="AI478">
        <v>60255738</v>
      </c>
      <c r="AJ478">
        <v>428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ROW(Source!A304)</f>
        <v>304</v>
      </c>
      <c r="B479">
        <v>60255986</v>
      </c>
      <c r="C479">
        <v>60255734</v>
      </c>
      <c r="D479">
        <v>59038905</v>
      </c>
      <c r="E479">
        <v>1</v>
      </c>
      <c r="F479">
        <v>1</v>
      </c>
      <c r="G479">
        <v>1080</v>
      </c>
      <c r="H479">
        <v>3</v>
      </c>
      <c r="I479" t="s">
        <v>506</v>
      </c>
      <c r="J479" t="s">
        <v>507</v>
      </c>
      <c r="K479" t="s">
        <v>508</v>
      </c>
      <c r="L479">
        <v>1339</v>
      </c>
      <c r="N479">
        <v>1007</v>
      </c>
      <c r="O479" t="s">
        <v>509</v>
      </c>
      <c r="P479" t="s">
        <v>509</v>
      </c>
      <c r="Q479">
        <v>1</v>
      </c>
      <c r="X479">
        <v>0.70899999999999996</v>
      </c>
      <c r="Y479">
        <v>7.07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3</v>
      </c>
      <c r="AG479">
        <v>0.70899999999999996</v>
      </c>
      <c r="AH479">
        <v>2</v>
      </c>
      <c r="AI479">
        <v>60255739</v>
      </c>
      <c r="AJ479">
        <v>429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ROW(Source!A304)</f>
        <v>304</v>
      </c>
      <c r="B480">
        <v>60255987</v>
      </c>
      <c r="C480">
        <v>60255734</v>
      </c>
      <c r="D480">
        <v>59040044</v>
      </c>
      <c r="E480">
        <v>1</v>
      </c>
      <c r="F480">
        <v>1</v>
      </c>
      <c r="G480">
        <v>1080</v>
      </c>
      <c r="H480">
        <v>3</v>
      </c>
      <c r="I480" t="s">
        <v>559</v>
      </c>
      <c r="J480" t="s">
        <v>560</v>
      </c>
      <c r="K480" t="s">
        <v>561</v>
      </c>
      <c r="L480">
        <v>1346</v>
      </c>
      <c r="N480">
        <v>1009</v>
      </c>
      <c r="O480" t="s">
        <v>528</v>
      </c>
      <c r="P480" t="s">
        <v>528</v>
      </c>
      <c r="Q480">
        <v>1</v>
      </c>
      <c r="X480">
        <v>0.2</v>
      </c>
      <c r="Y480">
        <v>21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3</v>
      </c>
      <c r="AG480">
        <v>0.2</v>
      </c>
      <c r="AH480">
        <v>2</v>
      </c>
      <c r="AI480">
        <v>60255740</v>
      </c>
      <c r="AJ480">
        <v>430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ROW(Source!A304)</f>
        <v>304</v>
      </c>
      <c r="B481">
        <v>60255988</v>
      </c>
      <c r="C481">
        <v>60255734</v>
      </c>
      <c r="D481">
        <v>59039024</v>
      </c>
      <c r="E481">
        <v>1</v>
      </c>
      <c r="F481">
        <v>1</v>
      </c>
      <c r="G481">
        <v>1080</v>
      </c>
      <c r="H481">
        <v>3</v>
      </c>
      <c r="I481" t="s">
        <v>562</v>
      </c>
      <c r="J481" t="s">
        <v>563</v>
      </c>
      <c r="K481" t="s">
        <v>564</v>
      </c>
      <c r="L481">
        <v>1348</v>
      </c>
      <c r="N481">
        <v>1009</v>
      </c>
      <c r="O481" t="s">
        <v>534</v>
      </c>
      <c r="P481" t="s">
        <v>534</v>
      </c>
      <c r="Q481">
        <v>1000</v>
      </c>
      <c r="X481">
        <v>1.0000000000000001E-5</v>
      </c>
      <c r="Y481">
        <v>3234.81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</v>
      </c>
      <c r="AG481">
        <v>1.0000000000000001E-5</v>
      </c>
      <c r="AH481">
        <v>2</v>
      </c>
      <c r="AI481">
        <v>60255741</v>
      </c>
      <c r="AJ481">
        <v>431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ROW(Source!A304)</f>
        <v>304</v>
      </c>
      <c r="B482">
        <v>60255989</v>
      </c>
      <c r="C482">
        <v>60255734</v>
      </c>
      <c r="D482">
        <v>59038837</v>
      </c>
      <c r="E482">
        <v>1</v>
      </c>
      <c r="F482">
        <v>1</v>
      </c>
      <c r="G482">
        <v>1080</v>
      </c>
      <c r="H482">
        <v>3</v>
      </c>
      <c r="I482" t="s">
        <v>565</v>
      </c>
      <c r="J482" t="s">
        <v>566</v>
      </c>
      <c r="K482" t="s">
        <v>567</v>
      </c>
      <c r="L482">
        <v>1339</v>
      </c>
      <c r="N482">
        <v>1007</v>
      </c>
      <c r="O482" t="s">
        <v>509</v>
      </c>
      <c r="P482" t="s">
        <v>509</v>
      </c>
      <c r="Q482">
        <v>1</v>
      </c>
      <c r="X482">
        <v>0.32</v>
      </c>
      <c r="Y482">
        <v>53.42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</v>
      </c>
      <c r="AG482">
        <v>0.32</v>
      </c>
      <c r="AH482">
        <v>2</v>
      </c>
      <c r="AI482">
        <v>60255742</v>
      </c>
      <c r="AJ482">
        <v>432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ROW(Source!A304)</f>
        <v>304</v>
      </c>
      <c r="B483">
        <v>60255990</v>
      </c>
      <c r="C483">
        <v>60255734</v>
      </c>
      <c r="D483">
        <v>59039103</v>
      </c>
      <c r="E483">
        <v>1</v>
      </c>
      <c r="F483">
        <v>1</v>
      </c>
      <c r="G483">
        <v>1080</v>
      </c>
      <c r="H483">
        <v>3</v>
      </c>
      <c r="I483" t="s">
        <v>568</v>
      </c>
      <c r="J483" t="s">
        <v>569</v>
      </c>
      <c r="K483" t="s">
        <v>570</v>
      </c>
      <c r="L483">
        <v>1339</v>
      </c>
      <c r="N483">
        <v>1007</v>
      </c>
      <c r="O483" t="s">
        <v>509</v>
      </c>
      <c r="P483" t="s">
        <v>509</v>
      </c>
      <c r="Q483">
        <v>1</v>
      </c>
      <c r="X483">
        <v>0.35</v>
      </c>
      <c r="Y483">
        <v>5.82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0.35</v>
      </c>
      <c r="AH483">
        <v>2</v>
      </c>
      <c r="AI483">
        <v>60255743</v>
      </c>
      <c r="AJ483">
        <v>433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ROW(Source!A304)</f>
        <v>304</v>
      </c>
      <c r="B484">
        <v>60255991</v>
      </c>
      <c r="C484">
        <v>60255734</v>
      </c>
      <c r="D484">
        <v>59046388</v>
      </c>
      <c r="E484">
        <v>1</v>
      </c>
      <c r="F484">
        <v>1</v>
      </c>
      <c r="G484">
        <v>1080</v>
      </c>
      <c r="H484">
        <v>3</v>
      </c>
      <c r="I484" t="s">
        <v>571</v>
      </c>
      <c r="J484" t="s">
        <v>572</v>
      </c>
      <c r="K484" t="s">
        <v>573</v>
      </c>
      <c r="L484">
        <v>1339</v>
      </c>
      <c r="N484">
        <v>1007</v>
      </c>
      <c r="O484" t="s">
        <v>509</v>
      </c>
      <c r="P484" t="s">
        <v>509</v>
      </c>
      <c r="Q484">
        <v>1</v>
      </c>
      <c r="X484">
        <v>8.0000000000000002E-3</v>
      </c>
      <c r="Y484">
        <v>610.71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8.0000000000000002E-3</v>
      </c>
      <c r="AH484">
        <v>2</v>
      </c>
      <c r="AI484">
        <v>60255744</v>
      </c>
      <c r="AJ484">
        <v>435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ROW(Source!A304)</f>
        <v>304</v>
      </c>
      <c r="B485">
        <v>60255992</v>
      </c>
      <c r="C485">
        <v>60255734</v>
      </c>
      <c r="D485">
        <v>59000379</v>
      </c>
      <c r="E485">
        <v>1080</v>
      </c>
      <c r="F485">
        <v>1</v>
      </c>
      <c r="G485">
        <v>1080</v>
      </c>
      <c r="H485">
        <v>3</v>
      </c>
      <c r="I485" t="s">
        <v>605</v>
      </c>
      <c r="J485" t="s">
        <v>3</v>
      </c>
      <c r="K485" t="s">
        <v>606</v>
      </c>
      <c r="L485">
        <v>1346</v>
      </c>
      <c r="N485">
        <v>1009</v>
      </c>
      <c r="O485" t="s">
        <v>528</v>
      </c>
      <c r="P485" t="s">
        <v>528</v>
      </c>
      <c r="Q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</v>
      </c>
      <c r="AG485">
        <v>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ROW(Source!A304)</f>
        <v>304</v>
      </c>
      <c r="B486">
        <v>60255993</v>
      </c>
      <c r="C486">
        <v>60255734</v>
      </c>
      <c r="D486">
        <v>59022842</v>
      </c>
      <c r="E486">
        <v>1080</v>
      </c>
      <c r="F486">
        <v>1</v>
      </c>
      <c r="G486">
        <v>1080</v>
      </c>
      <c r="H486">
        <v>3</v>
      </c>
      <c r="I486" t="s">
        <v>610</v>
      </c>
      <c r="J486" t="s">
        <v>3</v>
      </c>
      <c r="K486" t="s">
        <v>611</v>
      </c>
      <c r="L486">
        <v>1301</v>
      </c>
      <c r="N486">
        <v>1003</v>
      </c>
      <c r="O486" t="s">
        <v>376</v>
      </c>
      <c r="P486" t="s">
        <v>376</v>
      </c>
      <c r="Q486">
        <v>1</v>
      </c>
      <c r="X486">
        <v>100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</v>
      </c>
      <c r="AG486">
        <v>100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ROW(Source!A305)</f>
        <v>305</v>
      </c>
      <c r="B487">
        <v>60255982</v>
      </c>
      <c r="C487">
        <v>60255734</v>
      </c>
      <c r="D487">
        <v>58999254</v>
      </c>
      <c r="E487">
        <v>1080</v>
      </c>
      <c r="F487">
        <v>1</v>
      </c>
      <c r="G487">
        <v>1080</v>
      </c>
      <c r="H487">
        <v>1</v>
      </c>
      <c r="I487" t="s">
        <v>482</v>
      </c>
      <c r="J487" t="s">
        <v>3</v>
      </c>
      <c r="K487" t="s">
        <v>483</v>
      </c>
      <c r="L487">
        <v>1191</v>
      </c>
      <c r="N487">
        <v>1013</v>
      </c>
      <c r="O487" t="s">
        <v>484</v>
      </c>
      <c r="P487" t="s">
        <v>484</v>
      </c>
      <c r="Q487">
        <v>1</v>
      </c>
      <c r="X487">
        <v>55.3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99</v>
      </c>
      <c r="AG487">
        <v>69.954499999999996</v>
      </c>
      <c r="AH487">
        <v>2</v>
      </c>
      <c r="AI487">
        <v>60255735</v>
      </c>
      <c r="AJ487">
        <v>436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ROW(Source!A305)</f>
        <v>305</v>
      </c>
      <c r="B488">
        <v>60255983</v>
      </c>
      <c r="C488">
        <v>60255734</v>
      </c>
      <c r="D488">
        <v>59070372</v>
      </c>
      <c r="E488">
        <v>1</v>
      </c>
      <c r="F488">
        <v>1</v>
      </c>
      <c r="G488">
        <v>1080</v>
      </c>
      <c r="H488">
        <v>2</v>
      </c>
      <c r="I488" t="s">
        <v>556</v>
      </c>
      <c r="J488" t="s">
        <v>557</v>
      </c>
      <c r="K488" t="s">
        <v>558</v>
      </c>
      <c r="L488">
        <v>1368</v>
      </c>
      <c r="N488">
        <v>1011</v>
      </c>
      <c r="O488" t="s">
        <v>488</v>
      </c>
      <c r="P488" t="s">
        <v>488</v>
      </c>
      <c r="Q488">
        <v>1</v>
      </c>
      <c r="X488">
        <v>18.440000000000001</v>
      </c>
      <c r="Y488">
        <v>0</v>
      </c>
      <c r="Z488">
        <v>0.28000000000000003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98</v>
      </c>
      <c r="AG488">
        <v>25.355000000000004</v>
      </c>
      <c r="AH488">
        <v>2</v>
      </c>
      <c r="AI488">
        <v>60255736</v>
      </c>
      <c r="AJ488">
        <v>437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ROW(Source!A305)</f>
        <v>305</v>
      </c>
      <c r="B489">
        <v>60255984</v>
      </c>
      <c r="C489">
        <v>60255734</v>
      </c>
      <c r="D489">
        <v>59070669</v>
      </c>
      <c r="E489">
        <v>1</v>
      </c>
      <c r="F489">
        <v>1</v>
      </c>
      <c r="G489">
        <v>1080</v>
      </c>
      <c r="H489">
        <v>2</v>
      </c>
      <c r="I489" t="s">
        <v>485</v>
      </c>
      <c r="J489" t="s">
        <v>486</v>
      </c>
      <c r="K489" t="s">
        <v>487</v>
      </c>
      <c r="L489">
        <v>1368</v>
      </c>
      <c r="N489">
        <v>1011</v>
      </c>
      <c r="O489" t="s">
        <v>488</v>
      </c>
      <c r="P489" t="s">
        <v>488</v>
      </c>
      <c r="Q489">
        <v>1</v>
      </c>
      <c r="X489">
        <v>0.87</v>
      </c>
      <c r="Y489">
        <v>0</v>
      </c>
      <c r="Z489">
        <v>83.1</v>
      </c>
      <c r="AA489">
        <v>12.62</v>
      </c>
      <c r="AB489">
        <v>0</v>
      </c>
      <c r="AC489">
        <v>0</v>
      </c>
      <c r="AD489">
        <v>1</v>
      </c>
      <c r="AE489">
        <v>0</v>
      </c>
      <c r="AF489" t="s">
        <v>98</v>
      </c>
      <c r="AG489">
        <v>1.19625</v>
      </c>
      <c r="AH489">
        <v>2</v>
      </c>
      <c r="AI489">
        <v>60255737</v>
      </c>
      <c r="AJ489">
        <v>438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ROW(Source!A305)</f>
        <v>305</v>
      </c>
      <c r="B490">
        <v>60255985</v>
      </c>
      <c r="C490">
        <v>60255734</v>
      </c>
      <c r="D490">
        <v>59069905</v>
      </c>
      <c r="E490">
        <v>1</v>
      </c>
      <c r="F490">
        <v>1</v>
      </c>
      <c r="G490">
        <v>1080</v>
      </c>
      <c r="H490">
        <v>2</v>
      </c>
      <c r="I490" t="s">
        <v>503</v>
      </c>
      <c r="J490" t="s">
        <v>504</v>
      </c>
      <c r="K490" t="s">
        <v>505</v>
      </c>
      <c r="L490">
        <v>1368</v>
      </c>
      <c r="N490">
        <v>1011</v>
      </c>
      <c r="O490" t="s">
        <v>488</v>
      </c>
      <c r="P490" t="s">
        <v>488</v>
      </c>
      <c r="Q490">
        <v>1</v>
      </c>
      <c r="X490">
        <v>7.0000000000000007E-2</v>
      </c>
      <c r="Y490">
        <v>0</v>
      </c>
      <c r="Z490">
        <v>179.17</v>
      </c>
      <c r="AA490">
        <v>16.93</v>
      </c>
      <c r="AB490">
        <v>0</v>
      </c>
      <c r="AC490">
        <v>0</v>
      </c>
      <c r="AD490">
        <v>1</v>
      </c>
      <c r="AE490">
        <v>0</v>
      </c>
      <c r="AF490" t="s">
        <v>98</v>
      </c>
      <c r="AG490">
        <v>9.6250000000000016E-2</v>
      </c>
      <c r="AH490">
        <v>2</v>
      </c>
      <c r="AI490">
        <v>60255738</v>
      </c>
      <c r="AJ490">
        <v>439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ROW(Source!A305)</f>
        <v>305</v>
      </c>
      <c r="B491">
        <v>60255986</v>
      </c>
      <c r="C491">
        <v>60255734</v>
      </c>
      <c r="D491">
        <v>59038905</v>
      </c>
      <c r="E491">
        <v>1</v>
      </c>
      <c r="F491">
        <v>1</v>
      </c>
      <c r="G491">
        <v>1080</v>
      </c>
      <c r="H491">
        <v>3</v>
      </c>
      <c r="I491" t="s">
        <v>506</v>
      </c>
      <c r="J491" t="s">
        <v>507</v>
      </c>
      <c r="K491" t="s">
        <v>508</v>
      </c>
      <c r="L491">
        <v>1339</v>
      </c>
      <c r="N491">
        <v>1007</v>
      </c>
      <c r="O491" t="s">
        <v>509</v>
      </c>
      <c r="P491" t="s">
        <v>509</v>
      </c>
      <c r="Q491">
        <v>1</v>
      </c>
      <c r="X491">
        <v>0.70899999999999996</v>
      </c>
      <c r="Y491">
        <v>7.07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3</v>
      </c>
      <c r="AG491">
        <v>0.70899999999999996</v>
      </c>
      <c r="AH491">
        <v>2</v>
      </c>
      <c r="AI491">
        <v>60255739</v>
      </c>
      <c r="AJ491">
        <v>440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ROW(Source!A305)</f>
        <v>305</v>
      </c>
      <c r="B492">
        <v>60255987</v>
      </c>
      <c r="C492">
        <v>60255734</v>
      </c>
      <c r="D492">
        <v>59040044</v>
      </c>
      <c r="E492">
        <v>1</v>
      </c>
      <c r="F492">
        <v>1</v>
      </c>
      <c r="G492">
        <v>1080</v>
      </c>
      <c r="H492">
        <v>3</v>
      </c>
      <c r="I492" t="s">
        <v>559</v>
      </c>
      <c r="J492" t="s">
        <v>560</v>
      </c>
      <c r="K492" t="s">
        <v>561</v>
      </c>
      <c r="L492">
        <v>1346</v>
      </c>
      <c r="N492">
        <v>1009</v>
      </c>
      <c r="O492" t="s">
        <v>528</v>
      </c>
      <c r="P492" t="s">
        <v>528</v>
      </c>
      <c r="Q492">
        <v>1</v>
      </c>
      <c r="X492">
        <v>0.2</v>
      </c>
      <c r="Y492">
        <v>21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</v>
      </c>
      <c r="AG492">
        <v>0.2</v>
      </c>
      <c r="AH492">
        <v>2</v>
      </c>
      <c r="AI492">
        <v>60255740</v>
      </c>
      <c r="AJ492">
        <v>441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ROW(Source!A305)</f>
        <v>305</v>
      </c>
      <c r="B493">
        <v>60255988</v>
      </c>
      <c r="C493">
        <v>60255734</v>
      </c>
      <c r="D493">
        <v>59039024</v>
      </c>
      <c r="E493">
        <v>1</v>
      </c>
      <c r="F493">
        <v>1</v>
      </c>
      <c r="G493">
        <v>1080</v>
      </c>
      <c r="H493">
        <v>3</v>
      </c>
      <c r="I493" t="s">
        <v>562</v>
      </c>
      <c r="J493" t="s">
        <v>563</v>
      </c>
      <c r="K493" t="s">
        <v>564</v>
      </c>
      <c r="L493">
        <v>1348</v>
      </c>
      <c r="N493">
        <v>1009</v>
      </c>
      <c r="O493" t="s">
        <v>534</v>
      </c>
      <c r="P493" t="s">
        <v>534</v>
      </c>
      <c r="Q493">
        <v>1000</v>
      </c>
      <c r="X493">
        <v>1.0000000000000001E-5</v>
      </c>
      <c r="Y493">
        <v>3234.81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</v>
      </c>
      <c r="AG493">
        <v>1.0000000000000001E-5</v>
      </c>
      <c r="AH493">
        <v>2</v>
      </c>
      <c r="AI493">
        <v>60255741</v>
      </c>
      <c r="AJ493">
        <v>442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ROW(Source!A305)</f>
        <v>305</v>
      </c>
      <c r="B494">
        <v>60255989</v>
      </c>
      <c r="C494">
        <v>60255734</v>
      </c>
      <c r="D494">
        <v>59038837</v>
      </c>
      <c r="E494">
        <v>1</v>
      </c>
      <c r="F494">
        <v>1</v>
      </c>
      <c r="G494">
        <v>1080</v>
      </c>
      <c r="H494">
        <v>3</v>
      </c>
      <c r="I494" t="s">
        <v>565</v>
      </c>
      <c r="J494" t="s">
        <v>566</v>
      </c>
      <c r="K494" t="s">
        <v>567</v>
      </c>
      <c r="L494">
        <v>1339</v>
      </c>
      <c r="N494">
        <v>1007</v>
      </c>
      <c r="O494" t="s">
        <v>509</v>
      </c>
      <c r="P494" t="s">
        <v>509</v>
      </c>
      <c r="Q494">
        <v>1</v>
      </c>
      <c r="X494">
        <v>0.32</v>
      </c>
      <c r="Y494">
        <v>53.42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</v>
      </c>
      <c r="AG494">
        <v>0.32</v>
      </c>
      <c r="AH494">
        <v>2</v>
      </c>
      <c r="AI494">
        <v>60255742</v>
      </c>
      <c r="AJ494">
        <v>443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ROW(Source!A305)</f>
        <v>305</v>
      </c>
      <c r="B495">
        <v>60255990</v>
      </c>
      <c r="C495">
        <v>60255734</v>
      </c>
      <c r="D495">
        <v>59039103</v>
      </c>
      <c r="E495">
        <v>1</v>
      </c>
      <c r="F495">
        <v>1</v>
      </c>
      <c r="G495">
        <v>1080</v>
      </c>
      <c r="H495">
        <v>3</v>
      </c>
      <c r="I495" t="s">
        <v>568</v>
      </c>
      <c r="J495" t="s">
        <v>569</v>
      </c>
      <c r="K495" t="s">
        <v>570</v>
      </c>
      <c r="L495">
        <v>1339</v>
      </c>
      <c r="N495">
        <v>1007</v>
      </c>
      <c r="O495" t="s">
        <v>509</v>
      </c>
      <c r="P495" t="s">
        <v>509</v>
      </c>
      <c r="Q495">
        <v>1</v>
      </c>
      <c r="X495">
        <v>0.35</v>
      </c>
      <c r="Y495">
        <v>5.82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</v>
      </c>
      <c r="AG495">
        <v>0.35</v>
      </c>
      <c r="AH495">
        <v>2</v>
      </c>
      <c r="AI495">
        <v>60255743</v>
      </c>
      <c r="AJ495">
        <v>444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ROW(Source!A305)</f>
        <v>305</v>
      </c>
      <c r="B496">
        <v>60255991</v>
      </c>
      <c r="C496">
        <v>60255734</v>
      </c>
      <c r="D496">
        <v>59046388</v>
      </c>
      <c r="E496">
        <v>1</v>
      </c>
      <c r="F496">
        <v>1</v>
      </c>
      <c r="G496">
        <v>1080</v>
      </c>
      <c r="H496">
        <v>3</v>
      </c>
      <c r="I496" t="s">
        <v>571</v>
      </c>
      <c r="J496" t="s">
        <v>572</v>
      </c>
      <c r="K496" t="s">
        <v>573</v>
      </c>
      <c r="L496">
        <v>1339</v>
      </c>
      <c r="N496">
        <v>1007</v>
      </c>
      <c r="O496" t="s">
        <v>509</v>
      </c>
      <c r="P496" t="s">
        <v>509</v>
      </c>
      <c r="Q496">
        <v>1</v>
      </c>
      <c r="X496">
        <v>8.0000000000000002E-3</v>
      </c>
      <c r="Y496">
        <v>610.71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8.0000000000000002E-3</v>
      </c>
      <c r="AH496">
        <v>2</v>
      </c>
      <c r="AI496">
        <v>60255744</v>
      </c>
      <c r="AJ496">
        <v>446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ROW(Source!A305)</f>
        <v>305</v>
      </c>
      <c r="B497">
        <v>60255992</v>
      </c>
      <c r="C497">
        <v>60255734</v>
      </c>
      <c r="D497">
        <v>59000379</v>
      </c>
      <c r="E497">
        <v>1080</v>
      </c>
      <c r="F497">
        <v>1</v>
      </c>
      <c r="G497">
        <v>1080</v>
      </c>
      <c r="H497">
        <v>3</v>
      </c>
      <c r="I497" t="s">
        <v>605</v>
      </c>
      <c r="J497" t="s">
        <v>3</v>
      </c>
      <c r="K497" t="s">
        <v>606</v>
      </c>
      <c r="L497">
        <v>1346</v>
      </c>
      <c r="N497">
        <v>1009</v>
      </c>
      <c r="O497" t="s">
        <v>528</v>
      </c>
      <c r="P497" t="s">
        <v>528</v>
      </c>
      <c r="Q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3</v>
      </c>
      <c r="AG497">
        <v>0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ROW(Source!A305)</f>
        <v>305</v>
      </c>
      <c r="B498">
        <v>60255993</v>
      </c>
      <c r="C498">
        <v>60255734</v>
      </c>
      <c r="D498">
        <v>59022842</v>
      </c>
      <c r="E498">
        <v>1080</v>
      </c>
      <c r="F498">
        <v>1</v>
      </c>
      <c r="G498">
        <v>1080</v>
      </c>
      <c r="H498">
        <v>3</v>
      </c>
      <c r="I498" t="s">
        <v>610</v>
      </c>
      <c r="J498" t="s">
        <v>3</v>
      </c>
      <c r="K498" t="s">
        <v>611</v>
      </c>
      <c r="L498">
        <v>1301</v>
      </c>
      <c r="N498">
        <v>1003</v>
      </c>
      <c r="O498" t="s">
        <v>376</v>
      </c>
      <c r="P498" t="s">
        <v>376</v>
      </c>
      <c r="Q498">
        <v>1</v>
      </c>
      <c r="X498">
        <v>100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</v>
      </c>
      <c r="AG498">
        <v>100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ROW(Source!A308)</f>
        <v>308</v>
      </c>
      <c r="B499">
        <v>60255994</v>
      </c>
      <c r="C499">
        <v>60255759</v>
      </c>
      <c r="D499">
        <v>58999254</v>
      </c>
      <c r="E499">
        <v>1080</v>
      </c>
      <c r="F499">
        <v>1</v>
      </c>
      <c r="G499">
        <v>1080</v>
      </c>
      <c r="H499">
        <v>1</v>
      </c>
      <c r="I499" t="s">
        <v>482</v>
      </c>
      <c r="J499" t="s">
        <v>3</v>
      </c>
      <c r="K499" t="s">
        <v>483</v>
      </c>
      <c r="L499">
        <v>1191</v>
      </c>
      <c r="N499">
        <v>1013</v>
      </c>
      <c r="O499" t="s">
        <v>484</v>
      </c>
      <c r="P499" t="s">
        <v>484</v>
      </c>
      <c r="Q499">
        <v>1</v>
      </c>
      <c r="X499">
        <v>65.599999999999994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99</v>
      </c>
      <c r="AG499">
        <v>82.983999999999995</v>
      </c>
      <c r="AH499">
        <v>2</v>
      </c>
      <c r="AI499">
        <v>60255760</v>
      </c>
      <c r="AJ499">
        <v>447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ROW(Source!A308)</f>
        <v>308</v>
      </c>
      <c r="B500">
        <v>60255995</v>
      </c>
      <c r="C500">
        <v>60255759</v>
      </c>
      <c r="D500">
        <v>59070372</v>
      </c>
      <c r="E500">
        <v>1</v>
      </c>
      <c r="F500">
        <v>1</v>
      </c>
      <c r="G500">
        <v>1080</v>
      </c>
      <c r="H500">
        <v>2</v>
      </c>
      <c r="I500" t="s">
        <v>556</v>
      </c>
      <c r="J500" t="s">
        <v>557</v>
      </c>
      <c r="K500" t="s">
        <v>558</v>
      </c>
      <c r="L500">
        <v>1368</v>
      </c>
      <c r="N500">
        <v>1011</v>
      </c>
      <c r="O500" t="s">
        <v>488</v>
      </c>
      <c r="P500" t="s">
        <v>488</v>
      </c>
      <c r="Q500">
        <v>1</v>
      </c>
      <c r="X500">
        <v>24.94</v>
      </c>
      <c r="Y500">
        <v>0</v>
      </c>
      <c r="Z500">
        <v>0.28000000000000003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98</v>
      </c>
      <c r="AG500">
        <v>34.292500000000004</v>
      </c>
      <c r="AH500">
        <v>2</v>
      </c>
      <c r="AI500">
        <v>60255761</v>
      </c>
      <c r="AJ500">
        <v>448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ROW(Source!A308)</f>
        <v>308</v>
      </c>
      <c r="B501">
        <v>60255996</v>
      </c>
      <c r="C501">
        <v>60255759</v>
      </c>
      <c r="D501">
        <v>59070669</v>
      </c>
      <c r="E501">
        <v>1</v>
      </c>
      <c r="F501">
        <v>1</v>
      </c>
      <c r="G501">
        <v>1080</v>
      </c>
      <c r="H501">
        <v>2</v>
      </c>
      <c r="I501" t="s">
        <v>485</v>
      </c>
      <c r="J501" t="s">
        <v>486</v>
      </c>
      <c r="K501" t="s">
        <v>487</v>
      </c>
      <c r="L501">
        <v>1368</v>
      </c>
      <c r="N501">
        <v>1011</v>
      </c>
      <c r="O501" t="s">
        <v>488</v>
      </c>
      <c r="P501" t="s">
        <v>488</v>
      </c>
      <c r="Q501">
        <v>1</v>
      </c>
      <c r="X501">
        <v>1.01</v>
      </c>
      <c r="Y501">
        <v>0</v>
      </c>
      <c r="Z501">
        <v>83.1</v>
      </c>
      <c r="AA501">
        <v>12.62</v>
      </c>
      <c r="AB501">
        <v>0</v>
      </c>
      <c r="AC501">
        <v>0</v>
      </c>
      <c r="AD501">
        <v>1</v>
      </c>
      <c r="AE501">
        <v>0</v>
      </c>
      <c r="AF501" t="s">
        <v>98</v>
      </c>
      <c r="AG501">
        <v>1.3887500000000002</v>
      </c>
      <c r="AH501">
        <v>2</v>
      </c>
      <c r="AI501">
        <v>60255762</v>
      </c>
      <c r="AJ501">
        <v>449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ROW(Source!A308)</f>
        <v>308</v>
      </c>
      <c r="B502">
        <v>60255997</v>
      </c>
      <c r="C502">
        <v>60255759</v>
      </c>
      <c r="D502">
        <v>59069905</v>
      </c>
      <c r="E502">
        <v>1</v>
      </c>
      <c r="F502">
        <v>1</v>
      </c>
      <c r="G502">
        <v>1080</v>
      </c>
      <c r="H502">
        <v>2</v>
      </c>
      <c r="I502" t="s">
        <v>503</v>
      </c>
      <c r="J502" t="s">
        <v>504</v>
      </c>
      <c r="K502" t="s">
        <v>505</v>
      </c>
      <c r="L502">
        <v>1368</v>
      </c>
      <c r="N502">
        <v>1011</v>
      </c>
      <c r="O502" t="s">
        <v>488</v>
      </c>
      <c r="P502" t="s">
        <v>488</v>
      </c>
      <c r="Q502">
        <v>1</v>
      </c>
      <c r="X502">
        <v>0.08</v>
      </c>
      <c r="Y502">
        <v>0</v>
      </c>
      <c r="Z502">
        <v>179.17</v>
      </c>
      <c r="AA502">
        <v>16.93</v>
      </c>
      <c r="AB502">
        <v>0</v>
      </c>
      <c r="AC502">
        <v>0</v>
      </c>
      <c r="AD502">
        <v>1</v>
      </c>
      <c r="AE502">
        <v>0</v>
      </c>
      <c r="AF502" t="s">
        <v>98</v>
      </c>
      <c r="AG502">
        <v>0.11000000000000001</v>
      </c>
      <c r="AH502">
        <v>2</v>
      </c>
      <c r="AI502">
        <v>60255763</v>
      </c>
      <c r="AJ502">
        <v>450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ROW(Source!A308)</f>
        <v>308</v>
      </c>
      <c r="B503">
        <v>60255998</v>
      </c>
      <c r="C503">
        <v>60255759</v>
      </c>
      <c r="D503">
        <v>59038905</v>
      </c>
      <c r="E503">
        <v>1</v>
      </c>
      <c r="F503">
        <v>1</v>
      </c>
      <c r="G503">
        <v>1080</v>
      </c>
      <c r="H503">
        <v>3</v>
      </c>
      <c r="I503" t="s">
        <v>506</v>
      </c>
      <c r="J503" t="s">
        <v>507</v>
      </c>
      <c r="K503" t="s">
        <v>508</v>
      </c>
      <c r="L503">
        <v>1339</v>
      </c>
      <c r="N503">
        <v>1007</v>
      </c>
      <c r="O503" t="s">
        <v>509</v>
      </c>
      <c r="P503" t="s">
        <v>509</v>
      </c>
      <c r="Q503">
        <v>1</v>
      </c>
      <c r="X503">
        <v>1.2</v>
      </c>
      <c r="Y503">
        <v>7.07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3</v>
      </c>
      <c r="AG503">
        <v>1.2</v>
      </c>
      <c r="AH503">
        <v>2</v>
      </c>
      <c r="AI503">
        <v>60255764</v>
      </c>
      <c r="AJ503">
        <v>451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ROW(Source!A308)</f>
        <v>308</v>
      </c>
      <c r="B504">
        <v>60255999</v>
      </c>
      <c r="C504">
        <v>60255759</v>
      </c>
      <c r="D504">
        <v>59040044</v>
      </c>
      <c r="E504">
        <v>1</v>
      </c>
      <c r="F504">
        <v>1</v>
      </c>
      <c r="G504">
        <v>1080</v>
      </c>
      <c r="H504">
        <v>3</v>
      </c>
      <c r="I504" t="s">
        <v>559</v>
      </c>
      <c r="J504" t="s">
        <v>560</v>
      </c>
      <c r="K504" t="s">
        <v>561</v>
      </c>
      <c r="L504">
        <v>1346</v>
      </c>
      <c r="N504">
        <v>1009</v>
      </c>
      <c r="O504" t="s">
        <v>528</v>
      </c>
      <c r="P504" t="s">
        <v>528</v>
      </c>
      <c r="Q504">
        <v>1</v>
      </c>
      <c r="X504">
        <v>0.3</v>
      </c>
      <c r="Y504">
        <v>21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3</v>
      </c>
      <c r="AG504">
        <v>0.3</v>
      </c>
      <c r="AH504">
        <v>2</v>
      </c>
      <c r="AI504">
        <v>60255765</v>
      </c>
      <c r="AJ504">
        <v>452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ROW(Source!A308)</f>
        <v>308</v>
      </c>
      <c r="B505">
        <v>60256000</v>
      </c>
      <c r="C505">
        <v>60255759</v>
      </c>
      <c r="D505">
        <v>59039024</v>
      </c>
      <c r="E505">
        <v>1</v>
      </c>
      <c r="F505">
        <v>1</v>
      </c>
      <c r="G505">
        <v>1080</v>
      </c>
      <c r="H505">
        <v>3</v>
      </c>
      <c r="I505" t="s">
        <v>562</v>
      </c>
      <c r="J505" t="s">
        <v>563</v>
      </c>
      <c r="K505" t="s">
        <v>564</v>
      </c>
      <c r="L505">
        <v>1348</v>
      </c>
      <c r="N505">
        <v>1009</v>
      </c>
      <c r="O505" t="s">
        <v>534</v>
      </c>
      <c r="P505" t="s">
        <v>534</v>
      </c>
      <c r="Q505">
        <v>1000</v>
      </c>
      <c r="X505">
        <v>2.0000000000000002E-5</v>
      </c>
      <c r="Y505">
        <v>3234.81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</v>
      </c>
      <c r="AG505">
        <v>2.0000000000000002E-5</v>
      </c>
      <c r="AH505">
        <v>2</v>
      </c>
      <c r="AI505">
        <v>60255766</v>
      </c>
      <c r="AJ505">
        <v>453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ROW(Source!A308)</f>
        <v>308</v>
      </c>
      <c r="B506">
        <v>60256001</v>
      </c>
      <c r="C506">
        <v>60255759</v>
      </c>
      <c r="D506">
        <v>59038837</v>
      </c>
      <c r="E506">
        <v>1</v>
      </c>
      <c r="F506">
        <v>1</v>
      </c>
      <c r="G506">
        <v>1080</v>
      </c>
      <c r="H506">
        <v>3</v>
      </c>
      <c r="I506" t="s">
        <v>565</v>
      </c>
      <c r="J506" t="s">
        <v>566</v>
      </c>
      <c r="K506" t="s">
        <v>567</v>
      </c>
      <c r="L506">
        <v>1339</v>
      </c>
      <c r="N506">
        <v>1007</v>
      </c>
      <c r="O506" t="s">
        <v>509</v>
      </c>
      <c r="P506" t="s">
        <v>509</v>
      </c>
      <c r="Q506">
        <v>1</v>
      </c>
      <c r="X506">
        <v>0.41</v>
      </c>
      <c r="Y506">
        <v>53.42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0.41</v>
      </c>
      <c r="AH506">
        <v>2</v>
      </c>
      <c r="AI506">
        <v>60255767</v>
      </c>
      <c r="AJ506">
        <v>454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ROW(Source!A308)</f>
        <v>308</v>
      </c>
      <c r="B507">
        <v>60256002</v>
      </c>
      <c r="C507">
        <v>60255759</v>
      </c>
      <c r="D507">
        <v>59039103</v>
      </c>
      <c r="E507">
        <v>1</v>
      </c>
      <c r="F507">
        <v>1</v>
      </c>
      <c r="G507">
        <v>1080</v>
      </c>
      <c r="H507">
        <v>3</v>
      </c>
      <c r="I507" t="s">
        <v>568</v>
      </c>
      <c r="J507" t="s">
        <v>569</v>
      </c>
      <c r="K507" t="s">
        <v>570</v>
      </c>
      <c r="L507">
        <v>1339</v>
      </c>
      <c r="N507">
        <v>1007</v>
      </c>
      <c r="O507" t="s">
        <v>509</v>
      </c>
      <c r="P507" t="s">
        <v>509</v>
      </c>
      <c r="Q507">
        <v>1</v>
      </c>
      <c r="X507">
        <v>0.45</v>
      </c>
      <c r="Y507">
        <v>5.82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0.45</v>
      </c>
      <c r="AH507">
        <v>2</v>
      </c>
      <c r="AI507">
        <v>60255768</v>
      </c>
      <c r="AJ507">
        <v>455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ROW(Source!A308)</f>
        <v>308</v>
      </c>
      <c r="B508">
        <v>60256003</v>
      </c>
      <c r="C508">
        <v>60255759</v>
      </c>
      <c r="D508">
        <v>59046388</v>
      </c>
      <c r="E508">
        <v>1</v>
      </c>
      <c r="F508">
        <v>1</v>
      </c>
      <c r="G508">
        <v>1080</v>
      </c>
      <c r="H508">
        <v>3</v>
      </c>
      <c r="I508" t="s">
        <v>571</v>
      </c>
      <c r="J508" t="s">
        <v>572</v>
      </c>
      <c r="K508" t="s">
        <v>573</v>
      </c>
      <c r="L508">
        <v>1339</v>
      </c>
      <c r="N508">
        <v>1007</v>
      </c>
      <c r="O508" t="s">
        <v>509</v>
      </c>
      <c r="P508" t="s">
        <v>509</v>
      </c>
      <c r="Q508">
        <v>1</v>
      </c>
      <c r="X508">
        <v>1.2E-2</v>
      </c>
      <c r="Y508">
        <v>610.71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1.2E-2</v>
      </c>
      <c r="AH508">
        <v>2</v>
      </c>
      <c r="AI508">
        <v>60255769</v>
      </c>
      <c r="AJ508">
        <v>457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ROW(Source!A308)</f>
        <v>308</v>
      </c>
      <c r="B509">
        <v>60256004</v>
      </c>
      <c r="C509">
        <v>60255759</v>
      </c>
      <c r="D509">
        <v>59000379</v>
      </c>
      <c r="E509">
        <v>1080</v>
      </c>
      <c r="F509">
        <v>1</v>
      </c>
      <c r="G509">
        <v>1080</v>
      </c>
      <c r="H509">
        <v>3</v>
      </c>
      <c r="I509" t="s">
        <v>605</v>
      </c>
      <c r="J509" t="s">
        <v>3</v>
      </c>
      <c r="K509" t="s">
        <v>606</v>
      </c>
      <c r="L509">
        <v>1346</v>
      </c>
      <c r="N509">
        <v>1009</v>
      </c>
      <c r="O509" t="s">
        <v>528</v>
      </c>
      <c r="P509" t="s">
        <v>528</v>
      </c>
      <c r="Q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3</v>
      </c>
      <c r="AG509">
        <v>0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ROW(Source!A308)</f>
        <v>308</v>
      </c>
      <c r="B510">
        <v>60256005</v>
      </c>
      <c r="C510">
        <v>60255759</v>
      </c>
      <c r="D510">
        <v>59022842</v>
      </c>
      <c r="E510">
        <v>1080</v>
      </c>
      <c r="F510">
        <v>1</v>
      </c>
      <c r="G510">
        <v>1080</v>
      </c>
      <c r="H510">
        <v>3</v>
      </c>
      <c r="I510" t="s">
        <v>610</v>
      </c>
      <c r="J510" t="s">
        <v>3</v>
      </c>
      <c r="K510" t="s">
        <v>611</v>
      </c>
      <c r="L510">
        <v>1301</v>
      </c>
      <c r="N510">
        <v>1003</v>
      </c>
      <c r="O510" t="s">
        <v>376</v>
      </c>
      <c r="P510" t="s">
        <v>376</v>
      </c>
      <c r="Q510">
        <v>1</v>
      </c>
      <c r="X510">
        <v>100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</v>
      </c>
      <c r="AG510">
        <v>100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ROW(Source!A309)</f>
        <v>309</v>
      </c>
      <c r="B511">
        <v>60255994</v>
      </c>
      <c r="C511">
        <v>60255759</v>
      </c>
      <c r="D511">
        <v>58999254</v>
      </c>
      <c r="E511">
        <v>1080</v>
      </c>
      <c r="F511">
        <v>1</v>
      </c>
      <c r="G511">
        <v>1080</v>
      </c>
      <c r="H511">
        <v>1</v>
      </c>
      <c r="I511" t="s">
        <v>482</v>
      </c>
      <c r="J511" t="s">
        <v>3</v>
      </c>
      <c r="K511" t="s">
        <v>483</v>
      </c>
      <c r="L511">
        <v>1191</v>
      </c>
      <c r="N511">
        <v>1013</v>
      </c>
      <c r="O511" t="s">
        <v>484</v>
      </c>
      <c r="P511" t="s">
        <v>484</v>
      </c>
      <c r="Q511">
        <v>1</v>
      </c>
      <c r="X511">
        <v>65.599999999999994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99</v>
      </c>
      <c r="AG511">
        <v>82.983999999999995</v>
      </c>
      <c r="AH511">
        <v>2</v>
      </c>
      <c r="AI511">
        <v>60255760</v>
      </c>
      <c r="AJ511">
        <v>458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ROW(Source!A309)</f>
        <v>309</v>
      </c>
      <c r="B512">
        <v>60255995</v>
      </c>
      <c r="C512">
        <v>60255759</v>
      </c>
      <c r="D512">
        <v>59070372</v>
      </c>
      <c r="E512">
        <v>1</v>
      </c>
      <c r="F512">
        <v>1</v>
      </c>
      <c r="G512">
        <v>1080</v>
      </c>
      <c r="H512">
        <v>2</v>
      </c>
      <c r="I512" t="s">
        <v>556</v>
      </c>
      <c r="J512" t="s">
        <v>557</v>
      </c>
      <c r="K512" t="s">
        <v>558</v>
      </c>
      <c r="L512">
        <v>1368</v>
      </c>
      <c r="N512">
        <v>1011</v>
      </c>
      <c r="O512" t="s">
        <v>488</v>
      </c>
      <c r="P512" t="s">
        <v>488</v>
      </c>
      <c r="Q512">
        <v>1</v>
      </c>
      <c r="X512">
        <v>24.94</v>
      </c>
      <c r="Y512">
        <v>0</v>
      </c>
      <c r="Z512">
        <v>0.28000000000000003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98</v>
      </c>
      <c r="AG512">
        <v>34.292500000000004</v>
      </c>
      <c r="AH512">
        <v>2</v>
      </c>
      <c r="AI512">
        <v>60255761</v>
      </c>
      <c r="AJ512">
        <v>459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ROW(Source!A309)</f>
        <v>309</v>
      </c>
      <c r="B513">
        <v>60255996</v>
      </c>
      <c r="C513">
        <v>60255759</v>
      </c>
      <c r="D513">
        <v>59070669</v>
      </c>
      <c r="E513">
        <v>1</v>
      </c>
      <c r="F513">
        <v>1</v>
      </c>
      <c r="G513">
        <v>1080</v>
      </c>
      <c r="H513">
        <v>2</v>
      </c>
      <c r="I513" t="s">
        <v>485</v>
      </c>
      <c r="J513" t="s">
        <v>486</v>
      </c>
      <c r="K513" t="s">
        <v>487</v>
      </c>
      <c r="L513">
        <v>1368</v>
      </c>
      <c r="N513">
        <v>1011</v>
      </c>
      <c r="O513" t="s">
        <v>488</v>
      </c>
      <c r="P513" t="s">
        <v>488</v>
      </c>
      <c r="Q513">
        <v>1</v>
      </c>
      <c r="X513">
        <v>1.01</v>
      </c>
      <c r="Y513">
        <v>0</v>
      </c>
      <c r="Z513">
        <v>83.1</v>
      </c>
      <c r="AA513">
        <v>12.62</v>
      </c>
      <c r="AB513">
        <v>0</v>
      </c>
      <c r="AC513">
        <v>0</v>
      </c>
      <c r="AD513">
        <v>1</v>
      </c>
      <c r="AE513">
        <v>0</v>
      </c>
      <c r="AF513" t="s">
        <v>98</v>
      </c>
      <c r="AG513">
        <v>1.3887500000000002</v>
      </c>
      <c r="AH513">
        <v>2</v>
      </c>
      <c r="AI513">
        <v>60255762</v>
      </c>
      <c r="AJ513">
        <v>460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ROW(Source!A309)</f>
        <v>309</v>
      </c>
      <c r="B514">
        <v>60255997</v>
      </c>
      <c r="C514">
        <v>60255759</v>
      </c>
      <c r="D514">
        <v>59069905</v>
      </c>
      <c r="E514">
        <v>1</v>
      </c>
      <c r="F514">
        <v>1</v>
      </c>
      <c r="G514">
        <v>1080</v>
      </c>
      <c r="H514">
        <v>2</v>
      </c>
      <c r="I514" t="s">
        <v>503</v>
      </c>
      <c r="J514" t="s">
        <v>504</v>
      </c>
      <c r="K514" t="s">
        <v>505</v>
      </c>
      <c r="L514">
        <v>1368</v>
      </c>
      <c r="N514">
        <v>1011</v>
      </c>
      <c r="O514" t="s">
        <v>488</v>
      </c>
      <c r="P514" t="s">
        <v>488</v>
      </c>
      <c r="Q514">
        <v>1</v>
      </c>
      <c r="X514">
        <v>0.08</v>
      </c>
      <c r="Y514">
        <v>0</v>
      </c>
      <c r="Z514">
        <v>179.17</v>
      </c>
      <c r="AA514">
        <v>16.93</v>
      </c>
      <c r="AB514">
        <v>0</v>
      </c>
      <c r="AC514">
        <v>0</v>
      </c>
      <c r="AD514">
        <v>1</v>
      </c>
      <c r="AE514">
        <v>0</v>
      </c>
      <c r="AF514" t="s">
        <v>98</v>
      </c>
      <c r="AG514">
        <v>0.11000000000000001</v>
      </c>
      <c r="AH514">
        <v>2</v>
      </c>
      <c r="AI514">
        <v>60255763</v>
      </c>
      <c r="AJ514">
        <v>461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ROW(Source!A309)</f>
        <v>309</v>
      </c>
      <c r="B515">
        <v>60255998</v>
      </c>
      <c r="C515">
        <v>60255759</v>
      </c>
      <c r="D515">
        <v>59038905</v>
      </c>
      <c r="E515">
        <v>1</v>
      </c>
      <c r="F515">
        <v>1</v>
      </c>
      <c r="G515">
        <v>1080</v>
      </c>
      <c r="H515">
        <v>3</v>
      </c>
      <c r="I515" t="s">
        <v>506</v>
      </c>
      <c r="J515" t="s">
        <v>507</v>
      </c>
      <c r="K515" t="s">
        <v>508</v>
      </c>
      <c r="L515">
        <v>1339</v>
      </c>
      <c r="N515">
        <v>1007</v>
      </c>
      <c r="O515" t="s">
        <v>509</v>
      </c>
      <c r="P515" t="s">
        <v>509</v>
      </c>
      <c r="Q515">
        <v>1</v>
      </c>
      <c r="X515">
        <v>1.2</v>
      </c>
      <c r="Y515">
        <v>7.07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</v>
      </c>
      <c r="AG515">
        <v>1.2</v>
      </c>
      <c r="AH515">
        <v>2</v>
      </c>
      <c r="AI515">
        <v>60255764</v>
      </c>
      <c r="AJ515">
        <v>462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ROW(Source!A309)</f>
        <v>309</v>
      </c>
      <c r="B516">
        <v>60255999</v>
      </c>
      <c r="C516">
        <v>60255759</v>
      </c>
      <c r="D516">
        <v>59040044</v>
      </c>
      <c r="E516">
        <v>1</v>
      </c>
      <c r="F516">
        <v>1</v>
      </c>
      <c r="G516">
        <v>1080</v>
      </c>
      <c r="H516">
        <v>3</v>
      </c>
      <c r="I516" t="s">
        <v>559</v>
      </c>
      <c r="J516" t="s">
        <v>560</v>
      </c>
      <c r="K516" t="s">
        <v>561</v>
      </c>
      <c r="L516">
        <v>1346</v>
      </c>
      <c r="N516">
        <v>1009</v>
      </c>
      <c r="O516" t="s">
        <v>528</v>
      </c>
      <c r="P516" t="s">
        <v>528</v>
      </c>
      <c r="Q516">
        <v>1</v>
      </c>
      <c r="X516">
        <v>0.3</v>
      </c>
      <c r="Y516">
        <v>21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3</v>
      </c>
      <c r="AG516">
        <v>0.3</v>
      </c>
      <c r="AH516">
        <v>2</v>
      </c>
      <c r="AI516">
        <v>60255765</v>
      </c>
      <c r="AJ516">
        <v>463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ROW(Source!A309)</f>
        <v>309</v>
      </c>
      <c r="B517">
        <v>60256000</v>
      </c>
      <c r="C517">
        <v>60255759</v>
      </c>
      <c r="D517">
        <v>59039024</v>
      </c>
      <c r="E517">
        <v>1</v>
      </c>
      <c r="F517">
        <v>1</v>
      </c>
      <c r="G517">
        <v>1080</v>
      </c>
      <c r="H517">
        <v>3</v>
      </c>
      <c r="I517" t="s">
        <v>562</v>
      </c>
      <c r="J517" t="s">
        <v>563</v>
      </c>
      <c r="K517" t="s">
        <v>564</v>
      </c>
      <c r="L517">
        <v>1348</v>
      </c>
      <c r="N517">
        <v>1009</v>
      </c>
      <c r="O517" t="s">
        <v>534</v>
      </c>
      <c r="P517" t="s">
        <v>534</v>
      </c>
      <c r="Q517">
        <v>1000</v>
      </c>
      <c r="X517">
        <v>2.0000000000000002E-5</v>
      </c>
      <c r="Y517">
        <v>3234.81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3</v>
      </c>
      <c r="AG517">
        <v>2.0000000000000002E-5</v>
      </c>
      <c r="AH517">
        <v>2</v>
      </c>
      <c r="AI517">
        <v>60255766</v>
      </c>
      <c r="AJ517">
        <v>464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ROW(Source!A309)</f>
        <v>309</v>
      </c>
      <c r="B518">
        <v>60256001</v>
      </c>
      <c r="C518">
        <v>60255759</v>
      </c>
      <c r="D518">
        <v>59038837</v>
      </c>
      <c r="E518">
        <v>1</v>
      </c>
      <c r="F518">
        <v>1</v>
      </c>
      <c r="G518">
        <v>1080</v>
      </c>
      <c r="H518">
        <v>3</v>
      </c>
      <c r="I518" t="s">
        <v>565</v>
      </c>
      <c r="J518" t="s">
        <v>566</v>
      </c>
      <c r="K518" t="s">
        <v>567</v>
      </c>
      <c r="L518">
        <v>1339</v>
      </c>
      <c r="N518">
        <v>1007</v>
      </c>
      <c r="O518" t="s">
        <v>509</v>
      </c>
      <c r="P518" t="s">
        <v>509</v>
      </c>
      <c r="Q518">
        <v>1</v>
      </c>
      <c r="X518">
        <v>0.41</v>
      </c>
      <c r="Y518">
        <v>53.42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</v>
      </c>
      <c r="AG518">
        <v>0.41</v>
      </c>
      <c r="AH518">
        <v>2</v>
      </c>
      <c r="AI518">
        <v>60255767</v>
      </c>
      <c r="AJ518">
        <v>465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ROW(Source!A309)</f>
        <v>309</v>
      </c>
      <c r="B519">
        <v>60256002</v>
      </c>
      <c r="C519">
        <v>60255759</v>
      </c>
      <c r="D519">
        <v>59039103</v>
      </c>
      <c r="E519">
        <v>1</v>
      </c>
      <c r="F519">
        <v>1</v>
      </c>
      <c r="G519">
        <v>1080</v>
      </c>
      <c r="H519">
        <v>3</v>
      </c>
      <c r="I519" t="s">
        <v>568</v>
      </c>
      <c r="J519" t="s">
        <v>569</v>
      </c>
      <c r="K519" t="s">
        <v>570</v>
      </c>
      <c r="L519">
        <v>1339</v>
      </c>
      <c r="N519">
        <v>1007</v>
      </c>
      <c r="O519" t="s">
        <v>509</v>
      </c>
      <c r="P519" t="s">
        <v>509</v>
      </c>
      <c r="Q519">
        <v>1</v>
      </c>
      <c r="X519">
        <v>0.45</v>
      </c>
      <c r="Y519">
        <v>5.82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</v>
      </c>
      <c r="AG519">
        <v>0.45</v>
      </c>
      <c r="AH519">
        <v>2</v>
      </c>
      <c r="AI519">
        <v>60255768</v>
      </c>
      <c r="AJ519">
        <v>466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ROW(Source!A309)</f>
        <v>309</v>
      </c>
      <c r="B520">
        <v>60256003</v>
      </c>
      <c r="C520">
        <v>60255759</v>
      </c>
      <c r="D520">
        <v>59046388</v>
      </c>
      <c r="E520">
        <v>1</v>
      </c>
      <c r="F520">
        <v>1</v>
      </c>
      <c r="G520">
        <v>1080</v>
      </c>
      <c r="H520">
        <v>3</v>
      </c>
      <c r="I520" t="s">
        <v>571</v>
      </c>
      <c r="J520" t="s">
        <v>572</v>
      </c>
      <c r="K520" t="s">
        <v>573</v>
      </c>
      <c r="L520">
        <v>1339</v>
      </c>
      <c r="N520">
        <v>1007</v>
      </c>
      <c r="O520" t="s">
        <v>509</v>
      </c>
      <c r="P520" t="s">
        <v>509</v>
      </c>
      <c r="Q520">
        <v>1</v>
      </c>
      <c r="X520">
        <v>1.2E-2</v>
      </c>
      <c r="Y520">
        <v>610.71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</v>
      </c>
      <c r="AG520">
        <v>1.2E-2</v>
      </c>
      <c r="AH520">
        <v>2</v>
      </c>
      <c r="AI520">
        <v>60255769</v>
      </c>
      <c r="AJ520">
        <v>468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ROW(Source!A309)</f>
        <v>309</v>
      </c>
      <c r="B521">
        <v>60256004</v>
      </c>
      <c r="C521">
        <v>60255759</v>
      </c>
      <c r="D521">
        <v>59000379</v>
      </c>
      <c r="E521">
        <v>1080</v>
      </c>
      <c r="F521">
        <v>1</v>
      </c>
      <c r="G521">
        <v>1080</v>
      </c>
      <c r="H521">
        <v>3</v>
      </c>
      <c r="I521" t="s">
        <v>605</v>
      </c>
      <c r="J521" t="s">
        <v>3</v>
      </c>
      <c r="K521" t="s">
        <v>606</v>
      </c>
      <c r="L521">
        <v>1346</v>
      </c>
      <c r="N521">
        <v>1009</v>
      </c>
      <c r="O521" t="s">
        <v>528</v>
      </c>
      <c r="P521" t="s">
        <v>528</v>
      </c>
      <c r="Q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3</v>
      </c>
      <c r="AG521">
        <v>0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ROW(Source!A309)</f>
        <v>309</v>
      </c>
      <c r="B522">
        <v>60256005</v>
      </c>
      <c r="C522">
        <v>60255759</v>
      </c>
      <c r="D522">
        <v>59022842</v>
      </c>
      <c r="E522">
        <v>1080</v>
      </c>
      <c r="F522">
        <v>1</v>
      </c>
      <c r="G522">
        <v>1080</v>
      </c>
      <c r="H522">
        <v>3</v>
      </c>
      <c r="I522" t="s">
        <v>610</v>
      </c>
      <c r="J522" t="s">
        <v>3</v>
      </c>
      <c r="K522" t="s">
        <v>611</v>
      </c>
      <c r="L522">
        <v>1301</v>
      </c>
      <c r="N522">
        <v>1003</v>
      </c>
      <c r="O522" t="s">
        <v>376</v>
      </c>
      <c r="P522" t="s">
        <v>376</v>
      </c>
      <c r="Q522">
        <v>1</v>
      </c>
      <c r="X522">
        <v>100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</v>
      </c>
      <c r="AG522">
        <v>100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ROW(Source!A347)</f>
        <v>347</v>
      </c>
      <c r="B523">
        <v>60256006</v>
      </c>
      <c r="C523">
        <v>60255840</v>
      </c>
      <c r="D523">
        <v>58999254</v>
      </c>
      <c r="E523">
        <v>1080</v>
      </c>
      <c r="F523">
        <v>1</v>
      </c>
      <c r="G523">
        <v>1080</v>
      </c>
      <c r="H523">
        <v>1</v>
      </c>
      <c r="I523" t="s">
        <v>482</v>
      </c>
      <c r="J523" t="s">
        <v>3</v>
      </c>
      <c r="K523" t="s">
        <v>483</v>
      </c>
      <c r="L523">
        <v>1191</v>
      </c>
      <c r="N523">
        <v>1013</v>
      </c>
      <c r="O523" t="s">
        <v>484</v>
      </c>
      <c r="P523" t="s">
        <v>484</v>
      </c>
      <c r="Q523">
        <v>1</v>
      </c>
      <c r="X523">
        <v>18.45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99</v>
      </c>
      <c r="AG523">
        <v>23.33925</v>
      </c>
      <c r="AH523">
        <v>2</v>
      </c>
      <c r="AI523">
        <v>60255841</v>
      </c>
      <c r="AJ523">
        <v>469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ROW(Source!A347)</f>
        <v>347</v>
      </c>
      <c r="B524">
        <v>60256007</v>
      </c>
      <c r="C524">
        <v>60255840</v>
      </c>
      <c r="D524">
        <v>59070669</v>
      </c>
      <c r="E524">
        <v>1</v>
      </c>
      <c r="F524">
        <v>1</v>
      </c>
      <c r="G524">
        <v>1080</v>
      </c>
      <c r="H524">
        <v>2</v>
      </c>
      <c r="I524" t="s">
        <v>485</v>
      </c>
      <c r="J524" t="s">
        <v>486</v>
      </c>
      <c r="K524" t="s">
        <v>487</v>
      </c>
      <c r="L524">
        <v>1368</v>
      </c>
      <c r="N524">
        <v>1011</v>
      </c>
      <c r="O524" t="s">
        <v>488</v>
      </c>
      <c r="P524" t="s">
        <v>488</v>
      </c>
      <c r="Q524">
        <v>1</v>
      </c>
      <c r="X524">
        <v>0.37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98</v>
      </c>
      <c r="AG524">
        <v>0.50875000000000004</v>
      </c>
      <c r="AH524">
        <v>2</v>
      </c>
      <c r="AI524">
        <v>60255842</v>
      </c>
      <c r="AJ524">
        <v>470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ROW(Source!A347)</f>
        <v>347</v>
      </c>
      <c r="B525">
        <v>60256008</v>
      </c>
      <c r="C525">
        <v>60255840</v>
      </c>
      <c r="D525">
        <v>59070765</v>
      </c>
      <c r="E525">
        <v>1</v>
      </c>
      <c r="F525">
        <v>1</v>
      </c>
      <c r="G525">
        <v>1080</v>
      </c>
      <c r="H525">
        <v>2</v>
      </c>
      <c r="I525" t="s">
        <v>574</v>
      </c>
      <c r="J525" t="s">
        <v>575</v>
      </c>
      <c r="K525" t="s">
        <v>576</v>
      </c>
      <c r="L525">
        <v>1368</v>
      </c>
      <c r="N525">
        <v>1011</v>
      </c>
      <c r="O525" t="s">
        <v>488</v>
      </c>
      <c r="P525" t="s">
        <v>488</v>
      </c>
      <c r="Q525">
        <v>1</v>
      </c>
      <c r="X525">
        <v>1.18</v>
      </c>
      <c r="Y525">
        <v>0</v>
      </c>
      <c r="Z525">
        <v>11.57</v>
      </c>
      <c r="AA525">
        <v>11.18</v>
      </c>
      <c r="AB525">
        <v>0</v>
      </c>
      <c r="AC525">
        <v>0</v>
      </c>
      <c r="AD525">
        <v>1</v>
      </c>
      <c r="AE525">
        <v>0</v>
      </c>
      <c r="AF525" t="s">
        <v>98</v>
      </c>
      <c r="AG525">
        <v>1.6225000000000001</v>
      </c>
      <c r="AH525">
        <v>2</v>
      </c>
      <c r="AI525">
        <v>60255843</v>
      </c>
      <c r="AJ525">
        <v>471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ROW(Source!A347)</f>
        <v>347</v>
      </c>
      <c r="B526">
        <v>60256009</v>
      </c>
      <c r="C526">
        <v>60255840</v>
      </c>
      <c r="D526">
        <v>59039571</v>
      </c>
      <c r="E526">
        <v>1</v>
      </c>
      <c r="F526">
        <v>1</v>
      </c>
      <c r="G526">
        <v>1080</v>
      </c>
      <c r="H526">
        <v>3</v>
      </c>
      <c r="I526" t="s">
        <v>577</v>
      </c>
      <c r="J526" t="s">
        <v>578</v>
      </c>
      <c r="K526" t="s">
        <v>579</v>
      </c>
      <c r="L526">
        <v>1348</v>
      </c>
      <c r="N526">
        <v>1009</v>
      </c>
      <c r="O526" t="s">
        <v>534</v>
      </c>
      <c r="P526" t="s">
        <v>534</v>
      </c>
      <c r="Q526">
        <v>1000</v>
      </c>
      <c r="X526">
        <v>3.9E-2</v>
      </c>
      <c r="Y526">
        <v>11782.95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3</v>
      </c>
      <c r="AG526">
        <v>3.9E-2</v>
      </c>
      <c r="AH526">
        <v>2</v>
      </c>
      <c r="AI526">
        <v>60255844</v>
      </c>
      <c r="AJ526">
        <v>472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ROW(Source!A347)</f>
        <v>347</v>
      </c>
      <c r="B527">
        <v>60256010</v>
      </c>
      <c r="C527">
        <v>60255840</v>
      </c>
      <c r="D527">
        <v>59040743</v>
      </c>
      <c r="E527">
        <v>1</v>
      </c>
      <c r="F527">
        <v>1</v>
      </c>
      <c r="G527">
        <v>1080</v>
      </c>
      <c r="H527">
        <v>3</v>
      </c>
      <c r="I527" t="s">
        <v>580</v>
      </c>
      <c r="J527" t="s">
        <v>581</v>
      </c>
      <c r="K527" t="s">
        <v>582</v>
      </c>
      <c r="L527">
        <v>1346</v>
      </c>
      <c r="N527">
        <v>1009</v>
      </c>
      <c r="O527" t="s">
        <v>528</v>
      </c>
      <c r="P527" t="s">
        <v>528</v>
      </c>
      <c r="Q527">
        <v>1</v>
      </c>
      <c r="X527">
        <v>0.04</v>
      </c>
      <c r="Y527">
        <v>27.62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</v>
      </c>
      <c r="AG527">
        <v>0.04</v>
      </c>
      <c r="AH527">
        <v>2</v>
      </c>
      <c r="AI527">
        <v>60255845</v>
      </c>
      <c r="AJ527">
        <v>473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ROW(Source!A347)</f>
        <v>347</v>
      </c>
      <c r="B528">
        <v>60256011</v>
      </c>
      <c r="C528">
        <v>60255840</v>
      </c>
      <c r="D528">
        <v>59039223</v>
      </c>
      <c r="E528">
        <v>1</v>
      </c>
      <c r="F528">
        <v>1</v>
      </c>
      <c r="G528">
        <v>1080</v>
      </c>
      <c r="H528">
        <v>3</v>
      </c>
      <c r="I528" t="s">
        <v>583</v>
      </c>
      <c r="J528" t="s">
        <v>584</v>
      </c>
      <c r="K528" t="s">
        <v>585</v>
      </c>
      <c r="L528">
        <v>1346</v>
      </c>
      <c r="N528">
        <v>1009</v>
      </c>
      <c r="O528" t="s">
        <v>528</v>
      </c>
      <c r="P528" t="s">
        <v>528</v>
      </c>
      <c r="Q528">
        <v>1</v>
      </c>
      <c r="X528">
        <v>10.9</v>
      </c>
      <c r="Y528">
        <v>5.01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</v>
      </c>
      <c r="AG528">
        <v>10.9</v>
      </c>
      <c r="AH528">
        <v>2</v>
      </c>
      <c r="AI528">
        <v>60255846</v>
      </c>
      <c r="AJ528">
        <v>474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ROW(Source!A347)</f>
        <v>347</v>
      </c>
      <c r="B529">
        <v>60256012</v>
      </c>
      <c r="C529">
        <v>60255840</v>
      </c>
      <c r="D529">
        <v>59039483</v>
      </c>
      <c r="E529">
        <v>1</v>
      </c>
      <c r="F529">
        <v>1</v>
      </c>
      <c r="G529">
        <v>1080</v>
      </c>
      <c r="H529">
        <v>3</v>
      </c>
      <c r="I529" t="s">
        <v>586</v>
      </c>
      <c r="J529" t="s">
        <v>587</v>
      </c>
      <c r="K529" t="s">
        <v>588</v>
      </c>
      <c r="L529">
        <v>1348</v>
      </c>
      <c r="N529">
        <v>1009</v>
      </c>
      <c r="O529" t="s">
        <v>534</v>
      </c>
      <c r="P529" t="s">
        <v>534</v>
      </c>
      <c r="Q529">
        <v>1000</v>
      </c>
      <c r="X529">
        <v>1.1000000000000001E-3</v>
      </c>
      <c r="Y529">
        <v>9367.98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</v>
      </c>
      <c r="AG529">
        <v>1.1000000000000001E-3</v>
      </c>
      <c r="AH529">
        <v>2</v>
      </c>
      <c r="AI529">
        <v>60255847</v>
      </c>
      <c r="AJ529">
        <v>475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ROW(Source!A347)</f>
        <v>347</v>
      </c>
      <c r="B530">
        <v>60256013</v>
      </c>
      <c r="C530">
        <v>60255840</v>
      </c>
      <c r="D530">
        <v>59039484</v>
      </c>
      <c r="E530">
        <v>1</v>
      </c>
      <c r="F530">
        <v>1</v>
      </c>
      <c r="G530">
        <v>1080</v>
      </c>
      <c r="H530">
        <v>3</v>
      </c>
      <c r="I530" t="s">
        <v>589</v>
      </c>
      <c r="J530" t="s">
        <v>590</v>
      </c>
      <c r="K530" t="s">
        <v>591</v>
      </c>
      <c r="L530">
        <v>1348</v>
      </c>
      <c r="N530">
        <v>1009</v>
      </c>
      <c r="O530" t="s">
        <v>534</v>
      </c>
      <c r="P530" t="s">
        <v>534</v>
      </c>
      <c r="Q530">
        <v>1000</v>
      </c>
      <c r="X530">
        <v>4.0000000000000001E-3</v>
      </c>
      <c r="Y530">
        <v>7973.67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3</v>
      </c>
      <c r="AG530">
        <v>4.0000000000000001E-3</v>
      </c>
      <c r="AH530">
        <v>2</v>
      </c>
      <c r="AI530">
        <v>60255848</v>
      </c>
      <c r="AJ530">
        <v>476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ROW(Source!A347)</f>
        <v>347</v>
      </c>
      <c r="B531">
        <v>60256014</v>
      </c>
      <c r="C531">
        <v>60255840</v>
      </c>
      <c r="D531">
        <v>59032787</v>
      </c>
      <c r="E531">
        <v>1080</v>
      </c>
      <c r="F531">
        <v>1</v>
      </c>
      <c r="G531">
        <v>1080</v>
      </c>
      <c r="H531">
        <v>3</v>
      </c>
      <c r="I531" t="s">
        <v>612</v>
      </c>
      <c r="J531" t="s">
        <v>3</v>
      </c>
      <c r="K531" t="s">
        <v>613</v>
      </c>
      <c r="L531">
        <v>1339</v>
      </c>
      <c r="N531">
        <v>1007</v>
      </c>
      <c r="O531" t="s">
        <v>509</v>
      </c>
      <c r="P531" t="s">
        <v>509</v>
      </c>
      <c r="Q531">
        <v>1</v>
      </c>
      <c r="X531">
        <v>1.032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3</v>
      </c>
      <c r="AG531">
        <v>1.032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ROW(Source!A348)</f>
        <v>348</v>
      </c>
      <c r="B532">
        <v>60256006</v>
      </c>
      <c r="C532">
        <v>60255840</v>
      </c>
      <c r="D532">
        <v>58999254</v>
      </c>
      <c r="E532">
        <v>1080</v>
      </c>
      <c r="F532">
        <v>1</v>
      </c>
      <c r="G532">
        <v>1080</v>
      </c>
      <c r="H532">
        <v>1</v>
      </c>
      <c r="I532" t="s">
        <v>482</v>
      </c>
      <c r="J532" t="s">
        <v>3</v>
      </c>
      <c r="K532" t="s">
        <v>483</v>
      </c>
      <c r="L532">
        <v>1191</v>
      </c>
      <c r="N532">
        <v>1013</v>
      </c>
      <c r="O532" t="s">
        <v>484</v>
      </c>
      <c r="P532" t="s">
        <v>484</v>
      </c>
      <c r="Q532">
        <v>1</v>
      </c>
      <c r="X532">
        <v>18.45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99</v>
      </c>
      <c r="AG532">
        <v>23.33925</v>
      </c>
      <c r="AH532">
        <v>2</v>
      </c>
      <c r="AI532">
        <v>60255841</v>
      </c>
      <c r="AJ532">
        <v>477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ROW(Source!A348)</f>
        <v>348</v>
      </c>
      <c r="B533">
        <v>60256007</v>
      </c>
      <c r="C533">
        <v>60255840</v>
      </c>
      <c r="D533">
        <v>59070669</v>
      </c>
      <c r="E533">
        <v>1</v>
      </c>
      <c r="F533">
        <v>1</v>
      </c>
      <c r="G533">
        <v>1080</v>
      </c>
      <c r="H533">
        <v>2</v>
      </c>
      <c r="I533" t="s">
        <v>485</v>
      </c>
      <c r="J533" t="s">
        <v>486</v>
      </c>
      <c r="K533" t="s">
        <v>487</v>
      </c>
      <c r="L533">
        <v>1368</v>
      </c>
      <c r="N533">
        <v>1011</v>
      </c>
      <c r="O533" t="s">
        <v>488</v>
      </c>
      <c r="P533" t="s">
        <v>488</v>
      </c>
      <c r="Q533">
        <v>1</v>
      </c>
      <c r="X533">
        <v>0.37</v>
      </c>
      <c r="Y533">
        <v>0</v>
      </c>
      <c r="Z533">
        <v>83.1</v>
      </c>
      <c r="AA533">
        <v>12.62</v>
      </c>
      <c r="AB533">
        <v>0</v>
      </c>
      <c r="AC533">
        <v>0</v>
      </c>
      <c r="AD533">
        <v>1</v>
      </c>
      <c r="AE533">
        <v>0</v>
      </c>
      <c r="AF533" t="s">
        <v>98</v>
      </c>
      <c r="AG533">
        <v>0.50875000000000004</v>
      </c>
      <c r="AH533">
        <v>2</v>
      </c>
      <c r="AI533">
        <v>60255842</v>
      </c>
      <c r="AJ533">
        <v>478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ROW(Source!A348)</f>
        <v>348</v>
      </c>
      <c r="B534">
        <v>60256008</v>
      </c>
      <c r="C534">
        <v>60255840</v>
      </c>
      <c r="D534">
        <v>59070765</v>
      </c>
      <c r="E534">
        <v>1</v>
      </c>
      <c r="F534">
        <v>1</v>
      </c>
      <c r="G534">
        <v>1080</v>
      </c>
      <c r="H534">
        <v>2</v>
      </c>
      <c r="I534" t="s">
        <v>574</v>
      </c>
      <c r="J534" t="s">
        <v>575</v>
      </c>
      <c r="K534" t="s">
        <v>576</v>
      </c>
      <c r="L534">
        <v>1368</v>
      </c>
      <c r="N534">
        <v>1011</v>
      </c>
      <c r="O534" t="s">
        <v>488</v>
      </c>
      <c r="P534" t="s">
        <v>488</v>
      </c>
      <c r="Q534">
        <v>1</v>
      </c>
      <c r="X534">
        <v>1.18</v>
      </c>
      <c r="Y534">
        <v>0</v>
      </c>
      <c r="Z534">
        <v>11.57</v>
      </c>
      <c r="AA534">
        <v>11.18</v>
      </c>
      <c r="AB534">
        <v>0</v>
      </c>
      <c r="AC534">
        <v>0</v>
      </c>
      <c r="AD534">
        <v>1</v>
      </c>
      <c r="AE534">
        <v>0</v>
      </c>
      <c r="AF534" t="s">
        <v>98</v>
      </c>
      <c r="AG534">
        <v>1.6225000000000001</v>
      </c>
      <c r="AH534">
        <v>2</v>
      </c>
      <c r="AI534">
        <v>60255843</v>
      </c>
      <c r="AJ534">
        <v>479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ROW(Source!A348)</f>
        <v>348</v>
      </c>
      <c r="B535">
        <v>60256009</v>
      </c>
      <c r="C535">
        <v>60255840</v>
      </c>
      <c r="D535">
        <v>59039571</v>
      </c>
      <c r="E535">
        <v>1</v>
      </c>
      <c r="F535">
        <v>1</v>
      </c>
      <c r="G535">
        <v>1080</v>
      </c>
      <c r="H535">
        <v>3</v>
      </c>
      <c r="I535" t="s">
        <v>577</v>
      </c>
      <c r="J535" t="s">
        <v>578</v>
      </c>
      <c r="K535" t="s">
        <v>579</v>
      </c>
      <c r="L535">
        <v>1348</v>
      </c>
      <c r="N535">
        <v>1009</v>
      </c>
      <c r="O535" t="s">
        <v>534</v>
      </c>
      <c r="P535" t="s">
        <v>534</v>
      </c>
      <c r="Q535">
        <v>1000</v>
      </c>
      <c r="X535">
        <v>3.9E-2</v>
      </c>
      <c r="Y535">
        <v>11782.95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</v>
      </c>
      <c r="AG535">
        <v>3.9E-2</v>
      </c>
      <c r="AH535">
        <v>2</v>
      </c>
      <c r="AI535">
        <v>60255844</v>
      </c>
      <c r="AJ535">
        <v>480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ROW(Source!A348)</f>
        <v>348</v>
      </c>
      <c r="B536">
        <v>60256010</v>
      </c>
      <c r="C536">
        <v>60255840</v>
      </c>
      <c r="D536">
        <v>59040743</v>
      </c>
      <c r="E536">
        <v>1</v>
      </c>
      <c r="F536">
        <v>1</v>
      </c>
      <c r="G536">
        <v>1080</v>
      </c>
      <c r="H536">
        <v>3</v>
      </c>
      <c r="I536" t="s">
        <v>580</v>
      </c>
      <c r="J536" t="s">
        <v>581</v>
      </c>
      <c r="K536" t="s">
        <v>582</v>
      </c>
      <c r="L536">
        <v>1346</v>
      </c>
      <c r="N536">
        <v>1009</v>
      </c>
      <c r="O536" t="s">
        <v>528</v>
      </c>
      <c r="P536" t="s">
        <v>528</v>
      </c>
      <c r="Q536">
        <v>1</v>
      </c>
      <c r="X536">
        <v>0.04</v>
      </c>
      <c r="Y536">
        <v>27.62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0.04</v>
      </c>
      <c r="AH536">
        <v>2</v>
      </c>
      <c r="AI536">
        <v>60255845</v>
      </c>
      <c r="AJ536">
        <v>481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ROW(Source!A348)</f>
        <v>348</v>
      </c>
      <c r="B537">
        <v>60256011</v>
      </c>
      <c r="C537">
        <v>60255840</v>
      </c>
      <c r="D537">
        <v>59039223</v>
      </c>
      <c r="E537">
        <v>1</v>
      </c>
      <c r="F537">
        <v>1</v>
      </c>
      <c r="G537">
        <v>1080</v>
      </c>
      <c r="H537">
        <v>3</v>
      </c>
      <c r="I537" t="s">
        <v>583</v>
      </c>
      <c r="J537" t="s">
        <v>584</v>
      </c>
      <c r="K537" t="s">
        <v>585</v>
      </c>
      <c r="L537">
        <v>1346</v>
      </c>
      <c r="N537">
        <v>1009</v>
      </c>
      <c r="O537" t="s">
        <v>528</v>
      </c>
      <c r="P537" t="s">
        <v>528</v>
      </c>
      <c r="Q537">
        <v>1</v>
      </c>
      <c r="X537">
        <v>10.9</v>
      </c>
      <c r="Y537">
        <v>5.01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10.9</v>
      </c>
      <c r="AH537">
        <v>2</v>
      </c>
      <c r="AI537">
        <v>60255846</v>
      </c>
      <c r="AJ537">
        <v>482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ROW(Source!A348)</f>
        <v>348</v>
      </c>
      <c r="B538">
        <v>60256012</v>
      </c>
      <c r="C538">
        <v>60255840</v>
      </c>
      <c r="D538">
        <v>59039483</v>
      </c>
      <c r="E538">
        <v>1</v>
      </c>
      <c r="F538">
        <v>1</v>
      </c>
      <c r="G538">
        <v>1080</v>
      </c>
      <c r="H538">
        <v>3</v>
      </c>
      <c r="I538" t="s">
        <v>586</v>
      </c>
      <c r="J538" t="s">
        <v>587</v>
      </c>
      <c r="K538" t="s">
        <v>588</v>
      </c>
      <c r="L538">
        <v>1348</v>
      </c>
      <c r="N538">
        <v>1009</v>
      </c>
      <c r="O538" t="s">
        <v>534</v>
      </c>
      <c r="P538" t="s">
        <v>534</v>
      </c>
      <c r="Q538">
        <v>1000</v>
      </c>
      <c r="X538">
        <v>1.1000000000000001E-3</v>
      </c>
      <c r="Y538">
        <v>9367.98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</v>
      </c>
      <c r="AG538">
        <v>1.1000000000000001E-3</v>
      </c>
      <c r="AH538">
        <v>2</v>
      </c>
      <c r="AI538">
        <v>60255847</v>
      </c>
      <c r="AJ538">
        <v>483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ROW(Source!A348)</f>
        <v>348</v>
      </c>
      <c r="B539">
        <v>60256013</v>
      </c>
      <c r="C539">
        <v>60255840</v>
      </c>
      <c r="D539">
        <v>59039484</v>
      </c>
      <c r="E539">
        <v>1</v>
      </c>
      <c r="F539">
        <v>1</v>
      </c>
      <c r="G539">
        <v>1080</v>
      </c>
      <c r="H539">
        <v>3</v>
      </c>
      <c r="I539" t="s">
        <v>589</v>
      </c>
      <c r="J539" t="s">
        <v>590</v>
      </c>
      <c r="K539" t="s">
        <v>591</v>
      </c>
      <c r="L539">
        <v>1348</v>
      </c>
      <c r="N539">
        <v>1009</v>
      </c>
      <c r="O539" t="s">
        <v>534</v>
      </c>
      <c r="P539" t="s">
        <v>534</v>
      </c>
      <c r="Q539">
        <v>1000</v>
      </c>
      <c r="X539">
        <v>4.0000000000000001E-3</v>
      </c>
      <c r="Y539">
        <v>7973.67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</v>
      </c>
      <c r="AG539">
        <v>4.0000000000000001E-3</v>
      </c>
      <c r="AH539">
        <v>2</v>
      </c>
      <c r="AI539">
        <v>60255848</v>
      </c>
      <c r="AJ539">
        <v>484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ROW(Source!A348)</f>
        <v>348</v>
      </c>
      <c r="B540">
        <v>60256014</v>
      </c>
      <c r="C540">
        <v>60255840</v>
      </c>
      <c r="D540">
        <v>59032787</v>
      </c>
      <c r="E540">
        <v>1080</v>
      </c>
      <c r="F540">
        <v>1</v>
      </c>
      <c r="G540">
        <v>1080</v>
      </c>
      <c r="H540">
        <v>3</v>
      </c>
      <c r="I540" t="s">
        <v>612</v>
      </c>
      <c r="J540" t="s">
        <v>3</v>
      </c>
      <c r="K540" t="s">
        <v>613</v>
      </c>
      <c r="L540">
        <v>1339</v>
      </c>
      <c r="N540">
        <v>1007</v>
      </c>
      <c r="O540" t="s">
        <v>509</v>
      </c>
      <c r="P540" t="s">
        <v>509</v>
      </c>
      <c r="Q540">
        <v>1</v>
      </c>
      <c r="X540">
        <v>1.032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3</v>
      </c>
      <c r="AG540">
        <v>1.032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69</v>
      </c>
      <c r="B1">
        <v>1</v>
      </c>
      <c r="C1" t="s">
        <v>3</v>
      </c>
      <c r="D1" t="s">
        <v>3</v>
      </c>
      <c r="E1" t="s">
        <v>614</v>
      </c>
      <c r="F1" t="s">
        <v>614</v>
      </c>
      <c r="G1" t="s">
        <v>615</v>
      </c>
      <c r="H1" t="s">
        <v>3</v>
      </c>
      <c r="I1" t="s">
        <v>615</v>
      </c>
      <c r="J1" t="s">
        <v>614</v>
      </c>
      <c r="K1" t="s">
        <v>3</v>
      </c>
      <c r="L1" t="s">
        <v>3</v>
      </c>
      <c r="M1" t="s">
        <v>3</v>
      </c>
      <c r="N1" t="s">
        <v>3</v>
      </c>
      <c r="O1" t="s">
        <v>616</v>
      </c>
      <c r="P1" t="s">
        <v>3</v>
      </c>
      <c r="Q1" t="s">
        <v>3</v>
      </c>
      <c r="R1" t="s">
        <v>3</v>
      </c>
      <c r="S1" t="s">
        <v>617</v>
      </c>
      <c r="T1" t="s">
        <v>618</v>
      </c>
      <c r="U1" t="s">
        <v>619</v>
      </c>
    </row>
    <row r="2" spans="1:21" x14ac:dyDescent="0.2">
      <c r="A2">
        <v>69</v>
      </c>
      <c r="B2">
        <v>1</v>
      </c>
      <c r="C2" t="s">
        <v>3</v>
      </c>
      <c r="D2" t="s">
        <v>3</v>
      </c>
      <c r="E2" t="s">
        <v>23</v>
      </c>
      <c r="F2" t="s">
        <v>23</v>
      </c>
      <c r="G2" t="s">
        <v>23</v>
      </c>
      <c r="H2" t="s">
        <v>3</v>
      </c>
      <c r="I2" t="s">
        <v>23</v>
      </c>
      <c r="J2" t="s">
        <v>23</v>
      </c>
      <c r="K2" t="s">
        <v>3</v>
      </c>
      <c r="L2" t="s">
        <v>3</v>
      </c>
      <c r="M2" t="s">
        <v>3</v>
      </c>
      <c r="N2" t="s">
        <v>3</v>
      </c>
      <c r="O2" t="s">
        <v>23</v>
      </c>
      <c r="P2" t="s">
        <v>3</v>
      </c>
      <c r="Q2" t="s">
        <v>3</v>
      </c>
      <c r="R2" t="s">
        <v>3</v>
      </c>
      <c r="S2" t="s">
        <v>620</v>
      </c>
      <c r="T2" t="s">
        <v>624</v>
      </c>
      <c r="U2" t="s">
        <v>619</v>
      </c>
    </row>
    <row r="3" spans="1:21" x14ac:dyDescent="0.2">
      <c r="A3">
        <v>70</v>
      </c>
      <c r="B3">
        <v>1</v>
      </c>
      <c r="C3" t="s">
        <v>3</v>
      </c>
      <c r="D3" t="s">
        <v>3</v>
      </c>
      <c r="E3" t="s">
        <v>614</v>
      </c>
      <c r="F3" t="s">
        <v>614</v>
      </c>
      <c r="G3" t="s">
        <v>615</v>
      </c>
      <c r="H3" t="s">
        <v>3</v>
      </c>
      <c r="I3" t="s">
        <v>615</v>
      </c>
      <c r="J3" t="s">
        <v>614</v>
      </c>
      <c r="K3" t="s">
        <v>3</v>
      </c>
      <c r="L3" t="s">
        <v>3</v>
      </c>
      <c r="M3" t="s">
        <v>3</v>
      </c>
      <c r="N3" t="s">
        <v>3</v>
      </c>
      <c r="O3" t="s">
        <v>616</v>
      </c>
      <c r="P3" t="s">
        <v>3</v>
      </c>
      <c r="Q3" t="s">
        <v>3</v>
      </c>
      <c r="R3" t="s">
        <v>3</v>
      </c>
      <c r="S3" t="s">
        <v>617</v>
      </c>
      <c r="T3" t="s">
        <v>618</v>
      </c>
      <c r="U3" t="s">
        <v>619</v>
      </c>
    </row>
    <row r="4" spans="1:21" x14ac:dyDescent="0.2">
      <c r="A4">
        <v>70</v>
      </c>
      <c r="B4">
        <v>1</v>
      </c>
      <c r="C4" t="s">
        <v>3</v>
      </c>
      <c r="D4" t="s">
        <v>3</v>
      </c>
      <c r="E4" t="s">
        <v>23</v>
      </c>
      <c r="F4" t="s">
        <v>23</v>
      </c>
      <c r="G4" t="s">
        <v>23</v>
      </c>
      <c r="H4" t="s">
        <v>3</v>
      </c>
      <c r="I4" t="s">
        <v>23</v>
      </c>
      <c r="J4" t="s">
        <v>23</v>
      </c>
      <c r="K4" t="s">
        <v>3</v>
      </c>
      <c r="L4" t="s">
        <v>3</v>
      </c>
      <c r="M4" t="s">
        <v>3</v>
      </c>
      <c r="N4" t="s">
        <v>3</v>
      </c>
      <c r="O4" t="s">
        <v>23</v>
      </c>
      <c r="P4" t="s">
        <v>3</v>
      </c>
      <c r="Q4" t="s">
        <v>3</v>
      </c>
      <c r="R4" t="s">
        <v>3</v>
      </c>
      <c r="S4" t="s">
        <v>620</v>
      </c>
      <c r="T4" t="s">
        <v>624</v>
      </c>
      <c r="U4" t="s">
        <v>619</v>
      </c>
    </row>
    <row r="5" spans="1:21" x14ac:dyDescent="0.2">
      <c r="A5">
        <v>83</v>
      </c>
      <c r="B5">
        <v>1</v>
      </c>
      <c r="C5" t="s">
        <v>3</v>
      </c>
      <c r="D5" t="s">
        <v>3</v>
      </c>
      <c r="E5" t="s">
        <v>614</v>
      </c>
      <c r="F5" t="s">
        <v>614</v>
      </c>
      <c r="G5" t="s">
        <v>615</v>
      </c>
      <c r="H5" t="s">
        <v>3</v>
      </c>
      <c r="I5" t="s">
        <v>615</v>
      </c>
      <c r="J5" t="s">
        <v>614</v>
      </c>
      <c r="K5" t="s">
        <v>3</v>
      </c>
      <c r="L5" t="s">
        <v>3</v>
      </c>
      <c r="M5" t="s">
        <v>3</v>
      </c>
      <c r="N5" t="s">
        <v>3</v>
      </c>
      <c r="O5" t="s">
        <v>616</v>
      </c>
      <c r="P5" t="s">
        <v>3</v>
      </c>
      <c r="Q5" t="s">
        <v>3</v>
      </c>
      <c r="R5" t="s">
        <v>3</v>
      </c>
      <c r="S5" t="s">
        <v>617</v>
      </c>
      <c r="T5" t="s">
        <v>618</v>
      </c>
      <c r="U5" t="s">
        <v>619</v>
      </c>
    </row>
    <row r="6" spans="1:21" x14ac:dyDescent="0.2">
      <c r="A6">
        <v>83</v>
      </c>
      <c r="B6">
        <v>1</v>
      </c>
      <c r="C6" t="s">
        <v>3</v>
      </c>
      <c r="D6" t="s">
        <v>3</v>
      </c>
      <c r="E6" t="s">
        <v>23</v>
      </c>
      <c r="F6" t="s">
        <v>23</v>
      </c>
      <c r="G6" t="s">
        <v>23</v>
      </c>
      <c r="H6" t="s">
        <v>3</v>
      </c>
      <c r="I6" t="s">
        <v>23</v>
      </c>
      <c r="J6" t="s">
        <v>23</v>
      </c>
      <c r="K6" t="s">
        <v>3</v>
      </c>
      <c r="L6" t="s">
        <v>3</v>
      </c>
      <c r="M6" t="s">
        <v>3</v>
      </c>
      <c r="N6" t="s">
        <v>3</v>
      </c>
      <c r="O6" t="s">
        <v>23</v>
      </c>
      <c r="P6" t="s">
        <v>3</v>
      </c>
      <c r="Q6" t="s">
        <v>3</v>
      </c>
      <c r="R6" t="s">
        <v>3</v>
      </c>
      <c r="S6" t="s">
        <v>620</v>
      </c>
      <c r="T6" t="s">
        <v>624</v>
      </c>
      <c r="U6" t="s">
        <v>619</v>
      </c>
    </row>
    <row r="7" spans="1:21" x14ac:dyDescent="0.2">
      <c r="A7">
        <v>84</v>
      </c>
      <c r="B7">
        <v>1</v>
      </c>
      <c r="C7" t="s">
        <v>3</v>
      </c>
      <c r="D7" t="s">
        <v>3</v>
      </c>
      <c r="E7" t="s">
        <v>614</v>
      </c>
      <c r="F7" t="s">
        <v>614</v>
      </c>
      <c r="G7" t="s">
        <v>615</v>
      </c>
      <c r="H7" t="s">
        <v>3</v>
      </c>
      <c r="I7" t="s">
        <v>615</v>
      </c>
      <c r="J7" t="s">
        <v>614</v>
      </c>
      <c r="K7" t="s">
        <v>3</v>
      </c>
      <c r="L7" t="s">
        <v>3</v>
      </c>
      <c r="M7" t="s">
        <v>3</v>
      </c>
      <c r="N7" t="s">
        <v>3</v>
      </c>
      <c r="O7" t="s">
        <v>616</v>
      </c>
      <c r="P7" t="s">
        <v>3</v>
      </c>
      <c r="Q7" t="s">
        <v>3</v>
      </c>
      <c r="R7" t="s">
        <v>3</v>
      </c>
      <c r="S7" t="s">
        <v>617</v>
      </c>
      <c r="T7" t="s">
        <v>618</v>
      </c>
      <c r="U7" t="s">
        <v>619</v>
      </c>
    </row>
    <row r="8" spans="1:21" x14ac:dyDescent="0.2">
      <c r="A8">
        <v>84</v>
      </c>
      <c r="B8">
        <v>1</v>
      </c>
      <c r="C8" t="s">
        <v>3</v>
      </c>
      <c r="D8" t="s">
        <v>3</v>
      </c>
      <c r="E8" t="s">
        <v>23</v>
      </c>
      <c r="F8" t="s">
        <v>23</v>
      </c>
      <c r="G8" t="s">
        <v>23</v>
      </c>
      <c r="H8" t="s">
        <v>3</v>
      </c>
      <c r="I8" t="s">
        <v>23</v>
      </c>
      <c r="J8" t="s">
        <v>23</v>
      </c>
      <c r="K8" t="s">
        <v>3</v>
      </c>
      <c r="L8" t="s">
        <v>3</v>
      </c>
      <c r="M8" t="s">
        <v>3</v>
      </c>
      <c r="N8" t="s">
        <v>3</v>
      </c>
      <c r="O8" t="s">
        <v>23</v>
      </c>
      <c r="P8" t="s">
        <v>3</v>
      </c>
      <c r="Q8" t="s">
        <v>3</v>
      </c>
      <c r="R8" t="s">
        <v>3</v>
      </c>
      <c r="S8" t="s">
        <v>620</v>
      </c>
      <c r="T8" t="s">
        <v>624</v>
      </c>
      <c r="U8" t="s">
        <v>619</v>
      </c>
    </row>
    <row r="9" spans="1:21" x14ac:dyDescent="0.2">
      <c r="A9">
        <v>97</v>
      </c>
      <c r="B9">
        <v>1</v>
      </c>
      <c r="C9" t="s">
        <v>3</v>
      </c>
      <c r="D9" t="s">
        <v>3</v>
      </c>
      <c r="E9" t="s">
        <v>614</v>
      </c>
      <c r="F9" t="s">
        <v>614</v>
      </c>
      <c r="G9" t="s">
        <v>615</v>
      </c>
      <c r="H9" t="s">
        <v>3</v>
      </c>
      <c r="I9" t="s">
        <v>615</v>
      </c>
      <c r="J9" t="s">
        <v>614</v>
      </c>
      <c r="K9" t="s">
        <v>3</v>
      </c>
      <c r="L9" t="s">
        <v>3</v>
      </c>
      <c r="M9" t="s">
        <v>3</v>
      </c>
      <c r="N9" t="s">
        <v>3</v>
      </c>
      <c r="O9" t="s">
        <v>616</v>
      </c>
      <c r="P9" t="s">
        <v>3</v>
      </c>
      <c r="Q9" t="s">
        <v>3</v>
      </c>
      <c r="R9" t="s">
        <v>3</v>
      </c>
      <c r="S9" t="s">
        <v>617</v>
      </c>
      <c r="T9" t="s">
        <v>618</v>
      </c>
      <c r="U9" t="s">
        <v>619</v>
      </c>
    </row>
    <row r="10" spans="1:21" x14ac:dyDescent="0.2">
      <c r="A10">
        <v>97</v>
      </c>
      <c r="B10">
        <v>1</v>
      </c>
      <c r="C10" t="s">
        <v>3</v>
      </c>
      <c r="D10" t="s">
        <v>3</v>
      </c>
      <c r="E10" t="s">
        <v>23</v>
      </c>
      <c r="F10" t="s">
        <v>23</v>
      </c>
      <c r="G10" t="s">
        <v>23</v>
      </c>
      <c r="H10" t="s">
        <v>3</v>
      </c>
      <c r="I10" t="s">
        <v>23</v>
      </c>
      <c r="J10" t="s">
        <v>23</v>
      </c>
      <c r="K10" t="s">
        <v>3</v>
      </c>
      <c r="L10" t="s">
        <v>3</v>
      </c>
      <c r="M10" t="s">
        <v>3</v>
      </c>
      <c r="N10" t="s">
        <v>3</v>
      </c>
      <c r="O10" t="s">
        <v>23</v>
      </c>
      <c r="P10" t="s">
        <v>3</v>
      </c>
      <c r="Q10" t="s">
        <v>3</v>
      </c>
      <c r="R10" t="s">
        <v>3</v>
      </c>
      <c r="S10" t="s">
        <v>620</v>
      </c>
      <c r="T10" t="s">
        <v>624</v>
      </c>
      <c r="U10" t="s">
        <v>619</v>
      </c>
    </row>
    <row r="11" spans="1:21" x14ac:dyDescent="0.2">
      <c r="A11">
        <v>98</v>
      </c>
      <c r="B11">
        <v>1</v>
      </c>
      <c r="C11" t="s">
        <v>3</v>
      </c>
      <c r="D11" t="s">
        <v>3</v>
      </c>
      <c r="E11" t="s">
        <v>614</v>
      </c>
      <c r="F11" t="s">
        <v>614</v>
      </c>
      <c r="G11" t="s">
        <v>615</v>
      </c>
      <c r="H11" t="s">
        <v>3</v>
      </c>
      <c r="I11" t="s">
        <v>615</v>
      </c>
      <c r="J11" t="s">
        <v>614</v>
      </c>
      <c r="K11" t="s">
        <v>3</v>
      </c>
      <c r="L11" t="s">
        <v>3</v>
      </c>
      <c r="M11" t="s">
        <v>3</v>
      </c>
      <c r="N11" t="s">
        <v>3</v>
      </c>
      <c r="O11" t="s">
        <v>616</v>
      </c>
      <c r="P11" t="s">
        <v>3</v>
      </c>
      <c r="Q11" t="s">
        <v>3</v>
      </c>
      <c r="R11" t="s">
        <v>3</v>
      </c>
      <c r="S11" t="s">
        <v>617</v>
      </c>
      <c r="T11" t="s">
        <v>618</v>
      </c>
      <c r="U11" t="s">
        <v>619</v>
      </c>
    </row>
    <row r="12" spans="1:21" x14ac:dyDescent="0.2">
      <c r="A12">
        <v>98</v>
      </c>
      <c r="B12">
        <v>1</v>
      </c>
      <c r="C12" t="s">
        <v>3</v>
      </c>
      <c r="D12" t="s">
        <v>3</v>
      </c>
      <c r="E12" t="s">
        <v>23</v>
      </c>
      <c r="F12" t="s">
        <v>23</v>
      </c>
      <c r="G12" t="s">
        <v>23</v>
      </c>
      <c r="H12" t="s">
        <v>3</v>
      </c>
      <c r="I12" t="s">
        <v>23</v>
      </c>
      <c r="J12" t="s">
        <v>23</v>
      </c>
      <c r="K12" t="s">
        <v>3</v>
      </c>
      <c r="L12" t="s">
        <v>3</v>
      </c>
      <c r="M12" t="s">
        <v>3</v>
      </c>
      <c r="N12" t="s">
        <v>3</v>
      </c>
      <c r="O12" t="s">
        <v>23</v>
      </c>
      <c r="P12" t="s">
        <v>3</v>
      </c>
      <c r="Q12" t="s">
        <v>3</v>
      </c>
      <c r="R12" t="s">
        <v>3</v>
      </c>
      <c r="S12" t="s">
        <v>620</v>
      </c>
      <c r="T12" t="s">
        <v>624</v>
      </c>
      <c r="U12" t="s">
        <v>619</v>
      </c>
    </row>
    <row r="13" spans="1:21" x14ac:dyDescent="0.2">
      <c r="A13">
        <v>107</v>
      </c>
      <c r="B13">
        <v>1</v>
      </c>
      <c r="C13" t="s">
        <v>3</v>
      </c>
      <c r="D13" t="s">
        <v>3</v>
      </c>
      <c r="E13" t="s">
        <v>614</v>
      </c>
      <c r="F13" t="s">
        <v>614</v>
      </c>
      <c r="G13" t="s">
        <v>615</v>
      </c>
      <c r="H13" t="s">
        <v>3</v>
      </c>
      <c r="I13" t="s">
        <v>615</v>
      </c>
      <c r="J13" t="s">
        <v>614</v>
      </c>
      <c r="K13" t="s">
        <v>3</v>
      </c>
      <c r="L13" t="s">
        <v>3</v>
      </c>
      <c r="M13" t="s">
        <v>3</v>
      </c>
      <c r="N13" t="s">
        <v>3</v>
      </c>
      <c r="O13" t="s">
        <v>616</v>
      </c>
      <c r="P13" t="s">
        <v>3</v>
      </c>
      <c r="Q13" t="s">
        <v>3</v>
      </c>
      <c r="R13" t="s">
        <v>3</v>
      </c>
      <c r="S13" t="s">
        <v>617</v>
      </c>
      <c r="T13" t="s">
        <v>618</v>
      </c>
      <c r="U13" t="s">
        <v>619</v>
      </c>
    </row>
    <row r="14" spans="1:21" x14ac:dyDescent="0.2">
      <c r="A14">
        <v>107</v>
      </c>
      <c r="B14">
        <v>1</v>
      </c>
      <c r="C14" t="s">
        <v>3</v>
      </c>
      <c r="D14" t="s">
        <v>3</v>
      </c>
      <c r="E14" t="s">
        <v>23</v>
      </c>
      <c r="F14" t="s">
        <v>23</v>
      </c>
      <c r="G14" t="s">
        <v>23</v>
      </c>
      <c r="H14" t="s">
        <v>3</v>
      </c>
      <c r="I14" t="s">
        <v>23</v>
      </c>
      <c r="J14" t="s">
        <v>23</v>
      </c>
      <c r="K14" t="s">
        <v>3</v>
      </c>
      <c r="L14" t="s">
        <v>3</v>
      </c>
      <c r="M14" t="s">
        <v>3</v>
      </c>
      <c r="N14" t="s">
        <v>3</v>
      </c>
      <c r="O14" t="s">
        <v>23</v>
      </c>
      <c r="P14" t="s">
        <v>3</v>
      </c>
      <c r="Q14" t="s">
        <v>3</v>
      </c>
      <c r="R14" t="s">
        <v>3</v>
      </c>
      <c r="S14" t="s">
        <v>620</v>
      </c>
      <c r="T14" t="s">
        <v>624</v>
      </c>
      <c r="U14" t="s">
        <v>619</v>
      </c>
    </row>
    <row r="15" spans="1:21" x14ac:dyDescent="0.2">
      <c r="A15">
        <v>108</v>
      </c>
      <c r="B15">
        <v>1</v>
      </c>
      <c r="C15" t="s">
        <v>3</v>
      </c>
      <c r="D15" t="s">
        <v>3</v>
      </c>
      <c r="E15" t="s">
        <v>614</v>
      </c>
      <c r="F15" t="s">
        <v>614</v>
      </c>
      <c r="G15" t="s">
        <v>615</v>
      </c>
      <c r="H15" t="s">
        <v>3</v>
      </c>
      <c r="I15" t="s">
        <v>615</v>
      </c>
      <c r="J15" t="s">
        <v>614</v>
      </c>
      <c r="K15" t="s">
        <v>3</v>
      </c>
      <c r="L15" t="s">
        <v>3</v>
      </c>
      <c r="M15" t="s">
        <v>3</v>
      </c>
      <c r="N15" t="s">
        <v>3</v>
      </c>
      <c r="O15" t="s">
        <v>616</v>
      </c>
      <c r="P15" t="s">
        <v>3</v>
      </c>
      <c r="Q15" t="s">
        <v>3</v>
      </c>
      <c r="R15" t="s">
        <v>3</v>
      </c>
      <c r="S15" t="s">
        <v>617</v>
      </c>
      <c r="T15" t="s">
        <v>618</v>
      </c>
      <c r="U15" t="s">
        <v>619</v>
      </c>
    </row>
    <row r="16" spans="1:21" x14ac:dyDescent="0.2">
      <c r="A16">
        <v>108</v>
      </c>
      <c r="B16">
        <v>1</v>
      </c>
      <c r="C16" t="s">
        <v>3</v>
      </c>
      <c r="D16" t="s">
        <v>3</v>
      </c>
      <c r="E16" t="s">
        <v>23</v>
      </c>
      <c r="F16" t="s">
        <v>23</v>
      </c>
      <c r="G16" t="s">
        <v>23</v>
      </c>
      <c r="H16" t="s">
        <v>3</v>
      </c>
      <c r="I16" t="s">
        <v>23</v>
      </c>
      <c r="J16" t="s">
        <v>23</v>
      </c>
      <c r="K16" t="s">
        <v>3</v>
      </c>
      <c r="L16" t="s">
        <v>3</v>
      </c>
      <c r="M16" t="s">
        <v>3</v>
      </c>
      <c r="N16" t="s">
        <v>3</v>
      </c>
      <c r="O16" t="s">
        <v>23</v>
      </c>
      <c r="P16" t="s">
        <v>3</v>
      </c>
      <c r="Q16" t="s">
        <v>3</v>
      </c>
      <c r="R16" t="s">
        <v>3</v>
      </c>
      <c r="S16" t="s">
        <v>620</v>
      </c>
      <c r="T16" t="s">
        <v>624</v>
      </c>
      <c r="U16" t="s">
        <v>619</v>
      </c>
    </row>
    <row r="17" spans="1:21" x14ac:dyDescent="0.2">
      <c r="A17">
        <v>111</v>
      </c>
      <c r="B17">
        <v>1</v>
      </c>
      <c r="C17" t="s">
        <v>3</v>
      </c>
      <c r="D17" t="s">
        <v>3</v>
      </c>
      <c r="E17" t="s">
        <v>614</v>
      </c>
      <c r="F17" t="s">
        <v>614</v>
      </c>
      <c r="G17" t="s">
        <v>615</v>
      </c>
      <c r="H17" t="s">
        <v>3</v>
      </c>
      <c r="I17" t="s">
        <v>615</v>
      </c>
      <c r="J17" t="s">
        <v>614</v>
      </c>
      <c r="K17" t="s">
        <v>3</v>
      </c>
      <c r="L17" t="s">
        <v>3</v>
      </c>
      <c r="M17" t="s">
        <v>3</v>
      </c>
      <c r="N17" t="s">
        <v>3</v>
      </c>
      <c r="O17" t="s">
        <v>616</v>
      </c>
      <c r="P17" t="s">
        <v>3</v>
      </c>
      <c r="Q17" t="s">
        <v>3</v>
      </c>
      <c r="R17" t="s">
        <v>3</v>
      </c>
      <c r="S17" t="s">
        <v>617</v>
      </c>
      <c r="T17" t="s">
        <v>618</v>
      </c>
      <c r="U17" t="s">
        <v>619</v>
      </c>
    </row>
    <row r="18" spans="1:21" x14ac:dyDescent="0.2">
      <c r="A18">
        <v>111</v>
      </c>
      <c r="B18">
        <v>1</v>
      </c>
      <c r="C18" t="s">
        <v>3</v>
      </c>
      <c r="D18" t="s">
        <v>3</v>
      </c>
      <c r="E18" t="s">
        <v>23</v>
      </c>
      <c r="F18" t="s">
        <v>23</v>
      </c>
      <c r="G18" t="s">
        <v>23</v>
      </c>
      <c r="H18" t="s">
        <v>3</v>
      </c>
      <c r="I18" t="s">
        <v>23</v>
      </c>
      <c r="J18" t="s">
        <v>23</v>
      </c>
      <c r="K18" t="s">
        <v>3</v>
      </c>
      <c r="L18" t="s">
        <v>3</v>
      </c>
      <c r="M18" t="s">
        <v>3</v>
      </c>
      <c r="N18" t="s">
        <v>3</v>
      </c>
      <c r="O18" t="s">
        <v>23</v>
      </c>
      <c r="P18" t="s">
        <v>3</v>
      </c>
      <c r="Q18" t="s">
        <v>3</v>
      </c>
      <c r="R18" t="s">
        <v>3</v>
      </c>
      <c r="S18" t="s">
        <v>620</v>
      </c>
      <c r="T18" t="s">
        <v>624</v>
      </c>
      <c r="U18" t="s">
        <v>619</v>
      </c>
    </row>
    <row r="19" spans="1:21" x14ac:dyDescent="0.2">
      <c r="A19">
        <v>112</v>
      </c>
      <c r="B19">
        <v>1</v>
      </c>
      <c r="C19" t="s">
        <v>3</v>
      </c>
      <c r="D19" t="s">
        <v>3</v>
      </c>
      <c r="E19" t="s">
        <v>614</v>
      </c>
      <c r="F19" t="s">
        <v>614</v>
      </c>
      <c r="G19" t="s">
        <v>615</v>
      </c>
      <c r="H19" t="s">
        <v>3</v>
      </c>
      <c r="I19" t="s">
        <v>615</v>
      </c>
      <c r="J19" t="s">
        <v>614</v>
      </c>
      <c r="K19" t="s">
        <v>3</v>
      </c>
      <c r="L19" t="s">
        <v>3</v>
      </c>
      <c r="M19" t="s">
        <v>3</v>
      </c>
      <c r="N19" t="s">
        <v>3</v>
      </c>
      <c r="O19" t="s">
        <v>616</v>
      </c>
      <c r="P19" t="s">
        <v>3</v>
      </c>
      <c r="Q19" t="s">
        <v>3</v>
      </c>
      <c r="R19" t="s">
        <v>3</v>
      </c>
      <c r="S19" t="s">
        <v>617</v>
      </c>
      <c r="T19" t="s">
        <v>618</v>
      </c>
      <c r="U19" t="s">
        <v>619</v>
      </c>
    </row>
    <row r="20" spans="1:21" x14ac:dyDescent="0.2">
      <c r="A20">
        <v>112</v>
      </c>
      <c r="B20">
        <v>1</v>
      </c>
      <c r="C20" t="s">
        <v>3</v>
      </c>
      <c r="D20" t="s">
        <v>3</v>
      </c>
      <c r="E20" t="s">
        <v>23</v>
      </c>
      <c r="F20" t="s">
        <v>23</v>
      </c>
      <c r="G20" t="s">
        <v>23</v>
      </c>
      <c r="H20" t="s">
        <v>3</v>
      </c>
      <c r="I20" t="s">
        <v>23</v>
      </c>
      <c r="J20" t="s">
        <v>23</v>
      </c>
      <c r="K20" t="s">
        <v>3</v>
      </c>
      <c r="L20" t="s">
        <v>3</v>
      </c>
      <c r="M20" t="s">
        <v>3</v>
      </c>
      <c r="N20" t="s">
        <v>3</v>
      </c>
      <c r="O20" t="s">
        <v>23</v>
      </c>
      <c r="P20" t="s">
        <v>3</v>
      </c>
      <c r="Q20" t="s">
        <v>3</v>
      </c>
      <c r="R20" t="s">
        <v>3</v>
      </c>
      <c r="S20" t="s">
        <v>620</v>
      </c>
      <c r="T20" t="s">
        <v>624</v>
      </c>
      <c r="U20" t="s">
        <v>619</v>
      </c>
    </row>
    <row r="21" spans="1:21" x14ac:dyDescent="0.2">
      <c r="A21">
        <v>121</v>
      </c>
      <c r="B21">
        <v>1</v>
      </c>
      <c r="C21" t="s">
        <v>3</v>
      </c>
      <c r="D21" t="s">
        <v>3</v>
      </c>
      <c r="E21" t="s">
        <v>23</v>
      </c>
      <c r="F21" t="s">
        <v>23</v>
      </c>
      <c r="G21" t="s">
        <v>23</v>
      </c>
      <c r="H21" t="s">
        <v>3</v>
      </c>
      <c r="I21" t="s">
        <v>23</v>
      </c>
      <c r="J21" t="s">
        <v>23</v>
      </c>
      <c r="K21" t="s">
        <v>3</v>
      </c>
      <c r="L21" t="s">
        <v>3</v>
      </c>
      <c r="M21" t="s">
        <v>3</v>
      </c>
      <c r="N21" t="s">
        <v>3</v>
      </c>
      <c r="O21" t="s">
        <v>23</v>
      </c>
      <c r="P21" t="s">
        <v>3</v>
      </c>
      <c r="Q21" t="s">
        <v>3</v>
      </c>
      <c r="R21" t="s">
        <v>3</v>
      </c>
      <c r="S21" t="s">
        <v>620</v>
      </c>
      <c r="T21" t="s">
        <v>624</v>
      </c>
      <c r="U21" t="s">
        <v>619</v>
      </c>
    </row>
    <row r="22" spans="1:21" x14ac:dyDescent="0.2">
      <c r="A22">
        <v>121</v>
      </c>
      <c r="B22">
        <v>1</v>
      </c>
      <c r="C22" t="s">
        <v>3</v>
      </c>
      <c r="D22" t="s">
        <v>3</v>
      </c>
      <c r="E22" t="s">
        <v>614</v>
      </c>
      <c r="F22" t="s">
        <v>614</v>
      </c>
      <c r="G22" t="s">
        <v>615</v>
      </c>
      <c r="H22" t="s">
        <v>3</v>
      </c>
      <c r="I22" t="s">
        <v>615</v>
      </c>
      <c r="J22" t="s">
        <v>614</v>
      </c>
      <c r="K22" t="s">
        <v>3</v>
      </c>
      <c r="L22" t="s">
        <v>3</v>
      </c>
      <c r="M22" t="s">
        <v>3</v>
      </c>
      <c r="N22" t="s">
        <v>3</v>
      </c>
      <c r="O22" t="s">
        <v>616</v>
      </c>
      <c r="P22" t="s">
        <v>3</v>
      </c>
      <c r="Q22" t="s">
        <v>3</v>
      </c>
      <c r="R22" t="s">
        <v>3</v>
      </c>
      <c r="S22" t="s">
        <v>617</v>
      </c>
      <c r="T22" t="s">
        <v>618</v>
      </c>
      <c r="U22" t="s">
        <v>619</v>
      </c>
    </row>
    <row r="23" spans="1:21" x14ac:dyDescent="0.2">
      <c r="A23">
        <v>122</v>
      </c>
      <c r="B23">
        <v>1</v>
      </c>
      <c r="C23" t="s">
        <v>3</v>
      </c>
      <c r="D23" t="s">
        <v>3</v>
      </c>
      <c r="E23" t="s">
        <v>23</v>
      </c>
      <c r="F23" t="s">
        <v>23</v>
      </c>
      <c r="G23" t="s">
        <v>23</v>
      </c>
      <c r="H23" t="s">
        <v>3</v>
      </c>
      <c r="I23" t="s">
        <v>23</v>
      </c>
      <c r="J23" t="s">
        <v>23</v>
      </c>
      <c r="K23" t="s">
        <v>3</v>
      </c>
      <c r="L23" t="s">
        <v>3</v>
      </c>
      <c r="M23" t="s">
        <v>3</v>
      </c>
      <c r="N23" t="s">
        <v>3</v>
      </c>
      <c r="O23" t="s">
        <v>23</v>
      </c>
      <c r="P23" t="s">
        <v>3</v>
      </c>
      <c r="Q23" t="s">
        <v>3</v>
      </c>
      <c r="R23" t="s">
        <v>3</v>
      </c>
      <c r="S23" t="s">
        <v>620</v>
      </c>
      <c r="T23" t="s">
        <v>624</v>
      </c>
      <c r="U23" t="s">
        <v>619</v>
      </c>
    </row>
    <row r="24" spans="1:21" x14ac:dyDescent="0.2">
      <c r="A24">
        <v>122</v>
      </c>
      <c r="B24">
        <v>1</v>
      </c>
      <c r="C24" t="s">
        <v>3</v>
      </c>
      <c r="D24" t="s">
        <v>3</v>
      </c>
      <c r="E24" t="s">
        <v>614</v>
      </c>
      <c r="F24" t="s">
        <v>614</v>
      </c>
      <c r="G24" t="s">
        <v>615</v>
      </c>
      <c r="H24" t="s">
        <v>3</v>
      </c>
      <c r="I24" t="s">
        <v>615</v>
      </c>
      <c r="J24" t="s">
        <v>614</v>
      </c>
      <c r="K24" t="s">
        <v>3</v>
      </c>
      <c r="L24" t="s">
        <v>3</v>
      </c>
      <c r="M24" t="s">
        <v>3</v>
      </c>
      <c r="N24" t="s">
        <v>3</v>
      </c>
      <c r="O24" t="s">
        <v>616</v>
      </c>
      <c r="P24" t="s">
        <v>3</v>
      </c>
      <c r="Q24" t="s">
        <v>3</v>
      </c>
      <c r="R24" t="s">
        <v>3</v>
      </c>
      <c r="S24" t="s">
        <v>617</v>
      </c>
      <c r="T24" t="s">
        <v>618</v>
      </c>
      <c r="U24" t="s">
        <v>619</v>
      </c>
    </row>
    <row r="25" spans="1:21" x14ac:dyDescent="0.2">
      <c r="A25">
        <v>125</v>
      </c>
      <c r="B25">
        <v>1</v>
      </c>
      <c r="C25" t="s">
        <v>3</v>
      </c>
      <c r="D25" t="s">
        <v>3</v>
      </c>
      <c r="E25" t="s">
        <v>614</v>
      </c>
      <c r="F25" t="s">
        <v>614</v>
      </c>
      <c r="G25" t="s">
        <v>615</v>
      </c>
      <c r="H25" t="s">
        <v>3</v>
      </c>
      <c r="I25" t="s">
        <v>615</v>
      </c>
      <c r="J25" t="s">
        <v>614</v>
      </c>
      <c r="K25" t="s">
        <v>3</v>
      </c>
      <c r="L25" t="s">
        <v>3</v>
      </c>
      <c r="M25" t="s">
        <v>3</v>
      </c>
      <c r="N25" t="s">
        <v>3</v>
      </c>
      <c r="O25" t="s">
        <v>616</v>
      </c>
      <c r="P25" t="s">
        <v>3</v>
      </c>
      <c r="Q25" t="s">
        <v>3</v>
      </c>
      <c r="R25" t="s">
        <v>3</v>
      </c>
      <c r="S25" t="s">
        <v>617</v>
      </c>
      <c r="T25" t="s">
        <v>618</v>
      </c>
      <c r="U25" t="s">
        <v>619</v>
      </c>
    </row>
    <row r="26" spans="1:21" x14ac:dyDescent="0.2">
      <c r="A26">
        <v>125</v>
      </c>
      <c r="B26">
        <v>1</v>
      </c>
      <c r="C26" t="s">
        <v>3</v>
      </c>
      <c r="D26" t="s">
        <v>3</v>
      </c>
      <c r="E26" t="s">
        <v>23</v>
      </c>
      <c r="F26" t="s">
        <v>23</v>
      </c>
      <c r="G26" t="s">
        <v>23</v>
      </c>
      <c r="H26" t="s">
        <v>3</v>
      </c>
      <c r="I26" t="s">
        <v>23</v>
      </c>
      <c r="J26" t="s">
        <v>23</v>
      </c>
      <c r="K26" t="s">
        <v>3</v>
      </c>
      <c r="L26" t="s">
        <v>3</v>
      </c>
      <c r="M26" t="s">
        <v>3</v>
      </c>
      <c r="N26" t="s">
        <v>3</v>
      </c>
      <c r="O26" t="s">
        <v>23</v>
      </c>
      <c r="P26" t="s">
        <v>3</v>
      </c>
      <c r="Q26" t="s">
        <v>3</v>
      </c>
      <c r="R26" t="s">
        <v>3</v>
      </c>
      <c r="S26" t="s">
        <v>620</v>
      </c>
      <c r="T26" t="s">
        <v>624</v>
      </c>
      <c r="U26" t="s">
        <v>619</v>
      </c>
    </row>
    <row r="27" spans="1:21" x14ac:dyDescent="0.2">
      <c r="A27">
        <v>126</v>
      </c>
      <c r="B27">
        <v>1</v>
      </c>
      <c r="C27" t="s">
        <v>3</v>
      </c>
      <c r="D27" t="s">
        <v>3</v>
      </c>
      <c r="E27" t="s">
        <v>614</v>
      </c>
      <c r="F27" t="s">
        <v>614</v>
      </c>
      <c r="G27" t="s">
        <v>615</v>
      </c>
      <c r="H27" t="s">
        <v>3</v>
      </c>
      <c r="I27" t="s">
        <v>615</v>
      </c>
      <c r="J27" t="s">
        <v>614</v>
      </c>
      <c r="K27" t="s">
        <v>3</v>
      </c>
      <c r="L27" t="s">
        <v>3</v>
      </c>
      <c r="M27" t="s">
        <v>3</v>
      </c>
      <c r="N27" t="s">
        <v>3</v>
      </c>
      <c r="O27" t="s">
        <v>616</v>
      </c>
      <c r="P27" t="s">
        <v>3</v>
      </c>
      <c r="Q27" t="s">
        <v>3</v>
      </c>
      <c r="R27" t="s">
        <v>3</v>
      </c>
      <c r="S27" t="s">
        <v>617</v>
      </c>
      <c r="T27" t="s">
        <v>618</v>
      </c>
      <c r="U27" t="s">
        <v>619</v>
      </c>
    </row>
    <row r="28" spans="1:21" x14ac:dyDescent="0.2">
      <c r="A28">
        <v>126</v>
      </c>
      <c r="B28">
        <v>1</v>
      </c>
      <c r="C28" t="s">
        <v>3</v>
      </c>
      <c r="D28" t="s">
        <v>3</v>
      </c>
      <c r="E28" t="s">
        <v>23</v>
      </c>
      <c r="F28" t="s">
        <v>23</v>
      </c>
      <c r="G28" t="s">
        <v>23</v>
      </c>
      <c r="H28" t="s">
        <v>3</v>
      </c>
      <c r="I28" t="s">
        <v>23</v>
      </c>
      <c r="J28" t="s">
        <v>23</v>
      </c>
      <c r="K28" t="s">
        <v>3</v>
      </c>
      <c r="L28" t="s">
        <v>3</v>
      </c>
      <c r="M28" t="s">
        <v>3</v>
      </c>
      <c r="N28" t="s">
        <v>3</v>
      </c>
      <c r="O28" t="s">
        <v>23</v>
      </c>
      <c r="P28" t="s">
        <v>3</v>
      </c>
      <c r="Q28" t="s">
        <v>3</v>
      </c>
      <c r="R28" t="s">
        <v>3</v>
      </c>
      <c r="S28" t="s">
        <v>620</v>
      </c>
      <c r="T28" t="s">
        <v>624</v>
      </c>
      <c r="U28" t="s">
        <v>619</v>
      </c>
    </row>
    <row r="29" spans="1:21" x14ac:dyDescent="0.2">
      <c r="A29">
        <v>135</v>
      </c>
      <c r="B29">
        <v>1</v>
      </c>
      <c r="C29" t="s">
        <v>3</v>
      </c>
      <c r="D29" t="s">
        <v>3</v>
      </c>
      <c r="E29" t="s">
        <v>23</v>
      </c>
      <c r="F29" t="s">
        <v>23</v>
      </c>
      <c r="G29" t="s">
        <v>23</v>
      </c>
      <c r="H29" t="s">
        <v>3</v>
      </c>
      <c r="I29" t="s">
        <v>23</v>
      </c>
      <c r="J29" t="s">
        <v>23</v>
      </c>
      <c r="K29" t="s">
        <v>3</v>
      </c>
      <c r="L29" t="s">
        <v>3</v>
      </c>
      <c r="M29" t="s">
        <v>3</v>
      </c>
      <c r="N29" t="s">
        <v>3</v>
      </c>
      <c r="O29" t="s">
        <v>23</v>
      </c>
      <c r="P29" t="s">
        <v>3</v>
      </c>
      <c r="Q29" t="s">
        <v>3</v>
      </c>
      <c r="R29" t="s">
        <v>3</v>
      </c>
      <c r="S29" t="s">
        <v>620</v>
      </c>
      <c r="T29" t="s">
        <v>624</v>
      </c>
      <c r="U29" t="s">
        <v>619</v>
      </c>
    </row>
    <row r="30" spans="1:21" x14ac:dyDescent="0.2">
      <c r="A30">
        <v>135</v>
      </c>
      <c r="B30">
        <v>1</v>
      </c>
      <c r="C30" t="s">
        <v>3</v>
      </c>
      <c r="D30" t="s">
        <v>3</v>
      </c>
      <c r="E30" t="s">
        <v>614</v>
      </c>
      <c r="F30" t="s">
        <v>614</v>
      </c>
      <c r="G30" t="s">
        <v>615</v>
      </c>
      <c r="H30" t="s">
        <v>3</v>
      </c>
      <c r="I30" t="s">
        <v>615</v>
      </c>
      <c r="J30" t="s">
        <v>614</v>
      </c>
      <c r="K30" t="s">
        <v>3</v>
      </c>
      <c r="L30" t="s">
        <v>3</v>
      </c>
      <c r="M30" t="s">
        <v>3</v>
      </c>
      <c r="N30" t="s">
        <v>3</v>
      </c>
      <c r="O30" t="s">
        <v>616</v>
      </c>
      <c r="P30" t="s">
        <v>3</v>
      </c>
      <c r="Q30" t="s">
        <v>3</v>
      </c>
      <c r="R30" t="s">
        <v>3</v>
      </c>
      <c r="S30" t="s">
        <v>617</v>
      </c>
      <c r="T30" t="s">
        <v>618</v>
      </c>
      <c r="U30" t="s">
        <v>619</v>
      </c>
    </row>
    <row r="31" spans="1:21" x14ac:dyDescent="0.2">
      <c r="A31">
        <v>136</v>
      </c>
      <c r="B31">
        <v>1</v>
      </c>
      <c r="C31" t="s">
        <v>3</v>
      </c>
      <c r="D31" t="s">
        <v>3</v>
      </c>
      <c r="E31" t="s">
        <v>23</v>
      </c>
      <c r="F31" t="s">
        <v>23</v>
      </c>
      <c r="G31" t="s">
        <v>23</v>
      </c>
      <c r="H31" t="s">
        <v>3</v>
      </c>
      <c r="I31" t="s">
        <v>23</v>
      </c>
      <c r="J31" t="s">
        <v>23</v>
      </c>
      <c r="K31" t="s">
        <v>3</v>
      </c>
      <c r="L31" t="s">
        <v>3</v>
      </c>
      <c r="M31" t="s">
        <v>3</v>
      </c>
      <c r="N31" t="s">
        <v>3</v>
      </c>
      <c r="O31" t="s">
        <v>23</v>
      </c>
      <c r="P31" t="s">
        <v>3</v>
      </c>
      <c r="Q31" t="s">
        <v>3</v>
      </c>
      <c r="R31" t="s">
        <v>3</v>
      </c>
      <c r="S31" t="s">
        <v>620</v>
      </c>
      <c r="T31" t="s">
        <v>624</v>
      </c>
      <c r="U31" t="s">
        <v>619</v>
      </c>
    </row>
    <row r="32" spans="1:21" x14ac:dyDescent="0.2">
      <c r="A32">
        <v>136</v>
      </c>
      <c r="B32">
        <v>1</v>
      </c>
      <c r="C32" t="s">
        <v>3</v>
      </c>
      <c r="D32" t="s">
        <v>3</v>
      </c>
      <c r="E32" t="s">
        <v>614</v>
      </c>
      <c r="F32" t="s">
        <v>614</v>
      </c>
      <c r="G32" t="s">
        <v>615</v>
      </c>
      <c r="H32" t="s">
        <v>3</v>
      </c>
      <c r="I32" t="s">
        <v>615</v>
      </c>
      <c r="J32" t="s">
        <v>614</v>
      </c>
      <c r="K32" t="s">
        <v>3</v>
      </c>
      <c r="L32" t="s">
        <v>3</v>
      </c>
      <c r="M32" t="s">
        <v>3</v>
      </c>
      <c r="N32" t="s">
        <v>3</v>
      </c>
      <c r="O32" t="s">
        <v>616</v>
      </c>
      <c r="P32" t="s">
        <v>3</v>
      </c>
      <c r="Q32" t="s">
        <v>3</v>
      </c>
      <c r="R32" t="s">
        <v>3</v>
      </c>
      <c r="S32" t="s">
        <v>617</v>
      </c>
      <c r="T32" t="s">
        <v>618</v>
      </c>
      <c r="U32" t="s">
        <v>619</v>
      </c>
    </row>
    <row r="33" spans="1:21" x14ac:dyDescent="0.2">
      <c r="A33">
        <v>141</v>
      </c>
      <c r="B33">
        <v>1</v>
      </c>
      <c r="C33" t="s">
        <v>3</v>
      </c>
      <c r="D33" t="s">
        <v>3</v>
      </c>
      <c r="E33" t="s">
        <v>614</v>
      </c>
      <c r="F33" t="s">
        <v>614</v>
      </c>
      <c r="G33" t="s">
        <v>615</v>
      </c>
      <c r="H33" t="s">
        <v>3</v>
      </c>
      <c r="I33" t="s">
        <v>615</v>
      </c>
      <c r="J33" t="s">
        <v>614</v>
      </c>
      <c r="K33" t="s">
        <v>3</v>
      </c>
      <c r="L33" t="s">
        <v>3</v>
      </c>
      <c r="M33" t="s">
        <v>3</v>
      </c>
      <c r="N33" t="s">
        <v>3</v>
      </c>
      <c r="O33" t="s">
        <v>616</v>
      </c>
      <c r="P33" t="s">
        <v>3</v>
      </c>
      <c r="Q33" t="s">
        <v>3</v>
      </c>
      <c r="R33" t="s">
        <v>3</v>
      </c>
      <c r="S33" t="s">
        <v>617</v>
      </c>
      <c r="T33" t="s">
        <v>618</v>
      </c>
      <c r="U33" t="s">
        <v>619</v>
      </c>
    </row>
    <row r="34" spans="1:21" x14ac:dyDescent="0.2">
      <c r="A34">
        <v>141</v>
      </c>
      <c r="B34">
        <v>1</v>
      </c>
      <c r="C34" t="s">
        <v>3</v>
      </c>
      <c r="D34" t="s">
        <v>3</v>
      </c>
      <c r="E34" t="s">
        <v>23</v>
      </c>
      <c r="F34" t="s">
        <v>23</v>
      </c>
      <c r="G34" t="s">
        <v>23</v>
      </c>
      <c r="H34" t="s">
        <v>3</v>
      </c>
      <c r="I34" t="s">
        <v>23</v>
      </c>
      <c r="J34" t="s">
        <v>23</v>
      </c>
      <c r="K34" t="s">
        <v>3</v>
      </c>
      <c r="L34" t="s">
        <v>3</v>
      </c>
      <c r="M34" t="s">
        <v>3</v>
      </c>
      <c r="N34" t="s">
        <v>3</v>
      </c>
      <c r="O34" t="s">
        <v>23</v>
      </c>
      <c r="P34" t="s">
        <v>3</v>
      </c>
      <c r="Q34" t="s">
        <v>3</v>
      </c>
      <c r="R34" t="s">
        <v>3</v>
      </c>
      <c r="S34" t="s">
        <v>620</v>
      </c>
      <c r="T34" t="s">
        <v>624</v>
      </c>
      <c r="U34" t="s">
        <v>619</v>
      </c>
    </row>
    <row r="35" spans="1:21" x14ac:dyDescent="0.2">
      <c r="A35">
        <v>142</v>
      </c>
      <c r="B35">
        <v>1</v>
      </c>
      <c r="C35" t="s">
        <v>3</v>
      </c>
      <c r="D35" t="s">
        <v>3</v>
      </c>
      <c r="E35" t="s">
        <v>614</v>
      </c>
      <c r="F35" t="s">
        <v>614</v>
      </c>
      <c r="G35" t="s">
        <v>615</v>
      </c>
      <c r="H35" t="s">
        <v>3</v>
      </c>
      <c r="I35" t="s">
        <v>615</v>
      </c>
      <c r="J35" t="s">
        <v>614</v>
      </c>
      <c r="K35" t="s">
        <v>3</v>
      </c>
      <c r="L35" t="s">
        <v>3</v>
      </c>
      <c r="M35" t="s">
        <v>3</v>
      </c>
      <c r="N35" t="s">
        <v>3</v>
      </c>
      <c r="O35" t="s">
        <v>616</v>
      </c>
      <c r="P35" t="s">
        <v>3</v>
      </c>
      <c r="Q35" t="s">
        <v>3</v>
      </c>
      <c r="R35" t="s">
        <v>3</v>
      </c>
      <c r="S35" t="s">
        <v>617</v>
      </c>
      <c r="T35" t="s">
        <v>618</v>
      </c>
      <c r="U35" t="s">
        <v>619</v>
      </c>
    </row>
    <row r="36" spans="1:21" x14ac:dyDescent="0.2">
      <c r="A36">
        <v>142</v>
      </c>
      <c r="B36">
        <v>1</v>
      </c>
      <c r="C36" t="s">
        <v>3</v>
      </c>
      <c r="D36" t="s">
        <v>3</v>
      </c>
      <c r="E36" t="s">
        <v>23</v>
      </c>
      <c r="F36" t="s">
        <v>23</v>
      </c>
      <c r="G36" t="s">
        <v>23</v>
      </c>
      <c r="H36" t="s">
        <v>3</v>
      </c>
      <c r="I36" t="s">
        <v>23</v>
      </c>
      <c r="J36" t="s">
        <v>23</v>
      </c>
      <c r="K36" t="s">
        <v>3</v>
      </c>
      <c r="L36" t="s">
        <v>3</v>
      </c>
      <c r="M36" t="s">
        <v>3</v>
      </c>
      <c r="N36" t="s">
        <v>3</v>
      </c>
      <c r="O36" t="s">
        <v>23</v>
      </c>
      <c r="P36" t="s">
        <v>3</v>
      </c>
      <c r="Q36" t="s">
        <v>3</v>
      </c>
      <c r="R36" t="s">
        <v>3</v>
      </c>
      <c r="S36" t="s">
        <v>620</v>
      </c>
      <c r="T36" t="s">
        <v>624</v>
      </c>
      <c r="U36" t="s">
        <v>619</v>
      </c>
    </row>
    <row r="37" spans="1:21" x14ac:dyDescent="0.2">
      <c r="A37">
        <v>147</v>
      </c>
      <c r="B37">
        <v>1</v>
      </c>
      <c r="C37" t="s">
        <v>3</v>
      </c>
      <c r="D37" t="s">
        <v>3</v>
      </c>
      <c r="E37" t="s">
        <v>23</v>
      </c>
      <c r="F37" t="s">
        <v>23</v>
      </c>
      <c r="G37" t="s">
        <v>23</v>
      </c>
      <c r="H37" t="s">
        <v>3</v>
      </c>
      <c r="I37" t="s">
        <v>23</v>
      </c>
      <c r="J37" t="s">
        <v>23</v>
      </c>
      <c r="K37" t="s">
        <v>3</v>
      </c>
      <c r="L37" t="s">
        <v>3</v>
      </c>
      <c r="M37" t="s">
        <v>3</v>
      </c>
      <c r="N37" t="s">
        <v>3</v>
      </c>
      <c r="O37" t="s">
        <v>23</v>
      </c>
      <c r="P37" t="s">
        <v>3</v>
      </c>
      <c r="Q37" t="s">
        <v>3</v>
      </c>
      <c r="R37" t="s">
        <v>3</v>
      </c>
      <c r="S37" t="s">
        <v>620</v>
      </c>
      <c r="T37" t="s">
        <v>624</v>
      </c>
      <c r="U37" t="s">
        <v>619</v>
      </c>
    </row>
    <row r="38" spans="1:21" x14ac:dyDescent="0.2">
      <c r="A38">
        <v>147</v>
      </c>
      <c r="B38">
        <v>1</v>
      </c>
      <c r="C38" t="s">
        <v>3</v>
      </c>
      <c r="D38" t="s">
        <v>3</v>
      </c>
      <c r="E38" t="s">
        <v>614</v>
      </c>
      <c r="F38" t="s">
        <v>614</v>
      </c>
      <c r="G38" t="s">
        <v>615</v>
      </c>
      <c r="H38" t="s">
        <v>3</v>
      </c>
      <c r="I38" t="s">
        <v>615</v>
      </c>
      <c r="J38" t="s">
        <v>614</v>
      </c>
      <c r="K38" t="s">
        <v>3</v>
      </c>
      <c r="L38" t="s">
        <v>3</v>
      </c>
      <c r="M38" t="s">
        <v>3</v>
      </c>
      <c r="N38" t="s">
        <v>3</v>
      </c>
      <c r="O38" t="s">
        <v>616</v>
      </c>
      <c r="P38" t="s">
        <v>3</v>
      </c>
      <c r="Q38" t="s">
        <v>3</v>
      </c>
      <c r="R38" t="s">
        <v>3</v>
      </c>
      <c r="S38" t="s">
        <v>617</v>
      </c>
      <c r="T38" t="s">
        <v>618</v>
      </c>
      <c r="U38" t="s">
        <v>619</v>
      </c>
    </row>
    <row r="39" spans="1:21" x14ac:dyDescent="0.2">
      <c r="A39">
        <v>148</v>
      </c>
      <c r="B39">
        <v>1</v>
      </c>
      <c r="C39" t="s">
        <v>3</v>
      </c>
      <c r="D39" t="s">
        <v>3</v>
      </c>
      <c r="E39" t="s">
        <v>23</v>
      </c>
      <c r="F39" t="s">
        <v>23</v>
      </c>
      <c r="G39" t="s">
        <v>23</v>
      </c>
      <c r="H39" t="s">
        <v>3</v>
      </c>
      <c r="I39" t="s">
        <v>23</v>
      </c>
      <c r="J39" t="s">
        <v>23</v>
      </c>
      <c r="K39" t="s">
        <v>3</v>
      </c>
      <c r="L39" t="s">
        <v>3</v>
      </c>
      <c r="M39" t="s">
        <v>3</v>
      </c>
      <c r="N39" t="s">
        <v>3</v>
      </c>
      <c r="O39" t="s">
        <v>23</v>
      </c>
      <c r="P39" t="s">
        <v>3</v>
      </c>
      <c r="Q39" t="s">
        <v>3</v>
      </c>
      <c r="R39" t="s">
        <v>3</v>
      </c>
      <c r="S39" t="s">
        <v>620</v>
      </c>
      <c r="T39" t="s">
        <v>624</v>
      </c>
      <c r="U39" t="s">
        <v>619</v>
      </c>
    </row>
    <row r="40" spans="1:21" x14ac:dyDescent="0.2">
      <c r="A40">
        <v>148</v>
      </c>
      <c r="B40">
        <v>1</v>
      </c>
      <c r="C40" t="s">
        <v>3</v>
      </c>
      <c r="D40" t="s">
        <v>3</v>
      </c>
      <c r="E40" t="s">
        <v>614</v>
      </c>
      <c r="F40" t="s">
        <v>614</v>
      </c>
      <c r="G40" t="s">
        <v>615</v>
      </c>
      <c r="H40" t="s">
        <v>3</v>
      </c>
      <c r="I40" t="s">
        <v>615</v>
      </c>
      <c r="J40" t="s">
        <v>614</v>
      </c>
      <c r="K40" t="s">
        <v>3</v>
      </c>
      <c r="L40" t="s">
        <v>3</v>
      </c>
      <c r="M40" t="s">
        <v>3</v>
      </c>
      <c r="N40" t="s">
        <v>3</v>
      </c>
      <c r="O40" t="s">
        <v>616</v>
      </c>
      <c r="P40" t="s">
        <v>3</v>
      </c>
      <c r="Q40" t="s">
        <v>3</v>
      </c>
      <c r="R40" t="s">
        <v>3</v>
      </c>
      <c r="S40" t="s">
        <v>617</v>
      </c>
      <c r="T40" t="s">
        <v>618</v>
      </c>
      <c r="U40" t="s">
        <v>619</v>
      </c>
    </row>
    <row r="41" spans="1:21" x14ac:dyDescent="0.2">
      <c r="A41">
        <v>151</v>
      </c>
      <c r="B41">
        <v>1</v>
      </c>
      <c r="C41" t="s">
        <v>3</v>
      </c>
      <c r="D41" t="s">
        <v>3</v>
      </c>
      <c r="E41" t="s">
        <v>614</v>
      </c>
      <c r="F41" t="s">
        <v>614</v>
      </c>
      <c r="G41" t="s">
        <v>615</v>
      </c>
      <c r="H41" t="s">
        <v>3</v>
      </c>
      <c r="I41" t="s">
        <v>615</v>
      </c>
      <c r="J41" t="s">
        <v>614</v>
      </c>
      <c r="K41" t="s">
        <v>3</v>
      </c>
      <c r="L41" t="s">
        <v>3</v>
      </c>
      <c r="M41" t="s">
        <v>3</v>
      </c>
      <c r="N41" t="s">
        <v>3</v>
      </c>
      <c r="O41" t="s">
        <v>616</v>
      </c>
      <c r="P41" t="s">
        <v>3</v>
      </c>
      <c r="Q41" t="s">
        <v>3</v>
      </c>
      <c r="R41" t="s">
        <v>3</v>
      </c>
      <c r="S41" t="s">
        <v>617</v>
      </c>
      <c r="T41" t="s">
        <v>618</v>
      </c>
      <c r="U41" t="s">
        <v>619</v>
      </c>
    </row>
    <row r="42" spans="1:21" x14ac:dyDescent="0.2">
      <c r="A42">
        <v>151</v>
      </c>
      <c r="B42">
        <v>1</v>
      </c>
      <c r="C42" t="s">
        <v>3</v>
      </c>
      <c r="D42" t="s">
        <v>3</v>
      </c>
      <c r="E42" t="s">
        <v>23</v>
      </c>
      <c r="F42" t="s">
        <v>23</v>
      </c>
      <c r="G42" t="s">
        <v>23</v>
      </c>
      <c r="H42" t="s">
        <v>3</v>
      </c>
      <c r="I42" t="s">
        <v>23</v>
      </c>
      <c r="J42" t="s">
        <v>23</v>
      </c>
      <c r="K42" t="s">
        <v>3</v>
      </c>
      <c r="L42" t="s">
        <v>3</v>
      </c>
      <c r="M42" t="s">
        <v>3</v>
      </c>
      <c r="N42" t="s">
        <v>3</v>
      </c>
      <c r="O42" t="s">
        <v>23</v>
      </c>
      <c r="P42" t="s">
        <v>3</v>
      </c>
      <c r="Q42" t="s">
        <v>3</v>
      </c>
      <c r="R42" t="s">
        <v>3</v>
      </c>
      <c r="S42" t="s">
        <v>620</v>
      </c>
      <c r="T42" t="s">
        <v>624</v>
      </c>
      <c r="U42" t="s">
        <v>619</v>
      </c>
    </row>
    <row r="43" spans="1:21" x14ac:dyDescent="0.2">
      <c r="A43">
        <v>152</v>
      </c>
      <c r="B43">
        <v>1</v>
      </c>
      <c r="C43" t="s">
        <v>3</v>
      </c>
      <c r="D43" t="s">
        <v>3</v>
      </c>
      <c r="E43" t="s">
        <v>614</v>
      </c>
      <c r="F43" t="s">
        <v>614</v>
      </c>
      <c r="G43" t="s">
        <v>615</v>
      </c>
      <c r="H43" t="s">
        <v>3</v>
      </c>
      <c r="I43" t="s">
        <v>615</v>
      </c>
      <c r="J43" t="s">
        <v>614</v>
      </c>
      <c r="K43" t="s">
        <v>3</v>
      </c>
      <c r="L43" t="s">
        <v>3</v>
      </c>
      <c r="M43" t="s">
        <v>3</v>
      </c>
      <c r="N43" t="s">
        <v>3</v>
      </c>
      <c r="O43" t="s">
        <v>616</v>
      </c>
      <c r="P43" t="s">
        <v>3</v>
      </c>
      <c r="Q43" t="s">
        <v>3</v>
      </c>
      <c r="R43" t="s">
        <v>3</v>
      </c>
      <c r="S43" t="s">
        <v>617</v>
      </c>
      <c r="T43" t="s">
        <v>618</v>
      </c>
      <c r="U43" t="s">
        <v>619</v>
      </c>
    </row>
    <row r="44" spans="1:21" x14ac:dyDescent="0.2">
      <c r="A44">
        <v>152</v>
      </c>
      <c r="B44">
        <v>1</v>
      </c>
      <c r="C44" t="s">
        <v>3</v>
      </c>
      <c r="D44" t="s">
        <v>3</v>
      </c>
      <c r="E44" t="s">
        <v>23</v>
      </c>
      <c r="F44" t="s">
        <v>23</v>
      </c>
      <c r="G44" t="s">
        <v>23</v>
      </c>
      <c r="H44" t="s">
        <v>3</v>
      </c>
      <c r="I44" t="s">
        <v>23</v>
      </c>
      <c r="J44" t="s">
        <v>23</v>
      </c>
      <c r="K44" t="s">
        <v>3</v>
      </c>
      <c r="L44" t="s">
        <v>3</v>
      </c>
      <c r="M44" t="s">
        <v>3</v>
      </c>
      <c r="N44" t="s">
        <v>3</v>
      </c>
      <c r="O44" t="s">
        <v>23</v>
      </c>
      <c r="P44" t="s">
        <v>3</v>
      </c>
      <c r="Q44" t="s">
        <v>3</v>
      </c>
      <c r="R44" t="s">
        <v>3</v>
      </c>
      <c r="S44" t="s">
        <v>620</v>
      </c>
      <c r="T44" t="s">
        <v>624</v>
      </c>
      <c r="U44" t="s">
        <v>619</v>
      </c>
    </row>
    <row r="45" spans="1:21" x14ac:dyDescent="0.2">
      <c r="A45">
        <v>165</v>
      </c>
      <c r="B45">
        <v>1</v>
      </c>
      <c r="C45" t="s">
        <v>3</v>
      </c>
      <c r="D45" t="s">
        <v>3</v>
      </c>
      <c r="E45" t="s">
        <v>614</v>
      </c>
      <c r="F45" t="s">
        <v>614</v>
      </c>
      <c r="G45" t="s">
        <v>615</v>
      </c>
      <c r="H45" t="s">
        <v>3</v>
      </c>
      <c r="I45" t="s">
        <v>615</v>
      </c>
      <c r="J45" t="s">
        <v>614</v>
      </c>
      <c r="K45" t="s">
        <v>3</v>
      </c>
      <c r="L45" t="s">
        <v>3</v>
      </c>
      <c r="M45" t="s">
        <v>3</v>
      </c>
      <c r="N45" t="s">
        <v>3</v>
      </c>
      <c r="O45" t="s">
        <v>616</v>
      </c>
      <c r="P45" t="s">
        <v>3</v>
      </c>
      <c r="Q45" t="s">
        <v>3</v>
      </c>
      <c r="R45" t="s">
        <v>3</v>
      </c>
      <c r="S45" t="s">
        <v>617</v>
      </c>
      <c r="T45" t="s">
        <v>618</v>
      </c>
      <c r="U45" t="s">
        <v>619</v>
      </c>
    </row>
    <row r="46" spans="1:21" x14ac:dyDescent="0.2">
      <c r="A46">
        <v>165</v>
      </c>
      <c r="B46">
        <v>1</v>
      </c>
      <c r="C46" t="s">
        <v>3</v>
      </c>
      <c r="D46" t="s">
        <v>3</v>
      </c>
      <c r="E46" t="s">
        <v>23</v>
      </c>
      <c r="F46" t="s">
        <v>23</v>
      </c>
      <c r="G46" t="s">
        <v>23</v>
      </c>
      <c r="H46" t="s">
        <v>3</v>
      </c>
      <c r="I46" t="s">
        <v>23</v>
      </c>
      <c r="J46" t="s">
        <v>23</v>
      </c>
      <c r="K46" t="s">
        <v>3</v>
      </c>
      <c r="L46" t="s">
        <v>3</v>
      </c>
      <c r="M46" t="s">
        <v>3</v>
      </c>
      <c r="N46" t="s">
        <v>3</v>
      </c>
      <c r="O46" t="s">
        <v>23</v>
      </c>
      <c r="P46" t="s">
        <v>3</v>
      </c>
      <c r="Q46" t="s">
        <v>3</v>
      </c>
      <c r="R46" t="s">
        <v>3</v>
      </c>
      <c r="S46" t="s">
        <v>620</v>
      </c>
      <c r="T46" t="s">
        <v>624</v>
      </c>
      <c r="U46" t="s">
        <v>619</v>
      </c>
    </row>
    <row r="47" spans="1:21" x14ac:dyDescent="0.2">
      <c r="A47">
        <v>166</v>
      </c>
      <c r="B47">
        <v>1</v>
      </c>
      <c r="C47" t="s">
        <v>3</v>
      </c>
      <c r="D47" t="s">
        <v>3</v>
      </c>
      <c r="E47" t="s">
        <v>614</v>
      </c>
      <c r="F47" t="s">
        <v>614</v>
      </c>
      <c r="G47" t="s">
        <v>615</v>
      </c>
      <c r="H47" t="s">
        <v>3</v>
      </c>
      <c r="I47" t="s">
        <v>615</v>
      </c>
      <c r="J47" t="s">
        <v>614</v>
      </c>
      <c r="K47" t="s">
        <v>3</v>
      </c>
      <c r="L47" t="s">
        <v>3</v>
      </c>
      <c r="M47" t="s">
        <v>3</v>
      </c>
      <c r="N47" t="s">
        <v>3</v>
      </c>
      <c r="O47" t="s">
        <v>616</v>
      </c>
      <c r="P47" t="s">
        <v>3</v>
      </c>
      <c r="Q47" t="s">
        <v>3</v>
      </c>
      <c r="R47" t="s">
        <v>3</v>
      </c>
      <c r="S47" t="s">
        <v>617</v>
      </c>
      <c r="T47" t="s">
        <v>618</v>
      </c>
      <c r="U47" t="s">
        <v>619</v>
      </c>
    </row>
    <row r="48" spans="1:21" x14ac:dyDescent="0.2">
      <c r="A48">
        <v>166</v>
      </c>
      <c r="B48">
        <v>1</v>
      </c>
      <c r="C48" t="s">
        <v>3</v>
      </c>
      <c r="D48" t="s">
        <v>3</v>
      </c>
      <c r="E48" t="s">
        <v>23</v>
      </c>
      <c r="F48" t="s">
        <v>23</v>
      </c>
      <c r="G48" t="s">
        <v>23</v>
      </c>
      <c r="H48" t="s">
        <v>3</v>
      </c>
      <c r="I48" t="s">
        <v>23</v>
      </c>
      <c r="J48" t="s">
        <v>23</v>
      </c>
      <c r="K48" t="s">
        <v>3</v>
      </c>
      <c r="L48" t="s">
        <v>3</v>
      </c>
      <c r="M48" t="s">
        <v>3</v>
      </c>
      <c r="N48" t="s">
        <v>3</v>
      </c>
      <c r="O48" t="s">
        <v>23</v>
      </c>
      <c r="P48" t="s">
        <v>3</v>
      </c>
      <c r="Q48" t="s">
        <v>3</v>
      </c>
      <c r="R48" t="s">
        <v>3</v>
      </c>
      <c r="S48" t="s">
        <v>620</v>
      </c>
      <c r="T48" t="s">
        <v>624</v>
      </c>
      <c r="U48" t="s">
        <v>619</v>
      </c>
    </row>
    <row r="49" spans="1:21" x14ac:dyDescent="0.2">
      <c r="A49">
        <v>171</v>
      </c>
      <c r="B49">
        <v>1</v>
      </c>
      <c r="C49" t="s">
        <v>3</v>
      </c>
      <c r="D49" t="s">
        <v>3</v>
      </c>
      <c r="E49" t="s">
        <v>614</v>
      </c>
      <c r="F49" t="s">
        <v>614</v>
      </c>
      <c r="G49" t="s">
        <v>615</v>
      </c>
      <c r="H49" t="s">
        <v>3</v>
      </c>
      <c r="I49" t="s">
        <v>615</v>
      </c>
      <c r="J49" t="s">
        <v>614</v>
      </c>
      <c r="K49" t="s">
        <v>3</v>
      </c>
      <c r="L49" t="s">
        <v>3</v>
      </c>
      <c r="M49" t="s">
        <v>3</v>
      </c>
      <c r="N49" t="s">
        <v>3</v>
      </c>
      <c r="O49" t="s">
        <v>616</v>
      </c>
      <c r="P49" t="s">
        <v>3</v>
      </c>
      <c r="Q49" t="s">
        <v>3</v>
      </c>
      <c r="R49" t="s">
        <v>3</v>
      </c>
      <c r="S49" t="s">
        <v>617</v>
      </c>
      <c r="T49" t="s">
        <v>618</v>
      </c>
      <c r="U49" t="s">
        <v>619</v>
      </c>
    </row>
    <row r="50" spans="1:21" x14ac:dyDescent="0.2">
      <c r="A50">
        <v>171</v>
      </c>
      <c r="B50">
        <v>1</v>
      </c>
      <c r="C50" t="s">
        <v>3</v>
      </c>
      <c r="D50" t="s">
        <v>3</v>
      </c>
      <c r="E50" t="s">
        <v>23</v>
      </c>
      <c r="F50" t="s">
        <v>23</v>
      </c>
      <c r="G50" t="s">
        <v>23</v>
      </c>
      <c r="H50" t="s">
        <v>3</v>
      </c>
      <c r="I50" t="s">
        <v>23</v>
      </c>
      <c r="J50" t="s">
        <v>23</v>
      </c>
      <c r="K50" t="s">
        <v>3</v>
      </c>
      <c r="L50" t="s">
        <v>3</v>
      </c>
      <c r="M50" t="s">
        <v>3</v>
      </c>
      <c r="N50" t="s">
        <v>3</v>
      </c>
      <c r="O50" t="s">
        <v>23</v>
      </c>
      <c r="P50" t="s">
        <v>3</v>
      </c>
      <c r="Q50" t="s">
        <v>3</v>
      </c>
      <c r="R50" t="s">
        <v>3</v>
      </c>
      <c r="S50" t="s">
        <v>620</v>
      </c>
      <c r="T50" t="s">
        <v>624</v>
      </c>
      <c r="U50" t="s">
        <v>619</v>
      </c>
    </row>
    <row r="51" spans="1:21" x14ac:dyDescent="0.2">
      <c r="A51">
        <v>172</v>
      </c>
      <c r="B51">
        <v>1</v>
      </c>
      <c r="C51" t="s">
        <v>3</v>
      </c>
      <c r="D51" t="s">
        <v>3</v>
      </c>
      <c r="E51" t="s">
        <v>614</v>
      </c>
      <c r="F51" t="s">
        <v>614</v>
      </c>
      <c r="G51" t="s">
        <v>615</v>
      </c>
      <c r="H51" t="s">
        <v>3</v>
      </c>
      <c r="I51" t="s">
        <v>615</v>
      </c>
      <c r="J51" t="s">
        <v>614</v>
      </c>
      <c r="K51" t="s">
        <v>3</v>
      </c>
      <c r="L51" t="s">
        <v>3</v>
      </c>
      <c r="M51" t="s">
        <v>3</v>
      </c>
      <c r="N51" t="s">
        <v>3</v>
      </c>
      <c r="O51" t="s">
        <v>616</v>
      </c>
      <c r="P51" t="s">
        <v>3</v>
      </c>
      <c r="Q51" t="s">
        <v>3</v>
      </c>
      <c r="R51" t="s">
        <v>3</v>
      </c>
      <c r="S51" t="s">
        <v>617</v>
      </c>
      <c r="T51" t="s">
        <v>618</v>
      </c>
      <c r="U51" t="s">
        <v>619</v>
      </c>
    </row>
    <row r="52" spans="1:21" x14ac:dyDescent="0.2">
      <c r="A52">
        <v>172</v>
      </c>
      <c r="B52">
        <v>1</v>
      </c>
      <c r="C52" t="s">
        <v>3</v>
      </c>
      <c r="D52" t="s">
        <v>3</v>
      </c>
      <c r="E52" t="s">
        <v>23</v>
      </c>
      <c r="F52" t="s">
        <v>23</v>
      </c>
      <c r="G52" t="s">
        <v>23</v>
      </c>
      <c r="H52" t="s">
        <v>3</v>
      </c>
      <c r="I52" t="s">
        <v>23</v>
      </c>
      <c r="J52" t="s">
        <v>23</v>
      </c>
      <c r="K52" t="s">
        <v>3</v>
      </c>
      <c r="L52" t="s">
        <v>3</v>
      </c>
      <c r="M52" t="s">
        <v>3</v>
      </c>
      <c r="N52" t="s">
        <v>3</v>
      </c>
      <c r="O52" t="s">
        <v>23</v>
      </c>
      <c r="P52" t="s">
        <v>3</v>
      </c>
      <c r="Q52" t="s">
        <v>3</v>
      </c>
      <c r="R52" t="s">
        <v>3</v>
      </c>
      <c r="S52" t="s">
        <v>620</v>
      </c>
      <c r="T52" t="s">
        <v>624</v>
      </c>
      <c r="U52" t="s">
        <v>619</v>
      </c>
    </row>
    <row r="53" spans="1:21" x14ac:dyDescent="0.2">
      <c r="A53">
        <v>212</v>
      </c>
      <c r="B53">
        <v>1</v>
      </c>
      <c r="C53" t="s">
        <v>3</v>
      </c>
      <c r="D53" t="s">
        <v>3</v>
      </c>
      <c r="E53" t="s">
        <v>614</v>
      </c>
      <c r="F53" t="s">
        <v>614</v>
      </c>
      <c r="G53" t="s">
        <v>615</v>
      </c>
      <c r="H53" t="s">
        <v>3</v>
      </c>
      <c r="I53" t="s">
        <v>615</v>
      </c>
      <c r="J53" t="s">
        <v>614</v>
      </c>
      <c r="K53" t="s">
        <v>3</v>
      </c>
      <c r="L53" t="s">
        <v>3</v>
      </c>
      <c r="M53" t="s">
        <v>3</v>
      </c>
      <c r="N53" t="s">
        <v>3</v>
      </c>
      <c r="O53" t="s">
        <v>616</v>
      </c>
      <c r="P53" t="s">
        <v>3</v>
      </c>
      <c r="Q53" t="s">
        <v>3</v>
      </c>
      <c r="R53" t="s">
        <v>3</v>
      </c>
      <c r="S53" t="s">
        <v>617</v>
      </c>
      <c r="T53" t="s">
        <v>618</v>
      </c>
      <c r="U53" t="s">
        <v>619</v>
      </c>
    </row>
    <row r="54" spans="1:21" x14ac:dyDescent="0.2">
      <c r="A54">
        <v>212</v>
      </c>
      <c r="B54">
        <v>1</v>
      </c>
      <c r="C54" t="s">
        <v>3</v>
      </c>
      <c r="D54" t="s">
        <v>3</v>
      </c>
      <c r="E54" t="s">
        <v>23</v>
      </c>
      <c r="F54" t="s">
        <v>23</v>
      </c>
      <c r="G54" t="s">
        <v>23</v>
      </c>
      <c r="H54" t="s">
        <v>3</v>
      </c>
      <c r="I54" t="s">
        <v>23</v>
      </c>
      <c r="J54" t="s">
        <v>23</v>
      </c>
      <c r="K54" t="s">
        <v>3</v>
      </c>
      <c r="L54" t="s">
        <v>3</v>
      </c>
      <c r="M54" t="s">
        <v>3</v>
      </c>
      <c r="N54" t="s">
        <v>3</v>
      </c>
      <c r="O54" t="s">
        <v>23</v>
      </c>
      <c r="P54" t="s">
        <v>3</v>
      </c>
      <c r="Q54" t="s">
        <v>3</v>
      </c>
      <c r="R54" t="s">
        <v>3</v>
      </c>
      <c r="S54" t="s">
        <v>620</v>
      </c>
      <c r="T54" t="s">
        <v>624</v>
      </c>
      <c r="U54" t="s">
        <v>619</v>
      </c>
    </row>
    <row r="55" spans="1:21" x14ac:dyDescent="0.2">
      <c r="A55">
        <v>213</v>
      </c>
      <c r="B55">
        <v>1</v>
      </c>
      <c r="C55" t="s">
        <v>3</v>
      </c>
      <c r="D55" t="s">
        <v>3</v>
      </c>
      <c r="E55" t="s">
        <v>614</v>
      </c>
      <c r="F55" t="s">
        <v>614</v>
      </c>
      <c r="G55" t="s">
        <v>615</v>
      </c>
      <c r="H55" t="s">
        <v>3</v>
      </c>
      <c r="I55" t="s">
        <v>615</v>
      </c>
      <c r="J55" t="s">
        <v>614</v>
      </c>
      <c r="K55" t="s">
        <v>3</v>
      </c>
      <c r="L55" t="s">
        <v>3</v>
      </c>
      <c r="M55" t="s">
        <v>3</v>
      </c>
      <c r="N55" t="s">
        <v>3</v>
      </c>
      <c r="O55" t="s">
        <v>616</v>
      </c>
      <c r="P55" t="s">
        <v>3</v>
      </c>
      <c r="Q55" t="s">
        <v>3</v>
      </c>
      <c r="R55" t="s">
        <v>3</v>
      </c>
      <c r="S55" t="s">
        <v>617</v>
      </c>
      <c r="T55" t="s">
        <v>618</v>
      </c>
      <c r="U55" t="s">
        <v>619</v>
      </c>
    </row>
    <row r="56" spans="1:21" x14ac:dyDescent="0.2">
      <c r="A56">
        <v>213</v>
      </c>
      <c r="B56">
        <v>1</v>
      </c>
      <c r="C56" t="s">
        <v>3</v>
      </c>
      <c r="D56" t="s">
        <v>3</v>
      </c>
      <c r="E56" t="s">
        <v>23</v>
      </c>
      <c r="F56" t="s">
        <v>23</v>
      </c>
      <c r="G56" t="s">
        <v>23</v>
      </c>
      <c r="H56" t="s">
        <v>3</v>
      </c>
      <c r="I56" t="s">
        <v>23</v>
      </c>
      <c r="J56" t="s">
        <v>23</v>
      </c>
      <c r="K56" t="s">
        <v>3</v>
      </c>
      <c r="L56" t="s">
        <v>3</v>
      </c>
      <c r="M56" t="s">
        <v>3</v>
      </c>
      <c r="N56" t="s">
        <v>3</v>
      </c>
      <c r="O56" t="s">
        <v>23</v>
      </c>
      <c r="P56" t="s">
        <v>3</v>
      </c>
      <c r="Q56" t="s">
        <v>3</v>
      </c>
      <c r="R56" t="s">
        <v>3</v>
      </c>
      <c r="S56" t="s">
        <v>620</v>
      </c>
      <c r="T56" t="s">
        <v>624</v>
      </c>
      <c r="U56" t="s">
        <v>619</v>
      </c>
    </row>
    <row r="57" spans="1:21" x14ac:dyDescent="0.2">
      <c r="A57">
        <v>224</v>
      </c>
      <c r="B57">
        <v>1</v>
      </c>
      <c r="C57" t="s">
        <v>3</v>
      </c>
      <c r="D57" t="s">
        <v>3</v>
      </c>
      <c r="E57" t="s">
        <v>614</v>
      </c>
      <c r="F57" t="s">
        <v>614</v>
      </c>
      <c r="G57" t="s">
        <v>615</v>
      </c>
      <c r="H57" t="s">
        <v>3</v>
      </c>
      <c r="I57" t="s">
        <v>615</v>
      </c>
      <c r="J57" t="s">
        <v>614</v>
      </c>
      <c r="K57" t="s">
        <v>3</v>
      </c>
      <c r="L57" t="s">
        <v>3</v>
      </c>
      <c r="M57" t="s">
        <v>3</v>
      </c>
      <c r="N57" t="s">
        <v>3</v>
      </c>
      <c r="O57" t="s">
        <v>616</v>
      </c>
      <c r="P57" t="s">
        <v>3</v>
      </c>
      <c r="Q57" t="s">
        <v>3</v>
      </c>
      <c r="R57" t="s">
        <v>3</v>
      </c>
      <c r="S57" t="s">
        <v>617</v>
      </c>
      <c r="T57" t="s">
        <v>618</v>
      </c>
      <c r="U57" t="s">
        <v>619</v>
      </c>
    </row>
    <row r="58" spans="1:21" x14ac:dyDescent="0.2">
      <c r="A58">
        <v>224</v>
      </c>
      <c r="B58">
        <v>1</v>
      </c>
      <c r="C58" t="s">
        <v>3</v>
      </c>
      <c r="D58" t="s">
        <v>3</v>
      </c>
      <c r="E58" t="s">
        <v>23</v>
      </c>
      <c r="F58" t="s">
        <v>23</v>
      </c>
      <c r="G58" t="s">
        <v>23</v>
      </c>
      <c r="H58" t="s">
        <v>3</v>
      </c>
      <c r="I58" t="s">
        <v>23</v>
      </c>
      <c r="J58" t="s">
        <v>23</v>
      </c>
      <c r="K58" t="s">
        <v>3</v>
      </c>
      <c r="L58" t="s">
        <v>3</v>
      </c>
      <c r="M58" t="s">
        <v>3</v>
      </c>
      <c r="N58" t="s">
        <v>3</v>
      </c>
      <c r="O58" t="s">
        <v>23</v>
      </c>
      <c r="P58" t="s">
        <v>3</v>
      </c>
      <c r="Q58" t="s">
        <v>3</v>
      </c>
      <c r="R58" t="s">
        <v>3</v>
      </c>
      <c r="S58" t="s">
        <v>620</v>
      </c>
      <c r="T58" t="s">
        <v>624</v>
      </c>
      <c r="U58" t="s">
        <v>619</v>
      </c>
    </row>
    <row r="59" spans="1:21" x14ac:dyDescent="0.2">
      <c r="A59">
        <v>225</v>
      </c>
      <c r="B59">
        <v>1</v>
      </c>
      <c r="C59" t="s">
        <v>3</v>
      </c>
      <c r="D59" t="s">
        <v>3</v>
      </c>
      <c r="E59" t="s">
        <v>614</v>
      </c>
      <c r="F59" t="s">
        <v>614</v>
      </c>
      <c r="G59" t="s">
        <v>615</v>
      </c>
      <c r="H59" t="s">
        <v>3</v>
      </c>
      <c r="I59" t="s">
        <v>615</v>
      </c>
      <c r="J59" t="s">
        <v>614</v>
      </c>
      <c r="K59" t="s">
        <v>3</v>
      </c>
      <c r="L59" t="s">
        <v>3</v>
      </c>
      <c r="M59" t="s">
        <v>3</v>
      </c>
      <c r="N59" t="s">
        <v>3</v>
      </c>
      <c r="O59" t="s">
        <v>616</v>
      </c>
      <c r="P59" t="s">
        <v>3</v>
      </c>
      <c r="Q59" t="s">
        <v>3</v>
      </c>
      <c r="R59" t="s">
        <v>3</v>
      </c>
      <c r="S59" t="s">
        <v>617</v>
      </c>
      <c r="T59" t="s">
        <v>618</v>
      </c>
      <c r="U59" t="s">
        <v>619</v>
      </c>
    </row>
    <row r="60" spans="1:21" x14ac:dyDescent="0.2">
      <c r="A60">
        <v>225</v>
      </c>
      <c r="B60">
        <v>1</v>
      </c>
      <c r="C60" t="s">
        <v>3</v>
      </c>
      <c r="D60" t="s">
        <v>3</v>
      </c>
      <c r="E60" t="s">
        <v>23</v>
      </c>
      <c r="F60" t="s">
        <v>23</v>
      </c>
      <c r="G60" t="s">
        <v>23</v>
      </c>
      <c r="H60" t="s">
        <v>3</v>
      </c>
      <c r="I60" t="s">
        <v>23</v>
      </c>
      <c r="J60" t="s">
        <v>23</v>
      </c>
      <c r="K60" t="s">
        <v>3</v>
      </c>
      <c r="L60" t="s">
        <v>3</v>
      </c>
      <c r="M60" t="s">
        <v>3</v>
      </c>
      <c r="N60" t="s">
        <v>3</v>
      </c>
      <c r="O60" t="s">
        <v>23</v>
      </c>
      <c r="P60" t="s">
        <v>3</v>
      </c>
      <c r="Q60" t="s">
        <v>3</v>
      </c>
      <c r="R60" t="s">
        <v>3</v>
      </c>
      <c r="S60" t="s">
        <v>620</v>
      </c>
      <c r="T60" t="s">
        <v>624</v>
      </c>
      <c r="U60" t="s">
        <v>619</v>
      </c>
    </row>
    <row r="61" spans="1:21" x14ac:dyDescent="0.2">
      <c r="A61">
        <v>230</v>
      </c>
      <c r="B61">
        <v>1</v>
      </c>
      <c r="C61" t="s">
        <v>3</v>
      </c>
      <c r="D61" t="s">
        <v>3</v>
      </c>
      <c r="E61" t="s">
        <v>614</v>
      </c>
      <c r="F61" t="s">
        <v>614</v>
      </c>
      <c r="G61" t="s">
        <v>615</v>
      </c>
      <c r="H61" t="s">
        <v>3</v>
      </c>
      <c r="I61" t="s">
        <v>615</v>
      </c>
      <c r="J61" t="s">
        <v>614</v>
      </c>
      <c r="K61" t="s">
        <v>3</v>
      </c>
      <c r="L61" t="s">
        <v>3</v>
      </c>
      <c r="M61" t="s">
        <v>3</v>
      </c>
      <c r="N61" t="s">
        <v>3</v>
      </c>
      <c r="O61" t="s">
        <v>616</v>
      </c>
      <c r="P61" t="s">
        <v>3</v>
      </c>
      <c r="Q61" t="s">
        <v>3</v>
      </c>
      <c r="R61" t="s">
        <v>3</v>
      </c>
      <c r="S61" t="s">
        <v>617</v>
      </c>
      <c r="T61" t="s">
        <v>618</v>
      </c>
      <c r="U61" t="s">
        <v>619</v>
      </c>
    </row>
    <row r="62" spans="1:21" x14ac:dyDescent="0.2">
      <c r="A62">
        <v>230</v>
      </c>
      <c r="B62">
        <v>1</v>
      </c>
      <c r="C62" t="s">
        <v>3</v>
      </c>
      <c r="D62" t="s">
        <v>3</v>
      </c>
      <c r="E62" t="s">
        <v>23</v>
      </c>
      <c r="F62" t="s">
        <v>23</v>
      </c>
      <c r="G62" t="s">
        <v>23</v>
      </c>
      <c r="H62" t="s">
        <v>3</v>
      </c>
      <c r="I62" t="s">
        <v>23</v>
      </c>
      <c r="J62" t="s">
        <v>23</v>
      </c>
      <c r="K62" t="s">
        <v>3</v>
      </c>
      <c r="L62" t="s">
        <v>3</v>
      </c>
      <c r="M62" t="s">
        <v>3</v>
      </c>
      <c r="N62" t="s">
        <v>3</v>
      </c>
      <c r="O62" t="s">
        <v>23</v>
      </c>
      <c r="P62" t="s">
        <v>3</v>
      </c>
      <c r="Q62" t="s">
        <v>3</v>
      </c>
      <c r="R62" t="s">
        <v>3</v>
      </c>
      <c r="S62" t="s">
        <v>620</v>
      </c>
      <c r="T62" t="s">
        <v>624</v>
      </c>
      <c r="U62" t="s">
        <v>619</v>
      </c>
    </row>
    <row r="63" spans="1:21" x14ac:dyDescent="0.2">
      <c r="A63">
        <v>231</v>
      </c>
      <c r="B63">
        <v>1</v>
      </c>
      <c r="C63" t="s">
        <v>3</v>
      </c>
      <c r="D63" t="s">
        <v>3</v>
      </c>
      <c r="E63" t="s">
        <v>614</v>
      </c>
      <c r="F63" t="s">
        <v>614</v>
      </c>
      <c r="G63" t="s">
        <v>615</v>
      </c>
      <c r="H63" t="s">
        <v>3</v>
      </c>
      <c r="I63" t="s">
        <v>615</v>
      </c>
      <c r="J63" t="s">
        <v>614</v>
      </c>
      <c r="K63" t="s">
        <v>3</v>
      </c>
      <c r="L63" t="s">
        <v>3</v>
      </c>
      <c r="M63" t="s">
        <v>3</v>
      </c>
      <c r="N63" t="s">
        <v>3</v>
      </c>
      <c r="O63" t="s">
        <v>616</v>
      </c>
      <c r="P63" t="s">
        <v>3</v>
      </c>
      <c r="Q63" t="s">
        <v>3</v>
      </c>
      <c r="R63" t="s">
        <v>3</v>
      </c>
      <c r="S63" t="s">
        <v>617</v>
      </c>
      <c r="T63" t="s">
        <v>618</v>
      </c>
      <c r="U63" t="s">
        <v>619</v>
      </c>
    </row>
    <row r="64" spans="1:21" x14ac:dyDescent="0.2">
      <c r="A64">
        <v>231</v>
      </c>
      <c r="B64">
        <v>1</v>
      </c>
      <c r="C64" t="s">
        <v>3</v>
      </c>
      <c r="D64" t="s">
        <v>3</v>
      </c>
      <c r="E64" t="s">
        <v>23</v>
      </c>
      <c r="F64" t="s">
        <v>23</v>
      </c>
      <c r="G64" t="s">
        <v>23</v>
      </c>
      <c r="H64" t="s">
        <v>3</v>
      </c>
      <c r="I64" t="s">
        <v>23</v>
      </c>
      <c r="J64" t="s">
        <v>23</v>
      </c>
      <c r="K64" t="s">
        <v>3</v>
      </c>
      <c r="L64" t="s">
        <v>3</v>
      </c>
      <c r="M64" t="s">
        <v>3</v>
      </c>
      <c r="N64" t="s">
        <v>3</v>
      </c>
      <c r="O64" t="s">
        <v>23</v>
      </c>
      <c r="P64" t="s">
        <v>3</v>
      </c>
      <c r="Q64" t="s">
        <v>3</v>
      </c>
      <c r="R64" t="s">
        <v>3</v>
      </c>
      <c r="S64" t="s">
        <v>620</v>
      </c>
      <c r="T64" t="s">
        <v>624</v>
      </c>
      <c r="U64" t="s">
        <v>619</v>
      </c>
    </row>
    <row r="65" spans="1:21" x14ac:dyDescent="0.2">
      <c r="A65">
        <v>236</v>
      </c>
      <c r="B65">
        <v>1</v>
      </c>
      <c r="C65" t="s">
        <v>3</v>
      </c>
      <c r="D65" t="s">
        <v>3</v>
      </c>
      <c r="E65" t="s">
        <v>614</v>
      </c>
      <c r="F65" t="s">
        <v>614</v>
      </c>
      <c r="G65" t="s">
        <v>615</v>
      </c>
      <c r="H65" t="s">
        <v>3</v>
      </c>
      <c r="I65" t="s">
        <v>615</v>
      </c>
      <c r="J65" t="s">
        <v>614</v>
      </c>
      <c r="K65" t="s">
        <v>3</v>
      </c>
      <c r="L65" t="s">
        <v>3</v>
      </c>
      <c r="M65" t="s">
        <v>3</v>
      </c>
      <c r="N65" t="s">
        <v>3</v>
      </c>
      <c r="O65" t="s">
        <v>616</v>
      </c>
      <c r="P65" t="s">
        <v>3</v>
      </c>
      <c r="Q65" t="s">
        <v>3</v>
      </c>
      <c r="R65" t="s">
        <v>3</v>
      </c>
      <c r="S65" t="s">
        <v>617</v>
      </c>
      <c r="T65" t="s">
        <v>618</v>
      </c>
      <c r="U65" t="s">
        <v>619</v>
      </c>
    </row>
    <row r="66" spans="1:21" x14ac:dyDescent="0.2">
      <c r="A66">
        <v>236</v>
      </c>
      <c r="B66">
        <v>1</v>
      </c>
      <c r="C66" t="s">
        <v>3</v>
      </c>
      <c r="D66" t="s">
        <v>3</v>
      </c>
      <c r="E66" t="s">
        <v>23</v>
      </c>
      <c r="F66" t="s">
        <v>23</v>
      </c>
      <c r="G66" t="s">
        <v>23</v>
      </c>
      <c r="H66" t="s">
        <v>3</v>
      </c>
      <c r="I66" t="s">
        <v>23</v>
      </c>
      <c r="J66" t="s">
        <v>23</v>
      </c>
      <c r="K66" t="s">
        <v>3</v>
      </c>
      <c r="L66" t="s">
        <v>3</v>
      </c>
      <c r="M66" t="s">
        <v>3</v>
      </c>
      <c r="N66" t="s">
        <v>3</v>
      </c>
      <c r="O66" t="s">
        <v>23</v>
      </c>
      <c r="P66" t="s">
        <v>3</v>
      </c>
      <c r="Q66" t="s">
        <v>3</v>
      </c>
      <c r="R66" t="s">
        <v>3</v>
      </c>
      <c r="S66" t="s">
        <v>620</v>
      </c>
      <c r="T66" t="s">
        <v>624</v>
      </c>
      <c r="U66" t="s">
        <v>619</v>
      </c>
    </row>
    <row r="67" spans="1:21" x14ac:dyDescent="0.2">
      <c r="A67">
        <v>237</v>
      </c>
      <c r="B67">
        <v>1</v>
      </c>
      <c r="C67" t="s">
        <v>3</v>
      </c>
      <c r="D67" t="s">
        <v>3</v>
      </c>
      <c r="E67" t="s">
        <v>614</v>
      </c>
      <c r="F67" t="s">
        <v>614</v>
      </c>
      <c r="G67" t="s">
        <v>615</v>
      </c>
      <c r="H67" t="s">
        <v>3</v>
      </c>
      <c r="I67" t="s">
        <v>615</v>
      </c>
      <c r="J67" t="s">
        <v>614</v>
      </c>
      <c r="K67" t="s">
        <v>3</v>
      </c>
      <c r="L67" t="s">
        <v>3</v>
      </c>
      <c r="M67" t="s">
        <v>3</v>
      </c>
      <c r="N67" t="s">
        <v>3</v>
      </c>
      <c r="O67" t="s">
        <v>616</v>
      </c>
      <c r="P67" t="s">
        <v>3</v>
      </c>
      <c r="Q67" t="s">
        <v>3</v>
      </c>
      <c r="R67" t="s">
        <v>3</v>
      </c>
      <c r="S67" t="s">
        <v>617</v>
      </c>
      <c r="T67" t="s">
        <v>618</v>
      </c>
      <c r="U67" t="s">
        <v>619</v>
      </c>
    </row>
    <row r="68" spans="1:21" x14ac:dyDescent="0.2">
      <c r="A68">
        <v>237</v>
      </c>
      <c r="B68">
        <v>1</v>
      </c>
      <c r="C68" t="s">
        <v>3</v>
      </c>
      <c r="D68" t="s">
        <v>3</v>
      </c>
      <c r="E68" t="s">
        <v>23</v>
      </c>
      <c r="F68" t="s">
        <v>23</v>
      </c>
      <c r="G68" t="s">
        <v>23</v>
      </c>
      <c r="H68" t="s">
        <v>3</v>
      </c>
      <c r="I68" t="s">
        <v>23</v>
      </c>
      <c r="J68" t="s">
        <v>23</v>
      </c>
      <c r="K68" t="s">
        <v>3</v>
      </c>
      <c r="L68" t="s">
        <v>3</v>
      </c>
      <c r="M68" t="s">
        <v>3</v>
      </c>
      <c r="N68" t="s">
        <v>3</v>
      </c>
      <c r="O68" t="s">
        <v>23</v>
      </c>
      <c r="P68" t="s">
        <v>3</v>
      </c>
      <c r="Q68" t="s">
        <v>3</v>
      </c>
      <c r="R68" t="s">
        <v>3</v>
      </c>
      <c r="S68" t="s">
        <v>620</v>
      </c>
      <c r="T68" t="s">
        <v>624</v>
      </c>
      <c r="U68" t="s">
        <v>619</v>
      </c>
    </row>
    <row r="69" spans="1:21" x14ac:dyDescent="0.2">
      <c r="A69">
        <v>243</v>
      </c>
      <c r="B69">
        <v>1</v>
      </c>
      <c r="C69" t="s">
        <v>3</v>
      </c>
      <c r="D69" t="s">
        <v>3</v>
      </c>
      <c r="E69" t="s">
        <v>621</v>
      </c>
      <c r="F69" t="s">
        <v>621</v>
      </c>
      <c r="G69" t="s">
        <v>622</v>
      </c>
      <c r="H69" t="s">
        <v>3</v>
      </c>
      <c r="I69" t="s">
        <v>622</v>
      </c>
      <c r="J69" t="s">
        <v>621</v>
      </c>
      <c r="K69" t="s">
        <v>3</v>
      </c>
      <c r="L69" t="s">
        <v>3</v>
      </c>
      <c r="M69" t="s">
        <v>3</v>
      </c>
      <c r="N69" t="s">
        <v>3</v>
      </c>
      <c r="O69" t="s">
        <v>621</v>
      </c>
      <c r="P69" t="s">
        <v>3</v>
      </c>
      <c r="Q69" t="s">
        <v>3</v>
      </c>
      <c r="R69" t="s">
        <v>3</v>
      </c>
      <c r="S69" t="s">
        <v>103</v>
      </c>
      <c r="T69" t="s">
        <v>625</v>
      </c>
    </row>
    <row r="70" spans="1:21" x14ac:dyDescent="0.2">
      <c r="A70">
        <v>243</v>
      </c>
      <c r="B70">
        <v>1</v>
      </c>
      <c r="C70" t="s">
        <v>3</v>
      </c>
      <c r="D70" t="s">
        <v>3</v>
      </c>
      <c r="E70" t="s">
        <v>23</v>
      </c>
      <c r="F70" t="s">
        <v>23</v>
      </c>
      <c r="G70" t="s">
        <v>23</v>
      </c>
      <c r="H70" t="s">
        <v>3</v>
      </c>
      <c r="I70" t="s">
        <v>23</v>
      </c>
      <c r="J70" t="s">
        <v>23</v>
      </c>
      <c r="K70" t="s">
        <v>3</v>
      </c>
      <c r="L70" t="s">
        <v>3</v>
      </c>
      <c r="M70" t="s">
        <v>3</v>
      </c>
      <c r="N70" t="s">
        <v>3</v>
      </c>
      <c r="O70" t="s">
        <v>23</v>
      </c>
      <c r="P70" t="s">
        <v>3</v>
      </c>
      <c r="Q70" t="s">
        <v>3</v>
      </c>
      <c r="R70" t="s">
        <v>3</v>
      </c>
      <c r="S70" t="s">
        <v>620</v>
      </c>
      <c r="T70" t="s">
        <v>624</v>
      </c>
      <c r="U70" t="s">
        <v>619</v>
      </c>
    </row>
    <row r="71" spans="1:21" x14ac:dyDescent="0.2">
      <c r="A71">
        <v>244</v>
      </c>
      <c r="B71">
        <v>1</v>
      </c>
      <c r="C71" t="s">
        <v>3</v>
      </c>
      <c r="D71" t="s">
        <v>3</v>
      </c>
      <c r="E71" t="s">
        <v>621</v>
      </c>
      <c r="F71" t="s">
        <v>621</v>
      </c>
      <c r="G71" t="s">
        <v>622</v>
      </c>
      <c r="H71" t="s">
        <v>3</v>
      </c>
      <c r="I71" t="s">
        <v>622</v>
      </c>
      <c r="J71" t="s">
        <v>621</v>
      </c>
      <c r="K71" t="s">
        <v>3</v>
      </c>
      <c r="L71" t="s">
        <v>3</v>
      </c>
      <c r="M71" t="s">
        <v>3</v>
      </c>
      <c r="N71" t="s">
        <v>3</v>
      </c>
      <c r="O71" t="s">
        <v>621</v>
      </c>
      <c r="P71" t="s">
        <v>3</v>
      </c>
      <c r="Q71" t="s">
        <v>3</v>
      </c>
      <c r="R71" t="s">
        <v>3</v>
      </c>
      <c r="S71" t="s">
        <v>103</v>
      </c>
      <c r="T71" t="s">
        <v>625</v>
      </c>
    </row>
    <row r="72" spans="1:21" x14ac:dyDescent="0.2">
      <c r="A72">
        <v>244</v>
      </c>
      <c r="B72">
        <v>1</v>
      </c>
      <c r="C72" t="s">
        <v>3</v>
      </c>
      <c r="D72" t="s">
        <v>3</v>
      </c>
      <c r="E72" t="s">
        <v>23</v>
      </c>
      <c r="F72" t="s">
        <v>23</v>
      </c>
      <c r="G72" t="s">
        <v>23</v>
      </c>
      <c r="H72" t="s">
        <v>3</v>
      </c>
      <c r="I72" t="s">
        <v>23</v>
      </c>
      <c r="J72" t="s">
        <v>23</v>
      </c>
      <c r="K72" t="s">
        <v>3</v>
      </c>
      <c r="L72" t="s">
        <v>3</v>
      </c>
      <c r="M72" t="s">
        <v>3</v>
      </c>
      <c r="N72" t="s">
        <v>3</v>
      </c>
      <c r="O72" t="s">
        <v>23</v>
      </c>
      <c r="P72" t="s">
        <v>3</v>
      </c>
      <c r="Q72" t="s">
        <v>3</v>
      </c>
      <c r="R72" t="s">
        <v>3</v>
      </c>
      <c r="S72" t="s">
        <v>620</v>
      </c>
      <c r="T72" t="s">
        <v>624</v>
      </c>
      <c r="U72" t="s">
        <v>619</v>
      </c>
    </row>
    <row r="73" spans="1:21" x14ac:dyDescent="0.2">
      <c r="A73">
        <v>245</v>
      </c>
      <c r="B73">
        <v>1</v>
      </c>
      <c r="C73" t="s">
        <v>3</v>
      </c>
      <c r="D73" t="s">
        <v>3</v>
      </c>
      <c r="E73" t="s">
        <v>614</v>
      </c>
      <c r="F73" t="s">
        <v>614</v>
      </c>
      <c r="G73" t="s">
        <v>615</v>
      </c>
      <c r="H73" t="s">
        <v>3</v>
      </c>
      <c r="I73" t="s">
        <v>615</v>
      </c>
      <c r="J73" t="s">
        <v>614</v>
      </c>
      <c r="K73" t="s">
        <v>3</v>
      </c>
      <c r="L73" t="s">
        <v>3</v>
      </c>
      <c r="M73" t="s">
        <v>3</v>
      </c>
      <c r="N73" t="s">
        <v>3</v>
      </c>
      <c r="O73" t="s">
        <v>616</v>
      </c>
      <c r="P73" t="s">
        <v>3</v>
      </c>
      <c r="Q73" t="s">
        <v>3</v>
      </c>
      <c r="R73" t="s">
        <v>3</v>
      </c>
      <c r="S73" t="s">
        <v>617</v>
      </c>
      <c r="T73" t="s">
        <v>618</v>
      </c>
      <c r="U73" t="s">
        <v>619</v>
      </c>
    </row>
    <row r="74" spans="1:21" x14ac:dyDescent="0.2">
      <c r="A74">
        <v>245</v>
      </c>
      <c r="B74">
        <v>1</v>
      </c>
      <c r="C74" t="s">
        <v>3</v>
      </c>
      <c r="D74" t="s">
        <v>3</v>
      </c>
      <c r="E74" t="s">
        <v>23</v>
      </c>
      <c r="F74" t="s">
        <v>23</v>
      </c>
      <c r="G74" t="s">
        <v>23</v>
      </c>
      <c r="H74" t="s">
        <v>3</v>
      </c>
      <c r="I74" t="s">
        <v>23</v>
      </c>
      <c r="J74" t="s">
        <v>23</v>
      </c>
      <c r="K74" t="s">
        <v>3</v>
      </c>
      <c r="L74" t="s">
        <v>3</v>
      </c>
      <c r="M74" t="s">
        <v>3</v>
      </c>
      <c r="N74" t="s">
        <v>3</v>
      </c>
      <c r="O74" t="s">
        <v>23</v>
      </c>
      <c r="P74" t="s">
        <v>3</v>
      </c>
      <c r="Q74" t="s">
        <v>3</v>
      </c>
      <c r="R74" t="s">
        <v>3</v>
      </c>
      <c r="S74" t="s">
        <v>620</v>
      </c>
      <c r="T74" t="s">
        <v>624</v>
      </c>
      <c r="U74" t="s">
        <v>619</v>
      </c>
    </row>
    <row r="75" spans="1:21" x14ac:dyDescent="0.2">
      <c r="A75">
        <v>246</v>
      </c>
      <c r="B75">
        <v>1</v>
      </c>
      <c r="C75" t="s">
        <v>3</v>
      </c>
      <c r="D75" t="s">
        <v>3</v>
      </c>
      <c r="E75" t="s">
        <v>614</v>
      </c>
      <c r="F75" t="s">
        <v>614</v>
      </c>
      <c r="G75" t="s">
        <v>615</v>
      </c>
      <c r="H75" t="s">
        <v>3</v>
      </c>
      <c r="I75" t="s">
        <v>615</v>
      </c>
      <c r="J75" t="s">
        <v>614</v>
      </c>
      <c r="K75" t="s">
        <v>3</v>
      </c>
      <c r="L75" t="s">
        <v>3</v>
      </c>
      <c r="M75" t="s">
        <v>3</v>
      </c>
      <c r="N75" t="s">
        <v>3</v>
      </c>
      <c r="O75" t="s">
        <v>616</v>
      </c>
      <c r="P75" t="s">
        <v>3</v>
      </c>
      <c r="Q75" t="s">
        <v>3</v>
      </c>
      <c r="R75" t="s">
        <v>3</v>
      </c>
      <c r="S75" t="s">
        <v>617</v>
      </c>
      <c r="T75" t="s">
        <v>618</v>
      </c>
      <c r="U75" t="s">
        <v>619</v>
      </c>
    </row>
    <row r="76" spans="1:21" x14ac:dyDescent="0.2">
      <c r="A76">
        <v>246</v>
      </c>
      <c r="B76">
        <v>1</v>
      </c>
      <c r="C76" t="s">
        <v>3</v>
      </c>
      <c r="D76" t="s">
        <v>3</v>
      </c>
      <c r="E76" t="s">
        <v>23</v>
      </c>
      <c r="F76" t="s">
        <v>23</v>
      </c>
      <c r="G76" t="s">
        <v>23</v>
      </c>
      <c r="H76" t="s">
        <v>3</v>
      </c>
      <c r="I76" t="s">
        <v>23</v>
      </c>
      <c r="J76" t="s">
        <v>23</v>
      </c>
      <c r="K76" t="s">
        <v>3</v>
      </c>
      <c r="L76" t="s">
        <v>3</v>
      </c>
      <c r="M76" t="s">
        <v>3</v>
      </c>
      <c r="N76" t="s">
        <v>3</v>
      </c>
      <c r="O76" t="s">
        <v>23</v>
      </c>
      <c r="P76" t="s">
        <v>3</v>
      </c>
      <c r="Q76" t="s">
        <v>3</v>
      </c>
      <c r="R76" t="s">
        <v>3</v>
      </c>
      <c r="S76" t="s">
        <v>620</v>
      </c>
      <c r="T76" t="s">
        <v>624</v>
      </c>
      <c r="U76" t="s">
        <v>619</v>
      </c>
    </row>
    <row r="77" spans="1:21" x14ac:dyDescent="0.2">
      <c r="A77">
        <v>284</v>
      </c>
      <c r="B77">
        <v>1</v>
      </c>
      <c r="C77" t="s">
        <v>3</v>
      </c>
      <c r="D77" t="s">
        <v>3</v>
      </c>
      <c r="E77" t="s">
        <v>614</v>
      </c>
      <c r="F77" t="s">
        <v>614</v>
      </c>
      <c r="G77" t="s">
        <v>615</v>
      </c>
      <c r="H77" t="s">
        <v>3</v>
      </c>
      <c r="I77" t="s">
        <v>615</v>
      </c>
      <c r="J77" t="s">
        <v>614</v>
      </c>
      <c r="K77" t="s">
        <v>3</v>
      </c>
      <c r="L77" t="s">
        <v>3</v>
      </c>
      <c r="M77" t="s">
        <v>3</v>
      </c>
      <c r="N77" t="s">
        <v>3</v>
      </c>
      <c r="O77" t="s">
        <v>616</v>
      </c>
      <c r="P77" t="s">
        <v>3</v>
      </c>
      <c r="Q77" t="s">
        <v>3</v>
      </c>
      <c r="R77" t="s">
        <v>3</v>
      </c>
      <c r="S77" t="s">
        <v>617</v>
      </c>
      <c r="T77" t="s">
        <v>618</v>
      </c>
      <c r="U77" t="s">
        <v>619</v>
      </c>
    </row>
    <row r="78" spans="1:21" x14ac:dyDescent="0.2">
      <c r="A78">
        <v>284</v>
      </c>
      <c r="B78">
        <v>1</v>
      </c>
      <c r="C78" t="s">
        <v>3</v>
      </c>
      <c r="D78" t="s">
        <v>3</v>
      </c>
      <c r="E78" t="s">
        <v>23</v>
      </c>
      <c r="F78" t="s">
        <v>23</v>
      </c>
      <c r="G78" t="s">
        <v>23</v>
      </c>
      <c r="H78" t="s">
        <v>3</v>
      </c>
      <c r="I78" t="s">
        <v>23</v>
      </c>
      <c r="J78" t="s">
        <v>23</v>
      </c>
      <c r="K78" t="s">
        <v>3</v>
      </c>
      <c r="L78" t="s">
        <v>3</v>
      </c>
      <c r="M78" t="s">
        <v>3</v>
      </c>
      <c r="N78" t="s">
        <v>3</v>
      </c>
      <c r="O78" t="s">
        <v>23</v>
      </c>
      <c r="P78" t="s">
        <v>3</v>
      </c>
      <c r="Q78" t="s">
        <v>3</v>
      </c>
      <c r="R78" t="s">
        <v>3</v>
      </c>
      <c r="S78" t="s">
        <v>620</v>
      </c>
      <c r="T78" t="s">
        <v>624</v>
      </c>
      <c r="U78" t="s">
        <v>619</v>
      </c>
    </row>
    <row r="79" spans="1:21" x14ac:dyDescent="0.2">
      <c r="A79">
        <v>285</v>
      </c>
      <c r="B79">
        <v>1</v>
      </c>
      <c r="C79" t="s">
        <v>3</v>
      </c>
      <c r="D79" t="s">
        <v>3</v>
      </c>
      <c r="E79" t="s">
        <v>614</v>
      </c>
      <c r="F79" t="s">
        <v>614</v>
      </c>
      <c r="G79" t="s">
        <v>615</v>
      </c>
      <c r="H79" t="s">
        <v>3</v>
      </c>
      <c r="I79" t="s">
        <v>615</v>
      </c>
      <c r="J79" t="s">
        <v>614</v>
      </c>
      <c r="K79" t="s">
        <v>3</v>
      </c>
      <c r="L79" t="s">
        <v>3</v>
      </c>
      <c r="M79" t="s">
        <v>3</v>
      </c>
      <c r="N79" t="s">
        <v>3</v>
      </c>
      <c r="O79" t="s">
        <v>616</v>
      </c>
      <c r="P79" t="s">
        <v>3</v>
      </c>
      <c r="Q79" t="s">
        <v>3</v>
      </c>
      <c r="R79" t="s">
        <v>3</v>
      </c>
      <c r="S79" t="s">
        <v>617</v>
      </c>
      <c r="T79" t="s">
        <v>618</v>
      </c>
      <c r="U79" t="s">
        <v>619</v>
      </c>
    </row>
    <row r="80" spans="1:21" x14ac:dyDescent="0.2">
      <c r="A80">
        <v>285</v>
      </c>
      <c r="B80">
        <v>1</v>
      </c>
      <c r="C80" t="s">
        <v>3</v>
      </c>
      <c r="D80" t="s">
        <v>3</v>
      </c>
      <c r="E80" t="s">
        <v>23</v>
      </c>
      <c r="F80" t="s">
        <v>23</v>
      </c>
      <c r="G80" t="s">
        <v>23</v>
      </c>
      <c r="H80" t="s">
        <v>3</v>
      </c>
      <c r="I80" t="s">
        <v>23</v>
      </c>
      <c r="J80" t="s">
        <v>23</v>
      </c>
      <c r="K80" t="s">
        <v>3</v>
      </c>
      <c r="L80" t="s">
        <v>3</v>
      </c>
      <c r="M80" t="s">
        <v>3</v>
      </c>
      <c r="N80" t="s">
        <v>3</v>
      </c>
      <c r="O80" t="s">
        <v>23</v>
      </c>
      <c r="P80" t="s">
        <v>3</v>
      </c>
      <c r="Q80" t="s">
        <v>3</v>
      </c>
      <c r="R80" t="s">
        <v>3</v>
      </c>
      <c r="S80" t="s">
        <v>620</v>
      </c>
      <c r="T80" t="s">
        <v>624</v>
      </c>
      <c r="U80" t="s">
        <v>619</v>
      </c>
    </row>
    <row r="81" spans="1:21" x14ac:dyDescent="0.2">
      <c r="A81">
        <v>288</v>
      </c>
      <c r="B81">
        <v>1</v>
      </c>
      <c r="C81" t="s">
        <v>3</v>
      </c>
      <c r="D81" t="s">
        <v>3</v>
      </c>
      <c r="E81" t="s">
        <v>614</v>
      </c>
      <c r="F81" t="s">
        <v>614</v>
      </c>
      <c r="G81" t="s">
        <v>615</v>
      </c>
      <c r="H81" t="s">
        <v>3</v>
      </c>
      <c r="I81" t="s">
        <v>615</v>
      </c>
      <c r="J81" t="s">
        <v>614</v>
      </c>
      <c r="K81" t="s">
        <v>3</v>
      </c>
      <c r="L81" t="s">
        <v>3</v>
      </c>
      <c r="M81" t="s">
        <v>3</v>
      </c>
      <c r="N81" t="s">
        <v>3</v>
      </c>
      <c r="O81" t="s">
        <v>616</v>
      </c>
      <c r="P81" t="s">
        <v>3</v>
      </c>
      <c r="Q81" t="s">
        <v>3</v>
      </c>
      <c r="R81" t="s">
        <v>3</v>
      </c>
      <c r="S81" t="s">
        <v>617</v>
      </c>
      <c r="T81" t="s">
        <v>618</v>
      </c>
      <c r="U81" t="s">
        <v>619</v>
      </c>
    </row>
    <row r="82" spans="1:21" x14ac:dyDescent="0.2">
      <c r="A82">
        <v>288</v>
      </c>
      <c r="B82">
        <v>1</v>
      </c>
      <c r="C82" t="s">
        <v>3</v>
      </c>
      <c r="D82" t="s">
        <v>3</v>
      </c>
      <c r="E82" t="s">
        <v>23</v>
      </c>
      <c r="F82" t="s">
        <v>23</v>
      </c>
      <c r="G82" t="s">
        <v>23</v>
      </c>
      <c r="H82" t="s">
        <v>3</v>
      </c>
      <c r="I82" t="s">
        <v>23</v>
      </c>
      <c r="J82" t="s">
        <v>23</v>
      </c>
      <c r="K82" t="s">
        <v>3</v>
      </c>
      <c r="L82" t="s">
        <v>3</v>
      </c>
      <c r="M82" t="s">
        <v>3</v>
      </c>
      <c r="N82" t="s">
        <v>3</v>
      </c>
      <c r="O82" t="s">
        <v>23</v>
      </c>
      <c r="P82" t="s">
        <v>3</v>
      </c>
      <c r="Q82" t="s">
        <v>3</v>
      </c>
      <c r="R82" t="s">
        <v>3</v>
      </c>
      <c r="S82" t="s">
        <v>620</v>
      </c>
      <c r="T82" t="s">
        <v>624</v>
      </c>
      <c r="U82" t="s">
        <v>619</v>
      </c>
    </row>
    <row r="83" spans="1:21" x14ac:dyDescent="0.2">
      <c r="A83">
        <v>289</v>
      </c>
      <c r="B83">
        <v>1</v>
      </c>
      <c r="C83" t="s">
        <v>3</v>
      </c>
      <c r="D83" t="s">
        <v>3</v>
      </c>
      <c r="E83" t="s">
        <v>614</v>
      </c>
      <c r="F83" t="s">
        <v>614</v>
      </c>
      <c r="G83" t="s">
        <v>615</v>
      </c>
      <c r="H83" t="s">
        <v>3</v>
      </c>
      <c r="I83" t="s">
        <v>615</v>
      </c>
      <c r="J83" t="s">
        <v>614</v>
      </c>
      <c r="K83" t="s">
        <v>3</v>
      </c>
      <c r="L83" t="s">
        <v>3</v>
      </c>
      <c r="M83" t="s">
        <v>3</v>
      </c>
      <c r="N83" t="s">
        <v>3</v>
      </c>
      <c r="O83" t="s">
        <v>616</v>
      </c>
      <c r="P83" t="s">
        <v>3</v>
      </c>
      <c r="Q83" t="s">
        <v>3</v>
      </c>
      <c r="R83" t="s">
        <v>3</v>
      </c>
      <c r="S83" t="s">
        <v>617</v>
      </c>
      <c r="T83" t="s">
        <v>618</v>
      </c>
      <c r="U83" t="s">
        <v>619</v>
      </c>
    </row>
    <row r="84" spans="1:21" x14ac:dyDescent="0.2">
      <c r="A84">
        <v>289</v>
      </c>
      <c r="B84">
        <v>1</v>
      </c>
      <c r="C84" t="s">
        <v>3</v>
      </c>
      <c r="D84" t="s">
        <v>3</v>
      </c>
      <c r="E84" t="s">
        <v>23</v>
      </c>
      <c r="F84" t="s">
        <v>23</v>
      </c>
      <c r="G84" t="s">
        <v>23</v>
      </c>
      <c r="H84" t="s">
        <v>3</v>
      </c>
      <c r="I84" t="s">
        <v>23</v>
      </c>
      <c r="J84" t="s">
        <v>23</v>
      </c>
      <c r="K84" t="s">
        <v>3</v>
      </c>
      <c r="L84" t="s">
        <v>3</v>
      </c>
      <c r="M84" t="s">
        <v>3</v>
      </c>
      <c r="N84" t="s">
        <v>3</v>
      </c>
      <c r="O84" t="s">
        <v>23</v>
      </c>
      <c r="P84" t="s">
        <v>3</v>
      </c>
      <c r="Q84" t="s">
        <v>3</v>
      </c>
      <c r="R84" t="s">
        <v>3</v>
      </c>
      <c r="S84" t="s">
        <v>620</v>
      </c>
      <c r="T84" t="s">
        <v>624</v>
      </c>
      <c r="U84" t="s">
        <v>619</v>
      </c>
    </row>
    <row r="85" spans="1:21" x14ac:dyDescent="0.2">
      <c r="A85">
        <v>292</v>
      </c>
      <c r="B85">
        <v>1</v>
      </c>
      <c r="C85" t="s">
        <v>3</v>
      </c>
      <c r="D85" t="s">
        <v>3</v>
      </c>
      <c r="E85" t="s">
        <v>614</v>
      </c>
      <c r="F85" t="s">
        <v>614</v>
      </c>
      <c r="G85" t="s">
        <v>615</v>
      </c>
      <c r="H85" t="s">
        <v>3</v>
      </c>
      <c r="I85" t="s">
        <v>615</v>
      </c>
      <c r="J85" t="s">
        <v>614</v>
      </c>
      <c r="K85" t="s">
        <v>3</v>
      </c>
      <c r="L85" t="s">
        <v>3</v>
      </c>
      <c r="M85" t="s">
        <v>3</v>
      </c>
      <c r="N85" t="s">
        <v>3</v>
      </c>
      <c r="O85" t="s">
        <v>616</v>
      </c>
      <c r="P85" t="s">
        <v>3</v>
      </c>
      <c r="Q85" t="s">
        <v>3</v>
      </c>
      <c r="R85" t="s">
        <v>3</v>
      </c>
      <c r="S85" t="s">
        <v>617</v>
      </c>
      <c r="T85" t="s">
        <v>618</v>
      </c>
      <c r="U85" t="s">
        <v>619</v>
      </c>
    </row>
    <row r="86" spans="1:21" x14ac:dyDescent="0.2">
      <c r="A86">
        <v>292</v>
      </c>
      <c r="B86">
        <v>1</v>
      </c>
      <c r="C86" t="s">
        <v>3</v>
      </c>
      <c r="D86" t="s">
        <v>3</v>
      </c>
      <c r="E86" t="s">
        <v>23</v>
      </c>
      <c r="F86" t="s">
        <v>23</v>
      </c>
      <c r="G86" t="s">
        <v>23</v>
      </c>
      <c r="H86" t="s">
        <v>3</v>
      </c>
      <c r="I86" t="s">
        <v>23</v>
      </c>
      <c r="J86" t="s">
        <v>23</v>
      </c>
      <c r="K86" t="s">
        <v>3</v>
      </c>
      <c r="L86" t="s">
        <v>3</v>
      </c>
      <c r="M86" t="s">
        <v>3</v>
      </c>
      <c r="N86" t="s">
        <v>3</v>
      </c>
      <c r="O86" t="s">
        <v>23</v>
      </c>
      <c r="P86" t="s">
        <v>3</v>
      </c>
      <c r="Q86" t="s">
        <v>3</v>
      </c>
      <c r="R86" t="s">
        <v>3</v>
      </c>
      <c r="S86" t="s">
        <v>620</v>
      </c>
      <c r="T86" t="s">
        <v>624</v>
      </c>
      <c r="U86" t="s">
        <v>619</v>
      </c>
    </row>
    <row r="87" spans="1:21" x14ac:dyDescent="0.2">
      <c r="A87">
        <v>293</v>
      </c>
      <c r="B87">
        <v>1</v>
      </c>
      <c r="C87" t="s">
        <v>3</v>
      </c>
      <c r="D87" t="s">
        <v>3</v>
      </c>
      <c r="E87" t="s">
        <v>614</v>
      </c>
      <c r="F87" t="s">
        <v>614</v>
      </c>
      <c r="G87" t="s">
        <v>615</v>
      </c>
      <c r="H87" t="s">
        <v>3</v>
      </c>
      <c r="I87" t="s">
        <v>615</v>
      </c>
      <c r="J87" t="s">
        <v>614</v>
      </c>
      <c r="K87" t="s">
        <v>3</v>
      </c>
      <c r="L87" t="s">
        <v>3</v>
      </c>
      <c r="M87" t="s">
        <v>3</v>
      </c>
      <c r="N87" t="s">
        <v>3</v>
      </c>
      <c r="O87" t="s">
        <v>616</v>
      </c>
      <c r="P87" t="s">
        <v>3</v>
      </c>
      <c r="Q87" t="s">
        <v>3</v>
      </c>
      <c r="R87" t="s">
        <v>3</v>
      </c>
      <c r="S87" t="s">
        <v>617</v>
      </c>
      <c r="T87" t="s">
        <v>618</v>
      </c>
      <c r="U87" t="s">
        <v>619</v>
      </c>
    </row>
    <row r="88" spans="1:21" x14ac:dyDescent="0.2">
      <c r="A88">
        <v>293</v>
      </c>
      <c r="B88">
        <v>1</v>
      </c>
      <c r="C88" t="s">
        <v>3</v>
      </c>
      <c r="D88" t="s">
        <v>3</v>
      </c>
      <c r="E88" t="s">
        <v>23</v>
      </c>
      <c r="F88" t="s">
        <v>23</v>
      </c>
      <c r="G88" t="s">
        <v>23</v>
      </c>
      <c r="H88" t="s">
        <v>3</v>
      </c>
      <c r="I88" t="s">
        <v>23</v>
      </c>
      <c r="J88" t="s">
        <v>23</v>
      </c>
      <c r="K88" t="s">
        <v>3</v>
      </c>
      <c r="L88" t="s">
        <v>3</v>
      </c>
      <c r="M88" t="s">
        <v>3</v>
      </c>
      <c r="N88" t="s">
        <v>3</v>
      </c>
      <c r="O88" t="s">
        <v>23</v>
      </c>
      <c r="P88" t="s">
        <v>3</v>
      </c>
      <c r="Q88" t="s">
        <v>3</v>
      </c>
      <c r="R88" t="s">
        <v>3</v>
      </c>
      <c r="S88" t="s">
        <v>620</v>
      </c>
      <c r="T88" t="s">
        <v>624</v>
      </c>
      <c r="U88" t="s">
        <v>619</v>
      </c>
    </row>
    <row r="89" spans="1:21" x14ac:dyDescent="0.2">
      <c r="A89">
        <v>296</v>
      </c>
      <c r="B89">
        <v>1</v>
      </c>
      <c r="C89" t="s">
        <v>3</v>
      </c>
      <c r="D89" t="s">
        <v>3</v>
      </c>
      <c r="E89" t="s">
        <v>614</v>
      </c>
      <c r="F89" t="s">
        <v>614</v>
      </c>
      <c r="G89" t="s">
        <v>615</v>
      </c>
      <c r="H89" t="s">
        <v>3</v>
      </c>
      <c r="I89" t="s">
        <v>615</v>
      </c>
      <c r="J89" t="s">
        <v>614</v>
      </c>
      <c r="K89" t="s">
        <v>3</v>
      </c>
      <c r="L89" t="s">
        <v>3</v>
      </c>
      <c r="M89" t="s">
        <v>3</v>
      </c>
      <c r="N89" t="s">
        <v>3</v>
      </c>
      <c r="O89" t="s">
        <v>616</v>
      </c>
      <c r="P89" t="s">
        <v>3</v>
      </c>
      <c r="Q89" t="s">
        <v>3</v>
      </c>
      <c r="R89" t="s">
        <v>3</v>
      </c>
      <c r="S89" t="s">
        <v>617</v>
      </c>
      <c r="T89" t="s">
        <v>618</v>
      </c>
      <c r="U89" t="s">
        <v>619</v>
      </c>
    </row>
    <row r="90" spans="1:21" x14ac:dyDescent="0.2">
      <c r="A90">
        <v>296</v>
      </c>
      <c r="B90">
        <v>1</v>
      </c>
      <c r="C90" t="s">
        <v>3</v>
      </c>
      <c r="D90" t="s">
        <v>3</v>
      </c>
      <c r="E90" t="s">
        <v>23</v>
      </c>
      <c r="F90" t="s">
        <v>23</v>
      </c>
      <c r="G90" t="s">
        <v>23</v>
      </c>
      <c r="H90" t="s">
        <v>3</v>
      </c>
      <c r="I90" t="s">
        <v>23</v>
      </c>
      <c r="J90" t="s">
        <v>23</v>
      </c>
      <c r="K90" t="s">
        <v>3</v>
      </c>
      <c r="L90" t="s">
        <v>3</v>
      </c>
      <c r="M90" t="s">
        <v>3</v>
      </c>
      <c r="N90" t="s">
        <v>3</v>
      </c>
      <c r="O90" t="s">
        <v>23</v>
      </c>
      <c r="P90" t="s">
        <v>3</v>
      </c>
      <c r="Q90" t="s">
        <v>3</v>
      </c>
      <c r="R90" t="s">
        <v>3</v>
      </c>
      <c r="S90" t="s">
        <v>620</v>
      </c>
      <c r="T90" t="s">
        <v>624</v>
      </c>
      <c r="U90" t="s">
        <v>619</v>
      </c>
    </row>
    <row r="91" spans="1:21" x14ac:dyDescent="0.2">
      <c r="A91">
        <v>297</v>
      </c>
      <c r="B91">
        <v>1</v>
      </c>
      <c r="C91" t="s">
        <v>3</v>
      </c>
      <c r="D91" t="s">
        <v>3</v>
      </c>
      <c r="E91" t="s">
        <v>614</v>
      </c>
      <c r="F91" t="s">
        <v>614</v>
      </c>
      <c r="G91" t="s">
        <v>615</v>
      </c>
      <c r="H91" t="s">
        <v>3</v>
      </c>
      <c r="I91" t="s">
        <v>615</v>
      </c>
      <c r="J91" t="s">
        <v>614</v>
      </c>
      <c r="K91" t="s">
        <v>3</v>
      </c>
      <c r="L91" t="s">
        <v>3</v>
      </c>
      <c r="M91" t="s">
        <v>3</v>
      </c>
      <c r="N91" t="s">
        <v>3</v>
      </c>
      <c r="O91" t="s">
        <v>616</v>
      </c>
      <c r="P91" t="s">
        <v>3</v>
      </c>
      <c r="Q91" t="s">
        <v>3</v>
      </c>
      <c r="R91" t="s">
        <v>3</v>
      </c>
      <c r="S91" t="s">
        <v>617</v>
      </c>
      <c r="T91" t="s">
        <v>618</v>
      </c>
      <c r="U91" t="s">
        <v>619</v>
      </c>
    </row>
    <row r="92" spans="1:21" x14ac:dyDescent="0.2">
      <c r="A92">
        <v>297</v>
      </c>
      <c r="B92">
        <v>1</v>
      </c>
      <c r="C92" t="s">
        <v>3</v>
      </c>
      <c r="D92" t="s">
        <v>3</v>
      </c>
      <c r="E92" t="s">
        <v>23</v>
      </c>
      <c r="F92" t="s">
        <v>23</v>
      </c>
      <c r="G92" t="s">
        <v>23</v>
      </c>
      <c r="H92" t="s">
        <v>3</v>
      </c>
      <c r="I92" t="s">
        <v>23</v>
      </c>
      <c r="J92" t="s">
        <v>23</v>
      </c>
      <c r="K92" t="s">
        <v>3</v>
      </c>
      <c r="L92" t="s">
        <v>3</v>
      </c>
      <c r="M92" t="s">
        <v>3</v>
      </c>
      <c r="N92" t="s">
        <v>3</v>
      </c>
      <c r="O92" t="s">
        <v>23</v>
      </c>
      <c r="P92" t="s">
        <v>3</v>
      </c>
      <c r="Q92" t="s">
        <v>3</v>
      </c>
      <c r="R92" t="s">
        <v>3</v>
      </c>
      <c r="S92" t="s">
        <v>620</v>
      </c>
      <c r="T92" t="s">
        <v>624</v>
      </c>
      <c r="U92" t="s">
        <v>619</v>
      </c>
    </row>
    <row r="93" spans="1:21" x14ac:dyDescent="0.2">
      <c r="A93">
        <v>300</v>
      </c>
      <c r="B93">
        <v>1</v>
      </c>
      <c r="C93" t="s">
        <v>3</v>
      </c>
      <c r="D93" t="s">
        <v>3</v>
      </c>
      <c r="E93" t="s">
        <v>614</v>
      </c>
      <c r="F93" t="s">
        <v>614</v>
      </c>
      <c r="G93" t="s">
        <v>615</v>
      </c>
      <c r="H93" t="s">
        <v>3</v>
      </c>
      <c r="I93" t="s">
        <v>615</v>
      </c>
      <c r="J93" t="s">
        <v>614</v>
      </c>
      <c r="K93" t="s">
        <v>3</v>
      </c>
      <c r="L93" t="s">
        <v>3</v>
      </c>
      <c r="M93" t="s">
        <v>3</v>
      </c>
      <c r="N93" t="s">
        <v>3</v>
      </c>
      <c r="O93" t="s">
        <v>616</v>
      </c>
      <c r="P93" t="s">
        <v>3</v>
      </c>
      <c r="Q93" t="s">
        <v>3</v>
      </c>
      <c r="R93" t="s">
        <v>3</v>
      </c>
      <c r="S93" t="s">
        <v>617</v>
      </c>
      <c r="T93" t="s">
        <v>618</v>
      </c>
      <c r="U93" t="s">
        <v>619</v>
      </c>
    </row>
    <row r="94" spans="1:21" x14ac:dyDescent="0.2">
      <c r="A94">
        <v>300</v>
      </c>
      <c r="B94">
        <v>1</v>
      </c>
      <c r="C94" t="s">
        <v>3</v>
      </c>
      <c r="D94" t="s">
        <v>3</v>
      </c>
      <c r="E94" t="s">
        <v>23</v>
      </c>
      <c r="F94" t="s">
        <v>23</v>
      </c>
      <c r="G94" t="s">
        <v>23</v>
      </c>
      <c r="H94" t="s">
        <v>3</v>
      </c>
      <c r="I94" t="s">
        <v>23</v>
      </c>
      <c r="J94" t="s">
        <v>23</v>
      </c>
      <c r="K94" t="s">
        <v>3</v>
      </c>
      <c r="L94" t="s">
        <v>3</v>
      </c>
      <c r="M94" t="s">
        <v>3</v>
      </c>
      <c r="N94" t="s">
        <v>3</v>
      </c>
      <c r="O94" t="s">
        <v>23</v>
      </c>
      <c r="P94" t="s">
        <v>3</v>
      </c>
      <c r="Q94" t="s">
        <v>3</v>
      </c>
      <c r="R94" t="s">
        <v>3</v>
      </c>
      <c r="S94" t="s">
        <v>620</v>
      </c>
      <c r="T94" t="s">
        <v>624</v>
      </c>
      <c r="U94" t="s">
        <v>619</v>
      </c>
    </row>
    <row r="95" spans="1:21" x14ac:dyDescent="0.2">
      <c r="A95">
        <v>301</v>
      </c>
      <c r="B95">
        <v>1</v>
      </c>
      <c r="C95" t="s">
        <v>3</v>
      </c>
      <c r="D95" t="s">
        <v>3</v>
      </c>
      <c r="E95" t="s">
        <v>614</v>
      </c>
      <c r="F95" t="s">
        <v>614</v>
      </c>
      <c r="G95" t="s">
        <v>615</v>
      </c>
      <c r="H95" t="s">
        <v>3</v>
      </c>
      <c r="I95" t="s">
        <v>615</v>
      </c>
      <c r="J95" t="s">
        <v>614</v>
      </c>
      <c r="K95" t="s">
        <v>3</v>
      </c>
      <c r="L95" t="s">
        <v>3</v>
      </c>
      <c r="M95" t="s">
        <v>3</v>
      </c>
      <c r="N95" t="s">
        <v>3</v>
      </c>
      <c r="O95" t="s">
        <v>616</v>
      </c>
      <c r="P95" t="s">
        <v>3</v>
      </c>
      <c r="Q95" t="s">
        <v>3</v>
      </c>
      <c r="R95" t="s">
        <v>3</v>
      </c>
      <c r="S95" t="s">
        <v>617</v>
      </c>
      <c r="T95" t="s">
        <v>618</v>
      </c>
      <c r="U95" t="s">
        <v>619</v>
      </c>
    </row>
    <row r="96" spans="1:21" x14ac:dyDescent="0.2">
      <c r="A96">
        <v>301</v>
      </c>
      <c r="B96">
        <v>1</v>
      </c>
      <c r="C96" t="s">
        <v>3</v>
      </c>
      <c r="D96" t="s">
        <v>3</v>
      </c>
      <c r="E96" t="s">
        <v>23</v>
      </c>
      <c r="F96" t="s">
        <v>23</v>
      </c>
      <c r="G96" t="s">
        <v>23</v>
      </c>
      <c r="H96" t="s">
        <v>3</v>
      </c>
      <c r="I96" t="s">
        <v>23</v>
      </c>
      <c r="J96" t="s">
        <v>23</v>
      </c>
      <c r="K96" t="s">
        <v>3</v>
      </c>
      <c r="L96" t="s">
        <v>3</v>
      </c>
      <c r="M96" t="s">
        <v>3</v>
      </c>
      <c r="N96" t="s">
        <v>3</v>
      </c>
      <c r="O96" t="s">
        <v>23</v>
      </c>
      <c r="P96" t="s">
        <v>3</v>
      </c>
      <c r="Q96" t="s">
        <v>3</v>
      </c>
      <c r="R96" t="s">
        <v>3</v>
      </c>
      <c r="S96" t="s">
        <v>620</v>
      </c>
      <c r="T96" t="s">
        <v>624</v>
      </c>
      <c r="U96" t="s">
        <v>619</v>
      </c>
    </row>
    <row r="97" spans="1:21" x14ac:dyDescent="0.2">
      <c r="A97">
        <v>304</v>
      </c>
      <c r="B97">
        <v>1</v>
      </c>
      <c r="C97" t="s">
        <v>3</v>
      </c>
      <c r="D97" t="s">
        <v>3</v>
      </c>
      <c r="E97" t="s">
        <v>614</v>
      </c>
      <c r="F97" t="s">
        <v>614</v>
      </c>
      <c r="G97" t="s">
        <v>615</v>
      </c>
      <c r="H97" t="s">
        <v>3</v>
      </c>
      <c r="I97" t="s">
        <v>615</v>
      </c>
      <c r="J97" t="s">
        <v>614</v>
      </c>
      <c r="K97" t="s">
        <v>3</v>
      </c>
      <c r="L97" t="s">
        <v>3</v>
      </c>
      <c r="M97" t="s">
        <v>3</v>
      </c>
      <c r="N97" t="s">
        <v>3</v>
      </c>
      <c r="O97" t="s">
        <v>616</v>
      </c>
      <c r="P97" t="s">
        <v>3</v>
      </c>
      <c r="Q97" t="s">
        <v>3</v>
      </c>
      <c r="R97" t="s">
        <v>3</v>
      </c>
      <c r="S97" t="s">
        <v>617</v>
      </c>
      <c r="T97" t="s">
        <v>618</v>
      </c>
      <c r="U97" t="s">
        <v>619</v>
      </c>
    </row>
    <row r="98" spans="1:21" x14ac:dyDescent="0.2">
      <c r="A98">
        <v>304</v>
      </c>
      <c r="B98">
        <v>1</v>
      </c>
      <c r="C98" t="s">
        <v>3</v>
      </c>
      <c r="D98" t="s">
        <v>3</v>
      </c>
      <c r="E98" t="s">
        <v>23</v>
      </c>
      <c r="F98" t="s">
        <v>23</v>
      </c>
      <c r="G98" t="s">
        <v>23</v>
      </c>
      <c r="H98" t="s">
        <v>3</v>
      </c>
      <c r="I98" t="s">
        <v>23</v>
      </c>
      <c r="J98" t="s">
        <v>23</v>
      </c>
      <c r="K98" t="s">
        <v>3</v>
      </c>
      <c r="L98" t="s">
        <v>3</v>
      </c>
      <c r="M98" t="s">
        <v>3</v>
      </c>
      <c r="N98" t="s">
        <v>3</v>
      </c>
      <c r="O98" t="s">
        <v>23</v>
      </c>
      <c r="P98" t="s">
        <v>3</v>
      </c>
      <c r="Q98" t="s">
        <v>3</v>
      </c>
      <c r="R98" t="s">
        <v>3</v>
      </c>
      <c r="S98" t="s">
        <v>620</v>
      </c>
      <c r="T98" t="s">
        <v>624</v>
      </c>
      <c r="U98" t="s">
        <v>619</v>
      </c>
    </row>
    <row r="99" spans="1:21" x14ac:dyDescent="0.2">
      <c r="A99">
        <v>305</v>
      </c>
      <c r="B99">
        <v>1</v>
      </c>
      <c r="C99" t="s">
        <v>3</v>
      </c>
      <c r="D99" t="s">
        <v>3</v>
      </c>
      <c r="E99" t="s">
        <v>614</v>
      </c>
      <c r="F99" t="s">
        <v>614</v>
      </c>
      <c r="G99" t="s">
        <v>615</v>
      </c>
      <c r="H99" t="s">
        <v>3</v>
      </c>
      <c r="I99" t="s">
        <v>615</v>
      </c>
      <c r="J99" t="s">
        <v>614</v>
      </c>
      <c r="K99" t="s">
        <v>3</v>
      </c>
      <c r="L99" t="s">
        <v>3</v>
      </c>
      <c r="M99" t="s">
        <v>3</v>
      </c>
      <c r="N99" t="s">
        <v>3</v>
      </c>
      <c r="O99" t="s">
        <v>616</v>
      </c>
      <c r="P99" t="s">
        <v>3</v>
      </c>
      <c r="Q99" t="s">
        <v>3</v>
      </c>
      <c r="R99" t="s">
        <v>3</v>
      </c>
      <c r="S99" t="s">
        <v>617</v>
      </c>
      <c r="T99" t="s">
        <v>618</v>
      </c>
      <c r="U99" t="s">
        <v>619</v>
      </c>
    </row>
    <row r="100" spans="1:21" x14ac:dyDescent="0.2">
      <c r="A100">
        <v>305</v>
      </c>
      <c r="B100">
        <v>1</v>
      </c>
      <c r="C100" t="s">
        <v>3</v>
      </c>
      <c r="D100" t="s">
        <v>3</v>
      </c>
      <c r="E100" t="s">
        <v>23</v>
      </c>
      <c r="F100" t="s">
        <v>23</v>
      </c>
      <c r="G100" t="s">
        <v>23</v>
      </c>
      <c r="H100" t="s">
        <v>3</v>
      </c>
      <c r="I100" t="s">
        <v>23</v>
      </c>
      <c r="J100" t="s">
        <v>23</v>
      </c>
      <c r="K100" t="s">
        <v>3</v>
      </c>
      <c r="L100" t="s">
        <v>3</v>
      </c>
      <c r="M100" t="s">
        <v>3</v>
      </c>
      <c r="N100" t="s">
        <v>3</v>
      </c>
      <c r="O100" t="s">
        <v>23</v>
      </c>
      <c r="P100" t="s">
        <v>3</v>
      </c>
      <c r="Q100" t="s">
        <v>3</v>
      </c>
      <c r="R100" t="s">
        <v>3</v>
      </c>
      <c r="S100" t="s">
        <v>620</v>
      </c>
      <c r="T100" t="s">
        <v>624</v>
      </c>
      <c r="U100" t="s">
        <v>619</v>
      </c>
    </row>
    <row r="101" spans="1:21" x14ac:dyDescent="0.2">
      <c r="A101">
        <v>308</v>
      </c>
      <c r="B101">
        <v>1</v>
      </c>
      <c r="C101" t="s">
        <v>3</v>
      </c>
      <c r="D101" t="s">
        <v>3</v>
      </c>
      <c r="E101" t="s">
        <v>614</v>
      </c>
      <c r="F101" t="s">
        <v>614</v>
      </c>
      <c r="G101" t="s">
        <v>615</v>
      </c>
      <c r="H101" t="s">
        <v>3</v>
      </c>
      <c r="I101" t="s">
        <v>615</v>
      </c>
      <c r="J101" t="s">
        <v>614</v>
      </c>
      <c r="K101" t="s">
        <v>3</v>
      </c>
      <c r="L101" t="s">
        <v>3</v>
      </c>
      <c r="M101" t="s">
        <v>3</v>
      </c>
      <c r="N101" t="s">
        <v>3</v>
      </c>
      <c r="O101" t="s">
        <v>616</v>
      </c>
      <c r="P101" t="s">
        <v>3</v>
      </c>
      <c r="Q101" t="s">
        <v>3</v>
      </c>
      <c r="R101" t="s">
        <v>3</v>
      </c>
      <c r="S101" t="s">
        <v>617</v>
      </c>
      <c r="T101" t="s">
        <v>618</v>
      </c>
      <c r="U101" t="s">
        <v>619</v>
      </c>
    </row>
    <row r="102" spans="1:21" x14ac:dyDescent="0.2">
      <c r="A102">
        <v>308</v>
      </c>
      <c r="B102">
        <v>1</v>
      </c>
      <c r="C102" t="s">
        <v>3</v>
      </c>
      <c r="D102" t="s">
        <v>3</v>
      </c>
      <c r="E102" t="s">
        <v>23</v>
      </c>
      <c r="F102" t="s">
        <v>23</v>
      </c>
      <c r="G102" t="s">
        <v>23</v>
      </c>
      <c r="H102" t="s">
        <v>3</v>
      </c>
      <c r="I102" t="s">
        <v>23</v>
      </c>
      <c r="J102" t="s">
        <v>23</v>
      </c>
      <c r="K102" t="s">
        <v>3</v>
      </c>
      <c r="L102" t="s">
        <v>3</v>
      </c>
      <c r="M102" t="s">
        <v>3</v>
      </c>
      <c r="N102" t="s">
        <v>3</v>
      </c>
      <c r="O102" t="s">
        <v>23</v>
      </c>
      <c r="P102" t="s">
        <v>3</v>
      </c>
      <c r="Q102" t="s">
        <v>3</v>
      </c>
      <c r="R102" t="s">
        <v>3</v>
      </c>
      <c r="S102" t="s">
        <v>620</v>
      </c>
      <c r="T102" t="s">
        <v>624</v>
      </c>
      <c r="U102" t="s">
        <v>619</v>
      </c>
    </row>
    <row r="103" spans="1:21" x14ac:dyDescent="0.2">
      <c r="A103">
        <v>309</v>
      </c>
      <c r="B103">
        <v>1</v>
      </c>
      <c r="C103" t="s">
        <v>3</v>
      </c>
      <c r="D103" t="s">
        <v>3</v>
      </c>
      <c r="E103" t="s">
        <v>614</v>
      </c>
      <c r="F103" t="s">
        <v>614</v>
      </c>
      <c r="G103" t="s">
        <v>615</v>
      </c>
      <c r="H103" t="s">
        <v>3</v>
      </c>
      <c r="I103" t="s">
        <v>615</v>
      </c>
      <c r="J103" t="s">
        <v>614</v>
      </c>
      <c r="K103" t="s">
        <v>3</v>
      </c>
      <c r="L103" t="s">
        <v>3</v>
      </c>
      <c r="M103" t="s">
        <v>3</v>
      </c>
      <c r="N103" t="s">
        <v>3</v>
      </c>
      <c r="O103" t="s">
        <v>616</v>
      </c>
      <c r="P103" t="s">
        <v>3</v>
      </c>
      <c r="Q103" t="s">
        <v>3</v>
      </c>
      <c r="R103" t="s">
        <v>3</v>
      </c>
      <c r="S103" t="s">
        <v>617</v>
      </c>
      <c r="T103" t="s">
        <v>618</v>
      </c>
      <c r="U103" t="s">
        <v>619</v>
      </c>
    </row>
    <row r="104" spans="1:21" x14ac:dyDescent="0.2">
      <c r="A104">
        <v>309</v>
      </c>
      <c r="B104">
        <v>1</v>
      </c>
      <c r="C104" t="s">
        <v>3</v>
      </c>
      <c r="D104" t="s">
        <v>3</v>
      </c>
      <c r="E104" t="s">
        <v>23</v>
      </c>
      <c r="F104" t="s">
        <v>23</v>
      </c>
      <c r="G104" t="s">
        <v>23</v>
      </c>
      <c r="H104" t="s">
        <v>3</v>
      </c>
      <c r="I104" t="s">
        <v>23</v>
      </c>
      <c r="J104" t="s">
        <v>23</v>
      </c>
      <c r="K104" t="s">
        <v>3</v>
      </c>
      <c r="L104" t="s">
        <v>3</v>
      </c>
      <c r="M104" t="s">
        <v>3</v>
      </c>
      <c r="N104" t="s">
        <v>3</v>
      </c>
      <c r="O104" t="s">
        <v>23</v>
      </c>
      <c r="P104" t="s">
        <v>3</v>
      </c>
      <c r="Q104" t="s">
        <v>3</v>
      </c>
      <c r="R104" t="s">
        <v>3</v>
      </c>
      <c r="S104" t="s">
        <v>620</v>
      </c>
      <c r="T104" t="s">
        <v>624</v>
      </c>
      <c r="U104" t="s">
        <v>619</v>
      </c>
    </row>
    <row r="105" spans="1:21" x14ac:dyDescent="0.2">
      <c r="A105">
        <v>347</v>
      </c>
      <c r="B105">
        <v>1</v>
      </c>
      <c r="C105" t="s">
        <v>3</v>
      </c>
      <c r="D105" t="s">
        <v>3</v>
      </c>
      <c r="E105" t="s">
        <v>614</v>
      </c>
      <c r="F105" t="s">
        <v>614</v>
      </c>
      <c r="G105" t="s">
        <v>615</v>
      </c>
      <c r="H105" t="s">
        <v>3</v>
      </c>
      <c r="I105" t="s">
        <v>615</v>
      </c>
      <c r="J105" t="s">
        <v>614</v>
      </c>
      <c r="K105" t="s">
        <v>3</v>
      </c>
      <c r="L105" t="s">
        <v>3</v>
      </c>
      <c r="M105" t="s">
        <v>3</v>
      </c>
      <c r="N105" t="s">
        <v>3</v>
      </c>
      <c r="O105" t="s">
        <v>616</v>
      </c>
      <c r="P105" t="s">
        <v>3</v>
      </c>
      <c r="Q105" t="s">
        <v>3</v>
      </c>
      <c r="R105" t="s">
        <v>3</v>
      </c>
      <c r="S105" t="s">
        <v>617</v>
      </c>
      <c r="T105" t="s">
        <v>618</v>
      </c>
      <c r="U105" t="s">
        <v>619</v>
      </c>
    </row>
    <row r="106" spans="1:21" x14ac:dyDescent="0.2">
      <c r="A106">
        <v>347</v>
      </c>
      <c r="B106">
        <v>1</v>
      </c>
      <c r="C106" t="s">
        <v>3</v>
      </c>
      <c r="D106" t="s">
        <v>3</v>
      </c>
      <c r="E106" t="s">
        <v>23</v>
      </c>
      <c r="F106" t="s">
        <v>23</v>
      </c>
      <c r="G106" t="s">
        <v>23</v>
      </c>
      <c r="H106" t="s">
        <v>3</v>
      </c>
      <c r="I106" t="s">
        <v>23</v>
      </c>
      <c r="J106" t="s">
        <v>23</v>
      </c>
      <c r="K106" t="s">
        <v>3</v>
      </c>
      <c r="L106" t="s">
        <v>3</v>
      </c>
      <c r="M106" t="s">
        <v>3</v>
      </c>
      <c r="N106" t="s">
        <v>3</v>
      </c>
      <c r="O106" t="s">
        <v>23</v>
      </c>
      <c r="P106" t="s">
        <v>3</v>
      </c>
      <c r="Q106" t="s">
        <v>3</v>
      </c>
      <c r="R106" t="s">
        <v>3</v>
      </c>
      <c r="S106" t="s">
        <v>620</v>
      </c>
      <c r="T106" t="s">
        <v>624</v>
      </c>
      <c r="U106" t="s">
        <v>619</v>
      </c>
    </row>
    <row r="107" spans="1:21" x14ac:dyDescent="0.2">
      <c r="A107">
        <v>348</v>
      </c>
      <c r="B107">
        <v>1</v>
      </c>
      <c r="C107" t="s">
        <v>3</v>
      </c>
      <c r="D107" t="s">
        <v>3</v>
      </c>
      <c r="E107" t="s">
        <v>614</v>
      </c>
      <c r="F107" t="s">
        <v>614</v>
      </c>
      <c r="G107" t="s">
        <v>615</v>
      </c>
      <c r="H107" t="s">
        <v>3</v>
      </c>
      <c r="I107" t="s">
        <v>615</v>
      </c>
      <c r="J107" t="s">
        <v>614</v>
      </c>
      <c r="K107" t="s">
        <v>3</v>
      </c>
      <c r="L107" t="s">
        <v>3</v>
      </c>
      <c r="M107" t="s">
        <v>3</v>
      </c>
      <c r="N107" t="s">
        <v>3</v>
      </c>
      <c r="O107" t="s">
        <v>616</v>
      </c>
      <c r="P107" t="s">
        <v>3</v>
      </c>
      <c r="Q107" t="s">
        <v>3</v>
      </c>
      <c r="R107" t="s">
        <v>3</v>
      </c>
      <c r="S107" t="s">
        <v>617</v>
      </c>
      <c r="T107" t="s">
        <v>618</v>
      </c>
      <c r="U107" t="s">
        <v>619</v>
      </c>
    </row>
    <row r="108" spans="1:21" x14ac:dyDescent="0.2">
      <c r="A108">
        <v>348</v>
      </c>
      <c r="B108">
        <v>1</v>
      </c>
      <c r="C108" t="s">
        <v>3</v>
      </c>
      <c r="D108" t="s">
        <v>3</v>
      </c>
      <c r="E108" t="s">
        <v>23</v>
      </c>
      <c r="F108" t="s">
        <v>23</v>
      </c>
      <c r="G108" t="s">
        <v>23</v>
      </c>
      <c r="H108" t="s">
        <v>3</v>
      </c>
      <c r="I108" t="s">
        <v>23</v>
      </c>
      <c r="J108" t="s">
        <v>23</v>
      </c>
      <c r="K108" t="s">
        <v>3</v>
      </c>
      <c r="L108" t="s">
        <v>3</v>
      </c>
      <c r="M108" t="s">
        <v>3</v>
      </c>
      <c r="N108" t="s">
        <v>3</v>
      </c>
      <c r="O108" t="s">
        <v>23</v>
      </c>
      <c r="P108" t="s">
        <v>3</v>
      </c>
      <c r="Q108" t="s">
        <v>3</v>
      </c>
      <c r="R108" t="s">
        <v>3</v>
      </c>
      <c r="S108" t="s">
        <v>620</v>
      </c>
      <c r="T108" t="s">
        <v>624</v>
      </c>
      <c r="U108" t="s">
        <v>619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/>
      </c>
      <c r="G12" t="str">
        <f>Source!G12</f>
        <v>02-01-06 Отопление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02-01-06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'02-01-06'!Заголовки_для_печати</vt:lpstr>
      <vt:lpstr>'Ведомость объемов работ'!Заголовки_для_печати</vt:lpstr>
      <vt:lpstr>'02-01-06'!Область_печати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cp:lastPrinted>2026-03-23T11:11:15Z</cp:lastPrinted>
  <dcterms:created xsi:type="dcterms:W3CDTF">2026-03-23T11:09:40Z</dcterms:created>
  <dcterms:modified xsi:type="dcterms:W3CDTF">2026-03-23T11:11:20Z</dcterms:modified>
</cp:coreProperties>
</file>