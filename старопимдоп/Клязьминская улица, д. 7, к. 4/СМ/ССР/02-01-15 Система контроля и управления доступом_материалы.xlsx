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_mjp03\smeta\ПРОЕКТНЫЙ ОТДЕЛ\СМЕТЫ 2025 год\ШКОЛЫ\Клязьминская ул., д.7, к. 4\Сметы\"/>
    </mc:Choice>
  </mc:AlternateContent>
  <xr:revisionPtr revIDLastSave="0" documentId="13_ncr:1_{78886F75-4A35-469A-A3CA-02C9151AD62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02-01-15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'02-01-15'!$27:$27</definedName>
    <definedName name="_xlnm.Print_Titles" localSheetId="1">'Ведомость объемов работ'!$17:$17</definedName>
    <definedName name="_xlnm.Print_Area" localSheetId="0">'02-01-15'!$A$1:$K$395</definedName>
    <definedName name="_xlnm.Print_Area" localSheetId="1">'Ведомость объемов работ'!$A$1:$H$90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" i="8" l="1"/>
  <c r="D86" i="8"/>
  <c r="G83" i="8"/>
  <c r="F83" i="8"/>
  <c r="E83" i="8"/>
  <c r="C83" i="8"/>
  <c r="B83" i="8"/>
  <c r="F82" i="8"/>
  <c r="E82" i="8"/>
  <c r="C82" i="8"/>
  <c r="B82" i="8"/>
  <c r="G81" i="8"/>
  <c r="F81" i="8"/>
  <c r="E81" i="8"/>
  <c r="C81" i="8"/>
  <c r="B81" i="8"/>
  <c r="F80" i="8"/>
  <c r="E80" i="8"/>
  <c r="C80" i="8"/>
  <c r="B80" i="8"/>
  <c r="G79" i="8"/>
  <c r="F79" i="8"/>
  <c r="E79" i="8"/>
  <c r="C79" i="8"/>
  <c r="B79" i="8"/>
  <c r="F78" i="8"/>
  <c r="E78" i="8"/>
  <c r="C78" i="8"/>
  <c r="B78" i="8"/>
  <c r="F77" i="8"/>
  <c r="E77" i="8"/>
  <c r="C77" i="8"/>
  <c r="B77" i="8"/>
  <c r="G76" i="8"/>
  <c r="F76" i="8"/>
  <c r="E76" i="8"/>
  <c r="C76" i="8"/>
  <c r="B76" i="8"/>
  <c r="G75" i="8"/>
  <c r="F75" i="8"/>
  <c r="E75" i="8"/>
  <c r="C75" i="8"/>
  <c r="B75" i="8"/>
  <c r="G74" i="8"/>
  <c r="F74" i="8"/>
  <c r="E74" i="8"/>
  <c r="C74" i="8"/>
  <c r="B74" i="8"/>
  <c r="G73" i="8"/>
  <c r="F73" i="8"/>
  <c r="E73" i="8"/>
  <c r="C73" i="8"/>
  <c r="B73" i="8"/>
  <c r="G72" i="8"/>
  <c r="F72" i="8"/>
  <c r="E72" i="8"/>
  <c r="C72" i="8"/>
  <c r="B72" i="8"/>
  <c r="A71" i="8"/>
  <c r="F70" i="8"/>
  <c r="E70" i="8"/>
  <c r="C70" i="8"/>
  <c r="B70" i="8"/>
  <c r="G69" i="8"/>
  <c r="F69" i="8"/>
  <c r="E69" i="8"/>
  <c r="C69" i="8"/>
  <c r="B69" i="8"/>
  <c r="F68" i="8"/>
  <c r="E68" i="8"/>
  <c r="C68" i="8"/>
  <c r="B68" i="8"/>
  <c r="G67" i="8"/>
  <c r="F67" i="8"/>
  <c r="E67" i="8"/>
  <c r="C67" i="8"/>
  <c r="B67" i="8"/>
  <c r="F66" i="8"/>
  <c r="E66" i="8"/>
  <c r="C66" i="8"/>
  <c r="B66" i="8"/>
  <c r="G65" i="8"/>
  <c r="F65" i="8"/>
  <c r="E65" i="8"/>
  <c r="C65" i="8"/>
  <c r="B65" i="8"/>
  <c r="F64" i="8"/>
  <c r="E64" i="8"/>
  <c r="C64" i="8"/>
  <c r="B64" i="8"/>
  <c r="G63" i="8"/>
  <c r="F63" i="8"/>
  <c r="E63" i="8"/>
  <c r="C63" i="8"/>
  <c r="B63" i="8"/>
  <c r="F62" i="8"/>
  <c r="E62" i="8"/>
  <c r="C62" i="8"/>
  <c r="B62" i="8"/>
  <c r="G61" i="8"/>
  <c r="F61" i="8"/>
  <c r="E61" i="8"/>
  <c r="C61" i="8"/>
  <c r="B61" i="8"/>
  <c r="F60" i="8"/>
  <c r="E60" i="8"/>
  <c r="C60" i="8"/>
  <c r="B60" i="8"/>
  <c r="G59" i="8"/>
  <c r="F59" i="8"/>
  <c r="E59" i="8"/>
  <c r="C59" i="8"/>
  <c r="B59" i="8"/>
  <c r="G58" i="8"/>
  <c r="F58" i="8"/>
  <c r="E58" i="8"/>
  <c r="C58" i="8"/>
  <c r="B58" i="8"/>
  <c r="F57" i="8"/>
  <c r="E57" i="8"/>
  <c r="C57" i="8"/>
  <c r="B57" i="8"/>
  <c r="F56" i="8"/>
  <c r="E56" i="8"/>
  <c r="C56" i="8"/>
  <c r="B56" i="8"/>
  <c r="G55" i="8"/>
  <c r="F55" i="8"/>
  <c r="E55" i="8"/>
  <c r="C55" i="8"/>
  <c r="B55" i="8"/>
  <c r="F54" i="8"/>
  <c r="E54" i="8"/>
  <c r="C54" i="8"/>
  <c r="B54" i="8"/>
  <c r="F53" i="8"/>
  <c r="E53" i="8"/>
  <c r="C53" i="8"/>
  <c r="B53" i="8"/>
  <c r="G52" i="8"/>
  <c r="F52" i="8"/>
  <c r="E52" i="8"/>
  <c r="C52" i="8"/>
  <c r="B52" i="8"/>
  <c r="A51" i="8"/>
  <c r="G50" i="8"/>
  <c r="F50" i="8"/>
  <c r="E50" i="8"/>
  <c r="C50" i="8"/>
  <c r="B50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G45" i="8"/>
  <c r="F45" i="8"/>
  <c r="E45" i="8"/>
  <c r="C45" i="8"/>
  <c r="B45" i="8"/>
  <c r="G44" i="8"/>
  <c r="F44" i="8"/>
  <c r="E44" i="8"/>
  <c r="C44" i="8"/>
  <c r="B44" i="8"/>
  <c r="F43" i="8"/>
  <c r="E43" i="8"/>
  <c r="C43" i="8"/>
  <c r="B43" i="8"/>
  <c r="G42" i="8"/>
  <c r="F42" i="8"/>
  <c r="E42" i="8"/>
  <c r="C42" i="8"/>
  <c r="B42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A19" i="8"/>
  <c r="A18" i="8"/>
  <c r="AE13" i="8"/>
  <c r="B13" i="8"/>
  <c r="B12" i="8"/>
  <c r="A1" i="8"/>
  <c r="H393" i="7"/>
  <c r="H390" i="7"/>
  <c r="C393" i="7"/>
  <c r="C390" i="7"/>
  <c r="J22" i="7"/>
  <c r="J19" i="7"/>
  <c r="J18" i="7"/>
  <c r="J17" i="7"/>
  <c r="J16" i="7"/>
  <c r="J14" i="7" s="1"/>
  <c r="J15" i="7"/>
  <c r="I22" i="7"/>
  <c r="I20" i="7"/>
  <c r="I19" i="7"/>
  <c r="I18" i="7"/>
  <c r="I17" i="7"/>
  <c r="I16" i="7"/>
  <c r="I14" i="7" s="1"/>
  <c r="I15" i="7"/>
  <c r="I387" i="7"/>
  <c r="J387" i="7"/>
  <c r="I386" i="7"/>
  <c r="J386" i="7"/>
  <c r="AQ385" i="7"/>
  <c r="A385" i="7"/>
  <c r="I383" i="7"/>
  <c r="J383" i="7"/>
  <c r="I382" i="7"/>
  <c r="J382" i="7"/>
  <c r="A381" i="7"/>
  <c r="O378" i="7"/>
  <c r="H378" i="7"/>
  <c r="K377" i="7"/>
  <c r="P378" i="7" s="1"/>
  <c r="J377" i="7"/>
  <c r="I377" i="7"/>
  <c r="H377" i="7"/>
  <c r="G377" i="7"/>
  <c r="F377" i="7"/>
  <c r="V377" i="7"/>
  <c r="T377" i="7"/>
  <c r="R377" i="7"/>
  <c r="U377" i="7"/>
  <c r="S377" i="7"/>
  <c r="Q377" i="7"/>
  <c r="E377" i="7"/>
  <c r="D377" i="7"/>
  <c r="B377" i="7"/>
  <c r="I374" i="7"/>
  <c r="H374" i="7"/>
  <c r="G374" i="7"/>
  <c r="E374" i="7"/>
  <c r="J373" i="7"/>
  <c r="I373" i="7"/>
  <c r="E373" i="7"/>
  <c r="J372" i="7"/>
  <c r="E372" i="7"/>
  <c r="K371" i="7"/>
  <c r="J371" i="7"/>
  <c r="H371" i="7"/>
  <c r="I371" i="7"/>
  <c r="F371" i="7"/>
  <c r="V371" i="7"/>
  <c r="T371" i="7"/>
  <c r="R371" i="7"/>
  <c r="U371" i="7"/>
  <c r="S371" i="7"/>
  <c r="Q371" i="7"/>
  <c r="I372" i="7" s="1"/>
  <c r="E371" i="7"/>
  <c r="D371" i="7"/>
  <c r="B371" i="7"/>
  <c r="K370" i="7"/>
  <c r="J370" i="7"/>
  <c r="I370" i="7"/>
  <c r="H370" i="7"/>
  <c r="G370" i="7"/>
  <c r="F370" i="7"/>
  <c r="K369" i="7"/>
  <c r="J369" i="7"/>
  <c r="I369" i="7"/>
  <c r="H369" i="7"/>
  <c r="G369" i="7"/>
  <c r="F369" i="7"/>
  <c r="K368" i="7"/>
  <c r="J368" i="7"/>
  <c r="I368" i="7"/>
  <c r="H368" i="7"/>
  <c r="G368" i="7"/>
  <c r="F368" i="7"/>
  <c r="K367" i="7"/>
  <c r="J367" i="7"/>
  <c r="I367" i="7"/>
  <c r="O375" i="7" s="1"/>
  <c r="H367" i="7"/>
  <c r="G367" i="7"/>
  <c r="F367" i="7"/>
  <c r="C366" i="7"/>
  <c r="V365" i="7"/>
  <c r="T365" i="7"/>
  <c r="K373" i="7" s="1"/>
  <c r="R365" i="7"/>
  <c r="K372" i="7" s="1"/>
  <c r="U365" i="7"/>
  <c r="S365" i="7"/>
  <c r="Q365" i="7"/>
  <c r="E365" i="7"/>
  <c r="D365" i="7"/>
  <c r="I362" i="7"/>
  <c r="H362" i="7"/>
  <c r="G362" i="7"/>
  <c r="E362" i="7"/>
  <c r="J361" i="7"/>
  <c r="E361" i="7"/>
  <c r="J360" i="7"/>
  <c r="E360" i="7"/>
  <c r="K359" i="7"/>
  <c r="J359" i="7"/>
  <c r="H359" i="7"/>
  <c r="I359" i="7"/>
  <c r="F359" i="7"/>
  <c r="V359" i="7"/>
  <c r="T359" i="7"/>
  <c r="R359" i="7"/>
  <c r="U359" i="7"/>
  <c r="S359" i="7"/>
  <c r="Q359" i="7"/>
  <c r="E359" i="7"/>
  <c r="D359" i="7"/>
  <c r="B359" i="7"/>
  <c r="K358" i="7"/>
  <c r="J358" i="7"/>
  <c r="I358" i="7"/>
  <c r="H358" i="7"/>
  <c r="G358" i="7"/>
  <c r="F358" i="7"/>
  <c r="K357" i="7"/>
  <c r="J357" i="7"/>
  <c r="I357" i="7"/>
  <c r="H357" i="7"/>
  <c r="G357" i="7"/>
  <c r="F357" i="7"/>
  <c r="K356" i="7"/>
  <c r="J356" i="7"/>
  <c r="I356" i="7"/>
  <c r="H356" i="7"/>
  <c r="G356" i="7"/>
  <c r="F356" i="7"/>
  <c r="K355" i="7"/>
  <c r="J355" i="7"/>
  <c r="I355" i="7"/>
  <c r="O363" i="7" s="1"/>
  <c r="H355" i="7"/>
  <c r="G355" i="7"/>
  <c r="F355" i="7"/>
  <c r="C354" i="7"/>
  <c r="V353" i="7"/>
  <c r="T353" i="7"/>
  <c r="K361" i="7" s="1"/>
  <c r="R353" i="7"/>
  <c r="K360" i="7" s="1"/>
  <c r="J363" i="7" s="1"/>
  <c r="U353" i="7"/>
  <c r="S353" i="7"/>
  <c r="I361" i="7" s="1"/>
  <c r="Q353" i="7"/>
  <c r="I360" i="7" s="1"/>
  <c r="E353" i="7"/>
  <c r="D353" i="7"/>
  <c r="I350" i="7"/>
  <c r="H350" i="7"/>
  <c r="G350" i="7"/>
  <c r="E350" i="7"/>
  <c r="J349" i="7"/>
  <c r="E349" i="7"/>
  <c r="J348" i="7"/>
  <c r="E348" i="7"/>
  <c r="K347" i="7"/>
  <c r="J347" i="7"/>
  <c r="H347" i="7"/>
  <c r="I347" i="7"/>
  <c r="F347" i="7"/>
  <c r="V347" i="7"/>
  <c r="T347" i="7"/>
  <c r="R347" i="7"/>
  <c r="U347" i="7"/>
  <c r="S347" i="7"/>
  <c r="Q347" i="7"/>
  <c r="E347" i="7"/>
  <c r="D347" i="7"/>
  <c r="K346" i="7"/>
  <c r="J346" i="7"/>
  <c r="H346" i="7"/>
  <c r="I346" i="7"/>
  <c r="F346" i="7"/>
  <c r="V346" i="7"/>
  <c r="T346" i="7"/>
  <c r="R346" i="7"/>
  <c r="K348" i="7" s="1"/>
  <c r="U346" i="7"/>
  <c r="S346" i="7"/>
  <c r="Q346" i="7"/>
  <c r="E346" i="7"/>
  <c r="D346" i="7"/>
  <c r="K345" i="7"/>
  <c r="J345" i="7"/>
  <c r="I345" i="7"/>
  <c r="H345" i="7"/>
  <c r="G345" i="7"/>
  <c r="F345" i="7"/>
  <c r="K344" i="7"/>
  <c r="J344" i="7"/>
  <c r="I344" i="7"/>
  <c r="H344" i="7"/>
  <c r="G344" i="7"/>
  <c r="F344" i="7"/>
  <c r="K343" i="7"/>
  <c r="J343" i="7"/>
  <c r="I343" i="7"/>
  <c r="H343" i="7"/>
  <c r="G343" i="7"/>
  <c r="F343" i="7"/>
  <c r="K342" i="7"/>
  <c r="J342" i="7"/>
  <c r="I342" i="7"/>
  <c r="H342" i="7"/>
  <c r="G342" i="7"/>
  <c r="F342" i="7"/>
  <c r="C341" i="7"/>
  <c r="V340" i="7"/>
  <c r="T340" i="7"/>
  <c r="K349" i="7" s="1"/>
  <c r="R340" i="7"/>
  <c r="U340" i="7"/>
  <c r="S340" i="7"/>
  <c r="I349" i="7" s="1"/>
  <c r="Q340" i="7"/>
  <c r="I348" i="7" s="1"/>
  <c r="E340" i="7"/>
  <c r="D340" i="7"/>
  <c r="O338" i="7"/>
  <c r="H338" i="7"/>
  <c r="J338" i="7"/>
  <c r="K337" i="7"/>
  <c r="P338" i="7" s="1"/>
  <c r="J337" i="7"/>
  <c r="I337" i="7"/>
  <c r="H337" i="7"/>
  <c r="G337" i="7"/>
  <c r="F337" i="7"/>
  <c r="V337" i="7"/>
  <c r="T337" i="7"/>
  <c r="R337" i="7"/>
  <c r="U337" i="7"/>
  <c r="S337" i="7"/>
  <c r="Q337" i="7"/>
  <c r="E337" i="7"/>
  <c r="D337" i="7"/>
  <c r="B337" i="7"/>
  <c r="I334" i="7"/>
  <c r="H334" i="7"/>
  <c r="G334" i="7"/>
  <c r="E334" i="7"/>
  <c r="J333" i="7"/>
  <c r="I333" i="7"/>
  <c r="E333" i="7"/>
  <c r="J332" i="7"/>
  <c r="E332" i="7"/>
  <c r="K331" i="7"/>
  <c r="J331" i="7"/>
  <c r="I331" i="7"/>
  <c r="H331" i="7"/>
  <c r="G331" i="7"/>
  <c r="F331" i="7"/>
  <c r="K330" i="7"/>
  <c r="J330" i="7"/>
  <c r="I330" i="7"/>
  <c r="H330" i="7"/>
  <c r="G330" i="7"/>
  <c r="F330" i="7"/>
  <c r="K329" i="7"/>
  <c r="J329" i="7"/>
  <c r="I329" i="7"/>
  <c r="H329" i="7"/>
  <c r="G329" i="7"/>
  <c r="F329" i="7"/>
  <c r="K328" i="7"/>
  <c r="J328" i="7"/>
  <c r="I328" i="7"/>
  <c r="O335" i="7" s="1"/>
  <c r="H328" i="7"/>
  <c r="G328" i="7"/>
  <c r="F328" i="7"/>
  <c r="C327" i="7"/>
  <c r="V326" i="7"/>
  <c r="T326" i="7"/>
  <c r="K333" i="7" s="1"/>
  <c r="R326" i="7"/>
  <c r="K332" i="7" s="1"/>
  <c r="U326" i="7"/>
  <c r="S326" i="7"/>
  <c r="Q326" i="7"/>
  <c r="I332" i="7" s="1"/>
  <c r="E326" i="7"/>
  <c r="D326" i="7"/>
  <c r="O324" i="7"/>
  <c r="H324" i="7"/>
  <c r="J324" i="7"/>
  <c r="K323" i="7"/>
  <c r="P324" i="7" s="1"/>
  <c r="J323" i="7"/>
  <c r="I323" i="7"/>
  <c r="H323" i="7"/>
  <c r="G323" i="7"/>
  <c r="F323" i="7"/>
  <c r="V323" i="7"/>
  <c r="T323" i="7"/>
  <c r="R323" i="7"/>
  <c r="U323" i="7"/>
  <c r="S323" i="7"/>
  <c r="Q323" i="7"/>
  <c r="E323" i="7"/>
  <c r="D323" i="7"/>
  <c r="B323" i="7"/>
  <c r="I320" i="7"/>
  <c r="H320" i="7"/>
  <c r="G320" i="7"/>
  <c r="E320" i="7"/>
  <c r="K319" i="7"/>
  <c r="J319" i="7"/>
  <c r="I319" i="7"/>
  <c r="E319" i="7"/>
  <c r="J318" i="7"/>
  <c r="I318" i="7"/>
  <c r="E318" i="7"/>
  <c r="K317" i="7"/>
  <c r="J317" i="7"/>
  <c r="I317" i="7"/>
  <c r="H317" i="7"/>
  <c r="G317" i="7"/>
  <c r="F317" i="7"/>
  <c r="K316" i="7"/>
  <c r="J321" i="7" s="1"/>
  <c r="J316" i="7"/>
  <c r="I316" i="7"/>
  <c r="O321" i="7" s="1"/>
  <c r="H316" i="7"/>
  <c r="G316" i="7"/>
  <c r="F316" i="7"/>
  <c r="V315" i="7"/>
  <c r="T315" i="7"/>
  <c r="R315" i="7"/>
  <c r="K318" i="7" s="1"/>
  <c r="U315" i="7"/>
  <c r="S315" i="7"/>
  <c r="Q315" i="7"/>
  <c r="E315" i="7"/>
  <c r="D315" i="7"/>
  <c r="A314" i="7"/>
  <c r="I312" i="7"/>
  <c r="J312" i="7"/>
  <c r="I311" i="7"/>
  <c r="J311" i="7"/>
  <c r="A310" i="7"/>
  <c r="I306" i="7"/>
  <c r="H306" i="7"/>
  <c r="G306" i="7"/>
  <c r="E306" i="7"/>
  <c r="J305" i="7"/>
  <c r="I305" i="7"/>
  <c r="E305" i="7"/>
  <c r="J304" i="7"/>
  <c r="E304" i="7"/>
  <c r="K303" i="7"/>
  <c r="J303" i="7"/>
  <c r="H303" i="7"/>
  <c r="I303" i="7"/>
  <c r="F303" i="7"/>
  <c r="V303" i="7"/>
  <c r="T303" i="7"/>
  <c r="R303" i="7"/>
  <c r="U303" i="7"/>
  <c r="S303" i="7"/>
  <c r="Q303" i="7"/>
  <c r="I304" i="7" s="1"/>
  <c r="E303" i="7"/>
  <c r="D303" i="7"/>
  <c r="B303" i="7"/>
  <c r="K302" i="7"/>
  <c r="J302" i="7"/>
  <c r="I302" i="7"/>
  <c r="H302" i="7"/>
  <c r="G302" i="7"/>
  <c r="F302" i="7"/>
  <c r="K301" i="7"/>
  <c r="J301" i="7"/>
  <c r="I301" i="7"/>
  <c r="H301" i="7"/>
  <c r="G301" i="7"/>
  <c r="F301" i="7"/>
  <c r="K300" i="7"/>
  <c r="J300" i="7"/>
  <c r="I300" i="7"/>
  <c r="H300" i="7"/>
  <c r="G300" i="7"/>
  <c r="F300" i="7"/>
  <c r="K299" i="7"/>
  <c r="J299" i="7"/>
  <c r="I299" i="7"/>
  <c r="O307" i="7" s="1"/>
  <c r="H299" i="7"/>
  <c r="G299" i="7"/>
  <c r="F299" i="7"/>
  <c r="C298" i="7"/>
  <c r="V297" i="7"/>
  <c r="T297" i="7"/>
  <c r="K305" i="7" s="1"/>
  <c r="R297" i="7"/>
  <c r="K304" i="7" s="1"/>
  <c r="U297" i="7"/>
  <c r="S297" i="7"/>
  <c r="Q297" i="7"/>
  <c r="E297" i="7"/>
  <c r="D297" i="7"/>
  <c r="I294" i="7"/>
  <c r="H294" i="7"/>
  <c r="G294" i="7"/>
  <c r="E294" i="7"/>
  <c r="J293" i="7"/>
  <c r="E293" i="7"/>
  <c r="J292" i="7"/>
  <c r="E292" i="7"/>
  <c r="K291" i="7"/>
  <c r="J291" i="7"/>
  <c r="H291" i="7"/>
  <c r="I291" i="7"/>
  <c r="F291" i="7"/>
  <c r="V291" i="7"/>
  <c r="T291" i="7"/>
  <c r="R291" i="7"/>
  <c r="K292" i="7" s="1"/>
  <c r="U291" i="7"/>
  <c r="S291" i="7"/>
  <c r="Q291" i="7"/>
  <c r="E291" i="7"/>
  <c r="D291" i="7"/>
  <c r="B291" i="7"/>
  <c r="K290" i="7"/>
  <c r="J290" i="7"/>
  <c r="I290" i="7"/>
  <c r="H290" i="7"/>
  <c r="G290" i="7"/>
  <c r="F290" i="7"/>
  <c r="K289" i="7"/>
  <c r="J289" i="7"/>
  <c r="I289" i="7"/>
  <c r="H289" i="7"/>
  <c r="G289" i="7"/>
  <c r="F289" i="7"/>
  <c r="K288" i="7"/>
  <c r="J288" i="7"/>
  <c r="I288" i="7"/>
  <c r="H288" i="7"/>
  <c r="G288" i="7"/>
  <c r="F288" i="7"/>
  <c r="K287" i="7"/>
  <c r="J287" i="7"/>
  <c r="I287" i="7"/>
  <c r="H287" i="7"/>
  <c r="G287" i="7"/>
  <c r="F287" i="7"/>
  <c r="C286" i="7"/>
  <c r="V285" i="7"/>
  <c r="T285" i="7"/>
  <c r="K293" i="7" s="1"/>
  <c r="R285" i="7"/>
  <c r="U285" i="7"/>
  <c r="S285" i="7"/>
  <c r="I293" i="7" s="1"/>
  <c r="Q285" i="7"/>
  <c r="I292" i="7" s="1"/>
  <c r="E285" i="7"/>
  <c r="D285" i="7"/>
  <c r="I282" i="7"/>
  <c r="H282" i="7"/>
  <c r="G282" i="7"/>
  <c r="E282" i="7"/>
  <c r="J281" i="7"/>
  <c r="E281" i="7"/>
  <c r="K280" i="7"/>
  <c r="J280" i="7"/>
  <c r="E280" i="7"/>
  <c r="K279" i="7"/>
  <c r="J279" i="7"/>
  <c r="H279" i="7"/>
  <c r="I279" i="7"/>
  <c r="F279" i="7"/>
  <c r="V279" i="7"/>
  <c r="T279" i="7"/>
  <c r="R279" i="7"/>
  <c r="U279" i="7"/>
  <c r="S279" i="7"/>
  <c r="Q279" i="7"/>
  <c r="E279" i="7"/>
  <c r="D279" i="7"/>
  <c r="B279" i="7"/>
  <c r="K278" i="7"/>
  <c r="J278" i="7"/>
  <c r="I278" i="7"/>
  <c r="H278" i="7"/>
  <c r="G278" i="7"/>
  <c r="F278" i="7"/>
  <c r="K277" i="7"/>
  <c r="J277" i="7"/>
  <c r="I277" i="7"/>
  <c r="H277" i="7"/>
  <c r="G277" i="7"/>
  <c r="F277" i="7"/>
  <c r="K276" i="7"/>
  <c r="J276" i="7"/>
  <c r="I276" i="7"/>
  <c r="H276" i="7"/>
  <c r="G276" i="7"/>
  <c r="F276" i="7"/>
  <c r="K275" i="7"/>
  <c r="J275" i="7"/>
  <c r="I275" i="7"/>
  <c r="H275" i="7"/>
  <c r="G275" i="7"/>
  <c r="F275" i="7"/>
  <c r="C274" i="7"/>
  <c r="V273" i="7"/>
  <c r="T273" i="7"/>
  <c r="K281" i="7" s="1"/>
  <c r="R273" i="7"/>
  <c r="U273" i="7"/>
  <c r="S273" i="7"/>
  <c r="I281" i="7" s="1"/>
  <c r="Q273" i="7"/>
  <c r="I280" i="7" s="1"/>
  <c r="E273" i="7"/>
  <c r="D273" i="7"/>
  <c r="I270" i="7"/>
  <c r="H270" i="7"/>
  <c r="G270" i="7"/>
  <c r="E270" i="7"/>
  <c r="J269" i="7"/>
  <c r="E269" i="7"/>
  <c r="J268" i="7"/>
  <c r="E268" i="7"/>
  <c r="K267" i="7"/>
  <c r="J267" i="7"/>
  <c r="H267" i="7"/>
  <c r="I267" i="7"/>
  <c r="F267" i="7"/>
  <c r="V267" i="7"/>
  <c r="T267" i="7"/>
  <c r="R267" i="7"/>
  <c r="U267" i="7"/>
  <c r="S267" i="7"/>
  <c r="I269" i="7" s="1"/>
  <c r="Q267" i="7"/>
  <c r="I268" i="7" s="1"/>
  <c r="H271" i="7" s="1"/>
  <c r="E267" i="7"/>
  <c r="D267" i="7"/>
  <c r="B267" i="7"/>
  <c r="K266" i="7"/>
  <c r="J266" i="7"/>
  <c r="I266" i="7"/>
  <c r="H266" i="7"/>
  <c r="G266" i="7"/>
  <c r="F266" i="7"/>
  <c r="K265" i="7"/>
  <c r="J265" i="7"/>
  <c r="I265" i="7"/>
  <c r="H265" i="7"/>
  <c r="G265" i="7"/>
  <c r="F265" i="7"/>
  <c r="K264" i="7"/>
  <c r="P271" i="7" s="1"/>
  <c r="J264" i="7"/>
  <c r="I264" i="7"/>
  <c r="H264" i="7"/>
  <c r="G264" i="7"/>
  <c r="F264" i="7"/>
  <c r="K263" i="7"/>
  <c r="J263" i="7"/>
  <c r="I263" i="7"/>
  <c r="O271" i="7" s="1"/>
  <c r="H263" i="7"/>
  <c r="G263" i="7"/>
  <c r="F263" i="7"/>
  <c r="C262" i="7"/>
  <c r="V261" i="7"/>
  <c r="T261" i="7"/>
  <c r="K269" i="7" s="1"/>
  <c r="R261" i="7"/>
  <c r="K268" i="7" s="1"/>
  <c r="U261" i="7"/>
  <c r="S261" i="7"/>
  <c r="Q261" i="7"/>
  <c r="E261" i="7"/>
  <c r="D261" i="7"/>
  <c r="I258" i="7"/>
  <c r="H258" i="7"/>
  <c r="G258" i="7"/>
  <c r="E258" i="7"/>
  <c r="J257" i="7"/>
  <c r="I257" i="7"/>
  <c r="E257" i="7"/>
  <c r="J256" i="7"/>
  <c r="E256" i="7"/>
  <c r="K255" i="7"/>
  <c r="J255" i="7"/>
  <c r="H255" i="7"/>
  <c r="I255" i="7"/>
  <c r="F255" i="7"/>
  <c r="V255" i="7"/>
  <c r="T255" i="7"/>
  <c r="R255" i="7"/>
  <c r="U255" i="7"/>
  <c r="S255" i="7"/>
  <c r="Q255" i="7"/>
  <c r="I256" i="7" s="1"/>
  <c r="E255" i="7"/>
  <c r="D255" i="7"/>
  <c r="B255" i="7"/>
  <c r="K254" i="7"/>
  <c r="J254" i="7"/>
  <c r="I254" i="7"/>
  <c r="H254" i="7"/>
  <c r="G254" i="7"/>
  <c r="F254" i="7"/>
  <c r="K253" i="7"/>
  <c r="J253" i="7"/>
  <c r="I253" i="7"/>
  <c r="H253" i="7"/>
  <c r="G253" i="7"/>
  <c r="F253" i="7"/>
  <c r="K252" i="7"/>
  <c r="J259" i="7" s="1"/>
  <c r="J252" i="7"/>
  <c r="I252" i="7"/>
  <c r="H252" i="7"/>
  <c r="G252" i="7"/>
  <c r="F252" i="7"/>
  <c r="K251" i="7"/>
  <c r="J251" i="7"/>
  <c r="I251" i="7"/>
  <c r="O259" i="7" s="1"/>
  <c r="H251" i="7"/>
  <c r="G251" i="7"/>
  <c r="F251" i="7"/>
  <c r="C250" i="7"/>
  <c r="V249" i="7"/>
  <c r="T249" i="7"/>
  <c r="K257" i="7" s="1"/>
  <c r="R249" i="7"/>
  <c r="K256" i="7" s="1"/>
  <c r="U249" i="7"/>
  <c r="S249" i="7"/>
  <c r="Q249" i="7"/>
  <c r="E249" i="7"/>
  <c r="D249" i="7"/>
  <c r="I246" i="7"/>
  <c r="H246" i="7"/>
  <c r="G246" i="7"/>
  <c r="E246" i="7"/>
  <c r="J245" i="7"/>
  <c r="E245" i="7"/>
  <c r="J244" i="7"/>
  <c r="E244" i="7"/>
  <c r="K243" i="7"/>
  <c r="J243" i="7"/>
  <c r="H243" i="7"/>
  <c r="I243" i="7"/>
  <c r="F243" i="7"/>
  <c r="V243" i="7"/>
  <c r="T243" i="7"/>
  <c r="R243" i="7"/>
  <c r="K244" i="7" s="1"/>
  <c r="J247" i="7" s="1"/>
  <c r="U243" i="7"/>
  <c r="S243" i="7"/>
  <c r="Q243" i="7"/>
  <c r="E243" i="7"/>
  <c r="D243" i="7"/>
  <c r="B243" i="7"/>
  <c r="K242" i="7"/>
  <c r="J242" i="7"/>
  <c r="I242" i="7"/>
  <c r="H242" i="7"/>
  <c r="G242" i="7"/>
  <c r="F242" i="7"/>
  <c r="K241" i="7"/>
  <c r="J241" i="7"/>
  <c r="I241" i="7"/>
  <c r="H241" i="7"/>
  <c r="G241" i="7"/>
  <c r="F241" i="7"/>
  <c r="K240" i="7"/>
  <c r="J240" i="7"/>
  <c r="I240" i="7"/>
  <c r="H240" i="7"/>
  <c r="G240" i="7"/>
  <c r="F240" i="7"/>
  <c r="K239" i="7"/>
  <c r="J239" i="7"/>
  <c r="I239" i="7"/>
  <c r="H239" i="7"/>
  <c r="G239" i="7"/>
  <c r="F239" i="7"/>
  <c r="C238" i="7"/>
  <c r="V237" i="7"/>
  <c r="T237" i="7"/>
  <c r="K245" i="7" s="1"/>
  <c r="R237" i="7"/>
  <c r="U237" i="7"/>
  <c r="S237" i="7"/>
  <c r="I245" i="7" s="1"/>
  <c r="Q237" i="7"/>
  <c r="I244" i="7" s="1"/>
  <c r="E237" i="7"/>
  <c r="D237" i="7"/>
  <c r="O235" i="7"/>
  <c r="H235" i="7"/>
  <c r="K234" i="7"/>
  <c r="P235" i="7" s="1"/>
  <c r="J234" i="7"/>
  <c r="I234" i="7"/>
  <c r="H234" i="7"/>
  <c r="G234" i="7"/>
  <c r="F234" i="7"/>
  <c r="V234" i="7"/>
  <c r="T234" i="7"/>
  <c r="R234" i="7"/>
  <c r="U234" i="7"/>
  <c r="S234" i="7"/>
  <c r="Q234" i="7"/>
  <c r="E234" i="7"/>
  <c r="D234" i="7"/>
  <c r="I231" i="7"/>
  <c r="H231" i="7"/>
  <c r="G231" i="7"/>
  <c r="E231" i="7"/>
  <c r="J230" i="7"/>
  <c r="E230" i="7"/>
  <c r="J229" i="7"/>
  <c r="E229" i="7"/>
  <c r="K228" i="7"/>
  <c r="J228" i="7"/>
  <c r="H228" i="7"/>
  <c r="I228" i="7"/>
  <c r="F228" i="7"/>
  <c r="V228" i="7"/>
  <c r="T228" i="7"/>
  <c r="R228" i="7"/>
  <c r="U228" i="7"/>
  <c r="S228" i="7"/>
  <c r="Q228" i="7"/>
  <c r="I229" i="7" s="1"/>
  <c r="E228" i="7"/>
  <c r="D228" i="7"/>
  <c r="K227" i="7"/>
  <c r="J227" i="7"/>
  <c r="H227" i="7"/>
  <c r="I227" i="7"/>
  <c r="F227" i="7"/>
  <c r="V227" i="7"/>
  <c r="T227" i="7"/>
  <c r="R227" i="7"/>
  <c r="U227" i="7"/>
  <c r="S227" i="7"/>
  <c r="I230" i="7" s="1"/>
  <c r="Q227" i="7"/>
  <c r="E227" i="7"/>
  <c r="D227" i="7"/>
  <c r="K226" i="7"/>
  <c r="J226" i="7"/>
  <c r="I226" i="7"/>
  <c r="H226" i="7"/>
  <c r="G226" i="7"/>
  <c r="F226" i="7"/>
  <c r="K225" i="7"/>
  <c r="J225" i="7"/>
  <c r="I225" i="7"/>
  <c r="H225" i="7"/>
  <c r="G225" i="7"/>
  <c r="F225" i="7"/>
  <c r="K224" i="7"/>
  <c r="J224" i="7"/>
  <c r="I224" i="7"/>
  <c r="H224" i="7"/>
  <c r="G224" i="7"/>
  <c r="F224" i="7"/>
  <c r="K223" i="7"/>
  <c r="J223" i="7"/>
  <c r="I223" i="7"/>
  <c r="O232" i="7" s="1"/>
  <c r="H223" i="7"/>
  <c r="G223" i="7"/>
  <c r="F223" i="7"/>
  <c r="C222" i="7"/>
  <c r="V221" i="7"/>
  <c r="T221" i="7"/>
  <c r="K230" i="7" s="1"/>
  <c r="R221" i="7"/>
  <c r="K229" i="7" s="1"/>
  <c r="U221" i="7"/>
  <c r="S221" i="7"/>
  <c r="Q221" i="7"/>
  <c r="E221" i="7"/>
  <c r="D221" i="7"/>
  <c r="I218" i="7"/>
  <c r="H218" i="7"/>
  <c r="G218" i="7"/>
  <c r="E218" i="7"/>
  <c r="J217" i="7"/>
  <c r="E217" i="7"/>
  <c r="J216" i="7"/>
  <c r="E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K214" i="7"/>
  <c r="J214" i="7"/>
  <c r="H214" i="7"/>
  <c r="I214" i="7"/>
  <c r="F214" i="7"/>
  <c r="V214" i="7"/>
  <c r="T214" i="7"/>
  <c r="R214" i="7"/>
  <c r="K216" i="7" s="1"/>
  <c r="U214" i="7"/>
  <c r="S214" i="7"/>
  <c r="Q214" i="7"/>
  <c r="E214" i="7"/>
  <c r="D214" i="7"/>
  <c r="K213" i="7"/>
  <c r="J213" i="7"/>
  <c r="I213" i="7"/>
  <c r="H213" i="7"/>
  <c r="G213" i="7"/>
  <c r="F213" i="7"/>
  <c r="K212" i="7"/>
  <c r="J212" i="7"/>
  <c r="I212" i="7"/>
  <c r="H212" i="7"/>
  <c r="G212" i="7"/>
  <c r="F212" i="7"/>
  <c r="K211" i="7"/>
  <c r="J211" i="7"/>
  <c r="I211" i="7"/>
  <c r="H211" i="7"/>
  <c r="G211" i="7"/>
  <c r="F211" i="7"/>
  <c r="K210" i="7"/>
  <c r="J210" i="7"/>
  <c r="I210" i="7"/>
  <c r="H210" i="7"/>
  <c r="G210" i="7"/>
  <c r="F210" i="7"/>
  <c r="C209" i="7"/>
  <c r="V208" i="7"/>
  <c r="T208" i="7"/>
  <c r="K217" i="7" s="1"/>
  <c r="R208" i="7"/>
  <c r="U208" i="7"/>
  <c r="S208" i="7"/>
  <c r="I217" i="7" s="1"/>
  <c r="Q208" i="7"/>
  <c r="I216" i="7" s="1"/>
  <c r="E208" i="7"/>
  <c r="D208" i="7"/>
  <c r="A207" i="7"/>
  <c r="I205" i="7"/>
  <c r="J205" i="7"/>
  <c r="I204" i="7"/>
  <c r="J204" i="7"/>
  <c r="A203" i="7"/>
  <c r="O200" i="7"/>
  <c r="H200" i="7"/>
  <c r="K199" i="7"/>
  <c r="P200" i="7" s="1"/>
  <c r="J199" i="7"/>
  <c r="I199" i="7"/>
  <c r="H199" i="7"/>
  <c r="G199" i="7"/>
  <c r="F199" i="7"/>
  <c r="V199" i="7"/>
  <c r="T199" i="7"/>
  <c r="R199" i="7"/>
  <c r="U199" i="7"/>
  <c r="S199" i="7"/>
  <c r="Q199" i="7"/>
  <c r="E199" i="7"/>
  <c r="D199" i="7"/>
  <c r="B199" i="7"/>
  <c r="H197" i="7"/>
  <c r="P197" i="7"/>
  <c r="K196" i="7"/>
  <c r="J197" i="7" s="1"/>
  <c r="J196" i="7"/>
  <c r="I196" i="7"/>
  <c r="O197" i="7" s="1"/>
  <c r="H196" i="7"/>
  <c r="G196" i="7"/>
  <c r="F196" i="7"/>
  <c r="V196" i="7"/>
  <c r="T196" i="7"/>
  <c r="R196" i="7"/>
  <c r="U196" i="7"/>
  <c r="S196" i="7"/>
  <c r="Q196" i="7"/>
  <c r="E196" i="7"/>
  <c r="D196" i="7"/>
  <c r="B196" i="7"/>
  <c r="I193" i="7"/>
  <c r="H193" i="7"/>
  <c r="G193" i="7"/>
  <c r="E193" i="7"/>
  <c r="J192" i="7"/>
  <c r="I192" i="7"/>
  <c r="E192" i="7"/>
  <c r="J191" i="7"/>
  <c r="I191" i="7"/>
  <c r="E191" i="7"/>
  <c r="K190" i="7"/>
  <c r="J190" i="7"/>
  <c r="I190" i="7"/>
  <c r="H190" i="7"/>
  <c r="G190" i="7"/>
  <c r="F190" i="7"/>
  <c r="K189" i="7"/>
  <c r="J189" i="7"/>
  <c r="I189" i="7"/>
  <c r="H189" i="7"/>
  <c r="G189" i="7"/>
  <c r="F189" i="7"/>
  <c r="K188" i="7"/>
  <c r="J188" i="7"/>
  <c r="I188" i="7"/>
  <c r="H188" i="7"/>
  <c r="G188" i="7"/>
  <c r="F188" i="7"/>
  <c r="K187" i="7"/>
  <c r="J187" i="7"/>
  <c r="I187" i="7"/>
  <c r="O194" i="7" s="1"/>
  <c r="H187" i="7"/>
  <c r="G187" i="7"/>
  <c r="F187" i="7"/>
  <c r="V186" i="7"/>
  <c r="T186" i="7"/>
  <c r="K192" i="7" s="1"/>
  <c r="R186" i="7"/>
  <c r="K191" i="7" s="1"/>
  <c r="U186" i="7"/>
  <c r="S186" i="7"/>
  <c r="Q186" i="7"/>
  <c r="E186" i="7"/>
  <c r="D186" i="7"/>
  <c r="P184" i="7"/>
  <c r="J184" i="7"/>
  <c r="K183" i="7"/>
  <c r="J183" i="7"/>
  <c r="I183" i="7"/>
  <c r="O184" i="7" s="1"/>
  <c r="H183" i="7"/>
  <c r="G183" i="7"/>
  <c r="F183" i="7"/>
  <c r="V183" i="7"/>
  <c r="T183" i="7"/>
  <c r="R183" i="7"/>
  <c r="U183" i="7"/>
  <c r="S183" i="7"/>
  <c r="Q183" i="7"/>
  <c r="E183" i="7"/>
  <c r="D183" i="7"/>
  <c r="B183" i="7"/>
  <c r="J181" i="7"/>
  <c r="I180" i="7"/>
  <c r="H180" i="7"/>
  <c r="G180" i="7"/>
  <c r="E180" i="7"/>
  <c r="K179" i="7"/>
  <c r="J179" i="7"/>
  <c r="E179" i="7"/>
  <c r="K178" i="7"/>
  <c r="J178" i="7"/>
  <c r="E178" i="7"/>
  <c r="K177" i="7"/>
  <c r="J177" i="7"/>
  <c r="I177" i="7"/>
  <c r="H177" i="7"/>
  <c r="G177" i="7"/>
  <c r="F177" i="7"/>
  <c r="K176" i="7"/>
  <c r="P181" i="7" s="1"/>
  <c r="J176" i="7"/>
  <c r="I176" i="7"/>
  <c r="H176" i="7"/>
  <c r="G176" i="7"/>
  <c r="F176" i="7"/>
  <c r="V175" i="7"/>
  <c r="T175" i="7"/>
  <c r="R175" i="7"/>
  <c r="U175" i="7"/>
  <c r="S175" i="7"/>
  <c r="I179" i="7" s="1"/>
  <c r="Q175" i="7"/>
  <c r="I178" i="7" s="1"/>
  <c r="E175" i="7"/>
  <c r="D175" i="7"/>
  <c r="O173" i="7"/>
  <c r="J173" i="7"/>
  <c r="K172" i="7"/>
  <c r="P173" i="7" s="1"/>
  <c r="J172" i="7"/>
  <c r="I172" i="7"/>
  <c r="H173" i="7" s="1"/>
  <c r="H172" i="7"/>
  <c r="G172" i="7"/>
  <c r="F172" i="7"/>
  <c r="V172" i="7"/>
  <c r="T172" i="7"/>
  <c r="R172" i="7"/>
  <c r="U172" i="7"/>
  <c r="S172" i="7"/>
  <c r="Q172" i="7"/>
  <c r="E172" i="7"/>
  <c r="D172" i="7"/>
  <c r="B172" i="7"/>
  <c r="I169" i="7"/>
  <c r="H169" i="7"/>
  <c r="G169" i="7"/>
  <c r="E169" i="7"/>
  <c r="K168" i="7"/>
  <c r="J168" i="7"/>
  <c r="E168" i="7"/>
  <c r="J167" i="7"/>
  <c r="E167" i="7"/>
  <c r="K166" i="7"/>
  <c r="J166" i="7"/>
  <c r="I166" i="7"/>
  <c r="H166" i="7"/>
  <c r="G166" i="7"/>
  <c r="F166" i="7"/>
  <c r="K165" i="7"/>
  <c r="J165" i="7"/>
  <c r="I165" i="7"/>
  <c r="H165" i="7"/>
  <c r="G165" i="7"/>
  <c r="F165" i="7"/>
  <c r="K164" i="7"/>
  <c r="J164" i="7"/>
  <c r="I164" i="7"/>
  <c r="H164" i="7"/>
  <c r="G164" i="7"/>
  <c r="F164" i="7"/>
  <c r="V163" i="7"/>
  <c r="T163" i="7"/>
  <c r="R163" i="7"/>
  <c r="K167" i="7" s="1"/>
  <c r="U163" i="7"/>
  <c r="S163" i="7"/>
  <c r="I168" i="7" s="1"/>
  <c r="Q163" i="7"/>
  <c r="I167" i="7" s="1"/>
  <c r="E163" i="7"/>
  <c r="D163" i="7"/>
  <c r="I160" i="7"/>
  <c r="H160" i="7"/>
  <c r="G160" i="7"/>
  <c r="E160" i="7"/>
  <c r="J159" i="7"/>
  <c r="I159" i="7"/>
  <c r="E159" i="7"/>
  <c r="J158" i="7"/>
  <c r="E158" i="7"/>
  <c r="K157" i="7"/>
  <c r="J157" i="7"/>
  <c r="H157" i="7"/>
  <c r="I157" i="7"/>
  <c r="F157" i="7"/>
  <c r="V157" i="7"/>
  <c r="T157" i="7"/>
  <c r="R157" i="7"/>
  <c r="U157" i="7"/>
  <c r="S157" i="7"/>
  <c r="Q157" i="7"/>
  <c r="I158" i="7" s="1"/>
  <c r="E157" i="7"/>
  <c r="D157" i="7"/>
  <c r="B157" i="7"/>
  <c r="K156" i="7"/>
  <c r="J156" i="7"/>
  <c r="I156" i="7"/>
  <c r="H156" i="7"/>
  <c r="G156" i="7"/>
  <c r="F156" i="7"/>
  <c r="V155" i="7"/>
  <c r="T155" i="7"/>
  <c r="R155" i="7"/>
  <c r="K158" i="7" s="1"/>
  <c r="U155" i="7"/>
  <c r="S155" i="7"/>
  <c r="Q155" i="7"/>
  <c r="E155" i="7"/>
  <c r="D155" i="7"/>
  <c r="I152" i="7"/>
  <c r="H152" i="7"/>
  <c r="G152" i="7"/>
  <c r="E152" i="7"/>
  <c r="J151" i="7"/>
  <c r="I151" i="7"/>
  <c r="E151" i="7"/>
  <c r="J150" i="7"/>
  <c r="E150" i="7"/>
  <c r="K149" i="7"/>
  <c r="J149" i="7"/>
  <c r="H149" i="7"/>
  <c r="I149" i="7"/>
  <c r="F149" i="7"/>
  <c r="V149" i="7"/>
  <c r="T149" i="7"/>
  <c r="R149" i="7"/>
  <c r="U149" i="7"/>
  <c r="S149" i="7"/>
  <c r="Q149" i="7"/>
  <c r="I150" i="7" s="1"/>
  <c r="E149" i="7"/>
  <c r="D149" i="7"/>
  <c r="B149" i="7"/>
  <c r="K148" i="7"/>
  <c r="J148" i="7"/>
  <c r="I148" i="7"/>
  <c r="H148" i="7"/>
  <c r="G148" i="7"/>
  <c r="F148" i="7"/>
  <c r="K147" i="7"/>
  <c r="J147" i="7"/>
  <c r="I147" i="7"/>
  <c r="H147" i="7"/>
  <c r="G147" i="7"/>
  <c r="F147" i="7"/>
  <c r="K146" i="7"/>
  <c r="J146" i="7"/>
  <c r="I146" i="7"/>
  <c r="H146" i="7"/>
  <c r="G146" i="7"/>
  <c r="F146" i="7"/>
  <c r="V145" i="7"/>
  <c r="T145" i="7"/>
  <c r="R145" i="7"/>
  <c r="K150" i="7" s="1"/>
  <c r="U145" i="7"/>
  <c r="S145" i="7"/>
  <c r="Q145" i="7"/>
  <c r="E145" i="7"/>
  <c r="D145" i="7"/>
  <c r="P143" i="7"/>
  <c r="J143" i="7"/>
  <c r="K142" i="7"/>
  <c r="J142" i="7"/>
  <c r="I142" i="7"/>
  <c r="H142" i="7"/>
  <c r="G142" i="7"/>
  <c r="F142" i="7"/>
  <c r="V142" i="7"/>
  <c r="T142" i="7"/>
  <c r="R142" i="7"/>
  <c r="U142" i="7"/>
  <c r="S142" i="7"/>
  <c r="Q142" i="7"/>
  <c r="E142" i="7"/>
  <c r="D142" i="7"/>
  <c r="B142" i="7"/>
  <c r="O140" i="7"/>
  <c r="H140" i="7"/>
  <c r="J140" i="7"/>
  <c r="K139" i="7"/>
  <c r="P140" i="7" s="1"/>
  <c r="J139" i="7"/>
  <c r="I139" i="7"/>
  <c r="H139" i="7"/>
  <c r="G139" i="7"/>
  <c r="F139" i="7"/>
  <c r="V139" i="7"/>
  <c r="T139" i="7"/>
  <c r="R139" i="7"/>
  <c r="U139" i="7"/>
  <c r="S139" i="7"/>
  <c r="Q139" i="7"/>
  <c r="E139" i="7"/>
  <c r="D139" i="7"/>
  <c r="B139" i="7"/>
  <c r="I136" i="7"/>
  <c r="H136" i="7"/>
  <c r="G136" i="7"/>
  <c r="E136" i="7"/>
  <c r="K135" i="7"/>
  <c r="J135" i="7"/>
  <c r="E135" i="7"/>
  <c r="K134" i="7"/>
  <c r="J134" i="7"/>
  <c r="E134" i="7"/>
  <c r="K133" i="7"/>
  <c r="J133" i="7"/>
  <c r="I133" i="7"/>
  <c r="H133" i="7"/>
  <c r="G133" i="7"/>
  <c r="F133" i="7"/>
  <c r="K132" i="7"/>
  <c r="J132" i="7"/>
  <c r="I132" i="7"/>
  <c r="H132" i="7"/>
  <c r="G132" i="7"/>
  <c r="F132" i="7"/>
  <c r="V131" i="7"/>
  <c r="T131" i="7"/>
  <c r="R131" i="7"/>
  <c r="U131" i="7"/>
  <c r="S131" i="7"/>
  <c r="I135" i="7" s="1"/>
  <c r="Q131" i="7"/>
  <c r="I134" i="7" s="1"/>
  <c r="O137" i="7" s="1"/>
  <c r="E131" i="7"/>
  <c r="D131" i="7"/>
  <c r="O129" i="7"/>
  <c r="H129" i="7"/>
  <c r="K128" i="7"/>
  <c r="J128" i="7"/>
  <c r="I128" i="7"/>
  <c r="H128" i="7"/>
  <c r="G128" i="7"/>
  <c r="F128" i="7"/>
  <c r="V128" i="7"/>
  <c r="T128" i="7"/>
  <c r="R128" i="7"/>
  <c r="U128" i="7"/>
  <c r="S128" i="7"/>
  <c r="Q128" i="7"/>
  <c r="E128" i="7"/>
  <c r="D128" i="7"/>
  <c r="B128" i="7"/>
  <c r="I125" i="7"/>
  <c r="H125" i="7"/>
  <c r="G125" i="7"/>
  <c r="E125" i="7"/>
  <c r="J124" i="7"/>
  <c r="E124" i="7"/>
  <c r="J123" i="7"/>
  <c r="E123" i="7"/>
  <c r="K122" i="7"/>
  <c r="J122" i="7"/>
  <c r="I122" i="7"/>
  <c r="H122" i="7"/>
  <c r="G122" i="7"/>
  <c r="F122" i="7"/>
  <c r="V121" i="7"/>
  <c r="T121" i="7"/>
  <c r="K124" i="7" s="1"/>
  <c r="R121" i="7"/>
  <c r="K123" i="7" s="1"/>
  <c r="U121" i="7"/>
  <c r="S121" i="7"/>
  <c r="I124" i="7" s="1"/>
  <c r="Q121" i="7"/>
  <c r="I123" i="7" s="1"/>
  <c r="H126" i="7" s="1"/>
  <c r="E121" i="7"/>
  <c r="D121" i="7"/>
  <c r="I118" i="7"/>
  <c r="H118" i="7"/>
  <c r="G118" i="7"/>
  <c r="E118" i="7"/>
  <c r="J117" i="7"/>
  <c r="E117" i="7"/>
  <c r="J116" i="7"/>
  <c r="E116" i="7"/>
  <c r="K115" i="7"/>
  <c r="J115" i="7"/>
  <c r="H115" i="7"/>
  <c r="I115" i="7"/>
  <c r="F115" i="7"/>
  <c r="V115" i="7"/>
  <c r="T115" i="7"/>
  <c r="R115" i="7"/>
  <c r="U115" i="7"/>
  <c r="S115" i="7"/>
  <c r="Q115" i="7"/>
  <c r="E115" i="7"/>
  <c r="D115" i="7"/>
  <c r="B115" i="7"/>
  <c r="K114" i="7"/>
  <c r="J114" i="7"/>
  <c r="I114" i="7"/>
  <c r="H114" i="7"/>
  <c r="G114" i="7"/>
  <c r="F114" i="7"/>
  <c r="K113" i="7"/>
  <c r="J113" i="7"/>
  <c r="I113" i="7"/>
  <c r="H113" i="7"/>
  <c r="G113" i="7"/>
  <c r="F113" i="7"/>
  <c r="V112" i="7"/>
  <c r="T112" i="7"/>
  <c r="K117" i="7" s="1"/>
  <c r="R112" i="7"/>
  <c r="K116" i="7" s="1"/>
  <c r="J119" i="7" s="1"/>
  <c r="U112" i="7"/>
  <c r="S112" i="7"/>
  <c r="I117" i="7" s="1"/>
  <c r="Q112" i="7"/>
  <c r="I116" i="7" s="1"/>
  <c r="E112" i="7"/>
  <c r="D112" i="7"/>
  <c r="H110" i="7"/>
  <c r="P110" i="7"/>
  <c r="J110" i="7"/>
  <c r="K109" i="7"/>
  <c r="J109" i="7"/>
  <c r="I109" i="7"/>
  <c r="O110" i="7" s="1"/>
  <c r="H109" i="7"/>
  <c r="G109" i="7"/>
  <c r="F109" i="7"/>
  <c r="V109" i="7"/>
  <c r="T109" i="7"/>
  <c r="R109" i="7"/>
  <c r="U109" i="7"/>
  <c r="S109" i="7"/>
  <c r="Q109" i="7"/>
  <c r="E109" i="7"/>
  <c r="D109" i="7"/>
  <c r="B109" i="7"/>
  <c r="P107" i="7"/>
  <c r="I106" i="7"/>
  <c r="H106" i="7"/>
  <c r="G106" i="7"/>
  <c r="E106" i="7"/>
  <c r="J105" i="7"/>
  <c r="I105" i="7"/>
  <c r="E105" i="7"/>
  <c r="J104" i="7"/>
  <c r="E104" i="7"/>
  <c r="K103" i="7"/>
  <c r="J103" i="7"/>
  <c r="I103" i="7"/>
  <c r="H103" i="7"/>
  <c r="G103" i="7"/>
  <c r="F103" i="7"/>
  <c r="K102" i="7"/>
  <c r="J102" i="7"/>
  <c r="I102" i="7"/>
  <c r="H102" i="7"/>
  <c r="G102" i="7"/>
  <c r="F102" i="7"/>
  <c r="K101" i="7"/>
  <c r="J101" i="7"/>
  <c r="I101" i="7"/>
  <c r="H101" i="7"/>
  <c r="G101" i="7"/>
  <c r="F101" i="7"/>
  <c r="K100" i="7"/>
  <c r="J100" i="7"/>
  <c r="I100" i="7"/>
  <c r="H100" i="7"/>
  <c r="G100" i="7"/>
  <c r="F100" i="7"/>
  <c r="C99" i="7"/>
  <c r="V98" i="7"/>
  <c r="T98" i="7"/>
  <c r="K105" i="7" s="1"/>
  <c r="R98" i="7"/>
  <c r="K104" i="7" s="1"/>
  <c r="U98" i="7"/>
  <c r="S98" i="7"/>
  <c r="Q98" i="7"/>
  <c r="I104" i="7" s="1"/>
  <c r="E98" i="7"/>
  <c r="D98" i="7"/>
  <c r="H96" i="7"/>
  <c r="J96" i="7"/>
  <c r="K95" i="7"/>
  <c r="P96" i="7" s="1"/>
  <c r="J95" i="7"/>
  <c r="I95" i="7"/>
  <c r="O96" i="7" s="1"/>
  <c r="H95" i="7"/>
  <c r="G95" i="7"/>
  <c r="F95" i="7"/>
  <c r="V95" i="7"/>
  <c r="T95" i="7"/>
  <c r="R95" i="7"/>
  <c r="U95" i="7"/>
  <c r="S95" i="7"/>
  <c r="Q95" i="7"/>
  <c r="E95" i="7"/>
  <c r="D95" i="7"/>
  <c r="B95" i="7"/>
  <c r="P93" i="7"/>
  <c r="K92" i="7"/>
  <c r="J93" i="7" s="1"/>
  <c r="J92" i="7"/>
  <c r="I92" i="7"/>
  <c r="H92" i="7"/>
  <c r="G92" i="7"/>
  <c r="F92" i="7"/>
  <c r="V92" i="7"/>
  <c r="T92" i="7"/>
  <c r="R92" i="7"/>
  <c r="U92" i="7"/>
  <c r="S92" i="7"/>
  <c r="Q92" i="7"/>
  <c r="E92" i="7"/>
  <c r="D92" i="7"/>
  <c r="B92" i="7"/>
  <c r="I89" i="7"/>
  <c r="H89" i="7"/>
  <c r="G89" i="7"/>
  <c r="E89" i="7"/>
  <c r="J88" i="7"/>
  <c r="E88" i="7"/>
  <c r="J87" i="7"/>
  <c r="E87" i="7"/>
  <c r="K86" i="7"/>
  <c r="J86" i="7"/>
  <c r="I86" i="7"/>
  <c r="H86" i="7"/>
  <c r="G86" i="7"/>
  <c r="F86" i="7"/>
  <c r="K85" i="7"/>
  <c r="J85" i="7"/>
  <c r="I85" i="7"/>
  <c r="H85" i="7"/>
  <c r="G85" i="7"/>
  <c r="F85" i="7"/>
  <c r="C84" i="7"/>
  <c r="V83" i="7"/>
  <c r="T83" i="7"/>
  <c r="K88" i="7" s="1"/>
  <c r="R83" i="7"/>
  <c r="K87" i="7" s="1"/>
  <c r="J90" i="7" s="1"/>
  <c r="U83" i="7"/>
  <c r="S83" i="7"/>
  <c r="I88" i="7" s="1"/>
  <c r="Q83" i="7"/>
  <c r="I87" i="7" s="1"/>
  <c r="E83" i="7"/>
  <c r="D83" i="7"/>
  <c r="P81" i="7"/>
  <c r="J81" i="7"/>
  <c r="K80" i="7"/>
  <c r="J80" i="7"/>
  <c r="I80" i="7"/>
  <c r="H80" i="7"/>
  <c r="G80" i="7"/>
  <c r="F80" i="7"/>
  <c r="V80" i="7"/>
  <c r="T80" i="7"/>
  <c r="R80" i="7"/>
  <c r="U80" i="7"/>
  <c r="S80" i="7"/>
  <c r="Q80" i="7"/>
  <c r="E80" i="7"/>
  <c r="D80" i="7"/>
  <c r="B80" i="7"/>
  <c r="J78" i="7"/>
  <c r="I77" i="7"/>
  <c r="H77" i="7"/>
  <c r="G77" i="7"/>
  <c r="E77" i="7"/>
  <c r="J76" i="7"/>
  <c r="E76" i="7"/>
  <c r="J75" i="7"/>
  <c r="E75" i="7"/>
  <c r="K74" i="7"/>
  <c r="J74" i="7"/>
  <c r="I74" i="7"/>
  <c r="H74" i="7"/>
  <c r="G74" i="7"/>
  <c r="F74" i="7"/>
  <c r="K73" i="7"/>
  <c r="J73" i="7"/>
  <c r="I73" i="7"/>
  <c r="H73" i="7"/>
  <c r="G73" i="7"/>
  <c r="F73" i="7"/>
  <c r="K72" i="7"/>
  <c r="J72" i="7"/>
  <c r="I72" i="7"/>
  <c r="H72" i="7"/>
  <c r="G72" i="7"/>
  <c r="F72" i="7"/>
  <c r="K71" i="7"/>
  <c r="J71" i="7"/>
  <c r="I71" i="7"/>
  <c r="H71" i="7"/>
  <c r="G71" i="7"/>
  <c r="F71" i="7"/>
  <c r="V70" i="7"/>
  <c r="T70" i="7"/>
  <c r="K76" i="7" s="1"/>
  <c r="R70" i="7"/>
  <c r="K75" i="7" s="1"/>
  <c r="U70" i="7"/>
  <c r="S70" i="7"/>
  <c r="I76" i="7" s="1"/>
  <c r="Q70" i="7"/>
  <c r="I75" i="7" s="1"/>
  <c r="E70" i="7"/>
  <c r="D70" i="7"/>
  <c r="O68" i="7"/>
  <c r="J68" i="7"/>
  <c r="K67" i="7"/>
  <c r="P68" i="7" s="1"/>
  <c r="J67" i="7"/>
  <c r="I67" i="7"/>
  <c r="H68" i="7" s="1"/>
  <c r="H67" i="7"/>
  <c r="G67" i="7"/>
  <c r="F67" i="7"/>
  <c r="V67" i="7"/>
  <c r="T67" i="7"/>
  <c r="R67" i="7"/>
  <c r="U67" i="7"/>
  <c r="S67" i="7"/>
  <c r="Q67" i="7"/>
  <c r="E67" i="7"/>
  <c r="D67" i="7"/>
  <c r="B67" i="7"/>
  <c r="I64" i="7"/>
  <c r="H64" i="7"/>
  <c r="G64" i="7"/>
  <c r="E64" i="7"/>
  <c r="K63" i="7"/>
  <c r="J63" i="7"/>
  <c r="E63" i="7"/>
  <c r="K62" i="7"/>
  <c r="J62" i="7"/>
  <c r="E62" i="7"/>
  <c r="K61" i="7"/>
  <c r="J61" i="7"/>
  <c r="I61" i="7"/>
  <c r="H61" i="7"/>
  <c r="G61" i="7"/>
  <c r="F61" i="7"/>
  <c r="K60" i="7"/>
  <c r="J60" i="7"/>
  <c r="I60" i="7"/>
  <c r="H60" i="7"/>
  <c r="G60" i="7"/>
  <c r="F60" i="7"/>
  <c r="K59" i="7"/>
  <c r="J59" i="7"/>
  <c r="I59" i="7"/>
  <c r="H59" i="7"/>
  <c r="G59" i="7"/>
  <c r="F59" i="7"/>
  <c r="K58" i="7"/>
  <c r="P65" i="7" s="1"/>
  <c r="J58" i="7"/>
  <c r="I58" i="7"/>
  <c r="O65" i="7" s="1"/>
  <c r="H58" i="7"/>
  <c r="G58" i="7"/>
  <c r="F58" i="7"/>
  <c r="V57" i="7"/>
  <c r="T57" i="7"/>
  <c r="R57" i="7"/>
  <c r="U57" i="7"/>
  <c r="S57" i="7"/>
  <c r="I63" i="7" s="1"/>
  <c r="Q57" i="7"/>
  <c r="I62" i="7" s="1"/>
  <c r="E57" i="7"/>
  <c r="D57" i="7"/>
  <c r="O55" i="7"/>
  <c r="K54" i="7"/>
  <c r="J54" i="7"/>
  <c r="I54" i="7"/>
  <c r="H55" i="7" s="1"/>
  <c r="H54" i="7"/>
  <c r="G54" i="7"/>
  <c r="F54" i="7"/>
  <c r="V54" i="7"/>
  <c r="T54" i="7"/>
  <c r="R54" i="7"/>
  <c r="U54" i="7"/>
  <c r="S54" i="7"/>
  <c r="Q54" i="7"/>
  <c r="E54" i="7"/>
  <c r="D54" i="7"/>
  <c r="B54" i="7"/>
  <c r="I51" i="7"/>
  <c r="H51" i="7"/>
  <c r="G51" i="7"/>
  <c r="E51" i="7"/>
  <c r="J50" i="7"/>
  <c r="E50" i="7"/>
  <c r="J49" i="7"/>
  <c r="E49" i="7"/>
  <c r="K48" i="7"/>
  <c r="J48" i="7"/>
  <c r="I48" i="7"/>
  <c r="H48" i="7"/>
  <c r="G48" i="7"/>
  <c r="F48" i="7"/>
  <c r="K47" i="7"/>
  <c r="J47" i="7"/>
  <c r="I47" i="7"/>
  <c r="H47" i="7"/>
  <c r="G47" i="7"/>
  <c r="F47" i="7"/>
  <c r="K46" i="7"/>
  <c r="J46" i="7"/>
  <c r="I46" i="7"/>
  <c r="H46" i="7"/>
  <c r="G46" i="7"/>
  <c r="F46" i="7"/>
  <c r="K45" i="7"/>
  <c r="J45" i="7"/>
  <c r="I45" i="7"/>
  <c r="H45" i="7"/>
  <c r="G45" i="7"/>
  <c r="F45" i="7"/>
  <c r="V44" i="7"/>
  <c r="T44" i="7"/>
  <c r="K50" i="7" s="1"/>
  <c r="R44" i="7"/>
  <c r="K49" i="7" s="1"/>
  <c r="U44" i="7"/>
  <c r="S44" i="7"/>
  <c r="I50" i="7" s="1"/>
  <c r="Q44" i="7"/>
  <c r="I49" i="7" s="1"/>
  <c r="H52" i="7" s="1"/>
  <c r="E44" i="7"/>
  <c r="D44" i="7"/>
  <c r="H42" i="7"/>
  <c r="J42" i="7"/>
  <c r="K41" i="7"/>
  <c r="P42" i="7" s="1"/>
  <c r="J41" i="7"/>
  <c r="I41" i="7"/>
  <c r="O42" i="7" s="1"/>
  <c r="H41" i="7"/>
  <c r="G41" i="7"/>
  <c r="F41" i="7"/>
  <c r="V41" i="7"/>
  <c r="T41" i="7"/>
  <c r="R41" i="7"/>
  <c r="U41" i="7"/>
  <c r="S41" i="7"/>
  <c r="Q41" i="7"/>
  <c r="E41" i="7"/>
  <c r="D41" i="7"/>
  <c r="B41" i="7"/>
  <c r="I38" i="7"/>
  <c r="H38" i="7"/>
  <c r="G38" i="7"/>
  <c r="E38" i="7"/>
  <c r="J37" i="7"/>
  <c r="I37" i="7"/>
  <c r="E37" i="7"/>
  <c r="J36" i="7"/>
  <c r="E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C31" i="7"/>
  <c r="V30" i="7"/>
  <c r="T30" i="7"/>
  <c r="K37" i="7" s="1"/>
  <c r="R30" i="7"/>
  <c r="K36" i="7" s="1"/>
  <c r="U30" i="7"/>
  <c r="S30" i="7"/>
  <c r="Q30" i="7"/>
  <c r="I36" i="7" s="1"/>
  <c r="E30" i="7"/>
  <c r="D30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A227" i="3"/>
  <c r="DB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B231" i="3" s="1"/>
  <c r="DA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B268" i="3" s="1"/>
  <c r="DA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B285" i="3" s="1"/>
  <c r="DA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R28" i="1"/>
  <c r="AC28" i="1"/>
  <c r="AD28" i="1"/>
  <c r="AB28" i="1" s="1"/>
  <c r="AE28" i="1"/>
  <c r="Q28" i="1" s="1"/>
  <c r="AF28" i="1"/>
  <c r="S28" i="1" s="1"/>
  <c r="AG28" i="1"/>
  <c r="AH28" i="1"/>
  <c r="CV28" i="1" s="1"/>
  <c r="U28" i="1" s="1"/>
  <c r="AI28" i="1"/>
  <c r="AJ28" i="1"/>
  <c r="CX28" i="1" s="1"/>
  <c r="W28" i="1" s="1"/>
  <c r="CQ28" i="1"/>
  <c r="CR28" i="1"/>
  <c r="CS28" i="1"/>
  <c r="CU28" i="1"/>
  <c r="T28" i="1" s="1"/>
  <c r="CW28" i="1"/>
  <c r="V28" i="1" s="1"/>
  <c r="GL28" i="1"/>
  <c r="GN28" i="1"/>
  <c r="GP28" i="1"/>
  <c r="GV28" i="1"/>
  <c r="HC28" i="1" s="1"/>
  <c r="GX28" i="1" s="1"/>
  <c r="C29" i="1"/>
  <c r="D29" i="1"/>
  <c r="I29" i="1"/>
  <c r="K29" i="1"/>
  <c r="AC29" i="1"/>
  <c r="P29" i="1" s="1"/>
  <c r="AE29" i="1"/>
  <c r="AD29" i="1" s="1"/>
  <c r="AF29" i="1"/>
  <c r="AG29" i="1"/>
  <c r="CU29" i="1" s="1"/>
  <c r="T29" i="1" s="1"/>
  <c r="AH29" i="1"/>
  <c r="AI29" i="1"/>
  <c r="CW29" i="1" s="1"/>
  <c r="V29" i="1" s="1"/>
  <c r="AJ29" i="1"/>
  <c r="CR29" i="1"/>
  <c r="CT29" i="1"/>
  <c r="CV29" i="1"/>
  <c r="U29" i="1" s="1"/>
  <c r="CX29" i="1"/>
  <c r="W29" i="1" s="1"/>
  <c r="GL29" i="1"/>
  <c r="GN29" i="1"/>
  <c r="GP29" i="1"/>
  <c r="GV29" i="1"/>
  <c r="HC29" i="1"/>
  <c r="GX29" i="1" s="1"/>
  <c r="I30" i="1"/>
  <c r="K30" i="1"/>
  <c r="P30" i="1"/>
  <c r="FR30" i="1" s="1"/>
  <c r="R30" i="1"/>
  <c r="AC30" i="1"/>
  <c r="AD30" i="1"/>
  <c r="AB30" i="1" s="1"/>
  <c r="AE30" i="1"/>
  <c r="Q30" i="1" s="1"/>
  <c r="AF30" i="1"/>
  <c r="S30" i="1" s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V30" i="1" s="1"/>
  <c r="GL30" i="1"/>
  <c r="GN30" i="1"/>
  <c r="GO30" i="1"/>
  <c r="GP30" i="1"/>
  <c r="GV30" i="1"/>
  <c r="HC30" i="1" s="1"/>
  <c r="GX30" i="1" s="1"/>
  <c r="I31" i="1"/>
  <c r="K31" i="1"/>
  <c r="P31" i="1"/>
  <c r="R31" i="1"/>
  <c r="AC31" i="1"/>
  <c r="AD31" i="1"/>
  <c r="AE31" i="1"/>
  <c r="Q31" i="1" s="1"/>
  <c r="AF31" i="1"/>
  <c r="AB31" i="1" s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U31" i="1"/>
  <c r="T31" i="1" s="1"/>
  <c r="CW31" i="1"/>
  <c r="V31" i="1" s="1"/>
  <c r="FR31" i="1"/>
  <c r="GL31" i="1"/>
  <c r="GN31" i="1"/>
  <c r="GO31" i="1"/>
  <c r="GP31" i="1"/>
  <c r="GV31" i="1"/>
  <c r="HC31" i="1"/>
  <c r="GX31" i="1" s="1"/>
  <c r="C32" i="1"/>
  <c r="D32" i="1"/>
  <c r="I32" i="1"/>
  <c r="K32" i="1"/>
  <c r="P32" i="1"/>
  <c r="R32" i="1"/>
  <c r="AC32" i="1"/>
  <c r="AD32" i="1"/>
  <c r="AE32" i="1"/>
  <c r="Q32" i="1" s="1"/>
  <c r="AF32" i="1"/>
  <c r="AB32" i="1" s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T32" i="1" s="1"/>
  <c r="CW32" i="1"/>
  <c r="V32" i="1" s="1"/>
  <c r="GL32" i="1"/>
  <c r="GN32" i="1"/>
  <c r="GP32" i="1"/>
  <c r="GV32" i="1"/>
  <c r="GX32" i="1"/>
  <c r="HC32" i="1"/>
  <c r="C33" i="1"/>
  <c r="D33" i="1"/>
  <c r="I33" i="1"/>
  <c r="CU10" i="3" s="1"/>
  <c r="K33" i="1"/>
  <c r="S33" i="1"/>
  <c r="AC33" i="1"/>
  <c r="AE33" i="1"/>
  <c r="Q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GL33" i="1"/>
  <c r="GN33" i="1"/>
  <c r="GP33" i="1"/>
  <c r="GV33" i="1"/>
  <c r="HC33" i="1" s="1"/>
  <c r="GX33" i="1" s="1"/>
  <c r="I34" i="1"/>
  <c r="K34" i="1"/>
  <c r="P34" i="1"/>
  <c r="R34" i="1"/>
  <c r="AC34" i="1"/>
  <c r="AD34" i="1"/>
  <c r="AE34" i="1"/>
  <c r="Q34" i="1" s="1"/>
  <c r="AF34" i="1"/>
  <c r="AB34" i="1" s="1"/>
  <c r="AG34" i="1"/>
  <c r="AH34" i="1"/>
  <c r="CV34" i="1" s="1"/>
  <c r="U34" i="1" s="1"/>
  <c r="AI34" i="1"/>
  <c r="AJ34" i="1"/>
  <c r="CX34" i="1" s="1"/>
  <c r="W34" i="1" s="1"/>
  <c r="CQ34" i="1"/>
  <c r="CR34" i="1"/>
  <c r="CS34" i="1"/>
  <c r="CU34" i="1"/>
  <c r="T34" i="1" s="1"/>
  <c r="CW34" i="1"/>
  <c r="V34" i="1" s="1"/>
  <c r="FR34" i="1"/>
  <c r="GL34" i="1"/>
  <c r="GN34" i="1"/>
  <c r="GO34" i="1"/>
  <c r="GP34" i="1"/>
  <c r="GV34" i="1"/>
  <c r="HC34" i="1"/>
  <c r="GX34" i="1" s="1"/>
  <c r="I35" i="1"/>
  <c r="K35" i="1"/>
  <c r="P35" i="1"/>
  <c r="FR35" i="1" s="1"/>
  <c r="R35" i="1"/>
  <c r="AC35" i="1"/>
  <c r="AD35" i="1"/>
  <c r="AB35" i="1" s="1"/>
  <c r="AE35" i="1"/>
  <c r="Q35" i="1" s="1"/>
  <c r="AF35" i="1"/>
  <c r="S35" i="1" s="1"/>
  <c r="AG35" i="1"/>
  <c r="AH35" i="1"/>
  <c r="CV35" i="1" s="1"/>
  <c r="U35" i="1" s="1"/>
  <c r="AI35" i="1"/>
  <c r="AJ35" i="1"/>
  <c r="CX35" i="1" s="1"/>
  <c r="W35" i="1" s="1"/>
  <c r="CQ35" i="1"/>
  <c r="CR35" i="1"/>
  <c r="CS35" i="1"/>
  <c r="CU35" i="1"/>
  <c r="T35" i="1" s="1"/>
  <c r="CW35" i="1"/>
  <c r="V35" i="1" s="1"/>
  <c r="GL35" i="1"/>
  <c r="GN35" i="1"/>
  <c r="GO35" i="1"/>
  <c r="GP35" i="1"/>
  <c r="GV35" i="1"/>
  <c r="HC35" i="1" s="1"/>
  <c r="GX35" i="1" s="1"/>
  <c r="C36" i="1"/>
  <c r="D36" i="1"/>
  <c r="I36" i="1"/>
  <c r="CU11" i="3" s="1"/>
  <c r="K36" i="1"/>
  <c r="P36" i="1"/>
  <c r="R36" i="1"/>
  <c r="AC36" i="1"/>
  <c r="AD36" i="1"/>
  <c r="AB36" i="1" s="1"/>
  <c r="AE36" i="1"/>
  <c r="Q36" i="1" s="1"/>
  <c r="AF36" i="1"/>
  <c r="S36" i="1" s="1"/>
  <c r="AG36" i="1"/>
  <c r="AH36" i="1"/>
  <c r="CV36" i="1" s="1"/>
  <c r="U36" i="1" s="1"/>
  <c r="AI36" i="1"/>
  <c r="AJ36" i="1"/>
  <c r="CX36" i="1" s="1"/>
  <c r="W36" i="1" s="1"/>
  <c r="CQ36" i="1"/>
  <c r="CR36" i="1"/>
  <c r="CS36" i="1"/>
  <c r="CU36" i="1"/>
  <c r="T36" i="1" s="1"/>
  <c r="CW36" i="1"/>
  <c r="V36" i="1" s="1"/>
  <c r="GL36" i="1"/>
  <c r="GN36" i="1"/>
  <c r="GP36" i="1"/>
  <c r="GV36" i="1"/>
  <c r="HC36" i="1" s="1"/>
  <c r="GX36" i="1" s="1"/>
  <c r="C37" i="1"/>
  <c r="D37" i="1"/>
  <c r="I37" i="1"/>
  <c r="K37" i="1"/>
  <c r="AC37" i="1"/>
  <c r="P37" i="1" s="1"/>
  <c r="AE37" i="1"/>
  <c r="AD37" i="1" s="1"/>
  <c r="AF37" i="1"/>
  <c r="AG37" i="1"/>
  <c r="CU37" i="1" s="1"/>
  <c r="T37" i="1" s="1"/>
  <c r="AH37" i="1"/>
  <c r="AI37" i="1"/>
  <c r="CW37" i="1" s="1"/>
  <c r="V37" i="1" s="1"/>
  <c r="AJ37" i="1"/>
  <c r="CR37" i="1"/>
  <c r="CT37" i="1"/>
  <c r="CV37" i="1"/>
  <c r="U37" i="1" s="1"/>
  <c r="CX37" i="1"/>
  <c r="W37" i="1" s="1"/>
  <c r="GL37" i="1"/>
  <c r="GN37" i="1"/>
  <c r="GP37" i="1"/>
  <c r="GV37" i="1"/>
  <c r="HC37" i="1"/>
  <c r="GX37" i="1" s="1"/>
  <c r="I38" i="1"/>
  <c r="K38" i="1"/>
  <c r="P38" i="1"/>
  <c r="FR38" i="1" s="1"/>
  <c r="R38" i="1"/>
  <c r="AC38" i="1"/>
  <c r="AD38" i="1"/>
  <c r="AB38" i="1" s="1"/>
  <c r="AE38" i="1"/>
  <c r="Q38" i="1" s="1"/>
  <c r="AF38" i="1"/>
  <c r="S38" i="1" s="1"/>
  <c r="AG38" i="1"/>
  <c r="AH38" i="1"/>
  <c r="CV38" i="1" s="1"/>
  <c r="U38" i="1" s="1"/>
  <c r="AI38" i="1"/>
  <c r="AJ38" i="1"/>
  <c r="CX38" i="1" s="1"/>
  <c r="W38" i="1" s="1"/>
  <c r="CQ38" i="1"/>
  <c r="CR38" i="1"/>
  <c r="CS38" i="1"/>
  <c r="CU38" i="1"/>
  <c r="T38" i="1" s="1"/>
  <c r="CW38" i="1"/>
  <c r="V38" i="1" s="1"/>
  <c r="GL38" i="1"/>
  <c r="GN38" i="1"/>
  <c r="GO38" i="1"/>
  <c r="GP38" i="1"/>
  <c r="GV38" i="1"/>
  <c r="HC38" i="1" s="1"/>
  <c r="GX38" i="1" s="1"/>
  <c r="I39" i="1"/>
  <c r="K39" i="1"/>
  <c r="P39" i="1"/>
  <c r="R39" i="1"/>
  <c r="AC39" i="1"/>
  <c r="AD39" i="1"/>
  <c r="AE39" i="1"/>
  <c r="Q39" i="1" s="1"/>
  <c r="AF39" i="1"/>
  <c r="AB39" i="1" s="1"/>
  <c r="AG39" i="1"/>
  <c r="AH39" i="1"/>
  <c r="CV39" i="1" s="1"/>
  <c r="U39" i="1" s="1"/>
  <c r="AI39" i="1"/>
  <c r="AJ39" i="1"/>
  <c r="CX39" i="1" s="1"/>
  <c r="W39" i="1" s="1"/>
  <c r="CQ39" i="1"/>
  <c r="CR39" i="1"/>
  <c r="CS39" i="1"/>
  <c r="CU39" i="1"/>
  <c r="T39" i="1" s="1"/>
  <c r="CW39" i="1"/>
  <c r="V39" i="1" s="1"/>
  <c r="FR39" i="1"/>
  <c r="GL39" i="1"/>
  <c r="GN39" i="1"/>
  <c r="GO39" i="1"/>
  <c r="GP39" i="1"/>
  <c r="GV39" i="1"/>
  <c r="HC39" i="1"/>
  <c r="GX39" i="1" s="1"/>
  <c r="C40" i="1"/>
  <c r="D40" i="1"/>
  <c r="I40" i="1"/>
  <c r="K40" i="1"/>
  <c r="P40" i="1"/>
  <c r="R40" i="1"/>
  <c r="AC40" i="1"/>
  <c r="AD40" i="1"/>
  <c r="AE40" i="1"/>
  <c r="Q40" i="1" s="1"/>
  <c r="AF40" i="1"/>
  <c r="AB40" i="1" s="1"/>
  <c r="AG40" i="1"/>
  <c r="AH40" i="1"/>
  <c r="CV40" i="1" s="1"/>
  <c r="U40" i="1" s="1"/>
  <c r="AI40" i="1"/>
  <c r="AJ40" i="1"/>
  <c r="CX40" i="1" s="1"/>
  <c r="W40" i="1" s="1"/>
  <c r="CQ40" i="1"/>
  <c r="CR40" i="1"/>
  <c r="CS40" i="1"/>
  <c r="CU40" i="1"/>
  <c r="T40" i="1" s="1"/>
  <c r="CW40" i="1"/>
  <c r="V40" i="1" s="1"/>
  <c r="GL40" i="1"/>
  <c r="GN40" i="1"/>
  <c r="GP40" i="1"/>
  <c r="GV40" i="1"/>
  <c r="GX40" i="1"/>
  <c r="HC40" i="1"/>
  <c r="C41" i="1"/>
  <c r="D41" i="1"/>
  <c r="I41" i="1"/>
  <c r="K41" i="1"/>
  <c r="S41" i="1"/>
  <c r="AC41" i="1"/>
  <c r="AE41" i="1"/>
  <c r="Q41" i="1" s="1"/>
  <c r="AF41" i="1"/>
  <c r="AG41" i="1"/>
  <c r="CU41" i="1" s="1"/>
  <c r="T41" i="1" s="1"/>
  <c r="AH41" i="1"/>
  <c r="AI41" i="1"/>
  <c r="CW41" i="1" s="1"/>
  <c r="V41" i="1" s="1"/>
  <c r="AJ41" i="1"/>
  <c r="CR41" i="1"/>
  <c r="CT41" i="1"/>
  <c r="CV41" i="1"/>
  <c r="U41" i="1" s="1"/>
  <c r="CX41" i="1"/>
  <c r="W41" i="1" s="1"/>
  <c r="GL41" i="1"/>
  <c r="GN41" i="1"/>
  <c r="GP41" i="1"/>
  <c r="GV41" i="1"/>
  <c r="HC41" i="1" s="1"/>
  <c r="GX41" i="1" s="1"/>
  <c r="I42" i="1"/>
  <c r="K42" i="1"/>
  <c r="P42" i="1"/>
  <c r="R42" i="1"/>
  <c r="AC42" i="1"/>
  <c r="AD42" i="1"/>
  <c r="AE42" i="1"/>
  <c r="Q42" i="1" s="1"/>
  <c r="AF42" i="1"/>
  <c r="AB42" i="1" s="1"/>
  <c r="AG42" i="1"/>
  <c r="AH42" i="1"/>
  <c r="CV42" i="1" s="1"/>
  <c r="U42" i="1" s="1"/>
  <c r="AI42" i="1"/>
  <c r="AJ42" i="1"/>
  <c r="CX42" i="1" s="1"/>
  <c r="W42" i="1" s="1"/>
  <c r="CQ42" i="1"/>
  <c r="CR42" i="1"/>
  <c r="CS42" i="1"/>
  <c r="CU42" i="1"/>
  <c r="T42" i="1" s="1"/>
  <c r="CW42" i="1"/>
  <c r="V42" i="1" s="1"/>
  <c r="FR42" i="1"/>
  <c r="GL42" i="1"/>
  <c r="GN42" i="1"/>
  <c r="GO42" i="1"/>
  <c r="GP42" i="1"/>
  <c r="GV42" i="1"/>
  <c r="HC42" i="1"/>
  <c r="GX42" i="1" s="1"/>
  <c r="I43" i="1"/>
  <c r="K43" i="1"/>
  <c r="P43" i="1"/>
  <c r="FR43" i="1" s="1"/>
  <c r="R43" i="1"/>
  <c r="AC43" i="1"/>
  <c r="AD43" i="1"/>
  <c r="AB43" i="1" s="1"/>
  <c r="AE43" i="1"/>
  <c r="Q43" i="1" s="1"/>
  <c r="AF43" i="1"/>
  <c r="S43" i="1" s="1"/>
  <c r="AG43" i="1"/>
  <c r="AH43" i="1"/>
  <c r="CV43" i="1" s="1"/>
  <c r="U43" i="1" s="1"/>
  <c r="AI43" i="1"/>
  <c r="AJ43" i="1"/>
  <c r="CX43" i="1" s="1"/>
  <c r="W43" i="1" s="1"/>
  <c r="CQ43" i="1"/>
  <c r="CR43" i="1"/>
  <c r="CS43" i="1"/>
  <c r="CU43" i="1"/>
  <c r="T43" i="1" s="1"/>
  <c r="CW43" i="1"/>
  <c r="V43" i="1" s="1"/>
  <c r="GL43" i="1"/>
  <c r="GN43" i="1"/>
  <c r="GO43" i="1"/>
  <c r="GP43" i="1"/>
  <c r="GV43" i="1"/>
  <c r="HC43" i="1" s="1"/>
  <c r="GX43" i="1" s="1"/>
  <c r="C44" i="1"/>
  <c r="D44" i="1"/>
  <c r="I44" i="1"/>
  <c r="K44" i="1"/>
  <c r="P44" i="1"/>
  <c r="R44" i="1"/>
  <c r="AC44" i="1"/>
  <c r="AD44" i="1"/>
  <c r="AB44" i="1" s="1"/>
  <c r="AE44" i="1"/>
  <c r="Q44" i="1" s="1"/>
  <c r="AF44" i="1"/>
  <c r="S44" i="1" s="1"/>
  <c r="AG44" i="1"/>
  <c r="AH44" i="1"/>
  <c r="CV44" i="1" s="1"/>
  <c r="U44" i="1" s="1"/>
  <c r="AI44" i="1"/>
  <c r="AJ44" i="1"/>
  <c r="CX44" i="1" s="1"/>
  <c r="W44" i="1" s="1"/>
  <c r="CQ44" i="1"/>
  <c r="CR44" i="1"/>
  <c r="CS44" i="1"/>
  <c r="CU44" i="1"/>
  <c r="T44" i="1" s="1"/>
  <c r="CW44" i="1"/>
  <c r="V44" i="1" s="1"/>
  <c r="GL44" i="1"/>
  <c r="GN44" i="1"/>
  <c r="GP44" i="1"/>
  <c r="GV44" i="1"/>
  <c r="HC44" i="1" s="1"/>
  <c r="GX44" i="1" s="1"/>
  <c r="C45" i="1"/>
  <c r="D45" i="1"/>
  <c r="I45" i="1"/>
  <c r="K45" i="1"/>
  <c r="AC45" i="1"/>
  <c r="P45" i="1" s="1"/>
  <c r="AE45" i="1"/>
  <c r="AD45" i="1" s="1"/>
  <c r="AF45" i="1"/>
  <c r="AG45" i="1"/>
  <c r="CU45" i="1" s="1"/>
  <c r="T45" i="1" s="1"/>
  <c r="AH45" i="1"/>
  <c r="AI45" i="1"/>
  <c r="CW45" i="1" s="1"/>
  <c r="V45" i="1" s="1"/>
  <c r="AJ45" i="1"/>
  <c r="CR45" i="1"/>
  <c r="CT45" i="1"/>
  <c r="CV45" i="1"/>
  <c r="U45" i="1" s="1"/>
  <c r="CX45" i="1"/>
  <c r="W45" i="1" s="1"/>
  <c r="GL45" i="1"/>
  <c r="GN45" i="1"/>
  <c r="GP45" i="1"/>
  <c r="GV45" i="1"/>
  <c r="HC45" i="1"/>
  <c r="GX45" i="1" s="1"/>
  <c r="I46" i="1"/>
  <c r="K46" i="1"/>
  <c r="P46" i="1"/>
  <c r="FR46" i="1" s="1"/>
  <c r="R46" i="1"/>
  <c r="AC46" i="1"/>
  <c r="AD46" i="1"/>
  <c r="AB46" i="1" s="1"/>
  <c r="AE46" i="1"/>
  <c r="Q46" i="1" s="1"/>
  <c r="AF46" i="1"/>
  <c r="S46" i="1" s="1"/>
  <c r="AG46" i="1"/>
  <c r="AH46" i="1"/>
  <c r="CV46" i="1" s="1"/>
  <c r="U46" i="1" s="1"/>
  <c r="AI46" i="1"/>
  <c r="AJ46" i="1"/>
  <c r="CX46" i="1" s="1"/>
  <c r="W46" i="1" s="1"/>
  <c r="CQ46" i="1"/>
  <c r="CR46" i="1"/>
  <c r="CS46" i="1"/>
  <c r="CU46" i="1"/>
  <c r="T46" i="1" s="1"/>
  <c r="CW46" i="1"/>
  <c r="V46" i="1" s="1"/>
  <c r="GL46" i="1"/>
  <c r="GN46" i="1"/>
  <c r="GO46" i="1"/>
  <c r="GP46" i="1"/>
  <c r="GV46" i="1"/>
  <c r="HC46" i="1" s="1"/>
  <c r="GX46" i="1" s="1"/>
  <c r="I47" i="1"/>
  <c r="K47" i="1"/>
  <c r="P47" i="1"/>
  <c r="R47" i="1"/>
  <c r="AC47" i="1"/>
  <c r="AD47" i="1"/>
  <c r="AE47" i="1"/>
  <c r="Q47" i="1" s="1"/>
  <c r="AF47" i="1"/>
  <c r="AG47" i="1"/>
  <c r="AH47" i="1"/>
  <c r="CV47" i="1" s="1"/>
  <c r="U47" i="1" s="1"/>
  <c r="AI47" i="1"/>
  <c r="AJ47" i="1"/>
  <c r="CX47" i="1" s="1"/>
  <c r="W47" i="1" s="1"/>
  <c r="CQ47" i="1"/>
  <c r="CR47" i="1"/>
  <c r="CS47" i="1"/>
  <c r="CU47" i="1"/>
  <c r="T47" i="1" s="1"/>
  <c r="CW47" i="1"/>
  <c r="V47" i="1" s="1"/>
  <c r="FR47" i="1"/>
  <c r="GL47" i="1"/>
  <c r="GN47" i="1"/>
  <c r="GO47" i="1"/>
  <c r="GP47" i="1"/>
  <c r="GV47" i="1"/>
  <c r="HC47" i="1"/>
  <c r="GX47" i="1" s="1"/>
  <c r="I48" i="1"/>
  <c r="K48" i="1"/>
  <c r="P48" i="1"/>
  <c r="R48" i="1"/>
  <c r="T48" i="1"/>
  <c r="AC48" i="1"/>
  <c r="AD48" i="1"/>
  <c r="AB48" i="1" s="1"/>
  <c r="AE48" i="1"/>
  <c r="Q48" i="1" s="1"/>
  <c r="AF48" i="1"/>
  <c r="AG48" i="1"/>
  <c r="AH48" i="1"/>
  <c r="CV48" i="1" s="1"/>
  <c r="U48" i="1" s="1"/>
  <c r="AI48" i="1"/>
  <c r="AJ48" i="1"/>
  <c r="CX48" i="1" s="1"/>
  <c r="W48" i="1" s="1"/>
  <c r="CQ48" i="1"/>
  <c r="CR48" i="1"/>
  <c r="CS48" i="1"/>
  <c r="CU48" i="1"/>
  <c r="CW48" i="1"/>
  <c r="V48" i="1" s="1"/>
  <c r="FR48" i="1"/>
  <c r="GL48" i="1"/>
  <c r="GN48" i="1"/>
  <c r="GO48" i="1"/>
  <c r="GP48" i="1"/>
  <c r="GV48" i="1"/>
  <c r="HC48" i="1"/>
  <c r="GX48" i="1" s="1"/>
  <c r="I49" i="1"/>
  <c r="K49" i="1"/>
  <c r="P49" i="1"/>
  <c r="R49" i="1"/>
  <c r="T49" i="1"/>
  <c r="AC49" i="1"/>
  <c r="AD49" i="1"/>
  <c r="AE49" i="1"/>
  <c r="Q49" i="1" s="1"/>
  <c r="AF49" i="1"/>
  <c r="AG49" i="1"/>
  <c r="AH49" i="1"/>
  <c r="CV49" i="1" s="1"/>
  <c r="U49" i="1" s="1"/>
  <c r="AI49" i="1"/>
  <c r="AJ49" i="1"/>
  <c r="CX49" i="1" s="1"/>
  <c r="W49" i="1" s="1"/>
  <c r="CQ49" i="1"/>
  <c r="CR49" i="1"/>
  <c r="CS49" i="1"/>
  <c r="CU49" i="1"/>
  <c r="CW49" i="1"/>
  <c r="V49" i="1" s="1"/>
  <c r="FR49" i="1"/>
  <c r="GL49" i="1"/>
  <c r="GN49" i="1"/>
  <c r="GO49" i="1"/>
  <c r="GP49" i="1"/>
  <c r="GV49" i="1"/>
  <c r="HC49" i="1" s="1"/>
  <c r="GX49" i="1" s="1"/>
  <c r="C50" i="1"/>
  <c r="D50" i="1"/>
  <c r="I50" i="1"/>
  <c r="K50" i="1"/>
  <c r="P50" i="1"/>
  <c r="R50" i="1"/>
  <c r="T50" i="1"/>
  <c r="AC50" i="1"/>
  <c r="AD50" i="1"/>
  <c r="AE50" i="1"/>
  <c r="Q50" i="1" s="1"/>
  <c r="AF50" i="1"/>
  <c r="AG50" i="1"/>
  <c r="AH50" i="1"/>
  <c r="CV50" i="1" s="1"/>
  <c r="U50" i="1" s="1"/>
  <c r="AI50" i="1"/>
  <c r="AJ50" i="1"/>
  <c r="CX50" i="1" s="1"/>
  <c r="W50" i="1" s="1"/>
  <c r="CQ50" i="1"/>
  <c r="CR50" i="1"/>
  <c r="CS50" i="1"/>
  <c r="CU50" i="1"/>
  <c r="CW50" i="1"/>
  <c r="V50" i="1" s="1"/>
  <c r="GL50" i="1"/>
  <c r="GN50" i="1"/>
  <c r="GP50" i="1"/>
  <c r="GV50" i="1"/>
  <c r="GX50" i="1"/>
  <c r="HC50" i="1"/>
  <c r="C51" i="1"/>
  <c r="D51" i="1"/>
  <c r="I51" i="1"/>
  <c r="Q51" i="1" s="1"/>
  <c r="K51" i="1"/>
  <c r="S51" i="1"/>
  <c r="W51" i="1"/>
  <c r="AC51" i="1"/>
  <c r="AE51" i="1"/>
  <c r="AF51" i="1"/>
  <c r="AG51" i="1"/>
  <c r="CU51" i="1" s="1"/>
  <c r="AH51" i="1"/>
  <c r="AI51" i="1"/>
  <c r="CW51" i="1" s="1"/>
  <c r="V51" i="1" s="1"/>
  <c r="AJ51" i="1"/>
  <c r="CT51" i="1"/>
  <c r="CV51" i="1"/>
  <c r="U51" i="1" s="1"/>
  <c r="CX51" i="1"/>
  <c r="GL51" i="1"/>
  <c r="GN51" i="1"/>
  <c r="GP51" i="1"/>
  <c r="GV51" i="1"/>
  <c r="HC51" i="1" s="1"/>
  <c r="GX51" i="1" s="1"/>
  <c r="I52" i="1"/>
  <c r="K52" i="1"/>
  <c r="P52" i="1"/>
  <c r="R52" i="1"/>
  <c r="T52" i="1"/>
  <c r="V52" i="1"/>
  <c r="AC52" i="1"/>
  <c r="AD52" i="1"/>
  <c r="AB52" i="1" s="1"/>
  <c r="AE52" i="1"/>
  <c r="Q52" i="1" s="1"/>
  <c r="AF52" i="1"/>
  <c r="AG52" i="1"/>
  <c r="AH52" i="1"/>
  <c r="CV52" i="1" s="1"/>
  <c r="U52" i="1" s="1"/>
  <c r="AI52" i="1"/>
  <c r="AJ52" i="1"/>
  <c r="CX52" i="1" s="1"/>
  <c r="W52" i="1" s="1"/>
  <c r="CQ52" i="1"/>
  <c r="CR52" i="1"/>
  <c r="CS52" i="1"/>
  <c r="CU52" i="1"/>
  <c r="CW52" i="1"/>
  <c r="FR52" i="1"/>
  <c r="GL52" i="1"/>
  <c r="GN52" i="1"/>
  <c r="GO52" i="1"/>
  <c r="GP52" i="1"/>
  <c r="GV52" i="1"/>
  <c r="HC52" i="1"/>
  <c r="GX52" i="1" s="1"/>
  <c r="I53" i="1"/>
  <c r="K53" i="1"/>
  <c r="P53" i="1"/>
  <c r="R53" i="1"/>
  <c r="T53" i="1"/>
  <c r="AC53" i="1"/>
  <c r="AD53" i="1"/>
  <c r="AE53" i="1"/>
  <c r="Q53" i="1" s="1"/>
  <c r="AF53" i="1"/>
  <c r="AG53" i="1"/>
  <c r="AH53" i="1"/>
  <c r="CV53" i="1" s="1"/>
  <c r="U53" i="1" s="1"/>
  <c r="AI53" i="1"/>
  <c r="AJ53" i="1"/>
  <c r="CX53" i="1" s="1"/>
  <c r="W53" i="1" s="1"/>
  <c r="CQ53" i="1"/>
  <c r="CR53" i="1"/>
  <c r="CS53" i="1"/>
  <c r="CU53" i="1"/>
  <c r="CW53" i="1"/>
  <c r="V53" i="1" s="1"/>
  <c r="FR53" i="1"/>
  <c r="GL53" i="1"/>
  <c r="GN53" i="1"/>
  <c r="GO53" i="1"/>
  <c r="GP53" i="1"/>
  <c r="GV53" i="1"/>
  <c r="HC53" i="1" s="1"/>
  <c r="GX53" i="1" s="1"/>
  <c r="C54" i="1"/>
  <c r="D54" i="1"/>
  <c r="I54" i="1"/>
  <c r="K54" i="1"/>
  <c r="P54" i="1"/>
  <c r="R54" i="1"/>
  <c r="T54" i="1"/>
  <c r="AC54" i="1"/>
  <c r="AD54" i="1"/>
  <c r="AE54" i="1"/>
  <c r="Q54" i="1" s="1"/>
  <c r="AF54" i="1"/>
  <c r="AG54" i="1"/>
  <c r="AH54" i="1"/>
  <c r="CV54" i="1" s="1"/>
  <c r="U54" i="1" s="1"/>
  <c r="AI54" i="1"/>
  <c r="AJ54" i="1"/>
  <c r="CX54" i="1" s="1"/>
  <c r="W54" i="1" s="1"/>
  <c r="CQ54" i="1"/>
  <c r="CR54" i="1"/>
  <c r="CS54" i="1"/>
  <c r="CU54" i="1"/>
  <c r="CW54" i="1"/>
  <c r="V54" i="1" s="1"/>
  <c r="GL54" i="1"/>
  <c r="GN54" i="1"/>
  <c r="GP54" i="1"/>
  <c r="GV54" i="1"/>
  <c r="HC54" i="1" s="1"/>
  <c r="GX54" i="1"/>
  <c r="C55" i="1"/>
  <c r="D55" i="1"/>
  <c r="I55" i="1"/>
  <c r="K55" i="1"/>
  <c r="S55" i="1"/>
  <c r="U55" i="1"/>
  <c r="AC55" i="1"/>
  <c r="CQ55" i="1" s="1"/>
  <c r="AE55" i="1"/>
  <c r="Q55" i="1" s="1"/>
  <c r="AF55" i="1"/>
  <c r="AG55" i="1"/>
  <c r="AH55" i="1"/>
  <c r="AI55" i="1"/>
  <c r="CW55" i="1" s="1"/>
  <c r="V55" i="1" s="1"/>
  <c r="AJ55" i="1"/>
  <c r="CR55" i="1"/>
  <c r="CT55" i="1"/>
  <c r="CU55" i="1"/>
  <c r="T55" i="1" s="1"/>
  <c r="CV55" i="1"/>
  <c r="CX55" i="1"/>
  <c r="W55" i="1" s="1"/>
  <c r="GL55" i="1"/>
  <c r="GN55" i="1"/>
  <c r="GP55" i="1"/>
  <c r="GV55" i="1"/>
  <c r="HC55" i="1"/>
  <c r="GX55" i="1" s="1"/>
  <c r="I56" i="1"/>
  <c r="Q56" i="1"/>
  <c r="S56" i="1"/>
  <c r="W56" i="1"/>
  <c r="AC56" i="1"/>
  <c r="AD56" i="1"/>
  <c r="AE56" i="1"/>
  <c r="AF56" i="1"/>
  <c r="AG56" i="1"/>
  <c r="AH56" i="1"/>
  <c r="AI56" i="1"/>
  <c r="CW56" i="1" s="1"/>
  <c r="V56" i="1" s="1"/>
  <c r="AJ56" i="1"/>
  <c r="CQ56" i="1"/>
  <c r="CR56" i="1"/>
  <c r="CT56" i="1"/>
  <c r="CU56" i="1"/>
  <c r="T56" i="1" s="1"/>
  <c r="CV56" i="1"/>
  <c r="U56" i="1" s="1"/>
  <c r="CX56" i="1"/>
  <c r="GL56" i="1"/>
  <c r="GN56" i="1"/>
  <c r="GP56" i="1"/>
  <c r="GV56" i="1"/>
  <c r="HC56" i="1"/>
  <c r="GX56" i="1" s="1"/>
  <c r="AC57" i="1"/>
  <c r="AE57" i="1"/>
  <c r="AF57" i="1"/>
  <c r="AG57" i="1"/>
  <c r="AH57" i="1"/>
  <c r="AI57" i="1"/>
  <c r="CW57" i="1" s="1"/>
  <c r="AJ57" i="1"/>
  <c r="CQ57" i="1"/>
  <c r="CR57" i="1"/>
  <c r="CT57" i="1"/>
  <c r="CU57" i="1"/>
  <c r="CV57" i="1"/>
  <c r="CX57" i="1"/>
  <c r="GL57" i="1"/>
  <c r="GN57" i="1"/>
  <c r="GP57" i="1"/>
  <c r="GV57" i="1"/>
  <c r="HC57" i="1" s="1"/>
  <c r="C58" i="1"/>
  <c r="D58" i="1"/>
  <c r="I58" i="1"/>
  <c r="K58" i="1"/>
  <c r="R58" i="1"/>
  <c r="AC58" i="1"/>
  <c r="AD58" i="1"/>
  <c r="AB58" i="1" s="1"/>
  <c r="AE58" i="1"/>
  <c r="AF58" i="1"/>
  <c r="AG58" i="1"/>
  <c r="AH58" i="1"/>
  <c r="CV58" i="1" s="1"/>
  <c r="U58" i="1" s="1"/>
  <c r="AI58" i="1"/>
  <c r="AJ58" i="1"/>
  <c r="CX58" i="1" s="1"/>
  <c r="CQ58" i="1"/>
  <c r="CR58" i="1"/>
  <c r="CS58" i="1"/>
  <c r="CU58" i="1"/>
  <c r="T58" i="1" s="1"/>
  <c r="CW58" i="1"/>
  <c r="V58" i="1" s="1"/>
  <c r="GL58" i="1"/>
  <c r="GN58" i="1"/>
  <c r="GP58" i="1"/>
  <c r="GV58" i="1"/>
  <c r="GX58" i="1"/>
  <c r="HC58" i="1"/>
  <c r="C59" i="1"/>
  <c r="D59" i="1"/>
  <c r="I59" i="1"/>
  <c r="K59" i="1"/>
  <c r="AC59" i="1"/>
  <c r="AE59" i="1"/>
  <c r="AD59" i="1" s="1"/>
  <c r="AF59" i="1"/>
  <c r="S59" i="1" s="1"/>
  <c r="AG59" i="1"/>
  <c r="CU59" i="1" s="1"/>
  <c r="AH59" i="1"/>
  <c r="AI59" i="1"/>
  <c r="CW59" i="1" s="1"/>
  <c r="V59" i="1" s="1"/>
  <c r="AJ59" i="1"/>
  <c r="CS59" i="1"/>
  <c r="CT59" i="1"/>
  <c r="CV59" i="1"/>
  <c r="U59" i="1" s="1"/>
  <c r="CX59" i="1"/>
  <c r="W59" i="1" s="1"/>
  <c r="GL59" i="1"/>
  <c r="GN59" i="1"/>
  <c r="GP59" i="1"/>
  <c r="GV59" i="1"/>
  <c r="HC59" i="1"/>
  <c r="GX59" i="1" s="1"/>
  <c r="R60" i="1"/>
  <c r="S60" i="1"/>
  <c r="CZ60" i="1" s="1"/>
  <c r="Y60" i="1" s="1"/>
  <c r="W60" i="1"/>
  <c r="AC60" i="1"/>
  <c r="P60" i="1" s="1"/>
  <c r="AD60" i="1"/>
  <c r="AE60" i="1"/>
  <c r="Q60" i="1" s="1"/>
  <c r="AF60" i="1"/>
  <c r="AG60" i="1"/>
  <c r="AH60" i="1"/>
  <c r="CV60" i="1" s="1"/>
  <c r="U60" i="1" s="1"/>
  <c r="AI60" i="1"/>
  <c r="AJ60" i="1"/>
  <c r="CQ60" i="1"/>
  <c r="CR60" i="1"/>
  <c r="CS60" i="1"/>
  <c r="CT60" i="1"/>
  <c r="CU60" i="1"/>
  <c r="T60" i="1" s="1"/>
  <c r="CW60" i="1"/>
  <c r="V60" i="1" s="1"/>
  <c r="CX60" i="1"/>
  <c r="GL60" i="1"/>
  <c r="GN60" i="1"/>
  <c r="GO60" i="1"/>
  <c r="GP60" i="1"/>
  <c r="GV60" i="1"/>
  <c r="HC60" i="1"/>
  <c r="GX60" i="1" s="1"/>
  <c r="V61" i="1"/>
  <c r="AC61" i="1"/>
  <c r="AE61" i="1"/>
  <c r="Q61" i="1" s="1"/>
  <c r="AF61" i="1"/>
  <c r="S61" i="1" s="1"/>
  <c r="AG61" i="1"/>
  <c r="CU61" i="1" s="1"/>
  <c r="T61" i="1" s="1"/>
  <c r="AH61" i="1"/>
  <c r="AI61" i="1"/>
  <c r="AJ61" i="1"/>
  <c r="CR61" i="1"/>
  <c r="CS61" i="1"/>
  <c r="CT61" i="1"/>
  <c r="CV61" i="1"/>
  <c r="U61" i="1" s="1"/>
  <c r="CW61" i="1"/>
  <c r="CX61" i="1"/>
  <c r="W61" i="1" s="1"/>
  <c r="GL61" i="1"/>
  <c r="GN61" i="1"/>
  <c r="GO61" i="1"/>
  <c r="GP61" i="1"/>
  <c r="GV61" i="1"/>
  <c r="HC61" i="1"/>
  <c r="GX61" i="1" s="1"/>
  <c r="C62" i="1"/>
  <c r="D62" i="1"/>
  <c r="I62" i="1"/>
  <c r="K62" i="1"/>
  <c r="R62" i="1"/>
  <c r="S62" i="1"/>
  <c r="CZ62" i="1" s="1"/>
  <c r="Y62" i="1" s="1"/>
  <c r="AC62" i="1"/>
  <c r="AE62" i="1"/>
  <c r="Q62" i="1" s="1"/>
  <c r="AF62" i="1"/>
  <c r="AG62" i="1"/>
  <c r="CU62" i="1" s="1"/>
  <c r="T62" i="1" s="1"/>
  <c r="AH62" i="1"/>
  <c r="AI62" i="1"/>
  <c r="AJ62" i="1"/>
  <c r="CR62" i="1"/>
  <c r="CS62" i="1"/>
  <c r="CT62" i="1"/>
  <c r="CV62" i="1"/>
  <c r="U62" i="1" s="1"/>
  <c r="CW62" i="1"/>
  <c r="V62" i="1" s="1"/>
  <c r="CX62" i="1"/>
  <c r="W62" i="1" s="1"/>
  <c r="GL62" i="1"/>
  <c r="GN62" i="1"/>
  <c r="GP62" i="1"/>
  <c r="GV62" i="1"/>
  <c r="HC62" i="1" s="1"/>
  <c r="GX62" i="1" s="1"/>
  <c r="C63" i="1"/>
  <c r="D63" i="1"/>
  <c r="I63" i="1"/>
  <c r="K63" i="1"/>
  <c r="P63" i="1"/>
  <c r="R63" i="1"/>
  <c r="S63" i="1"/>
  <c r="CZ63" i="1" s="1"/>
  <c r="Y63" i="1" s="1"/>
  <c r="AC63" i="1"/>
  <c r="AB63" i="1" s="1"/>
  <c r="AD63" i="1"/>
  <c r="AE63" i="1"/>
  <c r="Q63" i="1" s="1"/>
  <c r="AF63" i="1"/>
  <c r="AG63" i="1"/>
  <c r="AH63" i="1"/>
  <c r="CV63" i="1" s="1"/>
  <c r="U63" i="1" s="1"/>
  <c r="AI63" i="1"/>
  <c r="AJ63" i="1"/>
  <c r="CQ63" i="1"/>
  <c r="CR63" i="1"/>
  <c r="CS63" i="1"/>
  <c r="CT63" i="1"/>
  <c r="CU63" i="1"/>
  <c r="T63" i="1" s="1"/>
  <c r="CW63" i="1"/>
  <c r="V63" i="1" s="1"/>
  <c r="CX63" i="1"/>
  <c r="W63" i="1" s="1"/>
  <c r="CY63" i="1"/>
  <c r="X63" i="1" s="1"/>
  <c r="GL63" i="1"/>
  <c r="GN63" i="1"/>
  <c r="GP63" i="1"/>
  <c r="GV63" i="1"/>
  <c r="HC63" i="1" s="1"/>
  <c r="GX63" i="1" s="1"/>
  <c r="I64" i="1"/>
  <c r="K64" i="1"/>
  <c r="R64" i="1"/>
  <c r="S64" i="1"/>
  <c r="CZ64" i="1" s="1"/>
  <c r="Y64" i="1" s="1"/>
  <c r="AC64" i="1"/>
  <c r="AE64" i="1"/>
  <c r="Q64" i="1" s="1"/>
  <c r="AF64" i="1"/>
  <c r="AG64" i="1"/>
  <c r="CU64" i="1" s="1"/>
  <c r="T64" i="1" s="1"/>
  <c r="AH64" i="1"/>
  <c r="AI64" i="1"/>
  <c r="AJ64" i="1"/>
  <c r="CR64" i="1"/>
  <c r="CS64" i="1"/>
  <c r="CT64" i="1"/>
  <c r="CV64" i="1"/>
  <c r="U64" i="1" s="1"/>
  <c r="CW64" i="1"/>
  <c r="V64" i="1" s="1"/>
  <c r="CX64" i="1"/>
  <c r="W64" i="1" s="1"/>
  <c r="GL64" i="1"/>
  <c r="GN64" i="1"/>
  <c r="GO64" i="1"/>
  <c r="GP64" i="1"/>
  <c r="GV64" i="1"/>
  <c r="HC64" i="1"/>
  <c r="GX64" i="1" s="1"/>
  <c r="I65" i="1"/>
  <c r="S65" i="1" s="1"/>
  <c r="K65" i="1"/>
  <c r="AC65" i="1"/>
  <c r="AE65" i="1"/>
  <c r="AD65" i="1" s="1"/>
  <c r="AF65" i="1"/>
  <c r="AG65" i="1"/>
  <c r="AH65" i="1"/>
  <c r="AI65" i="1"/>
  <c r="CW65" i="1" s="1"/>
  <c r="V65" i="1" s="1"/>
  <c r="AJ65" i="1"/>
  <c r="CQ65" i="1"/>
  <c r="CR65" i="1"/>
  <c r="CT65" i="1"/>
  <c r="CU65" i="1"/>
  <c r="T65" i="1" s="1"/>
  <c r="CV65" i="1"/>
  <c r="U65" i="1" s="1"/>
  <c r="CX65" i="1"/>
  <c r="W65" i="1" s="1"/>
  <c r="GL65" i="1"/>
  <c r="GN65" i="1"/>
  <c r="GO65" i="1"/>
  <c r="GP65" i="1"/>
  <c r="GV65" i="1"/>
  <c r="HC65" i="1" s="1"/>
  <c r="GX65" i="1" s="1"/>
  <c r="I66" i="1"/>
  <c r="K66" i="1"/>
  <c r="R66" i="1"/>
  <c r="S66" i="1"/>
  <c r="CZ66" i="1" s="1"/>
  <c r="Y66" i="1" s="1"/>
  <c r="AC66" i="1"/>
  <c r="AE66" i="1"/>
  <c r="Q66" i="1" s="1"/>
  <c r="AF66" i="1"/>
  <c r="AG66" i="1"/>
  <c r="CU66" i="1" s="1"/>
  <c r="T66" i="1" s="1"/>
  <c r="AH66" i="1"/>
  <c r="AI66" i="1"/>
  <c r="AJ66" i="1"/>
  <c r="CR66" i="1"/>
  <c r="CS66" i="1"/>
  <c r="CT66" i="1"/>
  <c r="CV66" i="1"/>
  <c r="U66" i="1" s="1"/>
  <c r="CW66" i="1"/>
  <c r="V66" i="1" s="1"/>
  <c r="CX66" i="1"/>
  <c r="W66" i="1" s="1"/>
  <c r="GL66" i="1"/>
  <c r="GN66" i="1"/>
  <c r="GO66" i="1"/>
  <c r="GP66" i="1"/>
  <c r="GV66" i="1"/>
  <c r="HC66" i="1"/>
  <c r="GX66" i="1" s="1"/>
  <c r="I67" i="1"/>
  <c r="S67" i="1" s="1"/>
  <c r="K67" i="1"/>
  <c r="AC67" i="1"/>
  <c r="AB67" i="1" s="1"/>
  <c r="AE67" i="1"/>
  <c r="AD67" i="1" s="1"/>
  <c r="AF67" i="1"/>
  <c r="AG67" i="1"/>
  <c r="AH67" i="1"/>
  <c r="AI67" i="1"/>
  <c r="CW67" i="1" s="1"/>
  <c r="V67" i="1" s="1"/>
  <c r="AJ67" i="1"/>
  <c r="CQ67" i="1"/>
  <c r="CR67" i="1"/>
  <c r="CT67" i="1"/>
  <c r="CU67" i="1"/>
  <c r="T67" i="1" s="1"/>
  <c r="CV67" i="1"/>
  <c r="U67" i="1" s="1"/>
  <c r="CX67" i="1"/>
  <c r="W67" i="1" s="1"/>
  <c r="GL67" i="1"/>
  <c r="GN67" i="1"/>
  <c r="GO67" i="1"/>
  <c r="GP67" i="1"/>
  <c r="GV67" i="1"/>
  <c r="HC67" i="1" s="1"/>
  <c r="GX67" i="1" s="1"/>
  <c r="C68" i="1"/>
  <c r="D68" i="1"/>
  <c r="I68" i="1"/>
  <c r="K68" i="1"/>
  <c r="AC68" i="1"/>
  <c r="AB68" i="1" s="1"/>
  <c r="AE68" i="1"/>
  <c r="AD68" i="1" s="1"/>
  <c r="AF68" i="1"/>
  <c r="AG68" i="1"/>
  <c r="AH68" i="1"/>
  <c r="AI68" i="1"/>
  <c r="CW68" i="1" s="1"/>
  <c r="V68" i="1" s="1"/>
  <c r="AJ68" i="1"/>
  <c r="CQ68" i="1"/>
  <c r="CR68" i="1"/>
  <c r="CT68" i="1"/>
  <c r="CU68" i="1"/>
  <c r="T68" i="1" s="1"/>
  <c r="CV68" i="1"/>
  <c r="U68" i="1" s="1"/>
  <c r="CX68" i="1"/>
  <c r="W68" i="1" s="1"/>
  <c r="GL68" i="1"/>
  <c r="GN68" i="1"/>
  <c r="GP68" i="1"/>
  <c r="GV68" i="1"/>
  <c r="HC68" i="1"/>
  <c r="GX68" i="1" s="1"/>
  <c r="C69" i="1"/>
  <c r="D69" i="1"/>
  <c r="I69" i="1"/>
  <c r="K69" i="1"/>
  <c r="R69" i="1"/>
  <c r="AC69" i="1"/>
  <c r="AE69" i="1"/>
  <c r="AD69" i="1" s="1"/>
  <c r="AB69" i="1" s="1"/>
  <c r="AF69" i="1"/>
  <c r="S69" i="1" s="1"/>
  <c r="AG69" i="1"/>
  <c r="AH69" i="1"/>
  <c r="AI69" i="1"/>
  <c r="AJ69" i="1"/>
  <c r="CX69" i="1" s="1"/>
  <c r="W69" i="1" s="1"/>
  <c r="CQ69" i="1"/>
  <c r="CR69" i="1"/>
  <c r="CS69" i="1"/>
  <c r="CU69" i="1"/>
  <c r="T69" i="1" s="1"/>
  <c r="CV69" i="1"/>
  <c r="U69" i="1" s="1"/>
  <c r="CW69" i="1"/>
  <c r="V69" i="1" s="1"/>
  <c r="GL69" i="1"/>
  <c r="GN69" i="1"/>
  <c r="GP69" i="1"/>
  <c r="GV69" i="1"/>
  <c r="HC69" i="1"/>
  <c r="GX69" i="1" s="1"/>
  <c r="I70" i="1"/>
  <c r="P70" i="1" s="1"/>
  <c r="R70" i="1"/>
  <c r="AC70" i="1"/>
  <c r="AE70" i="1"/>
  <c r="AD70" i="1" s="1"/>
  <c r="AB70" i="1" s="1"/>
  <c r="AF70" i="1"/>
  <c r="S70" i="1" s="1"/>
  <c r="AG70" i="1"/>
  <c r="AH70" i="1"/>
  <c r="AI70" i="1"/>
  <c r="AJ70" i="1"/>
  <c r="CX70" i="1" s="1"/>
  <c r="W70" i="1" s="1"/>
  <c r="CQ70" i="1"/>
  <c r="CR70" i="1"/>
  <c r="CS70" i="1"/>
  <c r="CU70" i="1"/>
  <c r="T70" i="1" s="1"/>
  <c r="CV70" i="1"/>
  <c r="U70" i="1" s="1"/>
  <c r="CW70" i="1"/>
  <c r="V70" i="1" s="1"/>
  <c r="GL70" i="1"/>
  <c r="GN70" i="1"/>
  <c r="GP70" i="1"/>
  <c r="GV70" i="1"/>
  <c r="HC70" i="1"/>
  <c r="GX70" i="1" s="1"/>
  <c r="I71" i="1"/>
  <c r="P71" i="1" s="1"/>
  <c r="R71" i="1"/>
  <c r="AC71" i="1"/>
  <c r="AE71" i="1"/>
  <c r="AD71" i="1" s="1"/>
  <c r="AB71" i="1" s="1"/>
  <c r="AF71" i="1"/>
  <c r="S71" i="1" s="1"/>
  <c r="AG71" i="1"/>
  <c r="AH71" i="1"/>
  <c r="AI71" i="1"/>
  <c r="AJ71" i="1"/>
  <c r="CX71" i="1" s="1"/>
  <c r="W71" i="1" s="1"/>
  <c r="CQ71" i="1"/>
  <c r="CR71" i="1"/>
  <c r="CS71" i="1"/>
  <c r="CU71" i="1"/>
  <c r="T71" i="1" s="1"/>
  <c r="CV71" i="1"/>
  <c r="U71" i="1" s="1"/>
  <c r="CW71" i="1"/>
  <c r="V71" i="1" s="1"/>
  <c r="GL71" i="1"/>
  <c r="GN71" i="1"/>
  <c r="GP71" i="1"/>
  <c r="GV71" i="1"/>
  <c r="HC71" i="1"/>
  <c r="GX71" i="1" s="1"/>
  <c r="C72" i="1"/>
  <c r="D72" i="1"/>
  <c r="I72" i="1"/>
  <c r="K72" i="1"/>
  <c r="R72" i="1"/>
  <c r="S72" i="1"/>
  <c r="CZ72" i="1" s="1"/>
  <c r="Y72" i="1" s="1"/>
  <c r="AC72" i="1"/>
  <c r="AE72" i="1"/>
  <c r="Q72" i="1" s="1"/>
  <c r="AF72" i="1"/>
  <c r="AG72" i="1"/>
  <c r="CU72" i="1" s="1"/>
  <c r="T72" i="1" s="1"/>
  <c r="AH72" i="1"/>
  <c r="AI72" i="1"/>
  <c r="AJ72" i="1"/>
  <c r="CR72" i="1"/>
  <c r="CS72" i="1"/>
  <c r="CT72" i="1"/>
  <c r="CV72" i="1"/>
  <c r="U72" i="1" s="1"/>
  <c r="CW72" i="1"/>
  <c r="V72" i="1" s="1"/>
  <c r="CX72" i="1"/>
  <c r="W72" i="1" s="1"/>
  <c r="GL72" i="1"/>
  <c r="GN72" i="1"/>
  <c r="GP72" i="1"/>
  <c r="GV72" i="1"/>
  <c r="HC72" i="1" s="1"/>
  <c r="GX72" i="1" s="1"/>
  <c r="C73" i="1"/>
  <c r="D73" i="1"/>
  <c r="I73" i="1"/>
  <c r="K73" i="1"/>
  <c r="P73" i="1"/>
  <c r="CP73" i="1" s="1"/>
  <c r="O73" i="1" s="1"/>
  <c r="R73" i="1"/>
  <c r="S73" i="1"/>
  <c r="CZ73" i="1" s="1"/>
  <c r="Y73" i="1" s="1"/>
  <c r="AC73" i="1"/>
  <c r="AB73" i="1" s="1"/>
  <c r="AD73" i="1"/>
  <c r="AE73" i="1"/>
  <c r="Q73" i="1" s="1"/>
  <c r="AF73" i="1"/>
  <c r="AG73" i="1"/>
  <c r="AH73" i="1"/>
  <c r="CV73" i="1" s="1"/>
  <c r="U73" i="1" s="1"/>
  <c r="AI73" i="1"/>
  <c r="AJ73" i="1"/>
  <c r="CQ73" i="1"/>
  <c r="CR73" i="1"/>
  <c r="CS73" i="1"/>
  <c r="CT73" i="1"/>
  <c r="CU73" i="1"/>
  <c r="T73" i="1" s="1"/>
  <c r="CW73" i="1"/>
  <c r="V73" i="1" s="1"/>
  <c r="CX73" i="1"/>
  <c r="W73" i="1" s="1"/>
  <c r="CY73" i="1"/>
  <c r="X73" i="1" s="1"/>
  <c r="GL73" i="1"/>
  <c r="GN73" i="1"/>
  <c r="GP73" i="1"/>
  <c r="GV73" i="1"/>
  <c r="HC73" i="1" s="1"/>
  <c r="GX73" i="1" s="1"/>
  <c r="I74" i="1"/>
  <c r="Q74" i="1" s="1"/>
  <c r="P74" i="1"/>
  <c r="CP74" i="1" s="1"/>
  <c r="O74" i="1" s="1"/>
  <c r="R74" i="1"/>
  <c r="S74" i="1"/>
  <c r="CZ74" i="1" s="1"/>
  <c r="Y74" i="1" s="1"/>
  <c r="AC74" i="1"/>
  <c r="AB74" i="1" s="1"/>
  <c r="AD74" i="1"/>
  <c r="AE74" i="1"/>
  <c r="AF74" i="1"/>
  <c r="AG74" i="1"/>
  <c r="AH74" i="1"/>
  <c r="CV74" i="1" s="1"/>
  <c r="U74" i="1" s="1"/>
  <c r="AI74" i="1"/>
  <c r="AJ74" i="1"/>
  <c r="CQ74" i="1"/>
  <c r="CR74" i="1"/>
  <c r="CS74" i="1"/>
  <c r="CT74" i="1"/>
  <c r="CU74" i="1"/>
  <c r="T74" i="1" s="1"/>
  <c r="CW74" i="1"/>
  <c r="V74" i="1" s="1"/>
  <c r="CX74" i="1"/>
  <c r="W74" i="1" s="1"/>
  <c r="CY74" i="1"/>
  <c r="X74" i="1" s="1"/>
  <c r="GL74" i="1"/>
  <c r="GN74" i="1"/>
  <c r="GP74" i="1"/>
  <c r="GV74" i="1"/>
  <c r="HC74" i="1" s="1"/>
  <c r="GX74" i="1" s="1"/>
  <c r="I75" i="1"/>
  <c r="Q75" i="1" s="1"/>
  <c r="P75" i="1"/>
  <c r="CP75" i="1" s="1"/>
  <c r="O75" i="1" s="1"/>
  <c r="R75" i="1"/>
  <c r="S75" i="1"/>
  <c r="CZ75" i="1" s="1"/>
  <c r="Y75" i="1" s="1"/>
  <c r="AC75" i="1"/>
  <c r="AB75" i="1" s="1"/>
  <c r="AD75" i="1"/>
  <c r="AE75" i="1"/>
  <c r="AF75" i="1"/>
  <c r="AG75" i="1"/>
  <c r="AH75" i="1"/>
  <c r="CV75" i="1" s="1"/>
  <c r="U75" i="1" s="1"/>
  <c r="AI75" i="1"/>
  <c r="AJ75" i="1"/>
  <c r="CQ75" i="1"/>
  <c r="CR75" i="1"/>
  <c r="CS75" i="1"/>
  <c r="CT75" i="1"/>
  <c r="CU75" i="1"/>
  <c r="T75" i="1" s="1"/>
  <c r="CW75" i="1"/>
  <c r="V75" i="1" s="1"/>
  <c r="CX75" i="1"/>
  <c r="W75" i="1" s="1"/>
  <c r="CY75" i="1"/>
  <c r="X75" i="1" s="1"/>
  <c r="GL75" i="1"/>
  <c r="GN75" i="1"/>
  <c r="GP75" i="1"/>
  <c r="GV75" i="1"/>
  <c r="HC75" i="1" s="1"/>
  <c r="GX75" i="1" s="1"/>
  <c r="C76" i="1"/>
  <c r="D76" i="1"/>
  <c r="I76" i="1"/>
  <c r="K76" i="1"/>
  <c r="AC76" i="1"/>
  <c r="AE76" i="1"/>
  <c r="AD76" i="1" s="1"/>
  <c r="AF76" i="1"/>
  <c r="AG76" i="1"/>
  <c r="AH76" i="1"/>
  <c r="AI76" i="1"/>
  <c r="CW76" i="1" s="1"/>
  <c r="V76" i="1" s="1"/>
  <c r="AJ76" i="1"/>
  <c r="CQ76" i="1"/>
  <c r="CR76" i="1"/>
  <c r="CT76" i="1"/>
  <c r="CU76" i="1"/>
  <c r="T76" i="1" s="1"/>
  <c r="CV76" i="1"/>
  <c r="U76" i="1" s="1"/>
  <c r="CX76" i="1"/>
  <c r="W76" i="1" s="1"/>
  <c r="GL76" i="1"/>
  <c r="GN76" i="1"/>
  <c r="GP76" i="1"/>
  <c r="GV76" i="1"/>
  <c r="HC76" i="1"/>
  <c r="GX76" i="1" s="1"/>
  <c r="C77" i="1"/>
  <c r="D77" i="1"/>
  <c r="I77" i="1"/>
  <c r="K77" i="1"/>
  <c r="R77" i="1"/>
  <c r="AC77" i="1"/>
  <c r="AE77" i="1"/>
  <c r="AD77" i="1" s="1"/>
  <c r="AB77" i="1" s="1"/>
  <c r="AF77" i="1"/>
  <c r="S77" i="1" s="1"/>
  <c r="AG77" i="1"/>
  <c r="AH77" i="1"/>
  <c r="AI77" i="1"/>
  <c r="AJ77" i="1"/>
  <c r="CX77" i="1" s="1"/>
  <c r="W77" i="1" s="1"/>
  <c r="CQ77" i="1"/>
  <c r="CR77" i="1"/>
  <c r="CS77" i="1"/>
  <c r="CU77" i="1"/>
  <c r="T77" i="1" s="1"/>
  <c r="CV77" i="1"/>
  <c r="U77" i="1" s="1"/>
  <c r="CW77" i="1"/>
  <c r="V77" i="1" s="1"/>
  <c r="GL77" i="1"/>
  <c r="GN77" i="1"/>
  <c r="GP77" i="1"/>
  <c r="GV77" i="1"/>
  <c r="HC77" i="1"/>
  <c r="GX77" i="1" s="1"/>
  <c r="I78" i="1"/>
  <c r="S78" i="1" s="1"/>
  <c r="K78" i="1"/>
  <c r="AC78" i="1"/>
  <c r="AB78" i="1" s="1"/>
  <c r="AE78" i="1"/>
  <c r="AD78" i="1" s="1"/>
  <c r="AF78" i="1"/>
  <c r="AG78" i="1"/>
  <c r="AH78" i="1"/>
  <c r="AI78" i="1"/>
  <c r="CW78" i="1" s="1"/>
  <c r="V78" i="1" s="1"/>
  <c r="AJ78" i="1"/>
  <c r="CQ78" i="1"/>
  <c r="CR78" i="1"/>
  <c r="CT78" i="1"/>
  <c r="CU78" i="1"/>
  <c r="T78" i="1" s="1"/>
  <c r="CV78" i="1"/>
  <c r="U78" i="1" s="1"/>
  <c r="CX78" i="1"/>
  <c r="W78" i="1" s="1"/>
  <c r="GL78" i="1"/>
  <c r="GN78" i="1"/>
  <c r="GO78" i="1"/>
  <c r="GP78" i="1"/>
  <c r="GV78" i="1"/>
  <c r="HC78" i="1" s="1"/>
  <c r="GX78" i="1" s="1"/>
  <c r="I79" i="1"/>
  <c r="K79" i="1"/>
  <c r="R79" i="1"/>
  <c r="S79" i="1"/>
  <c r="CZ79" i="1" s="1"/>
  <c r="Y79" i="1" s="1"/>
  <c r="AC79" i="1"/>
  <c r="AE79" i="1"/>
  <c r="Q79" i="1" s="1"/>
  <c r="AF79" i="1"/>
  <c r="AG79" i="1"/>
  <c r="CU79" i="1" s="1"/>
  <c r="T79" i="1" s="1"/>
  <c r="AH79" i="1"/>
  <c r="AI79" i="1"/>
  <c r="AJ79" i="1"/>
  <c r="CR79" i="1"/>
  <c r="CS79" i="1"/>
  <c r="CT79" i="1"/>
  <c r="CV79" i="1"/>
  <c r="U79" i="1" s="1"/>
  <c r="CW79" i="1"/>
  <c r="V79" i="1" s="1"/>
  <c r="CX79" i="1"/>
  <c r="W79" i="1" s="1"/>
  <c r="GL79" i="1"/>
  <c r="GN79" i="1"/>
  <c r="GO79" i="1"/>
  <c r="GP79" i="1"/>
  <c r="GV79" i="1"/>
  <c r="HC79" i="1"/>
  <c r="GX79" i="1" s="1"/>
  <c r="C80" i="1"/>
  <c r="D80" i="1"/>
  <c r="I80" i="1"/>
  <c r="K80" i="1"/>
  <c r="R80" i="1"/>
  <c r="S80" i="1"/>
  <c r="CZ80" i="1" s="1"/>
  <c r="Y80" i="1" s="1"/>
  <c r="AC80" i="1"/>
  <c r="AE80" i="1"/>
  <c r="Q80" i="1" s="1"/>
  <c r="AF80" i="1"/>
  <c r="AG80" i="1"/>
  <c r="CU80" i="1" s="1"/>
  <c r="T80" i="1" s="1"/>
  <c r="AH80" i="1"/>
  <c r="AI80" i="1"/>
  <c r="AJ80" i="1"/>
  <c r="CR80" i="1"/>
  <c r="CS80" i="1"/>
  <c r="CT80" i="1"/>
  <c r="CV80" i="1"/>
  <c r="U80" i="1" s="1"/>
  <c r="CW80" i="1"/>
  <c r="V80" i="1" s="1"/>
  <c r="CX80" i="1"/>
  <c r="W80" i="1" s="1"/>
  <c r="GL80" i="1"/>
  <c r="GN80" i="1"/>
  <c r="GP80" i="1"/>
  <c r="GV80" i="1"/>
  <c r="HC80" i="1" s="1"/>
  <c r="GX80" i="1" s="1"/>
  <c r="C81" i="1"/>
  <c r="D81" i="1"/>
  <c r="I81" i="1"/>
  <c r="K81" i="1"/>
  <c r="P81" i="1"/>
  <c r="CP81" i="1" s="1"/>
  <c r="O81" i="1" s="1"/>
  <c r="GM81" i="1" s="1"/>
  <c r="GO81" i="1" s="1"/>
  <c r="R81" i="1"/>
  <c r="S81" i="1"/>
  <c r="CZ81" i="1" s="1"/>
  <c r="Y81" i="1" s="1"/>
  <c r="AC81" i="1"/>
  <c r="AB81" i="1" s="1"/>
  <c r="AD81" i="1"/>
  <c r="AE81" i="1"/>
  <c r="Q81" i="1" s="1"/>
  <c r="AF81" i="1"/>
  <c r="AG81" i="1"/>
  <c r="AH81" i="1"/>
  <c r="CV81" i="1" s="1"/>
  <c r="U81" i="1" s="1"/>
  <c r="AI81" i="1"/>
  <c r="AJ81" i="1"/>
  <c r="CQ81" i="1"/>
  <c r="CR81" i="1"/>
  <c r="CS81" i="1"/>
  <c r="CT81" i="1"/>
  <c r="CU81" i="1"/>
  <c r="T81" i="1" s="1"/>
  <c r="CW81" i="1"/>
  <c r="V81" i="1" s="1"/>
  <c r="CX81" i="1"/>
  <c r="W81" i="1" s="1"/>
  <c r="CY81" i="1"/>
  <c r="X81" i="1" s="1"/>
  <c r="GL81" i="1"/>
  <c r="GN81" i="1"/>
  <c r="GP81" i="1"/>
  <c r="GV81" i="1"/>
  <c r="HC81" i="1" s="1"/>
  <c r="GX81" i="1" s="1"/>
  <c r="I82" i="1"/>
  <c r="K82" i="1"/>
  <c r="R82" i="1"/>
  <c r="S82" i="1"/>
  <c r="CZ82" i="1" s="1"/>
  <c r="Y82" i="1" s="1"/>
  <c r="AC82" i="1"/>
  <c r="AE82" i="1"/>
  <c r="Q82" i="1" s="1"/>
  <c r="AF82" i="1"/>
  <c r="AG82" i="1"/>
  <c r="CU82" i="1" s="1"/>
  <c r="T82" i="1" s="1"/>
  <c r="AH82" i="1"/>
  <c r="AI82" i="1"/>
  <c r="AJ82" i="1"/>
  <c r="CR82" i="1"/>
  <c r="CS82" i="1"/>
  <c r="CT82" i="1"/>
  <c r="CV82" i="1"/>
  <c r="U82" i="1" s="1"/>
  <c r="CW82" i="1"/>
  <c r="V82" i="1" s="1"/>
  <c r="CX82" i="1"/>
  <c r="W82" i="1" s="1"/>
  <c r="GL82" i="1"/>
  <c r="GN82" i="1"/>
  <c r="GO82" i="1"/>
  <c r="GP82" i="1"/>
  <c r="GV82" i="1"/>
  <c r="HC82" i="1"/>
  <c r="GX82" i="1" s="1"/>
  <c r="I83" i="1"/>
  <c r="S83" i="1" s="1"/>
  <c r="K83" i="1"/>
  <c r="AC83" i="1"/>
  <c r="AB83" i="1" s="1"/>
  <c r="AE83" i="1"/>
  <c r="AD83" i="1" s="1"/>
  <c r="AF83" i="1"/>
  <c r="AG83" i="1"/>
  <c r="AH83" i="1"/>
  <c r="AI83" i="1"/>
  <c r="CW83" i="1" s="1"/>
  <c r="V83" i="1" s="1"/>
  <c r="AJ83" i="1"/>
  <c r="CQ83" i="1"/>
  <c r="CR83" i="1"/>
  <c r="CT83" i="1"/>
  <c r="CU83" i="1"/>
  <c r="T83" i="1" s="1"/>
  <c r="CV83" i="1"/>
  <c r="U83" i="1" s="1"/>
  <c r="CX83" i="1"/>
  <c r="W83" i="1" s="1"/>
  <c r="GL83" i="1"/>
  <c r="GN83" i="1"/>
  <c r="GO83" i="1"/>
  <c r="GP83" i="1"/>
  <c r="GV83" i="1"/>
  <c r="HC83" i="1" s="1"/>
  <c r="GX83" i="1" s="1"/>
  <c r="C84" i="1"/>
  <c r="D84" i="1"/>
  <c r="I84" i="1"/>
  <c r="K84" i="1"/>
  <c r="AC84" i="1"/>
  <c r="AB84" i="1" s="1"/>
  <c r="AE84" i="1"/>
  <c r="AD84" i="1" s="1"/>
  <c r="AF84" i="1"/>
  <c r="AG84" i="1"/>
  <c r="AH84" i="1"/>
  <c r="AI84" i="1"/>
  <c r="CW84" i="1" s="1"/>
  <c r="V84" i="1" s="1"/>
  <c r="AJ84" i="1"/>
  <c r="CQ84" i="1"/>
  <c r="CR84" i="1"/>
  <c r="CT84" i="1"/>
  <c r="CU84" i="1"/>
  <c r="T84" i="1" s="1"/>
  <c r="CV84" i="1"/>
  <c r="U84" i="1" s="1"/>
  <c r="CX84" i="1"/>
  <c r="W84" i="1" s="1"/>
  <c r="GL84" i="1"/>
  <c r="GN84" i="1"/>
  <c r="GP84" i="1"/>
  <c r="GV84" i="1"/>
  <c r="HC84" i="1"/>
  <c r="GX84" i="1" s="1"/>
  <c r="C85" i="1"/>
  <c r="D85" i="1"/>
  <c r="I85" i="1"/>
  <c r="K85" i="1"/>
  <c r="R85" i="1"/>
  <c r="AC85" i="1"/>
  <c r="AE85" i="1"/>
  <c r="AD85" i="1" s="1"/>
  <c r="AB85" i="1" s="1"/>
  <c r="AF85" i="1"/>
  <c r="S85" i="1" s="1"/>
  <c r="AG85" i="1"/>
  <c r="AH85" i="1"/>
  <c r="AI85" i="1"/>
  <c r="AJ85" i="1"/>
  <c r="CX85" i="1" s="1"/>
  <c r="W85" i="1" s="1"/>
  <c r="CQ85" i="1"/>
  <c r="CR85" i="1"/>
  <c r="CS85" i="1"/>
  <c r="CU85" i="1"/>
  <c r="T85" i="1" s="1"/>
  <c r="CV85" i="1"/>
  <c r="U85" i="1" s="1"/>
  <c r="CW85" i="1"/>
  <c r="V85" i="1" s="1"/>
  <c r="GL85" i="1"/>
  <c r="GN85" i="1"/>
  <c r="GP85" i="1"/>
  <c r="GV85" i="1"/>
  <c r="HC85" i="1"/>
  <c r="GX85" i="1" s="1"/>
  <c r="I86" i="1"/>
  <c r="S86" i="1" s="1"/>
  <c r="K86" i="1"/>
  <c r="AC86" i="1"/>
  <c r="AE86" i="1"/>
  <c r="AD86" i="1" s="1"/>
  <c r="AF86" i="1"/>
  <c r="AG86" i="1"/>
  <c r="AH86" i="1"/>
  <c r="AI86" i="1"/>
  <c r="CW86" i="1" s="1"/>
  <c r="V86" i="1" s="1"/>
  <c r="AJ86" i="1"/>
  <c r="CQ86" i="1"/>
  <c r="CR86" i="1"/>
  <c r="CT86" i="1"/>
  <c r="CU86" i="1"/>
  <c r="T86" i="1" s="1"/>
  <c r="CV86" i="1"/>
  <c r="U86" i="1" s="1"/>
  <c r="CX86" i="1"/>
  <c r="W86" i="1" s="1"/>
  <c r="GL86" i="1"/>
  <c r="GN86" i="1"/>
  <c r="GO86" i="1"/>
  <c r="GP86" i="1"/>
  <c r="GV86" i="1"/>
  <c r="HC86" i="1" s="1"/>
  <c r="GX86" i="1" s="1"/>
  <c r="I87" i="1"/>
  <c r="K87" i="1"/>
  <c r="R87" i="1"/>
  <c r="S87" i="1"/>
  <c r="CZ87" i="1" s="1"/>
  <c r="Y87" i="1" s="1"/>
  <c r="AC87" i="1"/>
  <c r="AE87" i="1"/>
  <c r="Q87" i="1" s="1"/>
  <c r="AF87" i="1"/>
  <c r="AG87" i="1"/>
  <c r="CU87" i="1" s="1"/>
  <c r="T87" i="1" s="1"/>
  <c r="AH87" i="1"/>
  <c r="AI87" i="1"/>
  <c r="AJ87" i="1"/>
  <c r="CR87" i="1"/>
  <c r="CS87" i="1"/>
  <c r="CT87" i="1"/>
  <c r="CV87" i="1"/>
  <c r="U87" i="1" s="1"/>
  <c r="CW87" i="1"/>
  <c r="V87" i="1" s="1"/>
  <c r="CX87" i="1"/>
  <c r="W87" i="1" s="1"/>
  <c r="GL87" i="1"/>
  <c r="GN87" i="1"/>
  <c r="GO87" i="1"/>
  <c r="GP87" i="1"/>
  <c r="GV87" i="1"/>
  <c r="HC87" i="1"/>
  <c r="GX87" i="1" s="1"/>
  <c r="I88" i="1"/>
  <c r="S88" i="1" s="1"/>
  <c r="K88" i="1"/>
  <c r="AC88" i="1"/>
  <c r="AB88" i="1" s="1"/>
  <c r="AE88" i="1"/>
  <c r="AD88" i="1" s="1"/>
  <c r="AF88" i="1"/>
  <c r="AG88" i="1"/>
  <c r="AH88" i="1"/>
  <c r="AI88" i="1"/>
  <c r="CW88" i="1" s="1"/>
  <c r="V88" i="1" s="1"/>
  <c r="AJ88" i="1"/>
  <c r="CQ88" i="1"/>
  <c r="CR88" i="1"/>
  <c r="CT88" i="1"/>
  <c r="CU88" i="1"/>
  <c r="T88" i="1" s="1"/>
  <c r="CV88" i="1"/>
  <c r="U88" i="1" s="1"/>
  <c r="CX88" i="1"/>
  <c r="W88" i="1" s="1"/>
  <c r="GL88" i="1"/>
  <c r="GO88" i="1"/>
  <c r="GP88" i="1"/>
  <c r="GV88" i="1"/>
  <c r="HC88" i="1"/>
  <c r="GX88" i="1" s="1"/>
  <c r="I89" i="1"/>
  <c r="K89" i="1"/>
  <c r="P89" i="1"/>
  <c r="CP89" i="1" s="1"/>
  <c r="O89" i="1" s="1"/>
  <c r="GM89" i="1" s="1"/>
  <c r="GN89" i="1" s="1"/>
  <c r="FT91" i="1" s="1"/>
  <c r="R89" i="1"/>
  <c r="S89" i="1"/>
  <c r="CZ89" i="1" s="1"/>
  <c r="Y89" i="1" s="1"/>
  <c r="AC89" i="1"/>
  <c r="AB89" i="1" s="1"/>
  <c r="AD89" i="1"/>
  <c r="AE89" i="1"/>
  <c r="Q89" i="1" s="1"/>
  <c r="AF89" i="1"/>
  <c r="AG89" i="1"/>
  <c r="AH89" i="1"/>
  <c r="CV89" i="1" s="1"/>
  <c r="U89" i="1" s="1"/>
  <c r="AI89" i="1"/>
  <c r="AJ89" i="1"/>
  <c r="CQ89" i="1"/>
  <c r="CR89" i="1"/>
  <c r="CS89" i="1"/>
  <c r="CT89" i="1"/>
  <c r="CU89" i="1"/>
  <c r="T89" i="1" s="1"/>
  <c r="CW89" i="1"/>
  <c r="V89" i="1" s="1"/>
  <c r="CX89" i="1"/>
  <c r="W89" i="1" s="1"/>
  <c r="CY89" i="1"/>
  <c r="X89" i="1" s="1"/>
  <c r="GL89" i="1"/>
  <c r="GO89" i="1"/>
  <c r="GP89" i="1"/>
  <c r="GV89" i="1"/>
  <c r="HC89" i="1" s="1"/>
  <c r="GX89" i="1" s="1"/>
  <c r="B91" i="1"/>
  <c r="B26" i="1" s="1"/>
  <c r="C91" i="1"/>
  <c r="C26" i="1" s="1"/>
  <c r="D91" i="1"/>
  <c r="D26" i="1" s="1"/>
  <c r="F91" i="1"/>
  <c r="F26" i="1" s="1"/>
  <c r="G91" i="1"/>
  <c r="G26" i="1" s="1"/>
  <c r="BX91" i="1"/>
  <c r="BX26" i="1" s="1"/>
  <c r="BZ91" i="1"/>
  <c r="BZ26" i="1" s="1"/>
  <c r="CD91" i="1"/>
  <c r="CD26" i="1" s="1"/>
  <c r="CK91" i="1"/>
  <c r="CK26" i="1" s="1"/>
  <c r="CL91" i="1"/>
  <c r="CL26" i="1" s="1"/>
  <c r="CM91" i="1"/>
  <c r="CM26" i="1" s="1"/>
  <c r="FP91" i="1"/>
  <c r="FP26" i="1" s="1"/>
  <c r="FR91" i="1"/>
  <c r="FR26" i="1" s="1"/>
  <c r="FV91" i="1"/>
  <c r="FV26" i="1" s="1"/>
  <c r="GC91" i="1"/>
  <c r="GC26" i="1" s="1"/>
  <c r="GD91" i="1"/>
  <c r="GD26" i="1" s="1"/>
  <c r="GE91" i="1"/>
  <c r="GE26" i="1" s="1"/>
  <c r="D121" i="1"/>
  <c r="E123" i="1"/>
  <c r="Z123" i="1"/>
  <c r="AA123" i="1"/>
  <c r="AM123" i="1"/>
  <c r="AN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R123" i="1"/>
  <c r="DS123" i="1"/>
  <c r="EE123" i="1"/>
  <c r="EF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C125" i="1"/>
  <c r="D125" i="1"/>
  <c r="I125" i="1"/>
  <c r="K125" i="1"/>
  <c r="P125" i="1"/>
  <c r="R125" i="1"/>
  <c r="AC125" i="1"/>
  <c r="AD125" i="1"/>
  <c r="AB125" i="1" s="1"/>
  <c r="AE125" i="1"/>
  <c r="Q125" i="1" s="1"/>
  <c r="AF125" i="1"/>
  <c r="S125" i="1" s="1"/>
  <c r="AG125" i="1"/>
  <c r="AH125" i="1"/>
  <c r="CV125" i="1" s="1"/>
  <c r="U125" i="1" s="1"/>
  <c r="AI125" i="1"/>
  <c r="AJ125" i="1"/>
  <c r="CX125" i="1" s="1"/>
  <c r="W125" i="1" s="1"/>
  <c r="CQ125" i="1"/>
  <c r="CR125" i="1"/>
  <c r="CS125" i="1"/>
  <c r="CU125" i="1"/>
  <c r="T125" i="1" s="1"/>
  <c r="CW125" i="1"/>
  <c r="V125" i="1" s="1"/>
  <c r="GL125" i="1"/>
  <c r="GN125" i="1"/>
  <c r="GP125" i="1"/>
  <c r="GV125" i="1"/>
  <c r="GX125" i="1"/>
  <c r="HC125" i="1"/>
  <c r="C126" i="1"/>
  <c r="D126" i="1"/>
  <c r="I126" i="1"/>
  <c r="K126" i="1"/>
  <c r="AC126" i="1"/>
  <c r="AE126" i="1"/>
  <c r="R126" i="1" s="1"/>
  <c r="AF126" i="1"/>
  <c r="AG126" i="1"/>
  <c r="CU126" i="1" s="1"/>
  <c r="T126" i="1" s="1"/>
  <c r="AH126" i="1"/>
  <c r="AI126" i="1"/>
  <c r="CW126" i="1" s="1"/>
  <c r="V126" i="1" s="1"/>
  <c r="AJ126" i="1"/>
  <c r="CR126" i="1"/>
  <c r="CT126" i="1"/>
  <c r="CV126" i="1"/>
  <c r="U126" i="1" s="1"/>
  <c r="CX126" i="1"/>
  <c r="W126" i="1" s="1"/>
  <c r="GL126" i="1"/>
  <c r="GN126" i="1"/>
  <c r="GP126" i="1"/>
  <c r="GV126" i="1"/>
  <c r="HC126" i="1"/>
  <c r="GX126" i="1" s="1"/>
  <c r="I127" i="1"/>
  <c r="S127" i="1"/>
  <c r="CY127" i="1" s="1"/>
  <c r="X127" i="1" s="1"/>
  <c r="AC127" i="1"/>
  <c r="AE127" i="1"/>
  <c r="R127" i="1" s="1"/>
  <c r="CZ127" i="1" s="1"/>
  <c r="Y127" i="1" s="1"/>
  <c r="AF127" i="1"/>
  <c r="AG127" i="1"/>
  <c r="CU127" i="1" s="1"/>
  <c r="T127" i="1" s="1"/>
  <c r="AH127" i="1"/>
  <c r="AI127" i="1"/>
  <c r="CW127" i="1" s="1"/>
  <c r="V127" i="1" s="1"/>
  <c r="AJ127" i="1"/>
  <c r="CR127" i="1"/>
  <c r="CT127" i="1"/>
  <c r="CV127" i="1"/>
  <c r="U127" i="1" s="1"/>
  <c r="CX127" i="1"/>
  <c r="W127" i="1" s="1"/>
  <c r="GL127" i="1"/>
  <c r="GN127" i="1"/>
  <c r="GP127" i="1"/>
  <c r="GV127" i="1"/>
  <c r="HC127" i="1"/>
  <c r="GX127" i="1" s="1"/>
  <c r="AC128" i="1"/>
  <c r="AE128" i="1"/>
  <c r="AF128" i="1"/>
  <c r="AG128" i="1"/>
  <c r="CU128" i="1" s="1"/>
  <c r="AH128" i="1"/>
  <c r="AI128" i="1"/>
  <c r="CW128" i="1" s="1"/>
  <c r="AJ128" i="1"/>
  <c r="CR128" i="1"/>
  <c r="CT128" i="1"/>
  <c r="CV128" i="1"/>
  <c r="CX128" i="1"/>
  <c r="GL128" i="1"/>
  <c r="GN128" i="1"/>
  <c r="GP128" i="1"/>
  <c r="GV128" i="1"/>
  <c r="HC128" i="1"/>
  <c r="I129" i="1"/>
  <c r="S129" i="1"/>
  <c r="AC129" i="1"/>
  <c r="AE129" i="1"/>
  <c r="R129" i="1" s="1"/>
  <c r="CZ129" i="1" s="1"/>
  <c r="Y129" i="1" s="1"/>
  <c r="AF129" i="1"/>
  <c r="AG129" i="1"/>
  <c r="CU129" i="1" s="1"/>
  <c r="T129" i="1" s="1"/>
  <c r="AH129" i="1"/>
  <c r="AI129" i="1"/>
  <c r="CW129" i="1" s="1"/>
  <c r="V129" i="1" s="1"/>
  <c r="AJ129" i="1"/>
  <c r="CR129" i="1"/>
  <c r="CT129" i="1"/>
  <c r="CV129" i="1"/>
  <c r="U129" i="1" s="1"/>
  <c r="CX129" i="1"/>
  <c r="W129" i="1" s="1"/>
  <c r="GL129" i="1"/>
  <c r="GN129" i="1"/>
  <c r="GP129" i="1"/>
  <c r="GV129" i="1"/>
  <c r="HC129" i="1"/>
  <c r="GX129" i="1" s="1"/>
  <c r="AC130" i="1"/>
  <c r="AE130" i="1"/>
  <c r="AF130" i="1"/>
  <c r="AG130" i="1"/>
  <c r="CU130" i="1" s="1"/>
  <c r="AH130" i="1"/>
  <c r="AI130" i="1"/>
  <c r="CW130" i="1" s="1"/>
  <c r="AJ130" i="1"/>
  <c r="CT130" i="1"/>
  <c r="CV130" i="1"/>
  <c r="CX130" i="1"/>
  <c r="GL130" i="1"/>
  <c r="GN130" i="1"/>
  <c r="GP130" i="1"/>
  <c r="GV130" i="1"/>
  <c r="HC130" i="1"/>
  <c r="C131" i="1"/>
  <c r="D131" i="1"/>
  <c r="I131" i="1"/>
  <c r="K131" i="1"/>
  <c r="P131" i="1"/>
  <c r="R131" i="1"/>
  <c r="V131" i="1"/>
  <c r="AC131" i="1"/>
  <c r="AD131" i="1"/>
  <c r="AE131" i="1"/>
  <c r="Q131" i="1" s="1"/>
  <c r="AF131" i="1"/>
  <c r="AG131" i="1"/>
  <c r="AH131" i="1"/>
  <c r="CV131" i="1" s="1"/>
  <c r="U131" i="1" s="1"/>
  <c r="AI131" i="1"/>
  <c r="AJ131" i="1"/>
  <c r="CX131" i="1" s="1"/>
  <c r="W131" i="1" s="1"/>
  <c r="CQ131" i="1"/>
  <c r="CR131" i="1"/>
  <c r="CS131" i="1"/>
  <c r="CU131" i="1"/>
  <c r="T131" i="1" s="1"/>
  <c r="CW131" i="1"/>
  <c r="GL131" i="1"/>
  <c r="GN131" i="1"/>
  <c r="GP131" i="1"/>
  <c r="GV131" i="1"/>
  <c r="GX131" i="1"/>
  <c r="HC131" i="1"/>
  <c r="C132" i="1"/>
  <c r="D132" i="1"/>
  <c r="I132" i="1"/>
  <c r="K132" i="1"/>
  <c r="S132" i="1"/>
  <c r="AC132" i="1"/>
  <c r="AE132" i="1"/>
  <c r="AF132" i="1"/>
  <c r="AG132" i="1"/>
  <c r="CU132" i="1" s="1"/>
  <c r="AH132" i="1"/>
  <c r="AI132" i="1"/>
  <c r="CW132" i="1" s="1"/>
  <c r="AJ132" i="1"/>
  <c r="CR132" i="1"/>
  <c r="CT132" i="1"/>
  <c r="CV132" i="1"/>
  <c r="U132" i="1" s="1"/>
  <c r="CX132" i="1"/>
  <c r="GL132" i="1"/>
  <c r="GN132" i="1"/>
  <c r="GP132" i="1"/>
  <c r="GV132" i="1"/>
  <c r="HC132" i="1" s="1"/>
  <c r="GX132" i="1" s="1"/>
  <c r="I133" i="1"/>
  <c r="S133" i="1"/>
  <c r="U133" i="1"/>
  <c r="AC133" i="1"/>
  <c r="AE133" i="1"/>
  <c r="AF133" i="1"/>
  <c r="AG133" i="1"/>
  <c r="CU133" i="1" s="1"/>
  <c r="T133" i="1" s="1"/>
  <c r="AH133" i="1"/>
  <c r="AI133" i="1"/>
  <c r="CW133" i="1" s="1"/>
  <c r="V133" i="1" s="1"/>
  <c r="AJ133" i="1"/>
  <c r="CT133" i="1"/>
  <c r="CV133" i="1"/>
  <c r="CX133" i="1"/>
  <c r="W133" i="1" s="1"/>
  <c r="GL133" i="1"/>
  <c r="GN133" i="1"/>
  <c r="GP133" i="1"/>
  <c r="GV133" i="1"/>
  <c r="HC133" i="1"/>
  <c r="GX133" i="1" s="1"/>
  <c r="AC134" i="1"/>
  <c r="AE134" i="1"/>
  <c r="CR134" i="1" s="1"/>
  <c r="AF134" i="1"/>
  <c r="AG134" i="1"/>
  <c r="CU134" i="1" s="1"/>
  <c r="AH134" i="1"/>
  <c r="AI134" i="1"/>
  <c r="CW134" i="1" s="1"/>
  <c r="AJ134" i="1"/>
  <c r="CT134" i="1"/>
  <c r="CV134" i="1"/>
  <c r="CX134" i="1"/>
  <c r="GL134" i="1"/>
  <c r="GN134" i="1"/>
  <c r="GP134" i="1"/>
  <c r="GV134" i="1"/>
  <c r="HC134" i="1"/>
  <c r="I135" i="1"/>
  <c r="S135" i="1"/>
  <c r="W135" i="1"/>
  <c r="AC135" i="1"/>
  <c r="AE135" i="1"/>
  <c r="AF135" i="1"/>
  <c r="AG135" i="1"/>
  <c r="CU135" i="1" s="1"/>
  <c r="T135" i="1" s="1"/>
  <c r="AH135" i="1"/>
  <c r="AI135" i="1"/>
  <c r="CW135" i="1" s="1"/>
  <c r="V135" i="1" s="1"/>
  <c r="AJ135" i="1"/>
  <c r="CR135" i="1"/>
  <c r="CT135" i="1"/>
  <c r="CV135" i="1"/>
  <c r="U135" i="1" s="1"/>
  <c r="CX135" i="1"/>
  <c r="GL135" i="1"/>
  <c r="GN135" i="1"/>
  <c r="GP135" i="1"/>
  <c r="GV135" i="1"/>
  <c r="HC135" i="1" s="1"/>
  <c r="GX135" i="1" s="1"/>
  <c r="AC136" i="1"/>
  <c r="AE136" i="1"/>
  <c r="AF136" i="1"/>
  <c r="AG136" i="1"/>
  <c r="CU136" i="1" s="1"/>
  <c r="AH136" i="1"/>
  <c r="AI136" i="1"/>
  <c r="CW136" i="1" s="1"/>
  <c r="AJ136" i="1"/>
  <c r="CR136" i="1"/>
  <c r="CT136" i="1"/>
  <c r="CV136" i="1"/>
  <c r="CX136" i="1"/>
  <c r="GL136" i="1"/>
  <c r="GN136" i="1"/>
  <c r="GP136" i="1"/>
  <c r="GV136" i="1"/>
  <c r="HC136" i="1" s="1"/>
  <c r="I137" i="1"/>
  <c r="K137" i="1"/>
  <c r="P137" i="1"/>
  <c r="R137" i="1"/>
  <c r="T137" i="1"/>
  <c r="AC137" i="1"/>
  <c r="AD137" i="1"/>
  <c r="AE137" i="1"/>
  <c r="Q137" i="1" s="1"/>
  <c r="AF137" i="1"/>
  <c r="AG137" i="1"/>
  <c r="AH137" i="1"/>
  <c r="AI137" i="1"/>
  <c r="AJ137" i="1"/>
  <c r="CX137" i="1" s="1"/>
  <c r="W137" i="1" s="1"/>
  <c r="CQ137" i="1"/>
  <c r="CR137" i="1"/>
  <c r="CS137" i="1"/>
  <c r="CU137" i="1"/>
  <c r="CV137" i="1"/>
  <c r="U137" i="1" s="1"/>
  <c r="CW137" i="1"/>
  <c r="V137" i="1" s="1"/>
  <c r="GL137" i="1"/>
  <c r="GO137" i="1"/>
  <c r="GP137" i="1"/>
  <c r="GV137" i="1"/>
  <c r="HC137" i="1"/>
  <c r="GX137" i="1" s="1"/>
  <c r="I138" i="1"/>
  <c r="K138" i="1"/>
  <c r="P138" i="1"/>
  <c r="R138" i="1"/>
  <c r="AC138" i="1"/>
  <c r="AD138" i="1"/>
  <c r="AB138" i="1" s="1"/>
  <c r="AE138" i="1"/>
  <c r="Q138" i="1" s="1"/>
  <c r="AF138" i="1"/>
  <c r="S138" i="1" s="1"/>
  <c r="AG138" i="1"/>
  <c r="AH138" i="1"/>
  <c r="CV138" i="1" s="1"/>
  <c r="U138" i="1" s="1"/>
  <c r="AI138" i="1"/>
  <c r="AJ138" i="1"/>
  <c r="CX138" i="1" s="1"/>
  <c r="W138" i="1" s="1"/>
  <c r="CQ138" i="1"/>
  <c r="CR138" i="1"/>
  <c r="CS138" i="1"/>
  <c r="CU138" i="1"/>
  <c r="T138" i="1" s="1"/>
  <c r="CW138" i="1"/>
  <c r="V138" i="1" s="1"/>
  <c r="GL138" i="1"/>
  <c r="GO138" i="1"/>
  <c r="GP138" i="1"/>
  <c r="GV138" i="1"/>
  <c r="GX138" i="1"/>
  <c r="HC138" i="1"/>
  <c r="C139" i="1"/>
  <c r="D139" i="1"/>
  <c r="I139" i="1"/>
  <c r="K139" i="1"/>
  <c r="AC139" i="1"/>
  <c r="P139" i="1" s="1"/>
  <c r="AE139" i="1"/>
  <c r="AD139" i="1" s="1"/>
  <c r="AF139" i="1"/>
  <c r="AG139" i="1"/>
  <c r="CU139" i="1" s="1"/>
  <c r="T139" i="1" s="1"/>
  <c r="AH139" i="1"/>
  <c r="AI139" i="1"/>
  <c r="CW139" i="1" s="1"/>
  <c r="V139" i="1" s="1"/>
  <c r="AJ139" i="1"/>
  <c r="CR139" i="1"/>
  <c r="CT139" i="1"/>
  <c r="CV139" i="1"/>
  <c r="U139" i="1" s="1"/>
  <c r="CX139" i="1"/>
  <c r="W139" i="1" s="1"/>
  <c r="GL139" i="1"/>
  <c r="GN139" i="1"/>
  <c r="GP139" i="1"/>
  <c r="GV139" i="1"/>
  <c r="HC139" i="1"/>
  <c r="GX139" i="1" s="1"/>
  <c r="C140" i="1"/>
  <c r="D140" i="1"/>
  <c r="I140" i="1"/>
  <c r="K140" i="1"/>
  <c r="P140" i="1"/>
  <c r="R140" i="1"/>
  <c r="AC140" i="1"/>
  <c r="AD140" i="1"/>
  <c r="AE140" i="1"/>
  <c r="Q140" i="1" s="1"/>
  <c r="AF140" i="1"/>
  <c r="AB140" i="1" s="1"/>
  <c r="AG140" i="1"/>
  <c r="AH140" i="1"/>
  <c r="CV140" i="1" s="1"/>
  <c r="U140" i="1" s="1"/>
  <c r="AI140" i="1"/>
  <c r="AJ140" i="1"/>
  <c r="CX140" i="1" s="1"/>
  <c r="W140" i="1" s="1"/>
  <c r="CQ140" i="1"/>
  <c r="CR140" i="1"/>
  <c r="CS140" i="1"/>
  <c r="CU140" i="1"/>
  <c r="T140" i="1" s="1"/>
  <c r="CW140" i="1"/>
  <c r="V140" i="1" s="1"/>
  <c r="GL140" i="1"/>
  <c r="GN140" i="1"/>
  <c r="GP140" i="1"/>
  <c r="GV140" i="1"/>
  <c r="HC140" i="1" s="1"/>
  <c r="GX140" i="1" s="1"/>
  <c r="I141" i="1"/>
  <c r="P141" i="1" s="1"/>
  <c r="R141" i="1"/>
  <c r="AC141" i="1"/>
  <c r="AD141" i="1"/>
  <c r="AE141" i="1"/>
  <c r="AF141" i="1"/>
  <c r="AB141" i="1" s="1"/>
  <c r="AG141" i="1"/>
  <c r="AH141" i="1"/>
  <c r="CV141" i="1" s="1"/>
  <c r="U141" i="1" s="1"/>
  <c r="AI141" i="1"/>
  <c r="AJ141" i="1"/>
  <c r="CX141" i="1" s="1"/>
  <c r="W141" i="1" s="1"/>
  <c r="CQ141" i="1"/>
  <c r="CR141" i="1"/>
  <c r="CS141" i="1"/>
  <c r="CU141" i="1"/>
  <c r="T141" i="1" s="1"/>
  <c r="CW141" i="1"/>
  <c r="V141" i="1" s="1"/>
  <c r="GL141" i="1"/>
  <c r="GN141" i="1"/>
  <c r="GP141" i="1"/>
  <c r="GV141" i="1"/>
  <c r="HC141" i="1" s="1"/>
  <c r="GX141" i="1" s="1"/>
  <c r="I142" i="1"/>
  <c r="P142" i="1" s="1"/>
  <c r="R142" i="1"/>
  <c r="AC142" i="1"/>
  <c r="AD142" i="1"/>
  <c r="AE142" i="1"/>
  <c r="AF142" i="1"/>
  <c r="AB142" i="1" s="1"/>
  <c r="AG142" i="1"/>
  <c r="AH142" i="1"/>
  <c r="CV142" i="1" s="1"/>
  <c r="U142" i="1" s="1"/>
  <c r="AI142" i="1"/>
  <c r="AJ142" i="1"/>
  <c r="CX142" i="1" s="1"/>
  <c r="W142" i="1" s="1"/>
  <c r="CQ142" i="1"/>
  <c r="CR142" i="1"/>
  <c r="CS142" i="1"/>
  <c r="CU142" i="1"/>
  <c r="T142" i="1" s="1"/>
  <c r="CW142" i="1"/>
  <c r="V142" i="1" s="1"/>
  <c r="GL142" i="1"/>
  <c r="GN142" i="1"/>
  <c r="GP142" i="1"/>
  <c r="GV142" i="1"/>
  <c r="HC142" i="1" s="1"/>
  <c r="GX142" i="1" s="1"/>
  <c r="C143" i="1"/>
  <c r="D143" i="1"/>
  <c r="I143" i="1"/>
  <c r="K143" i="1"/>
  <c r="S143" i="1"/>
  <c r="AC143" i="1"/>
  <c r="AE143" i="1"/>
  <c r="Q143" i="1" s="1"/>
  <c r="AF143" i="1"/>
  <c r="AG143" i="1"/>
  <c r="CU143" i="1" s="1"/>
  <c r="T143" i="1" s="1"/>
  <c r="AH143" i="1"/>
  <c r="AI143" i="1"/>
  <c r="CW143" i="1" s="1"/>
  <c r="V143" i="1" s="1"/>
  <c r="AJ143" i="1"/>
  <c r="CR143" i="1"/>
  <c r="CT143" i="1"/>
  <c r="CV143" i="1"/>
  <c r="U143" i="1" s="1"/>
  <c r="CX143" i="1"/>
  <c r="W143" i="1" s="1"/>
  <c r="GL143" i="1"/>
  <c r="GN143" i="1"/>
  <c r="GP143" i="1"/>
  <c r="GV143" i="1"/>
  <c r="HC143" i="1" s="1"/>
  <c r="GX143" i="1" s="1"/>
  <c r="C144" i="1"/>
  <c r="D144" i="1"/>
  <c r="I144" i="1"/>
  <c r="K144" i="1"/>
  <c r="P144" i="1"/>
  <c r="R144" i="1"/>
  <c r="AC144" i="1"/>
  <c r="AD144" i="1"/>
  <c r="AB144" i="1" s="1"/>
  <c r="AE144" i="1"/>
  <c r="Q144" i="1" s="1"/>
  <c r="AF144" i="1"/>
  <c r="S144" i="1" s="1"/>
  <c r="AG144" i="1"/>
  <c r="AH144" i="1"/>
  <c r="CV144" i="1" s="1"/>
  <c r="U144" i="1" s="1"/>
  <c r="AI144" i="1"/>
  <c r="AJ144" i="1"/>
  <c r="CX144" i="1" s="1"/>
  <c r="W144" i="1" s="1"/>
  <c r="CQ144" i="1"/>
  <c r="CR144" i="1"/>
  <c r="CS144" i="1"/>
  <c r="CU144" i="1"/>
  <c r="T144" i="1" s="1"/>
  <c r="CW144" i="1"/>
  <c r="V144" i="1" s="1"/>
  <c r="GL144" i="1"/>
  <c r="GN144" i="1"/>
  <c r="GP144" i="1"/>
  <c r="GV144" i="1"/>
  <c r="GX144" i="1"/>
  <c r="HC144" i="1"/>
  <c r="I145" i="1"/>
  <c r="Q145" i="1" s="1"/>
  <c r="P145" i="1"/>
  <c r="CP145" i="1" s="1"/>
  <c r="O145" i="1" s="1"/>
  <c r="R145" i="1"/>
  <c r="AC145" i="1"/>
  <c r="AD145" i="1"/>
  <c r="AB145" i="1" s="1"/>
  <c r="AE145" i="1"/>
  <c r="AF145" i="1"/>
  <c r="S145" i="1" s="1"/>
  <c r="AG145" i="1"/>
  <c r="AH145" i="1"/>
  <c r="CV145" i="1" s="1"/>
  <c r="U145" i="1" s="1"/>
  <c r="AI145" i="1"/>
  <c r="AJ145" i="1"/>
  <c r="CX145" i="1" s="1"/>
  <c r="W145" i="1" s="1"/>
  <c r="CQ145" i="1"/>
  <c r="CR145" i="1"/>
  <c r="CS145" i="1"/>
  <c r="CU145" i="1"/>
  <c r="T145" i="1" s="1"/>
  <c r="CW145" i="1"/>
  <c r="V145" i="1" s="1"/>
  <c r="GL145" i="1"/>
  <c r="GN145" i="1"/>
  <c r="GP145" i="1"/>
  <c r="GV145" i="1"/>
  <c r="GX145" i="1"/>
  <c r="HC145" i="1"/>
  <c r="I146" i="1"/>
  <c r="Q146" i="1" s="1"/>
  <c r="P146" i="1"/>
  <c r="R146" i="1"/>
  <c r="AC146" i="1"/>
  <c r="AD146" i="1"/>
  <c r="AB146" i="1" s="1"/>
  <c r="AE146" i="1"/>
  <c r="AF146" i="1"/>
  <c r="S146" i="1" s="1"/>
  <c r="AG146" i="1"/>
  <c r="AH146" i="1"/>
  <c r="CV146" i="1" s="1"/>
  <c r="U146" i="1" s="1"/>
  <c r="AI146" i="1"/>
  <c r="AJ146" i="1"/>
  <c r="CX146" i="1" s="1"/>
  <c r="W146" i="1" s="1"/>
  <c r="CQ146" i="1"/>
  <c r="CR146" i="1"/>
  <c r="CS146" i="1"/>
  <c r="CU146" i="1"/>
  <c r="T146" i="1" s="1"/>
  <c r="CW146" i="1"/>
  <c r="V146" i="1" s="1"/>
  <c r="GL146" i="1"/>
  <c r="GN146" i="1"/>
  <c r="GP146" i="1"/>
  <c r="GV146" i="1"/>
  <c r="GX146" i="1"/>
  <c r="HC146" i="1"/>
  <c r="C147" i="1"/>
  <c r="D147" i="1"/>
  <c r="I147" i="1"/>
  <c r="K147" i="1"/>
  <c r="AC147" i="1"/>
  <c r="P147" i="1" s="1"/>
  <c r="AE147" i="1"/>
  <c r="AD147" i="1" s="1"/>
  <c r="AF147" i="1"/>
  <c r="AG147" i="1"/>
  <c r="CU147" i="1" s="1"/>
  <c r="T147" i="1" s="1"/>
  <c r="AH147" i="1"/>
  <c r="AI147" i="1"/>
  <c r="CW147" i="1" s="1"/>
  <c r="V147" i="1" s="1"/>
  <c r="AJ147" i="1"/>
  <c r="CR147" i="1"/>
  <c r="CT147" i="1"/>
  <c r="CV147" i="1"/>
  <c r="U147" i="1" s="1"/>
  <c r="CX147" i="1"/>
  <c r="W147" i="1" s="1"/>
  <c r="GL147" i="1"/>
  <c r="GN147" i="1"/>
  <c r="GP147" i="1"/>
  <c r="GV147" i="1"/>
  <c r="HC147" i="1"/>
  <c r="GX147" i="1" s="1"/>
  <c r="C148" i="1"/>
  <c r="D148" i="1"/>
  <c r="I148" i="1"/>
  <c r="K148" i="1"/>
  <c r="P148" i="1"/>
  <c r="R148" i="1"/>
  <c r="AC148" i="1"/>
  <c r="AD148" i="1"/>
  <c r="AE148" i="1"/>
  <c r="Q148" i="1" s="1"/>
  <c r="AF148" i="1"/>
  <c r="AB148" i="1" s="1"/>
  <c r="AG148" i="1"/>
  <c r="AH148" i="1"/>
  <c r="CV148" i="1" s="1"/>
  <c r="U148" i="1" s="1"/>
  <c r="AI148" i="1"/>
  <c r="AJ148" i="1"/>
  <c r="CX148" i="1" s="1"/>
  <c r="W148" i="1" s="1"/>
  <c r="CQ148" i="1"/>
  <c r="CR148" i="1"/>
  <c r="CS148" i="1"/>
  <c r="CU148" i="1"/>
  <c r="T148" i="1" s="1"/>
  <c r="CW148" i="1"/>
  <c r="V148" i="1" s="1"/>
  <c r="GL148" i="1"/>
  <c r="GN148" i="1"/>
  <c r="GP148" i="1"/>
  <c r="GV148" i="1"/>
  <c r="HC148" i="1" s="1"/>
  <c r="GX148" i="1" s="1"/>
  <c r="I149" i="1"/>
  <c r="P149" i="1" s="1"/>
  <c r="R149" i="1"/>
  <c r="AC149" i="1"/>
  <c r="AD149" i="1"/>
  <c r="AE149" i="1"/>
  <c r="AF149" i="1"/>
  <c r="AB149" i="1" s="1"/>
  <c r="AG149" i="1"/>
  <c r="AH149" i="1"/>
  <c r="CV149" i="1" s="1"/>
  <c r="U149" i="1" s="1"/>
  <c r="AI149" i="1"/>
  <c r="AJ149" i="1"/>
  <c r="CX149" i="1" s="1"/>
  <c r="W149" i="1" s="1"/>
  <c r="CQ149" i="1"/>
  <c r="CR149" i="1"/>
  <c r="CS149" i="1"/>
  <c r="CU149" i="1"/>
  <c r="T149" i="1" s="1"/>
  <c r="CW149" i="1"/>
  <c r="V149" i="1" s="1"/>
  <c r="GL149" i="1"/>
  <c r="GN149" i="1"/>
  <c r="GP149" i="1"/>
  <c r="GV149" i="1"/>
  <c r="HC149" i="1" s="1"/>
  <c r="GX149" i="1" s="1"/>
  <c r="I150" i="1"/>
  <c r="P150" i="1" s="1"/>
  <c r="R150" i="1"/>
  <c r="AC150" i="1"/>
  <c r="AD150" i="1"/>
  <c r="AE150" i="1"/>
  <c r="AF150" i="1"/>
  <c r="AB150" i="1" s="1"/>
  <c r="AG150" i="1"/>
  <c r="AH150" i="1"/>
  <c r="CV150" i="1" s="1"/>
  <c r="U150" i="1" s="1"/>
  <c r="AI150" i="1"/>
  <c r="AJ150" i="1"/>
  <c r="CX150" i="1" s="1"/>
  <c r="W150" i="1" s="1"/>
  <c r="CQ150" i="1"/>
  <c r="CR150" i="1"/>
  <c r="CS150" i="1"/>
  <c r="CU150" i="1"/>
  <c r="T150" i="1" s="1"/>
  <c r="CW150" i="1"/>
  <c r="V150" i="1" s="1"/>
  <c r="GL150" i="1"/>
  <c r="GN150" i="1"/>
  <c r="GP150" i="1"/>
  <c r="GV150" i="1"/>
  <c r="HC150" i="1" s="1"/>
  <c r="GX150" i="1" s="1"/>
  <c r="C151" i="1"/>
  <c r="D151" i="1"/>
  <c r="I151" i="1"/>
  <c r="K151" i="1"/>
  <c r="S151" i="1"/>
  <c r="AC151" i="1"/>
  <c r="AE151" i="1"/>
  <c r="Q151" i="1" s="1"/>
  <c r="AF151" i="1"/>
  <c r="AG151" i="1"/>
  <c r="CU151" i="1" s="1"/>
  <c r="T151" i="1" s="1"/>
  <c r="AH151" i="1"/>
  <c r="AI151" i="1"/>
  <c r="CW151" i="1" s="1"/>
  <c r="V151" i="1" s="1"/>
  <c r="AJ151" i="1"/>
  <c r="CR151" i="1"/>
  <c r="CT151" i="1"/>
  <c r="CV151" i="1"/>
  <c r="U151" i="1" s="1"/>
  <c r="CX151" i="1"/>
  <c r="W151" i="1" s="1"/>
  <c r="GL151" i="1"/>
  <c r="GN151" i="1"/>
  <c r="GP151" i="1"/>
  <c r="GV151" i="1"/>
  <c r="HC151" i="1" s="1"/>
  <c r="GX151" i="1" s="1"/>
  <c r="C152" i="1"/>
  <c r="D152" i="1"/>
  <c r="I152" i="1"/>
  <c r="K152" i="1"/>
  <c r="P152" i="1"/>
  <c r="R152" i="1"/>
  <c r="AC152" i="1"/>
  <c r="AD152" i="1"/>
  <c r="AB152" i="1" s="1"/>
  <c r="AE152" i="1"/>
  <c r="Q152" i="1" s="1"/>
  <c r="AF152" i="1"/>
  <c r="S152" i="1" s="1"/>
  <c r="CZ152" i="1" s="1"/>
  <c r="Y152" i="1" s="1"/>
  <c r="AG152" i="1"/>
  <c r="AH152" i="1"/>
  <c r="CV152" i="1" s="1"/>
  <c r="U152" i="1" s="1"/>
  <c r="AI152" i="1"/>
  <c r="AJ152" i="1"/>
  <c r="CX152" i="1" s="1"/>
  <c r="W152" i="1" s="1"/>
  <c r="CQ152" i="1"/>
  <c r="CR152" i="1"/>
  <c r="CS152" i="1"/>
  <c r="CU152" i="1"/>
  <c r="T152" i="1" s="1"/>
  <c r="CW152" i="1"/>
  <c r="V152" i="1" s="1"/>
  <c r="GL152" i="1"/>
  <c r="GN152" i="1"/>
  <c r="GP152" i="1"/>
  <c r="GV152" i="1"/>
  <c r="GX152" i="1"/>
  <c r="HC152" i="1"/>
  <c r="I153" i="1"/>
  <c r="Q153" i="1" s="1"/>
  <c r="P153" i="1"/>
  <c r="CP153" i="1" s="1"/>
  <c r="O153" i="1" s="1"/>
  <c r="R153" i="1"/>
  <c r="T153" i="1"/>
  <c r="AC153" i="1"/>
  <c r="AD153" i="1"/>
  <c r="AB153" i="1" s="1"/>
  <c r="AE153" i="1"/>
  <c r="AF153" i="1"/>
  <c r="S153" i="1" s="1"/>
  <c r="CZ153" i="1" s="1"/>
  <c r="Y153" i="1" s="1"/>
  <c r="AG153" i="1"/>
  <c r="AH153" i="1"/>
  <c r="CV153" i="1" s="1"/>
  <c r="U153" i="1" s="1"/>
  <c r="AI153" i="1"/>
  <c r="AJ153" i="1"/>
  <c r="CX153" i="1" s="1"/>
  <c r="W153" i="1" s="1"/>
  <c r="CQ153" i="1"/>
  <c r="CR153" i="1"/>
  <c r="CS153" i="1"/>
  <c r="CU153" i="1"/>
  <c r="CW153" i="1"/>
  <c r="V153" i="1" s="1"/>
  <c r="CY153" i="1"/>
  <c r="X153" i="1" s="1"/>
  <c r="GL153" i="1"/>
  <c r="GN153" i="1"/>
  <c r="GP153" i="1"/>
  <c r="GV153" i="1"/>
  <c r="GX153" i="1"/>
  <c r="HC153" i="1"/>
  <c r="I154" i="1"/>
  <c r="Q154" i="1" s="1"/>
  <c r="P154" i="1"/>
  <c r="CP154" i="1" s="1"/>
  <c r="O154" i="1" s="1"/>
  <c r="R154" i="1"/>
  <c r="AC154" i="1"/>
  <c r="AD154" i="1"/>
  <c r="AB154" i="1" s="1"/>
  <c r="AE154" i="1"/>
  <c r="AF154" i="1"/>
  <c r="S154" i="1" s="1"/>
  <c r="CZ154" i="1" s="1"/>
  <c r="Y154" i="1" s="1"/>
  <c r="AG154" i="1"/>
  <c r="AH154" i="1"/>
  <c r="CV154" i="1" s="1"/>
  <c r="U154" i="1" s="1"/>
  <c r="AI154" i="1"/>
  <c r="AJ154" i="1"/>
  <c r="CX154" i="1" s="1"/>
  <c r="W154" i="1" s="1"/>
  <c r="CQ154" i="1"/>
  <c r="CR154" i="1"/>
  <c r="CS154" i="1"/>
  <c r="CU154" i="1"/>
  <c r="T154" i="1" s="1"/>
  <c r="CW154" i="1"/>
  <c r="V154" i="1" s="1"/>
  <c r="CY154" i="1"/>
  <c r="X154" i="1" s="1"/>
  <c r="GL154" i="1"/>
  <c r="GN154" i="1"/>
  <c r="GP154" i="1"/>
  <c r="GV154" i="1"/>
  <c r="GX154" i="1"/>
  <c r="HC154" i="1"/>
  <c r="C155" i="1"/>
  <c r="D155" i="1"/>
  <c r="I155" i="1"/>
  <c r="K155" i="1"/>
  <c r="U155" i="1"/>
  <c r="AC155" i="1"/>
  <c r="P155" i="1" s="1"/>
  <c r="AE155" i="1"/>
  <c r="CR155" i="1" s="1"/>
  <c r="AF155" i="1"/>
  <c r="AG155" i="1"/>
  <c r="CU155" i="1" s="1"/>
  <c r="T155" i="1" s="1"/>
  <c r="AH155" i="1"/>
  <c r="AI155" i="1"/>
  <c r="CW155" i="1" s="1"/>
  <c r="V155" i="1" s="1"/>
  <c r="AJ155" i="1"/>
  <c r="CT155" i="1"/>
  <c r="CV155" i="1"/>
  <c r="CX155" i="1"/>
  <c r="W155" i="1" s="1"/>
  <c r="GL155" i="1"/>
  <c r="GN155" i="1"/>
  <c r="GP155" i="1"/>
  <c r="GV155" i="1"/>
  <c r="HC155" i="1"/>
  <c r="GX155" i="1" s="1"/>
  <c r="C156" i="1"/>
  <c r="D156" i="1"/>
  <c r="I156" i="1"/>
  <c r="K156" i="1"/>
  <c r="P156" i="1"/>
  <c r="R156" i="1"/>
  <c r="AC156" i="1"/>
  <c r="AD156" i="1"/>
  <c r="AE156" i="1"/>
  <c r="Q156" i="1" s="1"/>
  <c r="AF156" i="1"/>
  <c r="AG156" i="1"/>
  <c r="AH156" i="1"/>
  <c r="CV156" i="1" s="1"/>
  <c r="U156" i="1" s="1"/>
  <c r="AI156" i="1"/>
  <c r="AJ156" i="1"/>
  <c r="CX156" i="1" s="1"/>
  <c r="W156" i="1" s="1"/>
  <c r="CQ156" i="1"/>
  <c r="CR156" i="1"/>
  <c r="CS156" i="1"/>
  <c r="CU156" i="1"/>
  <c r="T156" i="1" s="1"/>
  <c r="CW156" i="1"/>
  <c r="V156" i="1" s="1"/>
  <c r="GL156" i="1"/>
  <c r="GN156" i="1"/>
  <c r="GP156" i="1"/>
  <c r="GV156" i="1"/>
  <c r="HC156" i="1" s="1"/>
  <c r="GX156" i="1" s="1"/>
  <c r="I157" i="1"/>
  <c r="R157" i="1"/>
  <c r="V157" i="1"/>
  <c r="AC157" i="1"/>
  <c r="AD157" i="1"/>
  <c r="AE157" i="1"/>
  <c r="AF157" i="1"/>
  <c r="AG157" i="1"/>
  <c r="AH157" i="1"/>
  <c r="CV157" i="1" s="1"/>
  <c r="U157" i="1" s="1"/>
  <c r="AI157" i="1"/>
  <c r="AJ157" i="1"/>
  <c r="CX157" i="1" s="1"/>
  <c r="W157" i="1" s="1"/>
  <c r="CQ157" i="1"/>
  <c r="CR157" i="1"/>
  <c r="CS157" i="1"/>
  <c r="CU157" i="1"/>
  <c r="T157" i="1" s="1"/>
  <c r="CW157" i="1"/>
  <c r="GL157" i="1"/>
  <c r="GN157" i="1"/>
  <c r="GP157" i="1"/>
  <c r="GV157" i="1"/>
  <c r="HC157" i="1" s="1"/>
  <c r="GX157" i="1" s="1"/>
  <c r="I158" i="1"/>
  <c r="R158" i="1"/>
  <c r="V158" i="1"/>
  <c r="AC158" i="1"/>
  <c r="AD158" i="1"/>
  <c r="AE158" i="1"/>
  <c r="AF158" i="1"/>
  <c r="AG158" i="1"/>
  <c r="AH158" i="1"/>
  <c r="CV158" i="1" s="1"/>
  <c r="U158" i="1" s="1"/>
  <c r="AI158" i="1"/>
  <c r="AJ158" i="1"/>
  <c r="CX158" i="1" s="1"/>
  <c r="CQ158" i="1"/>
  <c r="CR158" i="1"/>
  <c r="CS158" i="1"/>
  <c r="CU158" i="1"/>
  <c r="CW158" i="1"/>
  <c r="GL158" i="1"/>
  <c r="GN158" i="1"/>
  <c r="GP158" i="1"/>
  <c r="GV158" i="1"/>
  <c r="HC158" i="1" s="1"/>
  <c r="GX158" i="1" s="1"/>
  <c r="C159" i="1"/>
  <c r="D159" i="1"/>
  <c r="I159" i="1"/>
  <c r="K159" i="1"/>
  <c r="S159" i="1"/>
  <c r="AC159" i="1"/>
  <c r="AE159" i="1"/>
  <c r="Q159" i="1" s="1"/>
  <c r="AF159" i="1"/>
  <c r="AG159" i="1"/>
  <c r="CU159" i="1" s="1"/>
  <c r="T159" i="1" s="1"/>
  <c r="AH159" i="1"/>
  <c r="AI159" i="1"/>
  <c r="CW159" i="1" s="1"/>
  <c r="V159" i="1" s="1"/>
  <c r="AJ159" i="1"/>
  <c r="CR159" i="1"/>
  <c r="CT159" i="1"/>
  <c r="CV159" i="1"/>
  <c r="U159" i="1" s="1"/>
  <c r="CX159" i="1"/>
  <c r="W159" i="1" s="1"/>
  <c r="GL159" i="1"/>
  <c r="GN159" i="1"/>
  <c r="GP159" i="1"/>
  <c r="GV159" i="1"/>
  <c r="HC159" i="1" s="1"/>
  <c r="GX159" i="1" s="1"/>
  <c r="C160" i="1"/>
  <c r="D160" i="1"/>
  <c r="I160" i="1"/>
  <c r="K160" i="1"/>
  <c r="P160" i="1"/>
  <c r="R160" i="1"/>
  <c r="AC160" i="1"/>
  <c r="AD160" i="1"/>
  <c r="AE160" i="1"/>
  <c r="Q160" i="1" s="1"/>
  <c r="AF160" i="1"/>
  <c r="AG160" i="1"/>
  <c r="AH160" i="1"/>
  <c r="CV160" i="1" s="1"/>
  <c r="U160" i="1" s="1"/>
  <c r="AI160" i="1"/>
  <c r="AJ160" i="1"/>
  <c r="CX160" i="1" s="1"/>
  <c r="W160" i="1" s="1"/>
  <c r="CQ160" i="1"/>
  <c r="CR160" i="1"/>
  <c r="CS160" i="1"/>
  <c r="CU160" i="1"/>
  <c r="T160" i="1" s="1"/>
  <c r="CW160" i="1"/>
  <c r="V160" i="1" s="1"/>
  <c r="GL160" i="1"/>
  <c r="GN160" i="1"/>
  <c r="GP160" i="1"/>
  <c r="GV160" i="1"/>
  <c r="GX160" i="1"/>
  <c r="HC160" i="1"/>
  <c r="I161" i="1"/>
  <c r="Q161" i="1" s="1"/>
  <c r="T161" i="1"/>
  <c r="AC161" i="1"/>
  <c r="AD161" i="1"/>
  <c r="AB161" i="1" s="1"/>
  <c r="AE161" i="1"/>
  <c r="AF161" i="1"/>
  <c r="AG161" i="1"/>
  <c r="AH161" i="1"/>
  <c r="CV161" i="1" s="1"/>
  <c r="U161" i="1" s="1"/>
  <c r="AI161" i="1"/>
  <c r="AJ161" i="1"/>
  <c r="CX161" i="1" s="1"/>
  <c r="CQ161" i="1"/>
  <c r="CR161" i="1"/>
  <c r="CS161" i="1"/>
  <c r="CU161" i="1"/>
  <c r="CW161" i="1"/>
  <c r="V161" i="1" s="1"/>
  <c r="GL161" i="1"/>
  <c r="GN161" i="1"/>
  <c r="GP161" i="1"/>
  <c r="GV161" i="1"/>
  <c r="HC161" i="1"/>
  <c r="I162" i="1"/>
  <c r="Q162" i="1" s="1"/>
  <c r="V162" i="1"/>
  <c r="AC162" i="1"/>
  <c r="AD162" i="1"/>
  <c r="AB162" i="1" s="1"/>
  <c r="AE162" i="1"/>
  <c r="AF162" i="1"/>
  <c r="AG162" i="1"/>
  <c r="AH162" i="1"/>
  <c r="CV162" i="1" s="1"/>
  <c r="U162" i="1" s="1"/>
  <c r="AI162" i="1"/>
  <c r="AJ162" i="1"/>
  <c r="CX162" i="1" s="1"/>
  <c r="CQ162" i="1"/>
  <c r="CR162" i="1"/>
  <c r="CS162" i="1"/>
  <c r="CU162" i="1"/>
  <c r="CW162" i="1"/>
  <c r="GL162" i="1"/>
  <c r="GN162" i="1"/>
  <c r="GP162" i="1"/>
  <c r="GV162" i="1"/>
  <c r="HC162" i="1"/>
  <c r="B164" i="1"/>
  <c r="B123" i="1" s="1"/>
  <c r="C164" i="1"/>
  <c r="C123" i="1" s="1"/>
  <c r="D164" i="1"/>
  <c r="D123" i="1" s="1"/>
  <c r="F164" i="1"/>
  <c r="F123" i="1" s="1"/>
  <c r="G164" i="1"/>
  <c r="G123" i="1" s="1"/>
  <c r="AH164" i="1"/>
  <c r="BB164" i="1"/>
  <c r="BX164" i="1"/>
  <c r="BX123" i="1" s="1"/>
  <c r="BY164" i="1"/>
  <c r="BY123" i="1" s="1"/>
  <c r="CK164" i="1"/>
  <c r="CK123" i="1" s="1"/>
  <c r="CL164" i="1"/>
  <c r="CL123" i="1" s="1"/>
  <c r="CM164" i="1"/>
  <c r="CM123" i="1" s="1"/>
  <c r="EH164" i="1"/>
  <c r="EH123" i="1" s="1"/>
  <c r="FP164" i="1"/>
  <c r="FP123" i="1" s="1"/>
  <c r="FQ164" i="1"/>
  <c r="FQ123" i="1" s="1"/>
  <c r="GC164" i="1"/>
  <c r="GC123" i="1" s="1"/>
  <c r="GD164" i="1"/>
  <c r="GD123" i="1" s="1"/>
  <c r="GE164" i="1"/>
  <c r="GE123" i="1" s="1"/>
  <c r="D194" i="1"/>
  <c r="E196" i="1"/>
  <c r="Z196" i="1"/>
  <c r="AA196" i="1"/>
  <c r="AM196" i="1"/>
  <c r="AN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R196" i="1"/>
  <c r="DS196" i="1"/>
  <c r="EE196" i="1"/>
  <c r="EF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GS196" i="1"/>
  <c r="GT196" i="1"/>
  <c r="GU196" i="1"/>
  <c r="GV196" i="1"/>
  <c r="GW196" i="1"/>
  <c r="GX196" i="1"/>
  <c r="C198" i="1"/>
  <c r="D198" i="1"/>
  <c r="I198" i="1"/>
  <c r="K198" i="1"/>
  <c r="S198" i="1"/>
  <c r="T198" i="1"/>
  <c r="U198" i="1"/>
  <c r="AC198" i="1"/>
  <c r="CQ198" i="1" s="1"/>
  <c r="AE198" i="1"/>
  <c r="Q198" i="1" s="1"/>
  <c r="AF198" i="1"/>
  <c r="AG198" i="1"/>
  <c r="AH198" i="1"/>
  <c r="AI198" i="1"/>
  <c r="CW198" i="1" s="1"/>
  <c r="V198" i="1" s="1"/>
  <c r="AJ198" i="1"/>
  <c r="CR198" i="1"/>
  <c r="CT198" i="1"/>
  <c r="CU198" i="1"/>
  <c r="CV198" i="1"/>
  <c r="CX198" i="1"/>
  <c r="W198" i="1" s="1"/>
  <c r="GL198" i="1"/>
  <c r="GN198" i="1"/>
  <c r="GP198" i="1"/>
  <c r="GV198" i="1"/>
  <c r="GX198" i="1"/>
  <c r="HC198" i="1"/>
  <c r="C199" i="1"/>
  <c r="D199" i="1"/>
  <c r="I199" i="1"/>
  <c r="T199" i="1" s="1"/>
  <c r="K199" i="1"/>
  <c r="R199" i="1"/>
  <c r="AC199" i="1"/>
  <c r="AD199" i="1"/>
  <c r="AB199" i="1" s="1"/>
  <c r="AE199" i="1"/>
  <c r="AF199" i="1"/>
  <c r="AG199" i="1"/>
  <c r="AH199" i="1"/>
  <c r="CV199" i="1" s="1"/>
  <c r="U199" i="1" s="1"/>
  <c r="AI199" i="1"/>
  <c r="AJ199" i="1"/>
  <c r="CX199" i="1" s="1"/>
  <c r="CQ199" i="1"/>
  <c r="CR199" i="1"/>
  <c r="CS199" i="1"/>
  <c r="CU199" i="1"/>
  <c r="CW199" i="1"/>
  <c r="V199" i="1" s="1"/>
  <c r="GL199" i="1"/>
  <c r="GN199" i="1"/>
  <c r="GP199" i="1"/>
  <c r="GV199" i="1"/>
  <c r="GX199" i="1"/>
  <c r="HC199" i="1"/>
  <c r="I200" i="1"/>
  <c r="K200" i="1"/>
  <c r="S200" i="1"/>
  <c r="T200" i="1"/>
  <c r="U200" i="1"/>
  <c r="AC200" i="1"/>
  <c r="CQ200" i="1" s="1"/>
  <c r="AE200" i="1"/>
  <c r="Q200" i="1" s="1"/>
  <c r="AF200" i="1"/>
  <c r="AG200" i="1"/>
  <c r="AH200" i="1"/>
  <c r="AI200" i="1"/>
  <c r="CW200" i="1" s="1"/>
  <c r="V200" i="1" s="1"/>
  <c r="AJ200" i="1"/>
  <c r="CR200" i="1"/>
  <c r="CT200" i="1"/>
  <c r="CU200" i="1"/>
  <c r="CV200" i="1"/>
  <c r="CX200" i="1"/>
  <c r="W200" i="1" s="1"/>
  <c r="GL200" i="1"/>
  <c r="GN200" i="1"/>
  <c r="GO200" i="1"/>
  <c r="GP200" i="1"/>
  <c r="GV200" i="1"/>
  <c r="HC200" i="1" s="1"/>
  <c r="GX200" i="1"/>
  <c r="I201" i="1"/>
  <c r="K201" i="1"/>
  <c r="Q201" i="1"/>
  <c r="AC201" i="1"/>
  <c r="AE201" i="1"/>
  <c r="AD201" i="1" s="1"/>
  <c r="AF201" i="1"/>
  <c r="S201" i="1" s="1"/>
  <c r="AG201" i="1"/>
  <c r="CU201" i="1" s="1"/>
  <c r="AH201" i="1"/>
  <c r="AI201" i="1"/>
  <c r="AJ201" i="1"/>
  <c r="CR201" i="1"/>
  <c r="CS201" i="1"/>
  <c r="CT201" i="1"/>
  <c r="CV201" i="1"/>
  <c r="U201" i="1" s="1"/>
  <c r="CW201" i="1"/>
  <c r="V201" i="1" s="1"/>
  <c r="CX201" i="1"/>
  <c r="W201" i="1" s="1"/>
  <c r="GL201" i="1"/>
  <c r="GN201" i="1"/>
  <c r="GO201" i="1"/>
  <c r="GP201" i="1"/>
  <c r="GV201" i="1"/>
  <c r="GX201" i="1"/>
  <c r="HC201" i="1"/>
  <c r="C202" i="1"/>
  <c r="D202" i="1"/>
  <c r="I202" i="1"/>
  <c r="K202" i="1"/>
  <c r="Q202" i="1"/>
  <c r="AC202" i="1"/>
  <c r="AE202" i="1"/>
  <c r="AD202" i="1" s="1"/>
  <c r="AF202" i="1"/>
  <c r="S202" i="1" s="1"/>
  <c r="AG202" i="1"/>
  <c r="CU202" i="1" s="1"/>
  <c r="AH202" i="1"/>
  <c r="AI202" i="1"/>
  <c r="AJ202" i="1"/>
  <c r="CR202" i="1"/>
  <c r="CS202" i="1"/>
  <c r="CT202" i="1"/>
  <c r="CV202" i="1"/>
  <c r="U202" i="1" s="1"/>
  <c r="CW202" i="1"/>
  <c r="V202" i="1" s="1"/>
  <c r="CX202" i="1"/>
  <c r="W202" i="1" s="1"/>
  <c r="GL202" i="1"/>
  <c r="GN202" i="1"/>
  <c r="GP202" i="1"/>
  <c r="GV202" i="1"/>
  <c r="HC202" i="1" s="1"/>
  <c r="GX202" i="1" s="1"/>
  <c r="C203" i="1"/>
  <c r="D203" i="1"/>
  <c r="I203" i="1"/>
  <c r="K203" i="1"/>
  <c r="R203" i="1"/>
  <c r="S203" i="1"/>
  <c r="W203" i="1"/>
  <c r="AC203" i="1"/>
  <c r="P203" i="1" s="1"/>
  <c r="CP203" i="1" s="1"/>
  <c r="O203" i="1" s="1"/>
  <c r="AD203" i="1"/>
  <c r="AE203" i="1"/>
  <c r="Q203" i="1" s="1"/>
  <c r="AF203" i="1"/>
  <c r="AG203" i="1"/>
  <c r="AH203" i="1"/>
  <c r="CV203" i="1" s="1"/>
  <c r="U203" i="1" s="1"/>
  <c r="AI203" i="1"/>
  <c r="AJ203" i="1"/>
  <c r="CQ203" i="1"/>
  <c r="CR203" i="1"/>
  <c r="CS203" i="1"/>
  <c r="CT203" i="1"/>
  <c r="CU203" i="1"/>
  <c r="T203" i="1" s="1"/>
  <c r="CW203" i="1"/>
  <c r="V203" i="1" s="1"/>
  <c r="CX203" i="1"/>
  <c r="GL203" i="1"/>
  <c r="GN203" i="1"/>
  <c r="GP203" i="1"/>
  <c r="GV203" i="1"/>
  <c r="HC203" i="1" s="1"/>
  <c r="GX203" i="1" s="1"/>
  <c r="I204" i="1"/>
  <c r="K204" i="1"/>
  <c r="Q204" i="1"/>
  <c r="AB204" i="1"/>
  <c r="AC204" i="1"/>
  <c r="AE204" i="1"/>
  <c r="AD204" i="1" s="1"/>
  <c r="AF204" i="1"/>
  <c r="S204" i="1" s="1"/>
  <c r="AG204" i="1"/>
  <c r="CU204" i="1" s="1"/>
  <c r="T204" i="1" s="1"/>
  <c r="AH204" i="1"/>
  <c r="AI204" i="1"/>
  <c r="AJ204" i="1"/>
  <c r="CX204" i="1" s="1"/>
  <c r="W204" i="1" s="1"/>
  <c r="CR204" i="1"/>
  <c r="CS204" i="1"/>
  <c r="CT204" i="1"/>
  <c r="CV204" i="1"/>
  <c r="U204" i="1" s="1"/>
  <c r="CW204" i="1"/>
  <c r="V204" i="1" s="1"/>
  <c r="GL204" i="1"/>
  <c r="GN204" i="1"/>
  <c r="GO204" i="1"/>
  <c r="GP204" i="1"/>
  <c r="GV204" i="1"/>
  <c r="HC204" i="1"/>
  <c r="GX204" i="1" s="1"/>
  <c r="I205" i="1"/>
  <c r="S205" i="1" s="1"/>
  <c r="K205" i="1"/>
  <c r="Q205" i="1"/>
  <c r="W205" i="1"/>
  <c r="AC205" i="1"/>
  <c r="AD205" i="1"/>
  <c r="AE205" i="1"/>
  <c r="AF205" i="1"/>
  <c r="AG205" i="1"/>
  <c r="AH205" i="1"/>
  <c r="AI205" i="1"/>
  <c r="CW205" i="1" s="1"/>
  <c r="AJ205" i="1"/>
  <c r="CQ205" i="1"/>
  <c r="CR205" i="1"/>
  <c r="CT205" i="1"/>
  <c r="CU205" i="1"/>
  <c r="T205" i="1" s="1"/>
  <c r="CV205" i="1"/>
  <c r="U205" i="1" s="1"/>
  <c r="CX205" i="1"/>
  <c r="GL205" i="1"/>
  <c r="GN205" i="1"/>
  <c r="GO205" i="1"/>
  <c r="GP205" i="1"/>
  <c r="GV205" i="1"/>
  <c r="HC205" i="1" s="1"/>
  <c r="GX205" i="1" s="1"/>
  <c r="C206" i="1"/>
  <c r="D206" i="1"/>
  <c r="I206" i="1"/>
  <c r="S206" i="1" s="1"/>
  <c r="K206" i="1"/>
  <c r="Q206" i="1"/>
  <c r="U206" i="1"/>
  <c r="W206" i="1"/>
  <c r="AC206" i="1"/>
  <c r="AB206" i="1" s="1"/>
  <c r="AD206" i="1"/>
  <c r="AE206" i="1"/>
  <c r="AF206" i="1"/>
  <c r="AG206" i="1"/>
  <c r="AH206" i="1"/>
  <c r="AI206" i="1"/>
  <c r="CW206" i="1" s="1"/>
  <c r="AJ206" i="1"/>
  <c r="CR206" i="1"/>
  <c r="CT206" i="1"/>
  <c r="CU206" i="1"/>
  <c r="T206" i="1" s="1"/>
  <c r="CV206" i="1"/>
  <c r="CX206" i="1"/>
  <c r="GL206" i="1"/>
  <c r="GN206" i="1"/>
  <c r="GP206" i="1"/>
  <c r="GV206" i="1"/>
  <c r="HC206" i="1"/>
  <c r="GX206" i="1" s="1"/>
  <c r="C207" i="1"/>
  <c r="D207" i="1"/>
  <c r="I207" i="1"/>
  <c r="CU266" i="3" s="1"/>
  <c r="K207" i="1"/>
  <c r="R207" i="1"/>
  <c r="AC207" i="1"/>
  <c r="P207" i="1" s="1"/>
  <c r="AE207" i="1"/>
  <c r="Q207" i="1" s="1"/>
  <c r="AF207" i="1"/>
  <c r="S207" i="1" s="1"/>
  <c r="AG207" i="1"/>
  <c r="CU207" i="1" s="1"/>
  <c r="T207" i="1" s="1"/>
  <c r="AH207" i="1"/>
  <c r="AI207" i="1"/>
  <c r="AJ207" i="1"/>
  <c r="CX207" i="1" s="1"/>
  <c r="W207" i="1" s="1"/>
  <c r="CR207" i="1"/>
  <c r="CS207" i="1"/>
  <c r="CV207" i="1"/>
  <c r="U207" i="1" s="1"/>
  <c r="CW207" i="1"/>
  <c r="V207" i="1" s="1"/>
  <c r="GL207" i="1"/>
  <c r="GN207" i="1"/>
  <c r="GP207" i="1"/>
  <c r="GV207" i="1"/>
  <c r="HC207" i="1" s="1"/>
  <c r="GX207" i="1" s="1"/>
  <c r="I208" i="1"/>
  <c r="Q208" i="1" s="1"/>
  <c r="R208" i="1"/>
  <c r="AC208" i="1"/>
  <c r="P208" i="1" s="1"/>
  <c r="CP208" i="1" s="1"/>
  <c r="O208" i="1" s="1"/>
  <c r="AE208" i="1"/>
  <c r="AD208" i="1" s="1"/>
  <c r="AB208" i="1" s="1"/>
  <c r="AF208" i="1"/>
  <c r="S208" i="1" s="1"/>
  <c r="AG208" i="1"/>
  <c r="CU208" i="1" s="1"/>
  <c r="T208" i="1" s="1"/>
  <c r="AH208" i="1"/>
  <c r="AI208" i="1"/>
  <c r="AJ208" i="1"/>
  <c r="CX208" i="1" s="1"/>
  <c r="W208" i="1" s="1"/>
  <c r="CR208" i="1"/>
  <c r="CS208" i="1"/>
  <c r="CV208" i="1"/>
  <c r="U208" i="1" s="1"/>
  <c r="CW208" i="1"/>
  <c r="V208" i="1" s="1"/>
  <c r="GL208" i="1"/>
  <c r="GN208" i="1"/>
  <c r="GP208" i="1"/>
  <c r="GV208" i="1"/>
  <c r="HC208" i="1" s="1"/>
  <c r="GX208" i="1" s="1"/>
  <c r="I209" i="1"/>
  <c r="Q209" i="1" s="1"/>
  <c r="R209" i="1"/>
  <c r="AC209" i="1"/>
  <c r="P209" i="1" s="1"/>
  <c r="CP209" i="1" s="1"/>
  <c r="O209" i="1" s="1"/>
  <c r="AE209" i="1"/>
  <c r="AD209" i="1" s="1"/>
  <c r="AB209" i="1" s="1"/>
  <c r="AF209" i="1"/>
  <c r="S209" i="1" s="1"/>
  <c r="AG209" i="1"/>
  <c r="CU209" i="1" s="1"/>
  <c r="T209" i="1" s="1"/>
  <c r="AH209" i="1"/>
  <c r="AI209" i="1"/>
  <c r="AJ209" i="1"/>
  <c r="CX209" i="1" s="1"/>
  <c r="W209" i="1" s="1"/>
  <c r="CR209" i="1"/>
  <c r="CS209" i="1"/>
  <c r="CV209" i="1"/>
  <c r="U209" i="1" s="1"/>
  <c r="CW209" i="1"/>
  <c r="V209" i="1" s="1"/>
  <c r="GL209" i="1"/>
  <c r="GN209" i="1"/>
  <c r="GP209" i="1"/>
  <c r="GV209" i="1"/>
  <c r="HC209" i="1" s="1"/>
  <c r="GX209" i="1" s="1"/>
  <c r="I210" i="1"/>
  <c r="Q210" i="1" s="1"/>
  <c r="R210" i="1"/>
  <c r="AC210" i="1"/>
  <c r="P210" i="1" s="1"/>
  <c r="AE210" i="1"/>
  <c r="AD210" i="1" s="1"/>
  <c r="AB210" i="1" s="1"/>
  <c r="AF210" i="1"/>
  <c r="S210" i="1" s="1"/>
  <c r="AG210" i="1"/>
  <c r="CU210" i="1" s="1"/>
  <c r="T210" i="1" s="1"/>
  <c r="AH210" i="1"/>
  <c r="AI210" i="1"/>
  <c r="AJ210" i="1"/>
  <c r="CX210" i="1" s="1"/>
  <c r="W210" i="1" s="1"/>
  <c r="CR210" i="1"/>
  <c r="CS210" i="1"/>
  <c r="CV210" i="1"/>
  <c r="U210" i="1" s="1"/>
  <c r="CW210" i="1"/>
  <c r="V210" i="1" s="1"/>
  <c r="GL210" i="1"/>
  <c r="GN210" i="1"/>
  <c r="GP210" i="1"/>
  <c r="GV210" i="1"/>
  <c r="HC210" i="1" s="1"/>
  <c r="GX210" i="1" s="1"/>
  <c r="I211" i="1"/>
  <c r="Q211" i="1" s="1"/>
  <c r="R211" i="1"/>
  <c r="AC211" i="1"/>
  <c r="P211" i="1" s="1"/>
  <c r="AE211" i="1"/>
  <c r="AD211" i="1" s="1"/>
  <c r="AB211" i="1" s="1"/>
  <c r="AF211" i="1"/>
  <c r="S211" i="1" s="1"/>
  <c r="AG211" i="1"/>
  <c r="CU211" i="1" s="1"/>
  <c r="T211" i="1" s="1"/>
  <c r="AH211" i="1"/>
  <c r="AI211" i="1"/>
  <c r="AJ211" i="1"/>
  <c r="CX211" i="1" s="1"/>
  <c r="W211" i="1" s="1"/>
  <c r="CR211" i="1"/>
  <c r="CS211" i="1"/>
  <c r="CV211" i="1"/>
  <c r="U211" i="1" s="1"/>
  <c r="CW211" i="1"/>
  <c r="V211" i="1" s="1"/>
  <c r="GL211" i="1"/>
  <c r="GN211" i="1"/>
  <c r="GP211" i="1"/>
  <c r="GV211" i="1"/>
  <c r="HC211" i="1" s="1"/>
  <c r="GX211" i="1" s="1"/>
  <c r="C212" i="1"/>
  <c r="D212" i="1"/>
  <c r="I212" i="1"/>
  <c r="K212" i="1"/>
  <c r="R212" i="1"/>
  <c r="S212" i="1"/>
  <c r="CY212" i="1" s="1"/>
  <c r="X212" i="1" s="1"/>
  <c r="AC212" i="1"/>
  <c r="AB212" i="1" s="1"/>
  <c r="AD212" i="1"/>
  <c r="AE212" i="1"/>
  <c r="Q212" i="1" s="1"/>
  <c r="AF212" i="1"/>
  <c r="AG212" i="1"/>
  <c r="CU212" i="1" s="1"/>
  <c r="T212" i="1" s="1"/>
  <c r="AH212" i="1"/>
  <c r="CV212" i="1" s="1"/>
  <c r="U212" i="1" s="1"/>
  <c r="AI212" i="1"/>
  <c r="AJ212" i="1"/>
  <c r="CR212" i="1"/>
  <c r="CS212" i="1"/>
  <c r="CT212" i="1"/>
  <c r="CW212" i="1"/>
  <c r="V212" i="1" s="1"/>
  <c r="CX212" i="1"/>
  <c r="W212" i="1" s="1"/>
  <c r="GL212" i="1"/>
  <c r="GN212" i="1"/>
  <c r="GP212" i="1"/>
  <c r="GV212" i="1"/>
  <c r="HC212" i="1" s="1"/>
  <c r="GX212" i="1" s="1"/>
  <c r="C213" i="1"/>
  <c r="D213" i="1"/>
  <c r="I213" i="1"/>
  <c r="I215" i="1" s="1"/>
  <c r="K213" i="1"/>
  <c r="P213" i="1"/>
  <c r="AC213" i="1"/>
  <c r="AB213" i="1" s="1"/>
  <c r="AD213" i="1"/>
  <c r="AE213" i="1"/>
  <c r="Q213" i="1" s="1"/>
  <c r="AF213" i="1"/>
  <c r="AG213" i="1"/>
  <c r="AH213" i="1"/>
  <c r="CV213" i="1" s="1"/>
  <c r="U213" i="1" s="1"/>
  <c r="AI213" i="1"/>
  <c r="CW213" i="1" s="1"/>
  <c r="V213" i="1" s="1"/>
  <c r="AJ213" i="1"/>
  <c r="CQ213" i="1"/>
  <c r="CR213" i="1"/>
  <c r="CT213" i="1"/>
  <c r="CU213" i="1"/>
  <c r="T213" i="1" s="1"/>
  <c r="CX213" i="1"/>
  <c r="W213" i="1" s="1"/>
  <c r="GL213" i="1"/>
  <c r="GN213" i="1"/>
  <c r="GP213" i="1"/>
  <c r="GV213" i="1"/>
  <c r="GX213" i="1"/>
  <c r="HC213" i="1"/>
  <c r="I214" i="1"/>
  <c r="P214" i="1"/>
  <c r="S214" i="1"/>
  <c r="AC214" i="1"/>
  <c r="AB214" i="1" s="1"/>
  <c r="AD214" i="1"/>
  <c r="AE214" i="1"/>
  <c r="Q214" i="1" s="1"/>
  <c r="AF214" i="1"/>
  <c r="AG214" i="1"/>
  <c r="AH214" i="1"/>
  <c r="CV214" i="1" s="1"/>
  <c r="U214" i="1" s="1"/>
  <c r="AI214" i="1"/>
  <c r="CW214" i="1" s="1"/>
  <c r="V214" i="1" s="1"/>
  <c r="AJ214" i="1"/>
  <c r="CQ214" i="1"/>
  <c r="CR214" i="1"/>
  <c r="CT214" i="1"/>
  <c r="CU214" i="1"/>
  <c r="T214" i="1" s="1"/>
  <c r="CX214" i="1"/>
  <c r="W214" i="1" s="1"/>
  <c r="GL214" i="1"/>
  <c r="GN214" i="1"/>
  <c r="CB223" i="1" s="1"/>
  <c r="GP214" i="1"/>
  <c r="GV214" i="1"/>
  <c r="GX214" i="1"/>
  <c r="HC214" i="1"/>
  <c r="AC215" i="1"/>
  <c r="AB215" i="1" s="1"/>
  <c r="AD215" i="1"/>
  <c r="AE215" i="1"/>
  <c r="R215" i="1" s="1"/>
  <c r="AF215" i="1"/>
  <c r="AG215" i="1"/>
  <c r="AH215" i="1"/>
  <c r="CV215" i="1" s="1"/>
  <c r="U215" i="1" s="1"/>
  <c r="AI215" i="1"/>
  <c r="CW215" i="1" s="1"/>
  <c r="V215" i="1" s="1"/>
  <c r="AJ215" i="1"/>
  <c r="CQ215" i="1"/>
  <c r="CR215" i="1"/>
  <c r="CT215" i="1"/>
  <c r="CU215" i="1"/>
  <c r="CX215" i="1"/>
  <c r="W215" i="1" s="1"/>
  <c r="GL215" i="1"/>
  <c r="GN215" i="1"/>
  <c r="GP215" i="1"/>
  <c r="GV215" i="1"/>
  <c r="HC215" i="1"/>
  <c r="C216" i="1"/>
  <c r="D216" i="1"/>
  <c r="I216" i="1"/>
  <c r="P216" i="1" s="1"/>
  <c r="K216" i="1"/>
  <c r="AC216" i="1"/>
  <c r="AE216" i="1"/>
  <c r="Q216" i="1" s="1"/>
  <c r="AF216" i="1"/>
  <c r="S216" i="1" s="1"/>
  <c r="AG216" i="1"/>
  <c r="AH216" i="1"/>
  <c r="AI216" i="1"/>
  <c r="CW216" i="1" s="1"/>
  <c r="V216" i="1" s="1"/>
  <c r="AJ216" i="1"/>
  <c r="CX216" i="1" s="1"/>
  <c r="W216" i="1" s="1"/>
  <c r="CQ216" i="1"/>
  <c r="CR216" i="1"/>
  <c r="CU216" i="1"/>
  <c r="T216" i="1" s="1"/>
  <c r="CV216" i="1"/>
  <c r="U216" i="1" s="1"/>
  <c r="GL216" i="1"/>
  <c r="GN216" i="1"/>
  <c r="GP216" i="1"/>
  <c r="GV216" i="1"/>
  <c r="HC216" i="1"/>
  <c r="GX216" i="1" s="1"/>
  <c r="C217" i="1"/>
  <c r="D217" i="1"/>
  <c r="I217" i="1"/>
  <c r="K217" i="1"/>
  <c r="R217" i="1"/>
  <c r="AC217" i="1"/>
  <c r="P217" i="1" s="1"/>
  <c r="AE217" i="1"/>
  <c r="AD217" i="1" s="1"/>
  <c r="AB217" i="1" s="1"/>
  <c r="AF217" i="1"/>
  <c r="S217" i="1" s="1"/>
  <c r="AG217" i="1"/>
  <c r="CU217" i="1" s="1"/>
  <c r="T217" i="1" s="1"/>
  <c r="AH217" i="1"/>
  <c r="AI217" i="1"/>
  <c r="AJ217" i="1"/>
  <c r="CX217" i="1" s="1"/>
  <c r="W217" i="1" s="1"/>
  <c r="CR217" i="1"/>
  <c r="CS217" i="1"/>
  <c r="CV217" i="1"/>
  <c r="U217" i="1" s="1"/>
  <c r="CW217" i="1"/>
  <c r="V217" i="1" s="1"/>
  <c r="GL217" i="1"/>
  <c r="FR223" i="1" s="1"/>
  <c r="GN217" i="1"/>
  <c r="GP217" i="1"/>
  <c r="FV223" i="1" s="1"/>
  <c r="GV217" i="1"/>
  <c r="HC217" i="1" s="1"/>
  <c r="GX217" i="1" s="1"/>
  <c r="I218" i="1"/>
  <c r="Q218" i="1" s="1"/>
  <c r="R218" i="1"/>
  <c r="AC218" i="1"/>
  <c r="P218" i="1" s="1"/>
  <c r="AE218" i="1"/>
  <c r="AD218" i="1" s="1"/>
  <c r="AB218" i="1" s="1"/>
  <c r="AF218" i="1"/>
  <c r="S218" i="1" s="1"/>
  <c r="AG218" i="1"/>
  <c r="CU218" i="1" s="1"/>
  <c r="T218" i="1" s="1"/>
  <c r="AH218" i="1"/>
  <c r="AI218" i="1"/>
  <c r="AJ218" i="1"/>
  <c r="CX218" i="1" s="1"/>
  <c r="W218" i="1" s="1"/>
  <c r="CR218" i="1"/>
  <c r="CS218" i="1"/>
  <c r="CV218" i="1"/>
  <c r="U218" i="1" s="1"/>
  <c r="CW218" i="1"/>
  <c r="V218" i="1" s="1"/>
  <c r="GL218" i="1"/>
  <c r="BZ223" i="1" s="1"/>
  <c r="GN218" i="1"/>
  <c r="GP218" i="1"/>
  <c r="CD223" i="1" s="1"/>
  <c r="GV218" i="1"/>
  <c r="HC218" i="1" s="1"/>
  <c r="GX218" i="1" s="1"/>
  <c r="I219" i="1"/>
  <c r="Q219" i="1" s="1"/>
  <c r="R219" i="1"/>
  <c r="AC219" i="1"/>
  <c r="P219" i="1" s="1"/>
  <c r="CP219" i="1" s="1"/>
  <c r="O219" i="1" s="1"/>
  <c r="AE219" i="1"/>
  <c r="AD219" i="1" s="1"/>
  <c r="AB219" i="1" s="1"/>
  <c r="AF219" i="1"/>
  <c r="S219" i="1" s="1"/>
  <c r="AG219" i="1"/>
  <c r="CU219" i="1" s="1"/>
  <c r="T219" i="1" s="1"/>
  <c r="AH219" i="1"/>
  <c r="AI219" i="1"/>
  <c r="AJ219" i="1"/>
  <c r="CX219" i="1" s="1"/>
  <c r="W219" i="1" s="1"/>
  <c r="CS219" i="1"/>
  <c r="CV219" i="1"/>
  <c r="U219" i="1" s="1"/>
  <c r="CW219" i="1"/>
  <c r="V219" i="1" s="1"/>
  <c r="GL219" i="1"/>
  <c r="GN219" i="1"/>
  <c r="GP219" i="1"/>
  <c r="GV219" i="1"/>
  <c r="HC219" i="1" s="1"/>
  <c r="GX219" i="1" s="1"/>
  <c r="I220" i="1"/>
  <c r="P220" i="1" s="1"/>
  <c r="K220" i="1"/>
  <c r="AC220" i="1"/>
  <c r="AE220" i="1"/>
  <c r="AD220" i="1" s="1"/>
  <c r="AB220" i="1" s="1"/>
  <c r="AF220" i="1"/>
  <c r="S220" i="1" s="1"/>
  <c r="AG220" i="1"/>
  <c r="AH220" i="1"/>
  <c r="AI220" i="1"/>
  <c r="CW220" i="1" s="1"/>
  <c r="V220" i="1" s="1"/>
  <c r="AJ220" i="1"/>
  <c r="CX220" i="1" s="1"/>
  <c r="W220" i="1" s="1"/>
  <c r="CQ220" i="1"/>
  <c r="CR220" i="1"/>
  <c r="CU220" i="1"/>
  <c r="T220" i="1" s="1"/>
  <c r="CV220" i="1"/>
  <c r="U220" i="1" s="1"/>
  <c r="GL220" i="1"/>
  <c r="GN220" i="1"/>
  <c r="GO220" i="1"/>
  <c r="GP220" i="1"/>
  <c r="GV220" i="1"/>
  <c r="GX220" i="1"/>
  <c r="HC220" i="1"/>
  <c r="I221" i="1"/>
  <c r="K221" i="1"/>
  <c r="R221" i="1"/>
  <c r="S221" i="1"/>
  <c r="CY221" i="1" s="1"/>
  <c r="X221" i="1" s="1"/>
  <c r="AC221" i="1"/>
  <c r="P221" i="1" s="1"/>
  <c r="AD221" i="1"/>
  <c r="AE221" i="1"/>
  <c r="Q221" i="1" s="1"/>
  <c r="AF221" i="1"/>
  <c r="AG221" i="1"/>
  <c r="CU221" i="1" s="1"/>
  <c r="T221" i="1" s="1"/>
  <c r="AH221" i="1"/>
  <c r="CV221" i="1" s="1"/>
  <c r="U221" i="1" s="1"/>
  <c r="AI221" i="1"/>
  <c r="AJ221" i="1"/>
  <c r="CR221" i="1"/>
  <c r="CS221" i="1"/>
  <c r="CT221" i="1"/>
  <c r="CW221" i="1"/>
  <c r="V221" i="1" s="1"/>
  <c r="CX221" i="1"/>
  <c r="W221" i="1" s="1"/>
  <c r="GL221" i="1"/>
  <c r="GN221" i="1"/>
  <c r="GO221" i="1"/>
  <c r="GP221" i="1"/>
  <c r="GV221" i="1"/>
  <c r="HC221" i="1" s="1"/>
  <c r="GX221" i="1" s="1"/>
  <c r="B223" i="1"/>
  <c r="B196" i="1" s="1"/>
  <c r="C223" i="1"/>
  <c r="C196" i="1" s="1"/>
  <c r="D223" i="1"/>
  <c r="D196" i="1" s="1"/>
  <c r="F223" i="1"/>
  <c r="F196" i="1" s="1"/>
  <c r="G223" i="1"/>
  <c r="G196" i="1" s="1"/>
  <c r="BX223" i="1"/>
  <c r="BX196" i="1" s="1"/>
  <c r="CK223" i="1"/>
  <c r="CK196" i="1" s="1"/>
  <c r="CL223" i="1"/>
  <c r="CL196" i="1" s="1"/>
  <c r="CM223" i="1"/>
  <c r="CM196" i="1" s="1"/>
  <c r="FP223" i="1"/>
  <c r="FP196" i="1" s="1"/>
  <c r="FT223" i="1"/>
  <c r="FT196" i="1" s="1"/>
  <c r="GC223" i="1"/>
  <c r="GC196" i="1" s="1"/>
  <c r="GD223" i="1"/>
  <c r="GD196" i="1" s="1"/>
  <c r="GE223" i="1"/>
  <c r="GE196" i="1" s="1"/>
  <c r="B253" i="1"/>
  <c r="B22" i="1" s="1"/>
  <c r="C253" i="1"/>
  <c r="C22" i="1" s="1"/>
  <c r="D253" i="1"/>
  <c r="D22" i="1" s="1"/>
  <c r="F253" i="1"/>
  <c r="F22" i="1" s="1"/>
  <c r="G253" i="1"/>
  <c r="G22" i="1" s="1"/>
  <c r="B283" i="1"/>
  <c r="B18" i="1" s="1"/>
  <c r="C283" i="1"/>
  <c r="C18" i="1" s="1"/>
  <c r="D283" i="1"/>
  <c r="D18" i="1" s="1"/>
  <c r="F283" i="1"/>
  <c r="F18" i="1" s="1"/>
  <c r="G283" i="1"/>
  <c r="G18" i="1" s="1"/>
  <c r="F12" i="6"/>
  <c r="G12" i="6"/>
  <c r="O93" i="7" l="1"/>
  <c r="H93" i="7"/>
  <c r="P119" i="7"/>
  <c r="O81" i="7"/>
  <c r="H81" i="7"/>
  <c r="O126" i="7"/>
  <c r="H137" i="7"/>
  <c r="J219" i="7"/>
  <c r="H247" i="7"/>
  <c r="H283" i="7"/>
  <c r="P295" i="7"/>
  <c r="J375" i="7"/>
  <c r="O39" i="7"/>
  <c r="O52" i="7"/>
  <c r="P55" i="7"/>
  <c r="J55" i="7"/>
  <c r="O90" i="7"/>
  <c r="O119" i="7"/>
  <c r="K151" i="7"/>
  <c r="P153" i="7" s="1"/>
  <c r="O161" i="7"/>
  <c r="P170" i="7"/>
  <c r="H170" i="7"/>
  <c r="J194" i="7"/>
  <c r="J232" i="7"/>
  <c r="J271" i="7"/>
  <c r="J295" i="7"/>
  <c r="J307" i="7"/>
  <c r="P363" i="7"/>
  <c r="J39" i="7"/>
  <c r="P52" i="7"/>
  <c r="P90" i="7"/>
  <c r="O181" i="7"/>
  <c r="P39" i="7"/>
  <c r="P78" i="7"/>
  <c r="O107" i="7"/>
  <c r="K159" i="7"/>
  <c r="J161" i="7" s="1"/>
  <c r="P219" i="7"/>
  <c r="O219" i="7"/>
  <c r="P283" i="7"/>
  <c r="O295" i="7"/>
  <c r="H351" i="7"/>
  <c r="H65" i="7"/>
  <c r="O78" i="7"/>
  <c r="J107" i="7"/>
  <c r="P126" i="7"/>
  <c r="P129" i="7"/>
  <c r="J129" i="7"/>
  <c r="P137" i="7"/>
  <c r="O143" i="7"/>
  <c r="H143" i="7"/>
  <c r="O153" i="7"/>
  <c r="H219" i="7"/>
  <c r="P247" i="7"/>
  <c r="O247" i="7"/>
  <c r="H295" i="7"/>
  <c r="H381" i="7"/>
  <c r="J335" i="7"/>
  <c r="P351" i="7"/>
  <c r="O351" i="7"/>
  <c r="P375" i="7"/>
  <c r="P321" i="7"/>
  <c r="H39" i="7"/>
  <c r="J65" i="7"/>
  <c r="H107" i="7"/>
  <c r="J137" i="7"/>
  <c r="H153" i="7"/>
  <c r="H161" i="7"/>
  <c r="J170" i="7"/>
  <c r="H184" i="7"/>
  <c r="H194" i="7"/>
  <c r="J200" i="7"/>
  <c r="H232" i="7"/>
  <c r="J235" i="7"/>
  <c r="H259" i="7"/>
  <c r="J283" i="7"/>
  <c r="H307" i="7"/>
  <c r="H321" i="7"/>
  <c r="H335" i="7"/>
  <c r="J351" i="7"/>
  <c r="H375" i="7"/>
  <c r="O170" i="7"/>
  <c r="P259" i="7"/>
  <c r="O283" i="7"/>
  <c r="P335" i="7"/>
  <c r="J52" i="7"/>
  <c r="H78" i="7"/>
  <c r="H90" i="7"/>
  <c r="H119" i="7"/>
  <c r="J126" i="7"/>
  <c r="H181" i="7"/>
  <c r="H363" i="7"/>
  <c r="J378" i="7"/>
  <c r="P194" i="7"/>
  <c r="P232" i="7"/>
  <c r="P307" i="7"/>
  <c r="FV196" i="1"/>
  <c r="EM223" i="1"/>
  <c r="CP216" i="1"/>
  <c r="O216" i="1" s="1"/>
  <c r="S215" i="1"/>
  <c r="P215" i="1"/>
  <c r="CP215" i="1" s="1"/>
  <c r="O215" i="1" s="1"/>
  <c r="GX215" i="1"/>
  <c r="GB223" i="1" s="1"/>
  <c r="Q215" i="1"/>
  <c r="CP211" i="1"/>
  <c r="O211" i="1" s="1"/>
  <c r="AF223" i="1"/>
  <c r="AJ223" i="1"/>
  <c r="CP221" i="1"/>
  <c r="O221" i="1" s="1"/>
  <c r="GM221" i="1" s="1"/>
  <c r="FR221" i="1"/>
  <c r="FR220" i="1"/>
  <c r="CP220" i="1"/>
  <c r="O220" i="1" s="1"/>
  <c r="CZ219" i="1"/>
  <c r="Y219" i="1" s="1"/>
  <c r="CY219" i="1"/>
  <c r="X219" i="1" s="1"/>
  <c r="BZ196" i="1"/>
  <c r="CG223" i="1"/>
  <c r="AQ223" i="1"/>
  <c r="T215" i="1"/>
  <c r="CB196" i="1"/>
  <c r="AS223" i="1"/>
  <c r="CP214" i="1"/>
  <c r="O214" i="1" s="1"/>
  <c r="CP210" i="1"/>
  <c r="O210" i="1" s="1"/>
  <c r="CZ208" i="1"/>
  <c r="Y208" i="1" s="1"/>
  <c r="CY208" i="1"/>
  <c r="X208" i="1" s="1"/>
  <c r="GM208" i="1" s="1"/>
  <c r="GO208" i="1" s="1"/>
  <c r="CY205" i="1"/>
  <c r="X205" i="1" s="1"/>
  <c r="CY204" i="1"/>
  <c r="X204" i="1" s="1"/>
  <c r="CZ201" i="1"/>
  <c r="Y201" i="1" s="1"/>
  <c r="AH223" i="1"/>
  <c r="FR196" i="1"/>
  <c r="EI223" i="1"/>
  <c r="CZ211" i="1"/>
  <c r="Y211" i="1" s="1"/>
  <c r="CY211" i="1"/>
  <c r="X211" i="1" s="1"/>
  <c r="CZ207" i="1"/>
  <c r="Y207" i="1" s="1"/>
  <c r="CY207" i="1"/>
  <c r="X207" i="1" s="1"/>
  <c r="CJ223" i="1"/>
  <c r="AD223" i="1"/>
  <c r="CD196" i="1"/>
  <c r="AU223" i="1"/>
  <c r="CY217" i="1"/>
  <c r="X217" i="1" s="1"/>
  <c r="CZ217" i="1"/>
  <c r="Y217" i="1" s="1"/>
  <c r="CZ210" i="1"/>
  <c r="Y210" i="1" s="1"/>
  <c r="CY210" i="1"/>
  <c r="X210" i="1" s="1"/>
  <c r="DZ223" i="1"/>
  <c r="DY223" i="1"/>
  <c r="CY218" i="1"/>
  <c r="X218" i="1" s="1"/>
  <c r="CZ218" i="1"/>
  <c r="Y218" i="1" s="1"/>
  <c r="GM219" i="1"/>
  <c r="GO219" i="1" s="1"/>
  <c r="CP218" i="1"/>
  <c r="O218" i="1" s="1"/>
  <c r="GM218" i="1" s="1"/>
  <c r="GO218" i="1" s="1"/>
  <c r="CZ209" i="1"/>
  <c r="Y209" i="1" s="1"/>
  <c r="CY209" i="1"/>
  <c r="X209" i="1" s="1"/>
  <c r="GM209" i="1" s="1"/>
  <c r="GO209" i="1" s="1"/>
  <c r="CP207" i="1"/>
  <c r="O207" i="1" s="1"/>
  <c r="EV223" i="1"/>
  <c r="BB223" i="1"/>
  <c r="AB221" i="1"/>
  <c r="CR219" i="1"/>
  <c r="CW300" i="3"/>
  <c r="CX302" i="3"/>
  <c r="CX307" i="3"/>
  <c r="CX300" i="3"/>
  <c r="CU299" i="3"/>
  <c r="CX303" i="3"/>
  <c r="CX306" i="3"/>
  <c r="AD216" i="1"/>
  <c r="AB216" i="1" s="1"/>
  <c r="FY223" i="1"/>
  <c r="ET223" i="1"/>
  <c r="BD223" i="1"/>
  <c r="CZ221" i="1"/>
  <c r="Y221" i="1" s="1"/>
  <c r="CT220" i="1"/>
  <c r="CQ219" i="1"/>
  <c r="CQ218" i="1"/>
  <c r="CQ217" i="1"/>
  <c r="CT216" i="1"/>
  <c r="CS215" i="1"/>
  <c r="CS214" i="1"/>
  <c r="R214" i="1"/>
  <c r="CS213" i="1"/>
  <c r="R213" i="1"/>
  <c r="CZ212" i="1"/>
  <c r="Y212" i="1" s="1"/>
  <c r="CU269" i="3"/>
  <c r="CX271" i="3"/>
  <c r="CX274" i="3"/>
  <c r="CW271" i="3"/>
  <c r="CX278" i="3"/>
  <c r="CX272" i="3"/>
  <c r="CQ211" i="1"/>
  <c r="CQ210" i="1"/>
  <c r="CQ209" i="1"/>
  <c r="CQ208" i="1"/>
  <c r="CQ207" i="1"/>
  <c r="AD207" i="1"/>
  <c r="AB207" i="1" s="1"/>
  <c r="V206" i="1"/>
  <c r="AI223" i="1" s="1"/>
  <c r="R206" i="1"/>
  <c r="CY206" i="1" s="1"/>
  <c r="X206" i="1" s="1"/>
  <c r="CS206" i="1"/>
  <c r="R204" i="1"/>
  <c r="CZ204" i="1" s="1"/>
  <c r="Y204" i="1" s="1"/>
  <c r="AB203" i="1"/>
  <c r="AD200" i="1"/>
  <c r="W199" i="1"/>
  <c r="EB223" i="1" s="1"/>
  <c r="S199" i="1"/>
  <c r="CT199" i="1"/>
  <c r="P199" i="1"/>
  <c r="AD198" i="1"/>
  <c r="AB198" i="1" s="1"/>
  <c r="CU235" i="3"/>
  <c r="CX242" i="3"/>
  <c r="CX243" i="3"/>
  <c r="CV235" i="3"/>
  <c r="CX236" i="3"/>
  <c r="CX238" i="3"/>
  <c r="ET164" i="1"/>
  <c r="BD164" i="1"/>
  <c r="W162" i="1"/>
  <c r="S162" i="1"/>
  <c r="CT162" i="1"/>
  <c r="R162" i="1"/>
  <c r="GX161" i="1"/>
  <c r="P161" i="1"/>
  <c r="CP161" i="1" s="1"/>
  <c r="O161" i="1" s="1"/>
  <c r="T158" i="1"/>
  <c r="W158" i="1"/>
  <c r="S158" i="1"/>
  <c r="CT158" i="1"/>
  <c r="AB158" i="1"/>
  <c r="P157" i="1"/>
  <c r="Q157" i="1"/>
  <c r="CX199" i="3"/>
  <c r="CW200" i="3"/>
  <c r="CX203" i="3"/>
  <c r="CX200" i="3"/>
  <c r="CX202" i="3"/>
  <c r="CX207" i="3"/>
  <c r="CX205" i="3"/>
  <c r="CU199" i="3"/>
  <c r="S155" i="1"/>
  <c r="CP152" i="1"/>
  <c r="O152" i="1" s="1"/>
  <c r="GM152" i="1" s="1"/>
  <c r="GO152" i="1" s="1"/>
  <c r="CY145" i="1"/>
  <c r="X145" i="1" s="1"/>
  <c r="CZ145" i="1"/>
  <c r="Y145" i="1" s="1"/>
  <c r="CD164" i="1"/>
  <c r="CY138" i="1"/>
  <c r="X138" i="1" s="1"/>
  <c r="CZ138" i="1"/>
  <c r="Y138" i="1" s="1"/>
  <c r="EK223" i="1"/>
  <c r="EG223" i="1"/>
  <c r="BC223" i="1"/>
  <c r="CQ221" i="1"/>
  <c r="CS220" i="1"/>
  <c r="R220" i="1"/>
  <c r="CZ220" i="1" s="1"/>
  <c r="Y220" i="1" s="1"/>
  <c r="CT219" i="1"/>
  <c r="CT218" i="1"/>
  <c r="CT217" i="1"/>
  <c r="CS216" i="1"/>
  <c r="R216" i="1"/>
  <c r="CZ216" i="1" s="1"/>
  <c r="Y216" i="1" s="1"/>
  <c r="CX282" i="3"/>
  <c r="CW280" i="3"/>
  <c r="CX286" i="3"/>
  <c r="CX280" i="3"/>
  <c r="CU279" i="3"/>
  <c r="CX287" i="3"/>
  <c r="CV279" i="3"/>
  <c r="CW281" i="3"/>
  <c r="CQ212" i="1"/>
  <c r="P212" i="1"/>
  <c r="CP212" i="1" s="1"/>
  <c r="O212" i="1" s="1"/>
  <c r="GM212" i="1" s="1"/>
  <c r="GO212" i="1" s="1"/>
  <c r="CT211" i="1"/>
  <c r="CT210" i="1"/>
  <c r="CT209" i="1"/>
  <c r="CT208" i="1"/>
  <c r="CT207" i="1"/>
  <c r="CQ206" i="1"/>
  <c r="CV263" i="3"/>
  <c r="CU263" i="3"/>
  <c r="CX264" i="3"/>
  <c r="V205" i="1"/>
  <c r="EA223" i="1" s="1"/>
  <c r="R205" i="1"/>
  <c r="CZ205" i="1" s="1"/>
  <c r="Y205" i="1" s="1"/>
  <c r="CS205" i="1"/>
  <c r="P204" i="1"/>
  <c r="CQ204" i="1"/>
  <c r="CZ203" i="1"/>
  <c r="Y203" i="1" s="1"/>
  <c r="R202" i="1"/>
  <c r="CY202" i="1" s="1"/>
  <c r="X202" i="1" s="1"/>
  <c r="CU253" i="3"/>
  <c r="CW254" i="3"/>
  <c r="CX256" i="3"/>
  <c r="CX254" i="3"/>
  <c r="CX257" i="3"/>
  <c r="CW256" i="3"/>
  <c r="R201" i="1"/>
  <c r="AB200" i="1"/>
  <c r="P200" i="1"/>
  <c r="P198" i="1"/>
  <c r="P173" i="1"/>
  <c r="BB123" i="1"/>
  <c r="F177" i="1"/>
  <c r="GX162" i="1"/>
  <c r="P162" i="1"/>
  <c r="CP162" i="1" s="1"/>
  <c r="O162" i="1" s="1"/>
  <c r="S157" i="1"/>
  <c r="CT157" i="1"/>
  <c r="AB157" i="1"/>
  <c r="FV164" i="1"/>
  <c r="GM145" i="1"/>
  <c r="GO145" i="1" s="1"/>
  <c r="AG164" i="1"/>
  <c r="CP138" i="1"/>
  <c r="O138" i="1" s="1"/>
  <c r="GM138" i="1" s="1"/>
  <c r="GN138" i="1" s="1"/>
  <c r="FT164" i="1" s="1"/>
  <c r="AI164" i="1"/>
  <c r="Q220" i="1"/>
  <c r="CU289" i="3"/>
  <c r="CX295" i="3"/>
  <c r="CX298" i="3"/>
  <c r="CW291" i="3"/>
  <c r="CX291" i="3"/>
  <c r="CX294" i="3"/>
  <c r="CX289" i="3"/>
  <c r="P206" i="1"/>
  <c r="CP206" i="1" s="1"/>
  <c r="O206" i="1" s="1"/>
  <c r="P202" i="1"/>
  <c r="CP202" i="1" s="1"/>
  <c r="O202" i="1" s="1"/>
  <c r="CQ202" i="1"/>
  <c r="P201" i="1"/>
  <c r="CQ201" i="1"/>
  <c r="CX244" i="3"/>
  <c r="CX245" i="3"/>
  <c r="CX250" i="3"/>
  <c r="CX252" i="3"/>
  <c r="CU244" i="3"/>
  <c r="CX248" i="3"/>
  <c r="CX249" i="3"/>
  <c r="AH123" i="1"/>
  <c r="U164" i="1"/>
  <c r="S160" i="1"/>
  <c r="CT160" i="1"/>
  <c r="AB160" i="1"/>
  <c r="S156" i="1"/>
  <c r="CP156" i="1" s="1"/>
  <c r="O156" i="1" s="1"/>
  <c r="CT156" i="1"/>
  <c r="AB156" i="1"/>
  <c r="AD155" i="1"/>
  <c r="R155" i="1"/>
  <c r="CS155" i="1"/>
  <c r="Q155" i="1"/>
  <c r="GM154" i="1"/>
  <c r="GO154" i="1" s="1"/>
  <c r="CY146" i="1"/>
  <c r="X146" i="1" s="1"/>
  <c r="CZ146" i="1"/>
  <c r="Y146" i="1" s="1"/>
  <c r="CY144" i="1"/>
  <c r="X144" i="1" s="1"/>
  <c r="CZ144" i="1"/>
  <c r="Y144" i="1" s="1"/>
  <c r="BZ164" i="1"/>
  <c r="CI164" i="1" s="1"/>
  <c r="EU223" i="1"/>
  <c r="AO223" i="1"/>
  <c r="Q217" i="1"/>
  <c r="CP217" i="1" s="1"/>
  <c r="O217" i="1" s="1"/>
  <c r="GM217" i="1" s="1"/>
  <c r="GO217" i="1" s="1"/>
  <c r="S213" i="1"/>
  <c r="AB205" i="1"/>
  <c r="P205" i="1"/>
  <c r="CY203" i="1"/>
  <c r="X203" i="1" s="1"/>
  <c r="GM203" i="1" s="1"/>
  <c r="GO203" i="1" s="1"/>
  <c r="T202" i="1"/>
  <c r="AG223" i="1" s="1"/>
  <c r="AB202" i="1"/>
  <c r="T201" i="1"/>
  <c r="AB201" i="1"/>
  <c r="R200" i="1"/>
  <c r="CS200" i="1"/>
  <c r="Q199" i="1"/>
  <c r="R198" i="1"/>
  <c r="CS198" i="1"/>
  <c r="EV164" i="1"/>
  <c r="AP164" i="1"/>
  <c r="T162" i="1"/>
  <c r="W161" i="1"/>
  <c r="AJ164" i="1" s="1"/>
  <c r="S161" i="1"/>
  <c r="CT161" i="1"/>
  <c r="R161" i="1"/>
  <c r="CP160" i="1"/>
  <c r="O160" i="1" s="1"/>
  <c r="P159" i="1"/>
  <c r="CP159" i="1" s="1"/>
  <c r="O159" i="1" s="1"/>
  <c r="CQ159" i="1"/>
  <c r="P158" i="1"/>
  <c r="Q158" i="1"/>
  <c r="CP155" i="1"/>
  <c r="O155" i="1" s="1"/>
  <c r="GM153" i="1"/>
  <c r="GO153" i="1" s="1"/>
  <c r="CY152" i="1"/>
  <c r="X152" i="1" s="1"/>
  <c r="FR164" i="1"/>
  <c r="CP146" i="1"/>
  <c r="O146" i="1" s="1"/>
  <c r="GM146" i="1" s="1"/>
  <c r="GO146" i="1" s="1"/>
  <c r="CP144" i="1"/>
  <c r="O144" i="1" s="1"/>
  <c r="CJ164" i="1"/>
  <c r="EU164" i="1"/>
  <c r="AO164" i="1"/>
  <c r="CX226" i="3"/>
  <c r="CW227" i="3"/>
  <c r="CX230" i="3"/>
  <c r="CX227" i="3"/>
  <c r="CX228" i="3"/>
  <c r="CX229" i="3"/>
  <c r="CX234" i="3"/>
  <c r="CX232" i="3"/>
  <c r="CU226" i="3"/>
  <c r="AD159" i="1"/>
  <c r="AB159" i="1" s="1"/>
  <c r="AB155" i="1"/>
  <c r="CX189" i="3"/>
  <c r="CX190" i="3"/>
  <c r="CW191" i="3"/>
  <c r="CX197" i="3"/>
  <c r="CX198" i="3"/>
  <c r="CX191" i="3"/>
  <c r="CU189" i="3"/>
  <c r="CV189" i="3"/>
  <c r="CX193" i="3"/>
  <c r="CQ151" i="1"/>
  <c r="AD151" i="1"/>
  <c r="AB151" i="1" s="1"/>
  <c r="P151" i="1"/>
  <c r="CP151" i="1" s="1"/>
  <c r="O151" i="1" s="1"/>
  <c r="CT150" i="1"/>
  <c r="S150" i="1"/>
  <c r="CT149" i="1"/>
  <c r="S149" i="1"/>
  <c r="CT148" i="1"/>
  <c r="S148" i="1"/>
  <c r="CS147" i="1"/>
  <c r="AB147" i="1"/>
  <c r="R147" i="1"/>
  <c r="CV149" i="3"/>
  <c r="CX151" i="3"/>
  <c r="CX157" i="3"/>
  <c r="CX150" i="3"/>
  <c r="CX154" i="3"/>
  <c r="CU149" i="3"/>
  <c r="CX153" i="3"/>
  <c r="CX149" i="3"/>
  <c r="CQ143" i="1"/>
  <c r="AD143" i="1"/>
  <c r="AB143" i="1" s="1"/>
  <c r="P143" i="1"/>
  <c r="CP143" i="1" s="1"/>
  <c r="O143" i="1" s="1"/>
  <c r="CT142" i="1"/>
  <c r="S142" i="1"/>
  <c r="CT141" i="1"/>
  <c r="S141" i="1"/>
  <c r="CT140" i="1"/>
  <c r="S140" i="1"/>
  <c r="CS139" i="1"/>
  <c r="AB139" i="1"/>
  <c r="R139" i="1"/>
  <c r="S137" i="1"/>
  <c r="CT137" i="1"/>
  <c r="AB137" i="1"/>
  <c r="T136" i="1"/>
  <c r="AD135" i="1"/>
  <c r="AB135" i="1" s="1"/>
  <c r="R135" i="1"/>
  <c r="CZ135" i="1" s="1"/>
  <c r="Y135" i="1" s="1"/>
  <c r="CS135" i="1"/>
  <c r="CQ134" i="1"/>
  <c r="V132" i="1"/>
  <c r="AD132" i="1"/>
  <c r="R132" i="1"/>
  <c r="CZ132" i="1" s="1"/>
  <c r="Y132" i="1" s="1"/>
  <c r="CS132" i="1"/>
  <c r="S131" i="1"/>
  <c r="CT131" i="1"/>
  <c r="AB131" i="1"/>
  <c r="CS130" i="1"/>
  <c r="AD130" i="1"/>
  <c r="AB128" i="1"/>
  <c r="AB86" i="1"/>
  <c r="AB76" i="1"/>
  <c r="AB65" i="1"/>
  <c r="CP63" i="1"/>
  <c r="O63" i="1" s="1"/>
  <c r="GM63" i="1" s="1"/>
  <c r="GO63" i="1" s="1"/>
  <c r="CP60" i="1"/>
  <c r="O60" i="1" s="1"/>
  <c r="FR60" i="1"/>
  <c r="AG91" i="1"/>
  <c r="AI91" i="1"/>
  <c r="Q147" i="1"/>
  <c r="CP147" i="1" s="1"/>
  <c r="O147" i="1" s="1"/>
  <c r="CX165" i="3"/>
  <c r="CX166" i="3"/>
  <c r="CU159" i="3"/>
  <c r="CX159" i="3"/>
  <c r="CW160" i="3"/>
  <c r="CX163" i="3"/>
  <c r="Q139" i="1"/>
  <c r="CP139" i="1" s="1"/>
  <c r="O139" i="1" s="1"/>
  <c r="CX125" i="3"/>
  <c r="CX127" i="3"/>
  <c r="CX121" i="3"/>
  <c r="CX123" i="3"/>
  <c r="CU119" i="3"/>
  <c r="CX120" i="3"/>
  <c r="CX119" i="3"/>
  <c r="CP137" i="1"/>
  <c r="O137" i="1" s="1"/>
  <c r="P135" i="1"/>
  <c r="CP135" i="1" s="1"/>
  <c r="O135" i="1" s="1"/>
  <c r="CQ135" i="1"/>
  <c r="CY135" i="1"/>
  <c r="X135" i="1" s="1"/>
  <c r="AD133" i="1"/>
  <c r="R133" i="1"/>
  <c r="CS133" i="1"/>
  <c r="P132" i="1"/>
  <c r="CQ132" i="1"/>
  <c r="AB132" i="1"/>
  <c r="CY132" i="1"/>
  <c r="X132" i="1" s="1"/>
  <c r="CU116" i="3"/>
  <c r="CV116" i="3"/>
  <c r="CX117" i="3"/>
  <c r="I134" i="1"/>
  <c r="T134" i="1" s="1"/>
  <c r="I136" i="1"/>
  <c r="AB130" i="1"/>
  <c r="FT26" i="1"/>
  <c r="EK91" i="1"/>
  <c r="CJ91" i="1"/>
  <c r="CU258" i="3"/>
  <c r="CW260" i="3"/>
  <c r="CW261" i="3"/>
  <c r="CX262" i="3"/>
  <c r="CV258" i="3"/>
  <c r="CW259" i="3"/>
  <c r="CX260" i="3"/>
  <c r="EG164" i="1"/>
  <c r="BC164" i="1"/>
  <c r="CS159" i="1"/>
  <c r="R159" i="1"/>
  <c r="CY159" i="1" s="1"/>
  <c r="X159" i="1" s="1"/>
  <c r="CU208" i="3"/>
  <c r="CW210" i="3"/>
  <c r="CX213" i="3"/>
  <c r="CW209" i="3"/>
  <c r="CX210" i="3"/>
  <c r="CX211" i="3"/>
  <c r="CV208" i="3"/>
  <c r="CQ155" i="1"/>
  <c r="CT154" i="1"/>
  <c r="CT153" i="1"/>
  <c r="CT152" i="1"/>
  <c r="CS151" i="1"/>
  <c r="R151" i="1"/>
  <c r="CZ151" i="1" s="1"/>
  <c r="Y151" i="1" s="1"/>
  <c r="Q150" i="1"/>
  <c r="CP150" i="1" s="1"/>
  <c r="O150" i="1" s="1"/>
  <c r="Q149" i="1"/>
  <c r="CP149" i="1" s="1"/>
  <c r="O149" i="1" s="1"/>
  <c r="CU169" i="3"/>
  <c r="CV169" i="3"/>
  <c r="CX173" i="3"/>
  <c r="CX174" i="3"/>
  <c r="CX169" i="3"/>
  <c r="CX177" i="3"/>
  <c r="CQ147" i="1"/>
  <c r="CT146" i="1"/>
  <c r="CT145" i="1"/>
  <c r="CT144" i="1"/>
  <c r="CS143" i="1"/>
  <c r="R143" i="1"/>
  <c r="CZ143" i="1" s="1"/>
  <c r="Y143" i="1" s="1"/>
  <c r="Q142" i="1"/>
  <c r="CP142" i="1" s="1"/>
  <c r="O142" i="1" s="1"/>
  <c r="Q141" i="1"/>
  <c r="CP141" i="1" s="1"/>
  <c r="O141" i="1" s="1"/>
  <c r="CV129" i="3"/>
  <c r="CX129" i="3"/>
  <c r="CX137" i="3"/>
  <c r="CX133" i="3"/>
  <c r="CX135" i="3"/>
  <c r="CU129" i="3"/>
  <c r="CQ139" i="1"/>
  <c r="CT138" i="1"/>
  <c r="V136" i="1"/>
  <c r="AD136" i="1"/>
  <c r="R136" i="1"/>
  <c r="CS136" i="1"/>
  <c r="Q135" i="1"/>
  <c r="CR133" i="1"/>
  <c r="P133" i="1"/>
  <c r="CQ133" i="1"/>
  <c r="AB133" i="1"/>
  <c r="CY133" i="1"/>
  <c r="X133" i="1" s="1"/>
  <c r="T132" i="1"/>
  <c r="Q132" i="1"/>
  <c r="CR130" i="1"/>
  <c r="AB129" i="1"/>
  <c r="CZ125" i="1"/>
  <c r="Y125" i="1" s="1"/>
  <c r="CY125" i="1"/>
  <c r="X125" i="1" s="1"/>
  <c r="CZ86" i="1"/>
  <c r="Y86" i="1" s="1"/>
  <c r="CY85" i="1"/>
  <c r="X85" i="1" s="1"/>
  <c r="CZ85" i="1"/>
  <c r="Y85" i="1" s="1"/>
  <c r="CY71" i="1"/>
  <c r="X71" i="1" s="1"/>
  <c r="CZ71" i="1"/>
  <c r="Y71" i="1" s="1"/>
  <c r="CY70" i="1"/>
  <c r="X70" i="1" s="1"/>
  <c r="CZ70" i="1"/>
  <c r="Y70" i="1" s="1"/>
  <c r="CY69" i="1"/>
  <c r="X69" i="1" s="1"/>
  <c r="CZ69" i="1"/>
  <c r="Y69" i="1" s="1"/>
  <c r="AB66" i="1"/>
  <c r="CU217" i="3"/>
  <c r="CW218" i="3"/>
  <c r="CW219" i="3"/>
  <c r="CX224" i="3"/>
  <c r="CX225" i="3"/>
  <c r="CV217" i="3"/>
  <c r="CX218" i="3"/>
  <c r="CX220" i="3"/>
  <c r="CX181" i="3"/>
  <c r="CX182" i="3"/>
  <c r="CX187" i="3"/>
  <c r="CX185" i="3"/>
  <c r="CU179" i="3"/>
  <c r="S147" i="1"/>
  <c r="CU139" i="3"/>
  <c r="CX140" i="3"/>
  <c r="CX139" i="3"/>
  <c r="CX145" i="3"/>
  <c r="CX143" i="3"/>
  <c r="CX147" i="3"/>
  <c r="S139" i="1"/>
  <c r="P136" i="1"/>
  <c r="CQ136" i="1"/>
  <c r="AB136" i="1"/>
  <c r="V134" i="1"/>
  <c r="AD134" i="1"/>
  <c r="AB134" i="1" s="1"/>
  <c r="CS134" i="1"/>
  <c r="Q133" i="1"/>
  <c r="W132" i="1"/>
  <c r="CP131" i="1"/>
  <c r="O131" i="1" s="1"/>
  <c r="CY129" i="1"/>
  <c r="X129" i="1" s="1"/>
  <c r="CP125" i="1"/>
  <c r="O125" i="1" s="1"/>
  <c r="CY77" i="1"/>
  <c r="X77" i="1" s="1"/>
  <c r="CZ77" i="1"/>
  <c r="Y77" i="1" s="1"/>
  <c r="GM75" i="1"/>
  <c r="GO75" i="1" s="1"/>
  <c r="GM74" i="1"/>
  <c r="GO74" i="1" s="1"/>
  <c r="GM73" i="1"/>
  <c r="GO73" i="1" s="1"/>
  <c r="AH91" i="1"/>
  <c r="Q129" i="1"/>
  <c r="Q127" i="1"/>
  <c r="Q126" i="1"/>
  <c r="CU110" i="3"/>
  <c r="CV110" i="3"/>
  <c r="CX111" i="3"/>
  <c r="EU91" i="1"/>
  <c r="EM91" i="1"/>
  <c r="EI91" i="1"/>
  <c r="AO91" i="1"/>
  <c r="CS88" i="1"/>
  <c r="R88" i="1"/>
  <c r="CZ88" i="1" s="1"/>
  <c r="Y88" i="1" s="1"/>
  <c r="CY87" i="1"/>
  <c r="X87" i="1" s="1"/>
  <c r="CQ87" i="1"/>
  <c r="AD87" i="1"/>
  <c r="AB87" i="1" s="1"/>
  <c r="P87" i="1"/>
  <c r="CS86" i="1"/>
  <c r="R86" i="1"/>
  <c r="CY86" i="1" s="1"/>
  <c r="X86" i="1" s="1"/>
  <c r="CT85" i="1"/>
  <c r="CS84" i="1"/>
  <c r="R84" i="1"/>
  <c r="CS83" i="1"/>
  <c r="R83" i="1"/>
  <c r="CY83" i="1" s="1"/>
  <c r="X83" i="1" s="1"/>
  <c r="CY82" i="1"/>
  <c r="X82" i="1" s="1"/>
  <c r="CQ82" i="1"/>
  <c r="AD82" i="1"/>
  <c r="AB82" i="1" s="1"/>
  <c r="P82" i="1"/>
  <c r="CU95" i="3"/>
  <c r="CX97" i="3"/>
  <c r="CY80" i="1"/>
  <c r="X80" i="1" s="1"/>
  <c r="CQ80" i="1"/>
  <c r="AD80" i="1"/>
  <c r="AB80" i="1" s="1"/>
  <c r="P80" i="1"/>
  <c r="CP80" i="1" s="1"/>
  <c r="O80" i="1" s="1"/>
  <c r="GM80" i="1" s="1"/>
  <c r="GO80" i="1" s="1"/>
  <c r="CY79" i="1"/>
  <c r="X79" i="1" s="1"/>
  <c r="CQ79" i="1"/>
  <c r="AD79" i="1"/>
  <c r="AB79" i="1" s="1"/>
  <c r="P79" i="1"/>
  <c r="CS78" i="1"/>
  <c r="R78" i="1"/>
  <c r="CY78" i="1" s="1"/>
  <c r="X78" i="1" s="1"/>
  <c r="CT77" i="1"/>
  <c r="CS76" i="1"/>
  <c r="R76" i="1"/>
  <c r="CU85" i="3"/>
  <c r="CX86" i="3"/>
  <c r="CY72" i="1"/>
  <c r="X72" i="1" s="1"/>
  <c r="CQ72" i="1"/>
  <c r="AD72" i="1"/>
  <c r="AB72" i="1" s="1"/>
  <c r="P72" i="1"/>
  <c r="CP72" i="1" s="1"/>
  <c r="O72" i="1" s="1"/>
  <c r="GM72" i="1" s="1"/>
  <c r="GO72" i="1" s="1"/>
  <c r="CT71" i="1"/>
  <c r="CT70" i="1"/>
  <c r="CT69" i="1"/>
  <c r="CS68" i="1"/>
  <c r="R68" i="1"/>
  <c r="CS67" i="1"/>
  <c r="R67" i="1"/>
  <c r="CZ67" i="1" s="1"/>
  <c r="Y67" i="1" s="1"/>
  <c r="CY66" i="1"/>
  <c r="X66" i="1" s="1"/>
  <c r="CQ66" i="1"/>
  <c r="AD66" i="1"/>
  <c r="P66" i="1"/>
  <c r="CS65" i="1"/>
  <c r="R65" i="1"/>
  <c r="CZ65" i="1" s="1"/>
  <c r="Y65" i="1" s="1"/>
  <c r="CY64" i="1"/>
  <c r="X64" i="1" s="1"/>
  <c r="CQ64" i="1"/>
  <c r="AD64" i="1"/>
  <c r="AB64" i="1" s="1"/>
  <c r="P64" i="1"/>
  <c r="CU73" i="3"/>
  <c r="CX73" i="3"/>
  <c r="CV73" i="3"/>
  <c r="CX76" i="3"/>
  <c r="CY62" i="1"/>
  <c r="X62" i="1" s="1"/>
  <c r="CQ62" i="1"/>
  <c r="AD62" i="1"/>
  <c r="AB62" i="1" s="1"/>
  <c r="P62" i="1"/>
  <c r="CP62" i="1" s="1"/>
  <c r="O62" i="1" s="1"/>
  <c r="GM62" i="1" s="1"/>
  <c r="GO62" i="1" s="1"/>
  <c r="CQ61" i="1"/>
  <c r="AD61" i="1"/>
  <c r="AB61" i="1" s="1"/>
  <c r="R61" i="1"/>
  <c r="CZ61" i="1" s="1"/>
  <c r="Y61" i="1" s="1"/>
  <c r="AB60" i="1"/>
  <c r="P57" i="1"/>
  <c r="R56" i="1"/>
  <c r="CS56" i="1"/>
  <c r="AD55" i="1"/>
  <c r="CV61" i="3"/>
  <c r="CX63" i="3"/>
  <c r="CU61" i="3"/>
  <c r="CX61" i="3"/>
  <c r="CX64" i="3"/>
  <c r="I57" i="1"/>
  <c r="R57" i="1" s="1"/>
  <c r="S52" i="1"/>
  <c r="CT52" i="1"/>
  <c r="T51" i="1"/>
  <c r="S48" i="1"/>
  <c r="CT48" i="1"/>
  <c r="CY44" i="1"/>
  <c r="X44" i="1" s="1"/>
  <c r="CZ44" i="1"/>
  <c r="Y44" i="1" s="1"/>
  <c r="CY43" i="1"/>
  <c r="X43" i="1" s="1"/>
  <c r="CZ43" i="1"/>
  <c r="Y43" i="1" s="1"/>
  <c r="CY36" i="1"/>
  <c r="X36" i="1" s="1"/>
  <c r="CZ36" i="1"/>
  <c r="Y36" i="1" s="1"/>
  <c r="CY35" i="1"/>
  <c r="X35" i="1" s="1"/>
  <c r="CZ35" i="1"/>
  <c r="Y35" i="1" s="1"/>
  <c r="CP32" i="1"/>
  <c r="O32" i="1" s="1"/>
  <c r="CY28" i="1"/>
  <c r="X28" i="1" s="1"/>
  <c r="CZ28" i="1"/>
  <c r="Y28" i="1" s="1"/>
  <c r="CV113" i="3"/>
  <c r="CU113" i="3"/>
  <c r="CX115" i="3"/>
  <c r="CX113" i="3"/>
  <c r="CQ130" i="1"/>
  <c r="CQ129" i="1"/>
  <c r="AD129" i="1"/>
  <c r="P129" i="1"/>
  <c r="CP129" i="1" s="1"/>
  <c r="O129" i="1" s="1"/>
  <c r="GM129" i="1" s="1"/>
  <c r="GO129" i="1" s="1"/>
  <c r="CQ128" i="1"/>
  <c r="AD128" i="1"/>
  <c r="CQ127" i="1"/>
  <c r="AD127" i="1"/>
  <c r="AB127" i="1" s="1"/>
  <c r="P127" i="1"/>
  <c r="CQ126" i="1"/>
  <c r="AD126" i="1"/>
  <c r="AB126" i="1" s="1"/>
  <c r="P126" i="1"/>
  <c r="CT125" i="1"/>
  <c r="FY91" i="1"/>
  <c r="ET91" i="1"/>
  <c r="BD91" i="1"/>
  <c r="Q88" i="1"/>
  <c r="Q86" i="1"/>
  <c r="Q84" i="1"/>
  <c r="CX99" i="3"/>
  <c r="CV99" i="3"/>
  <c r="CU99" i="3"/>
  <c r="CX100" i="3"/>
  <c r="CX102" i="3"/>
  <c r="Q83" i="1"/>
  <c r="Q78" i="1"/>
  <c r="Q76" i="1"/>
  <c r="CU87" i="3"/>
  <c r="CV87" i="3"/>
  <c r="CW88" i="3"/>
  <c r="Q68" i="1"/>
  <c r="CU77" i="3"/>
  <c r="CW78" i="3"/>
  <c r="CX79" i="3"/>
  <c r="CV77" i="3"/>
  <c r="Q67" i="1"/>
  <c r="Q65" i="1"/>
  <c r="P61" i="1"/>
  <c r="R59" i="1"/>
  <c r="CZ59" i="1" s="1"/>
  <c r="Y59" i="1" s="1"/>
  <c r="CU67" i="3"/>
  <c r="CX68" i="3"/>
  <c r="CU65" i="3"/>
  <c r="CX66" i="3"/>
  <c r="AB55" i="1"/>
  <c r="P55" i="1"/>
  <c r="CP55" i="1" s="1"/>
  <c r="O55" i="1" s="1"/>
  <c r="CP44" i="1"/>
  <c r="O44" i="1" s="1"/>
  <c r="GM44" i="1" s="1"/>
  <c r="GO44" i="1" s="1"/>
  <c r="CP42" i="1"/>
  <c r="O42" i="1" s="1"/>
  <c r="CP36" i="1"/>
  <c r="O36" i="1" s="1"/>
  <c r="CP28" i="1"/>
  <c r="O28" i="1" s="1"/>
  <c r="S126" i="1"/>
  <c r="EG91" i="1"/>
  <c r="BC91" i="1"/>
  <c r="AU91" i="1"/>
  <c r="AQ91" i="1"/>
  <c r="P88" i="1"/>
  <c r="CP88" i="1" s="1"/>
  <c r="O88" i="1" s="1"/>
  <c r="P86" i="1"/>
  <c r="Q85" i="1"/>
  <c r="CU103" i="3"/>
  <c r="CW104" i="3"/>
  <c r="CX105" i="3"/>
  <c r="P84" i="1"/>
  <c r="CP84" i="1" s="1"/>
  <c r="O84" i="1" s="1"/>
  <c r="P83" i="1"/>
  <c r="P78" i="1"/>
  <c r="Q77" i="1"/>
  <c r="CV89" i="3"/>
  <c r="CX89" i="3"/>
  <c r="CX90" i="3"/>
  <c r="CU89" i="3"/>
  <c r="P76" i="1"/>
  <c r="CP76" i="1" s="1"/>
  <c r="O76" i="1" s="1"/>
  <c r="Q71" i="1"/>
  <c r="CP71" i="1" s="1"/>
  <c r="O71" i="1" s="1"/>
  <c r="GM71" i="1" s="1"/>
  <c r="GO71" i="1" s="1"/>
  <c r="Q70" i="1"/>
  <c r="CP70" i="1" s="1"/>
  <c r="O70" i="1" s="1"/>
  <c r="GM70" i="1" s="1"/>
  <c r="GO70" i="1" s="1"/>
  <c r="Q69" i="1"/>
  <c r="CU80" i="3"/>
  <c r="CX81" i="3"/>
  <c r="CV80" i="3"/>
  <c r="CW81" i="3"/>
  <c r="CX82" i="3"/>
  <c r="P68" i="1"/>
  <c r="P67" i="1"/>
  <c r="P65" i="1"/>
  <c r="CR59" i="1"/>
  <c r="P59" i="1"/>
  <c r="CP59" i="1" s="1"/>
  <c r="O59" i="1" s="1"/>
  <c r="CQ59" i="1"/>
  <c r="Q59" i="1"/>
  <c r="Q58" i="1"/>
  <c r="AD91" i="1" s="1"/>
  <c r="V57" i="1"/>
  <c r="EA91" i="1" s="1"/>
  <c r="CS57" i="1"/>
  <c r="AB56" i="1"/>
  <c r="P56" i="1"/>
  <c r="S54" i="1"/>
  <c r="CT54" i="1"/>
  <c r="AB54" i="1"/>
  <c r="S53" i="1"/>
  <c r="CP53" i="1" s="1"/>
  <c r="O53" i="1" s="1"/>
  <c r="CT53" i="1"/>
  <c r="AB53" i="1"/>
  <c r="R51" i="1"/>
  <c r="CZ51" i="1" s="1"/>
  <c r="Y51" i="1" s="1"/>
  <c r="CS51" i="1"/>
  <c r="AD51" i="1"/>
  <c r="S50" i="1"/>
  <c r="CT50" i="1"/>
  <c r="AB50" i="1"/>
  <c r="S49" i="1"/>
  <c r="CT49" i="1"/>
  <c r="AB49" i="1"/>
  <c r="CP47" i="1"/>
  <c r="O47" i="1" s="1"/>
  <c r="CP39" i="1"/>
  <c r="O39" i="1" s="1"/>
  <c r="AB33" i="1"/>
  <c r="I130" i="1"/>
  <c r="GX130" i="1" s="1"/>
  <c r="CS129" i="1"/>
  <c r="CS128" i="1"/>
  <c r="I128" i="1"/>
  <c r="GX128" i="1" s="1"/>
  <c r="CS127" i="1"/>
  <c r="CS126" i="1"/>
  <c r="CU107" i="3"/>
  <c r="CX107" i="3"/>
  <c r="CX109" i="3"/>
  <c r="EV91" i="1"/>
  <c r="CG91" i="1"/>
  <c r="BB91" i="1"/>
  <c r="P85" i="1"/>
  <c r="CP85" i="1" s="1"/>
  <c r="O85" i="1" s="1"/>
  <c r="GM85" i="1" s="1"/>
  <c r="GO85" i="1" s="1"/>
  <c r="S84" i="1"/>
  <c r="CU91" i="3"/>
  <c r="CX92" i="3"/>
  <c r="CX93" i="3"/>
  <c r="P77" i="1"/>
  <c r="CP77" i="1" s="1"/>
  <c r="O77" i="1" s="1"/>
  <c r="S76" i="1"/>
  <c r="CU83" i="3"/>
  <c r="CX84" i="3"/>
  <c r="CV83" i="3"/>
  <c r="P69" i="1"/>
  <c r="CP69" i="1" s="1"/>
  <c r="O69" i="1" s="1"/>
  <c r="S68" i="1"/>
  <c r="CU69" i="3"/>
  <c r="CX70" i="3"/>
  <c r="CY60" i="1"/>
  <c r="X60" i="1" s="1"/>
  <c r="T59" i="1"/>
  <c r="AB59" i="1"/>
  <c r="W58" i="1"/>
  <c r="AJ91" i="1" s="1"/>
  <c r="S58" i="1"/>
  <c r="CT58" i="1"/>
  <c r="P58" i="1"/>
  <c r="CP58" i="1" s="1"/>
  <c r="O58" i="1" s="1"/>
  <c r="AD57" i="1"/>
  <c r="AB57" i="1" s="1"/>
  <c r="R55" i="1"/>
  <c r="CS55" i="1"/>
  <c r="CP54" i="1"/>
  <c r="O54" i="1" s="1"/>
  <c r="CR51" i="1"/>
  <c r="AB51" i="1"/>
  <c r="P51" i="1"/>
  <c r="CP51" i="1" s="1"/>
  <c r="O51" i="1" s="1"/>
  <c r="CQ51" i="1"/>
  <c r="CV52" i="3"/>
  <c r="CX53" i="3"/>
  <c r="CU52" i="3"/>
  <c r="CX52" i="3"/>
  <c r="CW54" i="3"/>
  <c r="CP50" i="1"/>
  <c r="O50" i="1" s="1"/>
  <c r="CP49" i="1"/>
  <c r="O49" i="1" s="1"/>
  <c r="S47" i="1"/>
  <c r="CT47" i="1"/>
  <c r="AB47" i="1"/>
  <c r="CY46" i="1"/>
  <c r="X46" i="1" s="1"/>
  <c r="CZ46" i="1"/>
  <c r="Y46" i="1" s="1"/>
  <c r="CY38" i="1"/>
  <c r="X38" i="1" s="1"/>
  <c r="CZ38" i="1"/>
  <c r="Y38" i="1" s="1"/>
  <c r="CY30" i="1"/>
  <c r="X30" i="1" s="1"/>
  <c r="CZ30" i="1"/>
  <c r="Y30" i="1" s="1"/>
  <c r="CX59" i="3"/>
  <c r="CU57" i="3"/>
  <c r="CS45" i="1"/>
  <c r="AB45" i="1"/>
  <c r="R45" i="1"/>
  <c r="CU45" i="3"/>
  <c r="CX45" i="3"/>
  <c r="CV45" i="3"/>
  <c r="CT42" i="1"/>
  <c r="S42" i="1"/>
  <c r="CQ41" i="1"/>
  <c r="AD41" i="1"/>
  <c r="AB41" i="1" s="1"/>
  <c r="P41" i="1"/>
  <c r="CP41" i="1" s="1"/>
  <c r="O41" i="1" s="1"/>
  <c r="CT40" i="1"/>
  <c r="S40" i="1"/>
  <c r="CT39" i="1"/>
  <c r="S39" i="1"/>
  <c r="CS37" i="1"/>
  <c r="AB37" i="1"/>
  <c r="R37" i="1"/>
  <c r="CT34" i="1"/>
  <c r="S34" i="1"/>
  <c r="CQ33" i="1"/>
  <c r="AD33" i="1"/>
  <c r="P33" i="1"/>
  <c r="CT32" i="1"/>
  <c r="S32" i="1"/>
  <c r="CT31" i="1"/>
  <c r="S31" i="1"/>
  <c r="CS29" i="1"/>
  <c r="AB29" i="1"/>
  <c r="R29" i="1"/>
  <c r="CU1" i="3"/>
  <c r="CV1" i="3"/>
  <c r="CW3" i="3"/>
  <c r="CX1" i="3"/>
  <c r="CX3" i="3"/>
  <c r="CX304" i="3"/>
  <c r="CX292" i="3"/>
  <c r="CW290" i="3"/>
  <c r="CX285" i="3"/>
  <c r="CX284" i="3"/>
  <c r="CX283" i="3"/>
  <c r="CX277" i="3"/>
  <c r="CX276" i="3"/>
  <c r="CX275" i="3"/>
  <c r="CX273" i="3"/>
  <c r="CX270" i="3"/>
  <c r="CW270" i="3"/>
  <c r="CV269" i="3"/>
  <c r="CX269" i="3"/>
  <c r="CX268" i="3"/>
  <c r="CX267" i="3"/>
  <c r="CV266" i="3"/>
  <c r="CX266" i="3"/>
  <c r="CX265" i="3"/>
  <c r="CX255" i="3"/>
  <c r="CW255" i="3"/>
  <c r="CX239" i="3"/>
  <c r="CX233" i="3"/>
  <c r="CX221" i="3"/>
  <c r="Q45" i="1"/>
  <c r="CP45" i="1" s="1"/>
  <c r="O45" i="1" s="1"/>
  <c r="CU46" i="3"/>
  <c r="CX46" i="3"/>
  <c r="Q37" i="1"/>
  <c r="CP37" i="1" s="1"/>
  <c r="O37" i="1" s="1"/>
  <c r="CU12" i="3"/>
  <c r="CV12" i="3"/>
  <c r="CX12" i="3"/>
  <c r="Q29" i="1"/>
  <c r="CU5" i="3"/>
  <c r="CV5" i="3"/>
  <c r="CW7" i="3"/>
  <c r="CX5" i="3"/>
  <c r="CX7" i="3"/>
  <c r="CW301" i="3"/>
  <c r="CX301" i="3"/>
  <c r="CX297" i="3"/>
  <c r="CV289" i="3"/>
  <c r="CX288" i="3"/>
  <c r="CX246" i="3"/>
  <c r="CX240" i="3"/>
  <c r="CX222" i="3"/>
  <c r="CX48" i="3"/>
  <c r="CU47" i="3"/>
  <c r="CW48" i="3"/>
  <c r="CX47" i="3"/>
  <c r="CT46" i="1"/>
  <c r="CP46" i="1"/>
  <c r="O46" i="1" s="1"/>
  <c r="CQ45" i="1"/>
  <c r="CT44" i="1"/>
  <c r="CT43" i="1"/>
  <c r="CP43" i="1"/>
  <c r="O43" i="1" s="1"/>
  <c r="GM43" i="1" s="1"/>
  <c r="CS41" i="1"/>
  <c r="R41" i="1"/>
  <c r="CZ41" i="1" s="1"/>
  <c r="Y41" i="1" s="1"/>
  <c r="CU13" i="3"/>
  <c r="CV13" i="3"/>
  <c r="CW15" i="3"/>
  <c r="CW17" i="3"/>
  <c r="CX13" i="3"/>
  <c r="CX15" i="3"/>
  <c r="CX17" i="3"/>
  <c r="CX22" i="3"/>
  <c r="CX19" i="3"/>
  <c r="CW19" i="3"/>
  <c r="CX21" i="3"/>
  <c r="CX25" i="3"/>
  <c r="CT38" i="1"/>
  <c r="CP38" i="1"/>
  <c r="O38" i="1" s="1"/>
  <c r="CQ37" i="1"/>
  <c r="CT36" i="1"/>
  <c r="CT35" i="1"/>
  <c r="CP35" i="1"/>
  <c r="O35" i="1" s="1"/>
  <c r="CS33" i="1"/>
  <c r="R33" i="1"/>
  <c r="CZ33" i="1" s="1"/>
  <c r="Y33" i="1" s="1"/>
  <c r="CU9" i="3"/>
  <c r="CV9" i="3"/>
  <c r="CX9" i="3"/>
  <c r="CT30" i="1"/>
  <c r="CP30" i="1"/>
  <c r="O30" i="1" s="1"/>
  <c r="CQ29" i="1"/>
  <c r="CT28" i="1"/>
  <c r="CX308" i="3"/>
  <c r="CV299" i="3"/>
  <c r="CX299" i="3"/>
  <c r="CX296" i="3"/>
  <c r="CX241" i="3"/>
  <c r="CX235" i="3"/>
  <c r="S45" i="1"/>
  <c r="CW36" i="3"/>
  <c r="CX39" i="3"/>
  <c r="CX43" i="3"/>
  <c r="CX29" i="3"/>
  <c r="CV29" i="3"/>
  <c r="CX40" i="3"/>
  <c r="CX30" i="3"/>
  <c r="CX34" i="3"/>
  <c r="CU29" i="3"/>
  <c r="CX32" i="3"/>
  <c r="CX36" i="3"/>
  <c r="S37" i="1"/>
  <c r="S29" i="1"/>
  <c r="CX305" i="3"/>
  <c r="CX293" i="3"/>
  <c r="CX258" i="3"/>
  <c r="CX253" i="3"/>
  <c r="CV253" i="3"/>
  <c r="CX215" i="3"/>
  <c r="CX281" i="3"/>
  <c r="CX279" i="3"/>
  <c r="CX261" i="3"/>
  <c r="CX251" i="3"/>
  <c r="CX231" i="3"/>
  <c r="CX219" i="3"/>
  <c r="CX217" i="3"/>
  <c r="CX214" i="3"/>
  <c r="CX201" i="3"/>
  <c r="CX195" i="3"/>
  <c r="CX180" i="3"/>
  <c r="CX175" i="3"/>
  <c r="CX170" i="3"/>
  <c r="CX155" i="3"/>
  <c r="CX290" i="3"/>
  <c r="CX263" i="3"/>
  <c r="CX247" i="3"/>
  <c r="CV244" i="3"/>
  <c r="CV226" i="3"/>
  <c r="CX208" i="3"/>
  <c r="CX183" i="3"/>
  <c r="CX178" i="3"/>
  <c r="CX161" i="3"/>
  <c r="CX223" i="3"/>
  <c r="CX186" i="3"/>
  <c r="CX179" i="3"/>
  <c r="CX171" i="3"/>
  <c r="CX167" i="3"/>
  <c r="CX259" i="3"/>
  <c r="CX237" i="3"/>
  <c r="CW228" i="3"/>
  <c r="CX216" i="3"/>
  <c r="CX206" i="3"/>
  <c r="CX194" i="3"/>
  <c r="CX162" i="3"/>
  <c r="CX160" i="3"/>
  <c r="CX212" i="3"/>
  <c r="CX204" i="3"/>
  <c r="CW190" i="3"/>
  <c r="CX188" i="3"/>
  <c r="CW181" i="3"/>
  <c r="CW180" i="3"/>
  <c r="CX172" i="3"/>
  <c r="CW171" i="3"/>
  <c r="CX158" i="3"/>
  <c r="CX144" i="3"/>
  <c r="CX141" i="3"/>
  <c r="CX130" i="3"/>
  <c r="CV199" i="3"/>
  <c r="CX184" i="3"/>
  <c r="CW170" i="3"/>
  <c r="CX168" i="3"/>
  <c r="CW161" i="3"/>
  <c r="CV103" i="3"/>
  <c r="CX196" i="3"/>
  <c r="CV179" i="3"/>
  <c r="CX164" i="3"/>
  <c r="CX156" i="3"/>
  <c r="CX131" i="3"/>
  <c r="CX209" i="3"/>
  <c r="CW201" i="3"/>
  <c r="CX192" i="3"/>
  <c r="CX176" i="3"/>
  <c r="CV159" i="3"/>
  <c r="CX152" i="3"/>
  <c r="CW151" i="3"/>
  <c r="CW140" i="3"/>
  <c r="CV139" i="3"/>
  <c r="CX136" i="3"/>
  <c r="CX134" i="3"/>
  <c r="CX124" i="3"/>
  <c r="CX122" i="3"/>
  <c r="CX106" i="3"/>
  <c r="CX104" i="3"/>
  <c r="CX94" i="3"/>
  <c r="CX69" i="3"/>
  <c r="CW141" i="3"/>
  <c r="CX138" i="3"/>
  <c r="CW130" i="3"/>
  <c r="CX128" i="3"/>
  <c r="CX126" i="3"/>
  <c r="CX95" i="3"/>
  <c r="CV85" i="3"/>
  <c r="CX67" i="3"/>
  <c r="CX50" i="3"/>
  <c r="CX142" i="3"/>
  <c r="CW131" i="3"/>
  <c r="CW120" i="3"/>
  <c r="CV119" i="3"/>
  <c r="CX114" i="3"/>
  <c r="CX112" i="3"/>
  <c r="CX103" i="3"/>
  <c r="CX101" i="3"/>
  <c r="CX96" i="3"/>
  <c r="CX65" i="3"/>
  <c r="CW150" i="3"/>
  <c r="CX148" i="3"/>
  <c r="CX146" i="3"/>
  <c r="CX132" i="3"/>
  <c r="CW121" i="3"/>
  <c r="CX118" i="3"/>
  <c r="CX116" i="3"/>
  <c r="CX110" i="3"/>
  <c r="CX108" i="3"/>
  <c r="CV107" i="3"/>
  <c r="CW100" i="3"/>
  <c r="CX98" i="3"/>
  <c r="CV95" i="3"/>
  <c r="CX91" i="3"/>
  <c r="CW90" i="3"/>
  <c r="CX87" i="3"/>
  <c r="CX80" i="3"/>
  <c r="CX78" i="3"/>
  <c r="CX58" i="3"/>
  <c r="CV46" i="3"/>
  <c r="CX24" i="3"/>
  <c r="CX85" i="3"/>
  <c r="CX57" i="3"/>
  <c r="CX56" i="3"/>
  <c r="CW55" i="3"/>
  <c r="CX55" i="3"/>
  <c r="CW50" i="3"/>
  <c r="CX44" i="3"/>
  <c r="CX37" i="3"/>
  <c r="CV10" i="3"/>
  <c r="CX2" i="3"/>
  <c r="CV91" i="3"/>
  <c r="CX88" i="3"/>
  <c r="CX83" i="3"/>
  <c r="CX77" i="3"/>
  <c r="CX75" i="3"/>
  <c r="CX74" i="3"/>
  <c r="CX54" i="3"/>
  <c r="CW49" i="3"/>
  <c r="CX49" i="3"/>
  <c r="CV47" i="3"/>
  <c r="CX33" i="3"/>
  <c r="CW33" i="3"/>
  <c r="CX26" i="3"/>
  <c r="CX72" i="3"/>
  <c r="CX71" i="3"/>
  <c r="CV69" i="3"/>
  <c r="CV67" i="3"/>
  <c r="CV65" i="3"/>
  <c r="CX41" i="3"/>
  <c r="CX38" i="3"/>
  <c r="CW34" i="3"/>
  <c r="CW30" i="3"/>
  <c r="CX23" i="3"/>
  <c r="CX62" i="3"/>
  <c r="CX60" i="3"/>
  <c r="CV57" i="3"/>
  <c r="CW53" i="3"/>
  <c r="CX51" i="3"/>
  <c r="CX42" i="3"/>
  <c r="CW32" i="3"/>
  <c r="CX28" i="3"/>
  <c r="CX16" i="3"/>
  <c r="CX11" i="3"/>
  <c r="CX8" i="3"/>
  <c r="CX35" i="3"/>
  <c r="CW35" i="3"/>
  <c r="CX31" i="3"/>
  <c r="CW31" i="3"/>
  <c r="CX27" i="3"/>
  <c r="CX4" i="3"/>
  <c r="CX20" i="3"/>
  <c r="CW20" i="3"/>
  <c r="CX18" i="3"/>
  <c r="CW18" i="3"/>
  <c r="CX14" i="3"/>
  <c r="CX6" i="3"/>
  <c r="CW16" i="3"/>
  <c r="CW14" i="3"/>
  <c r="CV11" i="3"/>
  <c r="CW6" i="3"/>
  <c r="CW2" i="3"/>
  <c r="CX10" i="3"/>
  <c r="P161" i="7" l="1"/>
  <c r="H310" i="7"/>
  <c r="H385" i="7"/>
  <c r="H203" i="7"/>
  <c r="J153" i="7"/>
  <c r="J381" i="7"/>
  <c r="J310" i="7"/>
  <c r="J385" i="7"/>
  <c r="J203" i="7"/>
  <c r="AJ123" i="1"/>
  <c r="W164" i="1"/>
  <c r="CI123" i="1"/>
  <c r="AZ164" i="1"/>
  <c r="EA26" i="1"/>
  <c r="DN91" i="1"/>
  <c r="EA196" i="1"/>
  <c r="DN223" i="1"/>
  <c r="GB196" i="1"/>
  <c r="ES223" i="1"/>
  <c r="AI196" i="1"/>
  <c r="V223" i="1"/>
  <c r="DH11" i="3"/>
  <c r="DI11" i="3"/>
  <c r="DJ11" i="3" s="1"/>
  <c r="DF11" i="3"/>
  <c r="DG11" i="3"/>
  <c r="DH60" i="3"/>
  <c r="DG60" i="3"/>
  <c r="DF60" i="3"/>
  <c r="DJ60" i="3" s="1"/>
  <c r="DI60" i="3"/>
  <c r="DH75" i="3"/>
  <c r="DF75" i="3"/>
  <c r="DJ75" i="3" s="1"/>
  <c r="DI75" i="3"/>
  <c r="DG75" i="3"/>
  <c r="DG98" i="3"/>
  <c r="DH98" i="3"/>
  <c r="DF98" i="3"/>
  <c r="DJ98" i="3" s="1"/>
  <c r="DI98" i="3"/>
  <c r="DH124" i="3"/>
  <c r="DF124" i="3"/>
  <c r="DJ124" i="3" s="1"/>
  <c r="DG124" i="3"/>
  <c r="DI124" i="3"/>
  <c r="DG161" i="3"/>
  <c r="DJ161" i="3" s="1"/>
  <c r="DF161" i="3"/>
  <c r="DH161" i="3"/>
  <c r="DI161" i="3"/>
  <c r="DI180" i="3"/>
  <c r="DH180" i="3"/>
  <c r="DF180" i="3"/>
  <c r="DG180" i="3"/>
  <c r="DJ180" i="3" s="1"/>
  <c r="DG10" i="3"/>
  <c r="DH10" i="3"/>
  <c r="DI10" i="3"/>
  <c r="DJ10" i="3" s="1"/>
  <c r="DF10" i="3"/>
  <c r="DH62" i="3"/>
  <c r="DG62" i="3"/>
  <c r="DF62" i="3"/>
  <c r="DJ62" i="3" s="1"/>
  <c r="DI62" i="3"/>
  <c r="DF146" i="3"/>
  <c r="DJ146" i="3" s="1"/>
  <c r="DH146" i="3"/>
  <c r="DI146" i="3"/>
  <c r="DG146" i="3"/>
  <c r="DH114" i="3"/>
  <c r="DF114" i="3"/>
  <c r="DJ114" i="3" s="1"/>
  <c r="DG114" i="3"/>
  <c r="DI114" i="3"/>
  <c r="DF95" i="3"/>
  <c r="DI95" i="3"/>
  <c r="DJ95" i="3" s="1"/>
  <c r="DG95" i="3"/>
  <c r="DH95" i="3"/>
  <c r="DF134" i="3"/>
  <c r="DJ134" i="3" s="1"/>
  <c r="DH134" i="3"/>
  <c r="DG134" i="3"/>
  <c r="DI134" i="3"/>
  <c r="DH156" i="3"/>
  <c r="DI156" i="3"/>
  <c r="DF156" i="3"/>
  <c r="DJ156" i="3" s="1"/>
  <c r="DG156" i="3"/>
  <c r="DH184" i="3"/>
  <c r="DG184" i="3"/>
  <c r="DI184" i="3"/>
  <c r="DF184" i="3"/>
  <c r="DJ184" i="3" s="1"/>
  <c r="DH204" i="3"/>
  <c r="DF204" i="3"/>
  <c r="DJ204" i="3" s="1"/>
  <c r="DG204" i="3"/>
  <c r="DI204" i="3"/>
  <c r="DG179" i="3"/>
  <c r="DF179" i="3"/>
  <c r="DH179" i="3"/>
  <c r="DI179" i="3"/>
  <c r="DJ179" i="3" s="1"/>
  <c r="DI155" i="3"/>
  <c r="DF155" i="3"/>
  <c r="DJ155" i="3" s="1"/>
  <c r="DG155" i="3"/>
  <c r="DH155" i="3"/>
  <c r="CY29" i="1"/>
  <c r="X29" i="1" s="1"/>
  <c r="CZ29" i="1"/>
  <c r="Y29" i="1" s="1"/>
  <c r="DH296" i="3"/>
  <c r="DI296" i="3"/>
  <c r="DF296" i="3"/>
  <c r="DJ296" i="3" s="1"/>
  <c r="DG296" i="3"/>
  <c r="DF17" i="3"/>
  <c r="DI17" i="3"/>
  <c r="DG17" i="3"/>
  <c r="DJ17" i="3" s="1"/>
  <c r="DH17" i="3"/>
  <c r="DI240" i="3"/>
  <c r="DF240" i="3"/>
  <c r="DJ240" i="3" s="1"/>
  <c r="DH240" i="3"/>
  <c r="DG240" i="3"/>
  <c r="DG297" i="3"/>
  <c r="DH297" i="3"/>
  <c r="DI297" i="3"/>
  <c r="DF297" i="3"/>
  <c r="DJ297" i="3" s="1"/>
  <c r="DF5" i="3"/>
  <c r="DG5" i="3"/>
  <c r="DH5" i="3"/>
  <c r="DI5" i="3"/>
  <c r="DJ5" i="3" s="1"/>
  <c r="DF221" i="3"/>
  <c r="DJ221" i="3" s="1"/>
  <c r="DG221" i="3"/>
  <c r="DH221" i="3"/>
  <c r="DI221" i="3"/>
  <c r="DF3" i="3"/>
  <c r="DG3" i="3"/>
  <c r="DJ3" i="3" s="1"/>
  <c r="DH3" i="3"/>
  <c r="DI3" i="3"/>
  <c r="CY34" i="1"/>
  <c r="X34" i="1" s="1"/>
  <c r="CZ34" i="1"/>
  <c r="Y34" i="1" s="1"/>
  <c r="DH6" i="3"/>
  <c r="DI6" i="3"/>
  <c r="DF6" i="3"/>
  <c r="DG6" i="3"/>
  <c r="DJ6" i="3" s="1"/>
  <c r="DI8" i="3"/>
  <c r="DF8" i="3"/>
  <c r="DJ8" i="3" s="1"/>
  <c r="DG8" i="3"/>
  <c r="DH8" i="3"/>
  <c r="DH72" i="3"/>
  <c r="DI72" i="3"/>
  <c r="DF72" i="3"/>
  <c r="DJ72" i="3" s="1"/>
  <c r="DG72" i="3"/>
  <c r="DH74" i="3"/>
  <c r="DI74" i="3"/>
  <c r="DF74" i="3"/>
  <c r="DJ74" i="3" s="1"/>
  <c r="DG74" i="3"/>
  <c r="DF88" i="3"/>
  <c r="DH88" i="3"/>
  <c r="DI88" i="3"/>
  <c r="DG88" i="3"/>
  <c r="DJ88" i="3" s="1"/>
  <c r="DF37" i="3"/>
  <c r="DJ37" i="3" s="1"/>
  <c r="DI37" i="3"/>
  <c r="DH37" i="3"/>
  <c r="DG37" i="3"/>
  <c r="DH24" i="3"/>
  <c r="DG24" i="3"/>
  <c r="DI24" i="3"/>
  <c r="DF24" i="3"/>
  <c r="DJ24" i="3" s="1"/>
  <c r="DF80" i="3"/>
  <c r="DH80" i="3"/>
  <c r="DG80" i="3"/>
  <c r="DI80" i="3"/>
  <c r="DJ80" i="3" s="1"/>
  <c r="DF108" i="3"/>
  <c r="DJ108" i="3" s="1"/>
  <c r="DH108" i="3"/>
  <c r="DG108" i="3"/>
  <c r="DI108" i="3"/>
  <c r="DF103" i="3"/>
  <c r="DH103" i="3"/>
  <c r="DG103" i="3"/>
  <c r="DI103" i="3"/>
  <c r="DJ103" i="3" s="1"/>
  <c r="DG67" i="3"/>
  <c r="DH67" i="3"/>
  <c r="DI67" i="3"/>
  <c r="DJ67" i="3" s="1"/>
  <c r="DF67" i="3"/>
  <c r="DH128" i="3"/>
  <c r="DF128" i="3"/>
  <c r="DJ128" i="3" s="1"/>
  <c r="DI128" i="3"/>
  <c r="DG128" i="3"/>
  <c r="DG69" i="3"/>
  <c r="DH69" i="3"/>
  <c r="DI69" i="3"/>
  <c r="DJ69" i="3" s="1"/>
  <c r="DF69" i="3"/>
  <c r="DF122" i="3"/>
  <c r="DJ122" i="3" s="1"/>
  <c r="DH122" i="3"/>
  <c r="DG122" i="3"/>
  <c r="DI122" i="3"/>
  <c r="DH209" i="3"/>
  <c r="DI209" i="3"/>
  <c r="DF209" i="3"/>
  <c r="DG209" i="3"/>
  <c r="DJ209" i="3" s="1"/>
  <c r="DH168" i="3"/>
  <c r="DG168" i="3"/>
  <c r="DI168" i="3"/>
  <c r="DF168" i="3"/>
  <c r="DJ168" i="3" s="1"/>
  <c r="DG130" i="3"/>
  <c r="DJ130" i="3" s="1"/>
  <c r="DI130" i="3"/>
  <c r="DF130" i="3"/>
  <c r="DH130" i="3"/>
  <c r="DH188" i="3"/>
  <c r="DF188" i="3"/>
  <c r="DJ188" i="3" s="1"/>
  <c r="DG188" i="3"/>
  <c r="DI188" i="3"/>
  <c r="DI160" i="3"/>
  <c r="DF160" i="3"/>
  <c r="DG160" i="3"/>
  <c r="DJ160" i="3" s="1"/>
  <c r="DH160" i="3"/>
  <c r="DG216" i="3"/>
  <c r="DI216" i="3"/>
  <c r="DF216" i="3"/>
  <c r="DJ216" i="3" s="1"/>
  <c r="DH216" i="3"/>
  <c r="DI167" i="3"/>
  <c r="DF167" i="3"/>
  <c r="DJ167" i="3" s="1"/>
  <c r="DG167" i="3"/>
  <c r="DH167" i="3"/>
  <c r="DH223" i="3"/>
  <c r="DI223" i="3"/>
  <c r="DF223" i="3"/>
  <c r="DJ223" i="3" s="1"/>
  <c r="DG223" i="3"/>
  <c r="DF208" i="3"/>
  <c r="DG208" i="3"/>
  <c r="DI208" i="3"/>
  <c r="DJ208" i="3" s="1"/>
  <c r="DH208" i="3"/>
  <c r="DH263" i="3"/>
  <c r="DG263" i="3"/>
  <c r="DI263" i="3"/>
  <c r="DJ263" i="3" s="1"/>
  <c r="DF263" i="3"/>
  <c r="DI175" i="3"/>
  <c r="DG175" i="3"/>
  <c r="DH175" i="3"/>
  <c r="DF175" i="3"/>
  <c r="DJ175" i="3" s="1"/>
  <c r="DF214" i="3"/>
  <c r="DJ214" i="3" s="1"/>
  <c r="DG214" i="3"/>
  <c r="DH214" i="3"/>
  <c r="DI214" i="3"/>
  <c r="DH251" i="3"/>
  <c r="DF251" i="3"/>
  <c r="DJ251" i="3" s="1"/>
  <c r="DI251" i="3"/>
  <c r="DG251" i="3"/>
  <c r="DI215" i="3"/>
  <c r="DF215" i="3"/>
  <c r="DJ215" i="3" s="1"/>
  <c r="DG215" i="3"/>
  <c r="DH215" i="3"/>
  <c r="DG293" i="3"/>
  <c r="DH293" i="3"/>
  <c r="DF293" i="3"/>
  <c r="DJ293" i="3" s="1"/>
  <c r="DI293" i="3"/>
  <c r="DG36" i="3"/>
  <c r="DJ36" i="3" s="1"/>
  <c r="DF36" i="3"/>
  <c r="DH36" i="3"/>
  <c r="DI36" i="3"/>
  <c r="DG30" i="3"/>
  <c r="DJ30" i="3" s="1"/>
  <c r="DF30" i="3"/>
  <c r="DH30" i="3"/>
  <c r="DI30" i="3"/>
  <c r="DG43" i="3"/>
  <c r="DI43" i="3"/>
  <c r="DH43" i="3"/>
  <c r="DF43" i="3"/>
  <c r="DJ43" i="3" s="1"/>
  <c r="DF235" i="3"/>
  <c r="DG235" i="3"/>
  <c r="DH235" i="3"/>
  <c r="DI235" i="3"/>
  <c r="DJ235" i="3" s="1"/>
  <c r="GM30" i="1"/>
  <c r="DF19" i="3"/>
  <c r="DI19" i="3"/>
  <c r="DH19" i="3"/>
  <c r="DG19" i="3"/>
  <c r="DJ19" i="3" s="1"/>
  <c r="DF13" i="3"/>
  <c r="DG13" i="3"/>
  <c r="DH13" i="3"/>
  <c r="DI13" i="3"/>
  <c r="DJ13" i="3" s="1"/>
  <c r="DI48" i="3"/>
  <c r="DH48" i="3"/>
  <c r="DF48" i="3"/>
  <c r="DG48" i="3"/>
  <c r="DJ48" i="3" s="1"/>
  <c r="DI288" i="3"/>
  <c r="DG288" i="3"/>
  <c r="DH288" i="3"/>
  <c r="DF288" i="3"/>
  <c r="DJ288" i="3" s="1"/>
  <c r="DF239" i="3"/>
  <c r="DJ239" i="3" s="1"/>
  <c r="DG239" i="3"/>
  <c r="DH239" i="3"/>
  <c r="DI239" i="3"/>
  <c r="DG266" i="3"/>
  <c r="DH266" i="3"/>
  <c r="DI266" i="3"/>
  <c r="DJ266" i="3" s="1"/>
  <c r="DF266" i="3"/>
  <c r="DF269" i="3"/>
  <c r="DH269" i="3"/>
  <c r="DI269" i="3"/>
  <c r="DJ269" i="3" s="1"/>
  <c r="DG269" i="3"/>
  <c r="DH273" i="3"/>
  <c r="DG273" i="3"/>
  <c r="DI273" i="3"/>
  <c r="DF273" i="3"/>
  <c r="DJ273" i="3" s="1"/>
  <c r="DF283" i="3"/>
  <c r="DJ283" i="3" s="1"/>
  <c r="DH283" i="3"/>
  <c r="DI283" i="3"/>
  <c r="DG283" i="3"/>
  <c r="DH292" i="3"/>
  <c r="DI292" i="3"/>
  <c r="DF292" i="3"/>
  <c r="DJ292" i="3" s="1"/>
  <c r="DG292" i="3"/>
  <c r="CY32" i="1"/>
  <c r="X32" i="1" s="1"/>
  <c r="CZ32" i="1"/>
  <c r="Y32" i="1" s="1"/>
  <c r="AF91" i="1"/>
  <c r="DI59" i="3"/>
  <c r="DG59" i="3"/>
  <c r="DF59" i="3"/>
  <c r="DJ59" i="3" s="1"/>
  <c r="DH59" i="3"/>
  <c r="GM49" i="1"/>
  <c r="AJ26" i="1"/>
  <c r="W91" i="1"/>
  <c r="DF70" i="3"/>
  <c r="DJ70" i="3" s="1"/>
  <c r="DH70" i="3"/>
  <c r="DG70" i="3"/>
  <c r="DI70" i="3"/>
  <c r="GM77" i="1"/>
  <c r="GO77" i="1" s="1"/>
  <c r="CY84" i="1"/>
  <c r="X84" i="1" s="1"/>
  <c r="CZ84" i="1"/>
  <c r="Y84" i="1" s="1"/>
  <c r="EV26" i="1"/>
  <c r="P116" i="1"/>
  <c r="EV253" i="1"/>
  <c r="CZ49" i="1"/>
  <c r="Y49" i="1" s="1"/>
  <c r="CY49" i="1"/>
  <c r="X49" i="1" s="1"/>
  <c r="CZ54" i="1"/>
  <c r="Y54" i="1" s="1"/>
  <c r="CY54" i="1"/>
  <c r="X54" i="1" s="1"/>
  <c r="CP67" i="1"/>
  <c r="O67" i="1" s="1"/>
  <c r="FR67" i="1"/>
  <c r="DG90" i="3"/>
  <c r="DJ90" i="3" s="1"/>
  <c r="DI90" i="3"/>
  <c r="DF90" i="3"/>
  <c r="DH90" i="3"/>
  <c r="CP78" i="1"/>
  <c r="O78" i="1" s="1"/>
  <c r="FR78" i="1"/>
  <c r="EG26" i="1"/>
  <c r="P95" i="1"/>
  <c r="EG253" i="1"/>
  <c r="GM36" i="1"/>
  <c r="GO36" i="1" s="1"/>
  <c r="DF68" i="3"/>
  <c r="DJ68" i="3" s="1"/>
  <c r="DH68" i="3"/>
  <c r="DG68" i="3"/>
  <c r="DI68" i="3"/>
  <c r="CP127" i="1"/>
  <c r="O127" i="1" s="1"/>
  <c r="GM127" i="1" s="1"/>
  <c r="GO127" i="1" s="1"/>
  <c r="AC164" i="1"/>
  <c r="DG115" i="3"/>
  <c r="DI115" i="3"/>
  <c r="DF115" i="3"/>
  <c r="DJ115" i="3" s="1"/>
  <c r="DH115" i="3"/>
  <c r="CZ52" i="1"/>
  <c r="Y52" i="1" s="1"/>
  <c r="CY52" i="1"/>
  <c r="X52" i="1" s="1"/>
  <c r="DG76" i="3"/>
  <c r="DI76" i="3"/>
  <c r="DF76" i="3"/>
  <c r="DJ76" i="3" s="1"/>
  <c r="DH76" i="3"/>
  <c r="FR64" i="1"/>
  <c r="CP64" i="1"/>
  <c r="O64" i="1" s="1"/>
  <c r="GM64" i="1" s="1"/>
  <c r="FR79" i="1"/>
  <c r="CP79" i="1"/>
  <c r="O79" i="1" s="1"/>
  <c r="GM79" i="1" s="1"/>
  <c r="DH97" i="3"/>
  <c r="DI97" i="3"/>
  <c r="DG97" i="3"/>
  <c r="DF97" i="3"/>
  <c r="DJ97" i="3" s="1"/>
  <c r="EI26" i="1"/>
  <c r="P101" i="1"/>
  <c r="CY67" i="1"/>
  <c r="X67" i="1" s="1"/>
  <c r="CY88" i="1"/>
  <c r="X88" i="1" s="1"/>
  <c r="GM88" i="1" s="1"/>
  <c r="GN88" i="1" s="1"/>
  <c r="CB91" i="1" s="1"/>
  <c r="U128" i="1"/>
  <c r="DG145" i="3"/>
  <c r="DI145" i="3"/>
  <c r="DF145" i="3"/>
  <c r="DJ145" i="3" s="1"/>
  <c r="DH145" i="3"/>
  <c r="CY147" i="1"/>
  <c r="X147" i="1" s="1"/>
  <c r="GM147" i="1" s="1"/>
  <c r="GO147" i="1" s="1"/>
  <c r="CZ147" i="1"/>
  <c r="Y147" i="1" s="1"/>
  <c r="DF182" i="3"/>
  <c r="DJ182" i="3" s="1"/>
  <c r="DI182" i="3"/>
  <c r="DG182" i="3"/>
  <c r="DH182" i="3"/>
  <c r="CY65" i="1"/>
  <c r="X65" i="1" s="1"/>
  <c r="W128" i="1"/>
  <c r="DG133" i="3"/>
  <c r="DI133" i="3"/>
  <c r="DH133" i="3"/>
  <c r="DF133" i="3"/>
  <c r="DJ133" i="3" s="1"/>
  <c r="DG177" i="3"/>
  <c r="DF177" i="3"/>
  <c r="DJ177" i="3" s="1"/>
  <c r="DH177" i="3"/>
  <c r="DI177" i="3"/>
  <c r="DF210" i="3"/>
  <c r="DG210" i="3"/>
  <c r="DJ210" i="3" s="1"/>
  <c r="DH210" i="3"/>
  <c r="DI210" i="3"/>
  <c r="EG123" i="1"/>
  <c r="P168" i="1"/>
  <c r="DG262" i="3"/>
  <c r="DH262" i="3"/>
  <c r="DI262" i="3"/>
  <c r="DF262" i="3"/>
  <c r="DJ262" i="3" s="1"/>
  <c r="CY59" i="1"/>
  <c r="X59" i="1" s="1"/>
  <c r="S136" i="1"/>
  <c r="W136" i="1"/>
  <c r="Q136" i="1"/>
  <c r="CP136" i="1" s="1"/>
  <c r="O136" i="1" s="1"/>
  <c r="CP132" i="1"/>
  <c r="O132" i="1" s="1"/>
  <c r="GM132" i="1" s="1"/>
  <c r="GO132" i="1" s="1"/>
  <c r="DI120" i="3"/>
  <c r="DG120" i="3"/>
  <c r="DJ120" i="3" s="1"/>
  <c r="DF120" i="3"/>
  <c r="DH120" i="3"/>
  <c r="DI127" i="3"/>
  <c r="DG127" i="3"/>
  <c r="DF127" i="3"/>
  <c r="DJ127" i="3" s="1"/>
  <c r="DH127" i="3"/>
  <c r="DG165" i="3"/>
  <c r="DI165" i="3"/>
  <c r="DF165" i="3"/>
  <c r="DJ165" i="3" s="1"/>
  <c r="DH165" i="3"/>
  <c r="AI26" i="1"/>
  <c r="V91" i="1"/>
  <c r="DG153" i="3"/>
  <c r="DH153" i="3"/>
  <c r="DI153" i="3"/>
  <c r="DF153" i="3"/>
  <c r="DJ153" i="3" s="1"/>
  <c r="DG157" i="3"/>
  <c r="DI157" i="3"/>
  <c r="DH157" i="3"/>
  <c r="DF157" i="3"/>
  <c r="DJ157" i="3" s="1"/>
  <c r="CY149" i="1"/>
  <c r="X149" i="1" s="1"/>
  <c r="GM149" i="1" s="1"/>
  <c r="GO149" i="1" s="1"/>
  <c r="CZ149" i="1"/>
  <c r="Y149" i="1" s="1"/>
  <c r="DG193" i="3"/>
  <c r="DF193" i="3"/>
  <c r="DJ193" i="3" s="1"/>
  <c r="DH193" i="3"/>
  <c r="DI193" i="3"/>
  <c r="DF198" i="3"/>
  <c r="DJ198" i="3" s="1"/>
  <c r="DI198" i="3"/>
  <c r="DG198" i="3"/>
  <c r="DH198" i="3"/>
  <c r="DI189" i="3"/>
  <c r="DJ189" i="3" s="1"/>
  <c r="DH189" i="3"/>
  <c r="DF189" i="3"/>
  <c r="DG189" i="3"/>
  <c r="DG232" i="3"/>
  <c r="DF232" i="3"/>
  <c r="DJ232" i="3" s="1"/>
  <c r="DH232" i="3"/>
  <c r="DI232" i="3"/>
  <c r="DI227" i="3"/>
  <c r="DG227" i="3"/>
  <c r="DJ227" i="3" s="1"/>
  <c r="DH227" i="3"/>
  <c r="DF227" i="3"/>
  <c r="AO123" i="1"/>
  <c r="F168" i="1"/>
  <c r="GM144" i="1"/>
  <c r="GO144" i="1" s="1"/>
  <c r="CP158" i="1"/>
  <c r="O158" i="1" s="1"/>
  <c r="CZ159" i="1"/>
  <c r="Y159" i="1" s="1"/>
  <c r="CZ161" i="1"/>
  <c r="Y161" i="1" s="1"/>
  <c r="CY161" i="1"/>
  <c r="X161" i="1" s="1"/>
  <c r="EV123" i="1"/>
  <c r="P189" i="1"/>
  <c r="EU196" i="1"/>
  <c r="P239" i="1"/>
  <c r="DF249" i="3"/>
  <c r="DJ249" i="3" s="1"/>
  <c r="DH249" i="3"/>
  <c r="DG249" i="3"/>
  <c r="DI249" i="3"/>
  <c r="DI250" i="3"/>
  <c r="DH250" i="3"/>
  <c r="DF250" i="3"/>
  <c r="DJ250" i="3" s="1"/>
  <c r="DG250" i="3"/>
  <c r="CP201" i="1"/>
  <c r="O201" i="1" s="1"/>
  <c r="FR201" i="1"/>
  <c r="DF289" i="3"/>
  <c r="DG289" i="3"/>
  <c r="DH289" i="3"/>
  <c r="DI289" i="3"/>
  <c r="DJ289" i="3" s="1"/>
  <c r="DF298" i="3"/>
  <c r="DJ298" i="3" s="1"/>
  <c r="DG298" i="3"/>
  <c r="DH298" i="3"/>
  <c r="DI298" i="3"/>
  <c r="U136" i="1"/>
  <c r="DF280" i="3"/>
  <c r="DG280" i="3"/>
  <c r="DJ280" i="3" s="1"/>
  <c r="DI280" i="3"/>
  <c r="DH280" i="3"/>
  <c r="BC196" i="1"/>
  <c r="F239" i="1"/>
  <c r="CD123" i="1"/>
  <c r="AU164" i="1"/>
  <c r="DG205" i="3"/>
  <c r="DF205" i="3"/>
  <c r="DJ205" i="3" s="1"/>
  <c r="DH205" i="3"/>
  <c r="DI205" i="3"/>
  <c r="DI203" i="3"/>
  <c r="DH203" i="3"/>
  <c r="DF203" i="3"/>
  <c r="DJ203" i="3" s="1"/>
  <c r="DG203" i="3"/>
  <c r="CP157" i="1"/>
  <c r="O157" i="1" s="1"/>
  <c r="BD123" i="1"/>
  <c r="F189" i="1"/>
  <c r="DI236" i="3"/>
  <c r="DG236" i="3"/>
  <c r="DH236" i="3"/>
  <c r="DF236" i="3"/>
  <c r="DJ236" i="3" s="1"/>
  <c r="CY199" i="1"/>
  <c r="X199" i="1" s="1"/>
  <c r="CZ199" i="1"/>
  <c r="Y199" i="1" s="1"/>
  <c r="DX223" i="1"/>
  <c r="BD196" i="1"/>
  <c r="F248" i="1"/>
  <c r="DF306" i="3"/>
  <c r="DJ306" i="3" s="1"/>
  <c r="DG306" i="3"/>
  <c r="DH306" i="3"/>
  <c r="DI306" i="3"/>
  <c r="DI307" i="3"/>
  <c r="DF307" i="3"/>
  <c r="DJ307" i="3" s="1"/>
  <c r="DG307" i="3"/>
  <c r="DH307" i="3"/>
  <c r="GM207" i="1"/>
  <c r="GO207" i="1" s="1"/>
  <c r="CY216" i="1"/>
  <c r="X216" i="1" s="1"/>
  <c r="GM216" i="1" s="1"/>
  <c r="GO216" i="1" s="1"/>
  <c r="F242" i="1"/>
  <c r="AU196" i="1"/>
  <c r="AS196" i="1"/>
  <c r="F240" i="1"/>
  <c r="F233" i="1"/>
  <c r="AQ196" i="1"/>
  <c r="CY220" i="1"/>
  <c r="X220" i="1" s="1"/>
  <c r="AJ196" i="1"/>
  <c r="W223" i="1"/>
  <c r="DH20" i="3"/>
  <c r="DG20" i="3"/>
  <c r="DJ20" i="3" s="1"/>
  <c r="DI20" i="3"/>
  <c r="DF20" i="3"/>
  <c r="DF110" i="3"/>
  <c r="DH110" i="3"/>
  <c r="DI110" i="3"/>
  <c r="DJ110" i="3" s="1"/>
  <c r="DG110" i="3"/>
  <c r="DH196" i="3"/>
  <c r="DI196" i="3"/>
  <c r="DF196" i="3"/>
  <c r="DJ196" i="3" s="1"/>
  <c r="DG196" i="3"/>
  <c r="DF162" i="3"/>
  <c r="DJ162" i="3" s="1"/>
  <c r="DG162" i="3"/>
  <c r="DH162" i="3"/>
  <c r="DI162" i="3"/>
  <c r="DG290" i="3"/>
  <c r="DJ290" i="3" s="1"/>
  <c r="DH290" i="3"/>
  <c r="DF290" i="3"/>
  <c r="DI290" i="3"/>
  <c r="DH217" i="3"/>
  <c r="DI217" i="3"/>
  <c r="DJ217" i="3" s="1"/>
  <c r="DF217" i="3"/>
  <c r="DG217" i="3"/>
  <c r="DG305" i="3"/>
  <c r="DH305" i="3"/>
  <c r="DF305" i="3"/>
  <c r="DJ305" i="3" s="1"/>
  <c r="DI305" i="3"/>
  <c r="DG32" i="3"/>
  <c r="DJ32" i="3" s="1"/>
  <c r="DF32" i="3"/>
  <c r="DH32" i="3"/>
  <c r="DI32" i="3"/>
  <c r="DG40" i="3"/>
  <c r="DF40" i="3"/>
  <c r="DJ40" i="3" s="1"/>
  <c r="DH40" i="3"/>
  <c r="DI40" i="3"/>
  <c r="DH39" i="3"/>
  <c r="DG39" i="3"/>
  <c r="DI39" i="3"/>
  <c r="DF39" i="3"/>
  <c r="DJ39" i="3" s="1"/>
  <c r="DH241" i="3"/>
  <c r="DI241" i="3"/>
  <c r="DF241" i="3"/>
  <c r="DJ241" i="3" s="1"/>
  <c r="DG241" i="3"/>
  <c r="DH308" i="3"/>
  <c r="DI308" i="3"/>
  <c r="DF308" i="3"/>
  <c r="DJ308" i="3" s="1"/>
  <c r="DG308" i="3"/>
  <c r="DG25" i="3"/>
  <c r="DF25" i="3"/>
  <c r="DJ25" i="3" s="1"/>
  <c r="DI25" i="3"/>
  <c r="DH25" i="3"/>
  <c r="DF22" i="3"/>
  <c r="DJ22" i="3" s="1"/>
  <c r="DI22" i="3"/>
  <c r="DH22" i="3"/>
  <c r="DG22" i="3"/>
  <c r="DG47" i="3"/>
  <c r="DH47" i="3"/>
  <c r="DF47" i="3"/>
  <c r="DI47" i="3"/>
  <c r="DJ47" i="3" s="1"/>
  <c r="DI222" i="3"/>
  <c r="DF222" i="3"/>
  <c r="DJ222" i="3" s="1"/>
  <c r="DG222" i="3"/>
  <c r="DH222" i="3"/>
  <c r="DF7" i="3"/>
  <c r="DG7" i="3"/>
  <c r="DJ7" i="3" s="1"/>
  <c r="DH7" i="3"/>
  <c r="DI7" i="3"/>
  <c r="DF275" i="3"/>
  <c r="DJ275" i="3" s="1"/>
  <c r="DH275" i="3"/>
  <c r="DI275" i="3"/>
  <c r="DG275" i="3"/>
  <c r="DI284" i="3"/>
  <c r="DH284" i="3"/>
  <c r="DF284" i="3"/>
  <c r="DJ284" i="3" s="1"/>
  <c r="DG284" i="3"/>
  <c r="DH304" i="3"/>
  <c r="DI304" i="3"/>
  <c r="DF304" i="3"/>
  <c r="DJ304" i="3" s="1"/>
  <c r="DG304" i="3"/>
  <c r="CY33" i="1"/>
  <c r="X33" i="1" s="1"/>
  <c r="CY40" i="1"/>
  <c r="X40" i="1" s="1"/>
  <c r="AK91" i="1" s="1"/>
  <c r="CZ40" i="1"/>
  <c r="Y40" i="1" s="1"/>
  <c r="DG53" i="3"/>
  <c r="DJ53" i="3" s="1"/>
  <c r="DH53" i="3"/>
  <c r="DF53" i="3"/>
  <c r="DI53" i="3"/>
  <c r="GM54" i="1"/>
  <c r="GO54" i="1" s="1"/>
  <c r="DG84" i="3"/>
  <c r="DI84" i="3"/>
  <c r="DF84" i="3"/>
  <c r="DJ84" i="3" s="1"/>
  <c r="DH84" i="3"/>
  <c r="DF93" i="3"/>
  <c r="DJ93" i="3" s="1"/>
  <c r="DI93" i="3"/>
  <c r="DG93" i="3"/>
  <c r="DH93" i="3"/>
  <c r="DI109" i="3"/>
  <c r="DG109" i="3"/>
  <c r="DF109" i="3"/>
  <c r="DJ109" i="3" s="1"/>
  <c r="DH109" i="3"/>
  <c r="S130" i="1"/>
  <c r="Q130" i="1"/>
  <c r="CZ53" i="1"/>
  <c r="Y53" i="1" s="1"/>
  <c r="CY53" i="1"/>
  <c r="X53" i="1" s="1"/>
  <c r="GM53" i="1" s="1"/>
  <c r="CP56" i="1"/>
  <c r="O56" i="1" s="1"/>
  <c r="AC91" i="1"/>
  <c r="GM59" i="1"/>
  <c r="GO59" i="1" s="1"/>
  <c r="CP68" i="1"/>
  <c r="O68" i="1" s="1"/>
  <c r="DH81" i="3"/>
  <c r="DF81" i="3"/>
  <c r="DI81" i="3"/>
  <c r="DG81" i="3"/>
  <c r="DJ81" i="3" s="1"/>
  <c r="DI89" i="3"/>
  <c r="DJ89" i="3" s="1"/>
  <c r="DH89" i="3"/>
  <c r="DF89" i="3"/>
  <c r="DG89" i="3"/>
  <c r="CP83" i="1"/>
  <c r="O83" i="1" s="1"/>
  <c r="GM83" i="1" s="1"/>
  <c r="FR83" i="1"/>
  <c r="AQ26" i="1"/>
  <c r="F101" i="1"/>
  <c r="CY126" i="1"/>
  <c r="X126" i="1" s="1"/>
  <c r="CZ126" i="1"/>
  <c r="Y126" i="1" s="1"/>
  <c r="DI102" i="3"/>
  <c r="DG102" i="3"/>
  <c r="DF102" i="3"/>
  <c r="DJ102" i="3" s="1"/>
  <c r="DH102" i="3"/>
  <c r="DH99" i="3"/>
  <c r="DI99" i="3"/>
  <c r="DJ99" i="3" s="1"/>
  <c r="DG99" i="3"/>
  <c r="DF99" i="3"/>
  <c r="BD26" i="1"/>
  <c r="F116" i="1"/>
  <c r="BD253" i="1"/>
  <c r="CP126" i="1"/>
  <c r="O126" i="1" s="1"/>
  <c r="P130" i="1"/>
  <c r="CP130" i="1" s="1"/>
  <c r="O130" i="1" s="1"/>
  <c r="GM32" i="1"/>
  <c r="GO32" i="1" s="1"/>
  <c r="CZ48" i="1"/>
  <c r="Y48" i="1" s="1"/>
  <c r="CY48" i="1"/>
  <c r="X48" i="1" s="1"/>
  <c r="Q57" i="1"/>
  <c r="DV91" i="1" s="1"/>
  <c r="S57" i="1"/>
  <c r="T57" i="1"/>
  <c r="DG63" i="3"/>
  <c r="DH63" i="3"/>
  <c r="DI63" i="3"/>
  <c r="DF63" i="3"/>
  <c r="DJ63" i="3" s="1"/>
  <c r="CY56" i="1"/>
  <c r="X56" i="1" s="1"/>
  <c r="CZ56" i="1"/>
  <c r="Y56" i="1" s="1"/>
  <c r="AE91" i="1"/>
  <c r="DG86" i="3"/>
  <c r="DI86" i="3"/>
  <c r="DH86" i="3"/>
  <c r="DF86" i="3"/>
  <c r="DJ86" i="3" s="1"/>
  <c r="FR87" i="1"/>
  <c r="CP87" i="1"/>
  <c r="O87" i="1" s="1"/>
  <c r="GM87" i="1" s="1"/>
  <c r="EM26" i="1"/>
  <c r="P110" i="1"/>
  <c r="CZ83" i="1"/>
  <c r="Y83" i="1" s="1"/>
  <c r="GM125" i="1"/>
  <c r="CY139" i="1"/>
  <c r="X139" i="1" s="1"/>
  <c r="GM139" i="1" s="1"/>
  <c r="GO139" i="1" s="1"/>
  <c r="CZ139" i="1"/>
  <c r="Y139" i="1" s="1"/>
  <c r="DG139" i="3"/>
  <c r="DI139" i="3"/>
  <c r="DJ139" i="3" s="1"/>
  <c r="DH139" i="3"/>
  <c r="DF139" i="3"/>
  <c r="DG181" i="3"/>
  <c r="DJ181" i="3" s="1"/>
  <c r="DI181" i="3"/>
  <c r="DF181" i="3"/>
  <c r="DH181" i="3"/>
  <c r="DF225" i="3"/>
  <c r="DJ225" i="3" s="1"/>
  <c r="DI225" i="3"/>
  <c r="DG225" i="3"/>
  <c r="DH225" i="3"/>
  <c r="CP133" i="1"/>
  <c r="O133" i="1" s="1"/>
  <c r="DG137" i="3"/>
  <c r="DI137" i="3"/>
  <c r="DF137" i="3"/>
  <c r="DJ137" i="3" s="1"/>
  <c r="DH137" i="3"/>
  <c r="DI169" i="3"/>
  <c r="DJ169" i="3" s="1"/>
  <c r="DF169" i="3"/>
  <c r="DG169" i="3"/>
  <c r="DH169" i="3"/>
  <c r="DF260" i="3"/>
  <c r="DH260" i="3"/>
  <c r="DG260" i="3"/>
  <c r="DJ260" i="3" s="1"/>
  <c r="DI260" i="3"/>
  <c r="CJ26" i="1"/>
  <c r="BA91" i="1"/>
  <c r="T128" i="1"/>
  <c r="DY164" i="1" s="1"/>
  <c r="U134" i="1"/>
  <c r="Q134" i="1"/>
  <c r="S134" i="1"/>
  <c r="GX134" i="1"/>
  <c r="GB164" i="1" s="1"/>
  <c r="GM135" i="1"/>
  <c r="GO135" i="1" s="1"/>
  <c r="DG125" i="3"/>
  <c r="DI125" i="3"/>
  <c r="DF125" i="3"/>
  <c r="DJ125" i="3" s="1"/>
  <c r="DH125" i="3"/>
  <c r="DG159" i="3"/>
  <c r="DF159" i="3"/>
  <c r="DH159" i="3"/>
  <c r="DI159" i="3"/>
  <c r="DJ159" i="3" s="1"/>
  <c r="AG26" i="1"/>
  <c r="T91" i="1"/>
  <c r="GM60" i="1"/>
  <c r="R130" i="1"/>
  <c r="CY137" i="1"/>
  <c r="X137" i="1" s="1"/>
  <c r="CZ137" i="1"/>
  <c r="Y137" i="1" s="1"/>
  <c r="CY140" i="1"/>
  <c r="X140" i="1" s="1"/>
  <c r="CZ140" i="1"/>
  <c r="Y140" i="1" s="1"/>
  <c r="CY142" i="1"/>
  <c r="X142" i="1" s="1"/>
  <c r="GM142" i="1" s="1"/>
  <c r="GO142" i="1" s="1"/>
  <c r="CZ142" i="1"/>
  <c r="Y142" i="1" s="1"/>
  <c r="DI151" i="3"/>
  <c r="DH151" i="3"/>
  <c r="DG151" i="3"/>
  <c r="DJ151" i="3" s="1"/>
  <c r="DF151" i="3"/>
  <c r="DG197" i="3"/>
  <c r="DI197" i="3"/>
  <c r="DF197" i="3"/>
  <c r="DJ197" i="3" s="1"/>
  <c r="DH197" i="3"/>
  <c r="DI234" i="3"/>
  <c r="DG234" i="3"/>
  <c r="DH234" i="3"/>
  <c r="DF234" i="3"/>
  <c r="DJ234" i="3" s="1"/>
  <c r="DI230" i="3"/>
  <c r="DH230" i="3"/>
  <c r="DF230" i="3"/>
  <c r="DJ230" i="3" s="1"/>
  <c r="DG230" i="3"/>
  <c r="EU123" i="1"/>
  <c r="P180" i="1"/>
  <c r="CY200" i="1"/>
  <c r="X200" i="1" s="1"/>
  <c r="CZ200" i="1"/>
  <c r="Y200" i="1" s="1"/>
  <c r="AG196" i="1"/>
  <c r="T223" i="1"/>
  <c r="CY213" i="1"/>
  <c r="X213" i="1" s="1"/>
  <c r="CZ213" i="1"/>
  <c r="Y213" i="1" s="1"/>
  <c r="W134" i="1"/>
  <c r="CZ160" i="1"/>
  <c r="Y160" i="1" s="1"/>
  <c r="GM160" i="1" s="1"/>
  <c r="GO160" i="1" s="1"/>
  <c r="CY160" i="1"/>
  <c r="X160" i="1" s="1"/>
  <c r="DG248" i="3"/>
  <c r="DH248" i="3"/>
  <c r="DF248" i="3"/>
  <c r="DJ248" i="3" s="1"/>
  <c r="DI248" i="3"/>
  <c r="DF245" i="3"/>
  <c r="DJ245" i="3" s="1"/>
  <c r="DI245" i="3"/>
  <c r="DG245" i="3"/>
  <c r="DH245" i="3"/>
  <c r="DF294" i="3"/>
  <c r="DJ294" i="3" s="1"/>
  <c r="DG294" i="3"/>
  <c r="DH294" i="3"/>
  <c r="DI294" i="3"/>
  <c r="DI295" i="3"/>
  <c r="DF295" i="3"/>
  <c r="DJ295" i="3" s="1"/>
  <c r="DG295" i="3"/>
  <c r="DH295" i="3"/>
  <c r="AI123" i="1"/>
  <c r="V164" i="1"/>
  <c r="FR200" i="1"/>
  <c r="CP200" i="1"/>
  <c r="O200" i="1" s="1"/>
  <c r="GM200" i="1" s="1"/>
  <c r="DI257" i="3"/>
  <c r="DG257" i="3"/>
  <c r="DF257" i="3"/>
  <c r="DJ257" i="3" s="1"/>
  <c r="DH257" i="3"/>
  <c r="CP204" i="1"/>
  <c r="O204" i="1" s="1"/>
  <c r="GM204" i="1" s="1"/>
  <c r="FR204" i="1"/>
  <c r="DG264" i="3"/>
  <c r="DH264" i="3"/>
  <c r="DI264" i="3"/>
  <c r="DF264" i="3"/>
  <c r="DJ264" i="3" s="1"/>
  <c r="DG286" i="3"/>
  <c r="DF286" i="3"/>
  <c r="DJ286" i="3" s="1"/>
  <c r="DH286" i="3"/>
  <c r="DI286" i="3"/>
  <c r="EG196" i="1"/>
  <c r="P227" i="1"/>
  <c r="DI207" i="3"/>
  <c r="DG207" i="3"/>
  <c r="DH207" i="3"/>
  <c r="DF207" i="3"/>
  <c r="DJ207" i="3" s="1"/>
  <c r="ET123" i="1"/>
  <c r="P177" i="1"/>
  <c r="EB196" i="1"/>
  <c r="DO223" i="1"/>
  <c r="DG274" i="3"/>
  <c r="DH274" i="3"/>
  <c r="DI274" i="3"/>
  <c r="DF274" i="3"/>
  <c r="DJ274" i="3" s="1"/>
  <c r="ET196" i="1"/>
  <c r="P236" i="1"/>
  <c r="DI303" i="3"/>
  <c r="DF303" i="3"/>
  <c r="DJ303" i="3" s="1"/>
  <c r="DG303" i="3"/>
  <c r="DH303" i="3"/>
  <c r="DF302" i="3"/>
  <c r="DJ302" i="3" s="1"/>
  <c r="DG302" i="3"/>
  <c r="DH302" i="3"/>
  <c r="DI302" i="3"/>
  <c r="BB196" i="1"/>
  <c r="F236" i="1"/>
  <c r="DL223" i="1"/>
  <c r="DY196" i="1"/>
  <c r="AH196" i="1"/>
  <c r="U223" i="1"/>
  <c r="AX223" i="1"/>
  <c r="CG196" i="1"/>
  <c r="GM220" i="1"/>
  <c r="AF196" i="1"/>
  <c r="S223" i="1"/>
  <c r="CZ206" i="1"/>
  <c r="Y206" i="1" s="1"/>
  <c r="P242" i="1"/>
  <c r="EM196" i="1"/>
  <c r="DI31" i="3"/>
  <c r="DH31" i="3"/>
  <c r="DF31" i="3"/>
  <c r="DG31" i="3"/>
  <c r="DJ31" i="3" s="1"/>
  <c r="DG49" i="3"/>
  <c r="DJ49" i="3" s="1"/>
  <c r="DI49" i="3"/>
  <c r="DF49" i="3"/>
  <c r="DH49" i="3"/>
  <c r="DF56" i="3"/>
  <c r="DJ56" i="3" s="1"/>
  <c r="DG56" i="3"/>
  <c r="DI56" i="3"/>
  <c r="DH56" i="3"/>
  <c r="DH132" i="3"/>
  <c r="DF132" i="3"/>
  <c r="DJ132" i="3" s="1"/>
  <c r="DG132" i="3"/>
  <c r="DI132" i="3"/>
  <c r="DH112" i="3"/>
  <c r="DF112" i="3"/>
  <c r="DJ112" i="3" s="1"/>
  <c r="DG112" i="3"/>
  <c r="DI112" i="3"/>
  <c r="DI94" i="3"/>
  <c r="DF94" i="3"/>
  <c r="DJ94" i="3" s="1"/>
  <c r="DG94" i="3"/>
  <c r="DH94" i="3"/>
  <c r="DH176" i="3"/>
  <c r="DF176" i="3"/>
  <c r="DJ176" i="3" s="1"/>
  <c r="DG176" i="3"/>
  <c r="DI176" i="3"/>
  <c r="DG141" i="3"/>
  <c r="DJ141" i="3" s="1"/>
  <c r="DI141" i="3"/>
  <c r="DF141" i="3"/>
  <c r="DH141" i="3"/>
  <c r="DH261" i="3"/>
  <c r="DG261" i="3"/>
  <c r="DJ261" i="3" s="1"/>
  <c r="DI261" i="3"/>
  <c r="DF261" i="3"/>
  <c r="DH16" i="3"/>
  <c r="DI16" i="3"/>
  <c r="DF16" i="3"/>
  <c r="DG16" i="3"/>
  <c r="DJ16" i="3" s="1"/>
  <c r="DI38" i="3"/>
  <c r="DH38" i="3"/>
  <c r="DG38" i="3"/>
  <c r="DF38" i="3"/>
  <c r="DJ38" i="3" s="1"/>
  <c r="DH77" i="3"/>
  <c r="DF77" i="3"/>
  <c r="DG77" i="3"/>
  <c r="DI77" i="3"/>
  <c r="DJ77" i="3" s="1"/>
  <c r="DF58" i="3"/>
  <c r="DJ58" i="3" s="1"/>
  <c r="DG58" i="3"/>
  <c r="DI58" i="3"/>
  <c r="DH58" i="3"/>
  <c r="DH116" i="3"/>
  <c r="DF116" i="3"/>
  <c r="DG116" i="3"/>
  <c r="DI116" i="3"/>
  <c r="DJ116" i="3" s="1"/>
  <c r="DF142" i="3"/>
  <c r="DJ142" i="3" s="1"/>
  <c r="DH142" i="3"/>
  <c r="DI142" i="3"/>
  <c r="DG142" i="3"/>
  <c r="DH104" i="3"/>
  <c r="DF104" i="3"/>
  <c r="DG104" i="3"/>
  <c r="DJ104" i="3" s="1"/>
  <c r="DI104" i="3"/>
  <c r="DH192" i="3"/>
  <c r="DF192" i="3"/>
  <c r="DJ192" i="3" s="1"/>
  <c r="DG192" i="3"/>
  <c r="DI192" i="3"/>
  <c r="DH144" i="3"/>
  <c r="DF144" i="3"/>
  <c r="DJ144" i="3" s="1"/>
  <c r="DG144" i="3"/>
  <c r="DI144" i="3"/>
  <c r="DF194" i="3"/>
  <c r="DJ194" i="3" s="1"/>
  <c r="DG194" i="3"/>
  <c r="DH194" i="3"/>
  <c r="DI194" i="3"/>
  <c r="DF178" i="3"/>
  <c r="DJ178" i="3" s="1"/>
  <c r="DG178" i="3"/>
  <c r="DH178" i="3"/>
  <c r="DI178" i="3"/>
  <c r="DI195" i="3"/>
  <c r="DF195" i="3"/>
  <c r="DJ195" i="3" s="1"/>
  <c r="DG195" i="3"/>
  <c r="DH195" i="3"/>
  <c r="DH279" i="3"/>
  <c r="DF279" i="3"/>
  <c r="DG279" i="3"/>
  <c r="DI279" i="3"/>
  <c r="DJ279" i="3" s="1"/>
  <c r="DH255" i="3"/>
  <c r="DG255" i="3"/>
  <c r="DJ255" i="3" s="1"/>
  <c r="DF255" i="3"/>
  <c r="DI255" i="3"/>
  <c r="DI276" i="3"/>
  <c r="DH276" i="3"/>
  <c r="DF276" i="3"/>
  <c r="DJ276" i="3" s="1"/>
  <c r="DG276" i="3"/>
  <c r="CP33" i="1"/>
  <c r="O33" i="1" s="1"/>
  <c r="GM33" i="1" s="1"/>
  <c r="GO33" i="1" s="1"/>
  <c r="DU91" i="1"/>
  <c r="CY41" i="1"/>
  <c r="X41" i="1" s="1"/>
  <c r="CY68" i="1"/>
  <c r="X68" i="1" s="1"/>
  <c r="CZ68" i="1"/>
  <c r="Y68" i="1" s="1"/>
  <c r="DG107" i="3"/>
  <c r="DI107" i="3"/>
  <c r="DJ107" i="3" s="1"/>
  <c r="DF107" i="3"/>
  <c r="DH107" i="3"/>
  <c r="CP29" i="1"/>
  <c r="O29" i="1" s="1"/>
  <c r="AD26" i="1"/>
  <c r="Q91" i="1"/>
  <c r="GM84" i="1"/>
  <c r="GO84" i="1" s="1"/>
  <c r="AU26" i="1"/>
  <c r="F110" i="1"/>
  <c r="AU253" i="1"/>
  <c r="GM28" i="1"/>
  <c r="DF66" i="3"/>
  <c r="DJ66" i="3" s="1"/>
  <c r="DH66" i="3"/>
  <c r="DG66" i="3"/>
  <c r="DI66" i="3"/>
  <c r="DY91" i="1"/>
  <c r="DF64" i="3"/>
  <c r="DJ64" i="3" s="1"/>
  <c r="DH64" i="3"/>
  <c r="DG64" i="3"/>
  <c r="DI64" i="3"/>
  <c r="CP57" i="1"/>
  <c r="O57" i="1" s="1"/>
  <c r="DI73" i="3"/>
  <c r="DJ73" i="3" s="1"/>
  <c r="DF73" i="3"/>
  <c r="DH73" i="3"/>
  <c r="DG73" i="3"/>
  <c r="FR66" i="1"/>
  <c r="BY91" i="1" s="1"/>
  <c r="CP66" i="1"/>
  <c r="O66" i="1" s="1"/>
  <c r="GM66" i="1" s="1"/>
  <c r="FR82" i="1"/>
  <c r="CP82" i="1"/>
  <c r="O82" i="1" s="1"/>
  <c r="GM82" i="1" s="1"/>
  <c r="EU26" i="1"/>
  <c r="P107" i="1"/>
  <c r="EU253" i="1"/>
  <c r="AH26" i="1"/>
  <c r="U91" i="1"/>
  <c r="CZ78" i="1"/>
  <c r="Y78" i="1" s="1"/>
  <c r="R128" i="1"/>
  <c r="W130" i="1"/>
  <c r="DI147" i="3"/>
  <c r="DG147" i="3"/>
  <c r="DF147" i="3"/>
  <c r="DJ147" i="3" s="1"/>
  <c r="DH147" i="3"/>
  <c r="DI140" i="3"/>
  <c r="DG140" i="3"/>
  <c r="DJ140" i="3" s="1"/>
  <c r="DF140" i="3"/>
  <c r="DH140" i="3"/>
  <c r="DG185" i="3"/>
  <c r="DH185" i="3"/>
  <c r="DI185" i="3"/>
  <c r="DF185" i="3"/>
  <c r="DJ185" i="3" s="1"/>
  <c r="DG220" i="3"/>
  <c r="DF220" i="3"/>
  <c r="DJ220" i="3" s="1"/>
  <c r="DH220" i="3"/>
  <c r="DI220" i="3"/>
  <c r="DG224" i="3"/>
  <c r="DI224" i="3"/>
  <c r="DF224" i="3"/>
  <c r="DJ224" i="3" s="1"/>
  <c r="DH224" i="3"/>
  <c r="T130" i="1"/>
  <c r="DI129" i="3"/>
  <c r="DJ129" i="3" s="1"/>
  <c r="DG129" i="3"/>
  <c r="DF129" i="3"/>
  <c r="DH129" i="3"/>
  <c r="DF174" i="3"/>
  <c r="DJ174" i="3" s="1"/>
  <c r="DG174" i="3"/>
  <c r="DH174" i="3"/>
  <c r="DI174" i="3"/>
  <c r="DG213" i="3"/>
  <c r="DI213" i="3"/>
  <c r="DF213" i="3"/>
  <c r="DJ213" i="3" s="1"/>
  <c r="DH213" i="3"/>
  <c r="U57" i="1"/>
  <c r="DZ91" i="1" s="1"/>
  <c r="DG117" i="3"/>
  <c r="DI117" i="3"/>
  <c r="DF117" i="3"/>
  <c r="DJ117" i="3" s="1"/>
  <c r="DH117" i="3"/>
  <c r="CZ133" i="1"/>
  <c r="Y133" i="1" s="1"/>
  <c r="AE164" i="1"/>
  <c r="GM137" i="1"/>
  <c r="GN137" i="1" s="1"/>
  <c r="CB164" i="1" s="1"/>
  <c r="DI123" i="3"/>
  <c r="DG123" i="3"/>
  <c r="DH123" i="3"/>
  <c r="DF123" i="3"/>
  <c r="DJ123" i="3" s="1"/>
  <c r="W57" i="1"/>
  <c r="EB91" i="1" s="1"/>
  <c r="CY61" i="1"/>
  <c r="X61" i="1" s="1"/>
  <c r="V130" i="1"/>
  <c r="P134" i="1"/>
  <c r="CP134" i="1" s="1"/>
  <c r="O134" i="1" s="1"/>
  <c r="CY143" i="1"/>
  <c r="X143" i="1" s="1"/>
  <c r="DF154" i="3"/>
  <c r="DJ154" i="3" s="1"/>
  <c r="DI154" i="3"/>
  <c r="DG154" i="3"/>
  <c r="DH154" i="3"/>
  <c r="CY148" i="1"/>
  <c r="X148" i="1" s="1"/>
  <c r="CZ148" i="1"/>
  <c r="Y148" i="1" s="1"/>
  <c r="CY150" i="1"/>
  <c r="X150" i="1" s="1"/>
  <c r="GM150" i="1" s="1"/>
  <c r="GO150" i="1" s="1"/>
  <c r="CZ150" i="1"/>
  <c r="Y150" i="1" s="1"/>
  <c r="DF229" i="3"/>
  <c r="DJ229" i="3" s="1"/>
  <c r="DH229" i="3"/>
  <c r="DI229" i="3"/>
  <c r="DG229" i="3"/>
  <c r="CJ123" i="1"/>
  <c r="BA164" i="1"/>
  <c r="FR123" i="1"/>
  <c r="EI164" i="1"/>
  <c r="FY164" i="1"/>
  <c r="GM159" i="1"/>
  <c r="GO159" i="1" s="1"/>
  <c r="AE223" i="1"/>
  <c r="CY198" i="1"/>
  <c r="X198" i="1" s="1"/>
  <c r="CZ198" i="1"/>
  <c r="Y198" i="1" s="1"/>
  <c r="BZ123" i="1"/>
  <c r="AQ164" i="1"/>
  <c r="CG164" i="1"/>
  <c r="CP148" i="1"/>
  <c r="O148" i="1" s="1"/>
  <c r="GM148" i="1" s="1"/>
  <c r="GO148" i="1" s="1"/>
  <c r="CY156" i="1"/>
  <c r="X156" i="1" s="1"/>
  <c r="GM156" i="1" s="1"/>
  <c r="GO156" i="1" s="1"/>
  <c r="CZ156" i="1"/>
  <c r="Y156" i="1" s="1"/>
  <c r="U123" i="1"/>
  <c r="F186" i="1"/>
  <c r="DG244" i="3"/>
  <c r="DI244" i="3"/>
  <c r="DJ244" i="3" s="1"/>
  <c r="DF244" i="3"/>
  <c r="DH244" i="3"/>
  <c r="DI291" i="3"/>
  <c r="DF291" i="3"/>
  <c r="DG291" i="3"/>
  <c r="DJ291" i="3" s="1"/>
  <c r="DH291" i="3"/>
  <c r="FT123" i="1"/>
  <c r="EK164" i="1"/>
  <c r="FV123" i="1"/>
  <c r="EM164" i="1"/>
  <c r="EM253" i="1" s="1"/>
  <c r="DF254" i="3"/>
  <c r="DH254" i="3"/>
  <c r="DI254" i="3"/>
  <c r="DG254" i="3"/>
  <c r="DJ254" i="3" s="1"/>
  <c r="DF287" i="3"/>
  <c r="DJ287" i="3" s="1"/>
  <c r="DG287" i="3"/>
  <c r="DH287" i="3"/>
  <c r="DI287" i="3"/>
  <c r="P240" i="1"/>
  <c r="EK196" i="1"/>
  <c r="CY155" i="1"/>
  <c r="X155" i="1" s="1"/>
  <c r="GM155" i="1" s="1"/>
  <c r="GO155" i="1" s="1"/>
  <c r="CZ155" i="1"/>
  <c r="Y155" i="1" s="1"/>
  <c r="DF202" i="3"/>
  <c r="DJ202" i="3" s="1"/>
  <c r="DH202" i="3"/>
  <c r="DI202" i="3"/>
  <c r="DG202" i="3"/>
  <c r="DG199" i="3"/>
  <c r="DI199" i="3"/>
  <c r="DJ199" i="3" s="1"/>
  <c r="DF199" i="3"/>
  <c r="DH199" i="3"/>
  <c r="GM161" i="1"/>
  <c r="GO161" i="1" s="1"/>
  <c r="CZ162" i="1"/>
  <c r="Y162" i="1" s="1"/>
  <c r="CY162" i="1"/>
  <c r="X162" i="1" s="1"/>
  <c r="GM162" i="1" s="1"/>
  <c r="GO162" i="1" s="1"/>
  <c r="GA164" i="1"/>
  <c r="DF243" i="3"/>
  <c r="DJ243" i="3" s="1"/>
  <c r="DI243" i="3"/>
  <c r="DG243" i="3"/>
  <c r="DH243" i="3"/>
  <c r="CP199" i="1"/>
  <c r="O199" i="1" s="1"/>
  <c r="DU223" i="1"/>
  <c r="DI272" i="3"/>
  <c r="DF272" i="3"/>
  <c r="DJ272" i="3" s="1"/>
  <c r="DG272" i="3"/>
  <c r="DH272" i="3"/>
  <c r="DF271" i="3"/>
  <c r="DI271" i="3"/>
  <c r="DG271" i="3"/>
  <c r="DJ271" i="3" s="1"/>
  <c r="DH271" i="3"/>
  <c r="FY196" i="1"/>
  <c r="EP223" i="1"/>
  <c r="EV196" i="1"/>
  <c r="P248" i="1"/>
  <c r="DZ196" i="1"/>
  <c r="DM223" i="1"/>
  <c r="AD196" i="1"/>
  <c r="Q223" i="1"/>
  <c r="CP213" i="1"/>
  <c r="O213" i="1" s="1"/>
  <c r="GM213" i="1" s="1"/>
  <c r="GO213" i="1" s="1"/>
  <c r="GM210" i="1"/>
  <c r="GO210" i="1" s="1"/>
  <c r="CZ202" i="1"/>
  <c r="Y202" i="1" s="1"/>
  <c r="GM202" i="1" s="1"/>
  <c r="GO202" i="1" s="1"/>
  <c r="DH14" i="3"/>
  <c r="DI14" i="3"/>
  <c r="DF14" i="3"/>
  <c r="DG14" i="3"/>
  <c r="DJ14" i="3" s="1"/>
  <c r="DI42" i="3"/>
  <c r="DH42" i="3"/>
  <c r="DF42" i="3"/>
  <c r="DJ42" i="3" s="1"/>
  <c r="DG42" i="3"/>
  <c r="DF26" i="3"/>
  <c r="DJ26" i="3" s="1"/>
  <c r="DI26" i="3"/>
  <c r="DG26" i="3"/>
  <c r="DH26" i="3"/>
  <c r="DH44" i="3"/>
  <c r="DI44" i="3"/>
  <c r="DF44" i="3"/>
  <c r="DJ44" i="3" s="1"/>
  <c r="DG44" i="3"/>
  <c r="DH87" i="3"/>
  <c r="DF87" i="3"/>
  <c r="DG87" i="3"/>
  <c r="DI87" i="3"/>
  <c r="DJ87" i="3" s="1"/>
  <c r="DG65" i="3"/>
  <c r="DH65" i="3"/>
  <c r="DI65" i="3"/>
  <c r="DJ65" i="3" s="1"/>
  <c r="DF65" i="3"/>
  <c r="DI131" i="3"/>
  <c r="DG131" i="3"/>
  <c r="DJ131" i="3" s="1"/>
  <c r="DF131" i="3"/>
  <c r="DH131" i="3"/>
  <c r="DH172" i="3"/>
  <c r="DF172" i="3"/>
  <c r="DJ172" i="3" s="1"/>
  <c r="DG172" i="3"/>
  <c r="DI172" i="3"/>
  <c r="DI171" i="3"/>
  <c r="DH171" i="3"/>
  <c r="DF171" i="3"/>
  <c r="DG171" i="3"/>
  <c r="DJ171" i="3" s="1"/>
  <c r="DI4" i="3"/>
  <c r="DF4" i="3"/>
  <c r="DJ4" i="3" s="1"/>
  <c r="DG4" i="3"/>
  <c r="DH4" i="3"/>
  <c r="DH51" i="3"/>
  <c r="DG51" i="3"/>
  <c r="DF51" i="3"/>
  <c r="DJ51" i="3" s="1"/>
  <c r="DI51" i="3"/>
  <c r="DH2" i="3"/>
  <c r="DI2" i="3"/>
  <c r="DF2" i="3"/>
  <c r="DG2" i="3"/>
  <c r="DJ2" i="3" s="1"/>
  <c r="DG57" i="3"/>
  <c r="DF57" i="3"/>
  <c r="DI57" i="3"/>
  <c r="DJ57" i="3" s="1"/>
  <c r="DH57" i="3"/>
  <c r="DI96" i="3"/>
  <c r="DF96" i="3"/>
  <c r="DJ96" i="3" s="1"/>
  <c r="DG96" i="3"/>
  <c r="DH96" i="3"/>
  <c r="DF138" i="3"/>
  <c r="DJ138" i="3" s="1"/>
  <c r="DH138" i="3"/>
  <c r="DG138" i="3"/>
  <c r="DI138" i="3"/>
  <c r="DH237" i="3"/>
  <c r="DF237" i="3"/>
  <c r="DJ237" i="3" s="1"/>
  <c r="DG237" i="3"/>
  <c r="DI237" i="3"/>
  <c r="DH219" i="3"/>
  <c r="DF219" i="3"/>
  <c r="DG219" i="3"/>
  <c r="DJ219" i="3" s="1"/>
  <c r="DI219" i="3"/>
  <c r="DH253" i="3"/>
  <c r="DF253" i="3"/>
  <c r="DI253" i="3"/>
  <c r="DJ253" i="3" s="1"/>
  <c r="DG253" i="3"/>
  <c r="DF9" i="3"/>
  <c r="DG9" i="3"/>
  <c r="DH9" i="3"/>
  <c r="DI9" i="3"/>
  <c r="DJ9" i="3" s="1"/>
  <c r="DG21" i="3"/>
  <c r="DF21" i="3"/>
  <c r="DJ21" i="3" s="1"/>
  <c r="DH21" i="3"/>
  <c r="DI21" i="3"/>
  <c r="DF267" i="3"/>
  <c r="DJ267" i="3" s="1"/>
  <c r="DH267" i="3"/>
  <c r="DI267" i="3"/>
  <c r="DG267" i="3"/>
  <c r="DH285" i="3"/>
  <c r="DF285" i="3"/>
  <c r="DJ285" i="3" s="1"/>
  <c r="DG285" i="3"/>
  <c r="DI285" i="3"/>
  <c r="CY31" i="1"/>
  <c r="X31" i="1" s="1"/>
  <c r="CZ31" i="1"/>
  <c r="Y31" i="1" s="1"/>
  <c r="DI45" i="3"/>
  <c r="DJ45" i="3" s="1"/>
  <c r="DF45" i="3"/>
  <c r="DH45" i="3"/>
  <c r="DG45" i="3"/>
  <c r="DG92" i="3"/>
  <c r="DI92" i="3"/>
  <c r="DF92" i="3"/>
  <c r="DJ92" i="3" s="1"/>
  <c r="DH92" i="3"/>
  <c r="BB26" i="1"/>
  <c r="F104" i="1"/>
  <c r="BB253" i="1"/>
  <c r="S128" i="1"/>
  <c r="Q128" i="1"/>
  <c r="DV164" i="1" s="1"/>
  <c r="DG82" i="3"/>
  <c r="DI82" i="3"/>
  <c r="DF82" i="3"/>
  <c r="DJ82" i="3" s="1"/>
  <c r="DH82" i="3"/>
  <c r="DF100" i="3"/>
  <c r="DG100" i="3"/>
  <c r="DJ100" i="3" s="1"/>
  <c r="DI100" i="3"/>
  <c r="DH100" i="3"/>
  <c r="ET26" i="1"/>
  <c r="P104" i="1"/>
  <c r="ET253" i="1"/>
  <c r="CP40" i="1"/>
  <c r="O40" i="1" s="1"/>
  <c r="GM40" i="1" s="1"/>
  <c r="GO40" i="1" s="1"/>
  <c r="DH18" i="3"/>
  <c r="DG18" i="3"/>
  <c r="DJ18" i="3" s="1"/>
  <c r="DF18" i="3"/>
  <c r="DI18" i="3"/>
  <c r="DI27" i="3"/>
  <c r="DH27" i="3"/>
  <c r="DF27" i="3"/>
  <c r="DJ27" i="3" s="1"/>
  <c r="DG27" i="3"/>
  <c r="DI35" i="3"/>
  <c r="DH35" i="3"/>
  <c r="DF35" i="3"/>
  <c r="DG35" i="3"/>
  <c r="DJ35" i="3" s="1"/>
  <c r="DH28" i="3"/>
  <c r="DG28" i="3"/>
  <c r="DI28" i="3"/>
  <c r="DF28" i="3"/>
  <c r="DJ28" i="3" s="1"/>
  <c r="DI23" i="3"/>
  <c r="DH23" i="3"/>
  <c r="DG23" i="3"/>
  <c r="DF23" i="3"/>
  <c r="DJ23" i="3" s="1"/>
  <c r="DF41" i="3"/>
  <c r="DJ41" i="3" s="1"/>
  <c r="DI41" i="3"/>
  <c r="DG41" i="3"/>
  <c r="DH41" i="3"/>
  <c r="DI71" i="3"/>
  <c r="DF71" i="3"/>
  <c r="DJ71" i="3" s="1"/>
  <c r="DH71" i="3"/>
  <c r="DG71" i="3"/>
  <c r="DI33" i="3"/>
  <c r="DH33" i="3"/>
  <c r="DG33" i="3"/>
  <c r="DJ33" i="3" s="1"/>
  <c r="DF33" i="3"/>
  <c r="DI54" i="3"/>
  <c r="DF54" i="3"/>
  <c r="DH54" i="3"/>
  <c r="DG54" i="3"/>
  <c r="DJ54" i="3" s="1"/>
  <c r="DH83" i="3"/>
  <c r="DF83" i="3"/>
  <c r="DG83" i="3"/>
  <c r="DI83" i="3"/>
  <c r="DJ83" i="3" s="1"/>
  <c r="DG55" i="3"/>
  <c r="DJ55" i="3" s="1"/>
  <c r="DF55" i="3"/>
  <c r="DI55" i="3"/>
  <c r="DH55" i="3"/>
  <c r="DH85" i="3"/>
  <c r="DF85" i="3"/>
  <c r="DG85" i="3"/>
  <c r="DI85" i="3"/>
  <c r="DJ85" i="3" s="1"/>
  <c r="DF78" i="3"/>
  <c r="DH78" i="3"/>
  <c r="DG78" i="3"/>
  <c r="DJ78" i="3" s="1"/>
  <c r="DI78" i="3"/>
  <c r="DH91" i="3"/>
  <c r="DI91" i="3"/>
  <c r="DJ91" i="3" s="1"/>
  <c r="DF91" i="3"/>
  <c r="DG91" i="3"/>
  <c r="DF118" i="3"/>
  <c r="DJ118" i="3" s="1"/>
  <c r="DH118" i="3"/>
  <c r="DG118" i="3"/>
  <c r="DI118" i="3"/>
  <c r="DH148" i="3"/>
  <c r="DF148" i="3"/>
  <c r="DJ148" i="3" s="1"/>
  <c r="DG148" i="3"/>
  <c r="DI148" i="3"/>
  <c r="DF101" i="3"/>
  <c r="DJ101" i="3" s="1"/>
  <c r="DH101" i="3"/>
  <c r="DI101" i="3"/>
  <c r="DG101" i="3"/>
  <c r="DI50" i="3"/>
  <c r="DG50" i="3"/>
  <c r="DJ50" i="3" s="1"/>
  <c r="DF50" i="3"/>
  <c r="DH50" i="3"/>
  <c r="DF126" i="3"/>
  <c r="DJ126" i="3" s="1"/>
  <c r="DH126" i="3"/>
  <c r="DG126" i="3"/>
  <c r="DI126" i="3"/>
  <c r="DF106" i="3"/>
  <c r="DJ106" i="3" s="1"/>
  <c r="DH106" i="3"/>
  <c r="DG106" i="3"/>
  <c r="DI106" i="3"/>
  <c r="DH136" i="3"/>
  <c r="DF136" i="3"/>
  <c r="DJ136" i="3" s="1"/>
  <c r="DG136" i="3"/>
  <c r="DI136" i="3"/>
  <c r="DH152" i="3"/>
  <c r="DF152" i="3"/>
  <c r="DJ152" i="3" s="1"/>
  <c r="DG152" i="3"/>
  <c r="DI152" i="3"/>
  <c r="DH164" i="3"/>
  <c r="DI164" i="3"/>
  <c r="DF164" i="3"/>
  <c r="DJ164" i="3" s="1"/>
  <c r="DG164" i="3"/>
  <c r="DF158" i="3"/>
  <c r="DJ158" i="3" s="1"/>
  <c r="DI158" i="3"/>
  <c r="DG158" i="3"/>
  <c r="DH158" i="3"/>
  <c r="DH212" i="3"/>
  <c r="DI212" i="3"/>
  <c r="DF212" i="3"/>
  <c r="DJ212" i="3" s="1"/>
  <c r="DG212" i="3"/>
  <c r="DF206" i="3"/>
  <c r="DJ206" i="3" s="1"/>
  <c r="DG206" i="3"/>
  <c r="DH206" i="3"/>
  <c r="DI206" i="3"/>
  <c r="DH259" i="3"/>
  <c r="DI259" i="3"/>
  <c r="DF259" i="3"/>
  <c r="DG259" i="3"/>
  <c r="DJ259" i="3" s="1"/>
  <c r="DF186" i="3"/>
  <c r="DJ186" i="3" s="1"/>
  <c r="DH186" i="3"/>
  <c r="DI186" i="3"/>
  <c r="DG186" i="3"/>
  <c r="DI183" i="3"/>
  <c r="DF183" i="3"/>
  <c r="DJ183" i="3" s="1"/>
  <c r="DG183" i="3"/>
  <c r="DH183" i="3"/>
  <c r="DH247" i="3"/>
  <c r="DG247" i="3"/>
  <c r="DF247" i="3"/>
  <c r="DJ247" i="3" s="1"/>
  <c r="DI247" i="3"/>
  <c r="DG170" i="3"/>
  <c r="DJ170" i="3" s="1"/>
  <c r="DF170" i="3"/>
  <c r="DH170" i="3"/>
  <c r="DI170" i="3"/>
  <c r="DG201" i="3"/>
  <c r="DJ201" i="3" s="1"/>
  <c r="DH201" i="3"/>
  <c r="DI201" i="3"/>
  <c r="DF201" i="3"/>
  <c r="DH231" i="3"/>
  <c r="DF231" i="3"/>
  <c r="DJ231" i="3" s="1"/>
  <c r="DG231" i="3"/>
  <c r="DI231" i="3"/>
  <c r="DH281" i="3"/>
  <c r="DG281" i="3"/>
  <c r="DJ281" i="3" s="1"/>
  <c r="DI281" i="3"/>
  <c r="DF281" i="3"/>
  <c r="DF258" i="3"/>
  <c r="DG258" i="3"/>
  <c r="DI258" i="3"/>
  <c r="DJ258" i="3" s="1"/>
  <c r="DH258" i="3"/>
  <c r="CY37" i="1"/>
  <c r="X37" i="1" s="1"/>
  <c r="GM37" i="1" s="1"/>
  <c r="GO37" i="1" s="1"/>
  <c r="CZ37" i="1"/>
  <c r="Y37" i="1" s="1"/>
  <c r="DG34" i="3"/>
  <c r="DJ34" i="3" s="1"/>
  <c r="DF34" i="3"/>
  <c r="DH34" i="3"/>
  <c r="DI34" i="3"/>
  <c r="DI29" i="3"/>
  <c r="DJ29" i="3" s="1"/>
  <c r="DH29" i="3"/>
  <c r="DG29" i="3"/>
  <c r="DF29" i="3"/>
  <c r="CY45" i="1"/>
  <c r="X45" i="1" s="1"/>
  <c r="GM45" i="1" s="1"/>
  <c r="GO45" i="1" s="1"/>
  <c r="CZ45" i="1"/>
  <c r="Y45" i="1" s="1"/>
  <c r="DG299" i="3"/>
  <c r="DH299" i="3"/>
  <c r="DI299" i="3"/>
  <c r="DJ299" i="3" s="1"/>
  <c r="DF299" i="3"/>
  <c r="GM35" i="1"/>
  <c r="GM38" i="1"/>
  <c r="DF15" i="3"/>
  <c r="DG15" i="3"/>
  <c r="DJ15" i="3" s="1"/>
  <c r="DH15" i="3"/>
  <c r="DI15" i="3"/>
  <c r="GM46" i="1"/>
  <c r="DI246" i="3"/>
  <c r="DG246" i="3"/>
  <c r="DH246" i="3"/>
  <c r="DF246" i="3"/>
  <c r="DJ246" i="3" s="1"/>
  <c r="DG301" i="3"/>
  <c r="DJ301" i="3" s="1"/>
  <c r="DH301" i="3"/>
  <c r="DI301" i="3"/>
  <c r="DF301" i="3"/>
  <c r="DI12" i="3"/>
  <c r="DJ12" i="3" s="1"/>
  <c r="DF12" i="3"/>
  <c r="DG12" i="3"/>
  <c r="DH12" i="3"/>
  <c r="DF46" i="3"/>
  <c r="DH46" i="3"/>
  <c r="DG46" i="3"/>
  <c r="DI46" i="3"/>
  <c r="DJ46" i="3" s="1"/>
  <c r="DF233" i="3"/>
  <c r="DJ233" i="3" s="1"/>
  <c r="DG233" i="3"/>
  <c r="DH233" i="3"/>
  <c r="DI233" i="3"/>
  <c r="DF265" i="3"/>
  <c r="DJ265" i="3" s="1"/>
  <c r="DH265" i="3"/>
  <c r="DI265" i="3"/>
  <c r="DG265" i="3"/>
  <c r="DI268" i="3"/>
  <c r="DH268" i="3"/>
  <c r="DF268" i="3"/>
  <c r="DJ268" i="3" s="1"/>
  <c r="DG268" i="3"/>
  <c r="DH270" i="3"/>
  <c r="DF270" i="3"/>
  <c r="DG270" i="3"/>
  <c r="DJ270" i="3" s="1"/>
  <c r="DI270" i="3"/>
  <c r="DH277" i="3"/>
  <c r="DF277" i="3"/>
  <c r="DJ277" i="3" s="1"/>
  <c r="DG277" i="3"/>
  <c r="DI277" i="3"/>
  <c r="DF1" i="3"/>
  <c r="DG1" i="3"/>
  <c r="DH1" i="3"/>
  <c r="DI1" i="3"/>
  <c r="DJ1" i="3" s="1"/>
  <c r="DW91" i="1"/>
  <c r="CY39" i="1"/>
  <c r="X39" i="1" s="1"/>
  <c r="GM39" i="1" s="1"/>
  <c r="CZ39" i="1"/>
  <c r="Y39" i="1" s="1"/>
  <c r="GM41" i="1"/>
  <c r="GO41" i="1" s="1"/>
  <c r="CY42" i="1"/>
  <c r="X42" i="1" s="1"/>
  <c r="GM42" i="1" s="1"/>
  <c r="CZ42" i="1"/>
  <c r="Y42" i="1" s="1"/>
  <c r="AL91" i="1" s="1"/>
  <c r="CY47" i="1"/>
  <c r="X47" i="1" s="1"/>
  <c r="GM47" i="1" s="1"/>
  <c r="CZ47" i="1"/>
  <c r="Y47" i="1" s="1"/>
  <c r="DI52" i="3"/>
  <c r="DJ52" i="3" s="1"/>
  <c r="DG52" i="3"/>
  <c r="DF52" i="3"/>
  <c r="DH52" i="3"/>
  <c r="CY51" i="1"/>
  <c r="X51" i="1" s="1"/>
  <c r="GM51" i="1" s="1"/>
  <c r="GO51" i="1" s="1"/>
  <c r="CY55" i="1"/>
  <c r="X55" i="1" s="1"/>
  <c r="GM55" i="1" s="1"/>
  <c r="GO55" i="1" s="1"/>
  <c r="CZ55" i="1"/>
  <c r="Y55" i="1" s="1"/>
  <c r="CZ58" i="1"/>
  <c r="Y58" i="1" s="1"/>
  <c r="CY58" i="1"/>
  <c r="X58" i="1" s="1"/>
  <c r="GM58" i="1" s="1"/>
  <c r="GO58" i="1" s="1"/>
  <c r="GM69" i="1"/>
  <c r="GO69" i="1" s="1"/>
  <c r="CY76" i="1"/>
  <c r="X76" i="1" s="1"/>
  <c r="GM76" i="1" s="1"/>
  <c r="GO76" i="1" s="1"/>
  <c r="CZ76" i="1"/>
  <c r="Y76" i="1" s="1"/>
  <c r="CG26" i="1"/>
  <c r="AX91" i="1"/>
  <c r="CP31" i="1"/>
  <c r="O31" i="1" s="1"/>
  <c r="CZ50" i="1"/>
  <c r="Y50" i="1" s="1"/>
  <c r="CY50" i="1"/>
  <c r="X50" i="1" s="1"/>
  <c r="GM50" i="1" s="1"/>
  <c r="GO50" i="1" s="1"/>
  <c r="CP65" i="1"/>
  <c r="O65" i="1" s="1"/>
  <c r="GM65" i="1" s="1"/>
  <c r="FR65" i="1"/>
  <c r="DG105" i="3"/>
  <c r="DI105" i="3"/>
  <c r="DH105" i="3"/>
  <c r="DF105" i="3"/>
  <c r="DJ105" i="3" s="1"/>
  <c r="CP86" i="1"/>
  <c r="O86" i="1" s="1"/>
  <c r="GM86" i="1" s="1"/>
  <c r="FR86" i="1"/>
  <c r="BC26" i="1"/>
  <c r="F107" i="1"/>
  <c r="BC253" i="1"/>
  <c r="CP34" i="1"/>
  <c r="O34" i="1" s="1"/>
  <c r="GM34" i="1" s="1"/>
  <c r="CP52" i="1"/>
  <c r="O52" i="1" s="1"/>
  <c r="GM52" i="1" s="1"/>
  <c r="FR61" i="1"/>
  <c r="FQ91" i="1" s="1"/>
  <c r="CP61" i="1"/>
  <c r="O61" i="1" s="1"/>
  <c r="GM61" i="1" s="1"/>
  <c r="DI79" i="3"/>
  <c r="DG79" i="3"/>
  <c r="DH79" i="3"/>
  <c r="DF79" i="3"/>
  <c r="DJ79" i="3" s="1"/>
  <c r="FY26" i="1"/>
  <c r="EP91" i="1"/>
  <c r="P128" i="1"/>
  <c r="CP128" i="1" s="1"/>
  <c r="O128" i="1" s="1"/>
  <c r="DI113" i="3"/>
  <c r="DJ113" i="3" s="1"/>
  <c r="DG113" i="3"/>
  <c r="DF113" i="3"/>
  <c r="DH113" i="3"/>
  <c r="CP48" i="1"/>
  <c r="O48" i="1" s="1"/>
  <c r="GM48" i="1" s="1"/>
  <c r="DI61" i="3"/>
  <c r="DJ61" i="3" s="1"/>
  <c r="DG61" i="3"/>
  <c r="DF61" i="3"/>
  <c r="DH61" i="3"/>
  <c r="AO26" i="1"/>
  <c r="F95" i="1"/>
  <c r="AO253" i="1"/>
  <c r="DI111" i="3"/>
  <c r="DG111" i="3"/>
  <c r="DF111" i="3"/>
  <c r="DJ111" i="3" s="1"/>
  <c r="DH111" i="3"/>
  <c r="AD164" i="1"/>
  <c r="V128" i="1"/>
  <c r="EA164" i="1" s="1"/>
  <c r="R134" i="1"/>
  <c r="DI143" i="3"/>
  <c r="DG143" i="3"/>
  <c r="DH143" i="3"/>
  <c r="DF143" i="3"/>
  <c r="DJ143" i="3" s="1"/>
  <c r="DI187" i="3"/>
  <c r="DH187" i="3"/>
  <c r="DF187" i="3"/>
  <c r="DJ187" i="3" s="1"/>
  <c r="DG187" i="3"/>
  <c r="DF218" i="3"/>
  <c r="DH218" i="3"/>
  <c r="DI218" i="3"/>
  <c r="DG218" i="3"/>
  <c r="DJ218" i="3" s="1"/>
  <c r="DI135" i="3"/>
  <c r="DG135" i="3"/>
  <c r="DH135" i="3"/>
  <c r="DF135" i="3"/>
  <c r="DJ135" i="3" s="1"/>
  <c r="DG173" i="3"/>
  <c r="DF173" i="3"/>
  <c r="DJ173" i="3" s="1"/>
  <c r="DH173" i="3"/>
  <c r="DI173" i="3"/>
  <c r="DI211" i="3"/>
  <c r="DF211" i="3"/>
  <c r="DJ211" i="3" s="1"/>
  <c r="DG211" i="3"/>
  <c r="DH211" i="3"/>
  <c r="BC123" i="1"/>
  <c r="F180" i="1"/>
  <c r="EK26" i="1"/>
  <c r="P108" i="1"/>
  <c r="EK253" i="1"/>
  <c r="DG119" i="3"/>
  <c r="DI119" i="3"/>
  <c r="DJ119" i="3" s="1"/>
  <c r="DF119" i="3"/>
  <c r="DH119" i="3"/>
  <c r="DG121" i="3"/>
  <c r="DJ121" i="3" s="1"/>
  <c r="DI121" i="3"/>
  <c r="DH121" i="3"/>
  <c r="DF121" i="3"/>
  <c r="DI163" i="3"/>
  <c r="DF163" i="3"/>
  <c r="DJ163" i="3" s="1"/>
  <c r="DG163" i="3"/>
  <c r="DH163" i="3"/>
  <c r="DF166" i="3"/>
  <c r="DJ166" i="3" s="1"/>
  <c r="DI166" i="3"/>
  <c r="DG166" i="3"/>
  <c r="DH166" i="3"/>
  <c r="GX57" i="1"/>
  <c r="GB91" i="1" s="1"/>
  <c r="U130" i="1"/>
  <c r="CZ131" i="1"/>
  <c r="Y131" i="1" s="1"/>
  <c r="AL164" i="1" s="1"/>
  <c r="CY131" i="1"/>
  <c r="X131" i="1" s="1"/>
  <c r="AK164" i="1" s="1"/>
  <c r="AF164" i="1"/>
  <c r="CY141" i="1"/>
  <c r="X141" i="1" s="1"/>
  <c r="GM141" i="1" s="1"/>
  <c r="GO141" i="1" s="1"/>
  <c r="CZ141" i="1"/>
  <c r="Y141" i="1" s="1"/>
  <c r="GM143" i="1"/>
  <c r="GO143" i="1" s="1"/>
  <c r="DI149" i="3"/>
  <c r="DJ149" i="3" s="1"/>
  <c r="DG149" i="3"/>
  <c r="DF149" i="3"/>
  <c r="DH149" i="3"/>
  <c r="DG150" i="3"/>
  <c r="DJ150" i="3" s="1"/>
  <c r="DI150" i="3"/>
  <c r="DH150" i="3"/>
  <c r="DF150" i="3"/>
  <c r="CY151" i="1"/>
  <c r="X151" i="1" s="1"/>
  <c r="GM151" i="1" s="1"/>
  <c r="GO151" i="1" s="1"/>
  <c r="DI191" i="3"/>
  <c r="DG191" i="3"/>
  <c r="DJ191" i="3" s="1"/>
  <c r="DH191" i="3"/>
  <c r="DF191" i="3"/>
  <c r="DG190" i="3"/>
  <c r="DJ190" i="3" s="1"/>
  <c r="DI190" i="3"/>
  <c r="DF190" i="3"/>
  <c r="DH190" i="3"/>
  <c r="DG228" i="3"/>
  <c r="DJ228" i="3" s="1"/>
  <c r="DH228" i="3"/>
  <c r="DI228" i="3"/>
  <c r="DF228" i="3"/>
  <c r="DG226" i="3"/>
  <c r="DI226" i="3"/>
  <c r="DJ226" i="3" s="1"/>
  <c r="DF226" i="3"/>
  <c r="DH226" i="3"/>
  <c r="AP123" i="1"/>
  <c r="F173" i="1"/>
  <c r="DV223" i="1"/>
  <c r="FR205" i="1"/>
  <c r="CP205" i="1"/>
  <c r="O205" i="1" s="1"/>
  <c r="GM205" i="1" s="1"/>
  <c r="AO196" i="1"/>
  <c r="F227" i="1"/>
  <c r="DG252" i="3"/>
  <c r="DF252" i="3"/>
  <c r="DJ252" i="3" s="1"/>
  <c r="DI252" i="3"/>
  <c r="DH252" i="3"/>
  <c r="GM206" i="1"/>
  <c r="GO206" i="1" s="1"/>
  <c r="AG123" i="1"/>
  <c r="T164" i="1"/>
  <c r="CY157" i="1"/>
  <c r="X157" i="1" s="1"/>
  <c r="CZ157" i="1"/>
  <c r="Y157" i="1" s="1"/>
  <c r="CP198" i="1"/>
  <c r="O198" i="1" s="1"/>
  <c r="AC223" i="1"/>
  <c r="DW223" i="1"/>
  <c r="DF256" i="3"/>
  <c r="DG256" i="3"/>
  <c r="DJ256" i="3" s="1"/>
  <c r="DI256" i="3"/>
  <c r="DH256" i="3"/>
  <c r="DG282" i="3"/>
  <c r="DH282" i="3"/>
  <c r="DI282" i="3"/>
  <c r="DF282" i="3"/>
  <c r="DJ282" i="3" s="1"/>
  <c r="GX136" i="1"/>
  <c r="CP140" i="1"/>
  <c r="O140" i="1" s="1"/>
  <c r="GM140" i="1" s="1"/>
  <c r="GO140" i="1" s="1"/>
  <c r="DI200" i="3"/>
  <c r="DG200" i="3"/>
  <c r="DJ200" i="3" s="1"/>
  <c r="DH200" i="3"/>
  <c r="DF200" i="3"/>
  <c r="CY158" i="1"/>
  <c r="X158" i="1" s="1"/>
  <c r="CZ158" i="1"/>
  <c r="Y158" i="1" s="1"/>
  <c r="DG238" i="3"/>
  <c r="DF238" i="3"/>
  <c r="DJ238" i="3" s="1"/>
  <c r="DH238" i="3"/>
  <c r="DI238" i="3"/>
  <c r="DG242" i="3"/>
  <c r="DI242" i="3"/>
  <c r="DF242" i="3"/>
  <c r="DJ242" i="3" s="1"/>
  <c r="DH242" i="3"/>
  <c r="DG278" i="3"/>
  <c r="DF278" i="3"/>
  <c r="DJ278" i="3" s="1"/>
  <c r="DH278" i="3"/>
  <c r="DI278" i="3"/>
  <c r="CY214" i="1"/>
  <c r="X214" i="1" s="1"/>
  <c r="GM214" i="1" s="1"/>
  <c r="GO214" i="1" s="1"/>
  <c r="CZ214" i="1"/>
  <c r="Y214" i="1" s="1"/>
  <c r="DI300" i="3"/>
  <c r="DF300" i="3"/>
  <c r="DH300" i="3"/>
  <c r="DG300" i="3"/>
  <c r="DJ300" i="3" s="1"/>
  <c r="CJ196" i="1"/>
  <c r="BA223" i="1"/>
  <c r="EI196" i="1"/>
  <c r="P233" i="1"/>
  <c r="CY201" i="1"/>
  <c r="X201" i="1" s="1"/>
  <c r="GM211" i="1"/>
  <c r="GO211" i="1" s="1"/>
  <c r="CY215" i="1"/>
  <c r="X215" i="1" s="1"/>
  <c r="GM215" i="1" s="1"/>
  <c r="GO215" i="1" s="1"/>
  <c r="CZ215" i="1"/>
  <c r="Y215" i="1" s="1"/>
  <c r="AL123" i="1" l="1"/>
  <c r="Y164" i="1"/>
  <c r="DV26" i="1"/>
  <c r="DI91" i="1"/>
  <c r="AK123" i="1"/>
  <c r="X164" i="1"/>
  <c r="BY26" i="1"/>
  <c r="AP91" i="1"/>
  <c r="CI91" i="1"/>
  <c r="AK26" i="1"/>
  <c r="X91" i="1"/>
  <c r="AL26" i="1"/>
  <c r="Y91" i="1"/>
  <c r="DV123" i="1"/>
  <c r="DI164" i="1"/>
  <c r="EM22" i="1"/>
  <c r="P272" i="1"/>
  <c r="EM283" i="1"/>
  <c r="GB123" i="1"/>
  <c r="ES164" i="1"/>
  <c r="CB26" i="1"/>
  <c r="AS91" i="1"/>
  <c r="DW196" i="1"/>
  <c r="DJ223" i="1"/>
  <c r="DV196" i="1"/>
  <c r="DI223" i="1"/>
  <c r="EK22" i="1"/>
  <c r="EK283" i="1"/>
  <c r="P270" i="1"/>
  <c r="E16" i="2" s="1"/>
  <c r="AD123" i="1"/>
  <c r="Q164" i="1"/>
  <c r="DW26" i="1"/>
  <c r="DJ91" i="1"/>
  <c r="Q196" i="1"/>
  <c r="F235" i="1"/>
  <c r="DU196" i="1"/>
  <c r="DH223" i="1"/>
  <c r="FW223" i="1"/>
  <c r="EK123" i="1"/>
  <c r="P181" i="1"/>
  <c r="CG123" i="1"/>
  <c r="AX164" i="1"/>
  <c r="AK223" i="1"/>
  <c r="FY123" i="1"/>
  <c r="EP164" i="1"/>
  <c r="GO28" i="1"/>
  <c r="GM29" i="1"/>
  <c r="DT91" i="1"/>
  <c r="DU26" i="1"/>
  <c r="DH91" i="1"/>
  <c r="FW91" i="1"/>
  <c r="FX91" i="1"/>
  <c r="FZ91" i="1"/>
  <c r="BY223" i="1"/>
  <c r="CF223" i="1" s="1"/>
  <c r="T26" i="1"/>
  <c r="F112" i="1"/>
  <c r="T253" i="1"/>
  <c r="CY134" i="1"/>
  <c r="X134" i="1" s="1"/>
  <c r="GM134" i="1" s="1"/>
  <c r="GO134" i="1" s="1"/>
  <c r="CZ134" i="1"/>
  <c r="Y134" i="1" s="1"/>
  <c r="BA26" i="1"/>
  <c r="F111" i="1"/>
  <c r="BA253" i="1"/>
  <c r="DU164" i="1"/>
  <c r="AC26" i="1"/>
  <c r="CH91" i="1"/>
  <c r="P91" i="1"/>
  <c r="CE91" i="1"/>
  <c r="CF91" i="1"/>
  <c r="DX196" i="1"/>
  <c r="DK223" i="1"/>
  <c r="GM201" i="1"/>
  <c r="GM158" i="1"/>
  <c r="GO158" i="1" s="1"/>
  <c r="V26" i="1"/>
  <c r="F114" i="1"/>
  <c r="V253" i="1"/>
  <c r="GM78" i="1"/>
  <c r="AF26" i="1"/>
  <c r="S91" i="1"/>
  <c r="ES196" i="1"/>
  <c r="P243" i="1"/>
  <c r="GB26" i="1"/>
  <c r="ES91" i="1"/>
  <c r="EP26" i="1"/>
  <c r="P98" i="1"/>
  <c r="EP253" i="1"/>
  <c r="BA196" i="1"/>
  <c r="F243" i="1"/>
  <c r="AO22" i="1"/>
  <c r="AO283" i="1"/>
  <c r="F257" i="1"/>
  <c r="BC22" i="1"/>
  <c r="F269" i="1"/>
  <c r="BC283" i="1"/>
  <c r="ET22" i="1"/>
  <c r="P266" i="1"/>
  <c r="ET283" i="1"/>
  <c r="GM199" i="1"/>
  <c r="DT223" i="1"/>
  <c r="AQ123" i="1"/>
  <c r="F174" i="1"/>
  <c r="AE196" i="1"/>
  <c r="R223" i="1"/>
  <c r="EI123" i="1"/>
  <c r="P174" i="1"/>
  <c r="EB26" i="1"/>
  <c r="DO91" i="1"/>
  <c r="DZ26" i="1"/>
  <c r="DM91" i="1"/>
  <c r="DW164" i="1"/>
  <c r="AU22" i="1"/>
  <c r="F272" i="1"/>
  <c r="AU283" i="1"/>
  <c r="T196" i="1"/>
  <c r="F244" i="1"/>
  <c r="GM126" i="1"/>
  <c r="DT164" i="1"/>
  <c r="AQ253" i="1"/>
  <c r="GM56" i="1"/>
  <c r="GO56" i="1" s="1"/>
  <c r="ED223" i="1"/>
  <c r="GM157" i="1"/>
  <c r="GO157" i="1" s="1"/>
  <c r="CY136" i="1"/>
  <c r="X136" i="1" s="1"/>
  <c r="GM136" i="1" s="1"/>
  <c r="GO136" i="1" s="1"/>
  <c r="CZ136" i="1"/>
  <c r="Y136" i="1" s="1"/>
  <c r="EB164" i="1"/>
  <c r="EI253" i="1"/>
  <c r="W26" i="1"/>
  <c r="F115" i="1"/>
  <c r="W253" i="1"/>
  <c r="V196" i="1"/>
  <c r="F246" i="1"/>
  <c r="DN26" i="1"/>
  <c r="P114" i="1"/>
  <c r="AZ123" i="1"/>
  <c r="F175" i="1"/>
  <c r="AF123" i="1"/>
  <c r="S164" i="1"/>
  <c r="AC196" i="1"/>
  <c r="P223" i="1"/>
  <c r="CE223" i="1"/>
  <c r="T123" i="1"/>
  <c r="F185" i="1"/>
  <c r="GM198" i="1"/>
  <c r="AB223" i="1"/>
  <c r="GM131" i="1"/>
  <c r="GO131" i="1" s="1"/>
  <c r="GM128" i="1"/>
  <c r="GO128" i="1" s="1"/>
  <c r="FQ26" i="1"/>
  <c r="GA91" i="1"/>
  <c r="EH91" i="1"/>
  <c r="GM31" i="1"/>
  <c r="CY128" i="1"/>
  <c r="X128" i="1" s="1"/>
  <c r="EC164" i="1" s="1"/>
  <c r="CZ128" i="1"/>
  <c r="Y128" i="1" s="1"/>
  <c r="ED164" i="1" s="1"/>
  <c r="DM196" i="1"/>
  <c r="P245" i="1"/>
  <c r="EP196" i="1"/>
  <c r="P230" i="1"/>
  <c r="GA123" i="1"/>
  <c r="ER164" i="1"/>
  <c r="EM123" i="1"/>
  <c r="P183" i="1"/>
  <c r="CB123" i="1"/>
  <c r="AS164" i="1"/>
  <c r="EU22" i="1"/>
  <c r="EU283" i="1"/>
  <c r="P269" i="1"/>
  <c r="DY26" i="1"/>
  <c r="DL91" i="1"/>
  <c r="Q26" i="1"/>
  <c r="F103" i="1"/>
  <c r="Q253" i="1"/>
  <c r="F238" i="1"/>
  <c r="S196" i="1"/>
  <c r="AX196" i="1"/>
  <c r="F230" i="1"/>
  <c r="DL196" i="1"/>
  <c r="P244" i="1"/>
  <c r="V123" i="1"/>
  <c r="F187" i="1"/>
  <c r="GM133" i="1"/>
  <c r="GO133" i="1" s="1"/>
  <c r="AB164" i="1"/>
  <c r="AE26" i="1"/>
  <c r="R91" i="1"/>
  <c r="CY57" i="1"/>
  <c r="X57" i="1" s="1"/>
  <c r="EC91" i="1" s="1"/>
  <c r="CZ57" i="1"/>
  <c r="Y57" i="1" s="1"/>
  <c r="BD22" i="1"/>
  <c r="BD283" i="1"/>
  <c r="F278" i="1"/>
  <c r="DX164" i="1"/>
  <c r="GM68" i="1"/>
  <c r="GO68" i="1" s="1"/>
  <c r="CY130" i="1"/>
  <c r="X130" i="1" s="1"/>
  <c r="CZ130" i="1"/>
  <c r="Y130" i="1" s="1"/>
  <c r="EC223" i="1"/>
  <c r="AU123" i="1"/>
  <c r="F183" i="1"/>
  <c r="DZ164" i="1"/>
  <c r="GM67" i="1"/>
  <c r="DX91" i="1"/>
  <c r="DN196" i="1"/>
  <c r="P246" i="1"/>
  <c r="EA123" i="1"/>
  <c r="DN164" i="1"/>
  <c r="AX26" i="1"/>
  <c r="F98" i="1"/>
  <c r="AX253" i="1"/>
  <c r="BB22" i="1"/>
  <c r="F266" i="1"/>
  <c r="BB283" i="1"/>
  <c r="AL223" i="1"/>
  <c r="BA123" i="1"/>
  <c r="F184" i="1"/>
  <c r="AE123" i="1"/>
  <c r="R164" i="1"/>
  <c r="U26" i="1"/>
  <c r="F113" i="1"/>
  <c r="U253" i="1"/>
  <c r="AB91" i="1"/>
  <c r="U196" i="1"/>
  <c r="F245" i="1"/>
  <c r="DO196" i="1"/>
  <c r="P247" i="1"/>
  <c r="DY123" i="1"/>
  <c r="DL164" i="1"/>
  <c r="GO125" i="1"/>
  <c r="CA164" i="1"/>
  <c r="GM130" i="1"/>
  <c r="GO130" i="1" s="1"/>
  <c r="F247" i="1"/>
  <c r="W196" i="1"/>
  <c r="FQ223" i="1"/>
  <c r="FZ223" i="1" s="1"/>
  <c r="AC123" i="1"/>
  <c r="CH164" i="1"/>
  <c r="CF164" i="1"/>
  <c r="CE164" i="1"/>
  <c r="P164" i="1"/>
  <c r="EG22" i="1"/>
  <c r="P257" i="1"/>
  <c r="EG283" i="1"/>
  <c r="EV22" i="1"/>
  <c r="P278" i="1"/>
  <c r="EV283" i="1"/>
  <c r="ED91" i="1"/>
  <c r="W123" i="1"/>
  <c r="F188" i="1"/>
  <c r="FZ196" i="1" l="1"/>
  <c r="EQ223" i="1"/>
  <c r="EC26" i="1"/>
  <c r="DP91" i="1"/>
  <c r="ED123" i="1"/>
  <c r="DQ164" i="1"/>
  <c r="CF196" i="1"/>
  <c r="AW223" i="1"/>
  <c r="EC123" i="1"/>
  <c r="DP164" i="1"/>
  <c r="DX26" i="1"/>
  <c r="DK91" i="1"/>
  <c r="ED196" i="1"/>
  <c r="DQ223" i="1"/>
  <c r="CA123" i="1"/>
  <c r="AR164" i="1"/>
  <c r="AL196" i="1"/>
  <c r="Y223" i="1"/>
  <c r="AB123" i="1"/>
  <c r="O164" i="1"/>
  <c r="EU18" i="1"/>
  <c r="P299" i="1"/>
  <c r="CH223" i="1"/>
  <c r="CF26" i="1"/>
  <c r="AW91" i="1"/>
  <c r="T22" i="1"/>
  <c r="T283" i="1"/>
  <c r="F274" i="1"/>
  <c r="FZ26" i="1"/>
  <c r="EQ91" i="1"/>
  <c r="AX123" i="1"/>
  <c r="F171" i="1"/>
  <c r="EK18" i="1"/>
  <c r="P300" i="1"/>
  <c r="ES123" i="1"/>
  <c r="P184" i="1"/>
  <c r="CC164" i="1"/>
  <c r="U22" i="1"/>
  <c r="U283" i="1"/>
  <c r="F275" i="1"/>
  <c r="BB18" i="1"/>
  <c r="F296" i="1"/>
  <c r="DL26" i="1"/>
  <c r="P112" i="1"/>
  <c r="DL253" i="1"/>
  <c r="GA26" i="1"/>
  <c r="ER91" i="1"/>
  <c r="AB196" i="1"/>
  <c r="O223" i="1"/>
  <c r="CE196" i="1"/>
  <c r="AV223" i="1"/>
  <c r="AQ22" i="1"/>
  <c r="F263" i="1"/>
  <c r="AQ283" i="1"/>
  <c r="GM57" i="1"/>
  <c r="GO57" i="1" s="1"/>
  <c r="DO26" i="1"/>
  <c r="P115" i="1"/>
  <c r="R196" i="1"/>
  <c r="F237" i="1"/>
  <c r="DT196" i="1"/>
  <c r="DG223" i="1"/>
  <c r="ES26" i="1"/>
  <c r="P111" i="1"/>
  <c r="ES253" i="1"/>
  <c r="V22" i="1"/>
  <c r="F276" i="1"/>
  <c r="V283" i="1"/>
  <c r="CE26" i="1"/>
  <c r="AV91" i="1"/>
  <c r="FX26" i="1"/>
  <c r="EO91" i="1"/>
  <c r="DT26" i="1"/>
  <c r="DG91" i="1"/>
  <c r="EP123" i="1"/>
  <c r="P171" i="1"/>
  <c r="FX223" i="1"/>
  <c r="Q123" i="1"/>
  <c r="F176" i="1"/>
  <c r="DI123" i="1"/>
  <c r="P176" i="1"/>
  <c r="AP26" i="1"/>
  <c r="F100" i="1"/>
  <c r="DI26" i="1"/>
  <c r="P103" i="1"/>
  <c r="DI253" i="1"/>
  <c r="ED26" i="1"/>
  <c r="DQ91" i="1"/>
  <c r="CE123" i="1"/>
  <c r="AV164" i="1"/>
  <c r="DN123" i="1"/>
  <c r="P187" i="1"/>
  <c r="ER123" i="1"/>
  <c r="P175" i="1"/>
  <c r="W22" i="1"/>
  <c r="W283" i="1"/>
  <c r="F277" i="1"/>
  <c r="GO126" i="1"/>
  <c r="FU164" i="1" s="1"/>
  <c r="FS164" i="1"/>
  <c r="AB26" i="1"/>
  <c r="O91" i="1"/>
  <c r="R123" i="1"/>
  <c r="F178" i="1"/>
  <c r="AX22" i="1"/>
  <c r="F260" i="1"/>
  <c r="AX283" i="1"/>
  <c r="DX123" i="1"/>
  <c r="DK164" i="1"/>
  <c r="EH26" i="1"/>
  <c r="P100" i="1"/>
  <c r="CC91" i="1"/>
  <c r="DJ196" i="1"/>
  <c r="P237" i="1"/>
  <c r="CH123" i="1"/>
  <c r="AY164" i="1"/>
  <c r="DZ123" i="1"/>
  <c r="DM164" i="1"/>
  <c r="P123" i="1"/>
  <c r="F167" i="1"/>
  <c r="DL123" i="1"/>
  <c r="P185" i="1"/>
  <c r="BD18" i="1"/>
  <c r="F308" i="1"/>
  <c r="R26" i="1"/>
  <c r="F105" i="1"/>
  <c r="R253" i="1"/>
  <c r="Q22" i="1"/>
  <c r="Q283" i="1"/>
  <c r="F265" i="1"/>
  <c r="AS123" i="1"/>
  <c r="F181" i="1"/>
  <c r="GO198" i="1"/>
  <c r="CC223" i="1" s="1"/>
  <c r="CA223" i="1"/>
  <c r="P196" i="1"/>
  <c r="F226" i="1"/>
  <c r="S123" i="1"/>
  <c r="F179" i="1"/>
  <c r="DN253" i="1"/>
  <c r="EI22" i="1"/>
  <c r="P263" i="1"/>
  <c r="EI283" i="1"/>
  <c r="DT123" i="1"/>
  <c r="DG164" i="1"/>
  <c r="AU18" i="1"/>
  <c r="F302" i="1"/>
  <c r="DW123" i="1"/>
  <c r="DJ164" i="1"/>
  <c r="FS223" i="1"/>
  <c r="GO199" i="1"/>
  <c r="FU223" i="1" s="1"/>
  <c r="BC18" i="1"/>
  <c r="F299" i="1"/>
  <c r="AO18" i="1"/>
  <c r="F287" i="1"/>
  <c r="EP22" i="1"/>
  <c r="EP283" i="1"/>
  <c r="P260" i="1"/>
  <c r="S26" i="1"/>
  <c r="F106" i="1"/>
  <c r="S253" i="1"/>
  <c r="P238" i="1"/>
  <c r="DK196" i="1"/>
  <c r="P26" i="1"/>
  <c r="F94" i="1"/>
  <c r="P253" i="1"/>
  <c r="DU123" i="1"/>
  <c r="FX164" i="1"/>
  <c r="FZ164" i="1"/>
  <c r="FW164" i="1"/>
  <c r="DH164" i="1"/>
  <c r="DH253" i="1" s="1"/>
  <c r="FW26" i="1"/>
  <c r="EN91" i="1"/>
  <c r="GO29" i="1"/>
  <c r="FS91" i="1"/>
  <c r="FW196" i="1"/>
  <c r="EN223" i="1"/>
  <c r="DI196" i="1"/>
  <c r="P235" i="1"/>
  <c r="AS26" i="1"/>
  <c r="F108" i="1"/>
  <c r="AS253" i="1"/>
  <c r="EM18" i="1"/>
  <c r="P302" i="1"/>
  <c r="X26" i="1"/>
  <c r="F117" i="1"/>
  <c r="X253" i="1"/>
  <c r="EG18" i="1"/>
  <c r="P287" i="1"/>
  <c r="EB123" i="1"/>
  <c r="DO164" i="1"/>
  <c r="DM26" i="1"/>
  <c r="P113" i="1"/>
  <c r="ET18" i="1"/>
  <c r="P296" i="1"/>
  <c r="BA22" i="1"/>
  <c r="BA283" i="1"/>
  <c r="F273" i="1"/>
  <c r="W16" i="2" s="1"/>
  <c r="BY196" i="1"/>
  <c r="CI223" i="1"/>
  <c r="AP223" i="1"/>
  <c r="AP253" i="1" s="1"/>
  <c r="DH26" i="1"/>
  <c r="P94" i="1"/>
  <c r="CA91" i="1"/>
  <c r="AK196" i="1"/>
  <c r="X223" i="1"/>
  <c r="DH196" i="1"/>
  <c r="P226" i="1"/>
  <c r="DJ26" i="1"/>
  <c r="P105" i="1"/>
  <c r="DJ253" i="1"/>
  <c r="Y26" i="1"/>
  <c r="F118" i="1"/>
  <c r="Y253" i="1"/>
  <c r="X123" i="1"/>
  <c r="F190" i="1"/>
  <c r="Y123" i="1"/>
  <c r="F191" i="1"/>
  <c r="FQ196" i="1"/>
  <c r="EH223" i="1"/>
  <c r="GA223" i="1"/>
  <c r="CH26" i="1"/>
  <c r="AY91" i="1"/>
  <c r="EV18" i="1"/>
  <c r="P308" i="1"/>
  <c r="CF123" i="1"/>
  <c r="AW164" i="1"/>
  <c r="EC196" i="1"/>
  <c r="DP223" i="1"/>
  <c r="CI26" i="1"/>
  <c r="AZ91" i="1"/>
  <c r="AP22" i="1" l="1"/>
  <c r="AP283" i="1"/>
  <c r="F262" i="1"/>
  <c r="V16" i="2" s="1"/>
  <c r="DH22" i="1"/>
  <c r="P256" i="1"/>
  <c r="DH283" i="1"/>
  <c r="FS26" i="1"/>
  <c r="EJ91" i="1"/>
  <c r="FU123" i="1"/>
  <c r="EL164" i="1"/>
  <c r="AV123" i="1"/>
  <c r="F169" i="1"/>
  <c r="AV196" i="1"/>
  <c r="F228" i="1"/>
  <c r="CA26" i="1"/>
  <c r="AR91" i="1"/>
  <c r="FU91" i="1"/>
  <c r="P22" i="1"/>
  <c r="P283" i="1"/>
  <c r="F256" i="1"/>
  <c r="FS196" i="1"/>
  <c r="EJ223" i="1"/>
  <c r="Q18" i="1"/>
  <c r="F295" i="1"/>
  <c r="AV26" i="1"/>
  <c r="F96" i="1"/>
  <c r="AV253" i="1"/>
  <c r="DG196" i="1"/>
  <c r="P225" i="1"/>
  <c r="AQ18" i="1"/>
  <c r="F293" i="1"/>
  <c r="Y196" i="1"/>
  <c r="F250" i="1"/>
  <c r="DQ196" i="1"/>
  <c r="P250" i="1"/>
  <c r="DP123" i="1"/>
  <c r="P190" i="1"/>
  <c r="DQ123" i="1"/>
  <c r="P191" i="1"/>
  <c r="EQ196" i="1"/>
  <c r="P231" i="1"/>
  <c r="ER223" i="1"/>
  <c r="GA196" i="1"/>
  <c r="DJ22" i="1"/>
  <c r="P267" i="1"/>
  <c r="DJ283" i="1"/>
  <c r="CI196" i="1"/>
  <c r="AZ223" i="1"/>
  <c r="EN196" i="1"/>
  <c r="P228" i="1"/>
  <c r="EN26" i="1"/>
  <c r="P96" i="1"/>
  <c r="FZ123" i="1"/>
  <c r="EQ164" i="1"/>
  <c r="S22" i="1"/>
  <c r="S283" i="1"/>
  <c r="F268" i="1"/>
  <c r="EP18" i="1"/>
  <c r="P290" i="1"/>
  <c r="DJ123" i="1"/>
  <c r="P178" i="1"/>
  <c r="DG123" i="1"/>
  <c r="P166" i="1"/>
  <c r="AY123" i="1"/>
  <c r="F172" i="1"/>
  <c r="DK123" i="1"/>
  <c r="P179" i="1"/>
  <c r="W18" i="1"/>
  <c r="F307" i="1"/>
  <c r="DQ26" i="1"/>
  <c r="P118" i="1"/>
  <c r="DQ253" i="1"/>
  <c r="FX196" i="1"/>
  <c r="EO223" i="1"/>
  <c r="ES22" i="1"/>
  <c r="P273" i="1"/>
  <c r="H16" i="2" s="1"/>
  <c r="ES283" i="1"/>
  <c r="F225" i="1"/>
  <c r="O196" i="1"/>
  <c r="CC123" i="1"/>
  <c r="AT164" i="1"/>
  <c r="AW26" i="1"/>
  <c r="F97" i="1"/>
  <c r="AW253" i="1"/>
  <c r="AZ26" i="1"/>
  <c r="F102" i="1"/>
  <c r="AZ253" i="1"/>
  <c r="AW123" i="1"/>
  <c r="F170" i="1"/>
  <c r="AY26" i="1"/>
  <c r="F99" i="1"/>
  <c r="AY253" i="1"/>
  <c r="EH196" i="1"/>
  <c r="P232" i="1"/>
  <c r="X196" i="1"/>
  <c r="F249" i="1"/>
  <c r="FX123" i="1"/>
  <c r="EO164" i="1"/>
  <c r="DN22" i="1"/>
  <c r="P276" i="1"/>
  <c r="DN283" i="1"/>
  <c r="R22" i="1"/>
  <c r="R283" i="1"/>
  <c r="F267" i="1"/>
  <c r="EH253" i="1"/>
  <c r="FS123" i="1"/>
  <c r="EJ164" i="1"/>
  <c r="EO26" i="1"/>
  <c r="P97" i="1"/>
  <c r="EO253" i="1"/>
  <c r="V18" i="1"/>
  <c r="F306" i="1"/>
  <c r="O123" i="1"/>
  <c r="F166" i="1"/>
  <c r="AR123" i="1"/>
  <c r="F192" i="1"/>
  <c r="DK26" i="1"/>
  <c r="P106" i="1"/>
  <c r="DK253" i="1"/>
  <c r="AW196" i="1"/>
  <c r="F229" i="1"/>
  <c r="DP26" i="1"/>
  <c r="P117" i="1"/>
  <c r="DP253" i="1"/>
  <c r="CA196" i="1"/>
  <c r="AR223" i="1"/>
  <c r="DI22" i="1"/>
  <c r="DI283" i="1"/>
  <c r="P265" i="1"/>
  <c r="T18" i="1"/>
  <c r="F304" i="1"/>
  <c r="FU196" i="1"/>
  <c r="EL223" i="1"/>
  <c r="EI18" i="1"/>
  <c r="P293" i="1"/>
  <c r="DO123" i="1"/>
  <c r="P188" i="1"/>
  <c r="X22" i="1"/>
  <c r="F279" i="1"/>
  <c r="X283" i="1"/>
  <c r="DH123" i="1"/>
  <c r="P167" i="1"/>
  <c r="DM123" i="1"/>
  <c r="P186" i="1"/>
  <c r="AX18" i="1"/>
  <c r="F290" i="1"/>
  <c r="ER26" i="1"/>
  <c r="P102" i="1"/>
  <c r="ER253" i="1"/>
  <c r="U18" i="1"/>
  <c r="F305" i="1"/>
  <c r="CH196" i="1"/>
  <c r="AY223" i="1"/>
  <c r="DP196" i="1"/>
  <c r="P249" i="1"/>
  <c r="Y22" i="1"/>
  <c r="Y283" i="1"/>
  <c r="F280" i="1"/>
  <c r="AP196" i="1"/>
  <c r="F232" i="1"/>
  <c r="BA18" i="1"/>
  <c r="F303" i="1"/>
  <c r="DM253" i="1"/>
  <c r="AS22" i="1"/>
  <c r="AS283" i="1"/>
  <c r="F270" i="1"/>
  <c r="T16" i="2" s="1"/>
  <c r="FW123" i="1"/>
  <c r="EN164" i="1"/>
  <c r="CC196" i="1"/>
  <c r="AT223" i="1"/>
  <c r="O26" i="1"/>
  <c r="F93" i="1"/>
  <c r="O253" i="1"/>
  <c r="DG26" i="1"/>
  <c r="P93" i="1"/>
  <c r="DG253" i="1"/>
  <c r="DO253" i="1"/>
  <c r="EQ26" i="1"/>
  <c r="P99" i="1"/>
  <c r="EQ253" i="1"/>
  <c r="CC26" i="1"/>
  <c r="AT91" i="1"/>
  <c r="DL22" i="1"/>
  <c r="P274" i="1"/>
  <c r="DL283" i="1"/>
  <c r="DI18" i="1" l="1"/>
  <c r="P295" i="1"/>
  <c r="FU26" i="1"/>
  <c r="EL91" i="1"/>
  <c r="DM22" i="1"/>
  <c r="DM283" i="1"/>
  <c r="P275" i="1"/>
  <c r="DK22" i="1"/>
  <c r="DK283" i="1"/>
  <c r="P268" i="1"/>
  <c r="J16" i="2" s="1"/>
  <c r="EJ123" i="1"/>
  <c r="P192" i="1"/>
  <c r="R18" i="1"/>
  <c r="F297" i="1"/>
  <c r="AZ22" i="1"/>
  <c r="AZ283" i="1"/>
  <c r="F264" i="1"/>
  <c r="AZ196" i="1"/>
  <c r="F234" i="1"/>
  <c r="AR26" i="1"/>
  <c r="F119" i="1"/>
  <c r="AR253" i="1"/>
  <c r="EJ26" i="1"/>
  <c r="P119" i="1"/>
  <c r="EJ253" i="1"/>
  <c r="EQ22" i="1"/>
  <c r="EQ283" i="1"/>
  <c r="P261" i="1"/>
  <c r="EN123" i="1"/>
  <c r="P169" i="1"/>
  <c r="X18" i="1"/>
  <c r="F309" i="1"/>
  <c r="DP22" i="1"/>
  <c r="P279" i="1"/>
  <c r="DP283" i="1"/>
  <c r="AW22" i="1"/>
  <c r="F259" i="1"/>
  <c r="AW283" i="1"/>
  <c r="S18" i="1"/>
  <c r="F298" i="1"/>
  <c r="EN253" i="1"/>
  <c r="AT26" i="1"/>
  <c r="F109" i="1"/>
  <c r="AT253" i="1"/>
  <c r="AT196" i="1"/>
  <c r="F241" i="1"/>
  <c r="AR196" i="1"/>
  <c r="F251" i="1"/>
  <c r="EO22" i="1"/>
  <c r="EO283" i="1"/>
  <c r="P259" i="1"/>
  <c r="EO123" i="1"/>
  <c r="P170" i="1"/>
  <c r="EO196" i="1"/>
  <c r="P229" i="1"/>
  <c r="EQ123" i="1"/>
  <c r="P172" i="1"/>
  <c r="AV22" i="1"/>
  <c r="AV283" i="1"/>
  <c r="F258" i="1"/>
  <c r="P18" i="1"/>
  <c r="F286" i="1"/>
  <c r="DG22" i="1"/>
  <c r="P255" i="1"/>
  <c r="DG283" i="1"/>
  <c r="AY22" i="1"/>
  <c r="F261" i="1"/>
  <c r="AY283" i="1"/>
  <c r="DQ22" i="1"/>
  <c r="P280" i="1"/>
  <c r="DQ283" i="1"/>
  <c r="DL18" i="1"/>
  <c r="P304" i="1"/>
  <c r="DO22" i="1"/>
  <c r="P277" i="1"/>
  <c r="DO283" i="1"/>
  <c r="O22" i="1"/>
  <c r="O283" i="1"/>
  <c r="F255" i="1"/>
  <c r="AS18" i="1"/>
  <c r="F300" i="1"/>
  <c r="Y18" i="1"/>
  <c r="F310" i="1"/>
  <c r="F231" i="1"/>
  <c r="AY196" i="1"/>
  <c r="ER22" i="1"/>
  <c r="P264" i="1"/>
  <c r="ER283" i="1"/>
  <c r="EL196" i="1"/>
  <c r="P241" i="1"/>
  <c r="EH22" i="1"/>
  <c r="P262" i="1"/>
  <c r="G16" i="2" s="1"/>
  <c r="EH283" i="1"/>
  <c r="DN18" i="1"/>
  <c r="P306" i="1"/>
  <c r="AT123" i="1"/>
  <c r="F182" i="1"/>
  <c r="ES18" i="1"/>
  <c r="P303" i="1"/>
  <c r="Y16" i="2"/>
  <c r="DJ18" i="1"/>
  <c r="P297" i="1"/>
  <c r="ER196" i="1"/>
  <c r="P234" i="1"/>
  <c r="EJ196" i="1"/>
  <c r="P251" i="1"/>
  <c r="EL123" i="1"/>
  <c r="P182" i="1"/>
  <c r="DH18" i="1"/>
  <c r="P286" i="1"/>
  <c r="AP18" i="1"/>
  <c r="F292" i="1"/>
  <c r="EH18" i="1" l="1"/>
  <c r="P292" i="1"/>
  <c r="AW18" i="1"/>
  <c r="F289" i="1"/>
  <c r="AR22" i="1"/>
  <c r="AR283" i="1"/>
  <c r="F281" i="1"/>
  <c r="AY18" i="1"/>
  <c r="F291" i="1"/>
  <c r="EN22" i="1"/>
  <c r="P258" i="1"/>
  <c r="EN283" i="1"/>
  <c r="EJ22" i="1"/>
  <c r="EJ283" i="1"/>
  <c r="P281" i="1"/>
  <c r="DK18" i="1"/>
  <c r="P298" i="1"/>
  <c r="DQ18" i="1"/>
  <c r="P310" i="1"/>
  <c r="AV18" i="1"/>
  <c r="F288" i="1"/>
  <c r="AT22" i="1"/>
  <c r="AT283" i="1"/>
  <c r="F271" i="1"/>
  <c r="U16" i="2" s="1"/>
  <c r="X16" i="2" s="1"/>
  <c r="AC16" i="2" s="1"/>
  <c r="AZ18" i="1"/>
  <c r="F294" i="1"/>
  <c r="EL26" i="1"/>
  <c r="P109" i="1"/>
  <c r="EL253" i="1"/>
  <c r="DG18" i="1"/>
  <c r="P285" i="1"/>
  <c r="DM18" i="1"/>
  <c r="P305" i="1"/>
  <c r="ER18" i="1"/>
  <c r="P294" i="1"/>
  <c r="DO18" i="1"/>
  <c r="P307" i="1"/>
  <c r="O18" i="1"/>
  <c r="F285" i="1"/>
  <c r="EO18" i="1"/>
  <c r="P289" i="1"/>
  <c r="DP18" i="1"/>
  <c r="P309" i="1"/>
  <c r="EQ18" i="1"/>
  <c r="P291" i="1"/>
  <c r="EL22" i="1" l="1"/>
  <c r="EL283" i="1"/>
  <c r="P271" i="1"/>
  <c r="F16" i="2" s="1"/>
  <c r="I16" i="2" s="1"/>
  <c r="N16" i="2" s="1"/>
  <c r="EN18" i="1"/>
  <c r="P288" i="1"/>
  <c r="AT18" i="1"/>
  <c r="F301" i="1"/>
  <c r="EJ18" i="1"/>
  <c r="P311" i="1"/>
  <c r="AR18" i="1"/>
  <c r="F311" i="1"/>
  <c r="EL18" i="1" l="1"/>
  <c r="P301" i="1"/>
</calcChain>
</file>

<file path=xl/sharedStrings.xml><?xml version="1.0" encoding="utf-8"?>
<sst xmlns="http://schemas.openxmlformats.org/spreadsheetml/2006/main" count="13400" uniqueCount="597">
  <si>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</si>
  <si>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</si>
  <si>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</si>
  <si>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</si>
  <si>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</t>
  </si>
  <si>
    <t>Новый объект (ТСН-2001 (Мосгосэкспертиза))</t>
  </si>
  <si>
    <t>02-01-15 Система контроля и управления доступом</t>
  </si>
  <si>
    <t>Кузнецова Е.А.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</si>
  <si>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</si>
  <si>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</si>
  <si>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</si>
  <si>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</si>
  <si>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03.10.2025 г. доп.79</t>
  </si>
  <si>
    <t>Территориальные сметные нормативы для Москвы (ТСН-2001)</t>
  </si>
  <si>
    <t>ТЕР</t>
  </si>
  <si>
    <t>02-01-15</t>
  </si>
  <si>
    <t>Система контроля и управления доступом</t>
  </si>
  <si>
    <t>2024-00272-00-ИОС5.8</t>
  </si>
  <si>
    <t>Новый раздел</t>
  </si>
  <si>
    <t>Оборудование</t>
  </si>
  <si>
    <t>1</t>
  </si>
  <si>
    <t>4.10-176-1</t>
  </si>
  <si>
    <t>Монтаж блока контроля датчиков (контроллер)</t>
  </si>
  <si>
    <t>10 шт.</t>
  </si>
  <si>
    <t>ТСН-2001.4 Доп. 80, Сб. 10, т. 176, поз. 1</t>
  </si>
  <si>
    <t>*1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</si>
  <si>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</si>
  <si>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</si>
  <si>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</si>
  <si>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</si>
  <si>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</si>
  <si>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2</t>
  </si>
  <si>
    <t>КА 1</t>
  </si>
  <si>
    <t>Сетевой контроллер доступа "STR20-IP" до 8 точек, встроенное ПО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</si>
  <si>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</si>
  <si>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</si>
  <si>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</si>
  <si>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</si>
  <si>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[64 500 / 1,2 /  7,66] +  3% Трансп +  1,2% Заг.скл</t>
  </si>
  <si>
    <t>3</t>
  </si>
  <si>
    <t>1,2</t>
  </si>
  <si>
    <t>4.10-80-4</t>
  </si>
  <si>
    <t>Аппараты приемные, приборы ПС приемно-контрольные, пусковые, прибор ПС на 4 луча</t>
  </si>
  <si>
    <t>1  ШТ.</t>
  </si>
  <si>
    <t>ТСН-2001.4. Доп. 1-42. Сб. 10, т. 80, поз. 4</t>
  </si>
  <si>
    <t>4</t>
  </si>
  <si>
    <t>КА 2</t>
  </si>
  <si>
    <t>Модуль доступа-контроллер доступа STR-1AP-M на 2 точки</t>
  </si>
  <si>
    <t>[15 900 / 1,2 /  7,66] +  3% Трансп +  1,2% Заг.скл</t>
  </si>
  <si>
    <t>5</t>
  </si>
  <si>
    <t>6</t>
  </si>
  <si>
    <t>КА 3</t>
  </si>
  <si>
    <t>Модуль доступа-контроллер доступа STR-2AP-M на 4 точки</t>
  </si>
  <si>
    <t>[65 340 / 1,2 /  7,66] +  3% Трансп +  1,2% Заг.скл</t>
  </si>
  <si>
    <t>7</t>
  </si>
  <si>
    <t>4.11-1-2</t>
  </si>
  <si>
    <t>Монтаж конструкции для установки приборов и средств автоматизации массой до 2 кг</t>
  </si>
  <si>
    <t>ТСН-2001.4 Доп. 80, Сб. 11, т. 1, поз. 2</t>
  </si>
  <si>
    <t>ТСН-2001.4-11. Приборы и средства автоматизации и вычислительной техники</t>
  </si>
  <si>
    <t>ТСН-2001.4-11-1</t>
  </si>
  <si>
    <t>8</t>
  </si>
  <si>
    <t>КА 4</t>
  </si>
  <si>
    <t>Электромагнитный замок с монтажным комплектом "AL-400 Premium "</t>
  </si>
  <si>
    <t>[14 184 / 1,2 /  7,66] +  3% Трансп +  1,2% Заг.скл</t>
  </si>
  <si>
    <t>9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</si>
  <si>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</si>
  <si>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</si>
  <si>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</si>
  <si>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10</t>
  </si>
  <si>
    <t>КА 5</t>
  </si>
  <si>
    <t>Извещатель охр. магнито-контактный для металлических дверей ИО 102-26 исп. Аякс</t>
  </si>
  <si>
    <t>[416 / 1,2 /  7,66] +  3% Трансп +  1,2% Заг.скл</t>
  </si>
  <si>
    <t>11</t>
  </si>
  <si>
    <t>КА 6</t>
  </si>
  <si>
    <t>Извещатель охр. магнито-контактный для неметалл. поверхностей ИО 102-2 СМК</t>
  </si>
  <si>
    <t>[112,8 / 1,2 /  7,66] +  3% Трансп +  1,2% Заг.скл</t>
  </si>
  <si>
    <t>12</t>
  </si>
  <si>
    <t>4.10-177-1</t>
  </si>
  <si>
    <t>Монтаж устройства связи с согласующим устройством (вызывная панель)</t>
  </si>
  <si>
    <t>ТСН-2001.4 Доп. 80, Сб. 10, т. 177, поз. 1</t>
  </si>
  <si>
    <t>13</t>
  </si>
  <si>
    <t>КА 7</t>
  </si>
  <si>
    <t>Считыватель для установки на улице и в помещение,-40....+55гр интерфейс Wiegand 26-58, формат карт Mifare, EM-Marin,HID Prox RusGuard R-15 multi</t>
  </si>
  <si>
    <t>14</t>
  </si>
  <si>
    <t>4.10-76-10</t>
  </si>
  <si>
    <t>Монтаж ключа или кнопки на панели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</si>
  <si>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</si>
  <si>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</si>
  <si>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</si>
  <si>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14,1</t>
  </si>
  <si>
    <t>КА 8</t>
  </si>
  <si>
    <t>Кнопка экстренного выхода ST-FR115</t>
  </si>
  <si>
    <t>[1 150 / 1,2 /  9,88] +  2% Заг.скл</t>
  </si>
  <si>
    <t>0</t>
  </si>
  <si>
    <t>15</t>
  </si>
  <si>
    <t>4.10-59-3</t>
  </si>
  <si>
    <t>Монтаж детали на пультах и панелях - кнопка</t>
  </si>
  <si>
    <t>ТСН-2001.4 Доп. 67, Сб. 10, т. 59, поз. 3</t>
  </si>
  <si>
    <t>16</t>
  </si>
  <si>
    <t>КА 9</t>
  </si>
  <si>
    <t>Кнопка разблокировки дверей "ИПР 513-10" "АВАРИЙНЫЙ ВЫХОД" SB 1</t>
  </si>
  <si>
    <t>[1 087,5 / 1,2 /  7,66] +  3% Трансп +  1,2% Заг.скл</t>
  </si>
  <si>
    <t>17</t>
  </si>
  <si>
    <t>4.10-173-2</t>
  </si>
  <si>
    <t>Монтаж блока бесперебойного питания (ББП) в диспетчерской</t>
  </si>
  <si>
    <t>ТСН-2001.4 Доп. 67, Сб. 10, т. 173, поз. 2</t>
  </si>
  <si>
    <t>18</t>
  </si>
  <si>
    <t>КА 10</t>
  </si>
  <si>
    <t>Резервный источник питания,12В  ИВЭПР 12/3,5 2x7 -Р</t>
  </si>
  <si>
    <t>[8 715 / 1,2 /  7,66] +  3% Трансп +  1,2% Заг.скл</t>
  </si>
  <si>
    <t>19</t>
  </si>
  <si>
    <t>13.1-1-20</t>
  </si>
  <si>
    <t>Батарея аккумуляторная, емкость 7 А·ч, напряжение 12 В.</t>
  </si>
  <si>
    <t>20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</si>
  <si>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</si>
  <si>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</si>
  <si>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</si>
  <si>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20,1</t>
  </si>
  <si>
    <t>КА 11</t>
  </si>
  <si>
    <t>Коммутационная панель категории 5е UTP19",1U,24xRj45,п-корды  PLHD-24 Dual IDC-1U</t>
  </si>
  <si>
    <t>[2 705,14 / 1,2 /  9,88] +  2% Заг.скл</t>
  </si>
  <si>
    <t>21</t>
  </si>
  <si>
    <t>4.10-1-12</t>
  </si>
  <si>
    <t>Установка рамки со штифтами на винтах в нарезных отверстиях</t>
  </si>
  <si>
    <t>1 рамка</t>
  </si>
  <si>
    <t>ТСН-2001.4 Доп. 67, Сб. 10, т. 1, поз. 12</t>
  </si>
  <si>
    <t>21,1</t>
  </si>
  <si>
    <t>КА 12</t>
  </si>
  <si>
    <t>Горизонтальный органайзер, слотовый с крышкой, MX-CMC-1U-45-B</t>
  </si>
  <si>
    <t>[430 / 1,2 /  9,88] +  2% Заг.скл</t>
  </si>
  <si>
    <t>22</t>
  </si>
  <si>
    <t>4.11-7-2</t>
  </si>
  <si>
    <t>Установка аппарата настольного массой до 0,03 т</t>
  </si>
  <si>
    <t>ТСН-2001.4 Доп. 68, Сб. 11, т. 7, поз. 2</t>
  </si>
  <si>
    <t>23</t>
  </si>
  <si>
    <t>КА 13</t>
  </si>
  <si>
    <t>Центральный прибор индикации и управления с ПО FireSec в составе: блок системный, монитор- размер 21.5 дюйм, пульт индикации и управления, блок АВР ЦПИУ, Рубеж-АРМ исп.1</t>
  </si>
  <si>
    <t>[468 387 / 1,2 /  7,66] +  3% Трансп +  1,2% Заг.скл</t>
  </si>
  <si>
    <t>24</t>
  </si>
  <si>
    <t>25</t>
  </si>
  <si>
    <t>КА 14</t>
  </si>
  <si>
    <t>Источник бесперебойного питания Rapan-USB 3000</t>
  </si>
  <si>
    <t>[40 150 / 1,2 /  7,66] +  3% Трансп +  1,2% Заг.скл</t>
  </si>
  <si>
    <t>26</t>
  </si>
  <si>
    <t>4.10-34-5</t>
  </si>
  <si>
    <t>Монтаж коммутатора служебной связи</t>
  </si>
  <si>
    <t>ТСН-2001.4 Доп. 80, Сб. 10, т. 34, поз. 5</t>
  </si>
  <si>
    <t>27</t>
  </si>
  <si>
    <t>КА 15</t>
  </si>
  <si>
    <t>Сетевой коммутатор RVI-1NSM16G-4H 16 портов RVI-1NSM 16G-4H</t>
  </si>
  <si>
    <t>[22 343 / 1,2 /  7,66] +  3% Трансп +  1,2% Заг.скл</t>
  </si>
  <si>
    <t>28</t>
  </si>
  <si>
    <t>КА 16</t>
  </si>
  <si>
    <t>Карта Mifare стандартная ST-PC010MF</t>
  </si>
  <si>
    <t>Материалы</t>
  </si>
  <si>
    <t>Материалы, изделия и конструкции</t>
  </si>
  <si>
    <t>[20 / 1,2 /  9,88] +  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</si>
  <si>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</si>
  <si>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</si>
  <si>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</si>
  <si>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</si>
  <si>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</si>
  <si>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</si>
  <si>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</si>
  <si>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</si>
  <si>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</si>
  <si>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</si>
  <si>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</si>
  <si>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</si>
  <si>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</si>
  <si>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</si>
  <si>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</si>
  <si>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</si>
  <si>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</si>
  <si>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</si>
  <si>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</si>
  <si>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</si>
  <si>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</si>
  <si>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</si>
  <si>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</si>
  <si>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</si>
  <si>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</si>
  <si>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</si>
  <si>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</si>
  <si>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</si>
  <si>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</si>
  <si>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</si>
  <si>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</si>
  <si>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</si>
  <si>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</si>
  <si>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</si>
  <si>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</si>
  <si>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</si>
  <si>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</si>
  <si>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</si>
  <si>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</si>
  <si>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</si>
  <si>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</si>
  <si>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</si>
  <si>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</si>
  <si>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</si>
  <si>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</si>
  <si>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</si>
  <si>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</si>
  <si>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</si>
  <si>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</si>
  <si>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</si>
  <si>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</si>
  <si>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</si>
  <si>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</si>
  <si>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</si>
  <si>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изделия и материалы</t>
  </si>
  <si>
    <t>29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</si>
  <si>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</si>
  <si>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</si>
  <si>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100 м</t>
  </si>
  <si>
    <t>ТСН-2001.4 Доп. 54, Сб. 8, т. 288, поз. 2</t>
  </si>
  <si>
    <t>ТСН-2001.4-8. Электротехнические установки</t>
  </si>
  <si>
    <t>ТСН-2001.4-8-1</t>
  </si>
  <si>
    <t>29,1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</si>
  <si>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</si>
  <si>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</si>
  <si>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</si>
  <si>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</si>
  <si>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29,2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</si>
  <si>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</si>
  <si>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</si>
  <si>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</si>
  <si>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</si>
  <si>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30</t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</si>
  <si>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</si>
  <si>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</si>
  <si>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ТСН-2001.4 Доп. 54, Сб. 8, т. 288, поз. 1</t>
  </si>
  <si>
    <t>30,1</t>
  </si>
  <si>
    <t>1.12-5-371</t>
  </si>
  <si>
    <t>Трубы электротехнические, гофрированные, из ПВХ, негорючие, с зондом, наружный диаметр 16 мм</t>
  </si>
  <si>
    <t>ТСН-2001.1 Доп. 67, Р. 12, о. 5, поз. 371</t>
  </si>
  <si>
    <t>30,2</t>
  </si>
  <si>
    <t>1.21-5-1135</t>
  </si>
  <si>
    <t>Держатель пластиковый с защелкой для крепления труб, рукавов и гибких вводов диаметром 16 мм</t>
  </si>
  <si>
    <t>ТСН-2001.1 Доп. 73, Р. 21, о. 5, поз. 1135</t>
  </si>
  <si>
    <t>31</t>
  </si>
  <si>
    <t>1.1-1-617</t>
  </si>
  <si>
    <t>Мастика тиоколовая, герметизирующая, нетвердеющая, типа АМ-05</t>
  </si>
  <si>
    <t>кг</t>
  </si>
  <si>
    <t>ТСН-2001.1 Доп. 67, Р. 1, о. 1, поз. 617</t>
  </si>
  <si>
    <t>Материалы строительные</t>
  </si>
  <si>
    <t>ТСН-2001.1 Материалы строительные</t>
  </si>
  <si>
    <t>ТСН-2001.1-1</t>
  </si>
  <si>
    <t>32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</si>
  <si>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</si>
  <si>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</si>
  <si>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</si>
  <si>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32,1</t>
  </si>
  <si>
    <t>КА 17</t>
  </si>
  <si>
    <t>Кабель КПСВВнг(А)-LSLT 1х2х0,75мм "Спецкабель"</t>
  </si>
  <si>
    <t>км</t>
  </si>
  <si>
    <t>[67 870 / 1,2 /  9,88] +  2% Заг.скл</t>
  </si>
  <si>
    <t>33</t>
  </si>
  <si>
    <t>33,1</t>
  </si>
  <si>
    <t>КА 18</t>
  </si>
  <si>
    <t>Кабель КПСВВнг(А)-LSLT 1х2х1,0мм "Спецкабель"</t>
  </si>
  <si>
    <t>[82 860 / 1,2 /  9,88] +  2% Заг.скл</t>
  </si>
  <si>
    <t>34</t>
  </si>
  <si>
    <t>34,1</t>
  </si>
  <si>
    <t>КА 19</t>
  </si>
  <si>
    <t>Кабель ЛОУТОКС 20нг(А)-FRLSLTx -1х2х0.5 "Спецкабель"</t>
  </si>
  <si>
    <t>[82 080 / 1,2 /  9,88] +  2% Заг.скл</t>
  </si>
  <si>
    <t>35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</si>
  <si>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</si>
  <si>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</si>
  <si>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</si>
  <si>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35,1</t>
  </si>
  <si>
    <t>КА 20</t>
  </si>
  <si>
    <t>Кабель U/UTPнг(А)-LSLTx -4х2х0.52 кат 5е</t>
  </si>
  <si>
    <t>[18 675 / 1,2 /  9,88] +  2% Заг.скл</t>
  </si>
  <si>
    <t>36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</si>
  <si>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</si>
  <si>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</si>
  <si>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</si>
  <si>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36,1</t>
  </si>
  <si>
    <t>37</t>
  </si>
  <si>
    <t>37,1</t>
  </si>
  <si>
    <t>КА 21</t>
  </si>
  <si>
    <t>Кабель ВВГнг(А)-LSLTx -1х2х1.5мм</t>
  </si>
  <si>
    <t>[58,82 / 1,2 /  9,88] +  2% Заг.скл</t>
  </si>
  <si>
    <t>Видеодомофон</t>
  </si>
  <si>
    <t>38</t>
  </si>
  <si>
    <t>4.10-21-2</t>
  </si>
  <si>
    <t>Монтаж телефонного аппарата настенного системы ЦБ или АТС</t>
  </si>
  <si>
    <t>ТСН-2001.4 Доп. 79, Сб. 10, т. 21, поз. 2</t>
  </si>
  <si>
    <t>39</t>
  </si>
  <si>
    <t>КА 22</t>
  </si>
  <si>
    <t>Монитор IP-видеодомофона 4.3" SIP протокол ,РоЕ, ОС Linux с поддержкой подключения IP-вызывных панелей и IP-камер, SM-400W</t>
  </si>
  <si>
    <t>[12 800 / 1,2 /  7,66] +  3% Трансп +  1,2% Заг.скл</t>
  </si>
  <si>
    <t>40</t>
  </si>
  <si>
    <t>41</t>
  </si>
  <si>
    <t>КА 23</t>
  </si>
  <si>
    <t>Вызывная Full HD IP-панель для видеодомофонов  с углом обзора 146° врезной установки, DS06AP</t>
  </si>
  <si>
    <t>[20 700 / 1,2 /  7,66] +  3% Трансп +  1,2% Заг.скл</t>
  </si>
  <si>
    <t>42</t>
  </si>
  <si>
    <t>42,1</t>
  </si>
  <si>
    <t>42,2</t>
  </si>
  <si>
    <t>43</t>
  </si>
  <si>
    <t>43,1</t>
  </si>
  <si>
    <t>44</t>
  </si>
  <si>
    <t>44,1</t>
  </si>
  <si>
    <t>КА 24</t>
  </si>
  <si>
    <t>Кабель "витая пара" негорючий с низким выделением газа, дыма КПСВВнг(А)-LSLTx -4х2х0.5мм</t>
  </si>
  <si>
    <t>[211,39 / 1,2 /  9,88] +  2% Заг.скл</t>
  </si>
  <si>
    <t>45</t>
  </si>
  <si>
    <t>13.1-2-435</t>
  </si>
  <si>
    <t>Шнур оптический соединительный (патч-корд), тип разъемов SC/UPC-SC/UPC, 9/125 мкм, одномодовый, дуплексный, длина 1 м.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</si>
  <si>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</si>
  <si>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</si>
  <si>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</si>
  <si>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</si>
  <si>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</si>
  <si>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</si>
  <si>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</si>
  <si>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</si>
  <si>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</si>
  <si>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</si>
  <si>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</si>
  <si>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</si>
  <si>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</si>
  <si>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</si>
  <si>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</si>
  <si>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</si>
  <si>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</si>
  <si>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</si>
  <si>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</si>
  <si>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</si>
  <si>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</si>
  <si>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</si>
  <si>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</si>
  <si>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</si>
  <si>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</si>
  <si>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</si>
  <si>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2.1-30-56</t>
  </si>
  <si>
    <t>ТСН-2001.2. Доп. 68. п.1-30-56 (309101)</t>
  </si>
  <si>
    <t>Шуруповерты</t>
  </si>
  <si>
    <t>1.1-1-2381</t>
  </si>
  <si>
    <t>ТСН-2001.1 Доп. 79, Р. 1, о. 1, поз. 2381</t>
  </si>
  <si>
    <t>Винты с полукруглой головкой, М6х10</t>
  </si>
  <si>
    <t>т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</si>
  <si>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</si>
  <si>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</si>
  <si>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</si>
  <si>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2.1-14-12</t>
  </si>
  <si>
    <t>ТСН-2001.2. Доп. 62. п.1-14-12 (148201)</t>
  </si>
  <si>
    <t>Краскопульты электрические</t>
  </si>
  <si>
    <t>2.1-30-37</t>
  </si>
  <si>
    <t>ТСН-2001.2. Доп. 68. п.1-30-37 (307101)</t>
  </si>
  <si>
    <t>Станки вертикально-сверлильные</t>
  </si>
  <si>
    <t>2.1-30-63</t>
  </si>
  <si>
    <t>ТСН-2001.2. Доп. 68. п.1-30-63 (330901)</t>
  </si>
  <si>
    <t>Ножницы листовые кривошипные (гильотинные)</t>
  </si>
  <si>
    <t>2.1-30-68</t>
  </si>
  <si>
    <t>ТСН-2001.2. Доп. 68. п.1-30-68 (340301)</t>
  </si>
  <si>
    <t>Прессы кривошипные простого действия, номинальное усилие до 25 кН</t>
  </si>
  <si>
    <t>2.1-30-69</t>
  </si>
  <si>
    <t>ТСН-2001.2. Доп. 68. п.1-30-69 (340320)</t>
  </si>
  <si>
    <t>Прессы листогибочные, номинальное усилие до 1000 кН</t>
  </si>
  <si>
    <t>1.1-1-1566</t>
  </si>
  <si>
    <t>ТСН-2001.1 Доп. 79, Р. 1, о. 1, поз. 1566</t>
  </si>
  <si>
    <t>Электроды, типа Э-42, Э-46, Э-50, диаметр от 4 до 6 мм</t>
  </si>
  <si>
    <t>1.1-1-165</t>
  </si>
  <si>
    <t>ТСН-2001.1 Доп. 79, Р. 1, о. 1, поз. 165</t>
  </si>
  <si>
    <t>Грунтовка глифталевая, типа ГФ-021</t>
  </si>
  <si>
    <t>1.1-1-238</t>
  </si>
  <si>
    <t>ТСН-2001.1 Доп. 80, Р. 1, о. 1, поз. 238</t>
  </si>
  <si>
    <t>Дюбель пластмассовый</t>
  </si>
  <si>
    <t>1.1-1-3490</t>
  </si>
  <si>
    <t>ТСН-2001.1 Доп. 79, Р. 1, о. 1, поз. 3490</t>
  </si>
  <si>
    <t>Прокат стальной листовой горячекатаный, марка стали Ст3пс, толщина 4 мм</t>
  </si>
  <si>
    <t>1.1-1-3599</t>
  </si>
  <si>
    <t>ТСН-2001.1 Доп. 79, Р. 1, о. 1, поз. 3599</t>
  </si>
  <si>
    <t>Эмаль перхлорвиниловая, цветная, типа ХВ-1100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</si>
  <si>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</si>
  <si>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</si>
  <si>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</si>
  <si>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</si>
  <si>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</si>
  <si>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</si>
  <si>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1.21-5-856</t>
  </si>
  <si>
    <t>ТСН-2001.1 Доп. 79, Р. 21, о. 5, поз. 856</t>
  </si>
  <si>
    <t>Уголок монтажный стальной перфорированный окрашенный, типа К237 У2, размеры 2000х50х36 мм, толщина стенки 3 мм</t>
  </si>
  <si>
    <t>2.1-30-102</t>
  </si>
  <si>
    <t>ТСН-2001.2. Доп. 68. п.1-30-102 (303704)</t>
  </si>
  <si>
    <t>Дрели, мощность до 800 Вт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</si>
  <si>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</si>
  <si>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</si>
  <si>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</si>
  <si>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</si>
  <si>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</si>
  <si>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</si>
  <si>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9999990002</t>
  </si>
  <si>
    <t>Масса оборудования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</si>
  <si>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</si>
  <si>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</si>
  <si>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</si>
  <si>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</si>
  <si>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</si>
  <si>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</si>
  <si>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2.1-4-12</t>
  </si>
  <si>
    <t>ТСН-2001.2. Доп. 68. п.1-4-12 (040205)</t>
  </si>
  <si>
    <t>Автопогрузчики вилочные, грузоподъемность до 5 т</t>
  </si>
  <si>
    <t>1.1-1-3607</t>
  </si>
  <si>
    <t>ТСН-2001.1 Доп. 79, Р. 1, о. 1, поз. 3607</t>
  </si>
  <si>
    <t>Шурупы с полукруглой головкой, диаметр 4 мм, длина 40 мм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</si>
  <si>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</si>
  <si>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</si>
  <si>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</si>
  <si>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</si>
  <si>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</si>
  <si>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</si>
  <si>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</si>
  <si>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</si>
  <si>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</si>
  <si>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</si>
  <si>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</si>
  <si>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</si>
  <si>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</si>
  <si>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</si>
  <si>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</si>
  <si>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1000 шт.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</si>
  <si>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</si>
  <si>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</si>
  <si>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</si>
  <si>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</si>
  <si>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</si>
  <si>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</si>
  <si>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</si>
  <si>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</si>
  <si>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</si>
  <si>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</si>
  <si>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</si>
  <si>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</si>
  <si>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</si>
  <si>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</si>
  <si>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</si>
  <si>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</si>
  <si>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</si>
  <si>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</si>
  <si>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</si>
  <si>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</si>
  <si>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</si>
  <si>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</si>
  <si>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1.1-1-330</t>
  </si>
  <si>
    <t>ТСН-2001.1 Доп. 79, Р. 1, о. 1, поз. 330</t>
  </si>
  <si>
    <t>Канифоль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</si>
  <si>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</si>
  <si>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</si>
  <si>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</si>
  <si>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</si>
  <si>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</si>
  <si>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</si>
  <si>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</si>
  <si>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</si>
  <si>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</si>
  <si>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4372910000</t>
  </si>
  <si>
    <t>Блоки контроля датчиков (контроллеры)</t>
  </si>
  <si>
    <t>1297020000</t>
  </si>
  <si>
    <t>Болты строительные с гайками и шайбами (1297030000, 1610000000, 1620000000, 1680000000)</t>
  </si>
  <si>
    <t>4372900000</t>
  </si>
  <si>
    <t>Устройства связи с согласующими устройствами (вызывные панели)</t>
  </si>
  <si>
    <t>3428400000</t>
  </si>
  <si>
    <t>Ключи или кнопки пусковые</t>
  </si>
  <si>
    <t>6672300000</t>
  </si>
  <si>
    <t>Кнопки (детали на пультах и панелях)</t>
  </si>
  <si>
    <t>Блоки бесперебойного питания (ББП)</t>
  </si>
  <si>
    <t>4200000000</t>
  </si>
  <si>
    <t>Съемные и выдвижные блоки, ячейки, модули, типовые элементы замены (4300000000)</t>
  </si>
  <si>
    <t>5295300000</t>
  </si>
  <si>
    <t>Рамки со штифтами на винтах</t>
  </si>
  <si>
    <t>Аппараты настольные (4000000000, 4300000000)</t>
  </si>
  <si>
    <t>5295150000</t>
  </si>
  <si>
    <t>Коммутаторы служебной связи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</si>
  <si>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</si>
  <si>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</si>
  <si>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</si>
  <si>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</si>
  <si>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</si>
  <si>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</si>
  <si>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3500000000</t>
  </si>
  <si>
    <t>Провода (марка и сечение по проекту)</t>
  </si>
  <si>
    <t>6654000000</t>
  </si>
  <si>
    <t>Телефонные аппараты настенные</t>
  </si>
  <si>
    <t>Гл.12.Прил.8.п.8. 5_12.00.01.11.003</t>
  </si>
  <si>
    <t>Глава 12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</si>
  <si>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</si>
  <si>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</si>
  <si>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</si>
  <si>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</si>
  <si>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</si>
  <si>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</si>
  <si>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</si>
  <si>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</si>
  <si>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</si>
  <si>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</si>
  <si>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</si>
  <si>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</si>
  <si>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</si>
  <si>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</si>
  <si>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</si>
  <si>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</si>
  <si>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</si>
  <si>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</si>
  <si>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</si>
  <si>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</si>
  <si>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</si>
  <si>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</si>
  <si>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</si>
  <si>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</si>
  <si>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02-01-15 Система контроля и управления доступом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</si>
  <si>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</si>
  <si>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</si>
  <si>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</si>
  <si>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4.10-176-1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</si>
  <si>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</si>
  <si>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</si>
  <si>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</si>
  <si>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</si>
  <si>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</si>
  <si>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</si>
  <si>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</si>
  <si>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</si>
  <si>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</si>
  <si>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по позиции:</t>
  </si>
  <si>
    <r>
      <t>ОБОРУДОВАНИЕ:_x000D_
Сетевой контроллер доступа "STR20-IP" до 8 точек, встроенное ПО</t>
    </r>
    <r>
      <rPr>
        <i/>
        <sz val="10"/>
        <color rgb="FF821E82"/>
        <rFont val="Arial"/>
        <family val="2"/>
        <charset val="204"/>
      </rPr>
      <t xml:space="preserve">
7 314,21 = [64 500 / 1,2 /  7,66] +  3% Трансп +  1,2% Заг.скл</t>
    </r>
  </si>
  <si>
    <r>
      <t>4.10-80-4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</si>
  <si>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Модуль доступа-контроллер доступа STR-1AP-M на 2 точки</t>
    </r>
    <r>
      <rPr>
        <i/>
        <sz val="10"/>
        <color rgb="FF821E82"/>
        <rFont val="Arial"/>
        <family val="2"/>
        <charset val="204"/>
      </rPr>
      <t xml:space="preserve">
1 803,04 = [15 900 / 1,2 /  7,66] +  3% Трансп +  1,2% Заг.скл</t>
    </r>
  </si>
  <si>
    <r>
      <t>ОБОРУДОВАНИЕ:_x000D_
Модуль доступа-контроллер доступа STR-2AP-M на 4 точки</t>
    </r>
    <r>
      <rPr>
        <i/>
        <sz val="10"/>
        <color rgb="FF821E82"/>
        <rFont val="Arial"/>
        <family val="2"/>
        <charset val="204"/>
      </rPr>
      <t xml:space="preserve">
7 409,47 = [65 340 / 1,2 /  7,66] +  3% Трансп +  1,2% Заг.скл</t>
    </r>
  </si>
  <si>
    <r>
      <t>4.11-1-2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</si>
  <si>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Электромагнитный замок с монтажным комплектом "AL-400 Premium "</t>
    </r>
    <r>
      <rPr>
        <i/>
        <sz val="10"/>
        <color rgb="FF821E82"/>
        <rFont val="Arial"/>
        <family val="2"/>
        <charset val="204"/>
      </rPr>
      <t xml:space="preserve">
1 608,44 = [14 184 / 1,2 /  7,66] +  3% Трансп +  1,2% Заг.скл</t>
    </r>
  </si>
  <si>
    <r>
      <t>4.10-81-4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</si>
  <si>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Извещатель охр. магнито-контактный для металлических дверей ИО 102-26 исп. Аякс</t>
    </r>
    <r>
      <rPr>
        <i/>
        <sz val="10"/>
        <color rgb="FF821E82"/>
        <rFont val="Arial"/>
        <family val="2"/>
        <charset val="204"/>
      </rPr>
      <t xml:space="preserve">
47,18 = [416 / 1,2 /  7,66] +  3% Трансп +  1,2% Заг.скл</t>
    </r>
  </si>
  <si>
    <r>
      <t>ОБОРУДОВАНИЕ:_x000D_
Извещатель охр. магнито-контактный для неметалл. поверхностей ИО 102-2 СМК</t>
    </r>
    <r>
      <rPr>
        <i/>
        <sz val="10"/>
        <color rgb="FF821E82"/>
        <rFont val="Arial"/>
        <family val="2"/>
        <charset val="204"/>
      </rPr>
      <t xml:space="preserve">
12,79 = [112,8 / 1,2 /  7,66] +  3% Трансп +  1,2% Заг.скл</t>
    </r>
  </si>
  <si>
    <r>
      <t>4.10-177-1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</si>
  <si>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Считыватель для установки на улице и в помещение,-40....+55гр интерфейс Wiegand 26-58, формат карт Mifare, EM-Marin,HID Prox RusGuard R-15 multi</t>
    </r>
    <r>
      <rPr>
        <i/>
        <sz val="10"/>
        <color rgb="FF821E82"/>
        <rFont val="Arial"/>
        <family val="2"/>
        <charset val="204"/>
      </rPr>
      <t xml:space="preserve">
1 803,04 = [15 900 / 1,2 /  7,66] +  3% Трансп +  1,2% Заг.скл</t>
    </r>
  </si>
  <si>
    <r>
      <t>4.10-76-10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</si>
  <si>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Кнопка экстренного выхода ST-FR115</t>
    </r>
    <r>
      <rPr>
        <i/>
        <sz val="10"/>
        <rFont val="Arial"/>
        <family val="2"/>
        <charset val="204"/>
      </rPr>
      <t xml:space="preserve">
98,94 = [1 150 / 1,2 /  9,88] +  2% Заг.скл</t>
    </r>
  </si>
  <si>
    <r>
      <t>4.10-59-3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</si>
  <si>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Кнопка разблокировки дверей "ИПР 513-10" "АВАРИЙНЫЙ ВЫХОД" SB 1</t>
    </r>
    <r>
      <rPr>
        <i/>
        <sz val="10"/>
        <color rgb="FF821E82"/>
        <rFont val="Arial"/>
        <family val="2"/>
        <charset val="204"/>
      </rPr>
      <t xml:space="preserve">
123,32 = [1 087,5 / 1,2 /  7,66] +  3% Трансп +  1,2% Заг.скл</t>
    </r>
  </si>
  <si>
    <r>
      <t>4.10-173-2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</si>
  <si>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Резервный источник питания,12В  ИВЭПР 12/3,5 2x7 -Р</t>
    </r>
    <r>
      <rPr>
        <i/>
        <sz val="10"/>
        <color rgb="FF821E82"/>
        <rFont val="Arial"/>
        <family val="2"/>
        <charset val="204"/>
      </rPr>
      <t xml:space="preserve">
988,27 = [8 715 / 1,2 /  7,66] +  3% Трансп +  1,2% Заг.скл</t>
    </r>
  </si>
  <si>
    <t>ОБОРУДОВАНИЕ:_x000D_
Батарея аккумуляторная, емкость 7 А·ч, напряжение 12 В.</t>
  </si>
  <si>
    <r>
      <t>4.11-12-1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</si>
  <si>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Коммутационная панель категории 5е UTP19",1U,24xRj45,п-корды  PLHD-24 Dual IDC-1U</t>
    </r>
    <r>
      <rPr>
        <i/>
        <sz val="10"/>
        <rFont val="Arial"/>
        <family val="2"/>
        <charset val="204"/>
      </rPr>
      <t xml:space="preserve">
232,73 = [2 705,14 / 1,2 /  9,88] +  2% Заг.скл</t>
    </r>
  </si>
  <si>
    <r>
      <t>4.10-1-12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</si>
  <si>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Горизонтальный органайзер, слотовый с крышкой, MX-CMC-1U-45-B</t>
    </r>
    <r>
      <rPr>
        <i/>
        <sz val="10"/>
        <rFont val="Arial"/>
        <family val="2"/>
        <charset val="204"/>
      </rPr>
      <t xml:space="preserve">
37,00 = [430 / 1,2 /  9,88] +  2% Заг.скл</t>
    </r>
  </si>
  <si>
    <r>
      <t>4.11-7-2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</si>
  <si>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Центральный прибор индикации и управления с ПО FireSec в составе: блок системный, монитор- размер 21.5 дюйм, пульт индикации и управления, блок АВР ЦПИУ, Рубеж-АРМ исп.1</t>
    </r>
    <r>
      <rPr>
        <i/>
        <sz val="10"/>
        <color rgb="FF821E82"/>
        <rFont val="Arial"/>
        <family val="2"/>
        <charset val="204"/>
      </rPr>
      <t xml:space="preserve">
53 114,44 = [468 387 / 1,2 /  7,66] +  3% Трансп +  1,2% Заг.скл</t>
    </r>
  </si>
  <si>
    <r>
      <t>ОБОРУДОВАНИЕ:_x000D_
Источник бесперебойного питания Rapan-USB 3000</t>
    </r>
    <r>
      <rPr>
        <i/>
        <sz val="10"/>
        <color rgb="FF821E82"/>
        <rFont val="Arial"/>
        <family val="2"/>
        <charset val="204"/>
      </rPr>
      <t xml:space="preserve">
4 552,96 = [40 150 / 1,2 /  7,66] +  3% Трансп +  1,2% Заг.скл</t>
    </r>
  </si>
  <si>
    <r>
      <t>4.10-34-5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</si>
  <si>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Сетевой коммутатор RVI-1NSM16G-4H 16 портов RVI-1NSM 16G-4H</t>
    </r>
    <r>
      <rPr>
        <i/>
        <sz val="10"/>
        <color rgb="FF821E82"/>
        <rFont val="Arial"/>
        <family val="2"/>
        <charset val="204"/>
      </rPr>
      <t xml:space="preserve">
2 533,66 = [22 343 / 1,2 /  7,66] +  3% Трансп +  1,2% Заг.скл</t>
    </r>
  </si>
  <si>
    <r>
      <t>Карта Mifare стандартная ST-PC010MF</t>
    </r>
    <r>
      <rPr>
        <i/>
        <sz val="10"/>
        <rFont val="Arial"/>
        <family val="2"/>
        <charset val="204"/>
      </rPr>
      <t xml:space="preserve">
1,72 = [20 / 1,2 /  9,88] +  2% Заг.скл</t>
    </r>
  </si>
  <si>
    <t xml:space="preserve">   Итого по ТСН-2001.16</t>
  </si>
  <si>
    <t xml:space="preserve">   Итого возвратных сумм</t>
  </si>
  <si>
    <r>
      <t>4.8-288-2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</si>
  <si>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1.12-5-372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</si>
  <si>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к нр *1</t>
  </si>
  <si>
    <r>
      <t>1.21-5-1136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</si>
  <si>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4.8-288-1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</si>
  <si>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1.12-5-371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</si>
  <si>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1.21-5-1135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</si>
  <si>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1.1-1-617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</si>
  <si>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4.8-175-1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</si>
  <si>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КПСВВнг(А)-LSLT 1х2х0,75мм "Спецкабель"</t>
    </r>
    <r>
      <rPr>
        <i/>
        <sz val="10"/>
        <rFont val="Arial"/>
        <family val="2"/>
        <charset val="204"/>
      </rPr>
      <t xml:space="preserve">
5 839,02 = [67 870 / 1,2 /  9,88] +  2% Заг.скл</t>
    </r>
  </si>
  <si>
    <r>
      <t>Кабель КПСВВнг(А)-LSLT 1х2х1,0мм "Спецкабель"</t>
    </r>
    <r>
      <rPr>
        <i/>
        <sz val="10"/>
        <rFont val="Arial"/>
        <family val="2"/>
        <charset val="204"/>
      </rPr>
      <t xml:space="preserve">
7 128,65 = [82 860 / 1,2 /  9,88] +  2% Заг.скл</t>
    </r>
  </si>
  <si>
    <r>
      <t>Кабель ЛОУТОКС 20нг(А)-FRLSLTx -1х2х0.5 "Спецкабель"</t>
    </r>
    <r>
      <rPr>
        <i/>
        <sz val="10"/>
        <rFont val="Arial"/>
        <family val="2"/>
        <charset val="204"/>
      </rPr>
      <t xml:space="preserve">
7 061,54 = [82 080 / 1,2 /  9,88] +  2% Заг.скл</t>
    </r>
  </si>
  <si>
    <r>
      <t>4.8-175-2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</si>
  <si>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U/UTPнг(А)-LSLTx -4х2х0.52 кат 5е</t>
    </r>
    <r>
      <rPr>
        <i/>
        <sz val="10"/>
        <rFont val="Arial"/>
        <family val="2"/>
        <charset val="204"/>
      </rPr>
      <t xml:space="preserve">
1 606,65 = [18 675 / 1,2 /  9,88] +  2% Заг.скл</t>
    </r>
  </si>
  <si>
    <r>
      <t>4.8-175-9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</si>
  <si>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ВВГнг(А)-LSLTx -1х2х1.5мм</t>
    </r>
    <r>
      <rPr>
        <i/>
        <sz val="10"/>
        <rFont val="Arial"/>
        <family val="2"/>
        <charset val="204"/>
      </rPr>
      <t xml:space="preserve">
5,06 = [58,82 / 1,2 /  9,88] +  2% Заг.скл</t>
    </r>
  </si>
  <si>
    <r>
      <t>4.10-21-2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</si>
  <si>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ОБОРУДОВАНИЕ:_x000D_
Монитор IP-видеодомофона 4.3" SIP протокол ,РоЕ, ОС Linux с поддержкой подключения IP-вызывных панелей и IP-камер, SM-400W</t>
    </r>
    <r>
      <rPr>
        <i/>
        <sz val="10"/>
        <color rgb="FF821E82"/>
        <rFont val="Arial"/>
        <family val="2"/>
        <charset val="204"/>
      </rPr>
      <t xml:space="preserve">
1 451,51 = [12 800 / 1,2 /  7,66] +  3% Трансп +  1,2% Заг.скл</t>
    </r>
  </si>
  <si>
    <r>
      <t>ОБОРУДОВАНИЕ:_x000D_
Вызывная Full HD IP-панель для видеодомофонов  с углом обзора 146° врезной установки, DS06AP</t>
    </r>
    <r>
      <rPr>
        <i/>
        <sz val="10"/>
        <color rgb="FF821E82"/>
        <rFont val="Arial"/>
        <family val="2"/>
        <charset val="204"/>
      </rPr>
      <t xml:space="preserve">
2 347,35 = [20 700 / 1,2 /  7,66] +  3% Трансп +  1,2% Заг.скл</t>
    </r>
  </si>
  <si>
    <r>
      <t>Кабель "витая пара" негорючий с низким выделением газа, дыма КПСВВнг(А)-LSLTx -4х2х0.5мм</t>
    </r>
    <r>
      <rPr>
        <i/>
        <sz val="10"/>
        <rFont val="Arial"/>
        <family val="2"/>
        <charset val="204"/>
      </rPr>
      <t xml:space="preserve">
18,19 = [211,39 / 1,2 /  9,88] +  2% Заг.скл</t>
    </r>
  </si>
  <si>
    <t>ОБОРУДОВАНИЕ:_x000D_
Шнур оптический соединительный (патч-корд), тип разъемов SC/UPC-SC/UPC, 9/125 мкм, одномодовый, дуплексный, длина 1 м.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</si>
  <si>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</si>
  <si>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</si>
  <si>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</si>
  <si>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</si>
  <si>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</si>
  <si>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</si>
  <si>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</si>
  <si>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</si>
  <si>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</si>
  <si>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</si>
  <si>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</si>
  <si>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</si>
  <si>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</si>
  <si>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</si>
  <si>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</si>
  <si>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 236" по адресу: г. Москва ул. Клязьминская, д. 7 к. 4.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</si>
</sst>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164" fontId="0" fillId="0" borderId="0" xfId="0" applyNumberFormat="1"/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4" fontId="20" fillId="0" borderId="1" xfId="0" applyNumberFormat="1" applyFont="1" applyBorder="1" applyAlignment="1">
      <alignment horizontal="right" vertical="top"/>
    </xf>
    <xf numFmtId="0" fontId="20" fillId="0" borderId="1" xfId="0" applyFont="1" applyBorder="1" applyAlignment="1">
      <alignment horizontal="right" vertical="top" wrapText="1"/>
    </xf>
    <xf numFmtId="0" fontId="23" fillId="0" borderId="0" xfId="0" applyFont="1"/>
    <xf numFmtId="0" fontId="24" fillId="0" borderId="0" xfId="0" applyFont="1" applyAlignment="1">
      <alignment vertical="top"/>
    </xf>
    <xf numFmtId="164" fontId="24" fillId="0" borderId="2" xfId="0" applyNumberFormat="1" applyFont="1" applyBorder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</cellXfs>
  <cellStyles count="2">
    <cellStyle name="Обычный" xfId="0" builtinId="0"/>
    <cellStyle name="Обычный 4" xfId="1" xr:uid="{B2B3C339-A8A5-4F8F-B109-1DAECE778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8776-33C2-48AE-B90E-2C14600E73D6}">
  <sheetPr>
    <pageSetUpPr fitToPage="1"/>
  </sheetPr>
  <dimension ref="A1:AQ394"/>
  <sheetViews>
    <sheetView tabSelected="1" zoomScaleNormal="100" workbookViewId="0">
      <selection activeCell="BB13" sqref="BB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5703125" bestFit="1" customWidth="1"/>
    <col min="9" max="9" width="11.28515625" bestFit="1" customWidth="1"/>
    <col min="11" max="11" width="13.140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514</v>
      </c>
      <c r="K2" s="30"/>
    </row>
    <row r="3" spans="1:42" ht="47.25" x14ac:dyDescent="0.25">
      <c r="A3" s="12" t="s">
        <v>596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1" t="s">
        <v>515</v>
      </c>
    </row>
    <row r="4" spans="1:42" x14ac:dyDescent="0.2">
      <c r="A4" s="13" t="s">
        <v>493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02-01-15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Система контроля и управления доступом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494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2024-00272-00-ИОС5.8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495</v>
      </c>
      <c r="J13" s="20" t="s">
        <v>496</v>
      </c>
      <c r="K13" s="11"/>
    </row>
    <row r="14" spans="1:42" ht="15" x14ac:dyDescent="0.25">
      <c r="A14" s="11"/>
      <c r="B14" s="11"/>
      <c r="C14" s="11"/>
      <c r="D14" s="11"/>
      <c r="E14" s="21" t="s">
        <v>497</v>
      </c>
      <c r="F14" s="21"/>
      <c r="G14" s="21"/>
      <c r="H14" s="21"/>
      <c r="I14" s="22">
        <f>I15+I16+I17+I18</f>
        <v>572.71</v>
      </c>
      <c r="J14" s="22">
        <f>J15+J16+J17+J18</f>
        <v>5607.16</v>
      </c>
      <c r="K14" s="23" t="s">
        <v>581</v>
      </c>
    </row>
    <row r="15" spans="1:42" ht="14.25" x14ac:dyDescent="0.2">
      <c r="A15" s="11"/>
      <c r="B15" s="11"/>
      <c r="C15" s="11"/>
      <c r="D15" s="11"/>
      <c r="E15" s="24" t="s">
        <v>498</v>
      </c>
      <c r="F15" s="24"/>
      <c r="G15" s="24"/>
      <c r="H15" s="24"/>
      <c r="I15" s="25">
        <f>ROUND((Source!F270)/1000, 2)</f>
        <v>0.13</v>
      </c>
      <c r="J15" s="25">
        <f>ROUND((Source!P270)/1000, 2)</f>
        <v>1.03</v>
      </c>
      <c r="K15" s="11" t="s">
        <v>581</v>
      </c>
    </row>
    <row r="16" spans="1:42" ht="14.25" x14ac:dyDescent="0.2">
      <c r="A16" s="11"/>
      <c r="B16" s="11"/>
      <c r="C16" s="11"/>
      <c r="D16" s="11"/>
      <c r="E16" s="24" t="s">
        <v>499</v>
      </c>
      <c r="F16" s="24"/>
      <c r="G16" s="24"/>
      <c r="H16" s="24"/>
      <c r="I16" s="25">
        <f>ROUND((Source!F271)/1000, 2)</f>
        <v>73.209999999999994</v>
      </c>
      <c r="J16" s="25">
        <f>ROUND((Source!P271)/1000, 2)</f>
        <v>1780.46</v>
      </c>
      <c r="K16" s="11" t="s">
        <v>581</v>
      </c>
    </row>
    <row r="17" spans="1:42" ht="14.25" x14ac:dyDescent="0.2">
      <c r="A17" s="11"/>
      <c r="B17" s="11"/>
      <c r="C17" s="11"/>
      <c r="D17" s="11"/>
      <c r="E17" s="24" t="s">
        <v>19</v>
      </c>
      <c r="F17" s="24"/>
      <c r="G17" s="24"/>
      <c r="H17" s="24"/>
      <c r="I17" s="25">
        <f>ROUND((Source!F262)/1000, 2)</f>
        <v>499.37</v>
      </c>
      <c r="J17" s="25">
        <f>ROUND((Source!P262)/1000, 2)</f>
        <v>3825.67</v>
      </c>
      <c r="K17" s="11" t="s">
        <v>581</v>
      </c>
    </row>
    <row r="18" spans="1:42" ht="14.25" x14ac:dyDescent="0.2">
      <c r="A18" s="11"/>
      <c r="B18" s="11"/>
      <c r="C18" s="11"/>
      <c r="D18" s="11"/>
      <c r="E18" s="24" t="s">
        <v>500</v>
      </c>
      <c r="F18" s="24"/>
      <c r="G18" s="24"/>
      <c r="H18" s="24"/>
      <c r="I18" s="25">
        <f>ROUND((Source!F272+Source!F273)/1000, 2)</f>
        <v>0</v>
      </c>
      <c r="J18" s="25">
        <f>ROUND((Source!P272+Source!P273)/1000, 2)</f>
        <v>0</v>
      </c>
      <c r="K18" s="11" t="s">
        <v>581</v>
      </c>
    </row>
    <row r="19" spans="1:42" ht="14.25" x14ac:dyDescent="0.2">
      <c r="A19" s="11"/>
      <c r="B19" s="11"/>
      <c r="C19" s="11"/>
      <c r="D19" s="11"/>
      <c r="E19" s="24" t="s">
        <v>501</v>
      </c>
      <c r="F19" s="24"/>
      <c r="G19" s="24"/>
      <c r="H19" s="24"/>
      <c r="I19" s="25">
        <f>(Source!F268+ Source!F267)/1000</f>
        <v>10.39772</v>
      </c>
      <c r="J19" s="25">
        <f>((Source!P268 + Source!P267)/1000)</f>
        <v>571.77061000000003</v>
      </c>
      <c r="K19" s="11" t="s">
        <v>581</v>
      </c>
    </row>
    <row r="20" spans="1:42" ht="14.25" x14ac:dyDescent="0.2">
      <c r="A20" s="11"/>
      <c r="B20" s="11"/>
      <c r="C20" s="11"/>
      <c r="D20" s="11"/>
      <c r="E20" s="24" t="s">
        <v>502</v>
      </c>
      <c r="F20" s="24"/>
      <c r="G20" s="24"/>
      <c r="H20" s="24"/>
      <c r="I20" s="25">
        <f>Source!F275</f>
        <v>787.70867010000006</v>
      </c>
      <c r="J20" s="25"/>
      <c r="K20" s="11" t="s">
        <v>333</v>
      </c>
    </row>
    <row r="21" spans="1:42" ht="14.25" hidden="1" x14ac:dyDescent="0.2">
      <c r="A21" s="11"/>
      <c r="B21" s="11"/>
      <c r="C21" s="11"/>
      <c r="D21" s="11"/>
      <c r="E21" s="24" t="s">
        <v>503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196</v>
      </c>
      <c r="F22" s="26"/>
      <c r="G22" s="26"/>
      <c r="H22" s="26"/>
      <c r="I22" s="25">
        <f>SUM(Y28:Y387)/1000</f>
        <v>0</v>
      </c>
      <c r="J22" s="25">
        <f>SUM(Z28:Z387)/1000</f>
        <v>0</v>
      </c>
      <c r="K22" s="11" t="s">
        <v>581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516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28.5" x14ac:dyDescent="0.2">
      <c r="A25" s="18" t="s">
        <v>517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2" t="s">
        <v>517</v>
      </c>
    </row>
    <row r="26" spans="1:42" ht="114" x14ac:dyDescent="0.2">
      <c r="A26" s="28" t="s">
        <v>504</v>
      </c>
      <c r="B26" s="28" t="s">
        <v>505</v>
      </c>
      <c r="C26" s="28" t="s">
        <v>506</v>
      </c>
      <c r="D26" s="28" t="s">
        <v>507</v>
      </c>
      <c r="E26" s="28" t="s">
        <v>508</v>
      </c>
      <c r="F26" s="28" t="s">
        <v>509</v>
      </c>
      <c r="G26" s="29" t="s">
        <v>510</v>
      </c>
      <c r="H26" s="29" t="s">
        <v>511</v>
      </c>
      <c r="I26" s="28" t="s">
        <v>518</v>
      </c>
      <c r="J26" s="28" t="s">
        <v>512</v>
      </c>
      <c r="K26" s="28" t="s">
        <v>513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">
      <c r="A29" s="33" t="str">
        <f>CONCATENATE("Раздел: ",IF(Source!G24&lt;&gt;"Новый раздел", Source!G24, ""))</f>
        <v>Раздел: Оборудование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42" ht="78" x14ac:dyDescent="0.2">
      <c r="A30" s="34">
        <v>1</v>
      </c>
      <c r="B30" s="34" t="s">
        <v>519</v>
      </c>
      <c r="C30" s="34" t="s">
        <v>22</v>
      </c>
      <c r="D30" s="36" t="str">
        <f>Source!H28</f>
        <v>10 шт.</v>
      </c>
      <c r="E30" s="35">
        <f>Source!I28</f>
        <v>0.2</v>
      </c>
      <c r="F30" s="38"/>
      <c r="G30" s="37"/>
      <c r="H30" s="35"/>
      <c r="I30" s="38"/>
      <c r="J30" s="35"/>
      <c r="K30" s="38"/>
      <c r="Q30">
        <f>Source!X28</f>
        <v>97.66</v>
      </c>
      <c r="R30">
        <f>Source!X29</f>
        <v>5370.27</v>
      </c>
      <c r="S30">
        <f>Source!Y28</f>
        <v>49.91</v>
      </c>
      <c r="T30">
        <f>Source!Y29</f>
        <v>2744.81</v>
      </c>
      <c r="U30">
        <f>ROUND((175/100)*ROUND(Source!R28, 2), 2)</f>
        <v>0.05</v>
      </c>
      <c r="V30">
        <f>ROUND((0/100)*ROUND(Source!R29, 2), 2)</f>
        <v>0</v>
      </c>
      <c r="AC30">
        <v>0</v>
      </c>
    </row>
    <row r="31" spans="1:42" x14ac:dyDescent="0.2">
      <c r="C31" s="39" t="str">
        <f>"Объем: "&amp;Source!I28&amp;"=2/"&amp;"10"</f>
        <v>Объем: 0,2=2/10</v>
      </c>
    </row>
    <row r="32" spans="1:42" ht="14.25" x14ac:dyDescent="0.2">
      <c r="A32" s="34"/>
      <c r="B32" s="34"/>
      <c r="C32" s="34" t="s">
        <v>520</v>
      </c>
      <c r="D32" s="36"/>
      <c r="E32" s="35"/>
      <c r="F32" s="38">
        <f>Source!AO28</f>
        <v>470.94</v>
      </c>
      <c r="G32" s="37" t="str">
        <f>Source!DG28</f>
        <v>*1,1</v>
      </c>
      <c r="H32" s="35">
        <f>Source!AV29</f>
        <v>1.0469999999999999</v>
      </c>
      <c r="I32" s="38">
        <f>Source!S28</f>
        <v>108.48</v>
      </c>
      <c r="J32" s="35">
        <f>IF(Source!BA29&lt;&gt; 0, Source!BA29, 1)</f>
        <v>54.99</v>
      </c>
      <c r="K32" s="38">
        <f>Source!S29</f>
        <v>5965.32</v>
      </c>
    </row>
    <row r="33" spans="1:29" ht="14.25" x14ac:dyDescent="0.2">
      <c r="A33" s="34"/>
      <c r="B33" s="34"/>
      <c r="C33" s="34" t="s">
        <v>521</v>
      </c>
      <c r="D33" s="36"/>
      <c r="E33" s="35"/>
      <c r="F33" s="38">
        <f>Source!AM28</f>
        <v>1.1000000000000001</v>
      </c>
      <c r="G33" s="37" t="str">
        <f>Source!DE28</f>
        <v>*1,1</v>
      </c>
      <c r="H33" s="35">
        <f>Source!AV29</f>
        <v>1.0469999999999999</v>
      </c>
      <c r="I33" s="38">
        <f>Source!Q28</f>
        <v>0.25</v>
      </c>
      <c r="J33" s="35">
        <f>IF(Source!BB29&lt;&gt; 0, Source!BB29, 1)</f>
        <v>14.48</v>
      </c>
      <c r="K33" s="38">
        <f>Source!Q29</f>
        <v>3.62</v>
      </c>
    </row>
    <row r="34" spans="1:29" ht="14.25" x14ac:dyDescent="0.2">
      <c r="A34" s="34"/>
      <c r="B34" s="34"/>
      <c r="C34" s="34" t="s">
        <v>522</v>
      </c>
      <c r="D34" s="36"/>
      <c r="E34" s="35"/>
      <c r="F34" s="38">
        <f>Source!AN28</f>
        <v>0.13</v>
      </c>
      <c r="G34" s="37" t="str">
        <f>Source!DF28</f>
        <v>*1,1</v>
      </c>
      <c r="H34" s="35">
        <f>Source!AV29</f>
        <v>1.0469999999999999</v>
      </c>
      <c r="I34" s="40">
        <f>Source!R28</f>
        <v>0.03</v>
      </c>
      <c r="J34" s="35">
        <f>IF(Source!BS29&lt;&gt; 0, Source!BS29, 1)</f>
        <v>54.99</v>
      </c>
      <c r="K34" s="40">
        <f>Source!R29</f>
        <v>1.65</v>
      </c>
    </row>
    <row r="35" spans="1:29" ht="14.25" x14ac:dyDescent="0.2">
      <c r="A35" s="34"/>
      <c r="B35" s="34"/>
      <c r="C35" s="34" t="s">
        <v>523</v>
      </c>
      <c r="D35" s="36"/>
      <c r="E35" s="35"/>
      <c r="F35" s="38">
        <f>Source!AL28</f>
        <v>1.29</v>
      </c>
      <c r="G35" s="37" t="str">
        <f>Source!DD28</f>
        <v>*1</v>
      </c>
      <c r="H35" s="35">
        <f>Source!AW29</f>
        <v>1</v>
      </c>
      <c r="I35" s="38">
        <f>Source!P28</f>
        <v>0.26</v>
      </c>
      <c r="J35" s="35">
        <f>IF(Source!BC29&lt;&gt; 0, Source!BC29, 1)</f>
        <v>7.25</v>
      </c>
      <c r="K35" s="38">
        <f>Source!P29</f>
        <v>1.89</v>
      </c>
    </row>
    <row r="36" spans="1:29" ht="14.25" x14ac:dyDescent="0.2">
      <c r="A36" s="34"/>
      <c r="B36" s="34"/>
      <c r="C36" s="34" t="s">
        <v>524</v>
      </c>
      <c r="D36" s="36" t="s">
        <v>525</v>
      </c>
      <c r="E36" s="35">
        <f>Source!BZ29</f>
        <v>90</v>
      </c>
      <c r="F36" s="38"/>
      <c r="G36" s="37"/>
      <c r="H36" s="35"/>
      <c r="I36" s="38">
        <f>SUM(Q30:Q35)</f>
        <v>97.66</v>
      </c>
      <c r="J36" s="35">
        <f>Source!AT29</f>
        <v>90</v>
      </c>
      <c r="K36" s="38">
        <f>SUM(R30:R35)</f>
        <v>5370.27</v>
      </c>
    </row>
    <row r="37" spans="1:29" ht="14.25" x14ac:dyDescent="0.2">
      <c r="A37" s="34"/>
      <c r="B37" s="34"/>
      <c r="C37" s="34" t="s">
        <v>526</v>
      </c>
      <c r="D37" s="36" t="s">
        <v>525</v>
      </c>
      <c r="E37" s="35">
        <f>Source!CA29</f>
        <v>46</v>
      </c>
      <c r="F37" s="38"/>
      <c r="G37" s="37"/>
      <c r="H37" s="35"/>
      <c r="I37" s="38">
        <f>SUM(S30:S36)</f>
        <v>49.91</v>
      </c>
      <c r="J37" s="35">
        <f>Source!AU29</f>
        <v>46</v>
      </c>
      <c r="K37" s="38">
        <f>SUM(T30:T36)</f>
        <v>2744.81</v>
      </c>
    </row>
    <row r="38" spans="1:29" ht="14.25" x14ac:dyDescent="0.2">
      <c r="A38" s="41"/>
      <c r="B38" s="41"/>
      <c r="C38" s="41" t="s">
        <v>527</v>
      </c>
      <c r="D38" s="42" t="s">
        <v>528</v>
      </c>
      <c r="E38" s="43">
        <f>Source!AQ28</f>
        <v>29.96</v>
      </c>
      <c r="F38" s="44"/>
      <c r="G38" s="45" t="str">
        <f>Source!DI28</f>
        <v>*1,1</v>
      </c>
      <c r="H38" s="43">
        <f>Source!AV29</f>
        <v>1.0469999999999999</v>
      </c>
      <c r="I38" s="44">
        <f>Source!U28</f>
        <v>6.9009864000000007</v>
      </c>
      <c r="J38" s="43"/>
      <c r="K38" s="44"/>
    </row>
    <row r="39" spans="1:29" ht="15" x14ac:dyDescent="0.2">
      <c r="C39" s="46" t="s">
        <v>529</v>
      </c>
      <c r="H39" s="47">
        <f>I32+I33+I35+I36+I37+0</f>
        <v>256.56</v>
      </c>
      <c r="I39" s="47"/>
      <c r="J39" s="47">
        <f>K32+K33+K35+K36+K37+0</f>
        <v>14085.91</v>
      </c>
      <c r="K39" s="47"/>
      <c r="O39" s="48">
        <f>I32+I33+I35+I36+I37+0</f>
        <v>256.56</v>
      </c>
      <c r="P39" s="48">
        <f>K32+K33+K35+K36+K37+0</f>
        <v>14085.91</v>
      </c>
    </row>
    <row r="41" spans="1:29" ht="68.25" x14ac:dyDescent="0.2">
      <c r="A41" s="49">
        <v>2</v>
      </c>
      <c r="B41" s="49" t="str">
        <f>Source!F30</f>
        <v>КА 1</v>
      </c>
      <c r="C41" s="49" t="s">
        <v>530</v>
      </c>
      <c r="D41" s="50" t="str">
        <f>Source!H30</f>
        <v>шт.</v>
      </c>
      <c r="E41" s="51">
        <f>Source!I30</f>
        <v>20</v>
      </c>
      <c r="F41" s="52">
        <f>Source!AL30</f>
        <v>7314.21</v>
      </c>
      <c r="G41" s="53" t="str">
        <f>Source!DD30</f>
        <v/>
      </c>
      <c r="H41" s="51">
        <f>Source!AW31</f>
        <v>1</v>
      </c>
      <c r="I41" s="52">
        <f>Source!P30</f>
        <v>146284.20000000001</v>
      </c>
      <c r="J41" s="51">
        <f>IF(Source!BC31&lt;&gt; 0, Source!BC31, 1)</f>
        <v>7.66</v>
      </c>
      <c r="K41" s="52">
        <f>Source!P31</f>
        <v>1120536.97</v>
      </c>
      <c r="Q41">
        <f>Source!X30</f>
        <v>0</v>
      </c>
      <c r="R41">
        <f>Source!X31</f>
        <v>0</v>
      </c>
      <c r="S41">
        <f>Source!Y30</f>
        <v>0</v>
      </c>
      <c r="T41">
        <f>Source!Y31</f>
        <v>0</v>
      </c>
      <c r="U41">
        <f>ROUND((175/100)*ROUND(Source!R30, 2), 2)</f>
        <v>0</v>
      </c>
      <c r="V41">
        <f>ROUND((0/100)*ROUND(Source!R31, 2), 2)</f>
        <v>0</v>
      </c>
      <c r="AC41">
        <v>5</v>
      </c>
    </row>
    <row r="42" spans="1:29" ht="15" x14ac:dyDescent="0.2">
      <c r="A42" s="54"/>
      <c r="B42" s="54"/>
      <c r="C42" s="55" t="s">
        <v>529</v>
      </c>
      <c r="D42" s="54"/>
      <c r="E42" s="54"/>
      <c r="F42" s="54"/>
      <c r="G42" s="54"/>
      <c r="H42" s="56">
        <f>I41+0</f>
        <v>146284.20000000001</v>
      </c>
      <c r="I42" s="56"/>
      <c r="J42" s="56">
        <f>K41+0</f>
        <v>1120536.97</v>
      </c>
      <c r="K42" s="56"/>
      <c r="O42" s="48">
        <f>I41+0</f>
        <v>146284.20000000001</v>
      </c>
      <c r="P42" s="48">
        <f>K41+0</f>
        <v>1120536.97</v>
      </c>
    </row>
    <row r="44" spans="1:29" ht="78" x14ac:dyDescent="0.2">
      <c r="A44" s="34">
        <v>3</v>
      </c>
      <c r="B44" s="34" t="s">
        <v>531</v>
      </c>
      <c r="C44" s="34" t="s">
        <v>42</v>
      </c>
      <c r="D44" s="36" t="str">
        <f>Source!H32</f>
        <v>1  ШТ.</v>
      </c>
      <c r="E44" s="35">
        <f>Source!I32</f>
        <v>12</v>
      </c>
      <c r="F44" s="38"/>
      <c r="G44" s="37"/>
      <c r="H44" s="35"/>
      <c r="I44" s="38"/>
      <c r="J44" s="35"/>
      <c r="K44" s="38"/>
      <c r="Q44">
        <f>Source!X32</f>
        <v>557.12</v>
      </c>
      <c r="R44">
        <f>Source!X33</f>
        <v>30635.919999999998</v>
      </c>
      <c r="S44">
        <f>Source!Y32</f>
        <v>284.75</v>
      </c>
      <c r="T44">
        <f>Source!Y33</f>
        <v>15658.36</v>
      </c>
      <c r="U44">
        <f>ROUND((175/100)*ROUND(Source!R32, 2), 2)</f>
        <v>0.25</v>
      </c>
      <c r="V44">
        <f>ROUND((0/100)*ROUND(Source!R33, 2), 2)</f>
        <v>0</v>
      </c>
      <c r="AC44">
        <v>0</v>
      </c>
    </row>
    <row r="45" spans="1:29" ht="14.25" x14ac:dyDescent="0.2">
      <c r="A45" s="34"/>
      <c r="B45" s="34"/>
      <c r="C45" s="34" t="s">
        <v>520</v>
      </c>
      <c r="D45" s="36"/>
      <c r="E45" s="35"/>
      <c r="F45" s="38">
        <f>Source!AO32</f>
        <v>44.78</v>
      </c>
      <c r="G45" s="37" t="str">
        <f>Source!DG32</f>
        <v>*1,1</v>
      </c>
      <c r="H45" s="35">
        <f>Source!AV33</f>
        <v>1.0469999999999999</v>
      </c>
      <c r="I45" s="38">
        <f>Source!S32</f>
        <v>618.88</v>
      </c>
      <c r="J45" s="35">
        <f>IF(Source!BA33&lt;&gt; 0, Source!BA33, 1)</f>
        <v>54.99</v>
      </c>
      <c r="K45" s="38">
        <f>Source!S33</f>
        <v>34032.21</v>
      </c>
    </row>
    <row r="46" spans="1:29" ht="14.25" x14ac:dyDescent="0.2">
      <c r="A46" s="34"/>
      <c r="B46" s="34"/>
      <c r="C46" s="34" t="s">
        <v>521</v>
      </c>
      <c r="D46" s="36"/>
      <c r="E46" s="35"/>
      <c r="F46" s="38">
        <f>Source!AM32</f>
        <v>0.12</v>
      </c>
      <c r="G46" s="37" t="str">
        <f>Source!DE32</f>
        <v>*1,1</v>
      </c>
      <c r="H46" s="35">
        <f>Source!AV33</f>
        <v>1.0469999999999999</v>
      </c>
      <c r="I46" s="38">
        <f>Source!Q32</f>
        <v>1.66</v>
      </c>
      <c r="J46" s="35">
        <f>IF(Source!BB33&lt;&gt; 0, Source!BB33, 1)</f>
        <v>13.75</v>
      </c>
      <c r="K46" s="38">
        <f>Source!Q33</f>
        <v>22.83</v>
      </c>
    </row>
    <row r="47" spans="1:29" ht="14.25" x14ac:dyDescent="0.2">
      <c r="A47" s="34"/>
      <c r="B47" s="34"/>
      <c r="C47" s="34" t="s">
        <v>522</v>
      </c>
      <c r="D47" s="36"/>
      <c r="E47" s="35"/>
      <c r="F47" s="38">
        <f>Source!AN32</f>
        <v>0.01</v>
      </c>
      <c r="G47" s="37" t="str">
        <f>Source!DF32</f>
        <v>*1,1</v>
      </c>
      <c r="H47" s="35">
        <f>Source!AV33</f>
        <v>1.0469999999999999</v>
      </c>
      <c r="I47" s="40">
        <f>Source!R32</f>
        <v>0.14000000000000001</v>
      </c>
      <c r="J47" s="35">
        <f>IF(Source!BS33&lt;&gt; 0, Source!BS33, 1)</f>
        <v>54.99</v>
      </c>
      <c r="K47" s="40">
        <f>Source!R33</f>
        <v>7.7</v>
      </c>
    </row>
    <row r="48" spans="1:29" ht="14.25" x14ac:dyDescent="0.2">
      <c r="A48" s="34"/>
      <c r="B48" s="34"/>
      <c r="C48" s="34" t="s">
        <v>523</v>
      </c>
      <c r="D48" s="36"/>
      <c r="E48" s="35"/>
      <c r="F48" s="38">
        <f>Source!AL32</f>
        <v>6.44</v>
      </c>
      <c r="G48" s="37" t="str">
        <f>Source!DD32</f>
        <v>*1</v>
      </c>
      <c r="H48" s="35">
        <f>Source!AW33</f>
        <v>1</v>
      </c>
      <c r="I48" s="38">
        <f>Source!P32</f>
        <v>77.28</v>
      </c>
      <c r="J48" s="35">
        <f>IF(Source!BC33&lt;&gt; 0, Source!BC33, 1)</f>
        <v>9.89</v>
      </c>
      <c r="K48" s="38">
        <f>Source!P33</f>
        <v>764.3</v>
      </c>
    </row>
    <row r="49" spans="1:29" ht="14.25" x14ac:dyDescent="0.2">
      <c r="A49" s="34"/>
      <c r="B49" s="34"/>
      <c r="C49" s="34" t="s">
        <v>524</v>
      </c>
      <c r="D49" s="36" t="s">
        <v>525</v>
      </c>
      <c r="E49" s="35">
        <f>Source!BZ33</f>
        <v>90</v>
      </c>
      <c r="F49" s="38"/>
      <c r="G49" s="37"/>
      <c r="H49" s="35"/>
      <c r="I49" s="38">
        <f>SUM(Q44:Q48)</f>
        <v>557.12</v>
      </c>
      <c r="J49" s="35">
        <f>Source!AT33</f>
        <v>90</v>
      </c>
      <c r="K49" s="38">
        <f>SUM(R44:R48)</f>
        <v>30635.919999999998</v>
      </c>
    </row>
    <row r="50" spans="1:29" ht="14.25" x14ac:dyDescent="0.2">
      <c r="A50" s="34"/>
      <c r="B50" s="34"/>
      <c r="C50" s="34" t="s">
        <v>526</v>
      </c>
      <c r="D50" s="36" t="s">
        <v>525</v>
      </c>
      <c r="E50" s="35">
        <f>Source!CA33</f>
        <v>46</v>
      </c>
      <c r="F50" s="38"/>
      <c r="G50" s="37"/>
      <c r="H50" s="35"/>
      <c r="I50" s="38">
        <f>SUM(S44:S49)</f>
        <v>284.75</v>
      </c>
      <c r="J50" s="35">
        <f>Source!AU33</f>
        <v>46</v>
      </c>
      <c r="K50" s="38">
        <f>SUM(T44:T49)</f>
        <v>15658.36</v>
      </c>
    </row>
    <row r="51" spans="1:29" ht="14.25" x14ac:dyDescent="0.2">
      <c r="A51" s="41"/>
      <c r="B51" s="41"/>
      <c r="C51" s="41" t="s">
        <v>527</v>
      </c>
      <c r="D51" s="42" t="s">
        <v>528</v>
      </c>
      <c r="E51" s="43">
        <f>Source!AQ32</f>
        <v>3.3</v>
      </c>
      <c r="F51" s="44"/>
      <c r="G51" s="45" t="str">
        <f>Source!DI32</f>
        <v>*1,1</v>
      </c>
      <c r="H51" s="43">
        <f>Source!AV33</f>
        <v>1.0469999999999999</v>
      </c>
      <c r="I51" s="44">
        <f>Source!U32</f>
        <v>45.607320000000001</v>
      </c>
      <c r="J51" s="43"/>
      <c r="K51" s="44"/>
    </row>
    <row r="52" spans="1:29" ht="15" x14ac:dyDescent="0.2">
      <c r="C52" s="46" t="s">
        <v>529</v>
      </c>
      <c r="H52" s="47">
        <f>I45+I46+I48+I49+I50+0</f>
        <v>1539.69</v>
      </c>
      <c r="I52" s="47"/>
      <c r="J52" s="47">
        <f>K45+K46+K48+K49+K50+0</f>
        <v>81113.62</v>
      </c>
      <c r="K52" s="47"/>
      <c r="O52" s="48">
        <f>I45+I46+I48+I49+I50+0</f>
        <v>1539.69</v>
      </c>
      <c r="P52" s="48">
        <f>K45+K46+K48+K49+K50+0</f>
        <v>81113.62</v>
      </c>
    </row>
    <row r="54" spans="1:29" ht="68.25" x14ac:dyDescent="0.2">
      <c r="A54" s="49">
        <v>4</v>
      </c>
      <c r="B54" s="49" t="str">
        <f>Source!F34</f>
        <v>КА 2</v>
      </c>
      <c r="C54" s="49" t="s">
        <v>532</v>
      </c>
      <c r="D54" s="50" t="str">
        <f>Source!H34</f>
        <v>шт.</v>
      </c>
      <c r="E54" s="51">
        <f>Source!I34</f>
        <v>12</v>
      </c>
      <c r="F54" s="52">
        <f>Source!AL34</f>
        <v>1803.0400000000002</v>
      </c>
      <c r="G54" s="53" t="str">
        <f>Source!DD34</f>
        <v/>
      </c>
      <c r="H54" s="51">
        <f>Source!AW35</f>
        <v>1</v>
      </c>
      <c r="I54" s="52">
        <f>Source!P34</f>
        <v>21636.48</v>
      </c>
      <c r="J54" s="51">
        <f>IF(Source!BC35&lt;&gt; 0, Source!BC35, 1)</f>
        <v>7.66</v>
      </c>
      <c r="K54" s="52">
        <f>Source!P35</f>
        <v>165735.44</v>
      </c>
      <c r="Q54">
        <f>Source!X34</f>
        <v>0</v>
      </c>
      <c r="R54">
        <f>Source!X35</f>
        <v>0</v>
      </c>
      <c r="S54">
        <f>Source!Y34</f>
        <v>0</v>
      </c>
      <c r="T54">
        <f>Source!Y35</f>
        <v>0</v>
      </c>
      <c r="U54">
        <f>ROUND((175/100)*ROUND(Source!R34, 2), 2)</f>
        <v>0</v>
      </c>
      <c r="V54">
        <f>ROUND((0/100)*ROUND(Source!R35, 2), 2)</f>
        <v>0</v>
      </c>
      <c r="AC54">
        <v>5</v>
      </c>
    </row>
    <row r="55" spans="1:29" ht="15" x14ac:dyDescent="0.2">
      <c r="A55" s="54"/>
      <c r="B55" s="54"/>
      <c r="C55" s="55" t="s">
        <v>529</v>
      </c>
      <c r="D55" s="54"/>
      <c r="E55" s="54"/>
      <c r="F55" s="54"/>
      <c r="G55" s="54"/>
      <c r="H55" s="56">
        <f>I54+0</f>
        <v>21636.48</v>
      </c>
      <c r="I55" s="56"/>
      <c r="J55" s="56">
        <f>K54+0</f>
        <v>165735.44</v>
      </c>
      <c r="K55" s="56"/>
      <c r="O55" s="48">
        <f>I54+0</f>
        <v>21636.48</v>
      </c>
      <c r="P55" s="48">
        <f>K54+0</f>
        <v>165735.44</v>
      </c>
    </row>
    <row r="57" spans="1:29" ht="78" x14ac:dyDescent="0.2">
      <c r="A57" s="34">
        <v>5</v>
      </c>
      <c r="B57" s="34" t="s">
        <v>531</v>
      </c>
      <c r="C57" s="34" t="s">
        <v>42</v>
      </c>
      <c r="D57" s="36" t="str">
        <f>Source!H36</f>
        <v>1  ШТ.</v>
      </c>
      <c r="E57" s="35">
        <f>Source!I36</f>
        <v>15</v>
      </c>
      <c r="F57" s="38"/>
      <c r="G57" s="37"/>
      <c r="H57" s="35"/>
      <c r="I57" s="38"/>
      <c r="J57" s="35"/>
      <c r="K57" s="38"/>
      <c r="Q57">
        <f>Source!X36</f>
        <v>696.39</v>
      </c>
      <c r="R57">
        <f>Source!X37</f>
        <v>38294.65</v>
      </c>
      <c r="S57">
        <f>Source!Y36</f>
        <v>355.93</v>
      </c>
      <c r="T57">
        <f>Source!Y37</f>
        <v>19572.82</v>
      </c>
      <c r="U57">
        <f>ROUND((175/100)*ROUND(Source!R36, 2), 2)</f>
        <v>0.3</v>
      </c>
      <c r="V57">
        <f>ROUND((0/100)*ROUND(Source!R37, 2), 2)</f>
        <v>0</v>
      </c>
      <c r="AC57">
        <v>0</v>
      </c>
    </row>
    <row r="58" spans="1:29" ht="14.25" x14ac:dyDescent="0.2">
      <c r="A58" s="34"/>
      <c r="B58" s="34"/>
      <c r="C58" s="34" t="s">
        <v>520</v>
      </c>
      <c r="D58" s="36"/>
      <c r="E58" s="35"/>
      <c r="F58" s="38">
        <f>Source!AO36</f>
        <v>44.78</v>
      </c>
      <c r="G58" s="37" t="str">
        <f>Source!DG36</f>
        <v>*1,1</v>
      </c>
      <c r="H58" s="35">
        <f>Source!AV37</f>
        <v>1.0469999999999999</v>
      </c>
      <c r="I58" s="38">
        <f>Source!S36</f>
        <v>773.6</v>
      </c>
      <c r="J58" s="35">
        <f>IF(Source!BA37&lt;&gt; 0, Source!BA37, 1)</f>
        <v>54.99</v>
      </c>
      <c r="K58" s="38">
        <f>Source!S37</f>
        <v>42540.26</v>
      </c>
    </row>
    <row r="59" spans="1:29" ht="14.25" x14ac:dyDescent="0.2">
      <c r="A59" s="34"/>
      <c r="B59" s="34"/>
      <c r="C59" s="34" t="s">
        <v>521</v>
      </c>
      <c r="D59" s="36"/>
      <c r="E59" s="35"/>
      <c r="F59" s="38">
        <f>Source!AM36</f>
        <v>0.12</v>
      </c>
      <c r="G59" s="37" t="str">
        <f>Source!DE36</f>
        <v>*1,1</v>
      </c>
      <c r="H59" s="35">
        <f>Source!AV37</f>
        <v>1.0469999999999999</v>
      </c>
      <c r="I59" s="38">
        <f>Source!Q36</f>
        <v>2.0699999999999998</v>
      </c>
      <c r="J59" s="35">
        <f>IF(Source!BB37&lt;&gt; 0, Source!BB37, 1)</f>
        <v>13.75</v>
      </c>
      <c r="K59" s="38">
        <f>Source!Q37</f>
        <v>28.46</v>
      </c>
    </row>
    <row r="60" spans="1:29" ht="14.25" x14ac:dyDescent="0.2">
      <c r="A60" s="34"/>
      <c r="B60" s="34"/>
      <c r="C60" s="34" t="s">
        <v>522</v>
      </c>
      <c r="D60" s="36"/>
      <c r="E60" s="35"/>
      <c r="F60" s="38">
        <f>Source!AN36</f>
        <v>0.01</v>
      </c>
      <c r="G60" s="37" t="str">
        <f>Source!DF36</f>
        <v>*1,1</v>
      </c>
      <c r="H60" s="35">
        <f>Source!AV37</f>
        <v>1.0469999999999999</v>
      </c>
      <c r="I60" s="40">
        <f>Source!R36</f>
        <v>0.17</v>
      </c>
      <c r="J60" s="35">
        <f>IF(Source!BS37&lt;&gt; 0, Source!BS37, 1)</f>
        <v>54.99</v>
      </c>
      <c r="K60" s="40">
        <f>Source!R37</f>
        <v>9.35</v>
      </c>
    </row>
    <row r="61" spans="1:29" ht="14.25" x14ac:dyDescent="0.2">
      <c r="A61" s="34"/>
      <c r="B61" s="34"/>
      <c r="C61" s="34" t="s">
        <v>523</v>
      </c>
      <c r="D61" s="36"/>
      <c r="E61" s="35"/>
      <c r="F61" s="38">
        <f>Source!AL36</f>
        <v>6.44</v>
      </c>
      <c r="G61" s="37" t="str">
        <f>Source!DD36</f>
        <v>*1</v>
      </c>
      <c r="H61" s="35">
        <f>Source!AW37</f>
        <v>1</v>
      </c>
      <c r="I61" s="38">
        <f>Source!P36</f>
        <v>96.6</v>
      </c>
      <c r="J61" s="35">
        <f>IF(Source!BC37&lt;&gt; 0, Source!BC37, 1)</f>
        <v>9.89</v>
      </c>
      <c r="K61" s="38">
        <f>Source!P37</f>
        <v>955.37</v>
      </c>
    </row>
    <row r="62" spans="1:29" ht="14.25" x14ac:dyDescent="0.2">
      <c r="A62" s="34"/>
      <c r="B62" s="34"/>
      <c r="C62" s="34" t="s">
        <v>524</v>
      </c>
      <c r="D62" s="36" t="s">
        <v>525</v>
      </c>
      <c r="E62" s="35">
        <f>Source!BZ37</f>
        <v>90</v>
      </c>
      <c r="F62" s="38"/>
      <c r="G62" s="37"/>
      <c r="H62" s="35"/>
      <c r="I62" s="38">
        <f>SUM(Q57:Q61)</f>
        <v>696.39</v>
      </c>
      <c r="J62" s="35">
        <f>Source!AT37</f>
        <v>90</v>
      </c>
      <c r="K62" s="38">
        <f>SUM(R57:R61)</f>
        <v>38294.65</v>
      </c>
    </row>
    <row r="63" spans="1:29" ht="14.25" x14ac:dyDescent="0.2">
      <c r="A63" s="34"/>
      <c r="B63" s="34"/>
      <c r="C63" s="34" t="s">
        <v>526</v>
      </c>
      <c r="D63" s="36" t="s">
        <v>525</v>
      </c>
      <c r="E63" s="35">
        <f>Source!CA37</f>
        <v>46</v>
      </c>
      <c r="F63" s="38"/>
      <c r="G63" s="37"/>
      <c r="H63" s="35"/>
      <c r="I63" s="38">
        <f>SUM(S57:S62)</f>
        <v>355.93</v>
      </c>
      <c r="J63" s="35">
        <f>Source!AU37</f>
        <v>46</v>
      </c>
      <c r="K63" s="38">
        <f>SUM(T57:T62)</f>
        <v>19572.82</v>
      </c>
    </row>
    <row r="64" spans="1:29" ht="14.25" x14ac:dyDescent="0.2">
      <c r="A64" s="41"/>
      <c r="B64" s="41"/>
      <c r="C64" s="41" t="s">
        <v>527</v>
      </c>
      <c r="D64" s="42" t="s">
        <v>528</v>
      </c>
      <c r="E64" s="43">
        <f>Source!AQ36</f>
        <v>3.3</v>
      </c>
      <c r="F64" s="44"/>
      <c r="G64" s="45" t="str">
        <f>Source!DI36</f>
        <v>*1,1</v>
      </c>
      <c r="H64" s="43">
        <f>Source!AV37</f>
        <v>1.0469999999999999</v>
      </c>
      <c r="I64" s="44">
        <f>Source!U36</f>
        <v>57.009149999999998</v>
      </c>
      <c r="J64" s="43"/>
      <c r="K64" s="44"/>
    </row>
    <row r="65" spans="1:29" ht="15" x14ac:dyDescent="0.2">
      <c r="C65" s="46" t="s">
        <v>529</v>
      </c>
      <c r="H65" s="47">
        <f>I58+I59+I61+I62+I63+0</f>
        <v>1924.5900000000001</v>
      </c>
      <c r="I65" s="47"/>
      <c r="J65" s="47">
        <f>K58+K59+K61+K62+K63+0</f>
        <v>101391.56</v>
      </c>
      <c r="K65" s="47"/>
      <c r="O65" s="48">
        <f>I58+I59+I61+I62+I63+0</f>
        <v>1924.5900000000001</v>
      </c>
      <c r="P65" s="48">
        <f>K58+K59+K61+K62+K63+0</f>
        <v>101391.56</v>
      </c>
    </row>
    <row r="67" spans="1:29" ht="68.25" x14ac:dyDescent="0.2">
      <c r="A67" s="49">
        <v>6</v>
      </c>
      <c r="B67" s="49" t="str">
        <f>Source!F38</f>
        <v>КА 3</v>
      </c>
      <c r="C67" s="49" t="s">
        <v>533</v>
      </c>
      <c r="D67" s="50" t="str">
        <f>Source!H38</f>
        <v>шт.</v>
      </c>
      <c r="E67" s="51">
        <f>Source!I38</f>
        <v>15</v>
      </c>
      <c r="F67" s="52">
        <f>Source!AL38</f>
        <v>7409.4699999999993</v>
      </c>
      <c r="G67" s="53" t="str">
        <f>Source!DD38</f>
        <v/>
      </c>
      <c r="H67" s="51">
        <f>Source!AW39</f>
        <v>1</v>
      </c>
      <c r="I67" s="52">
        <f>Source!P38</f>
        <v>111142.05</v>
      </c>
      <c r="J67" s="51">
        <f>IF(Source!BC39&lt;&gt; 0, Source!BC39, 1)</f>
        <v>7.66</v>
      </c>
      <c r="K67" s="52">
        <f>Source!P39</f>
        <v>851348.1</v>
      </c>
      <c r="Q67">
        <f>Source!X38</f>
        <v>0</v>
      </c>
      <c r="R67">
        <f>Source!X39</f>
        <v>0</v>
      </c>
      <c r="S67">
        <f>Source!Y38</f>
        <v>0</v>
      </c>
      <c r="T67">
        <f>Source!Y39</f>
        <v>0</v>
      </c>
      <c r="U67">
        <f>ROUND((175/100)*ROUND(Source!R38, 2), 2)</f>
        <v>0</v>
      </c>
      <c r="V67">
        <f>ROUND((0/100)*ROUND(Source!R39, 2), 2)</f>
        <v>0</v>
      </c>
      <c r="AC67">
        <v>5</v>
      </c>
    </row>
    <row r="68" spans="1:29" ht="15" x14ac:dyDescent="0.2">
      <c r="A68" s="54"/>
      <c r="B68" s="54"/>
      <c r="C68" s="55" t="s">
        <v>529</v>
      </c>
      <c r="D68" s="54"/>
      <c r="E68" s="54"/>
      <c r="F68" s="54"/>
      <c r="G68" s="54"/>
      <c r="H68" s="56">
        <f>I67+0</f>
        <v>111142.05</v>
      </c>
      <c r="I68" s="56"/>
      <c r="J68" s="56">
        <f>K67+0</f>
        <v>851348.1</v>
      </c>
      <c r="K68" s="56"/>
      <c r="O68" s="48">
        <f>I67+0</f>
        <v>111142.05</v>
      </c>
      <c r="P68" s="48">
        <f>K67+0</f>
        <v>851348.1</v>
      </c>
    </row>
    <row r="70" spans="1:29" ht="78" x14ac:dyDescent="0.2">
      <c r="A70" s="34">
        <v>7</v>
      </c>
      <c r="B70" s="34" t="s">
        <v>534</v>
      </c>
      <c r="C70" s="34" t="s">
        <v>56</v>
      </c>
      <c r="D70" s="36" t="str">
        <f>Source!H40</f>
        <v>1  ШТ.</v>
      </c>
      <c r="E70" s="35">
        <f>Source!I40</f>
        <v>27</v>
      </c>
      <c r="F70" s="38"/>
      <c r="G70" s="37"/>
      <c r="H70" s="35"/>
      <c r="I70" s="38"/>
      <c r="J70" s="35"/>
      <c r="K70" s="38"/>
      <c r="Q70">
        <f>Source!X40</f>
        <v>176.88</v>
      </c>
      <c r="R70">
        <f>Source!X41</f>
        <v>9726.4599999999991</v>
      </c>
      <c r="S70">
        <f>Source!Y40</f>
        <v>90.4</v>
      </c>
      <c r="T70">
        <f>Source!Y41</f>
        <v>4971.3</v>
      </c>
      <c r="U70">
        <f>ROUND((175/100)*ROUND(Source!R40, 2), 2)</f>
        <v>20.14</v>
      </c>
      <c r="V70">
        <f>ROUND((0/100)*ROUND(Source!R41, 2), 2)</f>
        <v>0</v>
      </c>
      <c r="AC70">
        <v>0</v>
      </c>
    </row>
    <row r="71" spans="1:29" ht="14.25" x14ac:dyDescent="0.2">
      <c r="A71" s="34"/>
      <c r="B71" s="34"/>
      <c r="C71" s="34" t="s">
        <v>520</v>
      </c>
      <c r="D71" s="36"/>
      <c r="E71" s="35"/>
      <c r="F71" s="38">
        <f>Source!AO40</f>
        <v>5.95</v>
      </c>
      <c r="G71" s="37" t="str">
        <f>Source!DG40</f>
        <v>*1,1</v>
      </c>
      <c r="H71" s="35">
        <f>Source!AV41</f>
        <v>1.0469999999999999</v>
      </c>
      <c r="I71" s="38">
        <f>Source!S40</f>
        <v>185.02</v>
      </c>
      <c r="J71" s="35">
        <f>IF(Source!BA41&lt;&gt; 0, Source!BA41, 1)</f>
        <v>54.99</v>
      </c>
      <c r="K71" s="38">
        <f>Source!S41</f>
        <v>10174.25</v>
      </c>
    </row>
    <row r="72" spans="1:29" ht="14.25" x14ac:dyDescent="0.2">
      <c r="A72" s="34"/>
      <c r="B72" s="34"/>
      <c r="C72" s="34" t="s">
        <v>521</v>
      </c>
      <c r="D72" s="36"/>
      <c r="E72" s="35"/>
      <c r="F72" s="38">
        <f>Source!AM40</f>
        <v>1.76</v>
      </c>
      <c r="G72" s="37" t="str">
        <f>Source!DE40</f>
        <v>*1,1</v>
      </c>
      <c r="H72" s="35">
        <f>Source!AV41</f>
        <v>1.0469999999999999</v>
      </c>
      <c r="I72" s="38">
        <f>Source!Q40</f>
        <v>54.73</v>
      </c>
      <c r="J72" s="35">
        <f>IF(Source!BB41&lt;&gt; 0, Source!BB41, 1)</f>
        <v>20.59</v>
      </c>
      <c r="K72" s="38">
        <f>Source!Q41</f>
        <v>1126.8900000000001</v>
      </c>
    </row>
    <row r="73" spans="1:29" ht="14.25" x14ac:dyDescent="0.2">
      <c r="A73" s="34"/>
      <c r="B73" s="34"/>
      <c r="C73" s="34" t="s">
        <v>522</v>
      </c>
      <c r="D73" s="36"/>
      <c r="E73" s="35"/>
      <c r="F73" s="38">
        <f>Source!AN40</f>
        <v>0.37</v>
      </c>
      <c r="G73" s="37" t="str">
        <f>Source!DF40</f>
        <v>*1,1</v>
      </c>
      <c r="H73" s="35">
        <f>Source!AV41</f>
        <v>1.0469999999999999</v>
      </c>
      <c r="I73" s="40">
        <f>Source!R40</f>
        <v>11.51</v>
      </c>
      <c r="J73" s="35">
        <f>IF(Source!BS41&lt;&gt; 0, Source!BS41, 1)</f>
        <v>54.99</v>
      </c>
      <c r="K73" s="40">
        <f>Source!R41</f>
        <v>632.92999999999995</v>
      </c>
    </row>
    <row r="74" spans="1:29" ht="14.25" x14ac:dyDescent="0.2">
      <c r="A74" s="34"/>
      <c r="B74" s="34"/>
      <c r="C74" s="34" t="s">
        <v>523</v>
      </c>
      <c r="D74" s="36"/>
      <c r="E74" s="35"/>
      <c r="F74" s="38">
        <f>Source!AL40</f>
        <v>35.58</v>
      </c>
      <c r="G74" s="37" t="str">
        <f>Source!DD40</f>
        <v>*1</v>
      </c>
      <c r="H74" s="35">
        <f>Source!AW41</f>
        <v>1</v>
      </c>
      <c r="I74" s="38">
        <f>Source!P40</f>
        <v>960.66</v>
      </c>
      <c r="J74" s="35">
        <f>IF(Source!BC41&lt;&gt; 0, Source!BC41, 1)</f>
        <v>10.76</v>
      </c>
      <c r="K74" s="38">
        <f>Source!P41</f>
        <v>10336.700000000001</v>
      </c>
    </row>
    <row r="75" spans="1:29" ht="14.25" x14ac:dyDescent="0.2">
      <c r="A75" s="34"/>
      <c r="B75" s="34"/>
      <c r="C75" s="34" t="s">
        <v>524</v>
      </c>
      <c r="D75" s="36" t="s">
        <v>525</v>
      </c>
      <c r="E75" s="35">
        <f>Source!BZ41</f>
        <v>90</v>
      </c>
      <c r="F75" s="38"/>
      <c r="G75" s="37"/>
      <c r="H75" s="35"/>
      <c r="I75" s="38">
        <f>SUM(Q70:Q74)</f>
        <v>176.88</v>
      </c>
      <c r="J75" s="35">
        <f>Source!AT41</f>
        <v>90</v>
      </c>
      <c r="K75" s="38">
        <f>SUM(R70:R74)</f>
        <v>9726.4599999999991</v>
      </c>
    </row>
    <row r="76" spans="1:29" ht="14.25" x14ac:dyDescent="0.2">
      <c r="A76" s="34"/>
      <c r="B76" s="34"/>
      <c r="C76" s="34" t="s">
        <v>526</v>
      </c>
      <c r="D76" s="36" t="s">
        <v>525</v>
      </c>
      <c r="E76" s="35">
        <f>Source!CA41</f>
        <v>46</v>
      </c>
      <c r="F76" s="38"/>
      <c r="G76" s="37"/>
      <c r="H76" s="35"/>
      <c r="I76" s="38">
        <f>SUM(S70:S75)</f>
        <v>90.4</v>
      </c>
      <c r="J76" s="35">
        <f>Source!AU41</f>
        <v>46</v>
      </c>
      <c r="K76" s="38">
        <f>SUM(T70:T75)</f>
        <v>4971.3</v>
      </c>
    </row>
    <row r="77" spans="1:29" ht="14.25" x14ac:dyDescent="0.2">
      <c r="A77" s="41"/>
      <c r="B77" s="41"/>
      <c r="C77" s="41" t="s">
        <v>527</v>
      </c>
      <c r="D77" s="42" t="s">
        <v>528</v>
      </c>
      <c r="E77" s="43">
        <f>Source!AQ40</f>
        <v>0.52</v>
      </c>
      <c r="F77" s="44"/>
      <c r="G77" s="45" t="str">
        <f>Source!DI40</f>
        <v>*1,1</v>
      </c>
      <c r="H77" s="43">
        <f>Source!AV41</f>
        <v>1.0469999999999999</v>
      </c>
      <c r="I77" s="44">
        <f>Source!U40</f>
        <v>16.169868000000001</v>
      </c>
      <c r="J77" s="43"/>
      <c r="K77" s="44"/>
    </row>
    <row r="78" spans="1:29" ht="15" x14ac:dyDescent="0.2">
      <c r="C78" s="46" t="s">
        <v>529</v>
      </c>
      <c r="H78" s="47">
        <f>I71+I72+I74+I75+I76+0</f>
        <v>1467.69</v>
      </c>
      <c r="I78" s="47"/>
      <c r="J78" s="47">
        <f>K71+K72+K74+K75+K76+0</f>
        <v>36335.599999999999</v>
      </c>
      <c r="K78" s="47"/>
      <c r="O78" s="48">
        <f>I71+I72+I74+I75+I76+0</f>
        <v>1467.69</v>
      </c>
      <c r="P78" s="48">
        <f>K71+K72+K74+K75+K76+0</f>
        <v>36335.599999999999</v>
      </c>
    </row>
    <row r="80" spans="1:29" ht="68.25" x14ac:dyDescent="0.2">
      <c r="A80" s="49">
        <v>8</v>
      </c>
      <c r="B80" s="49" t="str">
        <f>Source!F42</f>
        <v>КА 4</v>
      </c>
      <c r="C80" s="49" t="s">
        <v>535</v>
      </c>
      <c r="D80" s="50" t="str">
        <f>Source!H42</f>
        <v>шт.</v>
      </c>
      <c r="E80" s="51">
        <f>Source!I42</f>
        <v>27</v>
      </c>
      <c r="F80" s="52">
        <f>Source!AL42</f>
        <v>1608.4399999999998</v>
      </c>
      <c r="G80" s="53" t="str">
        <f>Source!DD42</f>
        <v/>
      </c>
      <c r="H80" s="51">
        <f>Source!AW43</f>
        <v>1</v>
      </c>
      <c r="I80" s="52">
        <f>Source!P42</f>
        <v>43427.88</v>
      </c>
      <c r="J80" s="51">
        <f>IF(Source!BC43&lt;&gt; 0, Source!BC43, 1)</f>
        <v>7.66</v>
      </c>
      <c r="K80" s="52">
        <f>Source!P43</f>
        <v>332657.56</v>
      </c>
      <c r="Q80">
        <f>Source!X42</f>
        <v>0</v>
      </c>
      <c r="R80">
        <f>Source!X43</f>
        <v>0</v>
      </c>
      <c r="S80">
        <f>Source!Y42</f>
        <v>0</v>
      </c>
      <c r="T80">
        <f>Source!Y43</f>
        <v>0</v>
      </c>
      <c r="U80">
        <f>ROUND((175/100)*ROUND(Source!R42, 2), 2)</f>
        <v>0</v>
      </c>
      <c r="V80">
        <f>ROUND((0/100)*ROUND(Source!R43, 2), 2)</f>
        <v>0</v>
      </c>
      <c r="AC80">
        <v>5</v>
      </c>
    </row>
    <row r="81" spans="1:29" ht="15" x14ac:dyDescent="0.2">
      <c r="A81" s="54"/>
      <c r="B81" s="54"/>
      <c r="C81" s="55" t="s">
        <v>529</v>
      </c>
      <c r="D81" s="54"/>
      <c r="E81" s="54"/>
      <c r="F81" s="54"/>
      <c r="G81" s="54"/>
      <c r="H81" s="56">
        <f>I80+0</f>
        <v>43427.88</v>
      </c>
      <c r="I81" s="56"/>
      <c r="J81" s="56">
        <f>K80+0</f>
        <v>332657.56</v>
      </c>
      <c r="K81" s="56"/>
      <c r="O81" s="48">
        <f>I80+0</f>
        <v>43427.88</v>
      </c>
      <c r="P81" s="48">
        <f>K80+0</f>
        <v>332657.56</v>
      </c>
    </row>
    <row r="83" spans="1:29" ht="78" x14ac:dyDescent="0.2">
      <c r="A83" s="34">
        <v>9</v>
      </c>
      <c r="B83" s="34" t="s">
        <v>536</v>
      </c>
      <c r="C83" s="34" t="s">
        <v>66</v>
      </c>
      <c r="D83" s="36" t="str">
        <f>Source!H44</f>
        <v>1  ШТ.</v>
      </c>
      <c r="E83" s="35">
        <f>Source!I44</f>
        <v>42</v>
      </c>
      <c r="F83" s="38"/>
      <c r="G83" s="37"/>
      <c r="H83" s="35"/>
      <c r="I83" s="38"/>
      <c r="J83" s="35"/>
      <c r="K83" s="38"/>
      <c r="Q83">
        <f>Source!X44</f>
        <v>461.47</v>
      </c>
      <c r="R83">
        <f>Source!X45</f>
        <v>25376.01</v>
      </c>
      <c r="S83">
        <f>Source!Y44</f>
        <v>235.86</v>
      </c>
      <c r="T83">
        <f>Source!Y45</f>
        <v>12969.96</v>
      </c>
      <c r="U83">
        <f>ROUND((175/100)*ROUND(Source!R44, 2), 2)</f>
        <v>0</v>
      </c>
      <c r="V83">
        <f>ROUND((0/100)*ROUND(Source!R45, 2), 2)</f>
        <v>0</v>
      </c>
      <c r="AC83">
        <v>0</v>
      </c>
    </row>
    <row r="84" spans="1:29" x14ac:dyDescent="0.2">
      <c r="C84" s="39" t="str">
        <f>"Объем: "&amp;Source!I44&amp;"=38+"&amp;"4"</f>
        <v>Объем: 42=38+4</v>
      </c>
    </row>
    <row r="85" spans="1:29" ht="14.25" x14ac:dyDescent="0.2">
      <c r="A85" s="34"/>
      <c r="B85" s="34"/>
      <c r="C85" s="34" t="s">
        <v>520</v>
      </c>
      <c r="D85" s="36"/>
      <c r="E85" s="35"/>
      <c r="F85" s="38">
        <f>Source!AO44</f>
        <v>10.6</v>
      </c>
      <c r="G85" s="37" t="str">
        <f>Source!DG44</f>
        <v>*1,1</v>
      </c>
      <c r="H85" s="35">
        <f>Source!AV45</f>
        <v>1.0469999999999999</v>
      </c>
      <c r="I85" s="38">
        <f>Source!S44</f>
        <v>512.74</v>
      </c>
      <c r="J85" s="35">
        <f>IF(Source!BA45&lt;&gt; 0, Source!BA45, 1)</f>
        <v>54.99</v>
      </c>
      <c r="K85" s="38">
        <f>Source!S45</f>
        <v>28195.57</v>
      </c>
    </row>
    <row r="86" spans="1:29" ht="14.25" x14ac:dyDescent="0.2">
      <c r="A86" s="34"/>
      <c r="B86" s="34"/>
      <c r="C86" s="34" t="s">
        <v>523</v>
      </c>
      <c r="D86" s="36"/>
      <c r="E86" s="35"/>
      <c r="F86" s="38">
        <f>Source!AL44</f>
        <v>1.05</v>
      </c>
      <c r="G86" s="37" t="str">
        <f>Source!DD44</f>
        <v>*1</v>
      </c>
      <c r="H86" s="35">
        <f>Source!AW45</f>
        <v>1</v>
      </c>
      <c r="I86" s="38">
        <f>Source!P44</f>
        <v>44.1</v>
      </c>
      <c r="J86" s="35">
        <f>IF(Source!BC45&lt;&gt; 0, Source!BC45, 1)</f>
        <v>9.89</v>
      </c>
      <c r="K86" s="38">
        <f>Source!P45</f>
        <v>436.15</v>
      </c>
    </row>
    <row r="87" spans="1:29" ht="14.25" x14ac:dyDescent="0.2">
      <c r="A87" s="34"/>
      <c r="B87" s="34"/>
      <c r="C87" s="34" t="s">
        <v>524</v>
      </c>
      <c r="D87" s="36" t="s">
        <v>525</v>
      </c>
      <c r="E87" s="35">
        <f>Source!BZ45</f>
        <v>90</v>
      </c>
      <c r="F87" s="38"/>
      <c r="G87" s="37"/>
      <c r="H87" s="35"/>
      <c r="I87" s="38">
        <f>SUM(Q83:Q86)</f>
        <v>461.47</v>
      </c>
      <c r="J87" s="35">
        <f>Source!AT45</f>
        <v>90</v>
      </c>
      <c r="K87" s="38">
        <f>SUM(R83:R86)</f>
        <v>25376.01</v>
      </c>
    </row>
    <row r="88" spans="1:29" ht="14.25" x14ac:dyDescent="0.2">
      <c r="A88" s="34"/>
      <c r="B88" s="34"/>
      <c r="C88" s="34" t="s">
        <v>526</v>
      </c>
      <c r="D88" s="36" t="s">
        <v>525</v>
      </c>
      <c r="E88" s="35">
        <f>Source!CA45</f>
        <v>46</v>
      </c>
      <c r="F88" s="38"/>
      <c r="G88" s="37"/>
      <c r="H88" s="35"/>
      <c r="I88" s="38">
        <f>SUM(S83:S87)</f>
        <v>235.86</v>
      </c>
      <c r="J88" s="35">
        <f>Source!AU45</f>
        <v>46</v>
      </c>
      <c r="K88" s="38">
        <f>SUM(T83:T87)</f>
        <v>12969.96</v>
      </c>
    </row>
    <row r="89" spans="1:29" ht="14.25" x14ac:dyDescent="0.2">
      <c r="A89" s="41"/>
      <c r="B89" s="41"/>
      <c r="C89" s="41" t="s">
        <v>527</v>
      </c>
      <c r="D89" s="42" t="s">
        <v>528</v>
      </c>
      <c r="E89" s="43">
        <f>Source!AQ44</f>
        <v>0.84</v>
      </c>
      <c r="F89" s="44"/>
      <c r="G89" s="45" t="str">
        <f>Source!DI44</f>
        <v>*1,1</v>
      </c>
      <c r="H89" s="43">
        <f>Source!AV45</f>
        <v>1.0469999999999999</v>
      </c>
      <c r="I89" s="44">
        <f>Source!U44</f>
        <v>40.631975999999995</v>
      </c>
      <c r="J89" s="43"/>
      <c r="K89" s="44"/>
    </row>
    <row r="90" spans="1:29" ht="15" x14ac:dyDescent="0.2">
      <c r="C90" s="46" t="s">
        <v>529</v>
      </c>
      <c r="H90" s="47">
        <f>I85+I86+I87+I88+0</f>
        <v>1254.17</v>
      </c>
      <c r="I90" s="47"/>
      <c r="J90" s="47">
        <f>K85+K86+K87+K88+0</f>
        <v>66977.69</v>
      </c>
      <c r="K90" s="47"/>
      <c r="O90" s="48">
        <f>I85+I86+I87+I88+0</f>
        <v>1254.17</v>
      </c>
      <c r="P90" s="48">
        <f>K85+K86+K87+K88+0</f>
        <v>66977.69</v>
      </c>
    </row>
    <row r="92" spans="1:29" ht="82.5" x14ac:dyDescent="0.2">
      <c r="A92" s="49">
        <v>10</v>
      </c>
      <c r="B92" s="49" t="str">
        <f>Source!F46</f>
        <v>КА 5</v>
      </c>
      <c r="C92" s="49" t="s">
        <v>537</v>
      </c>
      <c r="D92" s="50" t="str">
        <f>Source!H46</f>
        <v>шт.</v>
      </c>
      <c r="E92" s="51">
        <f>Source!I46</f>
        <v>38</v>
      </c>
      <c r="F92" s="52">
        <f>Source!AL46</f>
        <v>47.18</v>
      </c>
      <c r="G92" s="53" t="str">
        <f>Source!DD46</f>
        <v/>
      </c>
      <c r="H92" s="51">
        <f>Source!AW47</f>
        <v>1</v>
      </c>
      <c r="I92" s="52">
        <f>Source!P46</f>
        <v>1792.84</v>
      </c>
      <c r="J92" s="51">
        <f>IF(Source!BC47&lt;&gt; 0, Source!BC47, 1)</f>
        <v>7.66</v>
      </c>
      <c r="K92" s="52">
        <f>Source!P47</f>
        <v>13733.15</v>
      </c>
      <c r="Q92">
        <f>Source!X46</f>
        <v>0</v>
      </c>
      <c r="R92">
        <f>Source!X47</f>
        <v>0</v>
      </c>
      <c r="S92">
        <f>Source!Y46</f>
        <v>0</v>
      </c>
      <c r="T92">
        <f>Source!Y47</f>
        <v>0</v>
      </c>
      <c r="U92">
        <f>ROUND((175/100)*ROUND(Source!R46, 2), 2)</f>
        <v>0</v>
      </c>
      <c r="V92">
        <f>ROUND((0/100)*ROUND(Source!R47, 2), 2)</f>
        <v>0</v>
      </c>
      <c r="AC92">
        <v>5</v>
      </c>
    </row>
    <row r="93" spans="1:29" ht="15" x14ac:dyDescent="0.2">
      <c r="A93" s="54"/>
      <c r="B93" s="54"/>
      <c r="C93" s="55" t="s">
        <v>529</v>
      </c>
      <c r="D93" s="54"/>
      <c r="E93" s="54"/>
      <c r="F93" s="54"/>
      <c r="G93" s="54"/>
      <c r="H93" s="56">
        <f>I92+0</f>
        <v>1792.84</v>
      </c>
      <c r="I93" s="56"/>
      <c r="J93" s="56">
        <f>K92+0</f>
        <v>13733.15</v>
      </c>
      <c r="K93" s="56"/>
      <c r="O93" s="48">
        <f>I92+0</f>
        <v>1792.84</v>
      </c>
      <c r="P93" s="48">
        <f>K92+0</f>
        <v>13733.15</v>
      </c>
    </row>
    <row r="95" spans="1:29" ht="82.5" x14ac:dyDescent="0.2">
      <c r="A95" s="49">
        <v>11</v>
      </c>
      <c r="B95" s="49" t="str">
        <f>Source!F48</f>
        <v>КА 6</v>
      </c>
      <c r="C95" s="49" t="s">
        <v>538</v>
      </c>
      <c r="D95" s="50" t="str">
        <f>Source!H48</f>
        <v>шт.</v>
      </c>
      <c r="E95" s="51">
        <f>Source!I48</f>
        <v>4</v>
      </c>
      <c r="F95" s="52">
        <f>Source!AL48</f>
        <v>12.79</v>
      </c>
      <c r="G95" s="53" t="str">
        <f>Source!DD48</f>
        <v/>
      </c>
      <c r="H95" s="51">
        <f>Source!AW49</f>
        <v>1</v>
      </c>
      <c r="I95" s="52">
        <f>Source!P48</f>
        <v>51.16</v>
      </c>
      <c r="J95" s="51">
        <f>IF(Source!BC49&lt;&gt; 0, Source!BC49, 1)</f>
        <v>7.66</v>
      </c>
      <c r="K95" s="52">
        <f>Source!P49</f>
        <v>391.89</v>
      </c>
      <c r="Q95">
        <f>Source!X48</f>
        <v>0</v>
      </c>
      <c r="R95">
        <f>Source!X49</f>
        <v>0</v>
      </c>
      <c r="S95">
        <f>Source!Y48</f>
        <v>0</v>
      </c>
      <c r="T95">
        <f>Source!Y49</f>
        <v>0</v>
      </c>
      <c r="U95">
        <f>ROUND((175/100)*ROUND(Source!R48, 2), 2)</f>
        <v>0</v>
      </c>
      <c r="V95">
        <f>ROUND((0/100)*ROUND(Source!R49, 2), 2)</f>
        <v>0</v>
      </c>
      <c r="AC95">
        <v>5</v>
      </c>
    </row>
    <row r="96" spans="1:29" ht="15" x14ac:dyDescent="0.2">
      <c r="A96" s="54"/>
      <c r="B96" s="54"/>
      <c r="C96" s="55" t="s">
        <v>529</v>
      </c>
      <c r="D96" s="54"/>
      <c r="E96" s="54"/>
      <c r="F96" s="54"/>
      <c r="G96" s="54"/>
      <c r="H96" s="56">
        <f>I95+0</f>
        <v>51.16</v>
      </c>
      <c r="I96" s="56"/>
      <c r="J96" s="56">
        <f>K95+0</f>
        <v>391.89</v>
      </c>
      <c r="K96" s="56"/>
      <c r="O96" s="48">
        <f>I95+0</f>
        <v>51.16</v>
      </c>
      <c r="P96" s="48">
        <f>K95+0</f>
        <v>391.89</v>
      </c>
    </row>
    <row r="98" spans="1:29" ht="78" x14ac:dyDescent="0.2">
      <c r="A98" s="34">
        <v>12</v>
      </c>
      <c r="B98" s="34" t="s">
        <v>539</v>
      </c>
      <c r="C98" s="34" t="s">
        <v>78</v>
      </c>
      <c r="D98" s="36" t="str">
        <f>Source!H50</f>
        <v>10 шт.</v>
      </c>
      <c r="E98" s="35">
        <f>Source!I50</f>
        <v>4.2</v>
      </c>
      <c r="F98" s="38"/>
      <c r="G98" s="37"/>
      <c r="H98" s="35"/>
      <c r="I98" s="38"/>
      <c r="J98" s="35"/>
      <c r="K98" s="38"/>
      <c r="Q98">
        <f>Source!X50</f>
        <v>993.46</v>
      </c>
      <c r="R98">
        <f>Source!X51</f>
        <v>54630.14</v>
      </c>
      <c r="S98">
        <f>Source!Y50</f>
        <v>507.77</v>
      </c>
      <c r="T98">
        <f>Source!Y51</f>
        <v>27922.07</v>
      </c>
      <c r="U98">
        <f>ROUND((175/100)*ROUND(Source!R50, 2), 2)</f>
        <v>6.44</v>
      </c>
      <c r="V98">
        <f>ROUND((0/100)*ROUND(Source!R51, 2), 2)</f>
        <v>0</v>
      </c>
      <c r="AC98">
        <v>0</v>
      </c>
    </row>
    <row r="99" spans="1:29" x14ac:dyDescent="0.2">
      <c r="C99" s="39" t="str">
        <f>"Объем: "&amp;Source!I50&amp;"=42/"&amp;"10"</f>
        <v>Объем: 4,2=42/10</v>
      </c>
    </row>
    <row r="100" spans="1:29" ht="14.25" x14ac:dyDescent="0.2">
      <c r="A100" s="34"/>
      <c r="B100" s="34"/>
      <c r="C100" s="34" t="s">
        <v>520</v>
      </c>
      <c r="D100" s="36"/>
      <c r="E100" s="35"/>
      <c r="F100" s="38">
        <f>Source!AO50</f>
        <v>227.44</v>
      </c>
      <c r="G100" s="37" t="str">
        <f>Source!DG50</f>
        <v>*1,1</v>
      </c>
      <c r="H100" s="35">
        <f>Source!AV51</f>
        <v>1.0469999999999999</v>
      </c>
      <c r="I100" s="38">
        <f>Source!S50</f>
        <v>1100.1600000000001</v>
      </c>
      <c r="J100" s="35">
        <f>IF(Source!BA51&lt;&gt; 0, Source!BA51, 1)</f>
        <v>54.99</v>
      </c>
      <c r="K100" s="38">
        <f>Source!S51</f>
        <v>60497.8</v>
      </c>
    </row>
    <row r="101" spans="1:29" ht="14.25" x14ac:dyDescent="0.2">
      <c r="A101" s="34"/>
      <c r="B101" s="34"/>
      <c r="C101" s="34" t="s">
        <v>521</v>
      </c>
      <c r="D101" s="36"/>
      <c r="E101" s="35"/>
      <c r="F101" s="38">
        <f>Source!AM50</f>
        <v>6.07</v>
      </c>
      <c r="G101" s="37" t="str">
        <f>Source!DE50</f>
        <v>*1,1</v>
      </c>
      <c r="H101" s="35">
        <f>Source!AV51</f>
        <v>1.0469999999999999</v>
      </c>
      <c r="I101" s="38">
        <f>Source!Q50</f>
        <v>29.36</v>
      </c>
      <c r="J101" s="35">
        <f>IF(Source!BB51&lt;&gt; 0, Source!BB51, 1)</f>
        <v>14.94</v>
      </c>
      <c r="K101" s="38">
        <f>Source!Q51</f>
        <v>438.64</v>
      </c>
    </row>
    <row r="102" spans="1:29" ht="14.25" x14ac:dyDescent="0.2">
      <c r="A102" s="34"/>
      <c r="B102" s="34"/>
      <c r="C102" s="34" t="s">
        <v>522</v>
      </c>
      <c r="D102" s="36"/>
      <c r="E102" s="35"/>
      <c r="F102" s="38">
        <f>Source!AN50</f>
        <v>0.76</v>
      </c>
      <c r="G102" s="37" t="str">
        <f>Source!DF50</f>
        <v>*1,1</v>
      </c>
      <c r="H102" s="35">
        <f>Source!AV51</f>
        <v>1.0469999999999999</v>
      </c>
      <c r="I102" s="40">
        <f>Source!R50</f>
        <v>3.68</v>
      </c>
      <c r="J102" s="35">
        <f>IF(Source!BS51&lt;&gt; 0, Source!BS51, 1)</f>
        <v>54.99</v>
      </c>
      <c r="K102" s="40">
        <f>Source!R51</f>
        <v>202.36</v>
      </c>
    </row>
    <row r="103" spans="1:29" ht="14.25" x14ac:dyDescent="0.2">
      <c r="A103" s="34"/>
      <c r="B103" s="34"/>
      <c r="C103" s="34" t="s">
        <v>523</v>
      </c>
      <c r="D103" s="36"/>
      <c r="E103" s="35"/>
      <c r="F103" s="38">
        <f>Source!AL50</f>
        <v>2.44</v>
      </c>
      <c r="G103" s="37" t="str">
        <f>Source!DD50</f>
        <v>*1</v>
      </c>
      <c r="H103" s="35">
        <f>Source!AW51</f>
        <v>1</v>
      </c>
      <c r="I103" s="38">
        <f>Source!P50</f>
        <v>10.25</v>
      </c>
      <c r="J103" s="35">
        <f>IF(Source!BC51&lt;&gt; 0, Source!BC51, 1)</f>
        <v>7.23</v>
      </c>
      <c r="K103" s="38">
        <f>Source!P51</f>
        <v>74.11</v>
      </c>
    </row>
    <row r="104" spans="1:29" ht="14.25" x14ac:dyDescent="0.2">
      <c r="A104" s="34"/>
      <c r="B104" s="34"/>
      <c r="C104" s="34" t="s">
        <v>524</v>
      </c>
      <c r="D104" s="36" t="s">
        <v>525</v>
      </c>
      <c r="E104" s="35">
        <f>Source!BZ51</f>
        <v>90</v>
      </c>
      <c r="F104" s="38"/>
      <c r="G104" s="37"/>
      <c r="H104" s="35"/>
      <c r="I104" s="38">
        <f>SUM(Q98:Q103)</f>
        <v>993.46</v>
      </c>
      <c r="J104" s="35">
        <f>Source!AT51</f>
        <v>90</v>
      </c>
      <c r="K104" s="38">
        <f>SUM(R98:R103)</f>
        <v>54630.14</v>
      </c>
    </row>
    <row r="105" spans="1:29" ht="14.25" x14ac:dyDescent="0.2">
      <c r="A105" s="34"/>
      <c r="B105" s="34"/>
      <c r="C105" s="34" t="s">
        <v>526</v>
      </c>
      <c r="D105" s="36" t="s">
        <v>525</v>
      </c>
      <c r="E105" s="35">
        <f>Source!CA51</f>
        <v>46</v>
      </c>
      <c r="F105" s="38"/>
      <c r="G105" s="37"/>
      <c r="H105" s="35"/>
      <c r="I105" s="38">
        <f>SUM(S98:S104)</f>
        <v>507.77</v>
      </c>
      <c r="J105" s="35">
        <f>Source!AU51</f>
        <v>46</v>
      </c>
      <c r="K105" s="38">
        <f>SUM(T98:T104)</f>
        <v>27922.07</v>
      </c>
    </row>
    <row r="106" spans="1:29" ht="14.25" x14ac:dyDescent="0.2">
      <c r="A106" s="41"/>
      <c r="B106" s="41"/>
      <c r="C106" s="41" t="s">
        <v>527</v>
      </c>
      <c r="D106" s="42" t="s">
        <v>528</v>
      </c>
      <c r="E106" s="43">
        <f>Source!AQ50</f>
        <v>14.64</v>
      </c>
      <c r="F106" s="44"/>
      <c r="G106" s="45" t="str">
        <f>Source!DI50</f>
        <v>*1,1</v>
      </c>
      <c r="H106" s="43">
        <f>Source!AV51</f>
        <v>1.0469999999999999</v>
      </c>
      <c r="I106" s="44">
        <f>Source!U50</f>
        <v>70.815729600000012</v>
      </c>
      <c r="J106" s="43"/>
      <c r="K106" s="44"/>
    </row>
    <row r="107" spans="1:29" ht="15" x14ac:dyDescent="0.2">
      <c r="C107" s="46" t="s">
        <v>529</v>
      </c>
      <c r="H107" s="47">
        <f>I100+I101+I103+I104+I105+0</f>
        <v>2641</v>
      </c>
      <c r="I107" s="47"/>
      <c r="J107" s="47">
        <f>K100+K101+K103+K104+K105+0</f>
        <v>143562.76</v>
      </c>
      <c r="K107" s="47"/>
      <c r="O107" s="48">
        <f>I100+I101+I103+I104+I105+0</f>
        <v>2641</v>
      </c>
      <c r="P107" s="48">
        <f>K100+K101+K103+K104+K105+0</f>
        <v>143562.76</v>
      </c>
    </row>
    <row r="109" spans="1:29" ht="96.75" x14ac:dyDescent="0.2">
      <c r="A109" s="49">
        <v>13</v>
      </c>
      <c r="B109" s="49" t="str">
        <f>Source!F52</f>
        <v>КА 7</v>
      </c>
      <c r="C109" s="49" t="s">
        <v>540</v>
      </c>
      <c r="D109" s="50" t="str">
        <f>Source!H52</f>
        <v>шт.</v>
      </c>
      <c r="E109" s="51">
        <f>Source!I52</f>
        <v>42</v>
      </c>
      <c r="F109" s="52">
        <f>Source!AL52</f>
        <v>1803.0400000000002</v>
      </c>
      <c r="G109" s="53" t="str">
        <f>Source!DD52</f>
        <v/>
      </c>
      <c r="H109" s="51">
        <f>Source!AW53</f>
        <v>1</v>
      </c>
      <c r="I109" s="52">
        <f>Source!P52</f>
        <v>75727.679999999993</v>
      </c>
      <c r="J109" s="51">
        <f>IF(Source!BC53&lt;&gt; 0, Source!BC53, 1)</f>
        <v>7.66</v>
      </c>
      <c r="K109" s="52">
        <f>Source!P53</f>
        <v>580074.03</v>
      </c>
      <c r="Q109">
        <f>Source!X52</f>
        <v>0</v>
      </c>
      <c r="R109">
        <f>Source!X53</f>
        <v>0</v>
      </c>
      <c r="S109">
        <f>Source!Y52</f>
        <v>0</v>
      </c>
      <c r="T109">
        <f>Source!Y53</f>
        <v>0</v>
      </c>
      <c r="U109">
        <f>ROUND((175/100)*ROUND(Source!R52, 2), 2)</f>
        <v>0</v>
      </c>
      <c r="V109">
        <f>ROUND((0/100)*ROUND(Source!R53, 2), 2)</f>
        <v>0</v>
      </c>
      <c r="AC109">
        <v>5</v>
      </c>
    </row>
    <row r="110" spans="1:29" ht="15" x14ac:dyDescent="0.2">
      <c r="A110" s="54"/>
      <c r="B110" s="54"/>
      <c r="C110" s="55" t="s">
        <v>529</v>
      </c>
      <c r="D110" s="54"/>
      <c r="E110" s="54"/>
      <c r="F110" s="54"/>
      <c r="G110" s="54"/>
      <c r="H110" s="56">
        <f>I109+0</f>
        <v>75727.679999999993</v>
      </c>
      <c r="I110" s="56"/>
      <c r="J110" s="56">
        <f>K109+0</f>
        <v>580074.03</v>
      </c>
      <c r="K110" s="56"/>
      <c r="O110" s="48">
        <f>I109+0</f>
        <v>75727.679999999993</v>
      </c>
      <c r="P110" s="48">
        <f>K109+0</f>
        <v>580074.03</v>
      </c>
    </row>
    <row r="112" spans="1:29" ht="78" x14ac:dyDescent="0.2">
      <c r="A112" s="34">
        <v>14</v>
      </c>
      <c r="B112" s="34" t="s">
        <v>541</v>
      </c>
      <c r="C112" s="34" t="s">
        <v>85</v>
      </c>
      <c r="D112" s="36" t="str">
        <f>Source!H54</f>
        <v>1  ШТ.</v>
      </c>
      <c r="E112" s="35">
        <f>Source!I54</f>
        <v>12</v>
      </c>
      <c r="F112" s="38"/>
      <c r="G112" s="37"/>
      <c r="H112" s="35"/>
      <c r="I112" s="38"/>
      <c r="J112" s="35"/>
      <c r="K112" s="38"/>
      <c r="Q112">
        <f>Source!X54</f>
        <v>156.1</v>
      </c>
      <c r="R112">
        <f>Source!X55</f>
        <v>8584.16</v>
      </c>
      <c r="S112">
        <f>Source!Y54</f>
        <v>87.09</v>
      </c>
      <c r="T112">
        <f>Source!Y55</f>
        <v>4789.0600000000004</v>
      </c>
      <c r="U112">
        <f>ROUND((175/100)*ROUND(Source!R54, 2), 2)</f>
        <v>0</v>
      </c>
      <c r="V112">
        <f>ROUND((0/100)*ROUND(Source!R55, 2), 2)</f>
        <v>0</v>
      </c>
      <c r="AC112">
        <v>0</v>
      </c>
    </row>
    <row r="113" spans="1:29" ht="14.25" x14ac:dyDescent="0.2">
      <c r="A113" s="34"/>
      <c r="B113" s="34"/>
      <c r="C113" s="34" t="s">
        <v>520</v>
      </c>
      <c r="D113" s="36"/>
      <c r="E113" s="35"/>
      <c r="F113" s="38">
        <f>Source!AO54</f>
        <v>11.89</v>
      </c>
      <c r="G113" s="37" t="str">
        <f>Source!DG54</f>
        <v>*1,1</v>
      </c>
      <c r="H113" s="35">
        <f>Source!AV55</f>
        <v>1.0469999999999999</v>
      </c>
      <c r="I113" s="38">
        <f>Source!S54</f>
        <v>164.32</v>
      </c>
      <c r="J113" s="35">
        <f>IF(Source!BA55&lt;&gt; 0, Source!BA55, 1)</f>
        <v>54.99</v>
      </c>
      <c r="K113" s="38">
        <f>Source!S55</f>
        <v>9035.9599999999991</v>
      </c>
    </row>
    <row r="114" spans="1:29" ht="14.25" x14ac:dyDescent="0.2">
      <c r="A114" s="34"/>
      <c r="B114" s="34"/>
      <c r="C114" s="34" t="s">
        <v>523</v>
      </c>
      <c r="D114" s="36"/>
      <c r="E114" s="35"/>
      <c r="F114" s="38">
        <f>Source!AL54</f>
        <v>1.67</v>
      </c>
      <c r="G114" s="37" t="str">
        <f>Source!DD54</f>
        <v>*1</v>
      </c>
      <c r="H114" s="35">
        <f>Source!AW55</f>
        <v>1</v>
      </c>
      <c r="I114" s="38">
        <f>Source!P54</f>
        <v>20.04</v>
      </c>
      <c r="J114" s="35">
        <f>IF(Source!BC55&lt;&gt; 0, Source!BC55, 1)</f>
        <v>18.61</v>
      </c>
      <c r="K114" s="38">
        <f>Source!P55</f>
        <v>372.94</v>
      </c>
    </row>
    <row r="115" spans="1:29" ht="27" x14ac:dyDescent="0.2">
      <c r="A115" s="34" t="s">
        <v>89</v>
      </c>
      <c r="B115" s="34" t="str">
        <f>Source!F56</f>
        <v>КА 8</v>
      </c>
      <c r="C115" s="34" t="s">
        <v>542</v>
      </c>
      <c r="D115" s="36" t="str">
        <f>Source!H56</f>
        <v>шт.</v>
      </c>
      <c r="E115" s="35">
        <f>Source!I56</f>
        <v>12</v>
      </c>
      <c r="F115" s="38">
        <f>Source!AK56</f>
        <v>98.94</v>
      </c>
      <c r="G115" s="57" t="s">
        <v>3</v>
      </c>
      <c r="H115" s="35">
        <f>Source!AW57</f>
        <v>1</v>
      </c>
      <c r="I115" s="38">
        <f>Source!O56</f>
        <v>1187.28</v>
      </c>
      <c r="J115" s="35">
        <f>IF(Source!BC57&lt;&gt; 0, Source!BC57, 1)</f>
        <v>9.8800000000000008</v>
      </c>
      <c r="K115" s="38">
        <f>Source!O57</f>
        <v>11730.33</v>
      </c>
      <c r="Q115">
        <f>Source!X56</f>
        <v>0</v>
      </c>
      <c r="R115">
        <f>Source!X57</f>
        <v>0</v>
      </c>
      <c r="S115">
        <f>Source!Y56</f>
        <v>0</v>
      </c>
      <c r="T115">
        <f>Source!Y57</f>
        <v>0</v>
      </c>
      <c r="U115">
        <f>ROUND((175/100)*ROUND(Source!R56, 2), 2)</f>
        <v>0</v>
      </c>
      <c r="V115">
        <f>ROUND((0/100)*ROUND(Source!R57, 2), 2)</f>
        <v>0</v>
      </c>
      <c r="AC115">
        <v>3</v>
      </c>
    </row>
    <row r="116" spans="1:29" ht="14.25" x14ac:dyDescent="0.2">
      <c r="A116" s="34"/>
      <c r="B116" s="34"/>
      <c r="C116" s="34" t="s">
        <v>524</v>
      </c>
      <c r="D116" s="36" t="s">
        <v>525</v>
      </c>
      <c r="E116" s="35">
        <f>Source!BZ55</f>
        <v>95</v>
      </c>
      <c r="F116" s="38"/>
      <c r="G116" s="37"/>
      <c r="H116" s="35"/>
      <c r="I116" s="38">
        <f>SUM(Q112:Q115)</f>
        <v>156.1</v>
      </c>
      <c r="J116" s="35">
        <f>Source!AT55</f>
        <v>95</v>
      </c>
      <c r="K116" s="38">
        <f>SUM(R112:R115)</f>
        <v>8584.16</v>
      </c>
    </row>
    <row r="117" spans="1:29" ht="14.25" x14ac:dyDescent="0.2">
      <c r="A117" s="34"/>
      <c r="B117" s="34"/>
      <c r="C117" s="34" t="s">
        <v>526</v>
      </c>
      <c r="D117" s="36" t="s">
        <v>525</v>
      </c>
      <c r="E117" s="35">
        <f>Source!CA55</f>
        <v>53</v>
      </c>
      <c r="F117" s="38"/>
      <c r="G117" s="37"/>
      <c r="H117" s="35"/>
      <c r="I117" s="38">
        <f>SUM(S112:S116)</f>
        <v>87.09</v>
      </c>
      <c r="J117" s="35">
        <f>Source!AU55</f>
        <v>53</v>
      </c>
      <c r="K117" s="38">
        <f>SUM(T112:T116)</f>
        <v>4789.0600000000004</v>
      </c>
    </row>
    <row r="118" spans="1:29" ht="14.25" x14ac:dyDescent="0.2">
      <c r="A118" s="41"/>
      <c r="B118" s="41"/>
      <c r="C118" s="41" t="s">
        <v>527</v>
      </c>
      <c r="D118" s="42" t="s">
        <v>528</v>
      </c>
      <c r="E118" s="43">
        <f>Source!AQ54</f>
        <v>1</v>
      </c>
      <c r="F118" s="44"/>
      <c r="G118" s="45" t="str">
        <f>Source!DI54</f>
        <v>*1,1</v>
      </c>
      <c r="H118" s="43">
        <f>Source!AV55</f>
        <v>1.0469999999999999</v>
      </c>
      <c r="I118" s="44">
        <f>Source!U54</f>
        <v>13.820399999999999</v>
      </c>
      <c r="J118" s="43"/>
      <c r="K118" s="44"/>
    </row>
    <row r="119" spans="1:29" ht="15" x14ac:dyDescent="0.2">
      <c r="C119" s="46" t="s">
        <v>529</v>
      </c>
      <c r="H119" s="47">
        <f>I113+I114+I116+I117+SUM(I115:I115)</f>
        <v>1614.83</v>
      </c>
      <c r="I119" s="47"/>
      <c r="J119" s="47">
        <f>K113+K114+K116+K117+SUM(K115:K115)</f>
        <v>34512.449999999997</v>
      </c>
      <c r="K119" s="47"/>
      <c r="O119" s="48">
        <f>I113+I114+I116+I117+SUM(I115:I115)</f>
        <v>1614.83</v>
      </c>
      <c r="P119" s="48">
        <f>K113+K114+K116+K117+SUM(K115:K115)</f>
        <v>34512.449999999997</v>
      </c>
    </row>
    <row r="121" spans="1:29" ht="78" x14ac:dyDescent="0.2">
      <c r="A121" s="34">
        <v>15</v>
      </c>
      <c r="B121" s="34" t="s">
        <v>543</v>
      </c>
      <c r="C121" s="34" t="s">
        <v>96</v>
      </c>
      <c r="D121" s="36" t="str">
        <f>Source!H58</f>
        <v>1  ШТ.</v>
      </c>
      <c r="E121" s="35">
        <f>Source!I58</f>
        <v>27</v>
      </c>
      <c r="F121" s="38"/>
      <c r="G121" s="37"/>
      <c r="H121" s="35"/>
      <c r="I121" s="38"/>
      <c r="J121" s="35"/>
      <c r="K121" s="38"/>
      <c r="Q121">
        <f>Source!X58</f>
        <v>316.08999999999997</v>
      </c>
      <c r="R121">
        <f>Source!X59</f>
        <v>17381.98</v>
      </c>
      <c r="S121">
        <f>Source!Y58</f>
        <v>176.35</v>
      </c>
      <c r="T121">
        <f>Source!Y59</f>
        <v>9697.31</v>
      </c>
      <c r="U121">
        <f>ROUND((175/100)*ROUND(Source!R58, 2), 2)</f>
        <v>0</v>
      </c>
      <c r="V121">
        <f>ROUND((0/100)*ROUND(Source!R59, 2), 2)</f>
        <v>0</v>
      </c>
      <c r="AC121">
        <v>0</v>
      </c>
    </row>
    <row r="122" spans="1:29" ht="14.25" x14ac:dyDescent="0.2">
      <c r="A122" s="34"/>
      <c r="B122" s="34"/>
      <c r="C122" s="34" t="s">
        <v>520</v>
      </c>
      <c r="D122" s="36"/>
      <c r="E122" s="35"/>
      <c r="F122" s="38">
        <f>Source!AO58</f>
        <v>10.7</v>
      </c>
      <c r="G122" s="37" t="str">
        <f>Source!DG58</f>
        <v>*1,1</v>
      </c>
      <c r="H122" s="35">
        <f>Source!AV59</f>
        <v>1.0469999999999999</v>
      </c>
      <c r="I122" s="38">
        <f>Source!S58</f>
        <v>332.73</v>
      </c>
      <c r="J122" s="35">
        <f>IF(Source!BA59&lt;&gt; 0, Source!BA59, 1)</f>
        <v>54.99</v>
      </c>
      <c r="K122" s="38">
        <f>Source!S59</f>
        <v>18296.82</v>
      </c>
    </row>
    <row r="123" spans="1:29" ht="14.25" x14ac:dyDescent="0.2">
      <c r="A123" s="34"/>
      <c r="B123" s="34"/>
      <c r="C123" s="34" t="s">
        <v>524</v>
      </c>
      <c r="D123" s="36" t="s">
        <v>525</v>
      </c>
      <c r="E123" s="35">
        <f>Source!BZ59</f>
        <v>95</v>
      </c>
      <c r="F123" s="38"/>
      <c r="G123" s="37"/>
      <c r="H123" s="35"/>
      <c r="I123" s="38">
        <f>SUM(Q121:Q122)</f>
        <v>316.08999999999997</v>
      </c>
      <c r="J123" s="35">
        <f>Source!AT59</f>
        <v>95</v>
      </c>
      <c r="K123" s="38">
        <f>SUM(R121:R122)</f>
        <v>17381.98</v>
      </c>
    </row>
    <row r="124" spans="1:29" ht="14.25" x14ac:dyDescent="0.2">
      <c r="A124" s="34"/>
      <c r="B124" s="34"/>
      <c r="C124" s="34" t="s">
        <v>526</v>
      </c>
      <c r="D124" s="36" t="s">
        <v>525</v>
      </c>
      <c r="E124" s="35">
        <f>Source!CA59</f>
        <v>53</v>
      </c>
      <c r="F124" s="38"/>
      <c r="G124" s="37"/>
      <c r="H124" s="35"/>
      <c r="I124" s="38">
        <f>SUM(S121:S123)</f>
        <v>176.35</v>
      </c>
      <c r="J124" s="35">
        <f>Source!AU59</f>
        <v>53</v>
      </c>
      <c r="K124" s="38">
        <f>SUM(T121:T123)</f>
        <v>9697.31</v>
      </c>
    </row>
    <row r="125" spans="1:29" ht="14.25" x14ac:dyDescent="0.2">
      <c r="A125" s="41"/>
      <c r="B125" s="41"/>
      <c r="C125" s="41" t="s">
        <v>527</v>
      </c>
      <c r="D125" s="42" t="s">
        <v>528</v>
      </c>
      <c r="E125" s="43">
        <f>Source!AQ58</f>
        <v>1</v>
      </c>
      <c r="F125" s="44"/>
      <c r="G125" s="45" t="str">
        <f>Source!DI58</f>
        <v>*1,1</v>
      </c>
      <c r="H125" s="43">
        <f>Source!AV59</f>
        <v>1.0469999999999999</v>
      </c>
      <c r="I125" s="44">
        <f>Source!U58</f>
        <v>31.0959</v>
      </c>
      <c r="J125" s="43"/>
      <c r="K125" s="44"/>
    </row>
    <row r="126" spans="1:29" ht="15" x14ac:dyDescent="0.2">
      <c r="C126" s="46" t="s">
        <v>529</v>
      </c>
      <c r="H126" s="47">
        <f>I122+I123+I124+0</f>
        <v>825.17</v>
      </c>
      <c r="I126" s="47"/>
      <c r="J126" s="47">
        <f>K122+K123+K124+0</f>
        <v>45376.11</v>
      </c>
      <c r="K126" s="47"/>
      <c r="O126" s="48">
        <f>I122+I123+I124+0</f>
        <v>825.17</v>
      </c>
      <c r="P126" s="48">
        <f>K122+K123+K124+0</f>
        <v>45376.11</v>
      </c>
    </row>
    <row r="128" spans="1:29" ht="68.25" x14ac:dyDescent="0.2">
      <c r="A128" s="49">
        <v>16</v>
      </c>
      <c r="B128" s="49" t="str">
        <f>Source!F60</f>
        <v>КА 9</v>
      </c>
      <c r="C128" s="49" t="s">
        <v>544</v>
      </c>
      <c r="D128" s="50" t="str">
        <f>Source!H60</f>
        <v>шт.</v>
      </c>
      <c r="E128" s="51">
        <f>Source!I60</f>
        <v>27</v>
      </c>
      <c r="F128" s="52">
        <f>Source!AL60</f>
        <v>123.32</v>
      </c>
      <c r="G128" s="53" t="str">
        <f>Source!DD60</f>
        <v/>
      </c>
      <c r="H128" s="51">
        <f>Source!AW61</f>
        <v>1</v>
      </c>
      <c r="I128" s="52">
        <f>Source!P60</f>
        <v>3329.64</v>
      </c>
      <c r="J128" s="51">
        <f>IF(Source!BC61&lt;&gt; 0, Source!BC61, 1)</f>
        <v>7.66</v>
      </c>
      <c r="K128" s="52">
        <f>Source!P61</f>
        <v>25505.040000000001</v>
      </c>
      <c r="Q128">
        <f>Source!X60</f>
        <v>0</v>
      </c>
      <c r="R128">
        <f>Source!X61</f>
        <v>0</v>
      </c>
      <c r="S128">
        <f>Source!Y60</f>
        <v>0</v>
      </c>
      <c r="T128">
        <f>Source!Y61</f>
        <v>0</v>
      </c>
      <c r="U128">
        <f>ROUND((175/100)*ROUND(Source!R60, 2), 2)</f>
        <v>0</v>
      </c>
      <c r="V128">
        <f>ROUND((0/100)*ROUND(Source!R61, 2), 2)</f>
        <v>0</v>
      </c>
      <c r="AC128">
        <v>5</v>
      </c>
    </row>
    <row r="129" spans="1:29" ht="15" x14ac:dyDescent="0.2">
      <c r="A129" s="54"/>
      <c r="B129" s="54"/>
      <c r="C129" s="55" t="s">
        <v>529</v>
      </c>
      <c r="D129" s="54"/>
      <c r="E129" s="54"/>
      <c r="F129" s="54"/>
      <c r="G129" s="54"/>
      <c r="H129" s="56">
        <f>I128+0</f>
        <v>3329.64</v>
      </c>
      <c r="I129" s="56"/>
      <c r="J129" s="56">
        <f>K128+0</f>
        <v>25505.040000000001</v>
      </c>
      <c r="K129" s="56"/>
      <c r="O129" s="48">
        <f>I128+0</f>
        <v>3329.64</v>
      </c>
      <c r="P129" s="48">
        <f>K128+0</f>
        <v>25505.040000000001</v>
      </c>
    </row>
    <row r="131" spans="1:29" ht="78" x14ac:dyDescent="0.2">
      <c r="A131" s="34">
        <v>17</v>
      </c>
      <c r="B131" s="34" t="s">
        <v>545</v>
      </c>
      <c r="C131" s="34" t="s">
        <v>104</v>
      </c>
      <c r="D131" s="36" t="str">
        <f>Source!H62</f>
        <v>1  ШТ.</v>
      </c>
      <c r="E131" s="35">
        <f>Source!I62</f>
        <v>2</v>
      </c>
      <c r="F131" s="38"/>
      <c r="G131" s="37"/>
      <c r="H131" s="35"/>
      <c r="I131" s="38"/>
      <c r="J131" s="35"/>
      <c r="K131" s="38"/>
      <c r="Q131">
        <f>Source!X62</f>
        <v>83.28</v>
      </c>
      <c r="R131">
        <f>Source!X63</f>
        <v>4579.3999999999996</v>
      </c>
      <c r="S131">
        <f>Source!Y62</f>
        <v>42.56</v>
      </c>
      <c r="T131">
        <f>Source!Y63</f>
        <v>2340.58</v>
      </c>
      <c r="U131">
        <f>ROUND((175/100)*ROUND(Source!R62, 2), 2)</f>
        <v>0</v>
      </c>
      <c r="V131">
        <f>ROUND((0/100)*ROUND(Source!R63, 2), 2)</f>
        <v>0</v>
      </c>
      <c r="AC131">
        <v>0</v>
      </c>
    </row>
    <row r="132" spans="1:29" ht="14.25" x14ac:dyDescent="0.2">
      <c r="A132" s="34"/>
      <c r="B132" s="34"/>
      <c r="C132" s="34" t="s">
        <v>520</v>
      </c>
      <c r="D132" s="36"/>
      <c r="E132" s="35"/>
      <c r="F132" s="38">
        <f>Source!AO62</f>
        <v>40.17</v>
      </c>
      <c r="G132" s="37" t="str">
        <f>Source!DG62</f>
        <v>*1,1</v>
      </c>
      <c r="H132" s="35">
        <f>Source!AV63</f>
        <v>1.0469999999999999</v>
      </c>
      <c r="I132" s="38">
        <f>Source!S62</f>
        <v>92.53</v>
      </c>
      <c r="J132" s="35">
        <f>IF(Source!BA63&lt;&gt; 0, Source!BA63, 1)</f>
        <v>54.99</v>
      </c>
      <c r="K132" s="38">
        <f>Source!S63</f>
        <v>5088.22</v>
      </c>
    </row>
    <row r="133" spans="1:29" ht="14.25" x14ac:dyDescent="0.2">
      <c r="A133" s="34"/>
      <c r="B133" s="34"/>
      <c r="C133" s="34" t="s">
        <v>523</v>
      </c>
      <c r="D133" s="36"/>
      <c r="E133" s="35"/>
      <c r="F133" s="38">
        <f>Source!AL62</f>
        <v>2.34</v>
      </c>
      <c r="G133" s="37" t="str">
        <f>Source!DD62</f>
        <v>*1</v>
      </c>
      <c r="H133" s="35">
        <f>Source!AW63</f>
        <v>1</v>
      </c>
      <c r="I133" s="38">
        <f>Source!P62</f>
        <v>4.68</v>
      </c>
      <c r="J133" s="35">
        <f>IF(Source!BC63&lt;&gt; 0, Source!BC63, 1)</f>
        <v>10.26</v>
      </c>
      <c r="K133" s="38">
        <f>Source!P63</f>
        <v>48.02</v>
      </c>
    </row>
    <row r="134" spans="1:29" ht="14.25" x14ac:dyDescent="0.2">
      <c r="A134" s="34"/>
      <c r="B134" s="34"/>
      <c r="C134" s="34" t="s">
        <v>524</v>
      </c>
      <c r="D134" s="36" t="s">
        <v>525</v>
      </c>
      <c r="E134" s="35">
        <f>Source!BZ63</f>
        <v>90</v>
      </c>
      <c r="F134" s="38"/>
      <c r="G134" s="37"/>
      <c r="H134" s="35"/>
      <c r="I134" s="38">
        <f>SUM(Q131:Q133)</f>
        <v>83.28</v>
      </c>
      <c r="J134" s="35">
        <f>Source!AT63</f>
        <v>90</v>
      </c>
      <c r="K134" s="38">
        <f>SUM(R131:R133)</f>
        <v>4579.3999999999996</v>
      </c>
    </row>
    <row r="135" spans="1:29" ht="14.25" x14ac:dyDescent="0.2">
      <c r="A135" s="34"/>
      <c r="B135" s="34"/>
      <c r="C135" s="34" t="s">
        <v>526</v>
      </c>
      <c r="D135" s="36" t="s">
        <v>525</v>
      </c>
      <c r="E135" s="35">
        <f>Source!CA63</f>
        <v>46</v>
      </c>
      <c r="F135" s="38"/>
      <c r="G135" s="37"/>
      <c r="H135" s="35"/>
      <c r="I135" s="38">
        <f>SUM(S131:S134)</f>
        <v>42.56</v>
      </c>
      <c r="J135" s="35">
        <f>Source!AU63</f>
        <v>46</v>
      </c>
      <c r="K135" s="38">
        <f>SUM(T131:T134)</f>
        <v>2340.58</v>
      </c>
    </row>
    <row r="136" spans="1:29" ht="14.25" x14ac:dyDescent="0.2">
      <c r="A136" s="41"/>
      <c r="B136" s="41"/>
      <c r="C136" s="41" t="s">
        <v>527</v>
      </c>
      <c r="D136" s="42" t="s">
        <v>528</v>
      </c>
      <c r="E136" s="43">
        <f>Source!AQ62</f>
        <v>3.18</v>
      </c>
      <c r="F136" s="44"/>
      <c r="G136" s="45" t="str">
        <f>Source!DI62</f>
        <v>*1,1</v>
      </c>
      <c r="H136" s="43">
        <f>Source!AV63</f>
        <v>1.0469999999999999</v>
      </c>
      <c r="I136" s="44">
        <f>Source!U62</f>
        <v>7.3248120000000005</v>
      </c>
      <c r="J136" s="43"/>
      <c r="K136" s="44"/>
    </row>
    <row r="137" spans="1:29" ht="15" x14ac:dyDescent="0.2">
      <c r="C137" s="46" t="s">
        <v>529</v>
      </c>
      <c r="H137" s="47">
        <f>I132+I133+I134+I135+0</f>
        <v>223.05</v>
      </c>
      <c r="I137" s="47"/>
      <c r="J137" s="47">
        <f>K132+K133+K134+K135+0</f>
        <v>12056.22</v>
      </c>
      <c r="K137" s="47"/>
      <c r="O137" s="48">
        <f>I132+I133+I134+I135+0</f>
        <v>223.05</v>
      </c>
      <c r="P137" s="48">
        <f>K132+K133+K134+K135+0</f>
        <v>12056.22</v>
      </c>
    </row>
    <row r="139" spans="1:29" ht="68.25" x14ac:dyDescent="0.2">
      <c r="A139" s="49">
        <v>18</v>
      </c>
      <c r="B139" s="49" t="str">
        <f>Source!F64</f>
        <v>КА 10</v>
      </c>
      <c r="C139" s="49" t="s">
        <v>546</v>
      </c>
      <c r="D139" s="50" t="str">
        <f>Source!H64</f>
        <v>шт.</v>
      </c>
      <c r="E139" s="51">
        <f>Source!I64</f>
        <v>2</v>
      </c>
      <c r="F139" s="52">
        <f>Source!AL64</f>
        <v>988.2700000000001</v>
      </c>
      <c r="G139" s="53" t="str">
        <f>Source!DD64</f>
        <v/>
      </c>
      <c r="H139" s="51">
        <f>Source!AW65</f>
        <v>1</v>
      </c>
      <c r="I139" s="52">
        <f>Source!P64</f>
        <v>1976.54</v>
      </c>
      <c r="J139" s="51">
        <f>IF(Source!BC65&lt;&gt; 0, Source!BC65, 1)</f>
        <v>7.66</v>
      </c>
      <c r="K139" s="52">
        <f>Source!P65</f>
        <v>15140.3</v>
      </c>
      <c r="Q139">
        <f>Source!X64</f>
        <v>0</v>
      </c>
      <c r="R139">
        <f>Source!X65</f>
        <v>0</v>
      </c>
      <c r="S139">
        <f>Source!Y64</f>
        <v>0</v>
      </c>
      <c r="T139">
        <f>Source!Y65</f>
        <v>0</v>
      </c>
      <c r="U139">
        <f>ROUND((175/100)*ROUND(Source!R64, 2), 2)</f>
        <v>0</v>
      </c>
      <c r="V139">
        <f>ROUND((0/100)*ROUND(Source!R65, 2), 2)</f>
        <v>0</v>
      </c>
      <c r="AC139">
        <v>5</v>
      </c>
    </row>
    <row r="140" spans="1:29" ht="15" x14ac:dyDescent="0.2">
      <c r="A140" s="54"/>
      <c r="B140" s="54"/>
      <c r="C140" s="55" t="s">
        <v>529</v>
      </c>
      <c r="D140" s="54"/>
      <c r="E140" s="54"/>
      <c r="F140" s="54"/>
      <c r="G140" s="54"/>
      <c r="H140" s="56">
        <f>I139+0</f>
        <v>1976.54</v>
      </c>
      <c r="I140" s="56"/>
      <c r="J140" s="56">
        <f>K139+0</f>
        <v>15140.3</v>
      </c>
      <c r="K140" s="56"/>
      <c r="O140" s="48">
        <f>I139+0</f>
        <v>1976.54</v>
      </c>
      <c r="P140" s="48">
        <f>K139+0</f>
        <v>15140.3</v>
      </c>
    </row>
    <row r="142" spans="1:29" ht="42.75" x14ac:dyDescent="0.2">
      <c r="A142" s="49">
        <v>19</v>
      </c>
      <c r="B142" s="49" t="str">
        <f>Source!F66</f>
        <v>13.1-1-20</v>
      </c>
      <c r="C142" s="49" t="s">
        <v>547</v>
      </c>
      <c r="D142" s="50" t="str">
        <f>Source!H66</f>
        <v>шт.</v>
      </c>
      <c r="E142" s="51">
        <f>Source!I66</f>
        <v>4</v>
      </c>
      <c r="F142" s="52">
        <f>Source!AL66</f>
        <v>89.39</v>
      </c>
      <c r="G142" s="53" t="str">
        <f>Source!DD66</f>
        <v/>
      </c>
      <c r="H142" s="51">
        <f>Source!AW67</f>
        <v>1</v>
      </c>
      <c r="I142" s="52">
        <f>Source!P66</f>
        <v>357.56</v>
      </c>
      <c r="J142" s="51">
        <f>IF(Source!BC67&lt;&gt; 0, Source!BC67, 1)</f>
        <v>8.75</v>
      </c>
      <c r="K142" s="52">
        <f>Source!P67</f>
        <v>3128.65</v>
      </c>
      <c r="Q142">
        <f>Source!X66</f>
        <v>0</v>
      </c>
      <c r="R142">
        <f>Source!X67</f>
        <v>0</v>
      </c>
      <c r="S142">
        <f>Source!Y66</f>
        <v>0</v>
      </c>
      <c r="T142">
        <f>Source!Y67</f>
        <v>0</v>
      </c>
      <c r="U142">
        <f>ROUND((175/100)*ROUND(Source!R66, 2), 2)</f>
        <v>0</v>
      </c>
      <c r="V142">
        <f>ROUND((0/100)*ROUND(Source!R67, 2), 2)</f>
        <v>0</v>
      </c>
      <c r="AC142">
        <v>5</v>
      </c>
    </row>
    <row r="143" spans="1:29" ht="15" x14ac:dyDescent="0.2">
      <c r="A143" s="54"/>
      <c r="B143" s="54"/>
      <c r="C143" s="55" t="s">
        <v>529</v>
      </c>
      <c r="D143" s="54"/>
      <c r="E143" s="54"/>
      <c r="F143" s="54"/>
      <c r="G143" s="54"/>
      <c r="H143" s="56">
        <f>I142+0</f>
        <v>357.56</v>
      </c>
      <c r="I143" s="56"/>
      <c r="J143" s="56">
        <f>K142+0</f>
        <v>3128.65</v>
      </c>
      <c r="K143" s="56"/>
      <c r="O143" s="48">
        <f>I142+0</f>
        <v>357.56</v>
      </c>
      <c r="P143" s="48">
        <f>K142+0</f>
        <v>3128.65</v>
      </c>
    </row>
    <row r="145" spans="1:29" ht="78" x14ac:dyDescent="0.2">
      <c r="A145" s="34">
        <v>20</v>
      </c>
      <c r="B145" s="34" t="s">
        <v>548</v>
      </c>
      <c r="C145" s="34" t="s">
        <v>115</v>
      </c>
      <c r="D145" s="36" t="str">
        <f>Source!H68</f>
        <v>1  ШТ.</v>
      </c>
      <c r="E145" s="35">
        <f>Source!I68</f>
        <v>7</v>
      </c>
      <c r="F145" s="38"/>
      <c r="G145" s="37"/>
      <c r="H145" s="35"/>
      <c r="I145" s="38"/>
      <c r="J145" s="35"/>
      <c r="K145" s="38"/>
      <c r="Q145">
        <f>Source!X68</f>
        <v>85.1</v>
      </c>
      <c r="R145">
        <f>Source!X69</f>
        <v>4679.87</v>
      </c>
      <c r="S145">
        <f>Source!Y68</f>
        <v>43.5</v>
      </c>
      <c r="T145">
        <f>Source!Y69</f>
        <v>2391.9299999999998</v>
      </c>
      <c r="U145">
        <f>ROUND((175/100)*ROUND(Source!R68, 2), 2)</f>
        <v>1.1200000000000001</v>
      </c>
      <c r="V145">
        <f>ROUND((0/100)*ROUND(Source!R69, 2), 2)</f>
        <v>0</v>
      </c>
      <c r="AC145">
        <v>0</v>
      </c>
    </row>
    <row r="146" spans="1:29" ht="14.25" x14ac:dyDescent="0.2">
      <c r="A146" s="34"/>
      <c r="B146" s="34"/>
      <c r="C146" s="34" t="s">
        <v>520</v>
      </c>
      <c r="D146" s="36"/>
      <c r="E146" s="35"/>
      <c r="F146" s="38">
        <f>Source!AO68</f>
        <v>11.65</v>
      </c>
      <c r="G146" s="37" t="str">
        <f>Source!DG68</f>
        <v>*1,1</v>
      </c>
      <c r="H146" s="35">
        <f>Source!AV69</f>
        <v>1.0469999999999999</v>
      </c>
      <c r="I146" s="38">
        <f>Source!S68</f>
        <v>93.92</v>
      </c>
      <c r="J146" s="35">
        <f>IF(Source!BA69&lt;&gt; 0, Source!BA69, 1)</f>
        <v>54.99</v>
      </c>
      <c r="K146" s="38">
        <f>Source!S69</f>
        <v>5164.66</v>
      </c>
    </row>
    <row r="147" spans="1:29" ht="14.25" x14ac:dyDescent="0.2">
      <c r="A147" s="34"/>
      <c r="B147" s="34"/>
      <c r="C147" s="34" t="s">
        <v>521</v>
      </c>
      <c r="D147" s="36"/>
      <c r="E147" s="35"/>
      <c r="F147" s="38">
        <f>Source!AM68</f>
        <v>0.5</v>
      </c>
      <c r="G147" s="37" t="str">
        <f>Source!DE68</f>
        <v>*1,1</v>
      </c>
      <c r="H147" s="35">
        <f>Source!AV69</f>
        <v>1.0469999999999999</v>
      </c>
      <c r="I147" s="38">
        <f>Source!Q68</f>
        <v>4.03</v>
      </c>
      <c r="J147" s="35">
        <f>IF(Source!BB69&lt;&gt; 0, Source!BB69, 1)</f>
        <v>16.260000000000002</v>
      </c>
      <c r="K147" s="38">
        <f>Source!Q69</f>
        <v>65.53</v>
      </c>
    </row>
    <row r="148" spans="1:29" ht="14.25" x14ac:dyDescent="0.2">
      <c r="A148" s="34"/>
      <c r="B148" s="34"/>
      <c r="C148" s="34" t="s">
        <v>522</v>
      </c>
      <c r="D148" s="36"/>
      <c r="E148" s="35"/>
      <c r="F148" s="38">
        <f>Source!AN68</f>
        <v>0.08</v>
      </c>
      <c r="G148" s="37" t="str">
        <f>Source!DF68</f>
        <v>*1,1</v>
      </c>
      <c r="H148" s="35">
        <f>Source!AV69</f>
        <v>1.0469999999999999</v>
      </c>
      <c r="I148" s="40">
        <f>Source!R68</f>
        <v>0.64</v>
      </c>
      <c r="J148" s="35">
        <f>IF(Source!BS69&lt;&gt; 0, Source!BS69, 1)</f>
        <v>54.99</v>
      </c>
      <c r="K148" s="40">
        <f>Source!R69</f>
        <v>35.19</v>
      </c>
    </row>
    <row r="149" spans="1:29" ht="68.25" x14ac:dyDescent="0.2">
      <c r="A149" s="34" t="s">
        <v>117</v>
      </c>
      <c r="B149" s="34" t="str">
        <f>Source!F70</f>
        <v>КА 11</v>
      </c>
      <c r="C149" s="34" t="s">
        <v>549</v>
      </c>
      <c r="D149" s="36" t="str">
        <f>Source!H70</f>
        <v>шт.</v>
      </c>
      <c r="E149" s="35">
        <f>Source!I70</f>
        <v>49</v>
      </c>
      <c r="F149" s="38">
        <f>Source!AK70</f>
        <v>232.73</v>
      </c>
      <c r="G149" s="57" t="s">
        <v>3</v>
      </c>
      <c r="H149" s="35">
        <f>Source!AW71</f>
        <v>1</v>
      </c>
      <c r="I149" s="38">
        <f>Source!O70</f>
        <v>11403.77</v>
      </c>
      <c r="J149" s="35">
        <f>IF(Source!BC71&lt;&gt; 0, Source!BC71, 1)</f>
        <v>9.8800000000000008</v>
      </c>
      <c r="K149" s="38">
        <f>Source!O71</f>
        <v>112669.25</v>
      </c>
      <c r="Q149">
        <f>Source!X70</f>
        <v>0</v>
      </c>
      <c r="R149">
        <f>Source!X71</f>
        <v>0</v>
      </c>
      <c r="S149">
        <f>Source!Y70</f>
        <v>0</v>
      </c>
      <c r="T149">
        <f>Source!Y71</f>
        <v>0</v>
      </c>
      <c r="U149">
        <f>ROUND((175/100)*ROUND(Source!R70, 2), 2)</f>
        <v>0</v>
      </c>
      <c r="V149">
        <f>ROUND((0/100)*ROUND(Source!R71, 2), 2)</f>
        <v>0</v>
      </c>
      <c r="AC149">
        <v>3</v>
      </c>
    </row>
    <row r="150" spans="1:29" ht="14.25" x14ac:dyDescent="0.2">
      <c r="A150" s="34"/>
      <c r="B150" s="34"/>
      <c r="C150" s="34" t="s">
        <v>524</v>
      </c>
      <c r="D150" s="36" t="s">
        <v>525</v>
      </c>
      <c r="E150" s="35">
        <f>Source!BZ69</f>
        <v>90</v>
      </c>
      <c r="F150" s="38"/>
      <c r="G150" s="37"/>
      <c r="H150" s="35"/>
      <c r="I150" s="38">
        <f>SUM(Q145:Q149)</f>
        <v>85.1</v>
      </c>
      <c r="J150" s="35">
        <f>Source!AT69</f>
        <v>90</v>
      </c>
      <c r="K150" s="38">
        <f>SUM(R145:R149)</f>
        <v>4679.87</v>
      </c>
    </row>
    <row r="151" spans="1:29" ht="14.25" x14ac:dyDescent="0.2">
      <c r="A151" s="34"/>
      <c r="B151" s="34"/>
      <c r="C151" s="34" t="s">
        <v>526</v>
      </c>
      <c r="D151" s="36" t="s">
        <v>525</v>
      </c>
      <c r="E151" s="35">
        <f>Source!CA69</f>
        <v>46</v>
      </c>
      <c r="F151" s="38"/>
      <c r="G151" s="37"/>
      <c r="H151" s="35"/>
      <c r="I151" s="38">
        <f>SUM(S145:S150)</f>
        <v>43.5</v>
      </c>
      <c r="J151" s="35">
        <f>Source!AU69</f>
        <v>46</v>
      </c>
      <c r="K151" s="38">
        <f>SUM(T145:T150)</f>
        <v>2391.9299999999998</v>
      </c>
    </row>
    <row r="152" spans="1:29" ht="14.25" x14ac:dyDescent="0.2">
      <c r="A152" s="41"/>
      <c r="B152" s="41"/>
      <c r="C152" s="41" t="s">
        <v>527</v>
      </c>
      <c r="D152" s="42" t="s">
        <v>528</v>
      </c>
      <c r="E152" s="43">
        <f>Source!AQ68</f>
        <v>1.03</v>
      </c>
      <c r="F152" s="44"/>
      <c r="G152" s="45" t="str">
        <f>Source!DI68</f>
        <v>*1,1</v>
      </c>
      <c r="H152" s="43">
        <f>Source!AV69</f>
        <v>1.0469999999999999</v>
      </c>
      <c r="I152" s="44">
        <f>Source!U68</f>
        <v>8.3037570000000009</v>
      </c>
      <c r="J152" s="43"/>
      <c r="K152" s="44"/>
    </row>
    <row r="153" spans="1:29" ht="15" x14ac:dyDescent="0.2">
      <c r="C153" s="46" t="s">
        <v>529</v>
      </c>
      <c r="H153" s="47">
        <f>I146+I147+I150+I151+SUM(I149:I149)</f>
        <v>11630.32</v>
      </c>
      <c r="I153" s="47"/>
      <c r="J153" s="47">
        <f>K146+K147+K150+K151+SUM(K149:K149)</f>
        <v>124971.24</v>
      </c>
      <c r="K153" s="47"/>
      <c r="O153" s="48">
        <f>I146+I147+I150+I151+SUM(I149:I149)</f>
        <v>11630.32</v>
      </c>
      <c r="P153" s="48">
        <f>K146+K147+K150+K151+SUM(K149:K149)</f>
        <v>124971.24</v>
      </c>
    </row>
    <row r="155" spans="1:29" ht="78" x14ac:dyDescent="0.2">
      <c r="A155" s="34">
        <v>21</v>
      </c>
      <c r="B155" s="34" t="s">
        <v>550</v>
      </c>
      <c r="C155" s="34" t="s">
        <v>123</v>
      </c>
      <c r="D155" s="36" t="str">
        <f>Source!H72</f>
        <v>1 рамка</v>
      </c>
      <c r="E155" s="35">
        <f>Source!I72</f>
        <v>7</v>
      </c>
      <c r="F155" s="38"/>
      <c r="G155" s="37"/>
      <c r="H155" s="35"/>
      <c r="I155" s="38"/>
      <c r="J155" s="35"/>
      <c r="K155" s="38"/>
      <c r="Q155">
        <f>Source!X72</f>
        <v>5.66</v>
      </c>
      <c r="R155">
        <f>Source!X73</f>
        <v>311.3</v>
      </c>
      <c r="S155">
        <f>Source!Y72</f>
        <v>2.89</v>
      </c>
      <c r="T155">
        <f>Source!Y73</f>
        <v>159.11000000000001</v>
      </c>
      <c r="U155">
        <f>ROUND((175/100)*ROUND(Source!R72, 2), 2)</f>
        <v>0</v>
      </c>
      <c r="V155">
        <f>ROUND((0/100)*ROUND(Source!R73, 2), 2)</f>
        <v>0</v>
      </c>
      <c r="AC155">
        <v>0</v>
      </c>
    </row>
    <row r="156" spans="1:29" ht="14.25" x14ac:dyDescent="0.2">
      <c r="A156" s="34"/>
      <c r="B156" s="34"/>
      <c r="C156" s="34" t="s">
        <v>520</v>
      </c>
      <c r="D156" s="36"/>
      <c r="E156" s="35"/>
      <c r="F156" s="38">
        <f>Source!AO72</f>
        <v>0.78</v>
      </c>
      <c r="G156" s="37" t="str">
        <f>Source!DG72</f>
        <v>*1,1</v>
      </c>
      <c r="H156" s="35">
        <f>Source!AV73</f>
        <v>1.0469999999999999</v>
      </c>
      <c r="I156" s="38">
        <f>Source!S72</f>
        <v>6.29</v>
      </c>
      <c r="J156" s="35">
        <f>IF(Source!BA73&lt;&gt; 0, Source!BA73, 1)</f>
        <v>54.99</v>
      </c>
      <c r="K156" s="38">
        <f>Source!S73</f>
        <v>345.89</v>
      </c>
    </row>
    <row r="157" spans="1:29" ht="41.25" x14ac:dyDescent="0.2">
      <c r="A157" s="34" t="s">
        <v>126</v>
      </c>
      <c r="B157" s="34" t="str">
        <f>Source!F74</f>
        <v>КА 12</v>
      </c>
      <c r="C157" s="34" t="s">
        <v>551</v>
      </c>
      <c r="D157" s="36" t="str">
        <f>Source!H74</f>
        <v>шт.</v>
      </c>
      <c r="E157" s="35">
        <f>Source!I74</f>
        <v>7</v>
      </c>
      <c r="F157" s="38">
        <f>Source!AK74</f>
        <v>37</v>
      </c>
      <c r="G157" s="57" t="s">
        <v>3</v>
      </c>
      <c r="H157" s="35">
        <f>Source!AW75</f>
        <v>1</v>
      </c>
      <c r="I157" s="38">
        <f>Source!O74</f>
        <v>259</v>
      </c>
      <c r="J157" s="35">
        <f>IF(Source!BC75&lt;&gt; 0, Source!BC75, 1)</f>
        <v>9.8800000000000008</v>
      </c>
      <c r="K157" s="38">
        <f>Source!O75</f>
        <v>2558.92</v>
      </c>
      <c r="Q157">
        <f>Source!X74</f>
        <v>0</v>
      </c>
      <c r="R157">
        <f>Source!X75</f>
        <v>0</v>
      </c>
      <c r="S157">
        <f>Source!Y74</f>
        <v>0</v>
      </c>
      <c r="T157">
        <f>Source!Y75</f>
        <v>0</v>
      </c>
      <c r="U157">
        <f>ROUND((175/100)*ROUND(Source!R74, 2), 2)</f>
        <v>0</v>
      </c>
      <c r="V157">
        <f>ROUND((0/100)*ROUND(Source!R75, 2), 2)</f>
        <v>0</v>
      </c>
      <c r="AC157">
        <v>3</v>
      </c>
    </row>
    <row r="158" spans="1:29" ht="14.25" x14ac:dyDescent="0.2">
      <c r="A158" s="34"/>
      <c r="B158" s="34"/>
      <c r="C158" s="34" t="s">
        <v>524</v>
      </c>
      <c r="D158" s="36" t="s">
        <v>525</v>
      </c>
      <c r="E158" s="35">
        <f>Source!BZ73</f>
        <v>90</v>
      </c>
      <c r="F158" s="38"/>
      <c r="G158" s="37"/>
      <c r="H158" s="35"/>
      <c r="I158" s="38">
        <f>SUM(Q155:Q157)</f>
        <v>5.66</v>
      </c>
      <c r="J158" s="35">
        <f>Source!AT73</f>
        <v>90</v>
      </c>
      <c r="K158" s="38">
        <f>SUM(R155:R157)</f>
        <v>311.3</v>
      </c>
    </row>
    <row r="159" spans="1:29" ht="14.25" x14ac:dyDescent="0.2">
      <c r="A159" s="34"/>
      <c r="B159" s="34"/>
      <c r="C159" s="34" t="s">
        <v>526</v>
      </c>
      <c r="D159" s="36" t="s">
        <v>525</v>
      </c>
      <c r="E159" s="35">
        <f>Source!CA73</f>
        <v>46</v>
      </c>
      <c r="F159" s="38"/>
      <c r="G159" s="37"/>
      <c r="H159" s="35"/>
      <c r="I159" s="38">
        <f>SUM(S155:S158)</f>
        <v>2.89</v>
      </c>
      <c r="J159" s="35">
        <f>Source!AU73</f>
        <v>46</v>
      </c>
      <c r="K159" s="38">
        <f>SUM(T155:T158)</f>
        <v>159.11000000000001</v>
      </c>
    </row>
    <row r="160" spans="1:29" ht="14.25" x14ac:dyDescent="0.2">
      <c r="A160" s="41"/>
      <c r="B160" s="41"/>
      <c r="C160" s="41" t="s">
        <v>527</v>
      </c>
      <c r="D160" s="42" t="s">
        <v>528</v>
      </c>
      <c r="E160" s="43">
        <f>Source!AQ72</f>
        <v>7.0000000000000007E-2</v>
      </c>
      <c r="F160" s="44"/>
      <c r="G160" s="45" t="str">
        <f>Source!DI72</f>
        <v>*1,1</v>
      </c>
      <c r="H160" s="43">
        <f>Source!AV73</f>
        <v>1.0469999999999999</v>
      </c>
      <c r="I160" s="44">
        <f>Source!U72</f>
        <v>0.56433300000000008</v>
      </c>
      <c r="J160" s="43"/>
      <c r="K160" s="44"/>
    </row>
    <row r="161" spans="1:29" ht="15" x14ac:dyDescent="0.2">
      <c r="C161" s="46" t="s">
        <v>529</v>
      </c>
      <c r="H161" s="47">
        <f>I156+I158+I159+SUM(I157:I157)</f>
        <v>273.83999999999997</v>
      </c>
      <c r="I161" s="47"/>
      <c r="J161" s="47">
        <f>K156+K158+K159+SUM(K157:K157)</f>
        <v>3375.2200000000003</v>
      </c>
      <c r="K161" s="47"/>
      <c r="O161" s="48">
        <f>I156+I158+I159+SUM(I157:I157)</f>
        <v>273.83999999999997</v>
      </c>
      <c r="P161" s="48">
        <f>K156+K158+K159+SUM(K157:K157)</f>
        <v>3375.2200000000003</v>
      </c>
    </row>
    <row r="163" spans="1:29" ht="78" x14ac:dyDescent="0.2">
      <c r="A163" s="34">
        <v>22</v>
      </c>
      <c r="B163" s="34" t="s">
        <v>552</v>
      </c>
      <c r="C163" s="34" t="s">
        <v>132</v>
      </c>
      <c r="D163" s="36" t="str">
        <f>Source!H76</f>
        <v>1  ШТ.</v>
      </c>
      <c r="E163" s="35">
        <f>Source!I76</f>
        <v>1</v>
      </c>
      <c r="F163" s="38"/>
      <c r="G163" s="37"/>
      <c r="H163" s="35"/>
      <c r="I163" s="38"/>
      <c r="J163" s="35"/>
      <c r="K163" s="38"/>
      <c r="Q163">
        <f>Source!X76</f>
        <v>40</v>
      </c>
      <c r="R163">
        <f>Source!X77</f>
        <v>2199.38</v>
      </c>
      <c r="S163">
        <f>Source!Y76</f>
        <v>20.440000000000001</v>
      </c>
      <c r="T163">
        <f>Source!Y77</f>
        <v>1124.1300000000001</v>
      </c>
      <c r="U163">
        <f>ROUND((175/100)*ROUND(Source!R76, 2), 2)</f>
        <v>8.14</v>
      </c>
      <c r="V163">
        <f>ROUND((0/100)*ROUND(Source!R77, 2), 2)</f>
        <v>0</v>
      </c>
      <c r="AC163">
        <v>0</v>
      </c>
    </row>
    <row r="164" spans="1:29" ht="14.25" x14ac:dyDescent="0.2">
      <c r="A164" s="34"/>
      <c r="B164" s="34"/>
      <c r="C164" s="34" t="s">
        <v>520</v>
      </c>
      <c r="D164" s="36"/>
      <c r="E164" s="35"/>
      <c r="F164" s="38">
        <f>Source!AO76</f>
        <v>34.549999999999997</v>
      </c>
      <c r="G164" s="37" t="str">
        <f>Source!DG76</f>
        <v>*1,1</v>
      </c>
      <c r="H164" s="35">
        <f>Source!AV77</f>
        <v>1.0469999999999999</v>
      </c>
      <c r="I164" s="38">
        <f>Source!S76</f>
        <v>39.79</v>
      </c>
      <c r="J164" s="35">
        <f>IF(Source!BA77&lt;&gt; 0, Source!BA77, 1)</f>
        <v>54.99</v>
      </c>
      <c r="K164" s="38">
        <f>Source!S77</f>
        <v>2188.0500000000002</v>
      </c>
    </row>
    <row r="165" spans="1:29" ht="14.25" x14ac:dyDescent="0.2">
      <c r="A165" s="34"/>
      <c r="B165" s="34"/>
      <c r="C165" s="34" t="s">
        <v>521</v>
      </c>
      <c r="D165" s="36"/>
      <c r="E165" s="35"/>
      <c r="F165" s="38">
        <f>Source!AM76</f>
        <v>26.59</v>
      </c>
      <c r="G165" s="37" t="str">
        <f>Source!DE76</f>
        <v>*1,1</v>
      </c>
      <c r="H165" s="35">
        <f>Source!AV77</f>
        <v>1.0469999999999999</v>
      </c>
      <c r="I165" s="38">
        <f>Source!Q76</f>
        <v>30.62</v>
      </c>
      <c r="J165" s="35">
        <f>IF(Source!BB77&lt;&gt; 0, Source!BB77, 1)</f>
        <v>16.3</v>
      </c>
      <c r="K165" s="38">
        <f>Source!Q77</f>
        <v>499.11</v>
      </c>
    </row>
    <row r="166" spans="1:29" ht="14.25" x14ac:dyDescent="0.2">
      <c r="A166" s="34"/>
      <c r="B166" s="34"/>
      <c r="C166" s="34" t="s">
        <v>522</v>
      </c>
      <c r="D166" s="36"/>
      <c r="E166" s="35"/>
      <c r="F166" s="38">
        <f>Source!AN76</f>
        <v>4.04</v>
      </c>
      <c r="G166" s="37" t="str">
        <f>Source!DF76</f>
        <v>*1,1</v>
      </c>
      <c r="H166" s="35">
        <f>Source!AV77</f>
        <v>1.0469999999999999</v>
      </c>
      <c r="I166" s="40">
        <f>Source!R76</f>
        <v>4.6500000000000004</v>
      </c>
      <c r="J166" s="35">
        <f>IF(Source!BS77&lt;&gt; 0, Source!BS77, 1)</f>
        <v>54.99</v>
      </c>
      <c r="K166" s="40">
        <f>Source!R77</f>
        <v>255.7</v>
      </c>
    </row>
    <row r="167" spans="1:29" ht="14.25" x14ac:dyDescent="0.2">
      <c r="A167" s="34"/>
      <c r="B167" s="34"/>
      <c r="C167" s="34" t="s">
        <v>524</v>
      </c>
      <c r="D167" s="36" t="s">
        <v>525</v>
      </c>
      <c r="E167" s="35">
        <f>Source!BZ77</f>
        <v>90</v>
      </c>
      <c r="F167" s="38"/>
      <c r="G167" s="37"/>
      <c r="H167" s="35"/>
      <c r="I167" s="38">
        <f>SUM(Q163:Q166)</f>
        <v>40</v>
      </c>
      <c r="J167" s="35">
        <f>Source!AT77</f>
        <v>90</v>
      </c>
      <c r="K167" s="38">
        <f>SUM(R163:R166)</f>
        <v>2199.38</v>
      </c>
    </row>
    <row r="168" spans="1:29" ht="14.25" x14ac:dyDescent="0.2">
      <c r="A168" s="34"/>
      <c r="B168" s="34"/>
      <c r="C168" s="34" t="s">
        <v>526</v>
      </c>
      <c r="D168" s="36" t="s">
        <v>525</v>
      </c>
      <c r="E168" s="35">
        <f>Source!CA77</f>
        <v>46</v>
      </c>
      <c r="F168" s="38"/>
      <c r="G168" s="37"/>
      <c r="H168" s="35"/>
      <c r="I168" s="38">
        <f>SUM(S163:S167)</f>
        <v>20.440000000000001</v>
      </c>
      <c r="J168" s="35">
        <f>Source!AU77</f>
        <v>46</v>
      </c>
      <c r="K168" s="38">
        <f>SUM(T163:T167)</f>
        <v>1124.1300000000001</v>
      </c>
    </row>
    <row r="169" spans="1:29" ht="14.25" x14ac:dyDescent="0.2">
      <c r="A169" s="41"/>
      <c r="B169" s="41"/>
      <c r="C169" s="41" t="s">
        <v>527</v>
      </c>
      <c r="D169" s="42" t="s">
        <v>528</v>
      </c>
      <c r="E169" s="43">
        <f>Source!AQ76</f>
        <v>3.09</v>
      </c>
      <c r="F169" s="44"/>
      <c r="G169" s="45" t="str">
        <f>Source!DI76</f>
        <v>*1,1</v>
      </c>
      <c r="H169" s="43">
        <f>Source!AV77</f>
        <v>1.0469999999999999</v>
      </c>
      <c r="I169" s="44">
        <f>Source!U76</f>
        <v>3.5587529999999998</v>
      </c>
      <c r="J169" s="43"/>
      <c r="K169" s="44"/>
    </row>
    <row r="170" spans="1:29" ht="15" x14ac:dyDescent="0.2">
      <c r="C170" s="46" t="s">
        <v>529</v>
      </c>
      <c r="H170" s="47">
        <f>I164+I165+I167+I168+0</f>
        <v>130.85</v>
      </c>
      <c r="I170" s="47"/>
      <c r="J170" s="47">
        <f>K164+K165+K167+K168+0</f>
        <v>6010.670000000001</v>
      </c>
      <c r="K170" s="47"/>
      <c r="O170" s="48">
        <f>I164+I165+I167+I168+0</f>
        <v>130.85</v>
      </c>
      <c r="P170" s="48">
        <f>K164+K165+K167+K168+0</f>
        <v>6010.670000000001</v>
      </c>
    </row>
    <row r="172" spans="1:29" ht="111" x14ac:dyDescent="0.2">
      <c r="A172" s="49">
        <v>23</v>
      </c>
      <c r="B172" s="49" t="str">
        <f>Source!F78</f>
        <v>КА 13</v>
      </c>
      <c r="C172" s="49" t="s">
        <v>553</v>
      </c>
      <c r="D172" s="50" t="str">
        <f>Source!H78</f>
        <v>шт.</v>
      </c>
      <c r="E172" s="51">
        <f>Source!I78</f>
        <v>1</v>
      </c>
      <c r="F172" s="52">
        <f>Source!AL78</f>
        <v>53114.44</v>
      </c>
      <c r="G172" s="53" t="str">
        <f>Source!DD78</f>
        <v/>
      </c>
      <c r="H172" s="51">
        <f>Source!AW79</f>
        <v>1</v>
      </c>
      <c r="I172" s="52">
        <f>Source!P78</f>
        <v>53114.44</v>
      </c>
      <c r="J172" s="51">
        <f>IF(Source!BC79&lt;&gt; 0, Source!BC79, 1)</f>
        <v>7.66</v>
      </c>
      <c r="K172" s="52">
        <f>Source!P79</f>
        <v>406856.61</v>
      </c>
      <c r="Q172">
        <f>Source!X78</f>
        <v>0</v>
      </c>
      <c r="R172">
        <f>Source!X79</f>
        <v>0</v>
      </c>
      <c r="S172">
        <f>Source!Y78</f>
        <v>0</v>
      </c>
      <c r="T172">
        <f>Source!Y79</f>
        <v>0</v>
      </c>
      <c r="U172">
        <f>ROUND((175/100)*ROUND(Source!R78, 2), 2)</f>
        <v>0</v>
      </c>
      <c r="V172">
        <f>ROUND((0/100)*ROUND(Source!R79, 2), 2)</f>
        <v>0</v>
      </c>
      <c r="AC172">
        <v>5</v>
      </c>
    </row>
    <row r="173" spans="1:29" ht="15" x14ac:dyDescent="0.2">
      <c r="A173" s="54"/>
      <c r="B173" s="54"/>
      <c r="C173" s="55" t="s">
        <v>529</v>
      </c>
      <c r="D173" s="54"/>
      <c r="E173" s="54"/>
      <c r="F173" s="54"/>
      <c r="G173" s="54"/>
      <c r="H173" s="56">
        <f>I172+0</f>
        <v>53114.44</v>
      </c>
      <c r="I173" s="56"/>
      <c r="J173" s="56">
        <f>K172+0</f>
        <v>406856.61</v>
      </c>
      <c r="K173" s="56"/>
      <c r="O173" s="48">
        <f>I172+0</f>
        <v>53114.44</v>
      </c>
      <c r="P173" s="48">
        <f>K172+0</f>
        <v>406856.61</v>
      </c>
    </row>
    <row r="175" spans="1:29" ht="78" x14ac:dyDescent="0.2">
      <c r="A175" s="34">
        <v>24</v>
      </c>
      <c r="B175" s="34" t="s">
        <v>545</v>
      </c>
      <c r="C175" s="34" t="s">
        <v>104</v>
      </c>
      <c r="D175" s="36" t="str">
        <f>Source!H80</f>
        <v>1  ШТ.</v>
      </c>
      <c r="E175" s="35">
        <f>Source!I80</f>
        <v>1</v>
      </c>
      <c r="F175" s="38"/>
      <c r="G175" s="37"/>
      <c r="H175" s="35"/>
      <c r="I175" s="38"/>
      <c r="J175" s="35"/>
      <c r="K175" s="38"/>
      <c r="Q175">
        <f>Source!X80</f>
        <v>41.63</v>
      </c>
      <c r="R175">
        <f>Source!X81</f>
        <v>2289.46</v>
      </c>
      <c r="S175">
        <f>Source!Y80</f>
        <v>21.28</v>
      </c>
      <c r="T175">
        <f>Source!Y81</f>
        <v>1170.17</v>
      </c>
      <c r="U175">
        <f>ROUND((175/100)*ROUND(Source!R80, 2), 2)</f>
        <v>0</v>
      </c>
      <c r="V175">
        <f>ROUND((0/100)*ROUND(Source!R81, 2), 2)</f>
        <v>0</v>
      </c>
      <c r="AC175">
        <v>0</v>
      </c>
    </row>
    <row r="176" spans="1:29" ht="14.25" x14ac:dyDescent="0.2">
      <c r="A176" s="34"/>
      <c r="B176" s="34"/>
      <c r="C176" s="34" t="s">
        <v>520</v>
      </c>
      <c r="D176" s="36"/>
      <c r="E176" s="35"/>
      <c r="F176" s="38">
        <f>Source!AO80</f>
        <v>40.17</v>
      </c>
      <c r="G176" s="37" t="str">
        <f>Source!DG80</f>
        <v>*1,1</v>
      </c>
      <c r="H176" s="35">
        <f>Source!AV81</f>
        <v>1.0469999999999999</v>
      </c>
      <c r="I176" s="38">
        <f>Source!S80</f>
        <v>46.26</v>
      </c>
      <c r="J176" s="35">
        <f>IF(Source!BA81&lt;&gt; 0, Source!BA81, 1)</f>
        <v>54.99</v>
      </c>
      <c r="K176" s="38">
        <f>Source!S81</f>
        <v>2543.84</v>
      </c>
    </row>
    <row r="177" spans="1:29" ht="14.25" x14ac:dyDescent="0.2">
      <c r="A177" s="34"/>
      <c r="B177" s="34"/>
      <c r="C177" s="34" t="s">
        <v>523</v>
      </c>
      <c r="D177" s="36"/>
      <c r="E177" s="35"/>
      <c r="F177" s="38">
        <f>Source!AL80</f>
        <v>2.34</v>
      </c>
      <c r="G177" s="37" t="str">
        <f>Source!DD80</f>
        <v>*1</v>
      </c>
      <c r="H177" s="35">
        <f>Source!AW81</f>
        <v>1</v>
      </c>
      <c r="I177" s="38">
        <f>Source!P80</f>
        <v>2.34</v>
      </c>
      <c r="J177" s="35">
        <f>IF(Source!BC81&lt;&gt; 0, Source!BC81, 1)</f>
        <v>10.26</v>
      </c>
      <c r="K177" s="38">
        <f>Source!P81</f>
        <v>24.01</v>
      </c>
    </row>
    <row r="178" spans="1:29" ht="14.25" x14ac:dyDescent="0.2">
      <c r="A178" s="34"/>
      <c r="B178" s="34"/>
      <c r="C178" s="34" t="s">
        <v>524</v>
      </c>
      <c r="D178" s="36" t="s">
        <v>525</v>
      </c>
      <c r="E178" s="35">
        <f>Source!BZ81</f>
        <v>90</v>
      </c>
      <c r="F178" s="38"/>
      <c r="G178" s="37"/>
      <c r="H178" s="35"/>
      <c r="I178" s="38">
        <f>SUM(Q175:Q177)</f>
        <v>41.63</v>
      </c>
      <c r="J178" s="35">
        <f>Source!AT81</f>
        <v>90</v>
      </c>
      <c r="K178" s="38">
        <f>SUM(R175:R177)</f>
        <v>2289.46</v>
      </c>
    </row>
    <row r="179" spans="1:29" ht="14.25" x14ac:dyDescent="0.2">
      <c r="A179" s="34"/>
      <c r="B179" s="34"/>
      <c r="C179" s="34" t="s">
        <v>526</v>
      </c>
      <c r="D179" s="36" t="s">
        <v>525</v>
      </c>
      <c r="E179" s="35">
        <f>Source!CA81</f>
        <v>46</v>
      </c>
      <c r="F179" s="38"/>
      <c r="G179" s="37"/>
      <c r="H179" s="35"/>
      <c r="I179" s="38">
        <f>SUM(S175:S178)</f>
        <v>21.28</v>
      </c>
      <c r="J179" s="35">
        <f>Source!AU81</f>
        <v>46</v>
      </c>
      <c r="K179" s="38">
        <f>SUM(T175:T178)</f>
        <v>1170.17</v>
      </c>
    </row>
    <row r="180" spans="1:29" ht="14.25" x14ac:dyDescent="0.2">
      <c r="A180" s="41"/>
      <c r="B180" s="41"/>
      <c r="C180" s="41" t="s">
        <v>527</v>
      </c>
      <c r="D180" s="42" t="s">
        <v>528</v>
      </c>
      <c r="E180" s="43">
        <f>Source!AQ80</f>
        <v>3.18</v>
      </c>
      <c r="F180" s="44"/>
      <c r="G180" s="45" t="str">
        <f>Source!DI80</f>
        <v>*1,1</v>
      </c>
      <c r="H180" s="43">
        <f>Source!AV81</f>
        <v>1.0469999999999999</v>
      </c>
      <c r="I180" s="44">
        <f>Source!U80</f>
        <v>3.6624060000000003</v>
      </c>
      <c r="J180" s="43"/>
      <c r="K180" s="44"/>
    </row>
    <row r="181" spans="1:29" ht="15" x14ac:dyDescent="0.2">
      <c r="C181" s="46" t="s">
        <v>529</v>
      </c>
      <c r="H181" s="47">
        <f>I176+I177+I178+I179+0</f>
        <v>111.50999999999999</v>
      </c>
      <c r="I181" s="47"/>
      <c r="J181" s="47">
        <f>K176+K177+K178+K179+0</f>
        <v>6027.4800000000005</v>
      </c>
      <c r="K181" s="47"/>
      <c r="O181" s="48">
        <f>I176+I177+I178+I179+0</f>
        <v>111.50999999999999</v>
      </c>
      <c r="P181" s="48">
        <f>K176+K177+K178+K179+0</f>
        <v>6027.4800000000005</v>
      </c>
    </row>
    <row r="183" spans="1:29" ht="68.25" x14ac:dyDescent="0.2">
      <c r="A183" s="49">
        <v>25</v>
      </c>
      <c r="B183" s="49" t="str">
        <f>Source!F82</f>
        <v>КА 14</v>
      </c>
      <c r="C183" s="49" t="s">
        <v>554</v>
      </c>
      <c r="D183" s="50" t="str">
        <f>Source!H82</f>
        <v>шт.</v>
      </c>
      <c r="E183" s="51">
        <f>Source!I82</f>
        <v>1</v>
      </c>
      <c r="F183" s="52">
        <f>Source!AL82</f>
        <v>4552.96</v>
      </c>
      <c r="G183" s="53" t="str">
        <f>Source!DD82</f>
        <v/>
      </c>
      <c r="H183" s="51">
        <f>Source!AW83</f>
        <v>1</v>
      </c>
      <c r="I183" s="52">
        <f>Source!P82</f>
        <v>4552.96</v>
      </c>
      <c r="J183" s="51">
        <f>IF(Source!BC83&lt;&gt; 0, Source!BC83, 1)</f>
        <v>7.66</v>
      </c>
      <c r="K183" s="52">
        <f>Source!P83</f>
        <v>34875.67</v>
      </c>
      <c r="Q183">
        <f>Source!X82</f>
        <v>0</v>
      </c>
      <c r="R183">
        <f>Source!X83</f>
        <v>0</v>
      </c>
      <c r="S183">
        <f>Source!Y82</f>
        <v>0</v>
      </c>
      <c r="T183">
        <f>Source!Y83</f>
        <v>0</v>
      </c>
      <c r="U183">
        <f>ROUND((175/100)*ROUND(Source!R82, 2), 2)</f>
        <v>0</v>
      </c>
      <c r="V183">
        <f>ROUND((0/100)*ROUND(Source!R83, 2), 2)</f>
        <v>0</v>
      </c>
      <c r="AC183">
        <v>5</v>
      </c>
    </row>
    <row r="184" spans="1:29" ht="15" x14ac:dyDescent="0.2">
      <c r="A184" s="54"/>
      <c r="B184" s="54"/>
      <c r="C184" s="55" t="s">
        <v>529</v>
      </c>
      <c r="D184" s="54"/>
      <c r="E184" s="54"/>
      <c r="F184" s="54"/>
      <c r="G184" s="54"/>
      <c r="H184" s="56">
        <f>I183+0</f>
        <v>4552.96</v>
      </c>
      <c r="I184" s="56"/>
      <c r="J184" s="56">
        <f>K183+0</f>
        <v>34875.67</v>
      </c>
      <c r="K184" s="56"/>
      <c r="O184" s="48">
        <f>I183+0</f>
        <v>4552.96</v>
      </c>
      <c r="P184" s="48">
        <f>K183+0</f>
        <v>34875.67</v>
      </c>
    </row>
    <row r="186" spans="1:29" ht="78" x14ac:dyDescent="0.2">
      <c r="A186" s="34">
        <v>26</v>
      </c>
      <c r="B186" s="34" t="s">
        <v>555</v>
      </c>
      <c r="C186" s="34" t="s">
        <v>145</v>
      </c>
      <c r="D186" s="36" t="str">
        <f>Source!H84</f>
        <v>1  ШТ.</v>
      </c>
      <c r="E186" s="35">
        <f>Source!I84</f>
        <v>7</v>
      </c>
      <c r="F186" s="38"/>
      <c r="G186" s="37"/>
      <c r="H186" s="35"/>
      <c r="I186" s="38"/>
      <c r="J186" s="35"/>
      <c r="K186" s="38"/>
      <c r="Q186">
        <f>Source!X84</f>
        <v>590.62</v>
      </c>
      <c r="R186">
        <f>Source!X85</f>
        <v>32477.98</v>
      </c>
      <c r="S186">
        <f>Source!Y84</f>
        <v>301.87</v>
      </c>
      <c r="T186">
        <f>Source!Y85</f>
        <v>16599.849999999999</v>
      </c>
      <c r="U186">
        <f>ROUND((175/100)*ROUND(Source!R84, 2), 2)</f>
        <v>44.59</v>
      </c>
      <c r="V186">
        <f>ROUND((0/100)*ROUND(Source!R85, 2), 2)</f>
        <v>0</v>
      </c>
      <c r="AC186">
        <v>0</v>
      </c>
    </row>
    <row r="187" spans="1:29" ht="14.25" x14ac:dyDescent="0.2">
      <c r="A187" s="34"/>
      <c r="B187" s="34"/>
      <c r="C187" s="34" t="s">
        <v>520</v>
      </c>
      <c r="D187" s="36"/>
      <c r="E187" s="35"/>
      <c r="F187" s="38">
        <f>Source!AO84</f>
        <v>78.239999999999995</v>
      </c>
      <c r="G187" s="37" t="str">
        <f>Source!DG84</f>
        <v>*1,1</v>
      </c>
      <c r="H187" s="35">
        <f>Source!AV85</f>
        <v>1.0469999999999999</v>
      </c>
      <c r="I187" s="38">
        <f>Source!S84</f>
        <v>630.76</v>
      </c>
      <c r="J187" s="35">
        <f>IF(Source!BA85&lt;&gt; 0, Source!BA85, 1)</f>
        <v>54.99</v>
      </c>
      <c r="K187" s="38">
        <f>Source!S85</f>
        <v>34685.49</v>
      </c>
    </row>
    <row r="188" spans="1:29" ht="14.25" x14ac:dyDescent="0.2">
      <c r="A188" s="34"/>
      <c r="B188" s="34"/>
      <c r="C188" s="34" t="s">
        <v>521</v>
      </c>
      <c r="D188" s="36"/>
      <c r="E188" s="35"/>
      <c r="F188" s="38">
        <f>Source!AM84</f>
        <v>28.71</v>
      </c>
      <c r="G188" s="37" t="str">
        <f>Source!DE84</f>
        <v>*1,1</v>
      </c>
      <c r="H188" s="35">
        <f>Source!AV85</f>
        <v>1.0469999999999999</v>
      </c>
      <c r="I188" s="38">
        <f>Source!Q84</f>
        <v>231.46</v>
      </c>
      <c r="J188" s="35">
        <f>IF(Source!BB85&lt;&gt; 0, Source!BB85, 1)</f>
        <v>15.46</v>
      </c>
      <c r="K188" s="38">
        <f>Source!Q85</f>
        <v>3578.37</v>
      </c>
    </row>
    <row r="189" spans="1:29" ht="14.25" x14ac:dyDescent="0.2">
      <c r="A189" s="34"/>
      <c r="B189" s="34"/>
      <c r="C189" s="34" t="s">
        <v>522</v>
      </c>
      <c r="D189" s="36"/>
      <c r="E189" s="35"/>
      <c r="F189" s="38">
        <f>Source!AN84</f>
        <v>3.16</v>
      </c>
      <c r="G189" s="37" t="str">
        <f>Source!DF84</f>
        <v>*1,1</v>
      </c>
      <c r="H189" s="35">
        <f>Source!AV85</f>
        <v>1.0469999999999999</v>
      </c>
      <c r="I189" s="40">
        <f>Source!R84</f>
        <v>25.48</v>
      </c>
      <c r="J189" s="35">
        <f>IF(Source!BS85&lt;&gt; 0, Source!BS85, 1)</f>
        <v>54.99</v>
      </c>
      <c r="K189" s="40">
        <f>Source!R85</f>
        <v>1401.15</v>
      </c>
    </row>
    <row r="190" spans="1:29" ht="14.25" x14ac:dyDescent="0.2">
      <c r="A190" s="34"/>
      <c r="B190" s="34"/>
      <c r="C190" s="34" t="s">
        <v>523</v>
      </c>
      <c r="D190" s="36"/>
      <c r="E190" s="35"/>
      <c r="F190" s="38">
        <f>Source!AL84</f>
        <v>12.35</v>
      </c>
      <c r="G190" s="37" t="str">
        <f>Source!DD84</f>
        <v>*1</v>
      </c>
      <c r="H190" s="35">
        <f>Source!AW85</f>
        <v>1</v>
      </c>
      <c r="I190" s="38">
        <f>Source!P84</f>
        <v>86.45</v>
      </c>
      <c r="J190" s="35">
        <f>IF(Source!BC85&lt;&gt; 0, Source!BC85, 1)</f>
        <v>14.7</v>
      </c>
      <c r="K190" s="38">
        <f>Source!P85</f>
        <v>1270.82</v>
      </c>
    </row>
    <row r="191" spans="1:29" ht="14.25" x14ac:dyDescent="0.2">
      <c r="A191" s="34"/>
      <c r="B191" s="34"/>
      <c r="C191" s="34" t="s">
        <v>524</v>
      </c>
      <c r="D191" s="36" t="s">
        <v>525</v>
      </c>
      <c r="E191" s="35">
        <f>Source!BZ85</f>
        <v>90</v>
      </c>
      <c r="F191" s="38"/>
      <c r="G191" s="37"/>
      <c r="H191" s="35"/>
      <c r="I191" s="38">
        <f>SUM(Q186:Q190)</f>
        <v>590.62</v>
      </c>
      <c r="J191" s="35">
        <f>Source!AT85</f>
        <v>90</v>
      </c>
      <c r="K191" s="38">
        <f>SUM(R186:R190)</f>
        <v>32477.98</v>
      </c>
    </row>
    <row r="192" spans="1:29" ht="14.25" x14ac:dyDescent="0.2">
      <c r="A192" s="34"/>
      <c r="B192" s="34"/>
      <c r="C192" s="34" t="s">
        <v>526</v>
      </c>
      <c r="D192" s="36" t="s">
        <v>525</v>
      </c>
      <c r="E192" s="35">
        <f>Source!CA85</f>
        <v>46</v>
      </c>
      <c r="F192" s="38"/>
      <c r="G192" s="37"/>
      <c r="H192" s="35"/>
      <c r="I192" s="38">
        <f>SUM(S186:S191)</f>
        <v>301.87</v>
      </c>
      <c r="J192" s="35">
        <f>Source!AU85</f>
        <v>46</v>
      </c>
      <c r="K192" s="38">
        <f>SUM(T186:T191)</f>
        <v>16599.849999999999</v>
      </c>
    </row>
    <row r="193" spans="1:29" ht="14.25" x14ac:dyDescent="0.2">
      <c r="A193" s="41"/>
      <c r="B193" s="41"/>
      <c r="C193" s="41" t="s">
        <v>527</v>
      </c>
      <c r="D193" s="42" t="s">
        <v>528</v>
      </c>
      <c r="E193" s="43">
        <f>Source!AQ84</f>
        <v>6.2</v>
      </c>
      <c r="F193" s="44"/>
      <c r="G193" s="45" t="str">
        <f>Source!DI84</f>
        <v>*1,1</v>
      </c>
      <c r="H193" s="43">
        <f>Source!AV85</f>
        <v>1.0469999999999999</v>
      </c>
      <c r="I193" s="44">
        <f>Source!U84</f>
        <v>49.983780000000003</v>
      </c>
      <c r="J193" s="43"/>
      <c r="K193" s="44"/>
    </row>
    <row r="194" spans="1:29" ht="15" x14ac:dyDescent="0.2">
      <c r="C194" s="46" t="s">
        <v>529</v>
      </c>
      <c r="H194" s="47">
        <f>I187+I188+I190+I191+I192+0</f>
        <v>1841.1599999999999</v>
      </c>
      <c r="I194" s="47"/>
      <c r="J194" s="47">
        <f>K187+K188+K190+K191+K192+0</f>
        <v>88612.510000000009</v>
      </c>
      <c r="K194" s="47"/>
      <c r="O194" s="48">
        <f>I187+I188+I190+I191+I192+0</f>
        <v>1841.1599999999999</v>
      </c>
      <c r="P194" s="48">
        <f>K187+K188+K190+K191+K192+0</f>
        <v>88612.510000000009</v>
      </c>
    </row>
    <row r="196" spans="1:29" ht="68.25" x14ac:dyDescent="0.2">
      <c r="A196" s="49">
        <v>27</v>
      </c>
      <c r="B196" s="49" t="str">
        <f>Source!F86</f>
        <v>КА 15</v>
      </c>
      <c r="C196" s="49" t="s">
        <v>556</v>
      </c>
      <c r="D196" s="50" t="str">
        <f>Source!H86</f>
        <v>шт.</v>
      </c>
      <c r="E196" s="51">
        <f>Source!I86</f>
        <v>7</v>
      </c>
      <c r="F196" s="52">
        <f>Source!AL86</f>
        <v>2533.66</v>
      </c>
      <c r="G196" s="53" t="str">
        <f>Source!DD86</f>
        <v/>
      </c>
      <c r="H196" s="51">
        <f>Source!AW87</f>
        <v>1</v>
      </c>
      <c r="I196" s="52">
        <f>Source!P86</f>
        <v>17735.62</v>
      </c>
      <c r="J196" s="51">
        <f>IF(Source!BC87&lt;&gt; 0, Source!BC87, 1)</f>
        <v>7.66</v>
      </c>
      <c r="K196" s="52">
        <f>Source!P87</f>
        <v>135854.85</v>
      </c>
      <c r="Q196">
        <f>Source!X86</f>
        <v>0</v>
      </c>
      <c r="R196">
        <f>Source!X87</f>
        <v>0</v>
      </c>
      <c r="S196">
        <f>Source!Y86</f>
        <v>0</v>
      </c>
      <c r="T196">
        <f>Source!Y87</f>
        <v>0</v>
      </c>
      <c r="U196">
        <f>ROUND((175/100)*ROUND(Source!R86, 2), 2)</f>
        <v>0</v>
      </c>
      <c r="V196">
        <f>ROUND((0/100)*ROUND(Source!R87, 2), 2)</f>
        <v>0</v>
      </c>
      <c r="AC196">
        <v>5</v>
      </c>
    </row>
    <row r="197" spans="1:29" ht="15" x14ac:dyDescent="0.2">
      <c r="A197" s="54"/>
      <c r="B197" s="54"/>
      <c r="C197" s="55" t="s">
        <v>529</v>
      </c>
      <c r="D197" s="54"/>
      <c r="E197" s="54"/>
      <c r="F197" s="54"/>
      <c r="G197" s="54"/>
      <c r="H197" s="56">
        <f>I196+0</f>
        <v>17735.62</v>
      </c>
      <c r="I197" s="56"/>
      <c r="J197" s="56">
        <f>K196+0</f>
        <v>135854.85</v>
      </c>
      <c r="K197" s="56"/>
      <c r="O197" s="48">
        <f>I196+0</f>
        <v>17735.62</v>
      </c>
      <c r="P197" s="48">
        <f>K196+0</f>
        <v>135854.85</v>
      </c>
    </row>
    <row r="199" spans="1:29" ht="27" x14ac:dyDescent="0.2">
      <c r="A199" s="41">
        <v>28</v>
      </c>
      <c r="B199" s="41" t="str">
        <f>Source!F88</f>
        <v>КА 16</v>
      </c>
      <c r="C199" s="41" t="s">
        <v>557</v>
      </c>
      <c r="D199" s="42" t="str">
        <f>Source!H88</f>
        <v>шт.</v>
      </c>
      <c r="E199" s="43">
        <f>Source!I88</f>
        <v>50</v>
      </c>
      <c r="F199" s="44">
        <f>Source!AL88</f>
        <v>1.72</v>
      </c>
      <c r="G199" s="45" t="str">
        <f>Source!DD88</f>
        <v/>
      </c>
      <c r="H199" s="43">
        <f>Source!AW89</f>
        <v>1</v>
      </c>
      <c r="I199" s="44">
        <f>Source!P88</f>
        <v>86</v>
      </c>
      <c r="J199" s="43">
        <f>IF(Source!BC89&lt;&gt; 0, Source!BC89, 1)</f>
        <v>9.8800000000000008</v>
      </c>
      <c r="K199" s="44">
        <f>Source!P89</f>
        <v>849.68</v>
      </c>
      <c r="Q199">
        <f>Source!X88</f>
        <v>0</v>
      </c>
      <c r="R199">
        <f>Source!X89</f>
        <v>0</v>
      </c>
      <c r="S199">
        <f>Source!Y88</f>
        <v>0</v>
      </c>
      <c r="T199">
        <f>Source!Y89</f>
        <v>0</v>
      </c>
      <c r="U199">
        <f>ROUND((175/100)*ROUND(Source!R88, 2), 2)</f>
        <v>0</v>
      </c>
      <c r="V199">
        <f>ROUND((0/100)*ROUND(Source!R89, 2), 2)</f>
        <v>0</v>
      </c>
      <c r="AC199">
        <v>3</v>
      </c>
    </row>
    <row r="200" spans="1:29" ht="15" x14ac:dyDescent="0.2">
      <c r="C200" s="46" t="s">
        <v>529</v>
      </c>
      <c r="H200" s="47">
        <f>I199+0</f>
        <v>86</v>
      </c>
      <c r="I200" s="47"/>
      <c r="J200" s="47">
        <f>K199+0</f>
        <v>849.68</v>
      </c>
      <c r="K200" s="47"/>
      <c r="O200" s="48">
        <f>I199+0</f>
        <v>86</v>
      </c>
      <c r="P200" s="48">
        <f>K199+0</f>
        <v>849.68</v>
      </c>
    </row>
    <row r="203" spans="1:29" ht="15" x14ac:dyDescent="0.25">
      <c r="A203" s="61" t="str">
        <f>CONCATENATE("Итого по разделу: ",IF(Source!G91&lt;&gt;"Новый раздел", Source!G91, ""))</f>
        <v>Итого по разделу: Оборудование</v>
      </c>
      <c r="B203" s="61"/>
      <c r="C203" s="61"/>
      <c r="D203" s="61"/>
      <c r="E203" s="61"/>
      <c r="F203" s="61"/>
      <c r="G203" s="61"/>
      <c r="H203" s="60">
        <f>SUM(O29:O202)</f>
        <v>506949.48</v>
      </c>
      <c r="I203" s="59"/>
      <c r="J203" s="60">
        <f>SUM(P29:P202)</f>
        <v>4451096.9799999995</v>
      </c>
      <c r="K203" s="59"/>
    </row>
    <row r="204" spans="1:29" hidden="1" x14ac:dyDescent="0.2">
      <c r="A204" t="s">
        <v>558</v>
      </c>
      <c r="I204">
        <f>SUM(W29:W203)</f>
        <v>0</v>
      </c>
      <c r="J204">
        <f>SUM(X29:X203)</f>
        <v>0</v>
      </c>
    </row>
    <row r="205" spans="1:29" hidden="1" x14ac:dyDescent="0.2">
      <c r="A205" t="s">
        <v>559</v>
      </c>
      <c r="I205">
        <f>SUM(Y29:Y204)</f>
        <v>0</v>
      </c>
      <c r="J205">
        <f>SUM(Z29:Z204)</f>
        <v>0</v>
      </c>
    </row>
    <row r="207" spans="1:29" ht="16.5" x14ac:dyDescent="0.2">
      <c r="A207" s="33" t="str">
        <f>CONCATENATE("Раздел: ",IF(Source!G121&lt;&gt;"Новый раздел", Source!G121, ""))</f>
        <v>Раздел: Кабельные изделия и материалы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29" ht="78" x14ac:dyDescent="0.2">
      <c r="A208" s="34">
        <v>29</v>
      </c>
      <c r="B208" s="34" t="s">
        <v>560</v>
      </c>
      <c r="C208" s="34" t="s">
        <v>214</v>
      </c>
      <c r="D208" s="36" t="str">
        <f>Source!H125</f>
        <v>100 м</v>
      </c>
      <c r="E208" s="35">
        <f>Source!I125</f>
        <v>8.6999999999999993</v>
      </c>
      <c r="F208" s="38"/>
      <c r="G208" s="37"/>
      <c r="H208" s="35"/>
      <c r="I208" s="38"/>
      <c r="J208" s="35"/>
      <c r="K208" s="38"/>
      <c r="Q208">
        <f>Source!X125</f>
        <v>1924.1</v>
      </c>
      <c r="R208">
        <f>Source!X126</f>
        <v>105806.36</v>
      </c>
      <c r="S208">
        <f>Source!Y125</f>
        <v>1011.64</v>
      </c>
      <c r="T208">
        <f>Source!Y126</f>
        <v>55630.15</v>
      </c>
      <c r="U208">
        <f>ROUND((175/100)*ROUND(Source!R125, 2), 2)</f>
        <v>100.12</v>
      </c>
      <c r="V208">
        <f>ROUND((0/100)*ROUND(Source!R126, 2), 2)</f>
        <v>0</v>
      </c>
      <c r="AC208">
        <v>0</v>
      </c>
    </row>
    <row r="209" spans="1:29" x14ac:dyDescent="0.2">
      <c r="C209" s="39" t="str">
        <f>"Объем: "&amp;Source!I125&amp;"=870/"&amp;"100"</f>
        <v>Объем: 8,7=870/100</v>
      </c>
    </row>
    <row r="210" spans="1:29" ht="14.25" x14ac:dyDescent="0.2">
      <c r="A210" s="34"/>
      <c r="B210" s="34"/>
      <c r="C210" s="34" t="s">
        <v>520</v>
      </c>
      <c r="D210" s="36"/>
      <c r="E210" s="35"/>
      <c r="F210" s="38">
        <f>Source!AO125</f>
        <v>192.26</v>
      </c>
      <c r="G210" s="37" t="str">
        <f>Source!DG125</f>
        <v>*1,1</v>
      </c>
      <c r="H210" s="35">
        <f>Source!AV126</f>
        <v>1.0469999999999999</v>
      </c>
      <c r="I210" s="38">
        <f>Source!S125</f>
        <v>1926.4</v>
      </c>
      <c r="J210" s="35">
        <f>IF(Source!BA126&lt;&gt; 0, Source!BA126, 1)</f>
        <v>54.99</v>
      </c>
      <c r="K210" s="38">
        <f>Source!S126</f>
        <v>105932.74</v>
      </c>
    </row>
    <row r="211" spans="1:29" ht="14.25" x14ac:dyDescent="0.2">
      <c r="A211" s="34"/>
      <c r="B211" s="34"/>
      <c r="C211" s="34" t="s">
        <v>521</v>
      </c>
      <c r="D211" s="36"/>
      <c r="E211" s="35"/>
      <c r="F211" s="38">
        <f>Source!AM125</f>
        <v>32.869999999999997</v>
      </c>
      <c r="G211" s="37" t="str">
        <f>Source!DE125</f>
        <v>*1,1</v>
      </c>
      <c r="H211" s="35">
        <f>Source!AV126</f>
        <v>1.0469999999999999</v>
      </c>
      <c r="I211" s="38">
        <f>Source!Q125</f>
        <v>329.35</v>
      </c>
      <c r="J211" s="35">
        <f>IF(Source!BB126&lt;&gt; 0, Source!BB126, 1)</f>
        <v>17.850000000000001</v>
      </c>
      <c r="K211" s="38">
        <f>Source!Q126</f>
        <v>5878.9</v>
      </c>
    </row>
    <row r="212" spans="1:29" ht="14.25" x14ac:dyDescent="0.2">
      <c r="A212" s="34"/>
      <c r="B212" s="34"/>
      <c r="C212" s="34" t="s">
        <v>522</v>
      </c>
      <c r="D212" s="36"/>
      <c r="E212" s="35"/>
      <c r="F212" s="38">
        <f>Source!AN125</f>
        <v>5.71</v>
      </c>
      <c r="G212" s="37" t="str">
        <f>Source!DF125</f>
        <v>*1,1</v>
      </c>
      <c r="H212" s="35">
        <f>Source!AV126</f>
        <v>1.0469999999999999</v>
      </c>
      <c r="I212" s="40">
        <f>Source!R125</f>
        <v>57.21</v>
      </c>
      <c r="J212" s="35">
        <f>IF(Source!BS126&lt;&gt; 0, Source!BS126, 1)</f>
        <v>54.99</v>
      </c>
      <c r="K212" s="40">
        <f>Source!R126</f>
        <v>3145.98</v>
      </c>
    </row>
    <row r="213" spans="1:29" ht="14.25" x14ac:dyDescent="0.2">
      <c r="A213" s="34"/>
      <c r="B213" s="34"/>
      <c r="C213" s="34" t="s">
        <v>523</v>
      </c>
      <c r="D213" s="36"/>
      <c r="E213" s="35"/>
      <c r="F213" s="38">
        <f>Source!AL125</f>
        <v>314.29000000000002</v>
      </c>
      <c r="G213" s="37" t="str">
        <f>Source!DD125</f>
        <v>*1</v>
      </c>
      <c r="H213" s="35">
        <f>Source!AW126</f>
        <v>1</v>
      </c>
      <c r="I213" s="38">
        <f>Source!P125</f>
        <v>2734.32</v>
      </c>
      <c r="J213" s="35">
        <f>IF(Source!BC126&lt;&gt; 0, Source!BC126, 1)</f>
        <v>9.89</v>
      </c>
      <c r="K213" s="38">
        <f>Source!P126</f>
        <v>27042.42</v>
      </c>
    </row>
    <row r="214" spans="1:29" ht="78" x14ac:dyDescent="0.2">
      <c r="A214" s="34" t="s">
        <v>219</v>
      </c>
      <c r="B214" s="34" t="s">
        <v>561</v>
      </c>
      <c r="C214" s="34" t="s">
        <v>221</v>
      </c>
      <c r="D214" s="36" t="str">
        <f>Source!H127</f>
        <v>м</v>
      </c>
      <c r="E214" s="35">
        <f>Source!I127</f>
        <v>887.4</v>
      </c>
      <c r="F214" s="38">
        <f>Source!AK127</f>
        <v>3.45</v>
      </c>
      <c r="G214" s="57" t="s">
        <v>562</v>
      </c>
      <c r="H214" s="35">
        <f>Source!AW128</f>
        <v>1</v>
      </c>
      <c r="I214" s="38">
        <f>Source!O127</f>
        <v>3061.53</v>
      </c>
      <c r="J214" s="35">
        <f>IF(Source!BC128&lt;&gt; 0, Source!BC128, 1)</f>
        <v>3.93</v>
      </c>
      <c r="K214" s="38">
        <f>Source!O128</f>
        <v>12031.81</v>
      </c>
      <c r="Q214">
        <f>Source!X127</f>
        <v>0</v>
      </c>
      <c r="R214">
        <f>Source!X128</f>
        <v>0</v>
      </c>
      <c r="S214">
        <f>Source!Y127</f>
        <v>0</v>
      </c>
      <c r="T214">
        <f>Source!Y128</f>
        <v>0</v>
      </c>
      <c r="U214">
        <f>ROUND((175/100)*ROUND(Source!R127, 2), 2)</f>
        <v>0</v>
      </c>
      <c r="V214">
        <f>ROUND((0/100)*ROUND(Source!R128, 2), 2)</f>
        <v>0</v>
      </c>
      <c r="AC214">
        <v>3</v>
      </c>
    </row>
    <row r="215" spans="1:29" ht="92.25" x14ac:dyDescent="0.2">
      <c r="A215" s="34" t="s">
        <v>224</v>
      </c>
      <c r="B215" s="34" t="s">
        <v>563</v>
      </c>
      <c r="C215" s="34" t="s">
        <v>226</v>
      </c>
      <c r="D215" s="36" t="str">
        <f>Source!H129</f>
        <v>100 шт.</v>
      </c>
      <c r="E215" s="35">
        <f>Source!I129</f>
        <v>17.399999999999999</v>
      </c>
      <c r="F215" s="38">
        <f>Source!AK129</f>
        <v>146.88999999999999</v>
      </c>
      <c r="G215" s="57" t="s">
        <v>562</v>
      </c>
      <c r="H215" s="35">
        <f>Source!AW130</f>
        <v>1</v>
      </c>
      <c r="I215" s="38">
        <f>Source!O129</f>
        <v>2555.89</v>
      </c>
      <c r="J215" s="35">
        <f>IF(Source!BC130&lt;&gt; 0, Source!BC130, 1)</f>
        <v>2.0299999999999998</v>
      </c>
      <c r="K215" s="38">
        <f>Source!O130</f>
        <v>5188.46</v>
      </c>
      <c r="Q215">
        <f>Source!X129</f>
        <v>0</v>
      </c>
      <c r="R215">
        <f>Source!X130</f>
        <v>0</v>
      </c>
      <c r="S215">
        <f>Source!Y129</f>
        <v>0</v>
      </c>
      <c r="T215">
        <f>Source!Y130</f>
        <v>0</v>
      </c>
      <c r="U215">
        <f>ROUND((175/100)*ROUND(Source!R129, 2), 2)</f>
        <v>0</v>
      </c>
      <c r="V215">
        <f>ROUND((0/100)*ROUND(Source!R130, 2), 2)</f>
        <v>0</v>
      </c>
      <c r="AC215">
        <v>3</v>
      </c>
    </row>
    <row r="216" spans="1:29" ht="14.25" x14ac:dyDescent="0.2">
      <c r="A216" s="34"/>
      <c r="B216" s="34"/>
      <c r="C216" s="34" t="s">
        <v>524</v>
      </c>
      <c r="D216" s="36" t="s">
        <v>525</v>
      </c>
      <c r="E216" s="35">
        <f>Source!BZ126</f>
        <v>97</v>
      </c>
      <c r="F216" s="38"/>
      <c r="G216" s="37"/>
      <c r="H216" s="35"/>
      <c r="I216" s="38">
        <f>SUM(Q208:Q215)</f>
        <v>1924.1</v>
      </c>
      <c r="J216" s="35">
        <f>Source!AT126</f>
        <v>97</v>
      </c>
      <c r="K216" s="38">
        <f>SUM(R208:R215)</f>
        <v>105806.36</v>
      </c>
    </row>
    <row r="217" spans="1:29" ht="14.25" x14ac:dyDescent="0.2">
      <c r="A217" s="34"/>
      <c r="B217" s="34"/>
      <c r="C217" s="34" t="s">
        <v>526</v>
      </c>
      <c r="D217" s="36" t="s">
        <v>525</v>
      </c>
      <c r="E217" s="35">
        <f>Source!CA126</f>
        <v>51</v>
      </c>
      <c r="F217" s="38"/>
      <c r="G217" s="37"/>
      <c r="H217" s="35"/>
      <c r="I217" s="38">
        <f>SUM(S208:S216)</f>
        <v>1011.64</v>
      </c>
      <c r="J217" s="35">
        <f>Source!AU126</f>
        <v>51</v>
      </c>
      <c r="K217" s="38">
        <f>SUM(T208:T216)</f>
        <v>55630.15</v>
      </c>
    </row>
    <row r="218" spans="1:29" ht="14.25" x14ac:dyDescent="0.2">
      <c r="A218" s="41"/>
      <c r="B218" s="41"/>
      <c r="C218" s="41" t="s">
        <v>527</v>
      </c>
      <c r="D218" s="42" t="s">
        <v>528</v>
      </c>
      <c r="E218" s="43">
        <f>Source!AQ125</f>
        <v>15</v>
      </c>
      <c r="F218" s="44"/>
      <c r="G218" s="45" t="str">
        <f>Source!DI125</f>
        <v>*1,1</v>
      </c>
      <c r="H218" s="43">
        <f>Source!AV126</f>
        <v>1.0469999999999999</v>
      </c>
      <c r="I218" s="44">
        <f>Source!U125</f>
        <v>150.29684999999998</v>
      </c>
      <c r="J218" s="43"/>
      <c r="K218" s="44"/>
    </row>
    <row r="219" spans="1:29" ht="15" x14ac:dyDescent="0.2">
      <c r="C219" s="46" t="s">
        <v>529</v>
      </c>
      <c r="H219" s="47">
        <f>I210+I211+I213+I216+I217+SUM(I214:I215)</f>
        <v>13543.23</v>
      </c>
      <c r="I219" s="47"/>
      <c r="J219" s="47">
        <f>K210+K211+K213+K216+K217+SUM(K214:K215)</f>
        <v>317510.84000000003</v>
      </c>
      <c r="K219" s="47"/>
      <c r="O219" s="48">
        <f>I210+I211+I213+I216+I217+SUM(I214:I215)</f>
        <v>13543.23</v>
      </c>
      <c r="P219" s="48">
        <f>K210+K211+K213+K216+K217+SUM(K214:K215)</f>
        <v>317510.84000000003</v>
      </c>
    </row>
    <row r="221" spans="1:29" ht="78" x14ac:dyDescent="0.2">
      <c r="A221" s="34">
        <v>30</v>
      </c>
      <c r="B221" s="34" t="s">
        <v>564</v>
      </c>
      <c r="C221" s="34" t="s">
        <v>231</v>
      </c>
      <c r="D221" s="36" t="str">
        <f>Source!H131</f>
        <v>100 м</v>
      </c>
      <c r="E221" s="35">
        <f>Source!I131</f>
        <v>4.7</v>
      </c>
      <c r="F221" s="38"/>
      <c r="G221" s="37"/>
      <c r="H221" s="35"/>
      <c r="I221" s="38"/>
      <c r="J221" s="35"/>
      <c r="K221" s="38"/>
      <c r="Q221">
        <f>Source!X131</f>
        <v>1000.5</v>
      </c>
      <c r="R221">
        <f>Source!X132</f>
        <v>55017.31</v>
      </c>
      <c r="S221">
        <f>Source!Y131</f>
        <v>526.03</v>
      </c>
      <c r="T221">
        <f>Source!Y132</f>
        <v>28926.63</v>
      </c>
      <c r="U221">
        <f>ROUND((175/100)*ROUND(Source!R131, 2), 2)</f>
        <v>51.71</v>
      </c>
      <c r="V221">
        <f>ROUND((0/100)*ROUND(Source!R132, 2), 2)</f>
        <v>0</v>
      </c>
      <c r="AC221">
        <v>0</v>
      </c>
    </row>
    <row r="222" spans="1:29" x14ac:dyDescent="0.2">
      <c r="C222" s="39" t="str">
        <f>"Объем: "&amp;Source!I131&amp;"=470/"&amp;"100"</f>
        <v>Объем: 4,7=470/100</v>
      </c>
    </row>
    <row r="223" spans="1:29" ht="14.25" x14ac:dyDescent="0.2">
      <c r="A223" s="34"/>
      <c r="B223" s="34"/>
      <c r="C223" s="34" t="s">
        <v>520</v>
      </c>
      <c r="D223" s="36"/>
      <c r="E223" s="35"/>
      <c r="F223" s="38">
        <f>Source!AO131</f>
        <v>185.09</v>
      </c>
      <c r="G223" s="37" t="str">
        <f>Source!DG131</f>
        <v>*1,1</v>
      </c>
      <c r="H223" s="35">
        <f>Source!AV132</f>
        <v>1.0469999999999999</v>
      </c>
      <c r="I223" s="38">
        <f>Source!S131</f>
        <v>1001.89</v>
      </c>
      <c r="J223" s="35">
        <f>IF(Source!BA132&lt;&gt; 0, Source!BA132, 1)</f>
        <v>54.99</v>
      </c>
      <c r="K223" s="38">
        <f>Source!S132</f>
        <v>55093.93</v>
      </c>
    </row>
    <row r="224" spans="1:29" ht="14.25" x14ac:dyDescent="0.2">
      <c r="A224" s="34"/>
      <c r="B224" s="34"/>
      <c r="C224" s="34" t="s">
        <v>521</v>
      </c>
      <c r="D224" s="36"/>
      <c r="E224" s="35"/>
      <c r="F224" s="38">
        <f>Source!AM131</f>
        <v>32.74</v>
      </c>
      <c r="G224" s="37" t="str">
        <f>Source!DE131</f>
        <v>*1,1</v>
      </c>
      <c r="H224" s="35">
        <f>Source!AV132</f>
        <v>1.0469999999999999</v>
      </c>
      <c r="I224" s="38">
        <f>Source!Q131</f>
        <v>177.22</v>
      </c>
      <c r="J224" s="35">
        <f>IF(Source!BB132&lt;&gt; 0, Source!BB132, 1)</f>
        <v>17.54</v>
      </c>
      <c r="K224" s="38">
        <f>Source!Q132</f>
        <v>3108.44</v>
      </c>
    </row>
    <row r="225" spans="1:29" ht="14.25" x14ac:dyDescent="0.2">
      <c r="A225" s="34"/>
      <c r="B225" s="34"/>
      <c r="C225" s="34" t="s">
        <v>522</v>
      </c>
      <c r="D225" s="36"/>
      <c r="E225" s="35"/>
      <c r="F225" s="38">
        <f>Source!AN131</f>
        <v>5.46</v>
      </c>
      <c r="G225" s="37" t="str">
        <f>Source!DF131</f>
        <v>*1,1</v>
      </c>
      <c r="H225" s="35">
        <f>Source!AV132</f>
        <v>1.0469999999999999</v>
      </c>
      <c r="I225" s="40">
        <f>Source!R131</f>
        <v>29.55</v>
      </c>
      <c r="J225" s="35">
        <f>IF(Source!BS132&lt;&gt; 0, Source!BS132, 1)</f>
        <v>54.99</v>
      </c>
      <c r="K225" s="40">
        <f>Source!R132</f>
        <v>1624.95</v>
      </c>
    </row>
    <row r="226" spans="1:29" ht="14.25" x14ac:dyDescent="0.2">
      <c r="A226" s="34"/>
      <c r="B226" s="34"/>
      <c r="C226" s="34" t="s">
        <v>523</v>
      </c>
      <c r="D226" s="36"/>
      <c r="E226" s="35"/>
      <c r="F226" s="38">
        <f>Source!AL131</f>
        <v>343.03</v>
      </c>
      <c r="G226" s="37" t="str">
        <f>Source!DD131</f>
        <v>*1</v>
      </c>
      <c r="H226" s="35">
        <f>Source!AW132</f>
        <v>1</v>
      </c>
      <c r="I226" s="38">
        <f>Source!P131</f>
        <v>1612.24</v>
      </c>
      <c r="J226" s="35">
        <f>IF(Source!BC132&lt;&gt; 0, Source!BC132, 1)</f>
        <v>9.89</v>
      </c>
      <c r="K226" s="38">
        <f>Source!P132</f>
        <v>15945.05</v>
      </c>
    </row>
    <row r="227" spans="1:29" ht="78" x14ac:dyDescent="0.2">
      <c r="A227" s="34" t="s">
        <v>233</v>
      </c>
      <c r="B227" s="34" t="s">
        <v>565</v>
      </c>
      <c r="C227" s="34" t="s">
        <v>235</v>
      </c>
      <c r="D227" s="36" t="str">
        <f>Source!H133</f>
        <v>м</v>
      </c>
      <c r="E227" s="35">
        <f>Source!I133</f>
        <v>479.4</v>
      </c>
      <c r="F227" s="38">
        <f>Source!AK133</f>
        <v>2.67</v>
      </c>
      <c r="G227" s="57" t="s">
        <v>562</v>
      </c>
      <c r="H227" s="35">
        <f>Source!AW134</f>
        <v>1</v>
      </c>
      <c r="I227" s="38">
        <f>Source!O133</f>
        <v>1280</v>
      </c>
      <c r="J227" s="35">
        <f>IF(Source!BC134&lt;&gt; 0, Source!BC134, 1)</f>
        <v>3.83</v>
      </c>
      <c r="K227" s="38">
        <f>Source!O134</f>
        <v>4902.3999999999996</v>
      </c>
      <c r="Q227">
        <f>Source!X133</f>
        <v>0</v>
      </c>
      <c r="R227">
        <f>Source!X134</f>
        <v>0</v>
      </c>
      <c r="S227">
        <f>Source!Y133</f>
        <v>0</v>
      </c>
      <c r="T227">
        <f>Source!Y134</f>
        <v>0</v>
      </c>
      <c r="U227">
        <f>ROUND((175/100)*ROUND(Source!R133, 2), 2)</f>
        <v>0</v>
      </c>
      <c r="V227">
        <f>ROUND((0/100)*ROUND(Source!R134, 2), 2)</f>
        <v>0</v>
      </c>
      <c r="AC227">
        <v>3</v>
      </c>
    </row>
    <row r="228" spans="1:29" ht="92.25" x14ac:dyDescent="0.2">
      <c r="A228" s="34" t="s">
        <v>237</v>
      </c>
      <c r="B228" s="34" t="s">
        <v>566</v>
      </c>
      <c r="C228" s="34" t="s">
        <v>239</v>
      </c>
      <c r="D228" s="36" t="str">
        <f>Source!H135</f>
        <v>100 шт.</v>
      </c>
      <c r="E228" s="35">
        <f>Source!I135</f>
        <v>9.4</v>
      </c>
      <c r="F228" s="38">
        <f>Source!AK135</f>
        <v>135.68</v>
      </c>
      <c r="G228" s="57" t="s">
        <v>562</v>
      </c>
      <c r="H228" s="35">
        <f>Source!AW136</f>
        <v>1</v>
      </c>
      <c r="I228" s="38">
        <f>Source!O135</f>
        <v>1275.3900000000001</v>
      </c>
      <c r="J228" s="35">
        <f>IF(Source!BC136&lt;&gt; 0, Source!BC136, 1)</f>
        <v>1.78</v>
      </c>
      <c r="K228" s="38">
        <f>Source!O136</f>
        <v>2270.19</v>
      </c>
      <c r="Q228">
        <f>Source!X135</f>
        <v>0</v>
      </c>
      <c r="R228">
        <f>Source!X136</f>
        <v>0</v>
      </c>
      <c r="S228">
        <f>Source!Y135</f>
        <v>0</v>
      </c>
      <c r="T228">
        <f>Source!Y136</f>
        <v>0</v>
      </c>
      <c r="U228">
        <f>ROUND((175/100)*ROUND(Source!R135, 2), 2)</f>
        <v>0</v>
      </c>
      <c r="V228">
        <f>ROUND((0/100)*ROUND(Source!R136, 2), 2)</f>
        <v>0</v>
      </c>
      <c r="AC228">
        <v>3</v>
      </c>
    </row>
    <row r="229" spans="1:29" ht="14.25" x14ac:dyDescent="0.2">
      <c r="A229" s="34"/>
      <c r="B229" s="34"/>
      <c r="C229" s="34" t="s">
        <v>524</v>
      </c>
      <c r="D229" s="36" t="s">
        <v>525</v>
      </c>
      <c r="E229" s="35">
        <f>Source!BZ132</f>
        <v>97</v>
      </c>
      <c r="F229" s="38"/>
      <c r="G229" s="37"/>
      <c r="H229" s="35"/>
      <c r="I229" s="38">
        <f>SUM(Q221:Q228)</f>
        <v>1000.5</v>
      </c>
      <c r="J229" s="35">
        <f>Source!AT132</f>
        <v>97</v>
      </c>
      <c r="K229" s="38">
        <f>SUM(R221:R228)</f>
        <v>55017.31</v>
      </c>
    </row>
    <row r="230" spans="1:29" ht="14.25" x14ac:dyDescent="0.2">
      <c r="A230" s="34"/>
      <c r="B230" s="34"/>
      <c r="C230" s="34" t="s">
        <v>526</v>
      </c>
      <c r="D230" s="36" t="s">
        <v>525</v>
      </c>
      <c r="E230" s="35">
        <f>Source!CA132</f>
        <v>51</v>
      </c>
      <c r="F230" s="38"/>
      <c r="G230" s="37"/>
      <c r="H230" s="35"/>
      <c r="I230" s="38">
        <f>SUM(S221:S229)</f>
        <v>526.03</v>
      </c>
      <c r="J230" s="35">
        <f>Source!AU132</f>
        <v>51</v>
      </c>
      <c r="K230" s="38">
        <f>SUM(T221:T229)</f>
        <v>28926.63</v>
      </c>
    </row>
    <row r="231" spans="1:29" ht="14.25" x14ac:dyDescent="0.2">
      <c r="A231" s="41"/>
      <c r="B231" s="41"/>
      <c r="C231" s="41" t="s">
        <v>527</v>
      </c>
      <c r="D231" s="42" t="s">
        <v>528</v>
      </c>
      <c r="E231" s="43">
        <f>Source!AQ131</f>
        <v>14.37</v>
      </c>
      <c r="F231" s="44"/>
      <c r="G231" s="45" t="str">
        <f>Source!DI131</f>
        <v>*1,1</v>
      </c>
      <c r="H231" s="43">
        <f>Source!AV132</f>
        <v>1.0469999999999999</v>
      </c>
      <c r="I231" s="44">
        <f>Source!U131</f>
        <v>77.784666299999998</v>
      </c>
      <c r="J231" s="43"/>
      <c r="K231" s="44"/>
    </row>
    <row r="232" spans="1:29" ht="15" x14ac:dyDescent="0.2">
      <c r="C232" s="46" t="s">
        <v>529</v>
      </c>
      <c r="H232" s="47">
        <f>I223+I224+I226+I229+I230+SUM(I227:I228)</f>
        <v>6873.27</v>
      </c>
      <c r="I232" s="47"/>
      <c r="J232" s="47">
        <f>K223+K224+K226+K229+K230+SUM(K227:K228)</f>
        <v>165263.94999999998</v>
      </c>
      <c r="K232" s="47"/>
      <c r="O232" s="48">
        <f>I223+I224+I226+I229+I230+SUM(I227:I228)</f>
        <v>6873.27</v>
      </c>
      <c r="P232" s="48">
        <f>K223+K224+K226+K229+K230+SUM(K227:K228)</f>
        <v>165263.94999999998</v>
      </c>
    </row>
    <row r="234" spans="1:29" ht="78" x14ac:dyDescent="0.2">
      <c r="A234" s="41">
        <v>31</v>
      </c>
      <c r="B234" s="41" t="s">
        <v>567</v>
      </c>
      <c r="C234" s="41" t="s">
        <v>243</v>
      </c>
      <c r="D234" s="42" t="str">
        <f>Source!H137</f>
        <v>кг</v>
      </c>
      <c r="E234" s="43">
        <f>Source!I137</f>
        <v>1</v>
      </c>
      <c r="F234" s="44">
        <f>Source!AL137</f>
        <v>42.53</v>
      </c>
      <c r="G234" s="45" t="str">
        <f>Source!DD137</f>
        <v>*1</v>
      </c>
      <c r="H234" s="43">
        <f>Source!AW138</f>
        <v>1</v>
      </c>
      <c r="I234" s="44">
        <f>Source!P137</f>
        <v>42.53</v>
      </c>
      <c r="J234" s="43">
        <f>IF(Source!BC138&lt;&gt; 0, Source!BC138, 1)</f>
        <v>4.22</v>
      </c>
      <c r="K234" s="44">
        <f>Source!P138</f>
        <v>179.48</v>
      </c>
      <c r="Q234">
        <f>Source!X137</f>
        <v>0</v>
      </c>
      <c r="R234">
        <f>Source!X138</f>
        <v>0</v>
      </c>
      <c r="S234">
        <f>Source!Y137</f>
        <v>0</v>
      </c>
      <c r="T234">
        <f>Source!Y138</f>
        <v>0</v>
      </c>
      <c r="U234">
        <f>ROUND((175/100)*ROUND(Source!R137, 2), 2)</f>
        <v>0</v>
      </c>
      <c r="V234">
        <f>ROUND((0/100)*ROUND(Source!R138, 2), 2)</f>
        <v>0</v>
      </c>
      <c r="AC234">
        <v>3</v>
      </c>
    </row>
    <row r="235" spans="1:29" ht="15" x14ac:dyDescent="0.2">
      <c r="C235" s="46" t="s">
        <v>529</v>
      </c>
      <c r="H235" s="47">
        <f>I234+0</f>
        <v>42.53</v>
      </c>
      <c r="I235" s="47"/>
      <c r="J235" s="47">
        <f>K234+0</f>
        <v>179.48</v>
      </c>
      <c r="K235" s="47"/>
      <c r="O235" s="48">
        <f>I234+0</f>
        <v>42.53</v>
      </c>
      <c r="P235" s="48">
        <f>K234+0</f>
        <v>179.48</v>
      </c>
    </row>
    <row r="237" spans="1:29" ht="78" x14ac:dyDescent="0.2">
      <c r="A237" s="34">
        <v>32</v>
      </c>
      <c r="B237" s="34" t="s">
        <v>568</v>
      </c>
      <c r="C237" s="34" t="s">
        <v>251</v>
      </c>
      <c r="D237" s="36" t="str">
        <f>Source!H139</f>
        <v>100 м</v>
      </c>
      <c r="E237" s="35">
        <f>Source!I139</f>
        <v>2.9</v>
      </c>
      <c r="F237" s="38"/>
      <c r="G237" s="37"/>
      <c r="H237" s="35"/>
      <c r="I237" s="38"/>
      <c r="J237" s="35"/>
      <c r="K237" s="38"/>
      <c r="Q237">
        <f>Source!X139</f>
        <v>179.9</v>
      </c>
      <c r="R237">
        <f>Source!X140</f>
        <v>9892.5</v>
      </c>
      <c r="S237">
        <f>Source!Y139</f>
        <v>94.58</v>
      </c>
      <c r="T237">
        <f>Source!Y140</f>
        <v>5201.21</v>
      </c>
      <c r="U237">
        <f>ROUND((175/100)*ROUND(Source!R139, 2), 2)</f>
        <v>1.75</v>
      </c>
      <c r="V237">
        <f>ROUND((0/100)*ROUND(Source!R140, 2), 2)</f>
        <v>0</v>
      </c>
      <c r="AC237">
        <v>0</v>
      </c>
    </row>
    <row r="238" spans="1:29" x14ac:dyDescent="0.2">
      <c r="C238" s="39" t="str">
        <f>"Объем: "&amp;Source!I139&amp;"=290/"&amp;"100"</f>
        <v>Объем: 2,9=290/100</v>
      </c>
    </row>
    <row r="239" spans="1:29" ht="14.25" x14ac:dyDescent="0.2">
      <c r="A239" s="34"/>
      <c r="B239" s="34"/>
      <c r="C239" s="34" t="s">
        <v>520</v>
      </c>
      <c r="D239" s="36"/>
      <c r="E239" s="35"/>
      <c r="F239" s="38">
        <f>Source!AO139</f>
        <v>55.23</v>
      </c>
      <c r="G239" s="37" t="str">
        <f>Source!DG139</f>
        <v>*1,1</v>
      </c>
      <c r="H239" s="35">
        <f>Source!AV140</f>
        <v>1.0469999999999999</v>
      </c>
      <c r="I239" s="38">
        <f>Source!S139</f>
        <v>184.46</v>
      </c>
      <c r="J239" s="35">
        <f>IF(Source!BA140&lt;&gt; 0, Source!BA140, 1)</f>
        <v>54.99</v>
      </c>
      <c r="K239" s="38">
        <f>Source!S140</f>
        <v>10143.459999999999</v>
      </c>
    </row>
    <row r="240" spans="1:29" ht="14.25" x14ac:dyDescent="0.2">
      <c r="A240" s="34"/>
      <c r="B240" s="34"/>
      <c r="C240" s="34" t="s">
        <v>521</v>
      </c>
      <c r="D240" s="36"/>
      <c r="E240" s="35"/>
      <c r="F240" s="38">
        <f>Source!AM139</f>
        <v>2.62</v>
      </c>
      <c r="G240" s="37" t="str">
        <f>Source!DE139</f>
        <v>*1,1</v>
      </c>
      <c r="H240" s="35">
        <f>Source!AV140</f>
        <v>1.0469999999999999</v>
      </c>
      <c r="I240" s="38">
        <f>Source!Q139</f>
        <v>8.75</v>
      </c>
      <c r="J240" s="35">
        <f>IF(Source!BB140&lt;&gt; 0, Source!BB140, 1)</f>
        <v>14.57</v>
      </c>
      <c r="K240" s="38">
        <f>Source!Q140</f>
        <v>127.49</v>
      </c>
    </row>
    <row r="241" spans="1:29" ht="14.25" x14ac:dyDescent="0.2">
      <c r="A241" s="34"/>
      <c r="B241" s="34"/>
      <c r="C241" s="34" t="s">
        <v>522</v>
      </c>
      <c r="D241" s="36"/>
      <c r="E241" s="35"/>
      <c r="F241" s="38">
        <f>Source!AN139</f>
        <v>0.3</v>
      </c>
      <c r="G241" s="37" t="str">
        <f>Source!DF139</f>
        <v>*1,1</v>
      </c>
      <c r="H241" s="35">
        <f>Source!AV140</f>
        <v>1.0469999999999999</v>
      </c>
      <c r="I241" s="40">
        <f>Source!R139</f>
        <v>1</v>
      </c>
      <c r="J241" s="35">
        <f>IF(Source!BS140&lt;&gt; 0, Source!BS140, 1)</f>
        <v>54.99</v>
      </c>
      <c r="K241" s="40">
        <f>Source!R140</f>
        <v>54.99</v>
      </c>
    </row>
    <row r="242" spans="1:29" ht="14.25" x14ac:dyDescent="0.2">
      <c r="A242" s="34"/>
      <c r="B242" s="34"/>
      <c r="C242" s="34" t="s">
        <v>523</v>
      </c>
      <c r="D242" s="36"/>
      <c r="E242" s="35"/>
      <c r="F242" s="38">
        <f>Source!AL139</f>
        <v>58.15</v>
      </c>
      <c r="G242" s="37" t="str">
        <f>Source!DD139</f>
        <v>*1</v>
      </c>
      <c r="H242" s="35">
        <f>Source!AW140</f>
        <v>1</v>
      </c>
      <c r="I242" s="38">
        <f>Source!P139</f>
        <v>168.64</v>
      </c>
      <c r="J242" s="35">
        <f>IF(Source!BC140&lt;&gt; 0, Source!BC140, 1)</f>
        <v>3.7</v>
      </c>
      <c r="K242" s="38">
        <f>Source!P140</f>
        <v>623.97</v>
      </c>
    </row>
    <row r="243" spans="1:29" ht="54" x14ac:dyDescent="0.2">
      <c r="A243" s="34" t="s">
        <v>253</v>
      </c>
      <c r="B243" s="34" t="str">
        <f>Source!F141</f>
        <v>КА 17</v>
      </c>
      <c r="C243" s="34" t="s">
        <v>569</v>
      </c>
      <c r="D243" s="36" t="str">
        <f>Source!H141</f>
        <v>км</v>
      </c>
      <c r="E243" s="35">
        <f>Source!I141</f>
        <v>0.29580000000000001</v>
      </c>
      <c r="F243" s="38">
        <f>Source!AK141</f>
        <v>5839.0199999999995</v>
      </c>
      <c r="G243" s="57" t="s">
        <v>3</v>
      </c>
      <c r="H243" s="35">
        <f>Source!AW142</f>
        <v>1</v>
      </c>
      <c r="I243" s="38">
        <f>Source!O141</f>
        <v>1727.18</v>
      </c>
      <c r="J243" s="35">
        <f>IF(Source!BC142&lt;&gt; 0, Source!BC142, 1)</f>
        <v>9.8800000000000008</v>
      </c>
      <c r="K243" s="38">
        <f>Source!O142</f>
        <v>17064.54</v>
      </c>
      <c r="Q243">
        <f>Source!X141</f>
        <v>0</v>
      </c>
      <c r="R243">
        <f>Source!X142</f>
        <v>0</v>
      </c>
      <c r="S243">
        <f>Source!Y141</f>
        <v>0</v>
      </c>
      <c r="T243">
        <f>Source!Y142</f>
        <v>0</v>
      </c>
      <c r="U243">
        <f>ROUND((175/100)*ROUND(Source!R141, 2), 2)</f>
        <v>0</v>
      </c>
      <c r="V243">
        <f>ROUND((0/100)*ROUND(Source!R142, 2), 2)</f>
        <v>0</v>
      </c>
      <c r="AC243">
        <v>3</v>
      </c>
    </row>
    <row r="244" spans="1:29" ht="14.25" x14ac:dyDescent="0.2">
      <c r="A244" s="34"/>
      <c r="B244" s="34"/>
      <c r="C244" s="34" t="s">
        <v>524</v>
      </c>
      <c r="D244" s="36" t="s">
        <v>525</v>
      </c>
      <c r="E244" s="35">
        <f>Source!BZ140</f>
        <v>97</v>
      </c>
      <c r="F244" s="38"/>
      <c r="G244" s="37"/>
      <c r="H244" s="35"/>
      <c r="I244" s="38">
        <f>SUM(Q237:Q243)</f>
        <v>179.9</v>
      </c>
      <c r="J244" s="35">
        <f>Source!AT140</f>
        <v>97</v>
      </c>
      <c r="K244" s="38">
        <f>SUM(R237:R243)</f>
        <v>9892.5</v>
      </c>
    </row>
    <row r="245" spans="1:29" ht="14.25" x14ac:dyDescent="0.2">
      <c r="A245" s="34"/>
      <c r="B245" s="34"/>
      <c r="C245" s="34" t="s">
        <v>526</v>
      </c>
      <c r="D245" s="36" t="s">
        <v>525</v>
      </c>
      <c r="E245" s="35">
        <f>Source!CA140</f>
        <v>51</v>
      </c>
      <c r="F245" s="38"/>
      <c r="G245" s="37"/>
      <c r="H245" s="35"/>
      <c r="I245" s="38">
        <f>SUM(S237:S244)</f>
        <v>94.58</v>
      </c>
      <c r="J245" s="35">
        <f>Source!AU140</f>
        <v>51</v>
      </c>
      <c r="K245" s="38">
        <f>SUM(T237:T244)</f>
        <v>5201.21</v>
      </c>
    </row>
    <row r="246" spans="1:29" ht="14.25" x14ac:dyDescent="0.2">
      <c r="A246" s="41"/>
      <c r="B246" s="41"/>
      <c r="C246" s="41" t="s">
        <v>527</v>
      </c>
      <c r="D246" s="42" t="s">
        <v>528</v>
      </c>
      <c r="E246" s="43">
        <f>Source!AQ139</f>
        <v>4.49</v>
      </c>
      <c r="F246" s="44"/>
      <c r="G246" s="45" t="str">
        <f>Source!DI139</f>
        <v>*1,1</v>
      </c>
      <c r="H246" s="43">
        <f>Source!AV140</f>
        <v>1.0469999999999999</v>
      </c>
      <c r="I246" s="44">
        <f>Source!U139</f>
        <v>14.996285700000003</v>
      </c>
      <c r="J246" s="43"/>
      <c r="K246" s="44"/>
    </row>
    <row r="247" spans="1:29" ht="15" x14ac:dyDescent="0.2">
      <c r="C247" s="46" t="s">
        <v>529</v>
      </c>
      <c r="H247" s="47">
        <f>I239+I240+I242+I244+I245+SUM(I243:I243)</f>
        <v>2363.5100000000002</v>
      </c>
      <c r="I247" s="47"/>
      <c r="J247" s="47">
        <f>K239+K240+K242+K244+K245+SUM(K243:K243)</f>
        <v>43053.17</v>
      </c>
      <c r="K247" s="47"/>
      <c r="O247" s="48">
        <f>I239+I240+I242+I244+I245+SUM(I243:I243)</f>
        <v>2363.5100000000002</v>
      </c>
      <c r="P247" s="48">
        <f>K239+K240+K242+K244+K245+SUM(K243:K243)</f>
        <v>43053.17</v>
      </c>
    </row>
    <row r="249" spans="1:29" ht="78" x14ac:dyDescent="0.2">
      <c r="A249" s="34">
        <v>33</v>
      </c>
      <c r="B249" s="34" t="s">
        <v>568</v>
      </c>
      <c r="C249" s="34" t="s">
        <v>251</v>
      </c>
      <c r="D249" s="36" t="str">
        <f>Source!H143</f>
        <v>100 м</v>
      </c>
      <c r="E249" s="35">
        <f>Source!I143</f>
        <v>0.8</v>
      </c>
      <c r="F249" s="38"/>
      <c r="G249" s="37"/>
      <c r="H249" s="35"/>
      <c r="I249" s="38"/>
      <c r="J249" s="35"/>
      <c r="K249" s="38"/>
      <c r="Q249">
        <f>Source!X143</f>
        <v>49.63</v>
      </c>
      <c r="R249">
        <f>Source!X144</f>
        <v>2729.42</v>
      </c>
      <c r="S249">
        <f>Source!Y143</f>
        <v>26.1</v>
      </c>
      <c r="T249">
        <f>Source!Y144</f>
        <v>1435.06</v>
      </c>
      <c r="U249">
        <f>ROUND((175/100)*ROUND(Source!R143, 2), 2)</f>
        <v>0.49</v>
      </c>
      <c r="V249">
        <f>ROUND((0/100)*ROUND(Source!R144, 2), 2)</f>
        <v>0</v>
      </c>
      <c r="AC249">
        <v>0</v>
      </c>
    </row>
    <row r="250" spans="1:29" x14ac:dyDescent="0.2">
      <c r="C250" s="39" t="str">
        <f>"Объем: "&amp;Source!I143&amp;"=80/"&amp;"100"</f>
        <v>Объем: 0,8=80/100</v>
      </c>
    </row>
    <row r="251" spans="1:29" ht="14.25" x14ac:dyDescent="0.2">
      <c r="A251" s="34"/>
      <c r="B251" s="34"/>
      <c r="C251" s="34" t="s">
        <v>520</v>
      </c>
      <c r="D251" s="36"/>
      <c r="E251" s="35"/>
      <c r="F251" s="38">
        <f>Source!AO143</f>
        <v>55.23</v>
      </c>
      <c r="G251" s="37" t="str">
        <f>Source!DG143</f>
        <v>*1,1</v>
      </c>
      <c r="H251" s="35">
        <f>Source!AV144</f>
        <v>1.0469999999999999</v>
      </c>
      <c r="I251" s="38">
        <f>Source!S143</f>
        <v>50.89</v>
      </c>
      <c r="J251" s="35">
        <f>IF(Source!BA144&lt;&gt; 0, Source!BA144, 1)</f>
        <v>54.99</v>
      </c>
      <c r="K251" s="38">
        <f>Source!S144</f>
        <v>2798.44</v>
      </c>
    </row>
    <row r="252" spans="1:29" ht="14.25" x14ac:dyDescent="0.2">
      <c r="A252" s="34"/>
      <c r="B252" s="34"/>
      <c r="C252" s="34" t="s">
        <v>521</v>
      </c>
      <c r="D252" s="36"/>
      <c r="E252" s="35"/>
      <c r="F252" s="38">
        <f>Source!AM143</f>
        <v>2.62</v>
      </c>
      <c r="G252" s="37" t="str">
        <f>Source!DE143</f>
        <v>*1,1</v>
      </c>
      <c r="H252" s="35">
        <f>Source!AV144</f>
        <v>1.0469999999999999</v>
      </c>
      <c r="I252" s="38">
        <f>Source!Q143</f>
        <v>2.41</v>
      </c>
      <c r="J252" s="35">
        <f>IF(Source!BB144&lt;&gt; 0, Source!BB144, 1)</f>
        <v>14.57</v>
      </c>
      <c r="K252" s="38">
        <f>Source!Q144</f>
        <v>35.11</v>
      </c>
    </row>
    <row r="253" spans="1:29" ht="14.25" x14ac:dyDescent="0.2">
      <c r="A253" s="34"/>
      <c r="B253" s="34"/>
      <c r="C253" s="34" t="s">
        <v>522</v>
      </c>
      <c r="D253" s="36"/>
      <c r="E253" s="35"/>
      <c r="F253" s="38">
        <f>Source!AN143</f>
        <v>0.3</v>
      </c>
      <c r="G253" s="37" t="str">
        <f>Source!DF143</f>
        <v>*1,1</v>
      </c>
      <c r="H253" s="35">
        <f>Source!AV144</f>
        <v>1.0469999999999999</v>
      </c>
      <c r="I253" s="40">
        <f>Source!R143</f>
        <v>0.28000000000000003</v>
      </c>
      <c r="J253" s="35">
        <f>IF(Source!BS144&lt;&gt; 0, Source!BS144, 1)</f>
        <v>54.99</v>
      </c>
      <c r="K253" s="40">
        <f>Source!R144</f>
        <v>15.4</v>
      </c>
    </row>
    <row r="254" spans="1:29" ht="14.25" x14ac:dyDescent="0.2">
      <c r="A254" s="34"/>
      <c r="B254" s="34"/>
      <c r="C254" s="34" t="s">
        <v>523</v>
      </c>
      <c r="D254" s="36"/>
      <c r="E254" s="35"/>
      <c r="F254" s="38">
        <f>Source!AL143</f>
        <v>58.15</v>
      </c>
      <c r="G254" s="37" t="str">
        <f>Source!DD143</f>
        <v>*1</v>
      </c>
      <c r="H254" s="35">
        <f>Source!AW144</f>
        <v>1</v>
      </c>
      <c r="I254" s="38">
        <f>Source!P143</f>
        <v>46.52</v>
      </c>
      <c r="J254" s="35">
        <f>IF(Source!BC144&lt;&gt; 0, Source!BC144, 1)</f>
        <v>3.7</v>
      </c>
      <c r="K254" s="38">
        <f>Source!P144</f>
        <v>172.12</v>
      </c>
    </row>
    <row r="255" spans="1:29" ht="54" x14ac:dyDescent="0.2">
      <c r="A255" s="34" t="s">
        <v>259</v>
      </c>
      <c r="B255" s="34" t="str">
        <f>Source!F145</f>
        <v>КА 18</v>
      </c>
      <c r="C255" s="34" t="s">
        <v>570</v>
      </c>
      <c r="D255" s="36" t="str">
        <f>Source!H145</f>
        <v>км</v>
      </c>
      <c r="E255" s="35">
        <f>Source!I145</f>
        <v>8.1600000000000006E-2</v>
      </c>
      <c r="F255" s="38">
        <f>Source!AK145</f>
        <v>7128.65</v>
      </c>
      <c r="G255" s="57" t="s">
        <v>3</v>
      </c>
      <c r="H255" s="35">
        <f>Source!AW146</f>
        <v>1</v>
      </c>
      <c r="I255" s="38">
        <f>Source!O145</f>
        <v>581.70000000000005</v>
      </c>
      <c r="J255" s="35">
        <f>IF(Source!BC146&lt;&gt; 0, Source!BC146, 1)</f>
        <v>9.8800000000000008</v>
      </c>
      <c r="K255" s="38">
        <f>Source!O146</f>
        <v>5747.2</v>
      </c>
      <c r="Q255">
        <f>Source!X145</f>
        <v>0</v>
      </c>
      <c r="R255">
        <f>Source!X146</f>
        <v>0</v>
      </c>
      <c r="S255">
        <f>Source!Y145</f>
        <v>0</v>
      </c>
      <c r="T255">
        <f>Source!Y146</f>
        <v>0</v>
      </c>
      <c r="U255">
        <f>ROUND((175/100)*ROUND(Source!R145, 2), 2)</f>
        <v>0</v>
      </c>
      <c r="V255">
        <f>ROUND((0/100)*ROUND(Source!R146, 2), 2)</f>
        <v>0</v>
      </c>
      <c r="AC255">
        <v>3</v>
      </c>
    </row>
    <row r="256" spans="1:29" ht="14.25" x14ac:dyDescent="0.2">
      <c r="A256" s="34"/>
      <c r="B256" s="34"/>
      <c r="C256" s="34" t="s">
        <v>524</v>
      </c>
      <c r="D256" s="36" t="s">
        <v>525</v>
      </c>
      <c r="E256" s="35">
        <f>Source!BZ144</f>
        <v>97</v>
      </c>
      <c r="F256" s="38"/>
      <c r="G256" s="37"/>
      <c r="H256" s="35"/>
      <c r="I256" s="38">
        <f>SUM(Q249:Q255)</f>
        <v>49.63</v>
      </c>
      <c r="J256" s="35">
        <f>Source!AT144</f>
        <v>97</v>
      </c>
      <c r="K256" s="38">
        <f>SUM(R249:R255)</f>
        <v>2729.42</v>
      </c>
    </row>
    <row r="257" spans="1:29" ht="14.25" x14ac:dyDescent="0.2">
      <c r="A257" s="34"/>
      <c r="B257" s="34"/>
      <c r="C257" s="34" t="s">
        <v>526</v>
      </c>
      <c r="D257" s="36" t="s">
        <v>525</v>
      </c>
      <c r="E257" s="35">
        <f>Source!CA144</f>
        <v>51</v>
      </c>
      <c r="F257" s="38"/>
      <c r="G257" s="37"/>
      <c r="H257" s="35"/>
      <c r="I257" s="38">
        <f>SUM(S249:S256)</f>
        <v>26.1</v>
      </c>
      <c r="J257" s="35">
        <f>Source!AU144</f>
        <v>51</v>
      </c>
      <c r="K257" s="38">
        <f>SUM(T249:T256)</f>
        <v>1435.06</v>
      </c>
    </row>
    <row r="258" spans="1:29" ht="14.25" x14ac:dyDescent="0.2">
      <c r="A258" s="41"/>
      <c r="B258" s="41"/>
      <c r="C258" s="41" t="s">
        <v>527</v>
      </c>
      <c r="D258" s="42" t="s">
        <v>528</v>
      </c>
      <c r="E258" s="43">
        <f>Source!AQ143</f>
        <v>4.49</v>
      </c>
      <c r="F258" s="44"/>
      <c r="G258" s="45" t="str">
        <f>Source!DI143</f>
        <v>*1,1</v>
      </c>
      <c r="H258" s="43">
        <f>Source!AV144</f>
        <v>1.0469999999999999</v>
      </c>
      <c r="I258" s="44">
        <f>Source!U143</f>
        <v>4.1369064000000009</v>
      </c>
      <c r="J258" s="43"/>
      <c r="K258" s="44"/>
    </row>
    <row r="259" spans="1:29" ht="15" x14ac:dyDescent="0.2">
      <c r="C259" s="46" t="s">
        <v>529</v>
      </c>
      <c r="H259" s="47">
        <f>I251+I252+I254+I256+I257+SUM(I255:I255)</f>
        <v>757.25</v>
      </c>
      <c r="I259" s="47"/>
      <c r="J259" s="47">
        <f>K251+K252+K254+K256+K257+SUM(K255:K255)</f>
        <v>12917.349999999999</v>
      </c>
      <c r="K259" s="47"/>
      <c r="O259" s="48">
        <f>I251+I252+I254+I256+I257+SUM(I255:I255)</f>
        <v>757.25</v>
      </c>
      <c r="P259" s="48">
        <f>K251+K252+K254+K256+K257+SUM(K255:K255)</f>
        <v>12917.349999999999</v>
      </c>
    </row>
    <row r="261" spans="1:29" ht="78" x14ac:dyDescent="0.2">
      <c r="A261" s="34">
        <v>34</v>
      </c>
      <c r="B261" s="34" t="s">
        <v>568</v>
      </c>
      <c r="C261" s="34" t="s">
        <v>251</v>
      </c>
      <c r="D261" s="36" t="str">
        <f>Source!H147</f>
        <v>100 м</v>
      </c>
      <c r="E261" s="35">
        <f>Source!I147</f>
        <v>1</v>
      </c>
      <c r="F261" s="38"/>
      <c r="G261" s="37"/>
      <c r="H261" s="35"/>
      <c r="I261" s="38"/>
      <c r="J261" s="35"/>
      <c r="K261" s="38"/>
      <c r="Q261">
        <f>Source!X147</f>
        <v>62.04</v>
      </c>
      <c r="R261">
        <f>Source!X148</f>
        <v>3411.65</v>
      </c>
      <c r="S261">
        <f>Source!Y147</f>
        <v>32.619999999999997</v>
      </c>
      <c r="T261">
        <f>Source!Y148</f>
        <v>1793.75</v>
      </c>
      <c r="U261">
        <f>ROUND((175/100)*ROUND(Source!R147, 2), 2)</f>
        <v>0.61</v>
      </c>
      <c r="V261">
        <f>ROUND((0/100)*ROUND(Source!R148, 2), 2)</f>
        <v>0</v>
      </c>
      <c r="AC261">
        <v>0</v>
      </c>
    </row>
    <row r="262" spans="1:29" x14ac:dyDescent="0.2">
      <c r="C262" s="39" t="str">
        <f>"Объем: "&amp;Source!I147&amp;"=100/"&amp;"100"</f>
        <v>Объем: 1=100/100</v>
      </c>
    </row>
    <row r="263" spans="1:29" ht="14.25" x14ac:dyDescent="0.2">
      <c r="A263" s="34"/>
      <c r="B263" s="34"/>
      <c r="C263" s="34" t="s">
        <v>520</v>
      </c>
      <c r="D263" s="36"/>
      <c r="E263" s="35"/>
      <c r="F263" s="38">
        <f>Source!AO147</f>
        <v>55.23</v>
      </c>
      <c r="G263" s="37" t="str">
        <f>Source!DG147</f>
        <v>*1,1</v>
      </c>
      <c r="H263" s="35">
        <f>Source!AV148</f>
        <v>1.0469999999999999</v>
      </c>
      <c r="I263" s="38">
        <f>Source!S147</f>
        <v>63.61</v>
      </c>
      <c r="J263" s="35">
        <f>IF(Source!BA148&lt;&gt; 0, Source!BA148, 1)</f>
        <v>54.99</v>
      </c>
      <c r="K263" s="38">
        <f>Source!S148</f>
        <v>3497.91</v>
      </c>
    </row>
    <row r="264" spans="1:29" ht="14.25" x14ac:dyDescent="0.2">
      <c r="A264" s="34"/>
      <c r="B264" s="34"/>
      <c r="C264" s="34" t="s">
        <v>521</v>
      </c>
      <c r="D264" s="36"/>
      <c r="E264" s="35"/>
      <c r="F264" s="38">
        <f>Source!AM147</f>
        <v>2.62</v>
      </c>
      <c r="G264" s="37" t="str">
        <f>Source!DE147</f>
        <v>*1,1</v>
      </c>
      <c r="H264" s="35">
        <f>Source!AV148</f>
        <v>1.0469999999999999</v>
      </c>
      <c r="I264" s="38">
        <f>Source!Q147</f>
        <v>3.02</v>
      </c>
      <c r="J264" s="35">
        <f>IF(Source!BB148&lt;&gt; 0, Source!BB148, 1)</f>
        <v>14.57</v>
      </c>
      <c r="K264" s="38">
        <f>Source!Q148</f>
        <v>44</v>
      </c>
    </row>
    <row r="265" spans="1:29" ht="14.25" x14ac:dyDescent="0.2">
      <c r="A265" s="34"/>
      <c r="B265" s="34"/>
      <c r="C265" s="34" t="s">
        <v>522</v>
      </c>
      <c r="D265" s="36"/>
      <c r="E265" s="35"/>
      <c r="F265" s="38">
        <f>Source!AN147</f>
        <v>0.3</v>
      </c>
      <c r="G265" s="37" t="str">
        <f>Source!DF147</f>
        <v>*1,1</v>
      </c>
      <c r="H265" s="35">
        <f>Source!AV148</f>
        <v>1.0469999999999999</v>
      </c>
      <c r="I265" s="40">
        <f>Source!R147</f>
        <v>0.35</v>
      </c>
      <c r="J265" s="35">
        <f>IF(Source!BS148&lt;&gt; 0, Source!BS148, 1)</f>
        <v>54.99</v>
      </c>
      <c r="K265" s="40">
        <f>Source!R148</f>
        <v>19.25</v>
      </c>
    </row>
    <row r="266" spans="1:29" ht="14.25" x14ac:dyDescent="0.2">
      <c r="A266" s="34"/>
      <c r="B266" s="34"/>
      <c r="C266" s="34" t="s">
        <v>523</v>
      </c>
      <c r="D266" s="36"/>
      <c r="E266" s="35"/>
      <c r="F266" s="38">
        <f>Source!AL147</f>
        <v>58.15</v>
      </c>
      <c r="G266" s="37" t="str">
        <f>Source!DD147</f>
        <v>*1</v>
      </c>
      <c r="H266" s="35">
        <f>Source!AW148</f>
        <v>1</v>
      </c>
      <c r="I266" s="38">
        <f>Source!P147</f>
        <v>58.15</v>
      </c>
      <c r="J266" s="35">
        <f>IF(Source!BC148&lt;&gt; 0, Source!BC148, 1)</f>
        <v>3.7</v>
      </c>
      <c r="K266" s="38">
        <f>Source!P148</f>
        <v>215.16</v>
      </c>
    </row>
    <row r="267" spans="1:29" ht="54" x14ac:dyDescent="0.2">
      <c r="A267" s="34" t="s">
        <v>264</v>
      </c>
      <c r="B267" s="34" t="str">
        <f>Source!F149</f>
        <v>КА 19</v>
      </c>
      <c r="C267" s="34" t="s">
        <v>571</v>
      </c>
      <c r="D267" s="36" t="str">
        <f>Source!H149</f>
        <v>км</v>
      </c>
      <c r="E267" s="35">
        <f>Source!I149</f>
        <v>0.10199999999999999</v>
      </c>
      <c r="F267" s="38">
        <f>Source!AK149</f>
        <v>7061.54</v>
      </c>
      <c r="G267" s="57" t="s">
        <v>3</v>
      </c>
      <c r="H267" s="35">
        <f>Source!AW150</f>
        <v>1</v>
      </c>
      <c r="I267" s="38">
        <f>Source!O149</f>
        <v>720.28</v>
      </c>
      <c r="J267" s="35">
        <f>IF(Source!BC150&lt;&gt; 0, Source!BC150, 1)</f>
        <v>9.8800000000000008</v>
      </c>
      <c r="K267" s="38">
        <f>Source!O150</f>
        <v>7116.37</v>
      </c>
      <c r="Q267">
        <f>Source!X149</f>
        <v>0</v>
      </c>
      <c r="R267">
        <f>Source!X150</f>
        <v>0</v>
      </c>
      <c r="S267">
        <f>Source!Y149</f>
        <v>0</v>
      </c>
      <c r="T267">
        <f>Source!Y150</f>
        <v>0</v>
      </c>
      <c r="U267">
        <f>ROUND((175/100)*ROUND(Source!R149, 2), 2)</f>
        <v>0</v>
      </c>
      <c r="V267">
        <f>ROUND((0/100)*ROUND(Source!R150, 2), 2)</f>
        <v>0</v>
      </c>
      <c r="AC267">
        <v>3</v>
      </c>
    </row>
    <row r="268" spans="1:29" ht="14.25" x14ac:dyDescent="0.2">
      <c r="A268" s="34"/>
      <c r="B268" s="34"/>
      <c r="C268" s="34" t="s">
        <v>524</v>
      </c>
      <c r="D268" s="36" t="s">
        <v>525</v>
      </c>
      <c r="E268" s="35">
        <f>Source!BZ148</f>
        <v>97</v>
      </c>
      <c r="F268" s="38"/>
      <c r="G268" s="37"/>
      <c r="H268" s="35"/>
      <c r="I268" s="38">
        <f>SUM(Q261:Q267)</f>
        <v>62.04</v>
      </c>
      <c r="J268" s="35">
        <f>Source!AT148</f>
        <v>97</v>
      </c>
      <c r="K268" s="38">
        <f>SUM(R261:R267)</f>
        <v>3411.65</v>
      </c>
    </row>
    <row r="269" spans="1:29" ht="14.25" x14ac:dyDescent="0.2">
      <c r="A269" s="34"/>
      <c r="B269" s="34"/>
      <c r="C269" s="34" t="s">
        <v>526</v>
      </c>
      <c r="D269" s="36" t="s">
        <v>525</v>
      </c>
      <c r="E269" s="35">
        <f>Source!CA148</f>
        <v>51</v>
      </c>
      <c r="F269" s="38"/>
      <c r="G269" s="37"/>
      <c r="H269" s="35"/>
      <c r="I269" s="38">
        <f>SUM(S261:S268)</f>
        <v>32.619999999999997</v>
      </c>
      <c r="J269" s="35">
        <f>Source!AU148</f>
        <v>51</v>
      </c>
      <c r="K269" s="38">
        <f>SUM(T261:T268)</f>
        <v>1793.75</v>
      </c>
    </row>
    <row r="270" spans="1:29" ht="14.25" x14ac:dyDescent="0.2">
      <c r="A270" s="41"/>
      <c r="B270" s="41"/>
      <c r="C270" s="41" t="s">
        <v>527</v>
      </c>
      <c r="D270" s="42" t="s">
        <v>528</v>
      </c>
      <c r="E270" s="43">
        <f>Source!AQ147</f>
        <v>4.49</v>
      </c>
      <c r="F270" s="44"/>
      <c r="G270" s="45" t="str">
        <f>Source!DI147</f>
        <v>*1,1</v>
      </c>
      <c r="H270" s="43">
        <f>Source!AV148</f>
        <v>1.0469999999999999</v>
      </c>
      <c r="I270" s="44">
        <f>Source!U147</f>
        <v>5.1711330000000011</v>
      </c>
      <c r="J270" s="43"/>
      <c r="K270" s="44"/>
    </row>
    <row r="271" spans="1:29" ht="15" x14ac:dyDescent="0.2">
      <c r="C271" s="46" t="s">
        <v>529</v>
      </c>
      <c r="H271" s="47">
        <f>I263+I264+I266+I268+I269+SUM(I267:I267)</f>
        <v>939.72</v>
      </c>
      <c r="I271" s="47"/>
      <c r="J271" s="47">
        <f>K263+K264+K266+K268+K269+SUM(K267:K267)</f>
        <v>16078.84</v>
      </c>
      <c r="K271" s="47"/>
      <c r="O271" s="48">
        <f>I263+I264+I266+I268+I269+SUM(I267:I267)</f>
        <v>939.72</v>
      </c>
      <c r="P271" s="48">
        <f>K263+K264+K266+K268+K269+SUM(K267:K267)</f>
        <v>16078.84</v>
      </c>
    </row>
    <row r="273" spans="1:29" ht="78" x14ac:dyDescent="0.2">
      <c r="A273" s="34">
        <v>35</v>
      </c>
      <c r="B273" s="34" t="s">
        <v>572</v>
      </c>
      <c r="C273" s="34" t="s">
        <v>270</v>
      </c>
      <c r="D273" s="36" t="str">
        <f>Source!H151</f>
        <v>100 м</v>
      </c>
      <c r="E273" s="35">
        <f>Source!I151</f>
        <v>8.6999999999999993</v>
      </c>
      <c r="F273" s="38"/>
      <c r="G273" s="37"/>
      <c r="H273" s="35"/>
      <c r="I273" s="38"/>
      <c r="J273" s="35"/>
      <c r="K273" s="38"/>
      <c r="Q273">
        <f>Source!X151</f>
        <v>650.11</v>
      </c>
      <c r="R273">
        <f>Source!X152</f>
        <v>35749.74</v>
      </c>
      <c r="S273">
        <f>Source!Y151</f>
        <v>341.81</v>
      </c>
      <c r="T273">
        <f>Source!Y152</f>
        <v>18796.25</v>
      </c>
      <c r="U273">
        <f>ROUND((175/100)*ROUND(Source!R151, 2), 2)</f>
        <v>10.34</v>
      </c>
      <c r="V273">
        <f>ROUND((0/100)*ROUND(Source!R152, 2), 2)</f>
        <v>0</v>
      </c>
      <c r="AC273">
        <v>0</v>
      </c>
    </row>
    <row r="274" spans="1:29" x14ac:dyDescent="0.2">
      <c r="C274" s="39" t="str">
        <f>"Объем: "&amp;Source!I151&amp;"=870/"&amp;"100"</f>
        <v>Объем: 8,7=870/100</v>
      </c>
    </row>
    <row r="275" spans="1:29" ht="14.25" x14ac:dyDescent="0.2">
      <c r="A275" s="34"/>
      <c r="B275" s="34"/>
      <c r="C275" s="34" t="s">
        <v>520</v>
      </c>
      <c r="D275" s="36"/>
      <c r="E275" s="35"/>
      <c r="F275" s="38">
        <f>Source!AO151</f>
        <v>66.3</v>
      </c>
      <c r="G275" s="37" t="str">
        <f>Source!DG151</f>
        <v>*1,1</v>
      </c>
      <c r="H275" s="35">
        <f>Source!AV152</f>
        <v>1.0469999999999999</v>
      </c>
      <c r="I275" s="38">
        <f>Source!S151</f>
        <v>664.31</v>
      </c>
      <c r="J275" s="35">
        <f>IF(Source!BA152&lt;&gt; 0, Source!BA152, 1)</f>
        <v>54.99</v>
      </c>
      <c r="K275" s="38">
        <f>Source!S152</f>
        <v>36530.410000000003</v>
      </c>
    </row>
    <row r="276" spans="1:29" ht="14.25" x14ac:dyDescent="0.2">
      <c r="A276" s="34"/>
      <c r="B276" s="34"/>
      <c r="C276" s="34" t="s">
        <v>521</v>
      </c>
      <c r="D276" s="36"/>
      <c r="E276" s="35"/>
      <c r="F276" s="38">
        <f>Source!AM151</f>
        <v>5.25</v>
      </c>
      <c r="G276" s="37" t="str">
        <f>Source!DE151</f>
        <v>*1,1</v>
      </c>
      <c r="H276" s="35">
        <f>Source!AV152</f>
        <v>1.0469999999999999</v>
      </c>
      <c r="I276" s="38">
        <f>Source!Q151</f>
        <v>52.6</v>
      </c>
      <c r="J276" s="35">
        <f>IF(Source!BB152&lt;&gt; 0, Source!BB152, 1)</f>
        <v>14.54</v>
      </c>
      <c r="K276" s="38">
        <f>Source!Q152</f>
        <v>764.8</v>
      </c>
    </row>
    <row r="277" spans="1:29" ht="14.25" x14ac:dyDescent="0.2">
      <c r="A277" s="34"/>
      <c r="B277" s="34"/>
      <c r="C277" s="34" t="s">
        <v>522</v>
      </c>
      <c r="D277" s="36"/>
      <c r="E277" s="35"/>
      <c r="F277" s="38">
        <f>Source!AN151</f>
        <v>0.59</v>
      </c>
      <c r="G277" s="37" t="str">
        <f>Source!DF151</f>
        <v>*1,1</v>
      </c>
      <c r="H277" s="35">
        <f>Source!AV152</f>
        <v>1.0469999999999999</v>
      </c>
      <c r="I277" s="40">
        <f>Source!R151</f>
        <v>5.91</v>
      </c>
      <c r="J277" s="35">
        <f>IF(Source!BS152&lt;&gt; 0, Source!BS152, 1)</f>
        <v>54.99</v>
      </c>
      <c r="K277" s="40">
        <f>Source!R152</f>
        <v>324.99</v>
      </c>
    </row>
    <row r="278" spans="1:29" ht="14.25" x14ac:dyDescent="0.2">
      <c r="A278" s="34"/>
      <c r="B278" s="34"/>
      <c r="C278" s="34" t="s">
        <v>523</v>
      </c>
      <c r="D278" s="36"/>
      <c r="E278" s="35"/>
      <c r="F278" s="38">
        <f>Source!AL151</f>
        <v>61.98</v>
      </c>
      <c r="G278" s="37" t="str">
        <f>Source!DD151</f>
        <v>*1</v>
      </c>
      <c r="H278" s="35">
        <f>Source!AW152</f>
        <v>1</v>
      </c>
      <c r="I278" s="38">
        <f>Source!P151</f>
        <v>539.23</v>
      </c>
      <c r="J278" s="35">
        <f>IF(Source!BC152&lt;&gt; 0, Source!BC152, 1)</f>
        <v>4.53</v>
      </c>
      <c r="K278" s="38">
        <f>Source!P152</f>
        <v>2442.71</v>
      </c>
    </row>
    <row r="279" spans="1:29" ht="54" x14ac:dyDescent="0.2">
      <c r="A279" s="34" t="s">
        <v>272</v>
      </c>
      <c r="B279" s="34" t="str">
        <f>Source!F153</f>
        <v>КА 20</v>
      </c>
      <c r="C279" s="34" t="s">
        <v>573</v>
      </c>
      <c r="D279" s="36" t="str">
        <f>Source!H153</f>
        <v>км</v>
      </c>
      <c r="E279" s="35">
        <f>Source!I153</f>
        <v>0.88739999999999997</v>
      </c>
      <c r="F279" s="38">
        <f>Source!AK153</f>
        <v>1606.65</v>
      </c>
      <c r="G279" s="57" t="s">
        <v>3</v>
      </c>
      <c r="H279" s="35">
        <f>Source!AW154</f>
        <v>1</v>
      </c>
      <c r="I279" s="38">
        <f>Source!O153</f>
        <v>1425.74</v>
      </c>
      <c r="J279" s="35">
        <f>IF(Source!BC154&lt;&gt; 0, Source!BC154, 1)</f>
        <v>9.8800000000000008</v>
      </c>
      <c r="K279" s="38">
        <f>Source!O154</f>
        <v>14086.31</v>
      </c>
      <c r="Q279">
        <f>Source!X153</f>
        <v>0</v>
      </c>
      <c r="R279">
        <f>Source!X154</f>
        <v>0</v>
      </c>
      <c r="S279">
        <f>Source!Y153</f>
        <v>0</v>
      </c>
      <c r="T279">
        <f>Source!Y154</f>
        <v>0</v>
      </c>
      <c r="U279">
        <f>ROUND((175/100)*ROUND(Source!R153, 2), 2)</f>
        <v>0</v>
      </c>
      <c r="V279">
        <f>ROUND((0/100)*ROUND(Source!R154, 2), 2)</f>
        <v>0</v>
      </c>
      <c r="AC279">
        <v>3</v>
      </c>
    </row>
    <row r="280" spans="1:29" ht="14.25" x14ac:dyDescent="0.2">
      <c r="A280" s="34"/>
      <c r="B280" s="34"/>
      <c r="C280" s="34" t="s">
        <v>524</v>
      </c>
      <c r="D280" s="36" t="s">
        <v>525</v>
      </c>
      <c r="E280" s="35">
        <f>Source!BZ152</f>
        <v>97</v>
      </c>
      <c r="F280" s="38"/>
      <c r="G280" s="37"/>
      <c r="H280" s="35"/>
      <c r="I280" s="38">
        <f>SUM(Q273:Q279)</f>
        <v>650.11</v>
      </c>
      <c r="J280" s="35">
        <f>Source!AT152</f>
        <v>97</v>
      </c>
      <c r="K280" s="38">
        <f>SUM(R273:R279)</f>
        <v>35749.74</v>
      </c>
    </row>
    <row r="281" spans="1:29" ht="14.25" x14ac:dyDescent="0.2">
      <c r="A281" s="34"/>
      <c r="B281" s="34"/>
      <c r="C281" s="34" t="s">
        <v>526</v>
      </c>
      <c r="D281" s="36" t="s">
        <v>525</v>
      </c>
      <c r="E281" s="35">
        <f>Source!CA152</f>
        <v>51</v>
      </c>
      <c r="F281" s="38"/>
      <c r="G281" s="37"/>
      <c r="H281" s="35"/>
      <c r="I281" s="38">
        <f>SUM(S273:S280)</f>
        <v>341.81</v>
      </c>
      <c r="J281" s="35">
        <f>Source!AU152</f>
        <v>51</v>
      </c>
      <c r="K281" s="38">
        <f>SUM(T273:T280)</f>
        <v>18796.25</v>
      </c>
    </row>
    <row r="282" spans="1:29" ht="14.25" x14ac:dyDescent="0.2">
      <c r="A282" s="41"/>
      <c r="B282" s="41"/>
      <c r="C282" s="41" t="s">
        <v>527</v>
      </c>
      <c r="D282" s="42" t="s">
        <v>528</v>
      </c>
      <c r="E282" s="43">
        <f>Source!AQ151</f>
        <v>5.39</v>
      </c>
      <c r="F282" s="44"/>
      <c r="G282" s="45" t="str">
        <f>Source!DI151</f>
        <v>*1,1</v>
      </c>
      <c r="H282" s="43">
        <f>Source!AV152</f>
        <v>1.0469999999999999</v>
      </c>
      <c r="I282" s="44">
        <f>Source!U151</f>
        <v>54.006668099999999</v>
      </c>
      <c r="J282" s="43"/>
      <c r="K282" s="44"/>
    </row>
    <row r="283" spans="1:29" ht="15" x14ac:dyDescent="0.2">
      <c r="C283" s="46" t="s">
        <v>529</v>
      </c>
      <c r="H283" s="47">
        <f>I275+I276+I278+I280+I281+SUM(I279:I279)</f>
        <v>3673.8</v>
      </c>
      <c r="I283" s="47"/>
      <c r="J283" s="47">
        <f>K275+K276+K278+K280+K281+SUM(K279:K279)</f>
        <v>108370.22</v>
      </c>
      <c r="K283" s="47"/>
      <c r="O283" s="48">
        <f>I275+I276+I278+I280+I281+SUM(I279:I279)</f>
        <v>3673.8</v>
      </c>
      <c r="P283" s="48">
        <f>K275+K276+K278+K280+K281+SUM(K279:K279)</f>
        <v>108370.22</v>
      </c>
    </row>
    <row r="285" spans="1:29" ht="99.75" x14ac:dyDescent="0.2">
      <c r="A285" s="34">
        <v>36</v>
      </c>
      <c r="B285" s="34" t="s">
        <v>574</v>
      </c>
      <c r="C285" s="34" t="s">
        <v>278</v>
      </c>
      <c r="D285" s="36" t="str">
        <f>Source!H155</f>
        <v>100 м</v>
      </c>
      <c r="E285" s="35">
        <f>Source!I155</f>
        <v>0.3</v>
      </c>
      <c r="F285" s="38"/>
      <c r="G285" s="37"/>
      <c r="H285" s="35"/>
      <c r="I285" s="38"/>
      <c r="J285" s="35"/>
      <c r="K285" s="38"/>
      <c r="Q285">
        <f>Source!X155</f>
        <v>7.64</v>
      </c>
      <c r="R285">
        <f>Source!X156</f>
        <v>420.32</v>
      </c>
      <c r="S285">
        <f>Source!Y155</f>
        <v>4.0199999999999996</v>
      </c>
      <c r="T285">
        <f>Source!Y156</f>
        <v>220.99</v>
      </c>
      <c r="U285">
        <f>ROUND((175/100)*ROUND(Source!R155, 2), 2)</f>
        <v>0.18</v>
      </c>
      <c r="V285">
        <f>ROUND((0/100)*ROUND(Source!R156, 2), 2)</f>
        <v>0</v>
      </c>
      <c r="AC285">
        <v>0</v>
      </c>
    </row>
    <row r="286" spans="1:29" x14ac:dyDescent="0.2">
      <c r="C286" s="39" t="str">
        <f>"Объем: "&amp;Source!I155&amp;"=30/"&amp;"100"</f>
        <v>Объем: 0,3=30/100</v>
      </c>
    </row>
    <row r="287" spans="1:29" ht="14.25" x14ac:dyDescent="0.2">
      <c r="A287" s="34"/>
      <c r="B287" s="34"/>
      <c r="C287" s="34" t="s">
        <v>520</v>
      </c>
      <c r="D287" s="36"/>
      <c r="E287" s="35"/>
      <c r="F287" s="38">
        <f>Source!AO155</f>
        <v>22.51</v>
      </c>
      <c r="G287" s="37" t="str">
        <f>Source!DG155</f>
        <v>*1,1</v>
      </c>
      <c r="H287" s="35">
        <f>Source!AV156</f>
        <v>1.0469999999999999</v>
      </c>
      <c r="I287" s="38">
        <f>Source!S155</f>
        <v>7.78</v>
      </c>
      <c r="J287" s="35">
        <f>IF(Source!BA156&lt;&gt; 0, Source!BA156, 1)</f>
        <v>54.99</v>
      </c>
      <c r="K287" s="38">
        <f>Source!S156</f>
        <v>427.82</v>
      </c>
    </row>
    <row r="288" spans="1:29" ht="14.25" x14ac:dyDescent="0.2">
      <c r="A288" s="34"/>
      <c r="B288" s="34"/>
      <c r="C288" s="34" t="s">
        <v>521</v>
      </c>
      <c r="D288" s="36"/>
      <c r="E288" s="35"/>
      <c r="F288" s="38">
        <f>Source!AM155</f>
        <v>2.62</v>
      </c>
      <c r="G288" s="37" t="str">
        <f>Source!DE155</f>
        <v>*1,1</v>
      </c>
      <c r="H288" s="35">
        <f>Source!AV156</f>
        <v>1.0469999999999999</v>
      </c>
      <c r="I288" s="38">
        <f>Source!Q155</f>
        <v>0.91</v>
      </c>
      <c r="J288" s="35">
        <f>IF(Source!BB156&lt;&gt; 0, Source!BB156, 1)</f>
        <v>14.57</v>
      </c>
      <c r="K288" s="38">
        <f>Source!Q156</f>
        <v>13.26</v>
      </c>
    </row>
    <row r="289" spans="1:29" ht="14.25" x14ac:dyDescent="0.2">
      <c r="A289" s="34"/>
      <c r="B289" s="34"/>
      <c r="C289" s="34" t="s">
        <v>522</v>
      </c>
      <c r="D289" s="36"/>
      <c r="E289" s="35"/>
      <c r="F289" s="38">
        <f>Source!AN155</f>
        <v>0.3</v>
      </c>
      <c r="G289" s="37" t="str">
        <f>Source!DF155</f>
        <v>*1,1</v>
      </c>
      <c r="H289" s="35">
        <f>Source!AV156</f>
        <v>1.0469999999999999</v>
      </c>
      <c r="I289" s="40">
        <f>Source!R155</f>
        <v>0.1</v>
      </c>
      <c r="J289" s="35">
        <f>IF(Source!BS156&lt;&gt; 0, Source!BS156, 1)</f>
        <v>54.99</v>
      </c>
      <c r="K289" s="40">
        <f>Source!R156</f>
        <v>5.5</v>
      </c>
    </row>
    <row r="290" spans="1:29" ht="14.25" x14ac:dyDescent="0.2">
      <c r="A290" s="34"/>
      <c r="B290" s="34"/>
      <c r="C290" s="34" t="s">
        <v>523</v>
      </c>
      <c r="D290" s="36"/>
      <c r="E290" s="35"/>
      <c r="F290" s="38">
        <f>Source!AL155</f>
        <v>55.47</v>
      </c>
      <c r="G290" s="37" t="str">
        <f>Source!DD155</f>
        <v>*1</v>
      </c>
      <c r="H290" s="35">
        <f>Source!AW156</f>
        <v>1</v>
      </c>
      <c r="I290" s="38">
        <f>Source!P155</f>
        <v>16.64</v>
      </c>
      <c r="J290" s="35">
        <f>IF(Source!BC156&lt;&gt; 0, Source!BC156, 1)</f>
        <v>3.09</v>
      </c>
      <c r="K290" s="38">
        <f>Source!P156</f>
        <v>51.42</v>
      </c>
    </row>
    <row r="291" spans="1:29" ht="54" x14ac:dyDescent="0.2">
      <c r="A291" s="34" t="s">
        <v>280</v>
      </c>
      <c r="B291" s="34" t="str">
        <f>Source!F157</f>
        <v>КА 20</v>
      </c>
      <c r="C291" s="34" t="s">
        <v>573</v>
      </c>
      <c r="D291" s="36" t="str">
        <f>Source!H157</f>
        <v>км</v>
      </c>
      <c r="E291" s="35">
        <f>Source!I157</f>
        <v>3.0599999999999995E-2</v>
      </c>
      <c r="F291" s="38">
        <f>Source!AK157</f>
        <v>1606.65</v>
      </c>
      <c r="G291" s="57" t="s">
        <v>3</v>
      </c>
      <c r="H291" s="35">
        <f>Source!AW158</f>
        <v>1</v>
      </c>
      <c r="I291" s="38">
        <f>Source!O157</f>
        <v>49.16</v>
      </c>
      <c r="J291" s="35">
        <f>IF(Source!BC158&lt;&gt; 0, Source!BC158, 1)</f>
        <v>9.8800000000000008</v>
      </c>
      <c r="K291" s="38">
        <f>Source!O158</f>
        <v>485.7</v>
      </c>
      <c r="Q291">
        <f>Source!X157</f>
        <v>0</v>
      </c>
      <c r="R291">
        <f>Source!X158</f>
        <v>0</v>
      </c>
      <c r="S291">
        <f>Source!Y157</f>
        <v>0</v>
      </c>
      <c r="T291">
        <f>Source!Y158</f>
        <v>0</v>
      </c>
      <c r="U291">
        <f>ROUND((175/100)*ROUND(Source!R157, 2), 2)</f>
        <v>0</v>
      </c>
      <c r="V291">
        <f>ROUND((0/100)*ROUND(Source!R158, 2), 2)</f>
        <v>0</v>
      </c>
      <c r="AC291">
        <v>3</v>
      </c>
    </row>
    <row r="292" spans="1:29" ht="14.25" x14ac:dyDescent="0.2">
      <c r="A292" s="34"/>
      <c r="B292" s="34"/>
      <c r="C292" s="34" t="s">
        <v>524</v>
      </c>
      <c r="D292" s="36" t="s">
        <v>525</v>
      </c>
      <c r="E292" s="35">
        <f>Source!BZ156</f>
        <v>97</v>
      </c>
      <c r="F292" s="38"/>
      <c r="G292" s="37"/>
      <c r="H292" s="35"/>
      <c r="I292" s="38">
        <f>SUM(Q285:Q291)</f>
        <v>7.64</v>
      </c>
      <c r="J292" s="35">
        <f>Source!AT156</f>
        <v>97</v>
      </c>
      <c r="K292" s="38">
        <f>SUM(R285:R291)</f>
        <v>420.32</v>
      </c>
    </row>
    <row r="293" spans="1:29" ht="14.25" x14ac:dyDescent="0.2">
      <c r="A293" s="34"/>
      <c r="B293" s="34"/>
      <c r="C293" s="34" t="s">
        <v>526</v>
      </c>
      <c r="D293" s="36" t="s">
        <v>525</v>
      </c>
      <c r="E293" s="35">
        <f>Source!CA156</f>
        <v>51</v>
      </c>
      <c r="F293" s="38"/>
      <c r="G293" s="37"/>
      <c r="H293" s="35"/>
      <c r="I293" s="38">
        <f>SUM(S285:S292)</f>
        <v>4.0199999999999996</v>
      </c>
      <c r="J293" s="35">
        <f>Source!AU156</f>
        <v>51</v>
      </c>
      <c r="K293" s="38">
        <f>SUM(T285:T292)</f>
        <v>220.99</v>
      </c>
    </row>
    <row r="294" spans="1:29" ht="14.25" x14ac:dyDescent="0.2">
      <c r="A294" s="41"/>
      <c r="B294" s="41"/>
      <c r="C294" s="41" t="s">
        <v>527</v>
      </c>
      <c r="D294" s="42" t="s">
        <v>528</v>
      </c>
      <c r="E294" s="43">
        <f>Source!AQ155</f>
        <v>1.83</v>
      </c>
      <c r="F294" s="44"/>
      <c r="G294" s="45" t="str">
        <f>Source!DI155</f>
        <v>*1,1</v>
      </c>
      <c r="H294" s="43">
        <f>Source!AV156</f>
        <v>1.0469999999999999</v>
      </c>
      <c r="I294" s="44">
        <f>Source!U155</f>
        <v>0.6322833000000001</v>
      </c>
      <c r="J294" s="43"/>
      <c r="K294" s="44"/>
    </row>
    <row r="295" spans="1:29" ht="15" x14ac:dyDescent="0.2">
      <c r="C295" s="46" t="s">
        <v>529</v>
      </c>
      <c r="H295" s="47">
        <f>I287+I288+I290+I292+I293+SUM(I291:I291)</f>
        <v>86.149999999999991</v>
      </c>
      <c r="I295" s="47"/>
      <c r="J295" s="47">
        <f>K287+K288+K290+K292+K293+SUM(K291:K291)</f>
        <v>1619.51</v>
      </c>
      <c r="K295" s="47"/>
      <c r="O295" s="48">
        <f>I287+I288+I290+I292+I293+SUM(I291:I291)</f>
        <v>86.149999999999991</v>
      </c>
      <c r="P295" s="48">
        <f>K287+K288+K290+K292+K293+SUM(K291:K291)</f>
        <v>1619.51</v>
      </c>
    </row>
    <row r="297" spans="1:29" ht="99.75" x14ac:dyDescent="0.2">
      <c r="A297" s="34">
        <v>37</v>
      </c>
      <c r="B297" s="34" t="s">
        <v>574</v>
      </c>
      <c r="C297" s="34" t="s">
        <v>278</v>
      </c>
      <c r="D297" s="36" t="str">
        <f>Source!H159</f>
        <v>100 м</v>
      </c>
      <c r="E297" s="35">
        <f>Source!I159</f>
        <v>4.5</v>
      </c>
      <c r="F297" s="38"/>
      <c r="G297" s="37"/>
      <c r="H297" s="35"/>
      <c r="I297" s="38"/>
      <c r="J297" s="35"/>
      <c r="K297" s="38"/>
      <c r="Q297">
        <f>Source!X159</f>
        <v>114.66</v>
      </c>
      <c r="R297">
        <f>Source!X160</f>
        <v>6305.35</v>
      </c>
      <c r="S297">
        <f>Source!Y159</f>
        <v>60.29</v>
      </c>
      <c r="T297">
        <f>Source!Y160</f>
        <v>3315.18</v>
      </c>
      <c r="U297">
        <f>ROUND((175/100)*ROUND(Source!R159, 2), 2)</f>
        <v>2.71</v>
      </c>
      <c r="V297">
        <f>ROUND((0/100)*ROUND(Source!R160, 2), 2)</f>
        <v>0</v>
      </c>
      <c r="AC297">
        <v>0</v>
      </c>
    </row>
    <row r="298" spans="1:29" x14ac:dyDescent="0.2">
      <c r="C298" s="39" t="str">
        <f>"Объем: "&amp;Source!I159&amp;"=450/"&amp;"100"</f>
        <v>Объем: 4,5=450/100</v>
      </c>
    </row>
    <row r="299" spans="1:29" ht="14.25" x14ac:dyDescent="0.2">
      <c r="A299" s="34"/>
      <c r="B299" s="34"/>
      <c r="C299" s="34" t="s">
        <v>520</v>
      </c>
      <c r="D299" s="36"/>
      <c r="E299" s="35"/>
      <c r="F299" s="38">
        <f>Source!AO159</f>
        <v>22.51</v>
      </c>
      <c r="G299" s="37" t="str">
        <f>Source!DG159</f>
        <v>*1,1</v>
      </c>
      <c r="H299" s="35">
        <f>Source!AV160</f>
        <v>1.0469999999999999</v>
      </c>
      <c r="I299" s="38">
        <f>Source!S159</f>
        <v>116.66</v>
      </c>
      <c r="J299" s="35">
        <f>IF(Source!BA160&lt;&gt; 0, Source!BA160, 1)</f>
        <v>54.99</v>
      </c>
      <c r="K299" s="38">
        <f>Source!S160</f>
        <v>6415.13</v>
      </c>
    </row>
    <row r="300" spans="1:29" ht="14.25" x14ac:dyDescent="0.2">
      <c r="A300" s="34"/>
      <c r="B300" s="34"/>
      <c r="C300" s="34" t="s">
        <v>521</v>
      </c>
      <c r="D300" s="36"/>
      <c r="E300" s="35"/>
      <c r="F300" s="38">
        <f>Source!AM159</f>
        <v>2.62</v>
      </c>
      <c r="G300" s="37" t="str">
        <f>Source!DE159</f>
        <v>*1,1</v>
      </c>
      <c r="H300" s="35">
        <f>Source!AV160</f>
        <v>1.0469999999999999</v>
      </c>
      <c r="I300" s="38">
        <f>Source!Q159</f>
        <v>13.58</v>
      </c>
      <c r="J300" s="35">
        <f>IF(Source!BB160&lt;&gt; 0, Source!BB160, 1)</f>
        <v>14.57</v>
      </c>
      <c r="K300" s="38">
        <f>Source!Q160</f>
        <v>197.86</v>
      </c>
    </row>
    <row r="301" spans="1:29" ht="14.25" x14ac:dyDescent="0.2">
      <c r="A301" s="34"/>
      <c r="B301" s="34"/>
      <c r="C301" s="34" t="s">
        <v>522</v>
      </c>
      <c r="D301" s="36"/>
      <c r="E301" s="35"/>
      <c r="F301" s="38">
        <f>Source!AN159</f>
        <v>0.3</v>
      </c>
      <c r="G301" s="37" t="str">
        <f>Source!DF159</f>
        <v>*1,1</v>
      </c>
      <c r="H301" s="35">
        <f>Source!AV160</f>
        <v>1.0469999999999999</v>
      </c>
      <c r="I301" s="40">
        <f>Source!R159</f>
        <v>1.55</v>
      </c>
      <c r="J301" s="35">
        <f>IF(Source!BS160&lt;&gt; 0, Source!BS160, 1)</f>
        <v>54.99</v>
      </c>
      <c r="K301" s="40">
        <f>Source!R160</f>
        <v>85.23</v>
      </c>
    </row>
    <row r="302" spans="1:29" ht="14.25" x14ac:dyDescent="0.2">
      <c r="A302" s="34"/>
      <c r="B302" s="34"/>
      <c r="C302" s="34" t="s">
        <v>523</v>
      </c>
      <c r="D302" s="36"/>
      <c r="E302" s="35"/>
      <c r="F302" s="38">
        <f>Source!AL159</f>
        <v>55.47</v>
      </c>
      <c r="G302" s="37" t="str">
        <f>Source!DD159</f>
        <v>*1</v>
      </c>
      <c r="H302" s="35">
        <f>Source!AW160</f>
        <v>1</v>
      </c>
      <c r="I302" s="38">
        <f>Source!P159</f>
        <v>249.62</v>
      </c>
      <c r="J302" s="35">
        <f>IF(Source!BC160&lt;&gt; 0, Source!BC160, 1)</f>
        <v>3.09</v>
      </c>
      <c r="K302" s="38">
        <f>Source!P160</f>
        <v>771.33</v>
      </c>
    </row>
    <row r="303" spans="1:29" ht="27" x14ac:dyDescent="0.2">
      <c r="A303" s="34" t="s">
        <v>282</v>
      </c>
      <c r="B303" s="34" t="str">
        <f>Source!F161</f>
        <v>КА 21</v>
      </c>
      <c r="C303" s="34" t="s">
        <v>575</v>
      </c>
      <c r="D303" s="36" t="str">
        <f>Source!H161</f>
        <v>м</v>
      </c>
      <c r="E303" s="35">
        <f>Source!I161</f>
        <v>459</v>
      </c>
      <c r="F303" s="38">
        <f>Source!AK161</f>
        <v>5.0599999999999996</v>
      </c>
      <c r="G303" s="57" t="s">
        <v>3</v>
      </c>
      <c r="H303" s="35">
        <f>Source!AW162</f>
        <v>1</v>
      </c>
      <c r="I303" s="38">
        <f>Source!O161</f>
        <v>2322.54</v>
      </c>
      <c r="J303" s="35">
        <f>IF(Source!BC162&lt;&gt; 0, Source!BC162, 1)</f>
        <v>9.8800000000000008</v>
      </c>
      <c r="K303" s="38">
        <f>Source!O162</f>
        <v>22946.7</v>
      </c>
      <c r="Q303">
        <f>Source!X161</f>
        <v>0</v>
      </c>
      <c r="R303">
        <f>Source!X162</f>
        <v>0</v>
      </c>
      <c r="S303">
        <f>Source!Y161</f>
        <v>0</v>
      </c>
      <c r="T303">
        <f>Source!Y162</f>
        <v>0</v>
      </c>
      <c r="U303">
        <f>ROUND((175/100)*ROUND(Source!R161, 2), 2)</f>
        <v>0</v>
      </c>
      <c r="V303">
        <f>ROUND((0/100)*ROUND(Source!R162, 2), 2)</f>
        <v>0</v>
      </c>
      <c r="AC303">
        <v>3</v>
      </c>
    </row>
    <row r="304" spans="1:29" ht="14.25" x14ac:dyDescent="0.2">
      <c r="A304" s="34"/>
      <c r="B304" s="34"/>
      <c r="C304" s="34" t="s">
        <v>524</v>
      </c>
      <c r="D304" s="36" t="s">
        <v>525</v>
      </c>
      <c r="E304" s="35">
        <f>Source!BZ160</f>
        <v>97</v>
      </c>
      <c r="F304" s="38"/>
      <c r="G304" s="37"/>
      <c r="H304" s="35"/>
      <c r="I304" s="38">
        <f>SUM(Q297:Q303)</f>
        <v>114.66</v>
      </c>
      <c r="J304" s="35">
        <f>Source!AT160</f>
        <v>97</v>
      </c>
      <c r="K304" s="38">
        <f>SUM(R297:R303)</f>
        <v>6305.35</v>
      </c>
    </row>
    <row r="305" spans="1:29" ht="14.25" x14ac:dyDescent="0.2">
      <c r="A305" s="34"/>
      <c r="B305" s="34"/>
      <c r="C305" s="34" t="s">
        <v>526</v>
      </c>
      <c r="D305" s="36" t="s">
        <v>525</v>
      </c>
      <c r="E305" s="35">
        <f>Source!CA160</f>
        <v>51</v>
      </c>
      <c r="F305" s="38"/>
      <c r="G305" s="37"/>
      <c r="H305" s="35"/>
      <c r="I305" s="38">
        <f>SUM(S297:S304)</f>
        <v>60.29</v>
      </c>
      <c r="J305" s="35">
        <f>Source!AU160</f>
        <v>51</v>
      </c>
      <c r="K305" s="38">
        <f>SUM(T297:T304)</f>
        <v>3315.18</v>
      </c>
    </row>
    <row r="306" spans="1:29" ht="14.25" x14ac:dyDescent="0.2">
      <c r="A306" s="41"/>
      <c r="B306" s="41"/>
      <c r="C306" s="41" t="s">
        <v>527</v>
      </c>
      <c r="D306" s="42" t="s">
        <v>528</v>
      </c>
      <c r="E306" s="43">
        <f>Source!AQ159</f>
        <v>1.83</v>
      </c>
      <c r="F306" s="44"/>
      <c r="G306" s="45" t="str">
        <f>Source!DI159</f>
        <v>*1,1</v>
      </c>
      <c r="H306" s="43">
        <f>Source!AV160</f>
        <v>1.0469999999999999</v>
      </c>
      <c r="I306" s="44">
        <f>Source!U159</f>
        <v>9.4842495000000007</v>
      </c>
      <c r="J306" s="43"/>
      <c r="K306" s="44"/>
    </row>
    <row r="307" spans="1:29" ht="15" x14ac:dyDescent="0.2">
      <c r="C307" s="46" t="s">
        <v>529</v>
      </c>
      <c r="H307" s="47">
        <f>I299+I300+I302+I304+I305+SUM(I303:I303)</f>
        <v>2877.35</v>
      </c>
      <c r="I307" s="47"/>
      <c r="J307" s="47">
        <f>K299+K300+K302+K304+K305+SUM(K303:K303)</f>
        <v>39951.550000000003</v>
      </c>
      <c r="K307" s="47"/>
      <c r="O307" s="48">
        <f>I299+I300+I302+I304+I305+SUM(I303:I303)</f>
        <v>2877.35</v>
      </c>
      <c r="P307" s="48">
        <f>K299+K300+K302+K304+K305+SUM(K303:K303)</f>
        <v>39951.550000000003</v>
      </c>
    </row>
    <row r="310" spans="1:29" ht="15" x14ac:dyDescent="0.25">
      <c r="A310" s="61" t="str">
        <f>CONCATENATE("Итого по разделу: ",IF(Source!G164&lt;&gt;"Новый раздел", Source!G164, ""))</f>
        <v>Итого по разделу: Кабельные изделия и материалы</v>
      </c>
      <c r="B310" s="61"/>
      <c r="C310" s="61"/>
      <c r="D310" s="61"/>
      <c r="E310" s="61"/>
      <c r="F310" s="61"/>
      <c r="G310" s="61"/>
      <c r="H310" s="60">
        <f>SUM(O207:O309)</f>
        <v>31156.81</v>
      </c>
      <c r="I310" s="59"/>
      <c r="J310" s="60">
        <f>SUM(P207:P309)</f>
        <v>704944.91</v>
      </c>
      <c r="K310" s="59"/>
    </row>
    <row r="311" spans="1:29" hidden="1" x14ac:dyDescent="0.2">
      <c r="A311" t="s">
        <v>558</v>
      </c>
      <c r="I311">
        <f>SUM(W207:W310)</f>
        <v>0</v>
      </c>
      <c r="J311">
        <f>SUM(X207:X310)</f>
        <v>0</v>
      </c>
    </row>
    <row r="312" spans="1:29" hidden="1" x14ac:dyDescent="0.2">
      <c r="A312" t="s">
        <v>559</v>
      </c>
      <c r="I312">
        <f>SUM(Y207:Y311)</f>
        <v>0</v>
      </c>
      <c r="J312">
        <f>SUM(Z207:Z311)</f>
        <v>0</v>
      </c>
    </row>
    <row r="314" spans="1:29" ht="16.5" x14ac:dyDescent="0.2">
      <c r="A314" s="33" t="str">
        <f>CONCATENATE("Раздел: ",IF(Source!G194&lt;&gt;"Новый раздел", Source!G194, ""))</f>
        <v>Раздел: Видеодомофон</v>
      </c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 spans="1:29" ht="78" x14ac:dyDescent="0.2">
      <c r="A315" s="34">
        <v>38</v>
      </c>
      <c r="B315" s="34" t="s">
        <v>576</v>
      </c>
      <c r="C315" s="34" t="s">
        <v>289</v>
      </c>
      <c r="D315" s="36" t="str">
        <f>Source!H198</f>
        <v>1  ШТ.</v>
      </c>
      <c r="E315" s="35">
        <f>Source!I198</f>
        <v>1</v>
      </c>
      <c r="F315" s="38"/>
      <c r="G315" s="37"/>
      <c r="H315" s="35"/>
      <c r="I315" s="38"/>
      <c r="J315" s="35"/>
      <c r="K315" s="38"/>
      <c r="Q315">
        <f>Source!X198</f>
        <v>9.42</v>
      </c>
      <c r="R315">
        <f>Source!X199</f>
        <v>518.17999999999995</v>
      </c>
      <c r="S315">
        <f>Source!Y198</f>
        <v>4.82</v>
      </c>
      <c r="T315">
        <f>Source!Y199</f>
        <v>264.85000000000002</v>
      </c>
      <c r="U315">
        <f>ROUND((175/100)*ROUND(Source!R198, 2), 2)</f>
        <v>0</v>
      </c>
      <c r="V315">
        <f>ROUND((0/100)*ROUND(Source!R199, 2), 2)</f>
        <v>0</v>
      </c>
      <c r="AC315">
        <v>0</v>
      </c>
    </row>
    <row r="316" spans="1:29" ht="14.25" x14ac:dyDescent="0.2">
      <c r="A316" s="34"/>
      <c r="B316" s="34"/>
      <c r="C316" s="34" t="s">
        <v>520</v>
      </c>
      <c r="D316" s="36"/>
      <c r="E316" s="35"/>
      <c r="F316" s="38">
        <f>Source!AO198</f>
        <v>9.09</v>
      </c>
      <c r="G316" s="37" t="str">
        <f>Source!DG198</f>
        <v>*1,1</v>
      </c>
      <c r="H316" s="35">
        <f>Source!AV199</f>
        <v>1.0469999999999999</v>
      </c>
      <c r="I316" s="38">
        <f>Source!S198</f>
        <v>10.47</v>
      </c>
      <c r="J316" s="35">
        <f>IF(Source!BA199&lt;&gt; 0, Source!BA199, 1)</f>
        <v>54.99</v>
      </c>
      <c r="K316" s="38">
        <f>Source!S199</f>
        <v>575.75</v>
      </c>
    </row>
    <row r="317" spans="1:29" ht="14.25" x14ac:dyDescent="0.2">
      <c r="A317" s="34"/>
      <c r="B317" s="34"/>
      <c r="C317" s="34" t="s">
        <v>523</v>
      </c>
      <c r="D317" s="36"/>
      <c r="E317" s="35"/>
      <c r="F317" s="38">
        <f>Source!AL198</f>
        <v>22.6</v>
      </c>
      <c r="G317" s="37" t="str">
        <f>Source!DD198</f>
        <v>*1</v>
      </c>
      <c r="H317" s="35">
        <f>Source!AW199</f>
        <v>1</v>
      </c>
      <c r="I317" s="38">
        <f>Source!P198</f>
        <v>22.6</v>
      </c>
      <c r="J317" s="35">
        <f>IF(Source!BC199&lt;&gt; 0, Source!BC199, 1)</f>
        <v>4.53</v>
      </c>
      <c r="K317" s="38">
        <f>Source!P199</f>
        <v>102.38</v>
      </c>
    </row>
    <row r="318" spans="1:29" ht="14.25" x14ac:dyDescent="0.2">
      <c r="A318" s="34"/>
      <c r="B318" s="34"/>
      <c r="C318" s="34" t="s">
        <v>524</v>
      </c>
      <c r="D318" s="36" t="s">
        <v>525</v>
      </c>
      <c r="E318" s="35">
        <f>Source!BZ199</f>
        <v>90</v>
      </c>
      <c r="F318" s="38"/>
      <c r="G318" s="37"/>
      <c r="H318" s="35"/>
      <c r="I318" s="38">
        <f>SUM(Q315:Q317)</f>
        <v>9.42</v>
      </c>
      <c r="J318" s="35">
        <f>Source!AT199</f>
        <v>90</v>
      </c>
      <c r="K318" s="38">
        <f>SUM(R315:R317)</f>
        <v>518.17999999999995</v>
      </c>
    </row>
    <row r="319" spans="1:29" ht="14.25" x14ac:dyDescent="0.2">
      <c r="A319" s="34"/>
      <c r="B319" s="34"/>
      <c r="C319" s="34" t="s">
        <v>526</v>
      </c>
      <c r="D319" s="36" t="s">
        <v>525</v>
      </c>
      <c r="E319" s="35">
        <f>Source!CA199</f>
        <v>46</v>
      </c>
      <c r="F319" s="38"/>
      <c r="G319" s="37"/>
      <c r="H319" s="35"/>
      <c r="I319" s="38">
        <f>SUM(S315:S318)</f>
        <v>4.82</v>
      </c>
      <c r="J319" s="35">
        <f>Source!AU199</f>
        <v>46</v>
      </c>
      <c r="K319" s="38">
        <f>SUM(T315:T318)</f>
        <v>264.85000000000002</v>
      </c>
    </row>
    <row r="320" spans="1:29" ht="14.25" x14ac:dyDescent="0.2">
      <c r="A320" s="41"/>
      <c r="B320" s="41"/>
      <c r="C320" s="41" t="s">
        <v>527</v>
      </c>
      <c r="D320" s="42" t="s">
        <v>528</v>
      </c>
      <c r="E320" s="43">
        <f>Source!AQ198</f>
        <v>0.72</v>
      </c>
      <c r="F320" s="44"/>
      <c r="G320" s="45" t="str">
        <f>Source!DI198</f>
        <v>*1,1</v>
      </c>
      <c r="H320" s="43">
        <f>Source!AV199</f>
        <v>1.0469999999999999</v>
      </c>
      <c r="I320" s="44">
        <f>Source!U198</f>
        <v>0.82922399999999996</v>
      </c>
      <c r="J320" s="43"/>
      <c r="K320" s="44"/>
    </row>
    <row r="321" spans="1:29" ht="15" x14ac:dyDescent="0.2">
      <c r="C321" s="46" t="s">
        <v>529</v>
      </c>
      <c r="H321" s="47">
        <f>I316+I317+I318+I319+0</f>
        <v>47.31</v>
      </c>
      <c r="I321" s="47"/>
      <c r="J321" s="47">
        <f>K316+K317+K318+K319+0</f>
        <v>1461.1599999999999</v>
      </c>
      <c r="K321" s="47"/>
      <c r="O321" s="48">
        <f>I316+I317+I318+I319+0</f>
        <v>47.31</v>
      </c>
      <c r="P321" s="48">
        <f>K316+K317+K318+K319+0</f>
        <v>1461.1599999999999</v>
      </c>
    </row>
    <row r="323" spans="1:29" ht="96.75" x14ac:dyDescent="0.2">
      <c r="A323" s="49">
        <v>39</v>
      </c>
      <c r="B323" s="49" t="str">
        <f>Source!F200</f>
        <v>КА 22</v>
      </c>
      <c r="C323" s="49" t="s">
        <v>577</v>
      </c>
      <c r="D323" s="50" t="str">
        <f>Source!H200</f>
        <v>шт.</v>
      </c>
      <c r="E323" s="51">
        <f>Source!I200</f>
        <v>1</v>
      </c>
      <c r="F323" s="52">
        <f>Source!AL200</f>
        <v>1451.51</v>
      </c>
      <c r="G323" s="53" t="str">
        <f>Source!DD200</f>
        <v/>
      </c>
      <c r="H323" s="51">
        <f>Source!AW201</f>
        <v>1</v>
      </c>
      <c r="I323" s="52">
        <f>Source!P200</f>
        <v>1451.51</v>
      </c>
      <c r="J323" s="51">
        <f>IF(Source!BC201&lt;&gt; 0, Source!BC201, 1)</f>
        <v>7.66</v>
      </c>
      <c r="K323" s="52">
        <f>Source!P201</f>
        <v>11118.57</v>
      </c>
      <c r="Q323">
        <f>Source!X200</f>
        <v>0</v>
      </c>
      <c r="R323">
        <f>Source!X201</f>
        <v>0</v>
      </c>
      <c r="S323">
        <f>Source!Y200</f>
        <v>0</v>
      </c>
      <c r="T323">
        <f>Source!Y201</f>
        <v>0</v>
      </c>
      <c r="U323">
        <f>ROUND((175/100)*ROUND(Source!R200, 2), 2)</f>
        <v>0</v>
      </c>
      <c r="V323">
        <f>ROUND((0/100)*ROUND(Source!R201, 2), 2)</f>
        <v>0</v>
      </c>
      <c r="AC323">
        <v>5</v>
      </c>
    </row>
    <row r="324" spans="1:29" ht="15" x14ac:dyDescent="0.2">
      <c r="A324" s="54"/>
      <c r="B324" s="54"/>
      <c r="C324" s="55" t="s">
        <v>529</v>
      </c>
      <c r="D324" s="54"/>
      <c r="E324" s="54"/>
      <c r="F324" s="54"/>
      <c r="G324" s="54"/>
      <c r="H324" s="56">
        <f>I323+0</f>
        <v>1451.51</v>
      </c>
      <c r="I324" s="56"/>
      <c r="J324" s="56">
        <f>K323+0</f>
        <v>11118.57</v>
      </c>
      <c r="K324" s="56"/>
      <c r="O324" s="48">
        <f>I323+0</f>
        <v>1451.51</v>
      </c>
      <c r="P324" s="48">
        <f>K323+0</f>
        <v>11118.57</v>
      </c>
    </row>
    <row r="326" spans="1:29" ht="78" x14ac:dyDescent="0.2">
      <c r="A326" s="34">
        <v>40</v>
      </c>
      <c r="B326" s="34" t="s">
        <v>539</v>
      </c>
      <c r="C326" s="34" t="s">
        <v>78</v>
      </c>
      <c r="D326" s="36" t="str">
        <f>Source!H202</f>
        <v>10 шт.</v>
      </c>
      <c r="E326" s="35">
        <f>Source!I202</f>
        <v>0.7</v>
      </c>
      <c r="F326" s="38"/>
      <c r="G326" s="37"/>
      <c r="H326" s="35"/>
      <c r="I326" s="38"/>
      <c r="J326" s="35"/>
      <c r="K326" s="38"/>
      <c r="Q326">
        <f>Source!X202</f>
        <v>165.57</v>
      </c>
      <c r="R326">
        <f>Source!X203</f>
        <v>9104.86</v>
      </c>
      <c r="S326">
        <f>Source!Y202</f>
        <v>84.63</v>
      </c>
      <c r="T326">
        <f>Source!Y203</f>
        <v>4653.59</v>
      </c>
      <c r="U326">
        <f>ROUND((175/100)*ROUND(Source!R202, 2), 2)</f>
        <v>1.07</v>
      </c>
      <c r="V326">
        <f>ROUND((0/100)*ROUND(Source!R203, 2), 2)</f>
        <v>0</v>
      </c>
      <c r="AC326">
        <v>0</v>
      </c>
    </row>
    <row r="327" spans="1:29" x14ac:dyDescent="0.2">
      <c r="C327" s="39" t="str">
        <f>"Объем: "&amp;Source!I202&amp;"=7/"&amp;"10"</f>
        <v>Объем: 0,7=7/10</v>
      </c>
    </row>
    <row r="328" spans="1:29" ht="14.25" x14ac:dyDescent="0.2">
      <c r="A328" s="34"/>
      <c r="B328" s="34"/>
      <c r="C328" s="34" t="s">
        <v>520</v>
      </c>
      <c r="D328" s="36"/>
      <c r="E328" s="35"/>
      <c r="F328" s="38">
        <f>Source!AO202</f>
        <v>227.44</v>
      </c>
      <c r="G328" s="37" t="str">
        <f>Source!DG202</f>
        <v>*1,1</v>
      </c>
      <c r="H328" s="35">
        <f>Source!AV203</f>
        <v>1.0469999999999999</v>
      </c>
      <c r="I328" s="38">
        <f>Source!S202</f>
        <v>183.36</v>
      </c>
      <c r="J328" s="35">
        <f>IF(Source!BA203&lt;&gt; 0, Source!BA203, 1)</f>
        <v>54.99</v>
      </c>
      <c r="K328" s="38">
        <f>Source!S203</f>
        <v>10082.969999999999</v>
      </c>
    </row>
    <row r="329" spans="1:29" ht="14.25" x14ac:dyDescent="0.2">
      <c r="A329" s="34"/>
      <c r="B329" s="34"/>
      <c r="C329" s="34" t="s">
        <v>521</v>
      </c>
      <c r="D329" s="36"/>
      <c r="E329" s="35"/>
      <c r="F329" s="38">
        <f>Source!AM202</f>
        <v>6.07</v>
      </c>
      <c r="G329" s="37" t="str">
        <f>Source!DE202</f>
        <v>*1,1</v>
      </c>
      <c r="H329" s="35">
        <f>Source!AV203</f>
        <v>1.0469999999999999</v>
      </c>
      <c r="I329" s="38">
        <f>Source!Q202</f>
        <v>4.8899999999999997</v>
      </c>
      <c r="J329" s="35">
        <f>IF(Source!BB203&lt;&gt; 0, Source!BB203, 1)</f>
        <v>14.94</v>
      </c>
      <c r="K329" s="38">
        <f>Source!Q203</f>
        <v>73.06</v>
      </c>
    </row>
    <row r="330" spans="1:29" ht="14.25" x14ac:dyDescent="0.2">
      <c r="A330" s="34"/>
      <c r="B330" s="34"/>
      <c r="C330" s="34" t="s">
        <v>522</v>
      </c>
      <c r="D330" s="36"/>
      <c r="E330" s="35"/>
      <c r="F330" s="38">
        <f>Source!AN202</f>
        <v>0.76</v>
      </c>
      <c r="G330" s="37" t="str">
        <f>Source!DF202</f>
        <v>*1,1</v>
      </c>
      <c r="H330" s="35">
        <f>Source!AV203</f>
        <v>1.0469999999999999</v>
      </c>
      <c r="I330" s="40">
        <f>Source!R202</f>
        <v>0.61</v>
      </c>
      <c r="J330" s="35">
        <f>IF(Source!BS203&lt;&gt; 0, Source!BS203, 1)</f>
        <v>54.99</v>
      </c>
      <c r="K330" s="40">
        <f>Source!R203</f>
        <v>33.54</v>
      </c>
    </row>
    <row r="331" spans="1:29" ht="14.25" x14ac:dyDescent="0.2">
      <c r="A331" s="34"/>
      <c r="B331" s="34"/>
      <c r="C331" s="34" t="s">
        <v>523</v>
      </c>
      <c r="D331" s="36"/>
      <c r="E331" s="35"/>
      <c r="F331" s="38">
        <f>Source!AL202</f>
        <v>2.44</v>
      </c>
      <c r="G331" s="37" t="str">
        <f>Source!DD202</f>
        <v>*1</v>
      </c>
      <c r="H331" s="35">
        <f>Source!AW203</f>
        <v>1</v>
      </c>
      <c r="I331" s="38">
        <f>Source!P202</f>
        <v>1.71</v>
      </c>
      <c r="J331" s="35">
        <f>IF(Source!BC203&lt;&gt; 0, Source!BC203, 1)</f>
        <v>7.23</v>
      </c>
      <c r="K331" s="38">
        <f>Source!P203</f>
        <v>12.36</v>
      </c>
    </row>
    <row r="332" spans="1:29" ht="14.25" x14ac:dyDescent="0.2">
      <c r="A332" s="34"/>
      <c r="B332" s="34"/>
      <c r="C332" s="34" t="s">
        <v>524</v>
      </c>
      <c r="D332" s="36" t="s">
        <v>525</v>
      </c>
      <c r="E332" s="35">
        <f>Source!BZ203</f>
        <v>90</v>
      </c>
      <c r="F332" s="38"/>
      <c r="G332" s="37"/>
      <c r="H332" s="35"/>
      <c r="I332" s="38">
        <f>SUM(Q326:Q331)</f>
        <v>165.57</v>
      </c>
      <c r="J332" s="35">
        <f>Source!AT203</f>
        <v>90</v>
      </c>
      <c r="K332" s="38">
        <f>SUM(R326:R331)</f>
        <v>9104.86</v>
      </c>
    </row>
    <row r="333" spans="1:29" ht="14.25" x14ac:dyDescent="0.2">
      <c r="A333" s="34"/>
      <c r="B333" s="34"/>
      <c r="C333" s="34" t="s">
        <v>526</v>
      </c>
      <c r="D333" s="36" t="s">
        <v>525</v>
      </c>
      <c r="E333" s="35">
        <f>Source!CA203</f>
        <v>46</v>
      </c>
      <c r="F333" s="38"/>
      <c r="G333" s="37"/>
      <c r="H333" s="35"/>
      <c r="I333" s="38">
        <f>SUM(S326:S332)</f>
        <v>84.63</v>
      </c>
      <c r="J333" s="35">
        <f>Source!AU203</f>
        <v>46</v>
      </c>
      <c r="K333" s="38">
        <f>SUM(T326:T332)</f>
        <v>4653.59</v>
      </c>
    </row>
    <row r="334" spans="1:29" ht="14.25" x14ac:dyDescent="0.2">
      <c r="A334" s="41"/>
      <c r="B334" s="41"/>
      <c r="C334" s="41" t="s">
        <v>527</v>
      </c>
      <c r="D334" s="42" t="s">
        <v>528</v>
      </c>
      <c r="E334" s="43">
        <f>Source!AQ202</f>
        <v>14.64</v>
      </c>
      <c r="F334" s="44"/>
      <c r="G334" s="45" t="str">
        <f>Source!DI202</f>
        <v>*1,1</v>
      </c>
      <c r="H334" s="43">
        <f>Source!AV203</f>
        <v>1.0469999999999999</v>
      </c>
      <c r="I334" s="44">
        <f>Source!U202</f>
        <v>11.802621600000002</v>
      </c>
      <c r="J334" s="43"/>
      <c r="K334" s="44"/>
    </row>
    <row r="335" spans="1:29" ht="15" x14ac:dyDescent="0.2">
      <c r="C335" s="46" t="s">
        <v>529</v>
      </c>
      <c r="H335" s="47">
        <f>I328+I329+I331+I332+I333+0</f>
        <v>440.15999999999997</v>
      </c>
      <c r="I335" s="47"/>
      <c r="J335" s="47">
        <f>K328+K329+K331+K332+K333+0</f>
        <v>23926.84</v>
      </c>
      <c r="K335" s="47"/>
      <c r="O335" s="48">
        <f>I328+I329+I331+I332+I333+0</f>
        <v>440.15999999999997</v>
      </c>
      <c r="P335" s="48">
        <f>K328+K329+K331+K332+K333+0</f>
        <v>23926.84</v>
      </c>
    </row>
    <row r="337" spans="1:29" ht="82.5" x14ac:dyDescent="0.2">
      <c r="A337" s="49">
        <v>41</v>
      </c>
      <c r="B337" s="49" t="str">
        <f>Source!F204</f>
        <v>КА 23</v>
      </c>
      <c r="C337" s="49" t="s">
        <v>578</v>
      </c>
      <c r="D337" s="50" t="str">
        <f>Source!H204</f>
        <v>шт.</v>
      </c>
      <c r="E337" s="51">
        <f>Source!I204</f>
        <v>7</v>
      </c>
      <c r="F337" s="52">
        <f>Source!AL204</f>
        <v>2347.35</v>
      </c>
      <c r="G337" s="53" t="str">
        <f>Source!DD204</f>
        <v/>
      </c>
      <c r="H337" s="51">
        <f>Source!AW205</f>
        <v>1</v>
      </c>
      <c r="I337" s="52">
        <f>Source!P204</f>
        <v>16431.45</v>
      </c>
      <c r="J337" s="51">
        <f>IF(Source!BC205&lt;&gt; 0, Source!BC205, 1)</f>
        <v>7.66</v>
      </c>
      <c r="K337" s="52">
        <f>Source!P205</f>
        <v>125864.91</v>
      </c>
      <c r="Q337">
        <f>Source!X204</f>
        <v>0</v>
      </c>
      <c r="R337">
        <f>Source!X205</f>
        <v>0</v>
      </c>
      <c r="S337">
        <f>Source!Y204</f>
        <v>0</v>
      </c>
      <c r="T337">
        <f>Source!Y205</f>
        <v>0</v>
      </c>
      <c r="U337">
        <f>ROUND((175/100)*ROUND(Source!R204, 2), 2)</f>
        <v>0</v>
      </c>
      <c r="V337">
        <f>ROUND((0/100)*ROUND(Source!R205, 2), 2)</f>
        <v>0</v>
      </c>
      <c r="AC337">
        <v>5</v>
      </c>
    </row>
    <row r="338" spans="1:29" ht="15" x14ac:dyDescent="0.2">
      <c r="A338" s="54"/>
      <c r="B338" s="54"/>
      <c r="C338" s="55" t="s">
        <v>529</v>
      </c>
      <c r="D338" s="54"/>
      <c r="E338" s="54"/>
      <c r="F338" s="54"/>
      <c r="G338" s="54"/>
      <c r="H338" s="56">
        <f>I337+0</f>
        <v>16431.45</v>
      </c>
      <c r="I338" s="56"/>
      <c r="J338" s="56">
        <f>K337+0</f>
        <v>125864.91</v>
      </c>
      <c r="K338" s="56"/>
      <c r="O338" s="48">
        <f>I337+0</f>
        <v>16431.45</v>
      </c>
      <c r="P338" s="48">
        <f>K337+0</f>
        <v>125864.91</v>
      </c>
    </row>
    <row r="340" spans="1:29" ht="78" x14ac:dyDescent="0.2">
      <c r="A340" s="34">
        <v>42</v>
      </c>
      <c r="B340" s="34" t="s">
        <v>560</v>
      </c>
      <c r="C340" s="34" t="s">
        <v>214</v>
      </c>
      <c r="D340" s="36" t="str">
        <f>Source!H206</f>
        <v>100 м</v>
      </c>
      <c r="E340" s="35">
        <f>Source!I206</f>
        <v>4.4000000000000004</v>
      </c>
      <c r="F340" s="38"/>
      <c r="G340" s="37"/>
      <c r="H340" s="35"/>
      <c r="I340" s="38"/>
      <c r="J340" s="35"/>
      <c r="K340" s="38"/>
      <c r="Q340">
        <f>Source!X206</f>
        <v>973.11</v>
      </c>
      <c r="R340">
        <f>Source!X207</f>
        <v>53511.519999999997</v>
      </c>
      <c r="S340">
        <f>Source!Y206</f>
        <v>511.64</v>
      </c>
      <c r="T340">
        <f>Source!Y207</f>
        <v>28134.93</v>
      </c>
      <c r="U340">
        <f>ROUND((175/100)*ROUND(Source!R206, 2), 2)</f>
        <v>50.65</v>
      </c>
      <c r="V340">
        <f>ROUND((0/100)*ROUND(Source!R207, 2), 2)</f>
        <v>0</v>
      </c>
      <c r="AC340">
        <v>0</v>
      </c>
    </row>
    <row r="341" spans="1:29" x14ac:dyDescent="0.2">
      <c r="C341" s="39" t="str">
        <f>"Объем: "&amp;Source!I206&amp;"=440/"&amp;"100"</f>
        <v>Объем: 4,4=440/100</v>
      </c>
    </row>
    <row r="342" spans="1:29" ht="14.25" x14ac:dyDescent="0.2">
      <c r="A342" s="34"/>
      <c r="B342" s="34"/>
      <c r="C342" s="34" t="s">
        <v>520</v>
      </c>
      <c r="D342" s="36"/>
      <c r="E342" s="35"/>
      <c r="F342" s="38">
        <f>Source!AO206</f>
        <v>192.26</v>
      </c>
      <c r="G342" s="37" t="str">
        <f>Source!DG206</f>
        <v>*1,1</v>
      </c>
      <c r="H342" s="35">
        <f>Source!AV207</f>
        <v>1.0469999999999999</v>
      </c>
      <c r="I342" s="38">
        <f>Source!S206</f>
        <v>974.27</v>
      </c>
      <c r="J342" s="35">
        <f>IF(Source!BA207&lt;&gt; 0, Source!BA207, 1)</f>
        <v>54.99</v>
      </c>
      <c r="K342" s="38">
        <f>Source!S207</f>
        <v>53575.11</v>
      </c>
    </row>
    <row r="343" spans="1:29" ht="14.25" x14ac:dyDescent="0.2">
      <c r="A343" s="34"/>
      <c r="B343" s="34"/>
      <c r="C343" s="34" t="s">
        <v>521</v>
      </c>
      <c r="D343" s="36"/>
      <c r="E343" s="35"/>
      <c r="F343" s="38">
        <f>Source!AM206</f>
        <v>32.869999999999997</v>
      </c>
      <c r="G343" s="37" t="str">
        <f>Source!DE206</f>
        <v>*1,1</v>
      </c>
      <c r="H343" s="35">
        <f>Source!AV207</f>
        <v>1.0469999999999999</v>
      </c>
      <c r="I343" s="38">
        <f>Source!Q206</f>
        <v>166.57</v>
      </c>
      <c r="J343" s="35">
        <f>IF(Source!BB207&lt;&gt; 0, Source!BB207, 1)</f>
        <v>17.850000000000001</v>
      </c>
      <c r="K343" s="38">
        <f>Source!Q207</f>
        <v>2973.27</v>
      </c>
    </row>
    <row r="344" spans="1:29" ht="14.25" x14ac:dyDescent="0.2">
      <c r="A344" s="34"/>
      <c r="B344" s="34"/>
      <c r="C344" s="34" t="s">
        <v>522</v>
      </c>
      <c r="D344" s="36"/>
      <c r="E344" s="35"/>
      <c r="F344" s="38">
        <f>Source!AN206</f>
        <v>5.71</v>
      </c>
      <c r="G344" s="37" t="str">
        <f>Source!DF206</f>
        <v>*1,1</v>
      </c>
      <c r="H344" s="35">
        <f>Source!AV207</f>
        <v>1.0469999999999999</v>
      </c>
      <c r="I344" s="40">
        <f>Source!R206</f>
        <v>28.94</v>
      </c>
      <c r="J344" s="35">
        <f>IF(Source!BS207&lt;&gt; 0, Source!BS207, 1)</f>
        <v>54.99</v>
      </c>
      <c r="K344" s="40">
        <f>Source!R207</f>
        <v>1591.41</v>
      </c>
    </row>
    <row r="345" spans="1:29" ht="14.25" x14ac:dyDescent="0.2">
      <c r="A345" s="34"/>
      <c r="B345" s="34"/>
      <c r="C345" s="34" t="s">
        <v>523</v>
      </c>
      <c r="D345" s="36"/>
      <c r="E345" s="35"/>
      <c r="F345" s="38">
        <f>Source!AL206</f>
        <v>314.29000000000002</v>
      </c>
      <c r="G345" s="37" t="str">
        <f>Source!DD206</f>
        <v>*1</v>
      </c>
      <c r="H345" s="35">
        <f>Source!AW207</f>
        <v>1</v>
      </c>
      <c r="I345" s="38">
        <f>Source!P206</f>
        <v>1382.88</v>
      </c>
      <c r="J345" s="35">
        <f>IF(Source!BC207&lt;&gt; 0, Source!BC207, 1)</f>
        <v>9.89</v>
      </c>
      <c r="K345" s="38">
        <f>Source!P207</f>
        <v>13676.68</v>
      </c>
    </row>
    <row r="346" spans="1:29" ht="78" x14ac:dyDescent="0.2">
      <c r="A346" s="34" t="s">
        <v>301</v>
      </c>
      <c r="B346" s="34" t="s">
        <v>561</v>
      </c>
      <c r="C346" s="34" t="s">
        <v>221</v>
      </c>
      <c r="D346" s="36" t="str">
        <f>Source!H208</f>
        <v>м</v>
      </c>
      <c r="E346" s="35">
        <f>Source!I208</f>
        <v>448.8</v>
      </c>
      <c r="F346" s="38">
        <f>Source!AK208</f>
        <v>3.45</v>
      </c>
      <c r="G346" s="57" t="s">
        <v>562</v>
      </c>
      <c r="H346" s="35">
        <f>Source!AW209</f>
        <v>1</v>
      </c>
      <c r="I346" s="38">
        <f>Source!O208</f>
        <v>1548.36</v>
      </c>
      <c r="J346" s="35">
        <f>IF(Source!BC209&lt;&gt; 0, Source!BC209, 1)</f>
        <v>3.93</v>
      </c>
      <c r="K346" s="38">
        <f>Source!O209</f>
        <v>6085.05</v>
      </c>
      <c r="Q346">
        <f>Source!X208</f>
        <v>0</v>
      </c>
      <c r="R346">
        <f>Source!X209</f>
        <v>0</v>
      </c>
      <c r="S346">
        <f>Source!Y208</f>
        <v>0</v>
      </c>
      <c r="T346">
        <f>Source!Y209</f>
        <v>0</v>
      </c>
      <c r="U346">
        <f>ROUND((175/100)*ROUND(Source!R208, 2), 2)</f>
        <v>0</v>
      </c>
      <c r="V346">
        <f>ROUND((0/100)*ROUND(Source!R209, 2), 2)</f>
        <v>0</v>
      </c>
      <c r="AC346">
        <v>3</v>
      </c>
    </row>
    <row r="347" spans="1:29" ht="92.25" x14ac:dyDescent="0.2">
      <c r="A347" s="34" t="s">
        <v>302</v>
      </c>
      <c r="B347" s="34" t="s">
        <v>563</v>
      </c>
      <c r="C347" s="34" t="s">
        <v>226</v>
      </c>
      <c r="D347" s="36" t="str">
        <f>Source!H210</f>
        <v>100 шт.</v>
      </c>
      <c r="E347" s="35">
        <f>Source!I210</f>
        <v>8.8000000000000007</v>
      </c>
      <c r="F347" s="38">
        <f>Source!AK210</f>
        <v>146.88999999999999</v>
      </c>
      <c r="G347" s="57" t="s">
        <v>562</v>
      </c>
      <c r="H347" s="35">
        <f>Source!AW211</f>
        <v>1</v>
      </c>
      <c r="I347" s="38">
        <f>Source!O210</f>
        <v>1292.6300000000001</v>
      </c>
      <c r="J347" s="35">
        <f>IF(Source!BC211&lt;&gt; 0, Source!BC211, 1)</f>
        <v>2.0299999999999998</v>
      </c>
      <c r="K347" s="38">
        <f>Source!O211</f>
        <v>2624.04</v>
      </c>
      <c r="Q347">
        <f>Source!X210</f>
        <v>0</v>
      </c>
      <c r="R347">
        <f>Source!X211</f>
        <v>0</v>
      </c>
      <c r="S347">
        <f>Source!Y210</f>
        <v>0</v>
      </c>
      <c r="T347">
        <f>Source!Y211</f>
        <v>0</v>
      </c>
      <c r="U347">
        <f>ROUND((175/100)*ROUND(Source!R210, 2), 2)</f>
        <v>0</v>
      </c>
      <c r="V347">
        <f>ROUND((0/100)*ROUND(Source!R211, 2), 2)</f>
        <v>0</v>
      </c>
      <c r="AC347">
        <v>3</v>
      </c>
    </row>
    <row r="348" spans="1:29" ht="14.25" x14ac:dyDescent="0.2">
      <c r="A348" s="34"/>
      <c r="B348" s="34"/>
      <c r="C348" s="34" t="s">
        <v>524</v>
      </c>
      <c r="D348" s="36" t="s">
        <v>525</v>
      </c>
      <c r="E348" s="35">
        <f>Source!BZ207</f>
        <v>97</v>
      </c>
      <c r="F348" s="38"/>
      <c r="G348" s="37"/>
      <c r="H348" s="35"/>
      <c r="I348" s="38">
        <f>SUM(Q340:Q347)</f>
        <v>973.11</v>
      </c>
      <c r="J348" s="35">
        <f>Source!AT207</f>
        <v>97</v>
      </c>
      <c r="K348" s="38">
        <f>SUM(R340:R347)</f>
        <v>53511.519999999997</v>
      </c>
    </row>
    <row r="349" spans="1:29" ht="14.25" x14ac:dyDescent="0.2">
      <c r="A349" s="34"/>
      <c r="B349" s="34"/>
      <c r="C349" s="34" t="s">
        <v>526</v>
      </c>
      <c r="D349" s="36" t="s">
        <v>525</v>
      </c>
      <c r="E349" s="35">
        <f>Source!CA207</f>
        <v>51</v>
      </c>
      <c r="F349" s="38"/>
      <c r="G349" s="37"/>
      <c r="H349" s="35"/>
      <c r="I349" s="38">
        <f>SUM(S340:S348)</f>
        <v>511.64</v>
      </c>
      <c r="J349" s="35">
        <f>Source!AU207</f>
        <v>51</v>
      </c>
      <c r="K349" s="38">
        <f>SUM(T340:T348)</f>
        <v>28134.93</v>
      </c>
    </row>
    <row r="350" spans="1:29" ht="14.25" x14ac:dyDescent="0.2">
      <c r="A350" s="41"/>
      <c r="B350" s="41"/>
      <c r="C350" s="41" t="s">
        <v>527</v>
      </c>
      <c r="D350" s="42" t="s">
        <v>528</v>
      </c>
      <c r="E350" s="43">
        <f>Source!AQ206</f>
        <v>15</v>
      </c>
      <c r="F350" s="44"/>
      <c r="G350" s="45" t="str">
        <f>Source!DI206</f>
        <v>*1,1</v>
      </c>
      <c r="H350" s="43">
        <f>Source!AV207</f>
        <v>1.0469999999999999</v>
      </c>
      <c r="I350" s="44">
        <f>Source!U206</f>
        <v>76.012199999999993</v>
      </c>
      <c r="J350" s="43"/>
      <c r="K350" s="44"/>
    </row>
    <row r="351" spans="1:29" ht="15" x14ac:dyDescent="0.2">
      <c r="C351" s="46" t="s">
        <v>529</v>
      </c>
      <c r="H351" s="47">
        <f>I342+I343+I345+I348+I349+SUM(I346:I347)</f>
        <v>6849.46</v>
      </c>
      <c r="I351" s="47"/>
      <c r="J351" s="47">
        <f>K342+K343+K345+K348+K349+SUM(K346:K347)</f>
        <v>160580.59999999998</v>
      </c>
      <c r="K351" s="47"/>
      <c r="O351" s="48">
        <f>I342+I343+I345+I348+I349+SUM(I346:I347)</f>
        <v>6849.46</v>
      </c>
      <c r="P351" s="48">
        <f>K342+K343+K345+K348+K349+SUM(K346:K347)</f>
        <v>160580.59999999998</v>
      </c>
    </row>
    <row r="353" spans="1:29" ht="78" x14ac:dyDescent="0.2">
      <c r="A353" s="34">
        <v>43</v>
      </c>
      <c r="B353" s="34" t="s">
        <v>568</v>
      </c>
      <c r="C353" s="34" t="s">
        <v>251</v>
      </c>
      <c r="D353" s="36" t="str">
        <f>Source!H212</f>
        <v>100 м</v>
      </c>
      <c r="E353" s="35">
        <f>Source!I212</f>
        <v>0.2</v>
      </c>
      <c r="F353" s="38"/>
      <c r="G353" s="37"/>
      <c r="H353" s="35"/>
      <c r="I353" s="38"/>
      <c r="J353" s="35"/>
      <c r="K353" s="38"/>
      <c r="Q353">
        <f>Source!X212</f>
        <v>12.41</v>
      </c>
      <c r="R353">
        <f>Source!X213</f>
        <v>682.22</v>
      </c>
      <c r="S353">
        <f>Source!Y212</f>
        <v>6.52</v>
      </c>
      <c r="T353">
        <f>Source!Y213</f>
        <v>358.69</v>
      </c>
      <c r="U353">
        <f>ROUND((175/100)*ROUND(Source!R212, 2), 2)</f>
        <v>0.12</v>
      </c>
      <c r="V353">
        <f>ROUND((0/100)*ROUND(Source!R213, 2), 2)</f>
        <v>0</v>
      </c>
      <c r="AC353">
        <v>0</v>
      </c>
    </row>
    <row r="354" spans="1:29" x14ac:dyDescent="0.2">
      <c r="C354" s="39" t="str">
        <f>"Объем: "&amp;Source!I212&amp;"=20/"&amp;"100"</f>
        <v>Объем: 0,2=20/100</v>
      </c>
    </row>
    <row r="355" spans="1:29" ht="14.25" x14ac:dyDescent="0.2">
      <c r="A355" s="34"/>
      <c r="B355" s="34"/>
      <c r="C355" s="34" t="s">
        <v>520</v>
      </c>
      <c r="D355" s="36"/>
      <c r="E355" s="35"/>
      <c r="F355" s="38">
        <f>Source!AO212</f>
        <v>55.23</v>
      </c>
      <c r="G355" s="37" t="str">
        <f>Source!DG212</f>
        <v>*1,1</v>
      </c>
      <c r="H355" s="35">
        <f>Source!AV213</f>
        <v>1.0469999999999999</v>
      </c>
      <c r="I355" s="38">
        <f>Source!S212</f>
        <v>12.72</v>
      </c>
      <c r="J355" s="35">
        <f>IF(Source!BA213&lt;&gt; 0, Source!BA213, 1)</f>
        <v>54.99</v>
      </c>
      <c r="K355" s="38">
        <f>Source!S213</f>
        <v>699.47</v>
      </c>
    </row>
    <row r="356" spans="1:29" ht="14.25" x14ac:dyDescent="0.2">
      <c r="A356" s="34"/>
      <c r="B356" s="34"/>
      <c r="C356" s="34" t="s">
        <v>521</v>
      </c>
      <c r="D356" s="36"/>
      <c r="E356" s="35"/>
      <c r="F356" s="38">
        <f>Source!AM212</f>
        <v>2.62</v>
      </c>
      <c r="G356" s="37" t="str">
        <f>Source!DE212</f>
        <v>*1,1</v>
      </c>
      <c r="H356" s="35">
        <f>Source!AV213</f>
        <v>1.0469999999999999</v>
      </c>
      <c r="I356" s="38">
        <f>Source!Q212</f>
        <v>0.6</v>
      </c>
      <c r="J356" s="35">
        <f>IF(Source!BB213&lt;&gt; 0, Source!BB213, 1)</f>
        <v>14.57</v>
      </c>
      <c r="K356" s="38">
        <f>Source!Q213</f>
        <v>8.74</v>
      </c>
    </row>
    <row r="357" spans="1:29" ht="14.25" x14ac:dyDescent="0.2">
      <c r="A357" s="34"/>
      <c r="B357" s="34"/>
      <c r="C357" s="34" t="s">
        <v>522</v>
      </c>
      <c r="D357" s="36"/>
      <c r="E357" s="35"/>
      <c r="F357" s="38">
        <f>Source!AN212</f>
        <v>0.3</v>
      </c>
      <c r="G357" s="37" t="str">
        <f>Source!DF212</f>
        <v>*1,1</v>
      </c>
      <c r="H357" s="35">
        <f>Source!AV213</f>
        <v>1.0469999999999999</v>
      </c>
      <c r="I357" s="40">
        <f>Source!R212</f>
        <v>7.0000000000000007E-2</v>
      </c>
      <c r="J357" s="35">
        <f>IF(Source!BS213&lt;&gt; 0, Source!BS213, 1)</f>
        <v>54.99</v>
      </c>
      <c r="K357" s="40">
        <f>Source!R213</f>
        <v>3.85</v>
      </c>
    </row>
    <row r="358" spans="1:29" ht="14.25" x14ac:dyDescent="0.2">
      <c r="A358" s="34"/>
      <c r="B358" s="34"/>
      <c r="C358" s="34" t="s">
        <v>523</v>
      </c>
      <c r="D358" s="36"/>
      <c r="E358" s="35"/>
      <c r="F358" s="38">
        <f>Source!AL212</f>
        <v>58.15</v>
      </c>
      <c r="G358" s="37" t="str">
        <f>Source!DD212</f>
        <v>*1</v>
      </c>
      <c r="H358" s="35">
        <f>Source!AW213</f>
        <v>1</v>
      </c>
      <c r="I358" s="38">
        <f>Source!P212</f>
        <v>11.63</v>
      </c>
      <c r="J358" s="35">
        <f>IF(Source!BC213&lt;&gt; 0, Source!BC213, 1)</f>
        <v>3.7</v>
      </c>
      <c r="K358" s="38">
        <f>Source!P213</f>
        <v>43.03</v>
      </c>
    </row>
    <row r="359" spans="1:29" ht="27" x14ac:dyDescent="0.2">
      <c r="A359" s="34" t="s">
        <v>304</v>
      </c>
      <c r="B359" s="34" t="str">
        <f>Source!F214</f>
        <v>КА 21</v>
      </c>
      <c r="C359" s="34" t="s">
        <v>575</v>
      </c>
      <c r="D359" s="36" t="str">
        <f>Source!H214</f>
        <v>м</v>
      </c>
      <c r="E359" s="35">
        <f>Source!I214</f>
        <v>20.399999999999999</v>
      </c>
      <c r="F359" s="38">
        <f>Source!AK214</f>
        <v>5.0599999999999996</v>
      </c>
      <c r="G359" s="57" t="s">
        <v>3</v>
      </c>
      <c r="H359" s="35">
        <f>Source!AW215</f>
        <v>1</v>
      </c>
      <c r="I359" s="38">
        <f>Source!O214</f>
        <v>103.22</v>
      </c>
      <c r="J359" s="35">
        <f>IF(Source!BC215&lt;&gt; 0, Source!BC215, 1)</f>
        <v>9.8800000000000008</v>
      </c>
      <c r="K359" s="38">
        <f>Source!O215</f>
        <v>1019.81</v>
      </c>
      <c r="Q359">
        <f>Source!X214</f>
        <v>0</v>
      </c>
      <c r="R359">
        <f>Source!X215</f>
        <v>0</v>
      </c>
      <c r="S359">
        <f>Source!Y214</f>
        <v>0</v>
      </c>
      <c r="T359">
        <f>Source!Y215</f>
        <v>0</v>
      </c>
      <c r="U359">
        <f>ROUND((175/100)*ROUND(Source!R214, 2), 2)</f>
        <v>0</v>
      </c>
      <c r="V359">
        <f>ROUND((0/100)*ROUND(Source!R215, 2), 2)</f>
        <v>0</v>
      </c>
      <c r="AC359">
        <v>3</v>
      </c>
    </row>
    <row r="360" spans="1:29" ht="14.25" x14ac:dyDescent="0.2">
      <c r="A360" s="34"/>
      <c r="B360" s="34"/>
      <c r="C360" s="34" t="s">
        <v>524</v>
      </c>
      <c r="D360" s="36" t="s">
        <v>525</v>
      </c>
      <c r="E360" s="35">
        <f>Source!BZ213</f>
        <v>97</v>
      </c>
      <c r="F360" s="38"/>
      <c r="G360" s="37"/>
      <c r="H360" s="35"/>
      <c r="I360" s="38">
        <f>SUM(Q353:Q359)</f>
        <v>12.41</v>
      </c>
      <c r="J360" s="35">
        <f>Source!AT213</f>
        <v>97</v>
      </c>
      <c r="K360" s="38">
        <f>SUM(R353:R359)</f>
        <v>682.22</v>
      </c>
    </row>
    <row r="361" spans="1:29" ht="14.25" x14ac:dyDescent="0.2">
      <c r="A361" s="34"/>
      <c r="B361" s="34"/>
      <c r="C361" s="34" t="s">
        <v>526</v>
      </c>
      <c r="D361" s="36" t="s">
        <v>525</v>
      </c>
      <c r="E361" s="35">
        <f>Source!CA213</f>
        <v>51</v>
      </c>
      <c r="F361" s="38"/>
      <c r="G361" s="37"/>
      <c r="H361" s="35"/>
      <c r="I361" s="38">
        <f>SUM(S353:S360)</f>
        <v>6.52</v>
      </c>
      <c r="J361" s="35">
        <f>Source!AU213</f>
        <v>51</v>
      </c>
      <c r="K361" s="38">
        <f>SUM(T353:T360)</f>
        <v>358.69</v>
      </c>
    </row>
    <row r="362" spans="1:29" ht="14.25" x14ac:dyDescent="0.2">
      <c r="A362" s="41"/>
      <c r="B362" s="41"/>
      <c r="C362" s="41" t="s">
        <v>527</v>
      </c>
      <c r="D362" s="42" t="s">
        <v>528</v>
      </c>
      <c r="E362" s="43">
        <f>Source!AQ212</f>
        <v>4.49</v>
      </c>
      <c r="F362" s="44"/>
      <c r="G362" s="45" t="str">
        <f>Source!DI212</f>
        <v>*1,1</v>
      </c>
      <c r="H362" s="43">
        <f>Source!AV213</f>
        <v>1.0469999999999999</v>
      </c>
      <c r="I362" s="44">
        <f>Source!U212</f>
        <v>1.0342266000000002</v>
      </c>
      <c r="J362" s="43"/>
      <c r="K362" s="44"/>
    </row>
    <row r="363" spans="1:29" ht="15" x14ac:dyDescent="0.2">
      <c r="C363" s="46" t="s">
        <v>529</v>
      </c>
      <c r="H363" s="47">
        <f>I355+I356+I358+I360+I361+SUM(I359:I359)</f>
        <v>147.1</v>
      </c>
      <c r="I363" s="47"/>
      <c r="J363" s="47">
        <f>K355+K356+K358+K360+K361+SUM(K359:K359)</f>
        <v>2811.96</v>
      </c>
      <c r="K363" s="47"/>
      <c r="O363" s="48">
        <f>I355+I356+I358+I360+I361+SUM(I359:I359)</f>
        <v>147.1</v>
      </c>
      <c r="P363" s="48">
        <f>K355+K356+K358+K360+K361+SUM(K359:K359)</f>
        <v>2811.96</v>
      </c>
    </row>
    <row r="365" spans="1:29" ht="78" x14ac:dyDescent="0.2">
      <c r="A365" s="34">
        <v>44</v>
      </c>
      <c r="B365" s="34" t="s">
        <v>572</v>
      </c>
      <c r="C365" s="34" t="s">
        <v>270</v>
      </c>
      <c r="D365" s="36" t="str">
        <f>Source!H216</f>
        <v>100 м</v>
      </c>
      <c r="E365" s="35">
        <f>Source!I216</f>
        <v>4.2</v>
      </c>
      <c r="F365" s="38"/>
      <c r="G365" s="37"/>
      <c r="H365" s="35"/>
      <c r="I365" s="38"/>
      <c r="J365" s="35"/>
      <c r="K365" s="38"/>
      <c r="Q365">
        <f>Source!X216</f>
        <v>313.83999999999997</v>
      </c>
      <c r="R365">
        <f>Source!X217</f>
        <v>17258.25</v>
      </c>
      <c r="S365">
        <f>Source!Y216</f>
        <v>165.01</v>
      </c>
      <c r="T365">
        <f>Source!Y217</f>
        <v>9073.93</v>
      </c>
      <c r="U365">
        <f>ROUND((175/100)*ROUND(Source!R216, 2), 2)</f>
        <v>4.99</v>
      </c>
      <c r="V365">
        <f>ROUND((0/100)*ROUND(Source!R217, 2), 2)</f>
        <v>0</v>
      </c>
      <c r="AC365">
        <v>0</v>
      </c>
    </row>
    <row r="366" spans="1:29" x14ac:dyDescent="0.2">
      <c r="C366" s="39" t="str">
        <f>"Объем: "&amp;Source!I216&amp;"=420/"&amp;"100"</f>
        <v>Объем: 4,2=420/100</v>
      </c>
    </row>
    <row r="367" spans="1:29" ht="14.25" x14ac:dyDescent="0.2">
      <c r="A367" s="34"/>
      <c r="B367" s="34"/>
      <c r="C367" s="34" t="s">
        <v>520</v>
      </c>
      <c r="D367" s="36"/>
      <c r="E367" s="35"/>
      <c r="F367" s="38">
        <f>Source!AO216</f>
        <v>66.3</v>
      </c>
      <c r="G367" s="37" t="str">
        <f>Source!DG216</f>
        <v>*1,1</v>
      </c>
      <c r="H367" s="35">
        <f>Source!AV217</f>
        <v>1.0469999999999999</v>
      </c>
      <c r="I367" s="38">
        <f>Source!S216</f>
        <v>320.7</v>
      </c>
      <c r="J367" s="35">
        <f>IF(Source!BA217&lt;&gt; 0, Source!BA217, 1)</f>
        <v>54.99</v>
      </c>
      <c r="K367" s="38">
        <f>Source!S217</f>
        <v>17635.29</v>
      </c>
    </row>
    <row r="368" spans="1:29" ht="14.25" x14ac:dyDescent="0.2">
      <c r="A368" s="34"/>
      <c r="B368" s="34"/>
      <c r="C368" s="34" t="s">
        <v>521</v>
      </c>
      <c r="D368" s="36"/>
      <c r="E368" s="35"/>
      <c r="F368" s="38">
        <f>Source!AM216</f>
        <v>5.25</v>
      </c>
      <c r="G368" s="37" t="str">
        <f>Source!DE216</f>
        <v>*1,1</v>
      </c>
      <c r="H368" s="35">
        <f>Source!AV217</f>
        <v>1.0469999999999999</v>
      </c>
      <c r="I368" s="38">
        <f>Source!Q216</f>
        <v>25.39</v>
      </c>
      <c r="J368" s="35">
        <f>IF(Source!BB217&lt;&gt; 0, Source!BB217, 1)</f>
        <v>14.54</v>
      </c>
      <c r="K368" s="38">
        <f>Source!Q217</f>
        <v>369.17</v>
      </c>
    </row>
    <row r="369" spans="1:29" ht="14.25" x14ac:dyDescent="0.2">
      <c r="A369" s="34"/>
      <c r="B369" s="34"/>
      <c r="C369" s="34" t="s">
        <v>522</v>
      </c>
      <c r="D369" s="36"/>
      <c r="E369" s="35"/>
      <c r="F369" s="38">
        <f>Source!AN216</f>
        <v>0.59</v>
      </c>
      <c r="G369" s="37" t="str">
        <f>Source!DF216</f>
        <v>*1,1</v>
      </c>
      <c r="H369" s="35">
        <f>Source!AV217</f>
        <v>1.0469999999999999</v>
      </c>
      <c r="I369" s="40">
        <f>Source!R216</f>
        <v>2.85</v>
      </c>
      <c r="J369" s="35">
        <f>IF(Source!BS217&lt;&gt; 0, Source!BS217, 1)</f>
        <v>54.99</v>
      </c>
      <c r="K369" s="40">
        <f>Source!R217</f>
        <v>156.72</v>
      </c>
    </row>
    <row r="370" spans="1:29" ht="14.25" x14ac:dyDescent="0.2">
      <c r="A370" s="34"/>
      <c r="B370" s="34"/>
      <c r="C370" s="34" t="s">
        <v>523</v>
      </c>
      <c r="D370" s="36"/>
      <c r="E370" s="35"/>
      <c r="F370" s="38">
        <f>Source!AL216</f>
        <v>61.98</v>
      </c>
      <c r="G370" s="37" t="str">
        <f>Source!DD216</f>
        <v>*1</v>
      </c>
      <c r="H370" s="35">
        <f>Source!AW217</f>
        <v>1</v>
      </c>
      <c r="I370" s="38">
        <f>Source!P216</f>
        <v>260.32</v>
      </c>
      <c r="J370" s="35">
        <f>IF(Source!BC217&lt;&gt; 0, Source!BC217, 1)</f>
        <v>4.53</v>
      </c>
      <c r="K370" s="38">
        <f>Source!P217</f>
        <v>1179.25</v>
      </c>
    </row>
    <row r="371" spans="1:29" ht="55.5" x14ac:dyDescent="0.2">
      <c r="A371" s="34" t="s">
        <v>306</v>
      </c>
      <c r="B371" s="34" t="str">
        <f>Source!F218</f>
        <v>КА 24</v>
      </c>
      <c r="C371" s="34" t="s">
        <v>579</v>
      </c>
      <c r="D371" s="36" t="str">
        <f>Source!H218</f>
        <v>м</v>
      </c>
      <c r="E371" s="35">
        <f>Source!I218</f>
        <v>428.4</v>
      </c>
      <c r="F371" s="38">
        <f>Source!AK218</f>
        <v>18.189999999999998</v>
      </c>
      <c r="G371" s="57" t="s">
        <v>3</v>
      </c>
      <c r="H371" s="35">
        <f>Source!AW219</f>
        <v>1</v>
      </c>
      <c r="I371" s="38">
        <f>Source!O218</f>
        <v>7792.6</v>
      </c>
      <c r="J371" s="35">
        <f>IF(Source!BC219&lt;&gt; 0, Source!BC219, 1)</f>
        <v>9.8800000000000008</v>
      </c>
      <c r="K371" s="38">
        <f>Source!O219</f>
        <v>76990.89</v>
      </c>
      <c r="Q371">
        <f>Source!X218</f>
        <v>0</v>
      </c>
      <c r="R371">
        <f>Source!X219</f>
        <v>0</v>
      </c>
      <c r="S371">
        <f>Source!Y218</f>
        <v>0</v>
      </c>
      <c r="T371">
        <f>Source!Y219</f>
        <v>0</v>
      </c>
      <c r="U371">
        <f>ROUND((175/100)*ROUND(Source!R218, 2), 2)</f>
        <v>0</v>
      </c>
      <c r="V371">
        <f>ROUND((0/100)*ROUND(Source!R219, 2), 2)</f>
        <v>0</v>
      </c>
      <c r="AC371">
        <v>3</v>
      </c>
    </row>
    <row r="372" spans="1:29" ht="14.25" x14ac:dyDescent="0.2">
      <c r="A372" s="34"/>
      <c r="B372" s="34"/>
      <c r="C372" s="34" t="s">
        <v>524</v>
      </c>
      <c r="D372" s="36" t="s">
        <v>525</v>
      </c>
      <c r="E372" s="35">
        <f>Source!BZ217</f>
        <v>97</v>
      </c>
      <c r="F372" s="38"/>
      <c r="G372" s="37"/>
      <c r="H372" s="35"/>
      <c r="I372" s="38">
        <f>SUM(Q365:Q371)</f>
        <v>313.83999999999997</v>
      </c>
      <c r="J372" s="35">
        <f>Source!AT217</f>
        <v>97</v>
      </c>
      <c r="K372" s="38">
        <f>SUM(R365:R371)</f>
        <v>17258.25</v>
      </c>
    </row>
    <row r="373" spans="1:29" ht="14.25" x14ac:dyDescent="0.2">
      <c r="A373" s="34"/>
      <c r="B373" s="34"/>
      <c r="C373" s="34" t="s">
        <v>526</v>
      </c>
      <c r="D373" s="36" t="s">
        <v>525</v>
      </c>
      <c r="E373" s="35">
        <f>Source!CA217</f>
        <v>51</v>
      </c>
      <c r="F373" s="38"/>
      <c r="G373" s="37"/>
      <c r="H373" s="35"/>
      <c r="I373" s="38">
        <f>SUM(S365:S372)</f>
        <v>165.01</v>
      </c>
      <c r="J373" s="35">
        <f>Source!AU217</f>
        <v>51</v>
      </c>
      <c r="K373" s="38">
        <f>SUM(T365:T372)</f>
        <v>9073.93</v>
      </c>
    </row>
    <row r="374" spans="1:29" ht="14.25" x14ac:dyDescent="0.2">
      <c r="A374" s="41"/>
      <c r="B374" s="41"/>
      <c r="C374" s="41" t="s">
        <v>527</v>
      </c>
      <c r="D374" s="42" t="s">
        <v>528</v>
      </c>
      <c r="E374" s="43">
        <f>Source!AQ216</f>
        <v>5.39</v>
      </c>
      <c r="F374" s="44"/>
      <c r="G374" s="45" t="str">
        <f>Source!DI216</f>
        <v>*1,1</v>
      </c>
      <c r="H374" s="43">
        <f>Source!AV217</f>
        <v>1.0469999999999999</v>
      </c>
      <c r="I374" s="44">
        <f>Source!U216</f>
        <v>26.072184600000003</v>
      </c>
      <c r="J374" s="43"/>
      <c r="K374" s="44"/>
    </row>
    <row r="375" spans="1:29" ht="15" x14ac:dyDescent="0.2">
      <c r="C375" s="46" t="s">
        <v>529</v>
      </c>
      <c r="H375" s="47">
        <f>I367+I368+I370+I372+I373+SUM(I371:I371)</f>
        <v>8877.86</v>
      </c>
      <c r="I375" s="47"/>
      <c r="J375" s="47">
        <f>K367+K368+K370+K372+K373+SUM(K371:K371)</f>
        <v>122506.78</v>
      </c>
      <c r="K375" s="47"/>
      <c r="O375" s="48">
        <f>I367+I368+I370+I372+I373+SUM(I371:I371)</f>
        <v>8877.86</v>
      </c>
      <c r="P375" s="48">
        <f>K367+K368+K370+K372+K373+SUM(K371:K371)</f>
        <v>122506.78</v>
      </c>
    </row>
    <row r="377" spans="1:29" ht="71.25" x14ac:dyDescent="0.2">
      <c r="A377" s="49">
        <v>45</v>
      </c>
      <c r="B377" s="49" t="str">
        <f>Source!F220</f>
        <v>13.1-2-435</v>
      </c>
      <c r="C377" s="49" t="s">
        <v>580</v>
      </c>
      <c r="D377" s="50" t="str">
        <f>Source!H220</f>
        <v>шт.</v>
      </c>
      <c r="E377" s="51">
        <f>Source!I220</f>
        <v>9</v>
      </c>
      <c r="F377" s="52">
        <f>Source!AL220</f>
        <v>40.299999999999997</v>
      </c>
      <c r="G377" s="53" t="str">
        <f>Source!DD220</f>
        <v/>
      </c>
      <c r="H377" s="51">
        <f>Source!AW221</f>
        <v>1</v>
      </c>
      <c r="I377" s="52">
        <f>Source!P220</f>
        <v>362.7</v>
      </c>
      <c r="J377" s="51">
        <f>IF(Source!BC221&lt;&gt; 0, Source!BC221, 1)</f>
        <v>7.85</v>
      </c>
      <c r="K377" s="52">
        <f>Source!P221</f>
        <v>2847.2</v>
      </c>
      <c r="Q377">
        <f>Source!X220</f>
        <v>0</v>
      </c>
      <c r="R377">
        <f>Source!X221</f>
        <v>0</v>
      </c>
      <c r="S377">
        <f>Source!Y220</f>
        <v>0</v>
      </c>
      <c r="T377">
        <f>Source!Y221</f>
        <v>0</v>
      </c>
      <c r="U377">
        <f>ROUND((175/100)*ROUND(Source!R220, 2), 2)</f>
        <v>0</v>
      </c>
      <c r="V377">
        <f>ROUND((0/100)*ROUND(Source!R221, 2), 2)</f>
        <v>0</v>
      </c>
      <c r="AC377">
        <v>5</v>
      </c>
    </row>
    <row r="378" spans="1:29" ht="15" x14ac:dyDescent="0.2">
      <c r="A378" s="54"/>
      <c r="B378" s="54"/>
      <c r="C378" s="55" t="s">
        <v>529</v>
      </c>
      <c r="D378" s="54"/>
      <c r="E378" s="54"/>
      <c r="F378" s="54"/>
      <c r="G378" s="54"/>
      <c r="H378" s="56">
        <f>I377+0</f>
        <v>362.7</v>
      </c>
      <c r="I378" s="56"/>
      <c r="J378" s="56">
        <f>K377+0</f>
        <v>2847.2</v>
      </c>
      <c r="K378" s="56"/>
      <c r="O378" s="48">
        <f>I377+0</f>
        <v>362.7</v>
      </c>
      <c r="P378" s="48">
        <f>K377+0</f>
        <v>2847.2</v>
      </c>
    </row>
    <row r="381" spans="1:29" ht="15" x14ac:dyDescent="0.25">
      <c r="A381" s="61" t="str">
        <f>CONCATENATE("Итого по разделу: ",IF(Source!G223&lt;&gt;"Новый раздел", Source!G223, ""))</f>
        <v>Итого по разделу: Видеодомофон</v>
      </c>
      <c r="B381" s="61"/>
      <c r="C381" s="61"/>
      <c r="D381" s="61"/>
      <c r="E381" s="61"/>
      <c r="F381" s="61"/>
      <c r="G381" s="61"/>
      <c r="H381" s="60">
        <f>SUM(O314:O380)</f>
        <v>34607.549999999996</v>
      </c>
      <c r="I381" s="59"/>
      <c r="J381" s="60">
        <f>SUM(P314:P380)</f>
        <v>451118.01999999996</v>
      </c>
      <c r="K381" s="59"/>
    </row>
    <row r="382" spans="1:29" hidden="1" x14ac:dyDescent="0.2">
      <c r="A382" t="s">
        <v>558</v>
      </c>
      <c r="I382">
        <f>SUM(W314:W381)</f>
        <v>0</v>
      </c>
      <c r="J382">
        <f>SUM(X314:X381)</f>
        <v>0</v>
      </c>
    </row>
    <row r="383" spans="1:29" hidden="1" x14ac:dyDescent="0.2">
      <c r="A383" t="s">
        <v>559</v>
      </c>
      <c r="I383">
        <f>SUM(Y314:Y382)</f>
        <v>0</v>
      </c>
      <c r="J383">
        <f>SUM(Z314:Z382)</f>
        <v>0</v>
      </c>
    </row>
    <row r="385" spans="1:43" ht="15" x14ac:dyDescent="0.25">
      <c r="A385" s="61" t="str">
        <f>CONCATENATE("Итого по локальной смете: ",IF(Source!G253&lt;&gt;"Новая локальная смета", Source!G253, ""))</f>
        <v>Итого по локальной смете: Система контроля и управления доступом</v>
      </c>
      <c r="B385" s="61"/>
      <c r="C385" s="61"/>
      <c r="D385" s="61"/>
      <c r="E385" s="61"/>
      <c r="F385" s="61"/>
      <c r="G385" s="61"/>
      <c r="H385" s="60">
        <f>SUM(O28:O384)</f>
        <v>572713.84</v>
      </c>
      <c r="I385" s="59"/>
      <c r="J385" s="60">
        <f>SUM(P28:P384)</f>
        <v>5607159.9099999992</v>
      </c>
      <c r="K385" s="59"/>
      <c r="AQ385" s="62" t="str">
        <f>CONCATENATE("Итого по локальной смете: ",IF(Source!G253&lt;&gt;"Новая локальная смета", Source!G253, ""))</f>
        <v>Итого по локальной смете: Система контроля и управления доступом</v>
      </c>
    </row>
    <row r="386" spans="1:43" hidden="1" x14ac:dyDescent="0.2">
      <c r="A386" t="s">
        <v>558</v>
      </c>
      <c r="I386">
        <f>SUM(W28:W385)</f>
        <v>0</v>
      </c>
      <c r="J386">
        <f>SUM(X28:X385)</f>
        <v>0</v>
      </c>
    </row>
    <row r="387" spans="1:43" hidden="1" x14ac:dyDescent="0.2">
      <c r="A387" t="s">
        <v>559</v>
      </c>
      <c r="I387">
        <f>SUM(Y28:Y386)</f>
        <v>0</v>
      </c>
      <c r="J387">
        <f>SUM(Z28:Z386)</f>
        <v>0</v>
      </c>
    </row>
    <row r="390" spans="1:43" ht="14.25" x14ac:dyDescent="0.2">
      <c r="A390" s="63" t="s">
        <v>582</v>
      </c>
      <c r="B390" s="63"/>
      <c r="C390" s="64" t="str">
        <f>IF(Source!AC12&lt;&gt;"", Source!AC12," ")</f>
        <v xml:space="preserve"> </v>
      </c>
      <c r="D390" s="64"/>
      <c r="E390" s="64"/>
      <c r="F390" s="64"/>
      <c r="G390" s="64"/>
      <c r="H390" s="24" t="str">
        <f>IF(Source!AB12&lt;&gt;"", Source!AB12," ")</f>
        <v>Кузнецова Е.А.</v>
      </c>
      <c r="I390" s="24"/>
      <c r="J390" s="24"/>
      <c r="K390" s="24"/>
    </row>
    <row r="391" spans="1:43" ht="14.25" x14ac:dyDescent="0.2">
      <c r="A391" s="11"/>
      <c r="B391" s="11"/>
      <c r="C391" s="13" t="s">
        <v>583</v>
      </c>
      <c r="D391" s="13"/>
      <c r="E391" s="13"/>
      <c r="F391" s="13"/>
      <c r="G391" s="13"/>
      <c r="H391" s="11"/>
      <c r="I391" s="11"/>
      <c r="J391" s="11"/>
      <c r="K391" s="11"/>
    </row>
    <row r="392" spans="1:43" ht="14.25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43" ht="14.25" x14ac:dyDescent="0.2">
      <c r="A393" s="63" t="s">
        <v>584</v>
      </c>
      <c r="B393" s="63"/>
      <c r="C393" s="64" t="str">
        <f>IF(Source!AE12&lt;&gt;"", Source!AE12," ")</f>
        <v xml:space="preserve"> </v>
      </c>
      <c r="D393" s="64"/>
      <c r="E393" s="64"/>
      <c r="F393" s="64"/>
      <c r="G393" s="64"/>
      <c r="H393" s="24" t="str">
        <f>IF(Source!AD12&lt;&gt;"", Source!AD12," ")</f>
        <v xml:space="preserve"> </v>
      </c>
      <c r="I393" s="24"/>
      <c r="J393" s="24"/>
      <c r="K393" s="24"/>
    </row>
    <row r="394" spans="1:43" ht="14.25" x14ac:dyDescent="0.2">
      <c r="A394" s="11"/>
      <c r="B394" s="11"/>
      <c r="C394" s="13" t="s">
        <v>583</v>
      </c>
      <c r="D394" s="13"/>
      <c r="E394" s="13"/>
      <c r="F394" s="13"/>
      <c r="G394" s="13"/>
      <c r="H394" s="11"/>
      <c r="I394" s="11"/>
      <c r="J394" s="11"/>
      <c r="K394" s="11"/>
    </row>
  </sheetData>
  <mergeCells count="128">
    <mergeCell ref="A390:B390"/>
    <mergeCell ref="H390:K390"/>
    <mergeCell ref="C391:G391"/>
    <mergeCell ref="A393:B393"/>
    <mergeCell ref="H393:K393"/>
    <mergeCell ref="C394:G394"/>
    <mergeCell ref="H378:I378"/>
    <mergeCell ref="J378:K378"/>
    <mergeCell ref="J381:K381"/>
    <mergeCell ref="H381:I381"/>
    <mergeCell ref="A381:G381"/>
    <mergeCell ref="J385:K385"/>
    <mergeCell ref="H385:I385"/>
    <mergeCell ref="A385:G385"/>
    <mergeCell ref="H351:I351"/>
    <mergeCell ref="J351:K351"/>
    <mergeCell ref="H363:I363"/>
    <mergeCell ref="J363:K363"/>
    <mergeCell ref="H375:I375"/>
    <mergeCell ref="J375:K375"/>
    <mergeCell ref="H324:I324"/>
    <mergeCell ref="J324:K324"/>
    <mergeCell ref="H335:I335"/>
    <mergeCell ref="J335:K335"/>
    <mergeCell ref="H338:I338"/>
    <mergeCell ref="J338:K338"/>
    <mergeCell ref="J310:K310"/>
    <mergeCell ref="H310:I310"/>
    <mergeCell ref="A310:G310"/>
    <mergeCell ref="A314:K314"/>
    <mergeCell ref="H321:I321"/>
    <mergeCell ref="J321:K321"/>
    <mergeCell ref="H283:I283"/>
    <mergeCell ref="J283:K283"/>
    <mergeCell ref="H295:I295"/>
    <mergeCell ref="J295:K295"/>
    <mergeCell ref="H307:I307"/>
    <mergeCell ref="J307:K307"/>
    <mergeCell ref="H247:I247"/>
    <mergeCell ref="J247:K247"/>
    <mergeCell ref="H259:I259"/>
    <mergeCell ref="J259:K259"/>
    <mergeCell ref="H271:I271"/>
    <mergeCell ref="J271:K271"/>
    <mergeCell ref="H219:I219"/>
    <mergeCell ref="J219:K219"/>
    <mergeCell ref="H232:I232"/>
    <mergeCell ref="J232:K232"/>
    <mergeCell ref="H235:I235"/>
    <mergeCell ref="J235:K235"/>
    <mergeCell ref="H200:I200"/>
    <mergeCell ref="J200:K200"/>
    <mergeCell ref="J203:K203"/>
    <mergeCell ref="H203:I203"/>
    <mergeCell ref="A203:G203"/>
    <mergeCell ref="A207:K207"/>
    <mergeCell ref="H184:I184"/>
    <mergeCell ref="J184:K184"/>
    <mergeCell ref="H194:I194"/>
    <mergeCell ref="J194:K194"/>
    <mergeCell ref="H197:I197"/>
    <mergeCell ref="J197:K197"/>
    <mergeCell ref="H170:I170"/>
    <mergeCell ref="J170:K170"/>
    <mergeCell ref="H173:I173"/>
    <mergeCell ref="J173:K173"/>
    <mergeCell ref="H181:I181"/>
    <mergeCell ref="J181:K181"/>
    <mergeCell ref="H143:I143"/>
    <mergeCell ref="J143:K143"/>
    <mergeCell ref="H153:I153"/>
    <mergeCell ref="J153:K153"/>
    <mergeCell ref="H161:I161"/>
    <mergeCell ref="J161:K161"/>
    <mergeCell ref="H129:I129"/>
    <mergeCell ref="J129:K129"/>
    <mergeCell ref="H137:I137"/>
    <mergeCell ref="J137:K137"/>
    <mergeCell ref="H140:I140"/>
    <mergeCell ref="J140:K140"/>
    <mergeCell ref="H110:I110"/>
    <mergeCell ref="J110:K110"/>
    <mergeCell ref="H119:I119"/>
    <mergeCell ref="J119:K119"/>
    <mergeCell ref="H126:I126"/>
    <mergeCell ref="J126:K126"/>
    <mergeCell ref="H93:I93"/>
    <mergeCell ref="J93:K93"/>
    <mergeCell ref="H96:I96"/>
    <mergeCell ref="J96:K96"/>
    <mergeCell ref="H107:I107"/>
    <mergeCell ref="J107:K107"/>
    <mergeCell ref="H78:I78"/>
    <mergeCell ref="J78:K78"/>
    <mergeCell ref="H81:I81"/>
    <mergeCell ref="J81:K81"/>
    <mergeCell ref="H90:I90"/>
    <mergeCell ref="J90:K90"/>
    <mergeCell ref="H55:I55"/>
    <mergeCell ref="J55:K55"/>
    <mergeCell ref="H65:I65"/>
    <mergeCell ref="J65:K65"/>
    <mergeCell ref="H68:I68"/>
    <mergeCell ref="J68:K68"/>
    <mergeCell ref="H39:I39"/>
    <mergeCell ref="J39:K39"/>
    <mergeCell ref="H42:I42"/>
    <mergeCell ref="J42:K42"/>
    <mergeCell ref="H52:I52"/>
    <mergeCell ref="J52:K52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8ED4-56D9-487D-9AB8-B95B8FAAD6A2}">
  <sheetPr>
    <pageSetUpPr fitToPage="1"/>
  </sheetPr>
  <dimension ref="A1:AE88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0" width="0" hidden="1" customWidth="1"/>
    <col min="31" max="31" width="114.7109375" hidden="1" customWidth="1"/>
    <col min="32" max="32" width="0" hidden="1" customWidth="1"/>
  </cols>
  <sheetData>
    <row r="1" spans="1:31" x14ac:dyDescent="0.2">
      <c r="A1" s="10" t="str">
        <f>Source!B1</f>
        <v>Smeta.RU  (495) 974-1589</v>
      </c>
    </row>
    <row r="2" spans="1:31" ht="14.25" x14ac:dyDescent="0.2">
      <c r="D2" s="11"/>
      <c r="E2" s="11"/>
    </row>
    <row r="3" spans="1:31" ht="15" x14ac:dyDescent="0.25">
      <c r="D3" s="11"/>
      <c r="E3" s="58" t="s">
        <v>585</v>
      </c>
    </row>
    <row r="4" spans="1:31" ht="15" x14ac:dyDescent="0.25">
      <c r="D4" s="58"/>
      <c r="E4" s="58"/>
    </row>
    <row r="5" spans="1:31" ht="15" x14ac:dyDescent="0.25">
      <c r="D5" s="65" t="s">
        <v>586</v>
      </c>
      <c r="E5" s="65"/>
    </row>
    <row r="6" spans="1:31" ht="15" x14ac:dyDescent="0.25">
      <c r="D6" s="58"/>
      <c r="E6" s="58"/>
    </row>
    <row r="7" spans="1:31" ht="15" x14ac:dyDescent="0.25">
      <c r="D7" s="65" t="s">
        <v>586</v>
      </c>
      <c r="E7" s="65"/>
    </row>
    <row r="8" spans="1:31" ht="15" x14ac:dyDescent="0.25">
      <c r="D8" s="58"/>
      <c r="E8" s="58"/>
    </row>
    <row r="9" spans="1:31" ht="15" x14ac:dyDescent="0.25">
      <c r="D9" s="58" t="s">
        <v>587</v>
      </c>
      <c r="E9" s="11"/>
    </row>
    <row r="10" spans="1:31" ht="14.25" x14ac:dyDescent="0.2">
      <c r="D10" s="11"/>
      <c r="E10" s="11"/>
    </row>
    <row r="12" spans="1:31" ht="15.75" x14ac:dyDescent="0.2">
      <c r="B12" s="66" t="str">
        <f>CONCATENATE("Ведомость объемов работ ", IF(Source!AN15&lt;&gt;"", Source!AN15," "))</f>
        <v xml:space="preserve">Ведомость объемов работ  </v>
      </c>
      <c r="C12" s="66"/>
      <c r="D12" s="66"/>
      <c r="E12" s="66"/>
    </row>
    <row r="13" spans="1:31" ht="15" x14ac:dyDescent="0.2">
      <c r="B13" s="67" t="str">
        <f>CONCATENATE(Source!F12, " ", Source!G12)</f>
        <v>Новый объект (ТСН-2001 (Мосгосэкспертиза)) 02-01-15 Система контроля и управления доступом</v>
      </c>
      <c r="C13" s="67"/>
      <c r="D13" s="67"/>
      <c r="E13" s="67"/>
      <c r="AE13" s="68" t="str">
        <f>CONCATENATE(Source!F12, " ", Source!G12)</f>
        <v>Новый объект (ТСН-2001 (Мосгосэкспертиза)) 02-01-15 Система контроля и управления доступом</v>
      </c>
    </row>
    <row r="14" spans="1:31" hidden="1" x14ac:dyDescent="0.2"/>
    <row r="16" spans="1:31" ht="99.75" x14ac:dyDescent="0.2">
      <c r="A16" s="29" t="s">
        <v>504</v>
      </c>
      <c r="B16" s="29" t="s">
        <v>588</v>
      </c>
      <c r="C16" s="29" t="s">
        <v>506</v>
      </c>
      <c r="D16" s="29" t="s">
        <v>589</v>
      </c>
      <c r="E16" s="29" t="s">
        <v>590</v>
      </c>
      <c r="F16" s="29" t="s">
        <v>591</v>
      </c>
      <c r="G16" s="29" t="s">
        <v>592</v>
      </c>
      <c r="H16" s="29" t="s">
        <v>593</v>
      </c>
    </row>
    <row r="17" spans="1:8" ht="14.25" x14ac:dyDescent="0.2">
      <c r="A17" s="29">
        <v>1</v>
      </c>
      <c r="B17" s="29">
        <v>2</v>
      </c>
      <c r="C17" s="29">
        <v>3</v>
      </c>
      <c r="D17" s="29">
        <v>4</v>
      </c>
      <c r="E17" s="29">
        <v>5</v>
      </c>
      <c r="F17" s="29">
        <v>6</v>
      </c>
      <c r="G17" s="29">
        <v>7</v>
      </c>
      <c r="H17" s="29">
        <v>8</v>
      </c>
    </row>
    <row r="18" spans="1:8" ht="16.5" x14ac:dyDescent="0.25">
      <c r="A18" s="69" t="str">
        <f>CONCATENATE("Локальная смета: ", Source!G20)</f>
        <v>Локальная смета: Система контроля и управления доступом</v>
      </c>
      <c r="B18" s="69"/>
      <c r="C18" s="69"/>
      <c r="D18" s="69"/>
      <c r="E18" s="69"/>
      <c r="F18" s="69"/>
      <c r="G18" s="69"/>
      <c r="H18" s="69"/>
    </row>
    <row r="19" spans="1:8" ht="16.5" x14ac:dyDescent="0.25">
      <c r="A19" s="69" t="str">
        <f>CONCATENATE("Раздел: ", Source!G24)</f>
        <v>Раздел: Оборудование</v>
      </c>
      <c r="B19" s="69"/>
      <c r="C19" s="69"/>
      <c r="D19" s="69"/>
      <c r="E19" s="69"/>
      <c r="F19" s="69"/>
      <c r="G19" s="69"/>
      <c r="H19" s="69"/>
    </row>
    <row r="20" spans="1:8" ht="14.25" x14ac:dyDescent="0.2">
      <c r="A20" s="29">
        <v>1</v>
      </c>
      <c r="B20" s="29" t="str">
        <f>Source!E28</f>
        <v>1</v>
      </c>
      <c r="C20" s="72" t="str">
        <f>Source!G28</f>
        <v>Монтаж блока контроля датчиков (контроллер)</v>
      </c>
      <c r="D20" s="29" t="s">
        <v>23</v>
      </c>
      <c r="E20" s="73">
        <f>Source!I28</f>
        <v>0.2</v>
      </c>
      <c r="F20" s="29" t="str">
        <f>Source!U24</f>
        <v/>
      </c>
      <c r="G20" s="29" t="str">
        <f>"=2/"&amp;"10"</f>
        <v>=2/10</v>
      </c>
      <c r="H20" s="72"/>
    </row>
    <row r="21" spans="1:8" ht="14.25" x14ac:dyDescent="0.2">
      <c r="A21" s="29">
        <v>2</v>
      </c>
      <c r="B21" s="29" t="str">
        <f>Source!E30</f>
        <v>2</v>
      </c>
      <c r="C21" s="72" t="str">
        <f>Source!G30</f>
        <v>Сетевой контроллер доступа "STR20-IP" до 8 точек, встроенное ПО</v>
      </c>
      <c r="D21" s="29" t="s">
        <v>34</v>
      </c>
      <c r="E21" s="73">
        <f>Source!I30</f>
        <v>20</v>
      </c>
      <c r="F21" s="29" t="str">
        <f>Source!U24</f>
        <v/>
      </c>
      <c r="G21" s="29">
        <f>Source!I30</f>
        <v>20</v>
      </c>
      <c r="H21" s="72"/>
    </row>
    <row r="22" spans="1:8" ht="28.5" x14ac:dyDescent="0.2">
      <c r="A22" s="29">
        <v>3</v>
      </c>
      <c r="B22" s="29" t="str">
        <f>Source!E32</f>
        <v>3</v>
      </c>
      <c r="C22" s="72" t="str">
        <f>Source!G32</f>
        <v>Аппараты приемные, приборы ПС приемно-контрольные, пусковые, прибор ПС на 4 луча</v>
      </c>
      <c r="D22" s="29" t="s">
        <v>43</v>
      </c>
      <c r="E22" s="73">
        <f>Source!I32</f>
        <v>12</v>
      </c>
      <c r="F22" s="29" t="str">
        <f>Source!U24</f>
        <v/>
      </c>
      <c r="G22" s="29">
        <f>Source!I32</f>
        <v>12</v>
      </c>
      <c r="H22" s="72"/>
    </row>
    <row r="23" spans="1:8" ht="14.25" x14ac:dyDescent="0.2">
      <c r="A23" s="29">
        <v>4</v>
      </c>
      <c r="B23" s="29" t="str">
        <f>Source!E34</f>
        <v>4</v>
      </c>
      <c r="C23" s="72" t="str">
        <f>Source!G34</f>
        <v>Модуль доступа-контроллер доступа STR-1AP-M на 2 точки</v>
      </c>
      <c r="D23" s="29" t="s">
        <v>34</v>
      </c>
      <c r="E23" s="73">
        <f>Source!I34</f>
        <v>12</v>
      </c>
      <c r="F23" s="29" t="str">
        <f>Source!U24</f>
        <v/>
      </c>
      <c r="G23" s="29">
        <f>Source!I34</f>
        <v>12</v>
      </c>
      <c r="H23" s="72"/>
    </row>
    <row r="24" spans="1:8" ht="28.5" x14ac:dyDescent="0.2">
      <c r="A24" s="29">
        <v>5</v>
      </c>
      <c r="B24" s="29" t="str">
        <f>Source!E36</f>
        <v>5</v>
      </c>
      <c r="C24" s="72" t="str">
        <f>Source!G36</f>
        <v>Аппараты приемные, приборы ПС приемно-контрольные, пусковые, прибор ПС на 4 луча</v>
      </c>
      <c r="D24" s="29" t="s">
        <v>43</v>
      </c>
      <c r="E24" s="73">
        <f>Source!I36</f>
        <v>15</v>
      </c>
      <c r="F24" s="29" t="str">
        <f>Source!U24</f>
        <v/>
      </c>
      <c r="G24" s="29">
        <f>Source!I36</f>
        <v>15</v>
      </c>
      <c r="H24" s="72"/>
    </row>
    <row r="25" spans="1:8" ht="14.25" x14ac:dyDescent="0.2">
      <c r="A25" s="29">
        <v>6</v>
      </c>
      <c r="B25" s="29" t="str">
        <f>Source!E38</f>
        <v>6</v>
      </c>
      <c r="C25" s="72" t="str">
        <f>Source!G38</f>
        <v>Модуль доступа-контроллер доступа STR-2AP-M на 4 точки</v>
      </c>
      <c r="D25" s="29" t="s">
        <v>34</v>
      </c>
      <c r="E25" s="73">
        <f>Source!I38</f>
        <v>15</v>
      </c>
      <c r="F25" s="29" t="str">
        <f>Source!U24</f>
        <v/>
      </c>
      <c r="G25" s="29">
        <f>Source!I38</f>
        <v>15</v>
      </c>
      <c r="H25" s="72"/>
    </row>
    <row r="26" spans="1:8" ht="28.5" x14ac:dyDescent="0.2">
      <c r="A26" s="29">
        <v>7</v>
      </c>
      <c r="B26" s="29" t="str">
        <f>Source!E40</f>
        <v>7</v>
      </c>
      <c r="C26" s="72" t="str">
        <f>Source!G40</f>
        <v>Монтаж конструкции для установки приборов и средств автоматизации массой до 2 кг</v>
      </c>
      <c r="D26" s="29" t="s">
        <v>43</v>
      </c>
      <c r="E26" s="73">
        <f>Source!I40</f>
        <v>27</v>
      </c>
      <c r="F26" s="29" t="str">
        <f>Source!U24</f>
        <v/>
      </c>
      <c r="G26" s="29">
        <f>Source!I40</f>
        <v>27</v>
      </c>
      <c r="H26" s="72"/>
    </row>
    <row r="27" spans="1:8" ht="14.25" x14ac:dyDescent="0.2">
      <c r="A27" s="29">
        <v>8</v>
      </c>
      <c r="B27" s="29" t="str">
        <f>Source!E42</f>
        <v>8</v>
      </c>
      <c r="C27" s="72" t="str">
        <f>Source!G42</f>
        <v>Электромагнитный замок с монтажным комплектом "AL-400 Premium "</v>
      </c>
      <c r="D27" s="29" t="s">
        <v>34</v>
      </c>
      <c r="E27" s="73">
        <f>Source!I42</f>
        <v>27</v>
      </c>
      <c r="F27" s="29" t="str">
        <f>Source!U24</f>
        <v/>
      </c>
      <c r="G27" s="29">
        <f>Source!I42</f>
        <v>27</v>
      </c>
      <c r="H27" s="72"/>
    </row>
    <row r="28" spans="1:8" ht="28.5" x14ac:dyDescent="0.2">
      <c r="A28" s="29">
        <v>9</v>
      </c>
      <c r="B28" s="29" t="str">
        <f>Source!E44</f>
        <v>9</v>
      </c>
      <c r="C28" s="72" t="str">
        <f>Source!G44</f>
        <v>Извещатели ОС автоматические, контактный, магнито-контактный на открывание окон, дверей</v>
      </c>
      <c r="D28" s="29" t="s">
        <v>43</v>
      </c>
      <c r="E28" s="73">
        <f>Source!I44</f>
        <v>42</v>
      </c>
      <c r="F28" s="29" t="str">
        <f>Source!U24</f>
        <v/>
      </c>
      <c r="G28" s="29" t="str">
        <f>"=38+"&amp;"4"</f>
        <v>=38+4</v>
      </c>
      <c r="H28" s="72"/>
    </row>
    <row r="29" spans="1:8" ht="28.5" x14ac:dyDescent="0.2">
      <c r="A29" s="29">
        <v>10</v>
      </c>
      <c r="B29" s="29" t="str">
        <f>Source!E46</f>
        <v>10</v>
      </c>
      <c r="C29" s="72" t="str">
        <f>Source!G46</f>
        <v>Извещатель охр. магнито-контактный для металлических дверей ИО 102-26 исп. Аякс</v>
      </c>
      <c r="D29" s="29" t="s">
        <v>34</v>
      </c>
      <c r="E29" s="73">
        <f>Source!I46</f>
        <v>38</v>
      </c>
      <c r="F29" s="29" t="str">
        <f>Source!U24</f>
        <v/>
      </c>
      <c r="G29" s="29">
        <f>Source!I46</f>
        <v>38</v>
      </c>
      <c r="H29" s="72"/>
    </row>
    <row r="30" spans="1:8" ht="28.5" x14ac:dyDescent="0.2">
      <c r="A30" s="29">
        <v>11</v>
      </c>
      <c r="B30" s="29" t="str">
        <f>Source!E48</f>
        <v>11</v>
      </c>
      <c r="C30" s="72" t="str">
        <f>Source!G48</f>
        <v>Извещатель охр. магнито-контактный для неметалл. поверхностей ИО 102-2 СМК</v>
      </c>
      <c r="D30" s="29" t="s">
        <v>34</v>
      </c>
      <c r="E30" s="73">
        <f>Source!I48</f>
        <v>4</v>
      </c>
      <c r="F30" s="29" t="str">
        <f>Source!U24</f>
        <v/>
      </c>
      <c r="G30" s="29">
        <f>Source!I48</f>
        <v>4</v>
      </c>
      <c r="H30" s="72"/>
    </row>
    <row r="31" spans="1:8" ht="28.5" x14ac:dyDescent="0.2">
      <c r="A31" s="29">
        <v>12</v>
      </c>
      <c r="B31" s="29" t="str">
        <f>Source!E50</f>
        <v>12</v>
      </c>
      <c r="C31" s="72" t="str">
        <f>Source!G50</f>
        <v>Монтаж устройства связи с согласующим устройством (вызывная панель)</v>
      </c>
      <c r="D31" s="29" t="s">
        <v>23</v>
      </c>
      <c r="E31" s="73">
        <f>Source!I50</f>
        <v>4.2</v>
      </c>
      <c r="F31" s="29" t="str">
        <f>Source!U24</f>
        <v/>
      </c>
      <c r="G31" s="29" t="str">
        <f>"=42/"&amp;"10"</f>
        <v>=42/10</v>
      </c>
      <c r="H31" s="72"/>
    </row>
    <row r="32" spans="1:8" ht="42.75" x14ac:dyDescent="0.2">
      <c r="A32" s="29">
        <v>13</v>
      </c>
      <c r="B32" s="29" t="str">
        <f>Source!E52</f>
        <v>13</v>
      </c>
      <c r="C32" s="72" t="str">
        <f>Source!G52</f>
        <v>Считыватель для установки на улице и в помещение,-40....+55гр интерфейс Wiegand 26-58, формат карт Mifare, EM-Marin,HID Prox RusGuard R-15 multi</v>
      </c>
      <c r="D32" s="29" t="s">
        <v>34</v>
      </c>
      <c r="E32" s="73">
        <f>Source!I52</f>
        <v>42</v>
      </c>
      <c r="F32" s="29" t="str">
        <f>Source!U24</f>
        <v/>
      </c>
      <c r="G32" s="29">
        <f>Source!I52</f>
        <v>42</v>
      </c>
      <c r="H32" s="72"/>
    </row>
    <row r="33" spans="1:8" ht="14.25" x14ac:dyDescent="0.2">
      <c r="A33" s="29">
        <v>14</v>
      </c>
      <c r="B33" s="29" t="str">
        <f>Source!E54</f>
        <v>14</v>
      </c>
      <c r="C33" s="72" t="str">
        <f>Source!G54</f>
        <v>Монтаж ключа или кнопки на панели</v>
      </c>
      <c r="D33" s="29" t="s">
        <v>43</v>
      </c>
      <c r="E33" s="73">
        <f>Source!I54</f>
        <v>12</v>
      </c>
      <c r="F33" s="29" t="str">
        <f>Source!U24</f>
        <v/>
      </c>
      <c r="G33" s="29">
        <f>Source!I54</f>
        <v>12</v>
      </c>
      <c r="H33" s="72"/>
    </row>
    <row r="34" spans="1:8" ht="14.25" x14ac:dyDescent="0.2">
      <c r="A34" s="29">
        <v>14.1</v>
      </c>
      <c r="B34" s="29" t="str">
        <f>Source!E56</f>
        <v>14,1</v>
      </c>
      <c r="C34" s="72" t="str">
        <f>Source!G56</f>
        <v>Кнопка экстренного выхода ST-FR115</v>
      </c>
      <c r="D34" s="29" t="s">
        <v>34</v>
      </c>
      <c r="E34" s="73">
        <f>Source!I56</f>
        <v>12</v>
      </c>
      <c r="F34" s="29" t="str">
        <f>Source!U24</f>
        <v/>
      </c>
      <c r="G34" s="29"/>
      <c r="H34" s="72"/>
    </row>
    <row r="35" spans="1:8" ht="14.25" x14ac:dyDescent="0.2">
      <c r="A35" s="29">
        <v>15</v>
      </c>
      <c r="B35" s="29" t="str">
        <f>Source!E58</f>
        <v>15</v>
      </c>
      <c r="C35" s="72" t="str">
        <f>Source!G58</f>
        <v>Монтаж детали на пультах и панелях - кнопка</v>
      </c>
      <c r="D35" s="29" t="s">
        <v>43</v>
      </c>
      <c r="E35" s="73">
        <f>Source!I58</f>
        <v>27</v>
      </c>
      <c r="F35" s="29" t="str">
        <f>Source!U24</f>
        <v/>
      </c>
      <c r="G35" s="29">
        <f>Source!I58</f>
        <v>27</v>
      </c>
      <c r="H35" s="72"/>
    </row>
    <row r="36" spans="1:8" ht="14.25" x14ac:dyDescent="0.2">
      <c r="A36" s="29">
        <v>16</v>
      </c>
      <c r="B36" s="29" t="str">
        <f>Source!E60</f>
        <v>16</v>
      </c>
      <c r="C36" s="72" t="str">
        <f>Source!G60</f>
        <v>Кнопка разблокировки дверей "ИПР 513-10" "АВАРИЙНЫЙ ВЫХОД" SB 1</v>
      </c>
      <c r="D36" s="29" t="s">
        <v>34</v>
      </c>
      <c r="E36" s="73">
        <f>Source!I60</f>
        <v>27</v>
      </c>
      <c r="F36" s="29" t="str">
        <f>Source!U24</f>
        <v/>
      </c>
      <c r="G36" s="29">
        <f>Source!I60</f>
        <v>27</v>
      </c>
      <c r="H36" s="72"/>
    </row>
    <row r="37" spans="1:8" ht="14.25" x14ac:dyDescent="0.2">
      <c r="A37" s="29">
        <v>17</v>
      </c>
      <c r="B37" s="29" t="str">
        <f>Source!E62</f>
        <v>17</v>
      </c>
      <c r="C37" s="72" t="str">
        <f>Source!G62</f>
        <v>Монтаж блока бесперебойного питания (ББП) в диспетчерской</v>
      </c>
      <c r="D37" s="29" t="s">
        <v>43</v>
      </c>
      <c r="E37" s="73">
        <f>Source!I62</f>
        <v>2</v>
      </c>
      <c r="F37" s="29" t="str">
        <f>Source!U24</f>
        <v/>
      </c>
      <c r="G37" s="29">
        <f>Source!I62</f>
        <v>2</v>
      </c>
      <c r="H37" s="72"/>
    </row>
    <row r="38" spans="1:8" ht="14.25" x14ac:dyDescent="0.2">
      <c r="A38" s="29">
        <v>18</v>
      </c>
      <c r="B38" s="29" t="str">
        <f>Source!E64</f>
        <v>18</v>
      </c>
      <c r="C38" s="72" t="str">
        <f>Source!G64</f>
        <v>Резервный источник питания,12В  ИВЭПР 12/3,5 2x7 -Р</v>
      </c>
      <c r="D38" s="29" t="s">
        <v>34</v>
      </c>
      <c r="E38" s="73">
        <f>Source!I64</f>
        <v>2</v>
      </c>
      <c r="F38" s="29" t="str">
        <f>Source!U24</f>
        <v/>
      </c>
      <c r="G38" s="29">
        <f>Source!I64</f>
        <v>2</v>
      </c>
      <c r="H38" s="72"/>
    </row>
    <row r="39" spans="1:8" ht="14.25" x14ac:dyDescent="0.2">
      <c r="A39" s="29">
        <v>19</v>
      </c>
      <c r="B39" s="29" t="str">
        <f>Source!E66</f>
        <v>19</v>
      </c>
      <c r="C39" s="72" t="str">
        <f>Source!G66</f>
        <v>Батарея аккумуляторная, емкость 7 А·ч, напряжение 12 В.</v>
      </c>
      <c r="D39" s="29" t="s">
        <v>34</v>
      </c>
      <c r="E39" s="73">
        <f>Source!I66</f>
        <v>4</v>
      </c>
      <c r="F39" s="29" t="str">
        <f>Source!U24</f>
        <v/>
      </c>
      <c r="G39" s="29">
        <f>Source!I66</f>
        <v>4</v>
      </c>
      <c r="H39" s="72"/>
    </row>
    <row r="40" spans="1:8" ht="28.5" x14ac:dyDescent="0.2">
      <c r="A40" s="29">
        <v>20</v>
      </c>
      <c r="B40" s="29" t="str">
        <f>Source!E68</f>
        <v>20</v>
      </c>
      <c r="C40" s="72" t="str">
        <f>Source!G68</f>
        <v>Установка съемных и выдвижных блоков (модулей, ячеек, ТЭЗ) массой до 5 кг</v>
      </c>
      <c r="D40" s="29" t="s">
        <v>43</v>
      </c>
      <c r="E40" s="73">
        <f>Source!I68</f>
        <v>7</v>
      </c>
      <c r="F40" s="29" t="str">
        <f>Source!U24</f>
        <v/>
      </c>
      <c r="G40" s="29">
        <f>Source!I68</f>
        <v>7</v>
      </c>
      <c r="H40" s="72"/>
    </row>
    <row r="41" spans="1:8" ht="28.5" x14ac:dyDescent="0.2">
      <c r="A41" s="29">
        <v>20.100000000000001</v>
      </c>
      <c r="B41" s="29" t="str">
        <f>Source!E70</f>
        <v>20,1</v>
      </c>
      <c r="C41" s="72" t="str">
        <f>Source!G70</f>
        <v>Коммутационная панель категории 5е UTP19",1U,24xRj45,п-корды  PLHD-24 Dual IDC-1U</v>
      </c>
      <c r="D41" s="29" t="s">
        <v>34</v>
      </c>
      <c r="E41" s="73">
        <f>Source!I70</f>
        <v>49</v>
      </c>
      <c r="F41" s="29" t="str">
        <f>Source!U24</f>
        <v/>
      </c>
      <c r="G41" s="29"/>
      <c r="H41" s="72"/>
    </row>
    <row r="42" spans="1:8" ht="14.25" x14ac:dyDescent="0.2">
      <c r="A42" s="29">
        <v>21</v>
      </c>
      <c r="B42" s="29" t="str">
        <f>Source!E72</f>
        <v>21</v>
      </c>
      <c r="C42" s="72" t="str">
        <f>Source!G72</f>
        <v>Установка рамки со штифтами на винтах в нарезных отверстиях</v>
      </c>
      <c r="D42" s="29" t="s">
        <v>124</v>
      </c>
      <c r="E42" s="73">
        <f>Source!I72</f>
        <v>7</v>
      </c>
      <c r="F42" s="29" t="str">
        <f>Source!U24</f>
        <v/>
      </c>
      <c r="G42" s="29">
        <f>Source!I72</f>
        <v>7</v>
      </c>
      <c r="H42" s="72"/>
    </row>
    <row r="43" spans="1:8" ht="14.25" x14ac:dyDescent="0.2">
      <c r="A43" s="29">
        <v>21.1</v>
      </c>
      <c r="B43" s="29" t="str">
        <f>Source!E74</f>
        <v>21,1</v>
      </c>
      <c r="C43" s="72" t="str">
        <f>Source!G74</f>
        <v>Горизонтальный органайзер, слотовый с крышкой, MX-CMC-1U-45-B</v>
      </c>
      <c r="D43" s="29" t="s">
        <v>34</v>
      </c>
      <c r="E43" s="73">
        <f>Source!I74</f>
        <v>7</v>
      </c>
      <c r="F43" s="29" t="str">
        <f>Source!U24</f>
        <v/>
      </c>
      <c r="G43" s="29"/>
      <c r="H43" s="72"/>
    </row>
    <row r="44" spans="1:8" ht="14.25" x14ac:dyDescent="0.2">
      <c r="A44" s="29">
        <v>22</v>
      </c>
      <c r="B44" s="29" t="str">
        <f>Source!E76</f>
        <v>22</v>
      </c>
      <c r="C44" s="72" t="str">
        <f>Source!G76</f>
        <v>Установка аппарата настольного массой до 0,03 т</v>
      </c>
      <c r="D44" s="29" t="s">
        <v>43</v>
      </c>
      <c r="E44" s="73">
        <f>Source!I76</f>
        <v>1</v>
      </c>
      <c r="F44" s="29" t="str">
        <f>Source!U24</f>
        <v/>
      </c>
      <c r="G44" s="29">
        <f>Source!I76</f>
        <v>1</v>
      </c>
      <c r="H44" s="72"/>
    </row>
    <row r="45" spans="1:8" ht="42.75" x14ac:dyDescent="0.2">
      <c r="A45" s="29">
        <v>23</v>
      </c>
      <c r="B45" s="29" t="str">
        <f>Source!E78</f>
        <v>23</v>
      </c>
      <c r="C45" s="72" t="str">
        <f>Source!G78</f>
        <v>Центральный прибор индикации и управления с ПО FireSec в составе: блок системный, монитор- размер 21.5 дюйм, пульт индикации и управления, блок АВР ЦПИУ, Рубеж-АРМ исп.1</v>
      </c>
      <c r="D45" s="29" t="s">
        <v>34</v>
      </c>
      <c r="E45" s="73">
        <f>Source!I78</f>
        <v>1</v>
      </c>
      <c r="F45" s="29" t="str">
        <f>Source!U24</f>
        <v/>
      </c>
      <c r="G45" s="29">
        <f>Source!I78</f>
        <v>1</v>
      </c>
      <c r="H45" s="72"/>
    </row>
    <row r="46" spans="1:8" ht="14.25" x14ac:dyDescent="0.2">
      <c r="A46" s="29">
        <v>24</v>
      </c>
      <c r="B46" s="29" t="str">
        <f>Source!E80</f>
        <v>24</v>
      </c>
      <c r="C46" s="72" t="str">
        <f>Source!G80</f>
        <v>Монтаж блока бесперебойного питания (ББП) в диспетчерской</v>
      </c>
      <c r="D46" s="29" t="s">
        <v>43</v>
      </c>
      <c r="E46" s="73">
        <f>Source!I80</f>
        <v>1</v>
      </c>
      <c r="F46" s="29" t="str">
        <f>Source!U24</f>
        <v/>
      </c>
      <c r="G46" s="29">
        <f>Source!I80</f>
        <v>1</v>
      </c>
      <c r="H46" s="72"/>
    </row>
    <row r="47" spans="1:8" ht="14.25" x14ac:dyDescent="0.2">
      <c r="A47" s="29">
        <v>25</v>
      </c>
      <c r="B47" s="29" t="str">
        <f>Source!E82</f>
        <v>25</v>
      </c>
      <c r="C47" s="72" t="str">
        <f>Source!G82</f>
        <v>Источник бесперебойного питания Rapan-USB 3000</v>
      </c>
      <c r="D47" s="29" t="s">
        <v>34</v>
      </c>
      <c r="E47" s="73">
        <f>Source!I82</f>
        <v>1</v>
      </c>
      <c r="F47" s="29" t="str">
        <f>Source!U24</f>
        <v/>
      </c>
      <c r="G47" s="29">
        <f>Source!I82</f>
        <v>1</v>
      </c>
      <c r="H47" s="72"/>
    </row>
    <row r="48" spans="1:8" ht="14.25" x14ac:dyDescent="0.2">
      <c r="A48" s="29">
        <v>26</v>
      </c>
      <c r="B48" s="29" t="str">
        <f>Source!E84</f>
        <v>26</v>
      </c>
      <c r="C48" s="72" t="str">
        <f>Source!G84</f>
        <v>Монтаж коммутатора служебной связи</v>
      </c>
      <c r="D48" s="29" t="s">
        <v>43</v>
      </c>
      <c r="E48" s="73">
        <f>Source!I84</f>
        <v>7</v>
      </c>
      <c r="F48" s="29" t="str">
        <f>Source!U24</f>
        <v/>
      </c>
      <c r="G48" s="29">
        <f>Source!I84</f>
        <v>7</v>
      </c>
      <c r="H48" s="72"/>
    </row>
    <row r="49" spans="1:8" ht="14.25" x14ac:dyDescent="0.2">
      <c r="A49" s="29">
        <v>27</v>
      </c>
      <c r="B49" s="29" t="str">
        <f>Source!E86</f>
        <v>27</v>
      </c>
      <c r="C49" s="72" t="str">
        <f>Source!G86</f>
        <v>Сетевой коммутатор RVI-1NSM16G-4H 16 портов RVI-1NSM 16G-4H</v>
      </c>
      <c r="D49" s="29" t="s">
        <v>34</v>
      </c>
      <c r="E49" s="73">
        <f>Source!I86</f>
        <v>7</v>
      </c>
      <c r="F49" s="29" t="str">
        <f>Source!U24</f>
        <v/>
      </c>
      <c r="G49" s="29">
        <f>Source!I86</f>
        <v>7</v>
      </c>
      <c r="H49" s="72"/>
    </row>
    <row r="50" spans="1:8" ht="14.25" x14ac:dyDescent="0.2">
      <c r="A50" s="29">
        <v>28</v>
      </c>
      <c r="B50" s="29" t="str">
        <f>Source!E88</f>
        <v>28</v>
      </c>
      <c r="C50" s="72" t="str">
        <f>Source!G88</f>
        <v>Карта Mifare стандартная ST-PC010MF</v>
      </c>
      <c r="D50" s="29" t="s">
        <v>34</v>
      </c>
      <c r="E50" s="73">
        <f>Source!I88</f>
        <v>50</v>
      </c>
      <c r="F50" s="29" t="str">
        <f>Source!U24</f>
        <v/>
      </c>
      <c r="G50" s="29">
        <f>Source!I88</f>
        <v>50</v>
      </c>
      <c r="H50" s="72"/>
    </row>
    <row r="51" spans="1:8" ht="16.5" x14ac:dyDescent="0.25">
      <c r="A51" s="69" t="str">
        <f>CONCATENATE("Раздел: ", Source!G121)</f>
        <v>Раздел: Кабельные изделия и материалы</v>
      </c>
      <c r="B51" s="69"/>
      <c r="C51" s="69"/>
      <c r="D51" s="69"/>
      <c r="E51" s="69"/>
      <c r="F51" s="69"/>
      <c r="G51" s="69"/>
      <c r="H51" s="69"/>
    </row>
    <row r="52" spans="1:8" ht="28.5" x14ac:dyDescent="0.2">
      <c r="A52" s="29">
        <v>29</v>
      </c>
      <c r="B52" s="29" t="str">
        <f>Source!E125</f>
        <v>29</v>
      </c>
      <c r="C52" s="72" t="str">
        <f>Source!G125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52" s="29" t="s">
        <v>215</v>
      </c>
      <c r="E52" s="73">
        <f>Source!I125</f>
        <v>8.6999999999999993</v>
      </c>
      <c r="F52" s="29" t="str">
        <f>Source!U121</f>
        <v/>
      </c>
      <c r="G52" s="29" t="str">
        <f>"=870/"&amp;"100"</f>
        <v>=870/100</v>
      </c>
      <c r="H52" s="72"/>
    </row>
    <row r="53" spans="1:8" ht="28.5" x14ac:dyDescent="0.2">
      <c r="A53" s="29">
        <v>29.1</v>
      </c>
      <c r="B53" s="29" t="str">
        <f>Source!E127</f>
        <v>29,1</v>
      </c>
      <c r="C53" s="72" t="str">
        <f>Source!G127</f>
        <v>Трубы электротехнические, гофрированные, из ПВХ, негорючие, с зондом, наружный диаметр 20 мм</v>
      </c>
      <c r="D53" s="29" t="s">
        <v>222</v>
      </c>
      <c r="E53" s="73">
        <f>Source!I127</f>
        <v>887.4</v>
      </c>
      <c r="F53" s="29" t="str">
        <f>Source!U121</f>
        <v/>
      </c>
      <c r="G53" s="29"/>
      <c r="H53" s="72"/>
    </row>
    <row r="54" spans="1:8" ht="28.5" x14ac:dyDescent="0.2">
      <c r="A54" s="29">
        <v>29.2</v>
      </c>
      <c r="B54" s="29" t="str">
        <f>Source!E129</f>
        <v>29,2</v>
      </c>
      <c r="C54" s="72" t="str">
        <f>Source!G129</f>
        <v>Держатель пластиковый с защелкой для крепления труб, рукавов и гибких вводов диаметром 20 мм</v>
      </c>
      <c r="D54" s="29" t="s">
        <v>227</v>
      </c>
      <c r="E54" s="73">
        <f>Source!I129</f>
        <v>17.399999999999999</v>
      </c>
      <c r="F54" s="29" t="str">
        <f>Source!U121</f>
        <v/>
      </c>
      <c r="G54" s="29"/>
      <c r="H54" s="72"/>
    </row>
    <row r="55" spans="1:8" ht="28.5" x14ac:dyDescent="0.2">
      <c r="A55" s="29">
        <v>30</v>
      </c>
      <c r="B55" s="29" t="str">
        <f>Source!E131</f>
        <v>30</v>
      </c>
      <c r="C55" s="72" t="str">
        <f>Source!G131</f>
        <v>Трубы гофрированные поливинилхлоридные наружным диаметром 16 мм открыто по стенам и потолкам с установкой соединительных коробок</v>
      </c>
      <c r="D55" s="29" t="s">
        <v>215</v>
      </c>
      <c r="E55" s="73">
        <f>Source!I131</f>
        <v>4.7</v>
      </c>
      <c r="F55" s="29" t="str">
        <f>Source!U121</f>
        <v/>
      </c>
      <c r="G55" s="29" t="str">
        <f>"=470/"&amp;"100"</f>
        <v>=470/100</v>
      </c>
      <c r="H55" s="72"/>
    </row>
    <row r="56" spans="1:8" ht="28.5" x14ac:dyDescent="0.2">
      <c r="A56" s="29">
        <v>30.1</v>
      </c>
      <c r="B56" s="29" t="str">
        <f>Source!E133</f>
        <v>30,1</v>
      </c>
      <c r="C56" s="72" t="str">
        <f>Source!G133</f>
        <v>Трубы электротехнические, гофрированные, из ПВХ, негорючие, с зондом, наружный диаметр 16 мм</v>
      </c>
      <c r="D56" s="29" t="s">
        <v>222</v>
      </c>
      <c r="E56" s="73">
        <f>Source!I133</f>
        <v>479.4</v>
      </c>
      <c r="F56" s="29" t="str">
        <f>Source!U121</f>
        <v/>
      </c>
      <c r="G56" s="29"/>
      <c r="H56" s="72"/>
    </row>
    <row r="57" spans="1:8" ht="28.5" x14ac:dyDescent="0.2">
      <c r="A57" s="29">
        <v>30.2</v>
      </c>
      <c r="B57" s="29" t="str">
        <f>Source!E135</f>
        <v>30,2</v>
      </c>
      <c r="C57" s="72" t="str">
        <f>Source!G135</f>
        <v>Держатель пластиковый с защелкой для крепления труб, рукавов и гибких вводов диаметром 16 мм</v>
      </c>
      <c r="D57" s="29" t="s">
        <v>227</v>
      </c>
      <c r="E57" s="73">
        <f>Source!I135</f>
        <v>9.4</v>
      </c>
      <c r="F57" s="29" t="str">
        <f>Source!U121</f>
        <v/>
      </c>
      <c r="G57" s="29"/>
      <c r="H57" s="72"/>
    </row>
    <row r="58" spans="1:8" ht="14.25" x14ac:dyDescent="0.2">
      <c r="A58" s="29">
        <v>31</v>
      </c>
      <c r="B58" s="29" t="str">
        <f>Source!E137</f>
        <v>31</v>
      </c>
      <c r="C58" s="72" t="str">
        <f>Source!G137</f>
        <v>Мастика тиоколовая, герметизирующая, нетвердеющая, типа АМ-05</v>
      </c>
      <c r="D58" s="29" t="s">
        <v>244</v>
      </c>
      <c r="E58" s="73">
        <f>Source!I137</f>
        <v>1</v>
      </c>
      <c r="F58" s="29" t="str">
        <f>Source!U121</f>
        <v/>
      </c>
      <c r="G58" s="29">
        <f>Source!I137</f>
        <v>1</v>
      </c>
      <c r="H58" s="72"/>
    </row>
    <row r="59" spans="1:8" ht="42.75" x14ac:dyDescent="0.2">
      <c r="A59" s="29">
        <v>32</v>
      </c>
      <c r="B59" s="29" t="str">
        <f>Source!E139</f>
        <v>32</v>
      </c>
      <c r="C59" s="72" t="str">
        <f>Source!G139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59" s="29" t="s">
        <v>215</v>
      </c>
      <c r="E59" s="73">
        <f>Source!I139</f>
        <v>2.9</v>
      </c>
      <c r="F59" s="29" t="str">
        <f>Source!U121</f>
        <v/>
      </c>
      <c r="G59" s="29" t="str">
        <f>"=290/"&amp;"100"</f>
        <v>=290/100</v>
      </c>
      <c r="H59" s="72"/>
    </row>
    <row r="60" spans="1:8" ht="14.25" x14ac:dyDescent="0.2">
      <c r="A60" s="29">
        <v>32.1</v>
      </c>
      <c r="B60" s="29" t="str">
        <f>Source!E141</f>
        <v>32,1</v>
      </c>
      <c r="C60" s="72" t="str">
        <f>Source!G141</f>
        <v>Кабель КПСВВнг(А)-LSLT 1х2х0,75мм "Спецкабель"</v>
      </c>
      <c r="D60" s="29" t="s">
        <v>256</v>
      </c>
      <c r="E60" s="73">
        <f>Source!I141</f>
        <v>0.29580000000000001</v>
      </c>
      <c r="F60" s="29" t="str">
        <f>Source!U121</f>
        <v/>
      </c>
      <c r="G60" s="29"/>
      <c r="H60" s="72"/>
    </row>
    <row r="61" spans="1:8" ht="42.75" x14ac:dyDescent="0.2">
      <c r="A61" s="29">
        <v>33</v>
      </c>
      <c r="B61" s="29" t="str">
        <f>Source!E143</f>
        <v>33</v>
      </c>
      <c r="C61" s="72" t="str">
        <f>Source!G143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61" s="29" t="s">
        <v>215</v>
      </c>
      <c r="E61" s="73">
        <f>Source!I143</f>
        <v>0.8</v>
      </c>
      <c r="F61" s="29" t="str">
        <f>Source!U121</f>
        <v/>
      </c>
      <c r="G61" s="29" t="str">
        <f>"=80/"&amp;"100"</f>
        <v>=80/100</v>
      </c>
      <c r="H61" s="72"/>
    </row>
    <row r="62" spans="1:8" ht="14.25" x14ac:dyDescent="0.2">
      <c r="A62" s="29">
        <v>33.1</v>
      </c>
      <c r="B62" s="29" t="str">
        <f>Source!E145</f>
        <v>33,1</v>
      </c>
      <c r="C62" s="72" t="str">
        <f>Source!G145</f>
        <v>Кабель КПСВВнг(А)-LSLT 1х2х1,0мм "Спецкабель"</v>
      </c>
      <c r="D62" s="29" t="s">
        <v>256</v>
      </c>
      <c r="E62" s="73">
        <f>Source!I145</f>
        <v>8.1600000000000006E-2</v>
      </c>
      <c r="F62" s="29" t="str">
        <f>Source!U121</f>
        <v/>
      </c>
      <c r="G62" s="29"/>
      <c r="H62" s="72"/>
    </row>
    <row r="63" spans="1:8" ht="42.75" x14ac:dyDescent="0.2">
      <c r="A63" s="29">
        <v>34</v>
      </c>
      <c r="B63" s="29" t="str">
        <f>Source!E147</f>
        <v>34</v>
      </c>
      <c r="C63" s="72" t="str">
        <f>Source!G147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63" s="29" t="s">
        <v>215</v>
      </c>
      <c r="E63" s="73">
        <f>Source!I147</f>
        <v>1</v>
      </c>
      <c r="F63" s="29" t="str">
        <f>Source!U121</f>
        <v/>
      </c>
      <c r="G63" s="29" t="str">
        <f>"=100/"&amp;"100"</f>
        <v>=100/100</v>
      </c>
      <c r="H63" s="72"/>
    </row>
    <row r="64" spans="1:8" ht="14.25" x14ac:dyDescent="0.2">
      <c r="A64" s="29">
        <v>34.1</v>
      </c>
      <c r="B64" s="29" t="str">
        <f>Source!E149</f>
        <v>34,1</v>
      </c>
      <c r="C64" s="72" t="str">
        <f>Source!G149</f>
        <v>Кабель ЛОУТОКС 20нг(А)-FRLSLTx -1х2х0.5 "Спецкабель"</v>
      </c>
      <c r="D64" s="29" t="s">
        <v>256</v>
      </c>
      <c r="E64" s="73">
        <f>Source!I149</f>
        <v>0.10199999999999999</v>
      </c>
      <c r="F64" s="29" t="str">
        <f>Source!U121</f>
        <v/>
      </c>
      <c r="G64" s="29"/>
      <c r="H64" s="72"/>
    </row>
    <row r="65" spans="1:8" ht="42.75" x14ac:dyDescent="0.2">
      <c r="A65" s="29">
        <v>35</v>
      </c>
      <c r="B65" s="29" t="str">
        <f>Source!E151</f>
        <v>35</v>
      </c>
      <c r="C65" s="72" t="str">
        <f>Source!G151</f>
        <v>Затягивание провода в проложенные трубы и металлические рукава, первого одножильного или многожильного в общей оплетке, суммарное сечение до 6 мм2</v>
      </c>
      <c r="D65" s="29" t="s">
        <v>215</v>
      </c>
      <c r="E65" s="73">
        <f>Source!I151</f>
        <v>8.6999999999999993</v>
      </c>
      <c r="F65" s="29" t="str">
        <f>Source!U121</f>
        <v/>
      </c>
      <c r="G65" s="29" t="str">
        <f>"=870/"&amp;"100"</f>
        <v>=870/100</v>
      </c>
      <c r="H65" s="72"/>
    </row>
    <row r="66" spans="1:8" ht="14.25" x14ac:dyDescent="0.2">
      <c r="A66" s="29">
        <v>35.1</v>
      </c>
      <c r="B66" s="29" t="str">
        <f>Source!E153</f>
        <v>35,1</v>
      </c>
      <c r="C66" s="72" t="str">
        <f>Source!G153</f>
        <v>Кабель U/UTPнг(А)-LSLTx -4х2х0.52 кат 5е</v>
      </c>
      <c r="D66" s="29" t="s">
        <v>256</v>
      </c>
      <c r="E66" s="73">
        <f>Source!I153</f>
        <v>0.88739999999999997</v>
      </c>
      <c r="F66" s="29" t="str">
        <f>Source!U121</f>
        <v/>
      </c>
      <c r="G66" s="29"/>
      <c r="H66" s="72"/>
    </row>
    <row r="67" spans="1:8" ht="57" x14ac:dyDescent="0.2">
      <c r="A67" s="29">
        <v>36</v>
      </c>
      <c r="B67" s="29" t="str">
        <f>Source!E155</f>
        <v>36</v>
      </c>
      <c r="C67" s="72" t="str">
        <f>Source!G155</f>
        <v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v>
      </c>
      <c r="D67" s="29" t="s">
        <v>215</v>
      </c>
      <c r="E67" s="73">
        <f>Source!I155</f>
        <v>0.3</v>
      </c>
      <c r="F67" s="29" t="str">
        <f>Source!U121</f>
        <v/>
      </c>
      <c r="G67" s="29" t="str">
        <f>"=30/"&amp;"100"</f>
        <v>=30/100</v>
      </c>
      <c r="H67" s="72"/>
    </row>
    <row r="68" spans="1:8" ht="14.25" x14ac:dyDescent="0.2">
      <c r="A68" s="29">
        <v>36.1</v>
      </c>
      <c r="B68" s="29" t="str">
        <f>Source!E157</f>
        <v>36,1</v>
      </c>
      <c r="C68" s="72" t="str">
        <f>Source!G157</f>
        <v>Кабель U/UTPнг(А)-LSLTx -4х2х0.52 кат 5е</v>
      </c>
      <c r="D68" s="29" t="s">
        <v>256</v>
      </c>
      <c r="E68" s="73">
        <f>Source!I157</f>
        <v>3.0599999999999995E-2</v>
      </c>
      <c r="F68" s="29" t="str">
        <f>Source!U121</f>
        <v/>
      </c>
      <c r="G68" s="29"/>
      <c r="H68" s="72"/>
    </row>
    <row r="69" spans="1:8" ht="57" x14ac:dyDescent="0.2">
      <c r="A69" s="29">
        <v>37</v>
      </c>
      <c r="B69" s="29" t="str">
        <f>Source!E159</f>
        <v>37</v>
      </c>
      <c r="C69" s="72" t="str">
        <f>Source!G159</f>
        <v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v>
      </c>
      <c r="D69" s="29" t="s">
        <v>215</v>
      </c>
      <c r="E69" s="73">
        <f>Source!I159</f>
        <v>4.5</v>
      </c>
      <c r="F69" s="29" t="str">
        <f>Source!U121</f>
        <v/>
      </c>
      <c r="G69" s="29" t="str">
        <f>"=450/"&amp;"100"</f>
        <v>=450/100</v>
      </c>
      <c r="H69" s="72"/>
    </row>
    <row r="70" spans="1:8" ht="14.25" x14ac:dyDescent="0.2">
      <c r="A70" s="29">
        <v>37.1</v>
      </c>
      <c r="B70" s="29" t="str">
        <f>Source!E161</f>
        <v>37,1</v>
      </c>
      <c r="C70" s="72" t="str">
        <f>Source!G161</f>
        <v>Кабель ВВГнг(А)-LSLTx -1х2х1.5мм</v>
      </c>
      <c r="D70" s="29" t="s">
        <v>222</v>
      </c>
      <c r="E70" s="73">
        <f>Source!I161</f>
        <v>459</v>
      </c>
      <c r="F70" s="29" t="str">
        <f>Source!U121</f>
        <v/>
      </c>
      <c r="G70" s="29"/>
      <c r="H70" s="72"/>
    </row>
    <row r="71" spans="1:8" ht="16.5" x14ac:dyDescent="0.25">
      <c r="A71" s="69" t="str">
        <f>CONCATENATE("Раздел: ", Source!G194)</f>
        <v>Раздел: Видеодомофон</v>
      </c>
      <c r="B71" s="69"/>
      <c r="C71" s="69"/>
      <c r="D71" s="69"/>
      <c r="E71" s="69"/>
      <c r="F71" s="69"/>
      <c r="G71" s="69"/>
      <c r="H71" s="69"/>
    </row>
    <row r="72" spans="1:8" ht="14.25" x14ac:dyDescent="0.2">
      <c r="A72" s="29">
        <v>38</v>
      </c>
      <c r="B72" s="29" t="str">
        <f>Source!E198</f>
        <v>38</v>
      </c>
      <c r="C72" s="72" t="str">
        <f>Source!G198</f>
        <v>Монтаж телефонного аппарата настенного системы ЦБ или АТС</v>
      </c>
      <c r="D72" s="29" t="s">
        <v>43</v>
      </c>
      <c r="E72" s="73">
        <f>Source!I198</f>
        <v>1</v>
      </c>
      <c r="F72" s="29" t="str">
        <f>Source!U194</f>
        <v/>
      </c>
      <c r="G72" s="29">
        <f>Source!I198</f>
        <v>1</v>
      </c>
      <c r="H72" s="72"/>
    </row>
    <row r="73" spans="1:8" ht="28.5" x14ac:dyDescent="0.2">
      <c r="A73" s="29">
        <v>39</v>
      </c>
      <c r="B73" s="29" t="str">
        <f>Source!E200</f>
        <v>39</v>
      </c>
      <c r="C73" s="72" t="str">
        <f>Source!G200</f>
        <v>Монитор IP-видеодомофона 4.3" SIP протокол ,РоЕ, ОС Linux с поддержкой подключения IP-вызывных панелей и IP-камер, SM-400W</v>
      </c>
      <c r="D73" s="29" t="s">
        <v>34</v>
      </c>
      <c r="E73" s="73">
        <f>Source!I200</f>
        <v>1</v>
      </c>
      <c r="F73" s="29" t="str">
        <f>Source!U194</f>
        <v/>
      </c>
      <c r="G73" s="29">
        <f>Source!I200</f>
        <v>1</v>
      </c>
      <c r="H73" s="72"/>
    </row>
    <row r="74" spans="1:8" ht="28.5" x14ac:dyDescent="0.2">
      <c r="A74" s="29">
        <v>40</v>
      </c>
      <c r="B74" s="29" t="str">
        <f>Source!E202</f>
        <v>40</v>
      </c>
      <c r="C74" s="72" t="str">
        <f>Source!G202</f>
        <v>Монтаж устройства связи с согласующим устройством (вызывная панель)</v>
      </c>
      <c r="D74" s="29" t="s">
        <v>23</v>
      </c>
      <c r="E74" s="73">
        <f>Source!I202</f>
        <v>0.7</v>
      </c>
      <c r="F74" s="29" t="str">
        <f>Source!U194</f>
        <v/>
      </c>
      <c r="G74" s="29" t="str">
        <f>"=7/"&amp;"10"</f>
        <v>=7/10</v>
      </c>
      <c r="H74" s="72"/>
    </row>
    <row r="75" spans="1:8" ht="28.5" x14ac:dyDescent="0.2">
      <c r="A75" s="29">
        <v>41</v>
      </c>
      <c r="B75" s="29" t="str">
        <f>Source!E204</f>
        <v>41</v>
      </c>
      <c r="C75" s="72" t="str">
        <f>Source!G204</f>
        <v>Вызывная Full HD IP-панель для видеодомофонов  с углом обзора 146° врезной установки, DS06AP</v>
      </c>
      <c r="D75" s="29" t="s">
        <v>34</v>
      </c>
      <c r="E75" s="73">
        <f>Source!I204</f>
        <v>7</v>
      </c>
      <c r="F75" s="29" t="str">
        <f>Source!U194</f>
        <v/>
      </c>
      <c r="G75" s="29">
        <f>Source!I204</f>
        <v>7</v>
      </c>
      <c r="H75" s="72"/>
    </row>
    <row r="76" spans="1:8" ht="28.5" x14ac:dyDescent="0.2">
      <c r="A76" s="29">
        <v>42</v>
      </c>
      <c r="B76" s="29" t="str">
        <f>Source!E206</f>
        <v>42</v>
      </c>
      <c r="C76" s="72" t="str">
        <f>Source!G206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76" s="29" t="s">
        <v>215</v>
      </c>
      <c r="E76" s="73">
        <f>Source!I206</f>
        <v>4.4000000000000004</v>
      </c>
      <c r="F76" s="29" t="str">
        <f>Source!U194</f>
        <v/>
      </c>
      <c r="G76" s="29" t="str">
        <f>"=440/"&amp;"100"</f>
        <v>=440/100</v>
      </c>
      <c r="H76" s="72"/>
    </row>
    <row r="77" spans="1:8" ht="28.5" x14ac:dyDescent="0.2">
      <c r="A77" s="29">
        <v>42.1</v>
      </c>
      <c r="B77" s="29" t="str">
        <f>Source!E208</f>
        <v>42,1</v>
      </c>
      <c r="C77" s="72" t="str">
        <f>Source!G208</f>
        <v>Трубы электротехнические, гофрированные, из ПВХ, негорючие, с зондом, наружный диаметр 20 мм</v>
      </c>
      <c r="D77" s="29" t="s">
        <v>222</v>
      </c>
      <c r="E77" s="73">
        <f>Source!I208</f>
        <v>448.8</v>
      </c>
      <c r="F77" s="29" t="str">
        <f>Source!U194</f>
        <v/>
      </c>
      <c r="G77" s="29"/>
      <c r="H77" s="72"/>
    </row>
    <row r="78" spans="1:8" ht="28.5" x14ac:dyDescent="0.2">
      <c r="A78" s="29">
        <v>42.2</v>
      </c>
      <c r="B78" s="29" t="str">
        <f>Source!E210</f>
        <v>42,2</v>
      </c>
      <c r="C78" s="72" t="str">
        <f>Source!G210</f>
        <v>Держатель пластиковый с защелкой для крепления труб, рукавов и гибких вводов диаметром 20 мм</v>
      </c>
      <c r="D78" s="29" t="s">
        <v>227</v>
      </c>
      <c r="E78" s="73">
        <f>Source!I210</f>
        <v>8.8000000000000007</v>
      </c>
      <c r="F78" s="29" t="str">
        <f>Source!U194</f>
        <v/>
      </c>
      <c r="G78" s="29"/>
      <c r="H78" s="72"/>
    </row>
    <row r="79" spans="1:8" ht="42.75" x14ac:dyDescent="0.2">
      <c r="A79" s="29">
        <v>43</v>
      </c>
      <c r="B79" s="29" t="str">
        <f>Source!E212</f>
        <v>43</v>
      </c>
      <c r="C79" s="72" t="str">
        <f>Source!G212</f>
        <v>Затягивание провода в проложенные трубы и металлические рукава, первого одножильного или многожильного в общей оплетке, суммарное сечение до 2,5 мм2</v>
      </c>
      <c r="D79" s="29" t="s">
        <v>215</v>
      </c>
      <c r="E79" s="73">
        <f>Source!I212</f>
        <v>0.2</v>
      </c>
      <c r="F79" s="29" t="str">
        <f>Source!U194</f>
        <v/>
      </c>
      <c r="G79" s="29" t="str">
        <f>"=20/"&amp;"100"</f>
        <v>=20/100</v>
      </c>
      <c r="H79" s="72"/>
    </row>
    <row r="80" spans="1:8" ht="14.25" x14ac:dyDescent="0.2">
      <c r="A80" s="29">
        <v>43.1</v>
      </c>
      <c r="B80" s="29" t="str">
        <f>Source!E214</f>
        <v>43,1</v>
      </c>
      <c r="C80" s="72" t="str">
        <f>Source!G214</f>
        <v>Кабель ВВГнг(А)-LSLTx -1х2х1.5мм</v>
      </c>
      <c r="D80" s="29" t="s">
        <v>222</v>
      </c>
      <c r="E80" s="73">
        <f>Source!I214</f>
        <v>20.399999999999999</v>
      </c>
      <c r="F80" s="29" t="str">
        <f>Source!U194</f>
        <v/>
      </c>
      <c r="G80" s="29"/>
      <c r="H80" s="72"/>
    </row>
    <row r="81" spans="1:8" ht="42.75" x14ac:dyDescent="0.2">
      <c r="A81" s="29">
        <v>44</v>
      </c>
      <c r="B81" s="29" t="str">
        <f>Source!E216</f>
        <v>44</v>
      </c>
      <c r="C81" s="72" t="str">
        <f>Source!G216</f>
        <v>Затягивание провода в проложенные трубы и металлические рукава, первого одножильного или многожильного в общей оплетке, суммарное сечение до 6 мм2</v>
      </c>
      <c r="D81" s="29" t="s">
        <v>215</v>
      </c>
      <c r="E81" s="73">
        <f>Source!I216</f>
        <v>4.2</v>
      </c>
      <c r="F81" s="29" t="str">
        <f>Source!U194</f>
        <v/>
      </c>
      <c r="G81" s="29" t="str">
        <f>"=420/"&amp;"100"</f>
        <v>=420/100</v>
      </c>
      <c r="H81" s="72"/>
    </row>
    <row r="82" spans="1:8" ht="28.5" x14ac:dyDescent="0.2">
      <c r="A82" s="29">
        <v>44.1</v>
      </c>
      <c r="B82" s="29" t="str">
        <f>Source!E218</f>
        <v>44,1</v>
      </c>
      <c r="C82" s="72" t="str">
        <f>Source!G218</f>
        <v>Кабель "витая пара" негорючий с низким выделением газа, дыма КПСВВнг(А)-LSLTx -4х2х0.5мм</v>
      </c>
      <c r="D82" s="29" t="s">
        <v>222</v>
      </c>
      <c r="E82" s="73">
        <f>Source!I218</f>
        <v>428.4</v>
      </c>
      <c r="F82" s="29" t="str">
        <f>Source!U194</f>
        <v/>
      </c>
      <c r="G82" s="29"/>
      <c r="H82" s="72"/>
    </row>
    <row r="83" spans="1:8" ht="28.5" x14ac:dyDescent="0.2">
      <c r="A83" s="28">
        <v>45</v>
      </c>
      <c r="B83" s="28" t="str">
        <f>Source!E220</f>
        <v>45</v>
      </c>
      <c r="C83" s="70" t="str">
        <f>Source!G220</f>
        <v>Шнур оптический соединительный (патч-корд), тип разъемов SC/UPC-SC/UPC, 9/125 мкм, одномодовый, дуплексный, длина 1 м.</v>
      </c>
      <c r="D83" s="28" t="s">
        <v>34</v>
      </c>
      <c r="E83" s="71">
        <f>Source!I220</f>
        <v>9</v>
      </c>
      <c r="F83" s="28" t="str">
        <f>Source!U194</f>
        <v/>
      </c>
      <c r="G83" s="28">
        <f>Source!I220</f>
        <v>9</v>
      </c>
      <c r="H83" s="70"/>
    </row>
    <row r="86" spans="1:8" ht="15" x14ac:dyDescent="0.25">
      <c r="C86" s="74" t="s">
        <v>594</v>
      </c>
      <c r="D86" s="74" t="str">
        <f>IF(Source!X12&lt;&gt;"", Source!X12," ")</f>
        <v xml:space="preserve"> </v>
      </c>
      <c r="E86" s="23"/>
    </row>
    <row r="87" spans="1:8" ht="15" x14ac:dyDescent="0.25">
      <c r="C87" s="11"/>
      <c r="D87" s="23"/>
      <c r="E87" s="23"/>
    </row>
    <row r="88" spans="1:8" ht="15" x14ac:dyDescent="0.25">
      <c r="C88" s="74" t="s">
        <v>595</v>
      </c>
      <c r="D88" s="74" t="str">
        <f>IF(Source!AB12&lt;&gt;"", Source!AB12," ")</f>
        <v>Кузнецова Е.А.</v>
      </c>
      <c r="E88" s="23"/>
    </row>
  </sheetData>
  <mergeCells count="8">
    <mergeCell ref="A51:H51"/>
    <mergeCell ref="A71:H71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30"/>
  <sheetViews>
    <sheetView workbookViewId="0">
      <selection activeCell="A326" sqref="A326:AX326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322</v>
      </c>
      <c r="C12" s="1">
        <v>0</v>
      </c>
      <c r="D12" s="1">
        <f>ROW(A283)</f>
        <v>283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B283</f>
        <v>322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Новый объект (ТСН-2001 (Мосгосэкспертиза))</v>
      </c>
      <c r="G18" s="3" t="str">
        <f t="shared" si="0"/>
        <v>02-01-15 Система контроля и управления доступом</v>
      </c>
      <c r="H18" s="3"/>
      <c r="I18" s="3"/>
      <c r="J18" s="3"/>
      <c r="K18" s="3"/>
      <c r="L18" s="3"/>
      <c r="M18" s="3"/>
      <c r="N18" s="3"/>
      <c r="O18" s="3">
        <f t="shared" ref="O18:AT18" si="1">O283</f>
        <v>557859.14</v>
      </c>
      <c r="P18" s="3">
        <f t="shared" si="1"/>
        <v>546496.67000000004</v>
      </c>
      <c r="Q18" s="3">
        <f t="shared" si="1"/>
        <v>1139.47</v>
      </c>
      <c r="R18" s="3">
        <f t="shared" si="1"/>
        <v>174.72</v>
      </c>
      <c r="S18" s="3">
        <f t="shared" si="1"/>
        <v>10223</v>
      </c>
      <c r="T18" s="3">
        <f t="shared" si="1"/>
        <v>0</v>
      </c>
      <c r="U18" s="3">
        <f t="shared" si="1"/>
        <v>787.70867010000006</v>
      </c>
      <c r="V18" s="3">
        <f t="shared" si="1"/>
        <v>0</v>
      </c>
      <c r="W18" s="3">
        <f t="shared" si="1"/>
        <v>0</v>
      </c>
      <c r="X18" s="3">
        <f t="shared" si="1"/>
        <v>9764.39</v>
      </c>
      <c r="Y18" s="3">
        <f t="shared" si="1"/>
        <v>5090.3100000000004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499374.71</v>
      </c>
      <c r="AQ18" s="3">
        <f t="shared" si="1"/>
        <v>0</v>
      </c>
      <c r="AR18" s="3">
        <f t="shared" si="1"/>
        <v>572713.84</v>
      </c>
      <c r="AS18" s="3">
        <f t="shared" si="1"/>
        <v>128.53</v>
      </c>
      <c r="AT18" s="3">
        <f t="shared" si="1"/>
        <v>73210.600000000006</v>
      </c>
      <c r="AU18" s="3">
        <f t="shared" ref="AU18:BZ18" si="2">AU283</f>
        <v>0</v>
      </c>
      <c r="AV18" s="3">
        <f t="shared" si="2"/>
        <v>546496.67000000004</v>
      </c>
      <c r="AW18" s="3">
        <f t="shared" si="2"/>
        <v>47121.96</v>
      </c>
      <c r="AX18" s="3">
        <f t="shared" si="2"/>
        <v>0</v>
      </c>
      <c r="AY18" s="3">
        <f t="shared" si="2"/>
        <v>47121.96</v>
      </c>
      <c r="AZ18" s="3">
        <f t="shared" si="2"/>
        <v>499374.71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CA283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DG283</f>
        <v>4790298.58</v>
      </c>
      <c r="DH18" s="4">
        <f t="shared" si="4"/>
        <v>4208778.26</v>
      </c>
      <c r="DI18" s="4">
        <f t="shared" si="4"/>
        <v>19357.55</v>
      </c>
      <c r="DJ18" s="4">
        <f t="shared" si="4"/>
        <v>9607.84</v>
      </c>
      <c r="DK18" s="4">
        <f t="shared" si="4"/>
        <v>562162.77</v>
      </c>
      <c r="DL18" s="4">
        <f t="shared" si="4"/>
        <v>0</v>
      </c>
      <c r="DM18" s="4">
        <f t="shared" si="4"/>
        <v>787.70867010000006</v>
      </c>
      <c r="DN18" s="4">
        <f t="shared" si="4"/>
        <v>0</v>
      </c>
      <c r="DO18" s="4">
        <f t="shared" si="4"/>
        <v>0</v>
      </c>
      <c r="DP18" s="4">
        <f t="shared" si="4"/>
        <v>536944.66</v>
      </c>
      <c r="DQ18" s="4">
        <f t="shared" si="4"/>
        <v>279916.67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3825668.94</v>
      </c>
      <c r="EI18" s="4">
        <f t="shared" si="4"/>
        <v>0</v>
      </c>
      <c r="EJ18" s="4">
        <f t="shared" si="4"/>
        <v>5607159.9100000001</v>
      </c>
      <c r="EK18" s="4">
        <f t="shared" si="4"/>
        <v>1029.1600000000001</v>
      </c>
      <c r="EL18" s="4">
        <f t="shared" si="4"/>
        <v>1780461.81</v>
      </c>
      <c r="EM18" s="4">
        <f t="shared" ref="EM18:FR18" si="5">EM283</f>
        <v>0</v>
      </c>
      <c r="EN18" s="4">
        <f t="shared" si="5"/>
        <v>4208778.26</v>
      </c>
      <c r="EO18" s="4">
        <f t="shared" si="5"/>
        <v>383109.32</v>
      </c>
      <c r="EP18" s="4">
        <f t="shared" si="5"/>
        <v>0</v>
      </c>
      <c r="EQ18" s="4">
        <f t="shared" si="5"/>
        <v>383109.32</v>
      </c>
      <c r="ER18" s="4">
        <f t="shared" si="5"/>
        <v>3825668.94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FS283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ROW(A253)</f>
        <v>253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17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B253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02-01-15</v>
      </c>
      <c r="G22" s="3" t="str">
        <f t="shared" si="7"/>
        <v>Система контроля и управления доступом</v>
      </c>
      <c r="H22" s="3"/>
      <c r="I22" s="3"/>
      <c r="J22" s="3"/>
      <c r="K22" s="3"/>
      <c r="L22" s="3"/>
      <c r="M22" s="3"/>
      <c r="N22" s="3"/>
      <c r="O22" s="3">
        <f t="shared" ref="O22:AT22" si="8">O253</f>
        <v>557859.14</v>
      </c>
      <c r="P22" s="3">
        <f t="shared" si="8"/>
        <v>546496.67000000004</v>
      </c>
      <c r="Q22" s="3">
        <f t="shared" si="8"/>
        <v>1139.47</v>
      </c>
      <c r="R22" s="3">
        <f t="shared" si="8"/>
        <v>174.72</v>
      </c>
      <c r="S22" s="3">
        <f t="shared" si="8"/>
        <v>10223</v>
      </c>
      <c r="T22" s="3">
        <f t="shared" si="8"/>
        <v>0</v>
      </c>
      <c r="U22" s="3">
        <f t="shared" si="8"/>
        <v>787.70867010000006</v>
      </c>
      <c r="V22" s="3">
        <f t="shared" si="8"/>
        <v>0</v>
      </c>
      <c r="W22" s="3">
        <f t="shared" si="8"/>
        <v>0</v>
      </c>
      <c r="X22" s="3">
        <f t="shared" si="8"/>
        <v>9764.39</v>
      </c>
      <c r="Y22" s="3">
        <f t="shared" si="8"/>
        <v>5090.3100000000004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499374.71</v>
      </c>
      <c r="AQ22" s="3">
        <f t="shared" si="8"/>
        <v>0</v>
      </c>
      <c r="AR22" s="3">
        <f t="shared" si="8"/>
        <v>572713.84</v>
      </c>
      <c r="AS22" s="3">
        <f t="shared" si="8"/>
        <v>128.53</v>
      </c>
      <c r="AT22" s="3">
        <f t="shared" si="8"/>
        <v>73210.600000000006</v>
      </c>
      <c r="AU22" s="3">
        <f t="shared" ref="AU22:BZ22" si="9">AU253</f>
        <v>0</v>
      </c>
      <c r="AV22" s="3">
        <f t="shared" si="9"/>
        <v>546496.67000000004</v>
      </c>
      <c r="AW22" s="3">
        <f t="shared" si="9"/>
        <v>47121.96</v>
      </c>
      <c r="AX22" s="3">
        <f t="shared" si="9"/>
        <v>0</v>
      </c>
      <c r="AY22" s="3">
        <f t="shared" si="9"/>
        <v>47121.96</v>
      </c>
      <c r="AZ22" s="3">
        <f t="shared" si="9"/>
        <v>499374.71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CA253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DG253</f>
        <v>4790298.58</v>
      </c>
      <c r="DH22" s="4">
        <f t="shared" si="11"/>
        <v>4208778.26</v>
      </c>
      <c r="DI22" s="4">
        <f t="shared" si="11"/>
        <v>19357.55</v>
      </c>
      <c r="DJ22" s="4">
        <f t="shared" si="11"/>
        <v>9607.84</v>
      </c>
      <c r="DK22" s="4">
        <f t="shared" si="11"/>
        <v>562162.77</v>
      </c>
      <c r="DL22" s="4">
        <f t="shared" si="11"/>
        <v>0</v>
      </c>
      <c r="DM22" s="4">
        <f t="shared" si="11"/>
        <v>787.70867010000006</v>
      </c>
      <c r="DN22" s="4">
        <f t="shared" si="11"/>
        <v>0</v>
      </c>
      <c r="DO22" s="4">
        <f t="shared" si="11"/>
        <v>0</v>
      </c>
      <c r="DP22" s="4">
        <f t="shared" si="11"/>
        <v>536944.66</v>
      </c>
      <c r="DQ22" s="4">
        <f t="shared" si="11"/>
        <v>279916.67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3825668.94</v>
      </c>
      <c r="EI22" s="4">
        <f t="shared" si="11"/>
        <v>0</v>
      </c>
      <c r="EJ22" s="4">
        <f t="shared" si="11"/>
        <v>5607159.9100000001</v>
      </c>
      <c r="EK22" s="4">
        <f t="shared" si="11"/>
        <v>1029.1600000000001</v>
      </c>
      <c r="EL22" s="4">
        <f t="shared" si="11"/>
        <v>1780461.81</v>
      </c>
      <c r="EM22" s="4">
        <f t="shared" ref="EM22:FR22" si="12">EM253</f>
        <v>0</v>
      </c>
      <c r="EN22" s="4">
        <f t="shared" si="12"/>
        <v>4208778.26</v>
      </c>
      <c r="EO22" s="4">
        <f t="shared" si="12"/>
        <v>383109.32</v>
      </c>
      <c r="EP22" s="4">
        <f t="shared" si="12"/>
        <v>0</v>
      </c>
      <c r="EQ22" s="4">
        <f t="shared" si="12"/>
        <v>383109.32</v>
      </c>
      <c r="ER22" s="4">
        <f t="shared" si="12"/>
        <v>3825668.94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FS253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ROW(A91)</f>
        <v>91</v>
      </c>
      <c r="E24" s="1"/>
      <c r="F24" s="1" t="s">
        <v>18</v>
      </c>
      <c r="G24" s="1" t="s">
        <v>19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B91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O91</f>
        <v>500427.42</v>
      </c>
      <c r="P26" s="3">
        <f t="shared" si="15"/>
        <v>495367.76</v>
      </c>
      <c r="Q26" s="3">
        <f t="shared" si="15"/>
        <v>354.18</v>
      </c>
      <c r="R26" s="3">
        <f t="shared" si="15"/>
        <v>46.3</v>
      </c>
      <c r="S26" s="3">
        <f t="shared" si="15"/>
        <v>4705.4799999999996</v>
      </c>
      <c r="T26" s="3">
        <f t="shared" si="15"/>
        <v>0</v>
      </c>
      <c r="U26" s="3">
        <f t="shared" si="15"/>
        <v>355.44917100000004</v>
      </c>
      <c r="V26" s="3">
        <f t="shared" si="15"/>
        <v>0</v>
      </c>
      <c r="W26" s="3">
        <f t="shared" si="15"/>
        <v>0</v>
      </c>
      <c r="X26" s="3">
        <f t="shared" si="15"/>
        <v>4301.46</v>
      </c>
      <c r="Y26" s="3">
        <f t="shared" si="15"/>
        <v>2220.6</v>
      </c>
      <c r="Z26" s="3">
        <f t="shared" si="15"/>
        <v>0</v>
      </c>
      <c r="AA26" s="3">
        <f t="shared" si="15"/>
        <v>0</v>
      </c>
      <c r="AB26" s="3">
        <f t="shared" si="15"/>
        <v>500427.42</v>
      </c>
      <c r="AC26" s="3">
        <f t="shared" si="15"/>
        <v>495367.76</v>
      </c>
      <c r="AD26" s="3">
        <f t="shared" si="15"/>
        <v>354.18</v>
      </c>
      <c r="AE26" s="3">
        <f t="shared" si="15"/>
        <v>46.3</v>
      </c>
      <c r="AF26" s="3">
        <f t="shared" si="15"/>
        <v>4705.4799999999996</v>
      </c>
      <c r="AG26" s="3">
        <f t="shared" si="15"/>
        <v>0</v>
      </c>
      <c r="AH26" s="3">
        <f t="shared" si="15"/>
        <v>355.44917100000004</v>
      </c>
      <c r="AI26" s="3">
        <f t="shared" si="15"/>
        <v>0</v>
      </c>
      <c r="AJ26" s="3">
        <f t="shared" si="15"/>
        <v>0</v>
      </c>
      <c r="AK26" s="3">
        <f t="shared" si="15"/>
        <v>4301.46</v>
      </c>
      <c r="AL26" s="3">
        <f t="shared" si="15"/>
        <v>2220.6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481129.05</v>
      </c>
      <c r="AQ26" s="3">
        <f t="shared" si="15"/>
        <v>0</v>
      </c>
      <c r="AR26" s="3">
        <f t="shared" si="15"/>
        <v>506949.48</v>
      </c>
      <c r="AS26" s="3">
        <f t="shared" si="15"/>
        <v>86</v>
      </c>
      <c r="AT26" s="3">
        <f t="shared" si="15"/>
        <v>25734.43</v>
      </c>
      <c r="AU26" s="3">
        <f t="shared" ref="AU26:BZ26" si="16">AU91</f>
        <v>0</v>
      </c>
      <c r="AV26" s="3">
        <f t="shared" si="16"/>
        <v>495367.76</v>
      </c>
      <c r="AW26" s="3">
        <f t="shared" si="16"/>
        <v>14238.71</v>
      </c>
      <c r="AX26" s="3">
        <f t="shared" si="16"/>
        <v>0</v>
      </c>
      <c r="AY26" s="3">
        <f t="shared" si="16"/>
        <v>14238.71</v>
      </c>
      <c r="AZ26" s="3">
        <f t="shared" si="16"/>
        <v>481129.05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481129.05</v>
      </c>
      <c r="BZ26" s="3">
        <f t="shared" si="16"/>
        <v>0</v>
      </c>
      <c r="CA26" s="3">
        <f t="shared" ref="CA26:DF26" si="17">CA91</f>
        <v>506949.48</v>
      </c>
      <c r="CB26" s="3">
        <f t="shared" si="17"/>
        <v>86</v>
      </c>
      <c r="CC26" s="3">
        <f t="shared" si="17"/>
        <v>25734.43</v>
      </c>
      <c r="CD26" s="3">
        <f t="shared" si="17"/>
        <v>0</v>
      </c>
      <c r="CE26" s="3">
        <f t="shared" si="17"/>
        <v>495367.76</v>
      </c>
      <c r="CF26" s="3">
        <f t="shared" si="17"/>
        <v>14238.710000000021</v>
      </c>
      <c r="CG26" s="3">
        <f t="shared" si="17"/>
        <v>0</v>
      </c>
      <c r="CH26" s="3">
        <f t="shared" si="17"/>
        <v>14238.710000000021</v>
      </c>
      <c r="CI26" s="3">
        <f t="shared" si="17"/>
        <v>481129.05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DG91</f>
        <v>4092448.54</v>
      </c>
      <c r="DH26" s="4">
        <f t="shared" si="18"/>
        <v>3827930.75</v>
      </c>
      <c r="DI26" s="4">
        <f t="shared" si="18"/>
        <v>5763.45</v>
      </c>
      <c r="DJ26" s="4">
        <f t="shared" si="18"/>
        <v>2546.0300000000002</v>
      </c>
      <c r="DK26" s="4">
        <f t="shared" si="18"/>
        <v>258754.34</v>
      </c>
      <c r="DL26" s="4">
        <f t="shared" si="18"/>
        <v>0</v>
      </c>
      <c r="DM26" s="4">
        <f t="shared" si="18"/>
        <v>355.44917100000004</v>
      </c>
      <c r="DN26" s="4">
        <f t="shared" si="18"/>
        <v>0</v>
      </c>
      <c r="DO26" s="4">
        <f t="shared" si="18"/>
        <v>0</v>
      </c>
      <c r="DP26" s="4">
        <f t="shared" si="18"/>
        <v>236536.98</v>
      </c>
      <c r="DQ26" s="4">
        <f t="shared" si="18"/>
        <v>122111.46</v>
      </c>
      <c r="DR26" s="4">
        <f t="shared" si="18"/>
        <v>0</v>
      </c>
      <c r="DS26" s="4">
        <f t="shared" si="18"/>
        <v>0</v>
      </c>
      <c r="DT26" s="4">
        <f t="shared" si="18"/>
        <v>4092448.54</v>
      </c>
      <c r="DU26" s="4">
        <f t="shared" si="18"/>
        <v>3827930.75</v>
      </c>
      <c r="DV26" s="4">
        <f t="shared" si="18"/>
        <v>5763.45</v>
      </c>
      <c r="DW26" s="4">
        <f t="shared" si="18"/>
        <v>2546.0300000000002</v>
      </c>
      <c r="DX26" s="4">
        <f t="shared" si="18"/>
        <v>258754.34</v>
      </c>
      <c r="DY26" s="4">
        <f t="shared" si="18"/>
        <v>0</v>
      </c>
      <c r="DZ26" s="4">
        <f t="shared" si="18"/>
        <v>355.44917100000004</v>
      </c>
      <c r="EA26" s="4">
        <f t="shared" si="18"/>
        <v>0</v>
      </c>
      <c r="EB26" s="4">
        <f t="shared" si="18"/>
        <v>0</v>
      </c>
      <c r="EC26" s="4">
        <f t="shared" si="18"/>
        <v>236536.98</v>
      </c>
      <c r="ED26" s="4">
        <f t="shared" si="18"/>
        <v>122111.46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3685838.26</v>
      </c>
      <c r="EI26" s="4">
        <f t="shared" si="18"/>
        <v>0</v>
      </c>
      <c r="EJ26" s="4">
        <f t="shared" si="18"/>
        <v>4451096.9800000004</v>
      </c>
      <c r="EK26" s="4">
        <f t="shared" si="18"/>
        <v>849.68</v>
      </c>
      <c r="EL26" s="4">
        <f t="shared" si="18"/>
        <v>764409.04</v>
      </c>
      <c r="EM26" s="4">
        <f t="shared" ref="EM26:FR26" si="19">EM91</f>
        <v>0</v>
      </c>
      <c r="EN26" s="4">
        <f t="shared" si="19"/>
        <v>3827930.75</v>
      </c>
      <c r="EO26" s="4">
        <f t="shared" si="19"/>
        <v>142092.49</v>
      </c>
      <c r="EP26" s="4">
        <f t="shared" si="19"/>
        <v>0</v>
      </c>
      <c r="EQ26" s="4">
        <f t="shared" si="19"/>
        <v>142092.49</v>
      </c>
      <c r="ER26" s="4">
        <f t="shared" si="19"/>
        <v>3685838.26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3685838.26</v>
      </c>
      <c r="FR26" s="4">
        <f t="shared" si="19"/>
        <v>0</v>
      </c>
      <c r="FS26" s="4">
        <f t="shared" ref="FS26:GX26" si="20">FS91</f>
        <v>4451096.9800000004</v>
      </c>
      <c r="FT26" s="4">
        <f t="shared" si="20"/>
        <v>849.68</v>
      </c>
      <c r="FU26" s="4">
        <f t="shared" si="20"/>
        <v>764409.04</v>
      </c>
      <c r="FV26" s="4">
        <f t="shared" si="20"/>
        <v>0</v>
      </c>
      <c r="FW26" s="4">
        <f t="shared" si="20"/>
        <v>3827930.75</v>
      </c>
      <c r="FX26" s="4">
        <f t="shared" si="20"/>
        <v>142092.49000000022</v>
      </c>
      <c r="FY26" s="4">
        <f t="shared" si="20"/>
        <v>0</v>
      </c>
      <c r="FZ26" s="4">
        <f t="shared" si="20"/>
        <v>142092.49000000022</v>
      </c>
      <c r="GA26" s="4">
        <f t="shared" si="20"/>
        <v>3685838.26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f>ROUND(ROUND(2/10,4),9)</f>
        <v>0.2</v>
      </c>
      <c r="J28" s="2">
        <v>0</v>
      </c>
      <c r="K28" s="2">
        <f>ROUND(ROUND(2/10,4),9)</f>
        <v>0.2</v>
      </c>
      <c r="L28" s="2"/>
      <c r="M28" s="2"/>
      <c r="N28" s="2"/>
      <c r="O28" s="2">
        <f t="shared" ref="O28:O59" si="21">ROUND(CP28,2)</f>
        <v>108.99</v>
      </c>
      <c r="P28" s="2">
        <f>ROUND((ROUND((AC28*AW28*I28),2)*BC28),2)</f>
        <v>0.26</v>
      </c>
      <c r="Q28" s="2">
        <f>(ROUND((ROUND((((ET28*1.1))*AV28*I28),2)*BB28),2)+ROUND((ROUND(((AE28-((EU28*1.1)))*AV28*I28),2)*BS28),2))</f>
        <v>0.25</v>
      </c>
      <c r="R28" s="2">
        <f t="shared" ref="R28:R59" si="22">ROUND((ROUND((AE28*AV28*I28),2)*BS28),2)</f>
        <v>0.03</v>
      </c>
      <c r="S28" s="2">
        <f t="shared" ref="S28:S59" si="23">ROUND((ROUND((AF28*AV28*I28),2)*BA28),2)</f>
        <v>108.48</v>
      </c>
      <c r="T28" s="2">
        <f t="shared" ref="T28:T59" si="24">ROUND(CU28*I28,2)</f>
        <v>0</v>
      </c>
      <c r="U28" s="2">
        <f t="shared" ref="U28:U59" si="25">CV28*I28</f>
        <v>6.9009864000000007</v>
      </c>
      <c r="V28" s="2">
        <f t="shared" ref="V28:V59" si="26">CW28*I28</f>
        <v>0</v>
      </c>
      <c r="W28" s="2">
        <f t="shared" ref="W28:W59" si="27">ROUND(CX28*I28,2)</f>
        <v>0</v>
      </c>
      <c r="X28" s="2">
        <f t="shared" ref="X28:X59" si="28">ROUND(CY28,2)</f>
        <v>97.66</v>
      </c>
      <c r="Y28" s="2">
        <f t="shared" ref="Y28:Y59" si="29">ROUND(CZ28,2)</f>
        <v>49.91</v>
      </c>
      <c r="Z28" s="2"/>
      <c r="AA28" s="2">
        <v>59213216</v>
      </c>
      <c r="AB28" s="2">
        <f t="shared" ref="AB28:AB59" si="30">ROUND((AC28+AD28+AF28),6)</f>
        <v>520.53399999999999</v>
      </c>
      <c r="AC28" s="2">
        <f>ROUND(((ES28*1)),6)</f>
        <v>1.29</v>
      </c>
      <c r="AD28" s="2">
        <f>ROUND(((((ET28*1.1))-((EU28*1.1)))+AE28),6)</f>
        <v>1.21</v>
      </c>
      <c r="AE28" s="2">
        <f>ROUND(((EU28*1.1)),6)</f>
        <v>0.14299999999999999</v>
      </c>
      <c r="AF28" s="2">
        <f>ROUND(((EV28*1.1)),6)</f>
        <v>518.03399999999999</v>
      </c>
      <c r="AG28" s="2">
        <f t="shared" ref="AG28:AG59" si="31">ROUND((AP28),6)</f>
        <v>0</v>
      </c>
      <c r="AH28" s="2">
        <f>((EW28*1.1))</f>
        <v>32.956000000000003</v>
      </c>
      <c r="AI28" s="2">
        <f>((EX28*1.1))</f>
        <v>0</v>
      </c>
      <c r="AJ28" s="2">
        <f t="shared" ref="AJ28:AJ59" si="32">(AS28)</f>
        <v>0</v>
      </c>
      <c r="AK28" s="2">
        <v>473.33</v>
      </c>
      <c r="AL28" s="2">
        <v>1.29</v>
      </c>
      <c r="AM28" s="2">
        <v>1.1000000000000001</v>
      </c>
      <c r="AN28" s="2">
        <v>0.13</v>
      </c>
      <c r="AO28" s="2">
        <v>470.94</v>
      </c>
      <c r="AP28" s="2">
        <v>0</v>
      </c>
      <c r="AQ28" s="2">
        <v>29.96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24</v>
      </c>
      <c r="BK28" s="2"/>
      <c r="BL28" s="2"/>
      <c r="BM28" s="2">
        <v>68</v>
      </c>
      <c r="BN28" s="2">
        <v>58808062</v>
      </c>
      <c r="BO28" s="2" t="s">
        <v>21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492</v>
      </c>
      <c r="CO28" s="2">
        <v>0</v>
      </c>
      <c r="CP28" s="2">
        <f t="shared" ref="CP28:CP59" si="33">(P28+Q28+S28)</f>
        <v>108.99000000000001</v>
      </c>
      <c r="CQ28" s="2">
        <f>ROUND((ROUND((AC28*AW28*1),2)*BC28),2)</f>
        <v>1.29</v>
      </c>
      <c r="CR28" s="2">
        <f>(ROUND((ROUND((((ET28*1.1))*AV28*1),2)*BB28),2)+ROUND((ROUND(((AE28-((EU28*1.1)))*AV28*1),2)*BS28),2))</f>
        <v>1.27</v>
      </c>
      <c r="CS28" s="2">
        <f t="shared" ref="CS28:CS59" si="34">ROUND((ROUND((AE28*AV28*1),2)*BS28),2)</f>
        <v>0.15</v>
      </c>
      <c r="CT28" s="2">
        <f t="shared" ref="CT28:CT59" si="35">ROUND((ROUND((AF28*AV28*1),2)*BA28),2)</f>
        <v>542.38</v>
      </c>
      <c r="CU28" s="2">
        <f t="shared" ref="CU28:CU59" si="36">AG28</f>
        <v>0</v>
      </c>
      <c r="CV28" s="2">
        <f t="shared" ref="CV28:CV59" si="37">(AH28*AV28)</f>
        <v>34.504932000000004</v>
      </c>
      <c r="CW28" s="2">
        <f t="shared" ref="CW28:CW59" si="38">AI28</f>
        <v>0</v>
      </c>
      <c r="CX28" s="2">
        <f t="shared" ref="CX28:CX59" si="39">AJ28</f>
        <v>0</v>
      </c>
      <c r="CY28" s="2">
        <f t="shared" ref="CY28:CY59" si="40">(((S28+R28)*AT28)/100)</f>
        <v>97.658999999999992</v>
      </c>
      <c r="CZ28" s="2">
        <f t="shared" ref="CZ28:CZ59" si="41">(((S28+R28)*AU28)/100)</f>
        <v>49.9146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26</v>
      </c>
      <c r="DH28" s="2" t="s">
        <v>3</v>
      </c>
      <c r="DI28" s="2" t="s">
        <v>26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23</v>
      </c>
      <c r="DW28" s="2" t="s">
        <v>23</v>
      </c>
      <c r="DX28" s="2">
        <v>10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58808178</v>
      </c>
      <c r="EF28" s="2">
        <v>40</v>
      </c>
      <c r="EG28" s="2" t="s">
        <v>27</v>
      </c>
      <c r="EH28" s="2">
        <v>0</v>
      </c>
      <c r="EI28" s="2" t="s">
        <v>3</v>
      </c>
      <c r="EJ28" s="2">
        <v>2</v>
      </c>
      <c r="EK28" s="2">
        <v>68</v>
      </c>
      <c r="EL28" s="2" t="s">
        <v>28</v>
      </c>
      <c r="EM28" s="2" t="s">
        <v>29</v>
      </c>
      <c r="EN28" s="2"/>
      <c r="EO28" s="2" t="s">
        <v>30</v>
      </c>
      <c r="EP28" s="2"/>
      <c r="EQ28" s="2">
        <v>0</v>
      </c>
      <c r="ER28" s="2">
        <v>473.33</v>
      </c>
      <c r="ES28" s="2">
        <v>1.29</v>
      </c>
      <c r="ET28" s="2">
        <v>1.1000000000000001</v>
      </c>
      <c r="EU28" s="2">
        <v>0.13</v>
      </c>
      <c r="EV28" s="2">
        <v>470.94</v>
      </c>
      <c r="EW28" s="2">
        <v>29.96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-733186695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42">ROUND(IF(AND(BH28=3,BI28=3,FS28&lt;&gt;0),P28,0),2)</f>
        <v>0</v>
      </c>
      <c r="GM28" s="2">
        <f t="shared" ref="GM28:GM59" si="43">ROUND(O28+X28+Y28,2)+GX28</f>
        <v>256.56</v>
      </c>
      <c r="GN28" s="2">
        <f t="shared" ref="GN28:GN59" si="44">IF(OR(BI28=0,BI28=1),GM28-GX28,0)</f>
        <v>0</v>
      </c>
      <c r="GO28" s="2">
        <f t="shared" ref="GO28:GO59" si="45">IF(BI28=2,GM28-GX28,0)</f>
        <v>256.56</v>
      </c>
      <c r="GP28" s="2">
        <f t="shared" ref="GP28:GP59" si="4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7">ROUND((GT28),6)</f>
        <v>0</v>
      </c>
      <c r="GW28" s="2">
        <v>1</v>
      </c>
      <c r="GX28" s="2">
        <f t="shared" ref="GX28:GX59" si="48">ROUND(HC28*I28,2)</f>
        <v>0</v>
      </c>
      <c r="GY28" s="2"/>
      <c r="GZ28" s="2"/>
      <c r="HA28" s="2">
        <v>0</v>
      </c>
      <c r="HB28" s="2">
        <v>0</v>
      </c>
      <c r="HC28" s="2">
        <f t="shared" ref="HC28:HC59" si="4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ROW(SmtRes!A8)</f>
        <v>8</v>
      </c>
      <c r="D29">
        <f>ROW(EtalonRes!A10)</f>
        <v>10</v>
      </c>
      <c r="E29" t="s">
        <v>20</v>
      </c>
      <c r="F29" t="s">
        <v>21</v>
      </c>
      <c r="G29" t="s">
        <v>22</v>
      </c>
      <c r="H29" t="s">
        <v>23</v>
      </c>
      <c r="I29">
        <f>ROUND(ROUND(2/10,4),9)</f>
        <v>0.2</v>
      </c>
      <c r="J29">
        <v>0</v>
      </c>
      <c r="K29">
        <f>ROUND(ROUND(2/10,4),9)</f>
        <v>0.2</v>
      </c>
      <c r="O29">
        <f t="shared" si="21"/>
        <v>5970.83</v>
      </c>
      <c r="P29">
        <f>ROUND((ROUND((AC29*AW29*I29),2)*BC29),2)</f>
        <v>1.89</v>
      </c>
      <c r="Q29">
        <f>(ROUND((ROUND((((ET29*1.1))*AV29*I29),2)*BB29),2)+ROUND((ROUND(((AE29-((EU29*1.1)))*AV29*I29),2)*BS29),2))</f>
        <v>3.62</v>
      </c>
      <c r="R29">
        <f t="shared" si="22"/>
        <v>1.65</v>
      </c>
      <c r="S29">
        <f t="shared" si="23"/>
        <v>5965.32</v>
      </c>
      <c r="T29">
        <f t="shared" si="24"/>
        <v>0</v>
      </c>
      <c r="U29">
        <f t="shared" si="25"/>
        <v>6.9009864000000007</v>
      </c>
      <c r="V29">
        <f t="shared" si="26"/>
        <v>0</v>
      </c>
      <c r="W29">
        <f t="shared" si="27"/>
        <v>0</v>
      </c>
      <c r="X29">
        <f t="shared" si="28"/>
        <v>5370.27</v>
      </c>
      <c r="Y29">
        <f t="shared" si="29"/>
        <v>2744.81</v>
      </c>
      <c r="AA29">
        <v>59213213</v>
      </c>
      <c r="AB29">
        <f t="shared" si="30"/>
        <v>520.53399999999999</v>
      </c>
      <c r="AC29">
        <f>ROUND(((ES29*1)),6)</f>
        <v>1.29</v>
      </c>
      <c r="AD29">
        <f>ROUND(((((ET29*1.1))-((EU29*1.1)))+AE29),6)</f>
        <v>1.21</v>
      </c>
      <c r="AE29">
        <f>ROUND(((EU29*1.1)),6)</f>
        <v>0.14299999999999999</v>
      </c>
      <c r="AF29">
        <f>ROUND(((EV29*1.1)),6)</f>
        <v>518.03399999999999</v>
      </c>
      <c r="AG29">
        <f t="shared" si="31"/>
        <v>0</v>
      </c>
      <c r="AH29">
        <f>((EW29*1.1))</f>
        <v>32.956000000000003</v>
      </c>
      <c r="AI29">
        <f>((EX29*1.1))</f>
        <v>0</v>
      </c>
      <c r="AJ29">
        <f t="shared" si="32"/>
        <v>0</v>
      </c>
      <c r="AK29">
        <v>473.33</v>
      </c>
      <c r="AL29">
        <v>1.29</v>
      </c>
      <c r="AM29">
        <v>1.1000000000000001</v>
      </c>
      <c r="AN29">
        <v>0.13</v>
      </c>
      <c r="AO29">
        <v>470.94</v>
      </c>
      <c r="AP29">
        <v>0</v>
      </c>
      <c r="AQ29">
        <v>29.96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14.48</v>
      </c>
      <c r="BC29">
        <v>7.25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24</v>
      </c>
      <c r="BM29">
        <v>68</v>
      </c>
      <c r="BN29">
        <v>58808062</v>
      </c>
      <c r="BO29" t="s">
        <v>21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492</v>
      </c>
      <c r="CO29">
        <v>0</v>
      </c>
      <c r="CP29">
        <f t="shared" si="33"/>
        <v>5970.83</v>
      </c>
      <c r="CQ29">
        <f>ROUND((ROUND((AC29*AW29*1),2)*BC29),2)</f>
        <v>9.35</v>
      </c>
      <c r="CR29">
        <f>(ROUND((ROUND((((ET29*1.1))*AV29*1),2)*BB29),2)+ROUND((ROUND(((AE29-((EU29*1.1)))*AV29*1),2)*BS29),2))</f>
        <v>18.39</v>
      </c>
      <c r="CS29">
        <f t="shared" si="34"/>
        <v>8.25</v>
      </c>
      <c r="CT29">
        <f t="shared" si="35"/>
        <v>29825.48</v>
      </c>
      <c r="CU29">
        <f t="shared" si="36"/>
        <v>0</v>
      </c>
      <c r="CV29">
        <f t="shared" si="37"/>
        <v>34.504932000000004</v>
      </c>
      <c r="CW29">
        <f t="shared" si="38"/>
        <v>0</v>
      </c>
      <c r="CX29">
        <f t="shared" si="39"/>
        <v>0</v>
      </c>
      <c r="CY29">
        <f t="shared" si="40"/>
        <v>5370.2729999999992</v>
      </c>
      <c r="CZ29">
        <f t="shared" si="41"/>
        <v>2744.8062</v>
      </c>
      <c r="DB29">
        <v>2</v>
      </c>
      <c r="DC29" t="s">
        <v>3</v>
      </c>
      <c r="DD29" t="s">
        <v>25</v>
      </c>
      <c r="DE29" t="s">
        <v>26</v>
      </c>
      <c r="DF29" t="s">
        <v>26</v>
      </c>
      <c r="DG29" t="s">
        <v>26</v>
      </c>
      <c r="DH29" t="s">
        <v>3</v>
      </c>
      <c r="DI29" t="s">
        <v>26</v>
      </c>
      <c r="DJ29" t="s">
        <v>26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1010</v>
      </c>
      <c r="DV29" t="s">
        <v>23</v>
      </c>
      <c r="DW29" t="s">
        <v>23</v>
      </c>
      <c r="DX29">
        <v>10</v>
      </c>
      <c r="DZ29" t="s">
        <v>3</v>
      </c>
      <c r="EA29" t="s">
        <v>3</v>
      </c>
      <c r="EB29" t="s">
        <v>3</v>
      </c>
      <c r="EC29" t="s">
        <v>3</v>
      </c>
      <c r="EE29">
        <v>58808178</v>
      </c>
      <c r="EF29">
        <v>40</v>
      </c>
      <c r="EG29" t="s">
        <v>27</v>
      </c>
      <c r="EH29">
        <v>0</v>
      </c>
      <c r="EI29" t="s">
        <v>3</v>
      </c>
      <c r="EJ29">
        <v>2</v>
      </c>
      <c r="EK29">
        <v>68</v>
      </c>
      <c r="EL29" t="s">
        <v>28</v>
      </c>
      <c r="EM29" t="s">
        <v>29</v>
      </c>
      <c r="EO29" t="s">
        <v>30</v>
      </c>
      <c r="EQ29">
        <v>0</v>
      </c>
      <c r="ER29">
        <v>473.33</v>
      </c>
      <c r="ES29">
        <v>1.29</v>
      </c>
      <c r="ET29">
        <v>1.1000000000000001</v>
      </c>
      <c r="EU29">
        <v>0.13</v>
      </c>
      <c r="EV29">
        <v>470.94</v>
      </c>
      <c r="EW29">
        <v>29.96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-733186695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2"/>
        <v>0</v>
      </c>
      <c r="GM29">
        <f t="shared" si="43"/>
        <v>14085.91</v>
      </c>
      <c r="GN29">
        <f t="shared" si="44"/>
        <v>0</v>
      </c>
      <c r="GO29">
        <f t="shared" si="45"/>
        <v>14085.91</v>
      </c>
      <c r="GP29">
        <f t="shared" si="46"/>
        <v>0</v>
      </c>
      <c r="GR29">
        <v>0</v>
      </c>
      <c r="GS29">
        <v>3</v>
      </c>
      <c r="GT29">
        <v>0</v>
      </c>
      <c r="GU29" t="s">
        <v>3</v>
      </c>
      <c r="GV29">
        <f t="shared" si="47"/>
        <v>0</v>
      </c>
      <c r="GW29">
        <v>1</v>
      </c>
      <c r="GX29">
        <f t="shared" si="48"/>
        <v>0</v>
      </c>
      <c r="HA29">
        <v>0</v>
      </c>
      <c r="HB29">
        <v>0</v>
      </c>
      <c r="HC29">
        <f t="shared" si="49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31</v>
      </c>
      <c r="F30" s="2" t="s">
        <v>32</v>
      </c>
      <c r="G30" s="2" t="s">
        <v>33</v>
      </c>
      <c r="H30" s="2" t="s">
        <v>34</v>
      </c>
      <c r="I30" s="2">
        <f>ROUND(ROUND(20,4),9)</f>
        <v>20</v>
      </c>
      <c r="J30" s="2">
        <v>0</v>
      </c>
      <c r="K30" s="2">
        <f>ROUND(ROUND(20,4),9)</f>
        <v>20</v>
      </c>
      <c r="L30" s="2"/>
      <c r="M30" s="2"/>
      <c r="N30" s="2"/>
      <c r="O30" s="2">
        <f t="shared" si="21"/>
        <v>146284.20000000001</v>
      </c>
      <c r="P30" s="2">
        <f>ROUND((ROUND((AC30*I30),2)*BC30),2)</f>
        <v>146284.20000000001</v>
      </c>
      <c r="Q30" s="2">
        <f>(ROUND((ROUND(((ET30)*AV30*I30),2)*BB30),2)+ROUND((ROUND(((AE30-(EU30))*AV30*I30),2)*BS30),2))</f>
        <v>0</v>
      </c>
      <c r="R30" s="2">
        <f t="shared" si="22"/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si="28"/>
        <v>0</v>
      </c>
      <c r="Y30" s="2">
        <f t="shared" si="29"/>
        <v>0</v>
      </c>
      <c r="Z30" s="2"/>
      <c r="AA30" s="2">
        <v>59213216</v>
      </c>
      <c r="AB30" s="2">
        <f t="shared" si="30"/>
        <v>7314.21</v>
      </c>
      <c r="AC30" s="2">
        <f>ROUND((ES30),6)</f>
        <v>7314.21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31"/>
        <v>0</v>
      </c>
      <c r="AH30" s="2">
        <f>(EW30)</f>
        <v>0</v>
      </c>
      <c r="AI30" s="2">
        <f>(EX30)</f>
        <v>0</v>
      </c>
      <c r="AJ30" s="2">
        <f t="shared" si="32"/>
        <v>0</v>
      </c>
      <c r="AK30" s="2">
        <v>7314.21</v>
      </c>
      <c r="AL30" s="2">
        <v>7314.21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3"/>
        <v>146284.20000000001</v>
      </c>
      <c r="CQ30" s="2">
        <f>ROUND((ROUND((AC30*1),2)*BC30),2)</f>
        <v>7314.21</v>
      </c>
      <c r="CR30" s="2">
        <f>(ROUND((ROUND(((ET30)*AV30*1),2)*BB30),2)+ROUND((ROUND(((AE30-(EU30))*AV30*1),2)*BS30),2))</f>
        <v>0</v>
      </c>
      <c r="CS30" s="2">
        <f t="shared" si="34"/>
        <v>0</v>
      </c>
      <c r="CT30" s="2">
        <f t="shared" si="35"/>
        <v>0</v>
      </c>
      <c r="CU30" s="2">
        <f t="shared" si="36"/>
        <v>0</v>
      </c>
      <c r="CV30" s="2">
        <f t="shared" si="37"/>
        <v>0</v>
      </c>
      <c r="CW30" s="2">
        <f t="shared" si="38"/>
        <v>0</v>
      </c>
      <c r="CX30" s="2">
        <f t="shared" si="39"/>
        <v>0</v>
      </c>
      <c r="CY30" s="2">
        <f t="shared" si="40"/>
        <v>0</v>
      </c>
      <c r="CZ30" s="2">
        <f t="shared" si="41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34</v>
      </c>
      <c r="DW30" s="2" t="s">
        <v>34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58808284</v>
      </c>
      <c r="EF30" s="2">
        <v>130</v>
      </c>
      <c r="EG30" s="2" t="s">
        <v>35</v>
      </c>
      <c r="EH30" s="2">
        <v>0</v>
      </c>
      <c r="EI30" s="2" t="s">
        <v>3</v>
      </c>
      <c r="EJ30" s="2">
        <v>3</v>
      </c>
      <c r="EK30" s="2">
        <v>746</v>
      </c>
      <c r="EL30" s="2" t="s">
        <v>36</v>
      </c>
      <c r="EM30" s="2" t="s">
        <v>37</v>
      </c>
      <c r="EN30" s="2"/>
      <c r="EO30" s="2" t="s">
        <v>3</v>
      </c>
      <c r="EP30" s="2"/>
      <c r="EQ30" s="2">
        <v>0</v>
      </c>
      <c r="ER30" s="2">
        <v>0</v>
      </c>
      <c r="ES30" s="2">
        <v>7314.21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146284.20000000001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38</v>
      </c>
      <c r="GB30" s="2"/>
      <c r="GC30" s="2"/>
      <c r="GD30" s="2">
        <v>1</v>
      </c>
      <c r="GE30" s="2"/>
      <c r="GF30" s="2">
        <v>-1151737737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42"/>
        <v>0</v>
      </c>
      <c r="GM30" s="2">
        <f t="shared" si="43"/>
        <v>146284.20000000001</v>
      </c>
      <c r="GN30" s="2">
        <f t="shared" si="44"/>
        <v>0</v>
      </c>
      <c r="GO30" s="2">
        <f t="shared" si="45"/>
        <v>0</v>
      </c>
      <c r="GP30" s="2">
        <f t="shared" si="46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7"/>
        <v>0</v>
      </c>
      <c r="GW30" s="2">
        <v>1</v>
      </c>
      <c r="GX30" s="2">
        <f t="shared" si="48"/>
        <v>0</v>
      </c>
      <c r="GY30" s="2"/>
      <c r="GZ30" s="2"/>
      <c r="HA30" s="2">
        <v>0</v>
      </c>
      <c r="HB30" s="2">
        <v>0</v>
      </c>
      <c r="HC30" s="2">
        <f t="shared" si="49"/>
        <v>0</v>
      </c>
      <c r="HD30" s="2"/>
      <c r="HE30" s="2" t="s">
        <v>39</v>
      </c>
      <c r="HF30" s="2" t="s">
        <v>40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31</v>
      </c>
      <c r="F31" t="s">
        <v>32</v>
      </c>
      <c r="G31" t="s">
        <v>33</v>
      </c>
      <c r="H31" t="s">
        <v>34</v>
      </c>
      <c r="I31">
        <f>ROUND(ROUND(20,4),9)</f>
        <v>20</v>
      </c>
      <c r="J31">
        <v>0</v>
      </c>
      <c r="K31">
        <f>ROUND(ROUND(20,4),9)</f>
        <v>20</v>
      </c>
      <c r="O31">
        <f t="shared" si="21"/>
        <v>1120536.97</v>
      </c>
      <c r="P31">
        <f>ROUND((ROUND((AC31*I31),2)*BC31),2)</f>
        <v>1120536.97</v>
      </c>
      <c r="Q31">
        <f>(ROUND((ROUND(((ET31)*AV31*I31),2)*BB31),2)+ROUND((ROUND(((AE31-(EU31))*AV31*I31),2)*BS31),2))</f>
        <v>0</v>
      </c>
      <c r="R31">
        <f t="shared" si="22"/>
        <v>0</v>
      </c>
      <c r="S31">
        <f t="shared" si="23"/>
        <v>0</v>
      </c>
      <c r="T31">
        <f t="shared" si="24"/>
        <v>0</v>
      </c>
      <c r="U31">
        <f t="shared" si="25"/>
        <v>0</v>
      </c>
      <c r="V31">
        <f t="shared" si="26"/>
        <v>0</v>
      </c>
      <c r="W31">
        <f t="shared" si="27"/>
        <v>0</v>
      </c>
      <c r="X31">
        <f t="shared" si="28"/>
        <v>0</v>
      </c>
      <c r="Y31">
        <f t="shared" si="29"/>
        <v>0</v>
      </c>
      <c r="AA31">
        <v>59213213</v>
      </c>
      <c r="AB31">
        <f t="shared" si="30"/>
        <v>7314.21</v>
      </c>
      <c r="AC31">
        <f>ROUND((ES31),6)</f>
        <v>7314.21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31"/>
        <v>0</v>
      </c>
      <c r="AH31">
        <f>(EW31)</f>
        <v>0</v>
      </c>
      <c r="AI31">
        <f>(EX31)</f>
        <v>0</v>
      </c>
      <c r="AJ31">
        <f t="shared" si="32"/>
        <v>0</v>
      </c>
      <c r="AK31">
        <v>7314.21</v>
      </c>
      <c r="AL31">
        <v>7314.21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3"/>
        <v>1120536.97</v>
      </c>
      <c r="CQ31">
        <f>ROUND((ROUND((AC31*1),2)*BC31),2)</f>
        <v>56026.85</v>
      </c>
      <c r="CR31">
        <f>(ROUND((ROUND(((ET31)*AV31*1),2)*BB31),2)+ROUND((ROUND(((AE31-(EU31))*AV31*1),2)*BS31),2))</f>
        <v>0</v>
      </c>
      <c r="CS31">
        <f t="shared" si="34"/>
        <v>0</v>
      </c>
      <c r="CT31">
        <f t="shared" si="35"/>
        <v>0</v>
      </c>
      <c r="CU31">
        <f t="shared" si="36"/>
        <v>0</v>
      </c>
      <c r="CV31">
        <f t="shared" si="37"/>
        <v>0</v>
      </c>
      <c r="CW31">
        <f t="shared" si="38"/>
        <v>0</v>
      </c>
      <c r="CX31">
        <f t="shared" si="39"/>
        <v>0</v>
      </c>
      <c r="CY31">
        <f t="shared" si="40"/>
        <v>0</v>
      </c>
      <c r="CZ31">
        <f t="shared" si="41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34</v>
      </c>
      <c r="DW31" t="s">
        <v>34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58808284</v>
      </c>
      <c r="EF31">
        <v>130</v>
      </c>
      <c r="EG31" t="s">
        <v>35</v>
      </c>
      <c r="EH31">
        <v>0</v>
      </c>
      <c r="EI31" t="s">
        <v>3</v>
      </c>
      <c r="EJ31">
        <v>3</v>
      </c>
      <c r="EK31">
        <v>746</v>
      </c>
      <c r="EL31" t="s">
        <v>36</v>
      </c>
      <c r="EM31" t="s">
        <v>37</v>
      </c>
      <c r="EO31" t="s">
        <v>3</v>
      </c>
      <c r="EQ31">
        <v>0</v>
      </c>
      <c r="ER31">
        <v>7314.21</v>
      </c>
      <c r="ES31">
        <v>7314.21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</v>
      </c>
      <c r="FC31">
        <v>1</v>
      </c>
      <c r="FD31">
        <v>18</v>
      </c>
      <c r="FF31">
        <v>64500</v>
      </c>
      <c r="FQ31">
        <v>0</v>
      </c>
      <c r="FR31">
        <f>P31</f>
        <v>1120536.97</v>
      </c>
      <c r="FS31">
        <v>0</v>
      </c>
      <c r="FX31">
        <v>0</v>
      </c>
      <c r="FY31">
        <v>0</v>
      </c>
      <c r="GA31" t="s">
        <v>38</v>
      </c>
      <c r="GD31">
        <v>1</v>
      </c>
      <c r="GF31">
        <v>-1151737737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42"/>
        <v>0</v>
      </c>
      <c r="GM31">
        <f t="shared" si="43"/>
        <v>1120536.97</v>
      </c>
      <c r="GN31">
        <f t="shared" si="44"/>
        <v>0</v>
      </c>
      <c r="GO31">
        <f t="shared" si="45"/>
        <v>0</v>
      </c>
      <c r="GP31">
        <f t="shared" si="46"/>
        <v>0</v>
      </c>
      <c r="GR31">
        <v>2</v>
      </c>
      <c r="GS31">
        <v>1</v>
      </c>
      <c r="GT31">
        <v>0</v>
      </c>
      <c r="GU31" t="s">
        <v>3</v>
      </c>
      <c r="GV31">
        <f t="shared" si="47"/>
        <v>0</v>
      </c>
      <c r="GW31">
        <v>1</v>
      </c>
      <c r="GX31">
        <f t="shared" si="48"/>
        <v>0</v>
      </c>
      <c r="HA31">
        <v>0</v>
      </c>
      <c r="HB31">
        <v>0</v>
      </c>
      <c r="HC31">
        <f t="shared" si="49"/>
        <v>0</v>
      </c>
      <c r="HE31" t="s">
        <v>39</v>
      </c>
      <c r="HF31" t="s">
        <v>40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ROW(SmtRes!A9)</f>
        <v>9</v>
      </c>
      <c r="D32" s="2">
        <f>ROW(EtalonRes!A11)</f>
        <v>11</v>
      </c>
      <c r="E32" s="2" t="s">
        <v>39</v>
      </c>
      <c r="F32" s="2" t="s">
        <v>41</v>
      </c>
      <c r="G32" s="2" t="s">
        <v>42</v>
      </c>
      <c r="H32" s="2" t="s">
        <v>43</v>
      </c>
      <c r="I32" s="2">
        <f>ROUND(ROUND(12,4),9)</f>
        <v>12</v>
      </c>
      <c r="J32" s="2">
        <v>0</v>
      </c>
      <c r="K32" s="2">
        <f>ROUND(ROUND(12,4),9)</f>
        <v>12</v>
      </c>
      <c r="L32" s="2"/>
      <c r="M32" s="2"/>
      <c r="N32" s="2"/>
      <c r="O32" s="2">
        <f t="shared" si="21"/>
        <v>697.82</v>
      </c>
      <c r="P32" s="2">
        <f>ROUND((ROUND((AC32*AW32*I32),2)*BC32),2)</f>
        <v>77.28</v>
      </c>
      <c r="Q32" s="2">
        <f>(ROUND((ROUND((((ET32*1.1))*AV32*I32),2)*BB32),2)+ROUND((ROUND(((AE32-((EU32*1.1)))*AV32*I32),2)*BS32),2))</f>
        <v>1.66</v>
      </c>
      <c r="R32" s="2">
        <f t="shared" si="22"/>
        <v>0.14000000000000001</v>
      </c>
      <c r="S32" s="2">
        <f t="shared" si="23"/>
        <v>618.88</v>
      </c>
      <c r="T32" s="2">
        <f t="shared" si="24"/>
        <v>0</v>
      </c>
      <c r="U32" s="2">
        <f t="shared" si="25"/>
        <v>45.607320000000001</v>
      </c>
      <c r="V32" s="2">
        <f t="shared" si="26"/>
        <v>0</v>
      </c>
      <c r="W32" s="2">
        <f t="shared" si="27"/>
        <v>0</v>
      </c>
      <c r="X32" s="2">
        <f t="shared" si="28"/>
        <v>557.12</v>
      </c>
      <c r="Y32" s="2">
        <f t="shared" si="29"/>
        <v>284.75</v>
      </c>
      <c r="Z32" s="2"/>
      <c r="AA32" s="2">
        <v>59213216</v>
      </c>
      <c r="AB32" s="2">
        <f t="shared" si="30"/>
        <v>55.83</v>
      </c>
      <c r="AC32" s="2">
        <f>ROUND(((ES32*1)),6)</f>
        <v>6.44</v>
      </c>
      <c r="AD32" s="2">
        <f>ROUND(((((ET32*1.1))-((EU32*1.1)))+AE32),6)</f>
        <v>0.13200000000000001</v>
      </c>
      <c r="AE32" s="2">
        <f>ROUND(((EU32*1.1)),6)</f>
        <v>1.0999999999999999E-2</v>
      </c>
      <c r="AF32" s="2">
        <f>ROUND(((EV32*1.1)),6)</f>
        <v>49.258000000000003</v>
      </c>
      <c r="AG32" s="2">
        <f t="shared" si="31"/>
        <v>0</v>
      </c>
      <c r="AH32" s="2">
        <f>((EW32*1.1))</f>
        <v>3.63</v>
      </c>
      <c r="AI32" s="2">
        <f>((EX32*1.1))</f>
        <v>0</v>
      </c>
      <c r="AJ32" s="2">
        <f t="shared" si="32"/>
        <v>0</v>
      </c>
      <c r="AK32" s="2">
        <v>51.34</v>
      </c>
      <c r="AL32" s="2">
        <v>6.44</v>
      </c>
      <c r="AM32" s="2">
        <v>0.12</v>
      </c>
      <c r="AN32" s="2">
        <v>0.01</v>
      </c>
      <c r="AO32" s="2">
        <v>44.78</v>
      </c>
      <c r="AP32" s="2">
        <v>0</v>
      </c>
      <c r="AQ32" s="2">
        <v>3.3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44</v>
      </c>
      <c r="BK32" s="2"/>
      <c r="BL32" s="2"/>
      <c r="BM32" s="2">
        <v>68</v>
      </c>
      <c r="BN32" s="2">
        <v>58808062</v>
      </c>
      <c r="BO32" s="2" t="s">
        <v>41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492</v>
      </c>
      <c r="CO32" s="2">
        <v>0</v>
      </c>
      <c r="CP32" s="2">
        <f t="shared" si="33"/>
        <v>697.81999999999994</v>
      </c>
      <c r="CQ32" s="2">
        <f>ROUND((ROUND((AC32*AW32*1),2)*BC32),2)</f>
        <v>6.44</v>
      </c>
      <c r="CR32" s="2">
        <f>(ROUND((ROUND((((ET32*1.1))*AV32*1),2)*BB32),2)+ROUND((ROUND(((AE32-((EU32*1.1)))*AV32*1),2)*BS32),2))</f>
        <v>0.14000000000000001</v>
      </c>
      <c r="CS32" s="2">
        <f t="shared" si="34"/>
        <v>0.01</v>
      </c>
      <c r="CT32" s="2">
        <f t="shared" si="35"/>
        <v>51.57</v>
      </c>
      <c r="CU32" s="2">
        <f t="shared" si="36"/>
        <v>0</v>
      </c>
      <c r="CV32" s="2">
        <f t="shared" si="37"/>
        <v>3.8006099999999998</v>
      </c>
      <c r="CW32" s="2">
        <f t="shared" si="38"/>
        <v>0</v>
      </c>
      <c r="CX32" s="2">
        <f t="shared" si="39"/>
        <v>0</v>
      </c>
      <c r="CY32" s="2">
        <f t="shared" si="40"/>
        <v>557.11799999999994</v>
      </c>
      <c r="CZ32" s="2">
        <f t="shared" si="41"/>
        <v>284.74919999999997</v>
      </c>
      <c r="DA32" s="2"/>
      <c r="DB32" s="2">
        <v>3</v>
      </c>
      <c r="DC32" s="2" t="s">
        <v>3</v>
      </c>
      <c r="DD32" s="2" t="s">
        <v>25</v>
      </c>
      <c r="DE32" s="2" t="s">
        <v>26</v>
      </c>
      <c r="DF32" s="2" t="s">
        <v>26</v>
      </c>
      <c r="DG32" s="2" t="s">
        <v>26</v>
      </c>
      <c r="DH32" s="2" t="s">
        <v>3</v>
      </c>
      <c r="DI32" s="2" t="s">
        <v>26</v>
      </c>
      <c r="DJ32" s="2" t="s">
        <v>26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43</v>
      </c>
      <c r="DW32" s="2" t="s">
        <v>43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58808178</v>
      </c>
      <c r="EF32" s="2">
        <v>40</v>
      </c>
      <c r="EG32" s="2" t="s">
        <v>27</v>
      </c>
      <c r="EH32" s="2">
        <v>0</v>
      </c>
      <c r="EI32" s="2" t="s">
        <v>3</v>
      </c>
      <c r="EJ32" s="2">
        <v>2</v>
      </c>
      <c r="EK32" s="2">
        <v>68</v>
      </c>
      <c r="EL32" s="2" t="s">
        <v>28</v>
      </c>
      <c r="EM32" s="2" t="s">
        <v>29</v>
      </c>
      <c r="EN32" s="2"/>
      <c r="EO32" s="2" t="s">
        <v>30</v>
      </c>
      <c r="EP32" s="2"/>
      <c r="EQ32" s="2">
        <v>0</v>
      </c>
      <c r="ER32" s="2">
        <v>51.34</v>
      </c>
      <c r="ES32" s="2">
        <v>6.44</v>
      </c>
      <c r="ET32" s="2">
        <v>0.12</v>
      </c>
      <c r="EU32" s="2">
        <v>0.01</v>
      </c>
      <c r="EV32" s="2">
        <v>44.78</v>
      </c>
      <c r="EW32" s="2">
        <v>3.3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-1862862500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2"/>
        <v>0</v>
      </c>
      <c r="GM32" s="2">
        <f t="shared" si="43"/>
        <v>1539.69</v>
      </c>
      <c r="GN32" s="2">
        <f t="shared" si="44"/>
        <v>0</v>
      </c>
      <c r="GO32" s="2">
        <f t="shared" si="45"/>
        <v>1539.69</v>
      </c>
      <c r="GP32" s="2">
        <f t="shared" si="4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7"/>
        <v>0</v>
      </c>
      <c r="GW32" s="2">
        <v>1</v>
      </c>
      <c r="GX32" s="2">
        <f t="shared" si="48"/>
        <v>0</v>
      </c>
      <c r="GY32" s="2"/>
      <c r="GZ32" s="2"/>
      <c r="HA32" s="2">
        <v>0</v>
      </c>
      <c r="HB32" s="2">
        <v>0</v>
      </c>
      <c r="HC32" s="2">
        <f t="shared" si="4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ROW(SmtRes!A10)</f>
        <v>10</v>
      </c>
      <c r="D33">
        <f>ROW(EtalonRes!A12)</f>
        <v>12</v>
      </c>
      <c r="E33" t="s">
        <v>39</v>
      </c>
      <c r="F33" t="s">
        <v>41</v>
      </c>
      <c r="G33" t="s">
        <v>42</v>
      </c>
      <c r="H33" t="s">
        <v>43</v>
      </c>
      <c r="I33">
        <f>ROUND(ROUND(12,4),9)</f>
        <v>12</v>
      </c>
      <c r="J33">
        <v>0</v>
      </c>
      <c r="K33">
        <f>ROUND(ROUND(12,4),9)</f>
        <v>12</v>
      </c>
      <c r="O33">
        <f t="shared" si="21"/>
        <v>34819.339999999997</v>
      </c>
      <c r="P33">
        <f>ROUND((ROUND((AC33*AW33*I33),2)*BC33),2)</f>
        <v>764.3</v>
      </c>
      <c r="Q33">
        <f>(ROUND((ROUND((((ET33*1.1))*AV33*I33),2)*BB33),2)+ROUND((ROUND(((AE33-((EU33*1.1)))*AV33*I33),2)*BS33),2))</f>
        <v>22.83</v>
      </c>
      <c r="R33">
        <f t="shared" si="22"/>
        <v>7.7</v>
      </c>
      <c r="S33">
        <f t="shared" si="23"/>
        <v>34032.21</v>
      </c>
      <c r="T33">
        <f t="shared" si="24"/>
        <v>0</v>
      </c>
      <c r="U33">
        <f t="shared" si="25"/>
        <v>45.607320000000001</v>
      </c>
      <c r="V33">
        <f t="shared" si="26"/>
        <v>0</v>
      </c>
      <c r="W33">
        <f t="shared" si="27"/>
        <v>0</v>
      </c>
      <c r="X33">
        <f t="shared" si="28"/>
        <v>30635.919999999998</v>
      </c>
      <c r="Y33">
        <f t="shared" si="29"/>
        <v>15658.36</v>
      </c>
      <c r="AA33">
        <v>59213213</v>
      </c>
      <c r="AB33">
        <f t="shared" si="30"/>
        <v>55.83</v>
      </c>
      <c r="AC33">
        <f>ROUND(((ES33*1)),6)</f>
        <v>6.44</v>
      </c>
      <c r="AD33">
        <f>ROUND(((((ET33*1.1))-((EU33*1.1)))+AE33),6)</f>
        <v>0.13200000000000001</v>
      </c>
      <c r="AE33">
        <f>ROUND(((EU33*1.1)),6)</f>
        <v>1.0999999999999999E-2</v>
      </c>
      <c r="AF33">
        <f>ROUND(((EV33*1.1)),6)</f>
        <v>49.258000000000003</v>
      </c>
      <c r="AG33">
        <f t="shared" si="31"/>
        <v>0</v>
      </c>
      <c r="AH33">
        <f>((EW33*1.1))</f>
        <v>3.63</v>
      </c>
      <c r="AI33">
        <f>((EX33*1.1))</f>
        <v>0</v>
      </c>
      <c r="AJ33">
        <f t="shared" si="32"/>
        <v>0</v>
      </c>
      <c r="AK33">
        <v>51.34</v>
      </c>
      <c r="AL33">
        <v>6.44</v>
      </c>
      <c r="AM33">
        <v>0.12</v>
      </c>
      <c r="AN33">
        <v>0.01</v>
      </c>
      <c r="AO33">
        <v>44.78</v>
      </c>
      <c r="AP33">
        <v>0</v>
      </c>
      <c r="AQ33">
        <v>3.3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13.75</v>
      </c>
      <c r="BC33">
        <v>9.89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44</v>
      </c>
      <c r="BM33">
        <v>68</v>
      </c>
      <c r="BN33">
        <v>58808062</v>
      </c>
      <c r="BO33" t="s">
        <v>41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492</v>
      </c>
      <c r="CO33">
        <v>0</v>
      </c>
      <c r="CP33">
        <f t="shared" si="33"/>
        <v>34819.339999999997</v>
      </c>
      <c r="CQ33">
        <f>ROUND((ROUND((AC33*AW33*1),2)*BC33),2)</f>
        <v>63.69</v>
      </c>
      <c r="CR33">
        <f>(ROUND((ROUND((((ET33*1.1))*AV33*1),2)*BB33),2)+ROUND((ROUND(((AE33-((EU33*1.1)))*AV33*1),2)*BS33),2))</f>
        <v>1.93</v>
      </c>
      <c r="CS33">
        <f t="shared" si="34"/>
        <v>0.55000000000000004</v>
      </c>
      <c r="CT33">
        <f t="shared" si="35"/>
        <v>2835.83</v>
      </c>
      <c r="CU33">
        <f t="shared" si="36"/>
        <v>0</v>
      </c>
      <c r="CV33">
        <f t="shared" si="37"/>
        <v>3.8006099999999998</v>
      </c>
      <c r="CW33">
        <f t="shared" si="38"/>
        <v>0</v>
      </c>
      <c r="CX33">
        <f t="shared" si="39"/>
        <v>0</v>
      </c>
      <c r="CY33">
        <f t="shared" si="40"/>
        <v>30635.918999999994</v>
      </c>
      <c r="CZ33">
        <f t="shared" si="41"/>
        <v>15658.3586</v>
      </c>
      <c r="DB33">
        <v>4</v>
      </c>
      <c r="DC33" t="s">
        <v>3</v>
      </c>
      <c r="DD33" t="s">
        <v>25</v>
      </c>
      <c r="DE33" t="s">
        <v>26</v>
      </c>
      <c r="DF33" t="s">
        <v>26</v>
      </c>
      <c r="DG33" t="s">
        <v>26</v>
      </c>
      <c r="DH33" t="s">
        <v>3</v>
      </c>
      <c r="DI33" t="s">
        <v>26</v>
      </c>
      <c r="DJ33" t="s">
        <v>26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43</v>
      </c>
      <c r="DW33" t="s">
        <v>43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58808178</v>
      </c>
      <c r="EF33">
        <v>40</v>
      </c>
      <c r="EG33" t="s">
        <v>27</v>
      </c>
      <c r="EH33">
        <v>0</v>
      </c>
      <c r="EI33" t="s">
        <v>3</v>
      </c>
      <c r="EJ33">
        <v>2</v>
      </c>
      <c r="EK33">
        <v>68</v>
      </c>
      <c r="EL33" t="s">
        <v>28</v>
      </c>
      <c r="EM33" t="s">
        <v>29</v>
      </c>
      <c r="EO33" t="s">
        <v>30</v>
      </c>
      <c r="EQ33">
        <v>0</v>
      </c>
      <c r="ER33">
        <v>51.34</v>
      </c>
      <c r="ES33">
        <v>6.44</v>
      </c>
      <c r="ET33">
        <v>0.12</v>
      </c>
      <c r="EU33">
        <v>0.01</v>
      </c>
      <c r="EV33">
        <v>44.78</v>
      </c>
      <c r="EW33">
        <v>3.3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-1862862500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2"/>
        <v>0</v>
      </c>
      <c r="GM33">
        <f t="shared" si="43"/>
        <v>81113.62</v>
      </c>
      <c r="GN33">
        <f t="shared" si="44"/>
        <v>0</v>
      </c>
      <c r="GO33">
        <f t="shared" si="45"/>
        <v>81113.62</v>
      </c>
      <c r="GP33">
        <f t="shared" si="46"/>
        <v>0</v>
      </c>
      <c r="GR33">
        <v>0</v>
      </c>
      <c r="GS33">
        <v>3</v>
      </c>
      <c r="GT33">
        <v>0</v>
      </c>
      <c r="GU33" t="s">
        <v>3</v>
      </c>
      <c r="GV33">
        <f t="shared" si="47"/>
        <v>0</v>
      </c>
      <c r="GW33">
        <v>1</v>
      </c>
      <c r="GX33">
        <f t="shared" si="48"/>
        <v>0</v>
      </c>
      <c r="HA33">
        <v>0</v>
      </c>
      <c r="HB33">
        <v>0</v>
      </c>
      <c r="HC33">
        <f t="shared" si="49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45</v>
      </c>
      <c r="F34" s="2" t="s">
        <v>46</v>
      </c>
      <c r="G34" s="2" t="s">
        <v>47</v>
      </c>
      <c r="H34" s="2" t="s">
        <v>34</v>
      </c>
      <c r="I34" s="2">
        <f>ROUND(ROUND(12,4),9)</f>
        <v>12</v>
      </c>
      <c r="J34" s="2">
        <v>0</v>
      </c>
      <c r="K34" s="2">
        <f>ROUND(ROUND(12,4),9)</f>
        <v>12</v>
      </c>
      <c r="L34" s="2"/>
      <c r="M34" s="2"/>
      <c r="N34" s="2"/>
      <c r="O34" s="2">
        <f t="shared" si="21"/>
        <v>21636.48</v>
      </c>
      <c r="P34" s="2">
        <f>ROUND((ROUND((AC34*I34),2)*BC34),2)</f>
        <v>21636.48</v>
      </c>
      <c r="Q34" s="2">
        <f>(ROUND((ROUND(((ET34)*AV34*I34),2)*BB34),2)+ROUND((ROUND(((AE34-(EU34))*AV34*I34),2)*BS34),2))</f>
        <v>0</v>
      </c>
      <c r="R34" s="2">
        <f t="shared" si="22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28"/>
        <v>0</v>
      </c>
      <c r="Y34" s="2">
        <f t="shared" si="29"/>
        <v>0</v>
      </c>
      <c r="Z34" s="2"/>
      <c r="AA34" s="2">
        <v>59213216</v>
      </c>
      <c r="AB34" s="2">
        <f t="shared" si="30"/>
        <v>1803.04</v>
      </c>
      <c r="AC34" s="2">
        <f>ROUND((ES34),6)</f>
        <v>1803.04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31"/>
        <v>0</v>
      </c>
      <c r="AH34" s="2">
        <f>(EW34)</f>
        <v>0</v>
      </c>
      <c r="AI34" s="2">
        <f>(EX34)</f>
        <v>0</v>
      </c>
      <c r="AJ34" s="2">
        <f t="shared" si="32"/>
        <v>0</v>
      </c>
      <c r="AK34" s="2">
        <v>1803.0400000000002</v>
      </c>
      <c r="AL34" s="2">
        <v>1803.0400000000002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3"/>
        <v>21636.48</v>
      </c>
      <c r="CQ34" s="2">
        <f>ROUND((ROUND((AC34*1),2)*BC34),2)</f>
        <v>1803.04</v>
      </c>
      <c r="CR34" s="2">
        <f>(ROUND((ROUND(((ET34)*AV34*1),2)*BB34),2)+ROUND((ROUND(((AE34-(EU34))*AV34*1),2)*BS34),2))</f>
        <v>0</v>
      </c>
      <c r="CS34" s="2">
        <f t="shared" si="34"/>
        <v>0</v>
      </c>
      <c r="CT34" s="2">
        <f t="shared" si="35"/>
        <v>0</v>
      </c>
      <c r="CU34" s="2">
        <f t="shared" si="36"/>
        <v>0</v>
      </c>
      <c r="CV34" s="2">
        <f t="shared" si="37"/>
        <v>0</v>
      </c>
      <c r="CW34" s="2">
        <f t="shared" si="38"/>
        <v>0</v>
      </c>
      <c r="CX34" s="2">
        <f t="shared" si="39"/>
        <v>0</v>
      </c>
      <c r="CY34" s="2">
        <f t="shared" si="40"/>
        <v>0</v>
      </c>
      <c r="CZ34" s="2">
        <f t="shared" si="41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34</v>
      </c>
      <c r="DW34" s="2" t="s">
        <v>34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58808284</v>
      </c>
      <c r="EF34" s="2">
        <v>130</v>
      </c>
      <c r="EG34" s="2" t="s">
        <v>35</v>
      </c>
      <c r="EH34" s="2">
        <v>0</v>
      </c>
      <c r="EI34" s="2" t="s">
        <v>3</v>
      </c>
      <c r="EJ34" s="2">
        <v>3</v>
      </c>
      <c r="EK34" s="2">
        <v>746</v>
      </c>
      <c r="EL34" s="2" t="s">
        <v>36</v>
      </c>
      <c r="EM34" s="2" t="s">
        <v>37</v>
      </c>
      <c r="EN34" s="2"/>
      <c r="EO34" s="2" t="s">
        <v>3</v>
      </c>
      <c r="EP34" s="2"/>
      <c r="EQ34" s="2">
        <v>0</v>
      </c>
      <c r="ER34" s="2">
        <v>0</v>
      </c>
      <c r="ES34" s="2">
        <v>1803.0400000000002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21636.48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48</v>
      </c>
      <c r="GB34" s="2"/>
      <c r="GC34" s="2"/>
      <c r="GD34" s="2">
        <v>1</v>
      </c>
      <c r="GE34" s="2"/>
      <c r="GF34" s="2">
        <v>1328923490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42"/>
        <v>0</v>
      </c>
      <c r="GM34" s="2">
        <f t="shared" si="43"/>
        <v>21636.48</v>
      </c>
      <c r="GN34" s="2">
        <f t="shared" si="44"/>
        <v>0</v>
      </c>
      <c r="GO34" s="2">
        <f t="shared" si="45"/>
        <v>0</v>
      </c>
      <c r="GP34" s="2">
        <f t="shared" si="46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7"/>
        <v>0</v>
      </c>
      <c r="GW34" s="2">
        <v>1</v>
      </c>
      <c r="GX34" s="2">
        <f t="shared" si="48"/>
        <v>0</v>
      </c>
      <c r="GY34" s="2"/>
      <c r="GZ34" s="2"/>
      <c r="HA34" s="2">
        <v>0</v>
      </c>
      <c r="HB34" s="2">
        <v>0</v>
      </c>
      <c r="HC34" s="2">
        <f t="shared" si="49"/>
        <v>0</v>
      </c>
      <c r="HD34" s="2"/>
      <c r="HE34" s="2" t="s">
        <v>39</v>
      </c>
      <c r="HF34" s="2" t="s">
        <v>40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E35" t="s">
        <v>45</v>
      </c>
      <c r="F35" t="s">
        <v>46</v>
      </c>
      <c r="G35" t="s">
        <v>47</v>
      </c>
      <c r="H35" t="s">
        <v>34</v>
      </c>
      <c r="I35">
        <f>ROUND(ROUND(12,4),9)</f>
        <v>12</v>
      </c>
      <c r="J35">
        <v>0</v>
      </c>
      <c r="K35">
        <f>ROUND(ROUND(12,4),9)</f>
        <v>12</v>
      </c>
      <c r="O35">
        <f t="shared" si="21"/>
        <v>165735.44</v>
      </c>
      <c r="P35">
        <f>ROUND((ROUND((AC35*I35),2)*BC35),2)</f>
        <v>165735.44</v>
      </c>
      <c r="Q35">
        <f>(ROUND((ROUND(((ET35)*AV35*I35),2)*BB35),2)+ROUND((ROUND(((AE35-(EU35))*AV35*I35),2)*BS35),2))</f>
        <v>0</v>
      </c>
      <c r="R35">
        <f t="shared" si="22"/>
        <v>0</v>
      </c>
      <c r="S35">
        <f t="shared" si="23"/>
        <v>0</v>
      </c>
      <c r="T35">
        <f t="shared" si="24"/>
        <v>0</v>
      </c>
      <c r="U35">
        <f t="shared" si="25"/>
        <v>0</v>
      </c>
      <c r="V35">
        <f t="shared" si="26"/>
        <v>0</v>
      </c>
      <c r="W35">
        <f t="shared" si="27"/>
        <v>0</v>
      </c>
      <c r="X35">
        <f t="shared" si="28"/>
        <v>0</v>
      </c>
      <c r="Y35">
        <f t="shared" si="29"/>
        <v>0</v>
      </c>
      <c r="AA35">
        <v>59213213</v>
      </c>
      <c r="AB35">
        <f t="shared" si="30"/>
        <v>1803.04</v>
      </c>
      <c r="AC35">
        <f>ROUND((ES35),6)</f>
        <v>1803.04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31"/>
        <v>0</v>
      </c>
      <c r="AH35">
        <f>(EW35)</f>
        <v>0</v>
      </c>
      <c r="AI35">
        <f>(EX35)</f>
        <v>0</v>
      </c>
      <c r="AJ35">
        <f t="shared" si="32"/>
        <v>0</v>
      </c>
      <c r="AK35">
        <v>1803.0400000000002</v>
      </c>
      <c r="AL35">
        <v>1803.0400000000002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7.66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3</v>
      </c>
      <c r="BJ35" t="s">
        <v>3</v>
      </c>
      <c r="BM35">
        <v>746</v>
      </c>
      <c r="BN35">
        <v>0</v>
      </c>
      <c r="BO35" t="s">
        <v>3</v>
      </c>
      <c r="BP35">
        <v>0</v>
      </c>
      <c r="BQ35">
        <v>130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0</v>
      </c>
      <c r="CA35">
        <v>0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3"/>
        <v>165735.44</v>
      </c>
      <c r="CQ35">
        <f>ROUND((ROUND((AC35*1),2)*BC35),2)</f>
        <v>13811.29</v>
      </c>
      <c r="CR35">
        <f>(ROUND((ROUND(((ET35)*AV35*1),2)*BB35),2)+ROUND((ROUND(((AE35-(EU35))*AV35*1),2)*BS35),2))</f>
        <v>0</v>
      </c>
      <c r="CS35">
        <f t="shared" si="34"/>
        <v>0</v>
      </c>
      <c r="CT35">
        <f t="shared" si="35"/>
        <v>0</v>
      </c>
      <c r="CU35">
        <f t="shared" si="36"/>
        <v>0</v>
      </c>
      <c r="CV35">
        <f t="shared" si="37"/>
        <v>0</v>
      </c>
      <c r="CW35">
        <f t="shared" si="38"/>
        <v>0</v>
      </c>
      <c r="CX35">
        <f t="shared" si="39"/>
        <v>0</v>
      </c>
      <c r="CY35">
        <f t="shared" si="40"/>
        <v>0</v>
      </c>
      <c r="CZ35">
        <f t="shared" si="41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34</v>
      </c>
      <c r="DW35" t="s">
        <v>34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58808284</v>
      </c>
      <c r="EF35">
        <v>130</v>
      </c>
      <c r="EG35" t="s">
        <v>35</v>
      </c>
      <c r="EH35">
        <v>0</v>
      </c>
      <c r="EI35" t="s">
        <v>3</v>
      </c>
      <c r="EJ35">
        <v>3</v>
      </c>
      <c r="EK35">
        <v>746</v>
      </c>
      <c r="EL35" t="s">
        <v>36</v>
      </c>
      <c r="EM35" t="s">
        <v>37</v>
      </c>
      <c r="EO35" t="s">
        <v>3</v>
      </c>
      <c r="EQ35">
        <v>0</v>
      </c>
      <c r="ER35">
        <v>1803.0400000000002</v>
      </c>
      <c r="ES35">
        <v>1803.0400000000002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5</v>
      </c>
      <c r="FC35">
        <v>1</v>
      </c>
      <c r="FD35">
        <v>18</v>
      </c>
      <c r="FF35">
        <v>15900</v>
      </c>
      <c r="FQ35">
        <v>0</v>
      </c>
      <c r="FR35">
        <f>P35</f>
        <v>165735.44</v>
      </c>
      <c r="FS35">
        <v>0</v>
      </c>
      <c r="FX35">
        <v>0</v>
      </c>
      <c r="FY35">
        <v>0</v>
      </c>
      <c r="GA35" t="s">
        <v>48</v>
      </c>
      <c r="GD35">
        <v>1</v>
      </c>
      <c r="GF35">
        <v>1328923490</v>
      </c>
      <c r="GG35">
        <v>2</v>
      </c>
      <c r="GH35">
        <v>3</v>
      </c>
      <c r="GI35">
        <v>5</v>
      </c>
      <c r="GJ35">
        <v>0</v>
      </c>
      <c r="GK35">
        <v>0</v>
      </c>
      <c r="GL35">
        <f t="shared" si="42"/>
        <v>0</v>
      </c>
      <c r="GM35">
        <f t="shared" si="43"/>
        <v>165735.44</v>
      </c>
      <c r="GN35">
        <f t="shared" si="44"/>
        <v>0</v>
      </c>
      <c r="GO35">
        <f t="shared" si="45"/>
        <v>0</v>
      </c>
      <c r="GP35">
        <f t="shared" si="46"/>
        <v>0</v>
      </c>
      <c r="GR35">
        <v>2</v>
      </c>
      <c r="GS35">
        <v>1</v>
      </c>
      <c r="GT35">
        <v>0</v>
      </c>
      <c r="GU35" t="s">
        <v>3</v>
      </c>
      <c r="GV35">
        <f t="shared" si="47"/>
        <v>0</v>
      </c>
      <c r="GW35">
        <v>1</v>
      </c>
      <c r="GX35">
        <f t="shared" si="48"/>
        <v>0</v>
      </c>
      <c r="HA35">
        <v>0</v>
      </c>
      <c r="HB35">
        <v>0</v>
      </c>
      <c r="HC35">
        <f t="shared" si="49"/>
        <v>0</v>
      </c>
      <c r="HE35" t="s">
        <v>39</v>
      </c>
      <c r="HF35" t="s">
        <v>40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ROW(SmtRes!A11)</f>
        <v>11</v>
      </c>
      <c r="D36" s="2">
        <f>ROW(EtalonRes!A13)</f>
        <v>13</v>
      </c>
      <c r="E36" s="2" t="s">
        <v>49</v>
      </c>
      <c r="F36" s="2" t="s">
        <v>41</v>
      </c>
      <c r="G36" s="2" t="s">
        <v>42</v>
      </c>
      <c r="H36" s="2" t="s">
        <v>43</v>
      </c>
      <c r="I36" s="2">
        <f>ROUND(ROUND(15,4),9)</f>
        <v>15</v>
      </c>
      <c r="J36" s="2">
        <v>0</v>
      </c>
      <c r="K36" s="2">
        <f>ROUND(ROUND(15,4),9)</f>
        <v>15</v>
      </c>
      <c r="L36" s="2"/>
      <c r="M36" s="2"/>
      <c r="N36" s="2"/>
      <c r="O36" s="2">
        <f t="shared" si="21"/>
        <v>872.27</v>
      </c>
      <c r="P36" s="2">
        <f>ROUND((ROUND((AC36*AW36*I36),2)*BC36),2)</f>
        <v>96.6</v>
      </c>
      <c r="Q36" s="2">
        <f>(ROUND((ROUND((((ET36*1.1))*AV36*I36),2)*BB36),2)+ROUND((ROUND(((AE36-((EU36*1.1)))*AV36*I36),2)*BS36),2))</f>
        <v>2.0699999999999998</v>
      </c>
      <c r="R36" s="2">
        <f t="shared" si="22"/>
        <v>0.17</v>
      </c>
      <c r="S36" s="2">
        <f t="shared" si="23"/>
        <v>773.6</v>
      </c>
      <c r="T36" s="2">
        <f t="shared" si="24"/>
        <v>0</v>
      </c>
      <c r="U36" s="2">
        <f t="shared" si="25"/>
        <v>57.009149999999998</v>
      </c>
      <c r="V36" s="2">
        <f t="shared" si="26"/>
        <v>0</v>
      </c>
      <c r="W36" s="2">
        <f t="shared" si="27"/>
        <v>0</v>
      </c>
      <c r="X36" s="2">
        <f t="shared" si="28"/>
        <v>696.39</v>
      </c>
      <c r="Y36" s="2">
        <f t="shared" si="29"/>
        <v>355.93</v>
      </c>
      <c r="Z36" s="2"/>
      <c r="AA36" s="2">
        <v>59213216</v>
      </c>
      <c r="AB36" s="2">
        <f t="shared" si="30"/>
        <v>55.83</v>
      </c>
      <c r="AC36" s="2">
        <f>ROUND(((ES36*1)),6)</f>
        <v>6.44</v>
      </c>
      <c r="AD36" s="2">
        <f>ROUND(((((ET36*1.1))-((EU36*1.1)))+AE36),6)</f>
        <v>0.13200000000000001</v>
      </c>
      <c r="AE36" s="2">
        <f>ROUND(((EU36*1.1)),6)</f>
        <v>1.0999999999999999E-2</v>
      </c>
      <c r="AF36" s="2">
        <f>ROUND(((EV36*1.1)),6)</f>
        <v>49.258000000000003</v>
      </c>
      <c r="AG36" s="2">
        <f t="shared" si="31"/>
        <v>0</v>
      </c>
      <c r="AH36" s="2">
        <f>((EW36*1.1))</f>
        <v>3.63</v>
      </c>
      <c r="AI36" s="2">
        <f>((EX36*1.1))</f>
        <v>0</v>
      </c>
      <c r="AJ36" s="2">
        <f t="shared" si="32"/>
        <v>0</v>
      </c>
      <c r="AK36" s="2">
        <v>51.34</v>
      </c>
      <c r="AL36" s="2">
        <v>6.44</v>
      </c>
      <c r="AM36" s="2">
        <v>0.12</v>
      </c>
      <c r="AN36" s="2">
        <v>0.01</v>
      </c>
      <c r="AO36" s="2">
        <v>44.78</v>
      </c>
      <c r="AP36" s="2">
        <v>0</v>
      </c>
      <c r="AQ36" s="2">
        <v>3.3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44</v>
      </c>
      <c r="BK36" s="2"/>
      <c r="BL36" s="2"/>
      <c r="BM36" s="2">
        <v>68</v>
      </c>
      <c r="BN36" s="2">
        <v>58808062</v>
      </c>
      <c r="BO36" s="2" t="s">
        <v>41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492</v>
      </c>
      <c r="CO36" s="2">
        <v>0</v>
      </c>
      <c r="CP36" s="2">
        <f t="shared" si="33"/>
        <v>872.27</v>
      </c>
      <c r="CQ36" s="2">
        <f>ROUND((ROUND((AC36*AW36*1),2)*BC36),2)</f>
        <v>6.44</v>
      </c>
      <c r="CR36" s="2">
        <f>(ROUND((ROUND((((ET36*1.1))*AV36*1),2)*BB36),2)+ROUND((ROUND(((AE36-((EU36*1.1)))*AV36*1),2)*BS36),2))</f>
        <v>0.14000000000000001</v>
      </c>
      <c r="CS36" s="2">
        <f t="shared" si="34"/>
        <v>0.01</v>
      </c>
      <c r="CT36" s="2">
        <f t="shared" si="35"/>
        <v>51.57</v>
      </c>
      <c r="CU36" s="2">
        <f t="shared" si="36"/>
        <v>0</v>
      </c>
      <c r="CV36" s="2">
        <f t="shared" si="37"/>
        <v>3.8006099999999998</v>
      </c>
      <c r="CW36" s="2">
        <f t="shared" si="38"/>
        <v>0</v>
      </c>
      <c r="CX36" s="2">
        <f t="shared" si="39"/>
        <v>0</v>
      </c>
      <c r="CY36" s="2">
        <f t="shared" si="40"/>
        <v>696.39300000000003</v>
      </c>
      <c r="CZ36" s="2">
        <f t="shared" si="41"/>
        <v>355.93419999999998</v>
      </c>
      <c r="DA36" s="2"/>
      <c r="DB36" s="2">
        <v>5</v>
      </c>
      <c r="DC36" s="2" t="s">
        <v>3</v>
      </c>
      <c r="DD36" s="2" t="s">
        <v>25</v>
      </c>
      <c r="DE36" s="2" t="s">
        <v>26</v>
      </c>
      <c r="DF36" s="2" t="s">
        <v>26</v>
      </c>
      <c r="DG36" s="2" t="s">
        <v>26</v>
      </c>
      <c r="DH36" s="2" t="s">
        <v>3</v>
      </c>
      <c r="DI36" s="2" t="s">
        <v>26</v>
      </c>
      <c r="DJ36" s="2" t="s">
        <v>26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43</v>
      </c>
      <c r="DW36" s="2" t="s">
        <v>43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58808178</v>
      </c>
      <c r="EF36" s="2">
        <v>40</v>
      </c>
      <c r="EG36" s="2" t="s">
        <v>27</v>
      </c>
      <c r="EH36" s="2">
        <v>0</v>
      </c>
      <c r="EI36" s="2" t="s">
        <v>3</v>
      </c>
      <c r="EJ36" s="2">
        <v>2</v>
      </c>
      <c r="EK36" s="2">
        <v>68</v>
      </c>
      <c r="EL36" s="2" t="s">
        <v>28</v>
      </c>
      <c r="EM36" s="2" t="s">
        <v>29</v>
      </c>
      <c r="EN36" s="2"/>
      <c r="EO36" s="2" t="s">
        <v>30</v>
      </c>
      <c r="EP36" s="2"/>
      <c r="EQ36" s="2">
        <v>0</v>
      </c>
      <c r="ER36" s="2">
        <v>51.34</v>
      </c>
      <c r="ES36" s="2">
        <v>6.44</v>
      </c>
      <c r="ET36" s="2">
        <v>0.12</v>
      </c>
      <c r="EU36" s="2">
        <v>0.01</v>
      </c>
      <c r="EV36" s="2">
        <v>44.78</v>
      </c>
      <c r="EW36" s="2">
        <v>3.3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-1862862500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42"/>
        <v>0</v>
      </c>
      <c r="GM36" s="2">
        <f t="shared" si="43"/>
        <v>1924.59</v>
      </c>
      <c r="GN36" s="2">
        <f t="shared" si="44"/>
        <v>0</v>
      </c>
      <c r="GO36" s="2">
        <f t="shared" si="45"/>
        <v>1924.59</v>
      </c>
      <c r="GP36" s="2">
        <f t="shared" si="4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7"/>
        <v>0</v>
      </c>
      <c r="GW36" s="2">
        <v>1</v>
      </c>
      <c r="GX36" s="2">
        <f t="shared" si="48"/>
        <v>0</v>
      </c>
      <c r="GY36" s="2"/>
      <c r="GZ36" s="2"/>
      <c r="HA36" s="2">
        <v>0</v>
      </c>
      <c r="HB36" s="2">
        <v>0</v>
      </c>
      <c r="HC36" s="2">
        <f t="shared" si="4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ROW(SmtRes!A12)</f>
        <v>12</v>
      </c>
      <c r="D37">
        <f>ROW(EtalonRes!A14)</f>
        <v>14</v>
      </c>
      <c r="E37" t="s">
        <v>49</v>
      </c>
      <c r="F37" t="s">
        <v>41</v>
      </c>
      <c r="G37" t="s">
        <v>42</v>
      </c>
      <c r="H37" t="s">
        <v>43</v>
      </c>
      <c r="I37">
        <f>ROUND(ROUND(15,4),9)</f>
        <v>15</v>
      </c>
      <c r="J37">
        <v>0</v>
      </c>
      <c r="K37">
        <f>ROUND(ROUND(15,4),9)</f>
        <v>15</v>
      </c>
      <c r="O37">
        <f t="shared" si="21"/>
        <v>43524.09</v>
      </c>
      <c r="P37">
        <f>ROUND((ROUND((AC37*AW37*I37),2)*BC37),2)</f>
        <v>955.37</v>
      </c>
      <c r="Q37">
        <f>(ROUND((ROUND((((ET37*1.1))*AV37*I37),2)*BB37),2)+ROUND((ROUND(((AE37-((EU37*1.1)))*AV37*I37),2)*BS37),2))</f>
        <v>28.46</v>
      </c>
      <c r="R37">
        <f t="shared" si="22"/>
        <v>9.35</v>
      </c>
      <c r="S37">
        <f t="shared" si="23"/>
        <v>42540.26</v>
      </c>
      <c r="T37">
        <f t="shared" si="24"/>
        <v>0</v>
      </c>
      <c r="U37">
        <f t="shared" si="25"/>
        <v>57.009149999999998</v>
      </c>
      <c r="V37">
        <f t="shared" si="26"/>
        <v>0</v>
      </c>
      <c r="W37">
        <f t="shared" si="27"/>
        <v>0</v>
      </c>
      <c r="X37">
        <f t="shared" si="28"/>
        <v>38294.65</v>
      </c>
      <c r="Y37">
        <f t="shared" si="29"/>
        <v>19572.82</v>
      </c>
      <c r="AA37">
        <v>59213213</v>
      </c>
      <c r="AB37">
        <f t="shared" si="30"/>
        <v>55.83</v>
      </c>
      <c r="AC37">
        <f>ROUND(((ES37*1)),6)</f>
        <v>6.44</v>
      </c>
      <c r="AD37">
        <f>ROUND(((((ET37*1.1))-((EU37*1.1)))+AE37),6)</f>
        <v>0.13200000000000001</v>
      </c>
      <c r="AE37">
        <f>ROUND(((EU37*1.1)),6)</f>
        <v>1.0999999999999999E-2</v>
      </c>
      <c r="AF37">
        <f>ROUND(((EV37*1.1)),6)</f>
        <v>49.258000000000003</v>
      </c>
      <c r="AG37">
        <f t="shared" si="31"/>
        <v>0</v>
      </c>
      <c r="AH37">
        <f>((EW37*1.1))</f>
        <v>3.63</v>
      </c>
      <c r="AI37">
        <f>((EX37*1.1))</f>
        <v>0</v>
      </c>
      <c r="AJ37">
        <f t="shared" si="32"/>
        <v>0</v>
      </c>
      <c r="AK37">
        <v>51.34</v>
      </c>
      <c r="AL37">
        <v>6.44</v>
      </c>
      <c r="AM37">
        <v>0.12</v>
      </c>
      <c r="AN37">
        <v>0.01</v>
      </c>
      <c r="AO37">
        <v>44.78</v>
      </c>
      <c r="AP37">
        <v>0</v>
      </c>
      <c r="AQ37">
        <v>3.3</v>
      </c>
      <c r="AR37">
        <v>0</v>
      </c>
      <c r="AS37">
        <v>0</v>
      </c>
      <c r="AT37">
        <v>90</v>
      </c>
      <c r="AU37">
        <v>46</v>
      </c>
      <c r="AV37">
        <v>1.0469999999999999</v>
      </c>
      <c r="AW37">
        <v>1</v>
      </c>
      <c r="AZ37">
        <v>1</v>
      </c>
      <c r="BA37">
        <v>54.99</v>
      </c>
      <c r="BB37">
        <v>13.75</v>
      </c>
      <c r="BC37">
        <v>9.89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44</v>
      </c>
      <c r="BM37">
        <v>68</v>
      </c>
      <c r="BN37">
        <v>58808062</v>
      </c>
      <c r="BO37" t="s">
        <v>41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492</v>
      </c>
      <c r="CO37">
        <v>0</v>
      </c>
      <c r="CP37">
        <f t="shared" si="33"/>
        <v>43524.090000000004</v>
      </c>
      <c r="CQ37">
        <f>ROUND((ROUND((AC37*AW37*1),2)*BC37),2)</f>
        <v>63.69</v>
      </c>
      <c r="CR37">
        <f>(ROUND((ROUND((((ET37*1.1))*AV37*1),2)*BB37),2)+ROUND((ROUND(((AE37-((EU37*1.1)))*AV37*1),2)*BS37),2))</f>
        <v>1.93</v>
      </c>
      <c r="CS37">
        <f t="shared" si="34"/>
        <v>0.55000000000000004</v>
      </c>
      <c r="CT37">
        <f t="shared" si="35"/>
        <v>2835.83</v>
      </c>
      <c r="CU37">
        <f t="shared" si="36"/>
        <v>0</v>
      </c>
      <c r="CV37">
        <f t="shared" si="37"/>
        <v>3.8006099999999998</v>
      </c>
      <c r="CW37">
        <f t="shared" si="38"/>
        <v>0</v>
      </c>
      <c r="CX37">
        <f t="shared" si="39"/>
        <v>0</v>
      </c>
      <c r="CY37">
        <f t="shared" si="40"/>
        <v>38294.648999999998</v>
      </c>
      <c r="CZ37">
        <f t="shared" si="41"/>
        <v>19572.820599999999</v>
      </c>
      <c r="DB37">
        <v>6</v>
      </c>
      <c r="DC37" t="s">
        <v>3</v>
      </c>
      <c r="DD37" t="s">
        <v>25</v>
      </c>
      <c r="DE37" t="s">
        <v>26</v>
      </c>
      <c r="DF37" t="s">
        <v>26</v>
      </c>
      <c r="DG37" t="s">
        <v>26</v>
      </c>
      <c r="DH37" t="s">
        <v>3</v>
      </c>
      <c r="DI37" t="s">
        <v>26</v>
      </c>
      <c r="DJ37" t="s">
        <v>26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43</v>
      </c>
      <c r="DW37" t="s">
        <v>43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58808178</v>
      </c>
      <c r="EF37">
        <v>40</v>
      </c>
      <c r="EG37" t="s">
        <v>27</v>
      </c>
      <c r="EH37">
        <v>0</v>
      </c>
      <c r="EI37" t="s">
        <v>3</v>
      </c>
      <c r="EJ37">
        <v>2</v>
      </c>
      <c r="EK37">
        <v>68</v>
      </c>
      <c r="EL37" t="s">
        <v>28</v>
      </c>
      <c r="EM37" t="s">
        <v>29</v>
      </c>
      <c r="EO37" t="s">
        <v>30</v>
      </c>
      <c r="EQ37">
        <v>0</v>
      </c>
      <c r="ER37">
        <v>51.34</v>
      </c>
      <c r="ES37">
        <v>6.44</v>
      </c>
      <c r="ET37">
        <v>0.12</v>
      </c>
      <c r="EU37">
        <v>0.01</v>
      </c>
      <c r="EV37">
        <v>44.78</v>
      </c>
      <c r="EW37">
        <v>3.3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-1862862500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2"/>
        <v>0</v>
      </c>
      <c r="GM37">
        <f t="shared" si="43"/>
        <v>101391.56</v>
      </c>
      <c r="GN37">
        <f t="shared" si="44"/>
        <v>0</v>
      </c>
      <c r="GO37">
        <f t="shared" si="45"/>
        <v>101391.56</v>
      </c>
      <c r="GP37">
        <f t="shared" si="46"/>
        <v>0</v>
      </c>
      <c r="GR37">
        <v>0</v>
      </c>
      <c r="GS37">
        <v>3</v>
      </c>
      <c r="GT37">
        <v>0</v>
      </c>
      <c r="GU37" t="s">
        <v>3</v>
      </c>
      <c r="GV37">
        <f t="shared" si="47"/>
        <v>0</v>
      </c>
      <c r="GW37">
        <v>1</v>
      </c>
      <c r="GX37">
        <f t="shared" si="48"/>
        <v>0</v>
      </c>
      <c r="HA37">
        <v>0</v>
      </c>
      <c r="HB37">
        <v>0</v>
      </c>
      <c r="HC37">
        <f t="shared" si="49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50</v>
      </c>
      <c r="F38" s="2" t="s">
        <v>51</v>
      </c>
      <c r="G38" s="2" t="s">
        <v>52</v>
      </c>
      <c r="H38" s="2" t="s">
        <v>34</v>
      </c>
      <c r="I38" s="2">
        <f>ROUND(ROUND(15,4),9)</f>
        <v>15</v>
      </c>
      <c r="J38" s="2">
        <v>0</v>
      </c>
      <c r="K38" s="2">
        <f>ROUND(ROUND(15,4),9)</f>
        <v>15</v>
      </c>
      <c r="L38" s="2"/>
      <c r="M38" s="2"/>
      <c r="N38" s="2"/>
      <c r="O38" s="2">
        <f t="shared" si="21"/>
        <v>111142.05</v>
      </c>
      <c r="P38" s="2">
        <f>ROUND((ROUND((AC38*I38),2)*BC38),2)</f>
        <v>111142.05</v>
      </c>
      <c r="Q38" s="2">
        <f>(ROUND((ROUND(((ET38)*AV38*I38),2)*BB38),2)+ROUND((ROUND(((AE38-(EU38))*AV38*I38),2)*BS38),2))</f>
        <v>0</v>
      </c>
      <c r="R38" s="2">
        <f t="shared" si="22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28"/>
        <v>0</v>
      </c>
      <c r="Y38" s="2">
        <f t="shared" si="29"/>
        <v>0</v>
      </c>
      <c r="Z38" s="2"/>
      <c r="AA38" s="2">
        <v>59213216</v>
      </c>
      <c r="AB38" s="2">
        <f t="shared" si="30"/>
        <v>7409.47</v>
      </c>
      <c r="AC38" s="2">
        <f>ROUND((ES38),6)</f>
        <v>7409.47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31"/>
        <v>0</v>
      </c>
      <c r="AH38" s="2">
        <f>(EW38)</f>
        <v>0</v>
      </c>
      <c r="AI38" s="2">
        <f>(EX38)</f>
        <v>0</v>
      </c>
      <c r="AJ38" s="2">
        <f t="shared" si="32"/>
        <v>0</v>
      </c>
      <c r="AK38" s="2">
        <v>7409.4699999999993</v>
      </c>
      <c r="AL38" s="2">
        <v>7409.4699999999993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3"/>
        <v>111142.05</v>
      </c>
      <c r="CQ38" s="2">
        <f>ROUND((ROUND((AC38*1),2)*BC38),2)</f>
        <v>7409.47</v>
      </c>
      <c r="CR38" s="2">
        <f>(ROUND((ROUND(((ET38)*AV38*1),2)*BB38),2)+ROUND((ROUND(((AE38-(EU38))*AV38*1),2)*BS38),2))</f>
        <v>0</v>
      </c>
      <c r="CS38" s="2">
        <f t="shared" si="34"/>
        <v>0</v>
      </c>
      <c r="CT38" s="2">
        <f t="shared" si="35"/>
        <v>0</v>
      </c>
      <c r="CU38" s="2">
        <f t="shared" si="36"/>
        <v>0</v>
      </c>
      <c r="CV38" s="2">
        <f t="shared" si="37"/>
        <v>0</v>
      </c>
      <c r="CW38" s="2">
        <f t="shared" si="38"/>
        <v>0</v>
      </c>
      <c r="CX38" s="2">
        <f t="shared" si="39"/>
        <v>0</v>
      </c>
      <c r="CY38" s="2">
        <f t="shared" si="40"/>
        <v>0</v>
      </c>
      <c r="CZ38" s="2">
        <f t="shared" si="41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34</v>
      </c>
      <c r="DW38" s="2" t="s">
        <v>34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58808284</v>
      </c>
      <c r="EF38" s="2">
        <v>130</v>
      </c>
      <c r="EG38" s="2" t="s">
        <v>35</v>
      </c>
      <c r="EH38" s="2">
        <v>0</v>
      </c>
      <c r="EI38" s="2" t="s">
        <v>3</v>
      </c>
      <c r="EJ38" s="2">
        <v>3</v>
      </c>
      <c r="EK38" s="2">
        <v>746</v>
      </c>
      <c r="EL38" s="2" t="s">
        <v>36</v>
      </c>
      <c r="EM38" s="2" t="s">
        <v>37</v>
      </c>
      <c r="EN38" s="2"/>
      <c r="EO38" s="2" t="s">
        <v>3</v>
      </c>
      <c r="EP38" s="2"/>
      <c r="EQ38" s="2">
        <v>0</v>
      </c>
      <c r="ER38" s="2">
        <v>0</v>
      </c>
      <c r="ES38" s="2">
        <v>7409.4699999999993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111142.05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53</v>
      </c>
      <c r="GB38" s="2"/>
      <c r="GC38" s="2"/>
      <c r="GD38" s="2">
        <v>1</v>
      </c>
      <c r="GE38" s="2"/>
      <c r="GF38" s="2">
        <v>-1498015221</v>
      </c>
      <c r="GG38" s="2">
        <v>2</v>
      </c>
      <c r="GH38" s="2">
        <v>4</v>
      </c>
      <c r="GI38" s="2">
        <v>0</v>
      </c>
      <c r="GJ38" s="2">
        <v>0</v>
      </c>
      <c r="GK38" s="2">
        <v>0</v>
      </c>
      <c r="GL38" s="2">
        <f t="shared" si="42"/>
        <v>0</v>
      </c>
      <c r="GM38" s="2">
        <f t="shared" si="43"/>
        <v>111142.05</v>
      </c>
      <c r="GN38" s="2">
        <f t="shared" si="44"/>
        <v>0</v>
      </c>
      <c r="GO38" s="2">
        <f t="shared" si="45"/>
        <v>0</v>
      </c>
      <c r="GP38" s="2">
        <f t="shared" si="46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7"/>
        <v>0</v>
      </c>
      <c r="GW38" s="2">
        <v>1</v>
      </c>
      <c r="GX38" s="2">
        <f t="shared" si="48"/>
        <v>0</v>
      </c>
      <c r="GY38" s="2"/>
      <c r="GZ38" s="2"/>
      <c r="HA38" s="2">
        <v>0</v>
      </c>
      <c r="HB38" s="2">
        <v>0</v>
      </c>
      <c r="HC38" s="2">
        <f t="shared" si="49"/>
        <v>0</v>
      </c>
      <c r="HD38" s="2"/>
      <c r="HE38" s="2" t="s">
        <v>39</v>
      </c>
      <c r="HF38" s="2" t="s">
        <v>40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E39" t="s">
        <v>50</v>
      </c>
      <c r="F39" t="s">
        <v>51</v>
      </c>
      <c r="G39" t="s">
        <v>52</v>
      </c>
      <c r="H39" t="s">
        <v>34</v>
      </c>
      <c r="I39">
        <f>ROUND(ROUND(15,4),9)</f>
        <v>15</v>
      </c>
      <c r="J39">
        <v>0</v>
      </c>
      <c r="K39">
        <f>ROUND(ROUND(15,4),9)</f>
        <v>15</v>
      </c>
      <c r="O39">
        <f t="shared" si="21"/>
        <v>851348.1</v>
      </c>
      <c r="P39">
        <f>ROUND((ROUND((AC39*I39),2)*BC39),2)</f>
        <v>851348.1</v>
      </c>
      <c r="Q39">
        <f>(ROUND((ROUND(((ET39)*AV39*I39),2)*BB39),2)+ROUND((ROUND(((AE39-(EU39))*AV39*I39),2)*BS39),2))</f>
        <v>0</v>
      </c>
      <c r="R39">
        <f t="shared" si="22"/>
        <v>0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29"/>
        <v>0</v>
      </c>
      <c r="AA39">
        <v>59213213</v>
      </c>
      <c r="AB39">
        <f t="shared" si="30"/>
        <v>7409.47</v>
      </c>
      <c r="AC39">
        <f>ROUND((ES39),6)</f>
        <v>7409.47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31"/>
        <v>0</v>
      </c>
      <c r="AH39">
        <f>(EW39)</f>
        <v>0</v>
      </c>
      <c r="AI39">
        <f>(EX39)</f>
        <v>0</v>
      </c>
      <c r="AJ39">
        <f t="shared" si="32"/>
        <v>0</v>
      </c>
      <c r="AK39">
        <v>7409.4699999999993</v>
      </c>
      <c r="AL39">
        <v>7409.4699999999993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7.66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3</v>
      </c>
      <c r="BJ39" t="s">
        <v>3</v>
      </c>
      <c r="BM39">
        <v>746</v>
      </c>
      <c r="BN39">
        <v>0</v>
      </c>
      <c r="BO39" t="s">
        <v>3</v>
      </c>
      <c r="BP39">
        <v>0</v>
      </c>
      <c r="BQ39">
        <v>130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0</v>
      </c>
      <c r="CA39">
        <v>0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3"/>
        <v>851348.1</v>
      </c>
      <c r="CQ39">
        <f>ROUND((ROUND((AC39*1),2)*BC39),2)</f>
        <v>56756.54</v>
      </c>
      <c r="CR39">
        <f>(ROUND((ROUND(((ET39)*AV39*1),2)*BB39),2)+ROUND((ROUND(((AE39-(EU39))*AV39*1),2)*BS39),2))</f>
        <v>0</v>
      </c>
      <c r="CS39">
        <f t="shared" si="34"/>
        <v>0</v>
      </c>
      <c r="CT39">
        <f t="shared" si="35"/>
        <v>0</v>
      </c>
      <c r="CU39">
        <f t="shared" si="36"/>
        <v>0</v>
      </c>
      <c r="CV39">
        <f t="shared" si="37"/>
        <v>0</v>
      </c>
      <c r="CW39">
        <f t="shared" si="38"/>
        <v>0</v>
      </c>
      <c r="CX39">
        <f t="shared" si="39"/>
        <v>0</v>
      </c>
      <c r="CY39">
        <f t="shared" si="40"/>
        <v>0</v>
      </c>
      <c r="CZ39">
        <f t="shared" si="41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34</v>
      </c>
      <c r="DW39" t="s">
        <v>34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58808284</v>
      </c>
      <c r="EF39">
        <v>130</v>
      </c>
      <c r="EG39" t="s">
        <v>35</v>
      </c>
      <c r="EH39">
        <v>0</v>
      </c>
      <c r="EI39" t="s">
        <v>3</v>
      </c>
      <c r="EJ39">
        <v>3</v>
      </c>
      <c r="EK39">
        <v>746</v>
      </c>
      <c r="EL39" t="s">
        <v>36</v>
      </c>
      <c r="EM39" t="s">
        <v>37</v>
      </c>
      <c r="EO39" t="s">
        <v>3</v>
      </c>
      <c r="EQ39">
        <v>0</v>
      </c>
      <c r="ER39">
        <v>7409.4699999999993</v>
      </c>
      <c r="ES39">
        <v>7409.4699999999993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5</v>
      </c>
      <c r="FC39">
        <v>1</v>
      </c>
      <c r="FD39">
        <v>18</v>
      </c>
      <c r="FF39">
        <v>65340</v>
      </c>
      <c r="FQ39">
        <v>0</v>
      </c>
      <c r="FR39">
        <f>P39</f>
        <v>851348.1</v>
      </c>
      <c r="FS39">
        <v>0</v>
      </c>
      <c r="FX39">
        <v>0</v>
      </c>
      <c r="FY39">
        <v>0</v>
      </c>
      <c r="GA39" t="s">
        <v>53</v>
      </c>
      <c r="GD39">
        <v>1</v>
      </c>
      <c r="GF39">
        <v>-1498015221</v>
      </c>
      <c r="GG39">
        <v>2</v>
      </c>
      <c r="GH39">
        <v>3</v>
      </c>
      <c r="GI39">
        <v>5</v>
      </c>
      <c r="GJ39">
        <v>0</v>
      </c>
      <c r="GK39">
        <v>0</v>
      </c>
      <c r="GL39">
        <f t="shared" si="42"/>
        <v>0</v>
      </c>
      <c r="GM39">
        <f t="shared" si="43"/>
        <v>851348.1</v>
      </c>
      <c r="GN39">
        <f t="shared" si="44"/>
        <v>0</v>
      </c>
      <c r="GO39">
        <f t="shared" si="45"/>
        <v>0</v>
      </c>
      <c r="GP39">
        <f t="shared" si="46"/>
        <v>0</v>
      </c>
      <c r="GR39">
        <v>2</v>
      </c>
      <c r="GS39">
        <v>1</v>
      </c>
      <c r="GT39">
        <v>0</v>
      </c>
      <c r="GU39" t="s">
        <v>3</v>
      </c>
      <c r="GV39">
        <f t="shared" si="47"/>
        <v>0</v>
      </c>
      <c r="GW39">
        <v>1</v>
      </c>
      <c r="GX39">
        <f t="shared" si="48"/>
        <v>0</v>
      </c>
      <c r="HA39">
        <v>0</v>
      </c>
      <c r="HB39">
        <v>0</v>
      </c>
      <c r="HC39">
        <f t="shared" si="49"/>
        <v>0</v>
      </c>
      <c r="HE39" t="s">
        <v>39</v>
      </c>
      <c r="HF39" t="s">
        <v>40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>
        <f>ROW(SmtRes!A28)</f>
        <v>28</v>
      </c>
      <c r="D40" s="2">
        <f>ROW(EtalonRes!A31)</f>
        <v>31</v>
      </c>
      <c r="E40" s="2" t="s">
        <v>54</v>
      </c>
      <c r="F40" s="2" t="s">
        <v>55</v>
      </c>
      <c r="G40" s="2" t="s">
        <v>56</v>
      </c>
      <c r="H40" s="2" t="s">
        <v>43</v>
      </c>
      <c r="I40" s="2">
        <f>ROUND(ROUND(27,4),9)</f>
        <v>27</v>
      </c>
      <c r="J40" s="2">
        <v>0</v>
      </c>
      <c r="K40" s="2">
        <f>ROUND(ROUND(27,4),9)</f>
        <v>27</v>
      </c>
      <c r="L40" s="2"/>
      <c r="M40" s="2"/>
      <c r="N40" s="2"/>
      <c r="O40" s="2">
        <f t="shared" si="21"/>
        <v>1200.4100000000001</v>
      </c>
      <c r="P40" s="2">
        <f>ROUND((ROUND((AC40*AW40*I40),2)*BC40),2)</f>
        <v>960.66</v>
      </c>
      <c r="Q40" s="2">
        <f>(ROUND((ROUND((((ET40*1.1))*AV40*I40),2)*BB40),2)+ROUND((ROUND(((AE40-((EU40*1.1)))*AV40*I40),2)*BS40),2))</f>
        <v>54.73</v>
      </c>
      <c r="R40" s="2">
        <f t="shared" si="22"/>
        <v>11.51</v>
      </c>
      <c r="S40" s="2">
        <f t="shared" si="23"/>
        <v>185.02</v>
      </c>
      <c r="T40" s="2">
        <f t="shared" si="24"/>
        <v>0</v>
      </c>
      <c r="U40" s="2">
        <f t="shared" si="25"/>
        <v>16.169868000000001</v>
      </c>
      <c r="V40" s="2">
        <f t="shared" si="26"/>
        <v>0</v>
      </c>
      <c r="W40" s="2">
        <f t="shared" si="27"/>
        <v>0</v>
      </c>
      <c r="X40" s="2">
        <f t="shared" si="28"/>
        <v>176.88</v>
      </c>
      <c r="Y40" s="2">
        <f t="shared" si="29"/>
        <v>90.4</v>
      </c>
      <c r="Z40" s="2"/>
      <c r="AA40" s="2">
        <v>59213216</v>
      </c>
      <c r="AB40" s="2">
        <f t="shared" si="30"/>
        <v>44.061</v>
      </c>
      <c r="AC40" s="2">
        <f>ROUND(((ES40*1)),6)</f>
        <v>35.58</v>
      </c>
      <c r="AD40" s="2">
        <f>ROUND(((((ET40*1.1))-((EU40*1.1)))+AE40),6)</f>
        <v>1.9359999999999999</v>
      </c>
      <c r="AE40" s="2">
        <f>ROUND(((EU40*1.1)),6)</f>
        <v>0.40699999999999997</v>
      </c>
      <c r="AF40" s="2">
        <f>ROUND(((EV40*1.1)),6)</f>
        <v>6.5449999999999999</v>
      </c>
      <c r="AG40" s="2">
        <f t="shared" si="31"/>
        <v>0</v>
      </c>
      <c r="AH40" s="2">
        <f>((EW40*1.1))</f>
        <v>0.57200000000000006</v>
      </c>
      <c r="AI40" s="2">
        <f>((EX40*1.1))</f>
        <v>0</v>
      </c>
      <c r="AJ40" s="2">
        <f t="shared" si="32"/>
        <v>0</v>
      </c>
      <c r="AK40" s="2">
        <v>43.29</v>
      </c>
      <c r="AL40" s="2">
        <v>35.58</v>
      </c>
      <c r="AM40" s="2">
        <v>1.76</v>
      </c>
      <c r="AN40" s="2">
        <v>0.37</v>
      </c>
      <c r="AO40" s="2">
        <v>5.95</v>
      </c>
      <c r="AP40" s="2">
        <v>0</v>
      </c>
      <c r="AQ40" s="2">
        <v>0.52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57</v>
      </c>
      <c r="BK40" s="2"/>
      <c r="BL40" s="2"/>
      <c r="BM40" s="2">
        <v>72</v>
      </c>
      <c r="BN40" s="2">
        <v>58808062</v>
      </c>
      <c r="BO40" s="2" t="s">
        <v>55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492</v>
      </c>
      <c r="CO40" s="2">
        <v>0</v>
      </c>
      <c r="CP40" s="2">
        <f t="shared" si="33"/>
        <v>1200.4100000000001</v>
      </c>
      <c r="CQ40" s="2">
        <f>ROUND((ROUND((AC40*AW40*1),2)*BC40),2)</f>
        <v>35.58</v>
      </c>
      <c r="CR40" s="2">
        <f>(ROUND((ROUND((((ET40*1.1))*AV40*1),2)*BB40),2)+ROUND((ROUND(((AE40-((EU40*1.1)))*AV40*1),2)*BS40),2))</f>
        <v>2.0299999999999998</v>
      </c>
      <c r="CS40" s="2">
        <f t="shared" si="34"/>
        <v>0.43</v>
      </c>
      <c r="CT40" s="2">
        <f t="shared" si="35"/>
        <v>6.85</v>
      </c>
      <c r="CU40" s="2">
        <f t="shared" si="36"/>
        <v>0</v>
      </c>
      <c r="CV40" s="2">
        <f t="shared" si="37"/>
        <v>0.59888399999999997</v>
      </c>
      <c r="CW40" s="2">
        <f t="shared" si="38"/>
        <v>0</v>
      </c>
      <c r="CX40" s="2">
        <f t="shared" si="39"/>
        <v>0</v>
      </c>
      <c r="CY40" s="2">
        <f t="shared" si="40"/>
        <v>176.87700000000001</v>
      </c>
      <c r="CZ40" s="2">
        <f t="shared" si="41"/>
        <v>90.40379999999999</v>
      </c>
      <c r="DA40" s="2"/>
      <c r="DB40" s="2">
        <v>7</v>
      </c>
      <c r="DC40" s="2" t="s">
        <v>3</v>
      </c>
      <c r="DD40" s="2" t="s">
        <v>25</v>
      </c>
      <c r="DE40" s="2" t="s">
        <v>26</v>
      </c>
      <c r="DF40" s="2" t="s">
        <v>26</v>
      </c>
      <c r="DG40" s="2" t="s">
        <v>26</v>
      </c>
      <c r="DH40" s="2" t="s">
        <v>3</v>
      </c>
      <c r="DI40" s="2" t="s">
        <v>26</v>
      </c>
      <c r="DJ40" s="2" t="s">
        <v>26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43</v>
      </c>
      <c r="DW40" s="2" t="s">
        <v>43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58808182</v>
      </c>
      <c r="EF40" s="2">
        <v>40</v>
      </c>
      <c r="EG40" s="2" t="s">
        <v>27</v>
      </c>
      <c r="EH40" s="2">
        <v>0</v>
      </c>
      <c r="EI40" s="2" t="s">
        <v>3</v>
      </c>
      <c r="EJ40" s="2">
        <v>2</v>
      </c>
      <c r="EK40" s="2">
        <v>72</v>
      </c>
      <c r="EL40" s="2" t="s">
        <v>58</v>
      </c>
      <c r="EM40" s="2" t="s">
        <v>59</v>
      </c>
      <c r="EN40" s="2"/>
      <c r="EO40" s="2" t="s">
        <v>30</v>
      </c>
      <c r="EP40" s="2"/>
      <c r="EQ40" s="2">
        <v>0</v>
      </c>
      <c r="ER40" s="2">
        <v>43.29</v>
      </c>
      <c r="ES40" s="2">
        <v>35.58</v>
      </c>
      <c r="ET40" s="2">
        <v>1.76</v>
      </c>
      <c r="EU40" s="2">
        <v>0.37</v>
      </c>
      <c r="EV40" s="2">
        <v>5.95</v>
      </c>
      <c r="EW40" s="2">
        <v>0.52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-1951604615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42"/>
        <v>0</v>
      </c>
      <c r="GM40" s="2">
        <f t="shared" si="43"/>
        <v>1467.69</v>
      </c>
      <c r="GN40" s="2">
        <f t="shared" si="44"/>
        <v>0</v>
      </c>
      <c r="GO40" s="2">
        <f t="shared" si="45"/>
        <v>1467.69</v>
      </c>
      <c r="GP40" s="2">
        <f t="shared" si="4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7"/>
        <v>0</v>
      </c>
      <c r="GW40" s="2">
        <v>1</v>
      </c>
      <c r="GX40" s="2">
        <f t="shared" si="48"/>
        <v>0</v>
      </c>
      <c r="GY40" s="2"/>
      <c r="GZ40" s="2"/>
      <c r="HA40" s="2">
        <v>0</v>
      </c>
      <c r="HB40" s="2">
        <v>0</v>
      </c>
      <c r="HC40" s="2">
        <f t="shared" si="4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C41">
        <f>ROW(SmtRes!A44)</f>
        <v>44</v>
      </c>
      <c r="D41">
        <f>ROW(EtalonRes!A48)</f>
        <v>48</v>
      </c>
      <c r="E41" t="s">
        <v>54</v>
      </c>
      <c r="F41" t="s">
        <v>55</v>
      </c>
      <c r="G41" t="s">
        <v>56</v>
      </c>
      <c r="H41" t="s">
        <v>43</v>
      </c>
      <c r="I41">
        <f>ROUND(ROUND(27,4),9)</f>
        <v>27</v>
      </c>
      <c r="J41">
        <v>0</v>
      </c>
      <c r="K41">
        <f>ROUND(ROUND(27,4),9)</f>
        <v>27</v>
      </c>
      <c r="O41">
        <f t="shared" si="21"/>
        <v>21637.84</v>
      </c>
      <c r="P41">
        <f>ROUND((ROUND((AC41*AW41*I41),2)*BC41),2)</f>
        <v>10336.700000000001</v>
      </c>
      <c r="Q41">
        <f>(ROUND((ROUND((((ET41*1.1))*AV41*I41),2)*BB41),2)+ROUND((ROUND(((AE41-((EU41*1.1)))*AV41*I41),2)*BS41),2))</f>
        <v>1126.8900000000001</v>
      </c>
      <c r="R41">
        <f t="shared" si="22"/>
        <v>632.92999999999995</v>
      </c>
      <c r="S41">
        <f t="shared" si="23"/>
        <v>10174.25</v>
      </c>
      <c r="T41">
        <f t="shared" si="24"/>
        <v>0</v>
      </c>
      <c r="U41">
        <f t="shared" si="25"/>
        <v>16.169868000000001</v>
      </c>
      <c r="V41">
        <f t="shared" si="26"/>
        <v>0</v>
      </c>
      <c r="W41">
        <f t="shared" si="27"/>
        <v>0</v>
      </c>
      <c r="X41">
        <f t="shared" si="28"/>
        <v>9726.4599999999991</v>
      </c>
      <c r="Y41">
        <f t="shared" si="29"/>
        <v>4971.3</v>
      </c>
      <c r="AA41">
        <v>59213213</v>
      </c>
      <c r="AB41">
        <f t="shared" si="30"/>
        <v>44.061</v>
      </c>
      <c r="AC41">
        <f>ROUND(((ES41*1)),6)</f>
        <v>35.58</v>
      </c>
      <c r="AD41">
        <f>ROUND(((((ET41*1.1))-((EU41*1.1)))+AE41),6)</f>
        <v>1.9359999999999999</v>
      </c>
      <c r="AE41">
        <f>ROUND(((EU41*1.1)),6)</f>
        <v>0.40699999999999997</v>
      </c>
      <c r="AF41">
        <f>ROUND(((EV41*1.1)),6)</f>
        <v>6.5449999999999999</v>
      </c>
      <c r="AG41">
        <f t="shared" si="31"/>
        <v>0</v>
      </c>
      <c r="AH41">
        <f>((EW41*1.1))</f>
        <v>0.57200000000000006</v>
      </c>
      <c r="AI41">
        <f>((EX41*1.1))</f>
        <v>0</v>
      </c>
      <c r="AJ41">
        <f t="shared" si="32"/>
        <v>0</v>
      </c>
      <c r="AK41">
        <v>43.29</v>
      </c>
      <c r="AL41">
        <v>35.58</v>
      </c>
      <c r="AM41">
        <v>1.76</v>
      </c>
      <c r="AN41">
        <v>0.37</v>
      </c>
      <c r="AO41">
        <v>5.95</v>
      </c>
      <c r="AP41">
        <v>0</v>
      </c>
      <c r="AQ41">
        <v>0.52</v>
      </c>
      <c r="AR41">
        <v>0</v>
      </c>
      <c r="AS41">
        <v>0</v>
      </c>
      <c r="AT41">
        <v>90</v>
      </c>
      <c r="AU41">
        <v>46</v>
      </c>
      <c r="AV41">
        <v>1.0469999999999999</v>
      </c>
      <c r="AW41">
        <v>1</v>
      </c>
      <c r="AZ41">
        <v>1</v>
      </c>
      <c r="BA41">
        <v>54.99</v>
      </c>
      <c r="BB41">
        <v>20.59</v>
      </c>
      <c r="BC41">
        <v>10.76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57</v>
      </c>
      <c r="BM41">
        <v>72</v>
      </c>
      <c r="BN41">
        <v>58808062</v>
      </c>
      <c r="BO41" t="s">
        <v>55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90</v>
      </c>
      <c r="CA41">
        <v>46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492</v>
      </c>
      <c r="CO41">
        <v>0</v>
      </c>
      <c r="CP41">
        <f t="shared" si="33"/>
        <v>21637.84</v>
      </c>
      <c r="CQ41">
        <f>ROUND((ROUND((AC41*AW41*1),2)*BC41),2)</f>
        <v>382.84</v>
      </c>
      <c r="CR41">
        <f>(ROUND((ROUND((((ET41*1.1))*AV41*1),2)*BB41),2)+ROUND((ROUND(((AE41-((EU41*1.1)))*AV41*1),2)*BS41),2))</f>
        <v>41.8</v>
      </c>
      <c r="CS41">
        <f t="shared" si="34"/>
        <v>23.65</v>
      </c>
      <c r="CT41">
        <f t="shared" si="35"/>
        <v>376.68</v>
      </c>
      <c r="CU41">
        <f t="shared" si="36"/>
        <v>0</v>
      </c>
      <c r="CV41">
        <f t="shared" si="37"/>
        <v>0.59888399999999997</v>
      </c>
      <c r="CW41">
        <f t="shared" si="38"/>
        <v>0</v>
      </c>
      <c r="CX41">
        <f t="shared" si="39"/>
        <v>0</v>
      </c>
      <c r="CY41">
        <f t="shared" si="40"/>
        <v>9726.4620000000014</v>
      </c>
      <c r="CZ41">
        <f t="shared" si="41"/>
        <v>4971.3028000000004</v>
      </c>
      <c r="DB41">
        <v>8</v>
      </c>
      <c r="DC41" t="s">
        <v>3</v>
      </c>
      <c r="DD41" t="s">
        <v>25</v>
      </c>
      <c r="DE41" t="s">
        <v>26</v>
      </c>
      <c r="DF41" t="s">
        <v>26</v>
      </c>
      <c r="DG41" t="s">
        <v>26</v>
      </c>
      <c r="DH41" t="s">
        <v>3</v>
      </c>
      <c r="DI41" t="s">
        <v>26</v>
      </c>
      <c r="DJ41" t="s">
        <v>26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43</v>
      </c>
      <c r="DW41" t="s">
        <v>43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58808182</v>
      </c>
      <c r="EF41">
        <v>40</v>
      </c>
      <c r="EG41" t="s">
        <v>27</v>
      </c>
      <c r="EH41">
        <v>0</v>
      </c>
      <c r="EI41" t="s">
        <v>3</v>
      </c>
      <c r="EJ41">
        <v>2</v>
      </c>
      <c r="EK41">
        <v>72</v>
      </c>
      <c r="EL41" t="s">
        <v>58</v>
      </c>
      <c r="EM41" t="s">
        <v>59</v>
      </c>
      <c r="EO41" t="s">
        <v>30</v>
      </c>
      <c r="EQ41">
        <v>0</v>
      </c>
      <c r="ER41">
        <v>43.29</v>
      </c>
      <c r="ES41">
        <v>35.58</v>
      </c>
      <c r="ET41">
        <v>1.76</v>
      </c>
      <c r="EU41">
        <v>0.37</v>
      </c>
      <c r="EV41">
        <v>5.95</v>
      </c>
      <c r="EW41">
        <v>0.52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90</v>
      </c>
      <c r="FY41">
        <v>46</v>
      </c>
      <c r="GA41" t="s">
        <v>3</v>
      </c>
      <c r="GD41">
        <v>1</v>
      </c>
      <c r="GF41">
        <v>-1951604615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42"/>
        <v>0</v>
      </c>
      <c r="GM41">
        <f t="shared" si="43"/>
        <v>36335.599999999999</v>
      </c>
      <c r="GN41">
        <f t="shared" si="44"/>
        <v>0</v>
      </c>
      <c r="GO41">
        <f t="shared" si="45"/>
        <v>36335.599999999999</v>
      </c>
      <c r="GP41">
        <f t="shared" si="46"/>
        <v>0</v>
      </c>
      <c r="GR41">
        <v>0</v>
      </c>
      <c r="GS41">
        <v>3</v>
      </c>
      <c r="GT41">
        <v>0</v>
      </c>
      <c r="GU41" t="s">
        <v>3</v>
      </c>
      <c r="GV41">
        <f t="shared" si="47"/>
        <v>0</v>
      </c>
      <c r="GW41">
        <v>1</v>
      </c>
      <c r="GX41">
        <f t="shared" si="48"/>
        <v>0</v>
      </c>
      <c r="HA41">
        <v>0</v>
      </c>
      <c r="HB41">
        <v>0</v>
      </c>
      <c r="HC41">
        <f t="shared" si="49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60</v>
      </c>
      <c r="F42" s="2" t="s">
        <v>61</v>
      </c>
      <c r="G42" s="2" t="s">
        <v>62</v>
      </c>
      <c r="H42" s="2" t="s">
        <v>34</v>
      </c>
      <c r="I42" s="2">
        <f>ROUND(ROUND(27,4),9)</f>
        <v>27</v>
      </c>
      <c r="J42" s="2">
        <v>0</v>
      </c>
      <c r="K42" s="2">
        <f>ROUND(ROUND(27,4),9)</f>
        <v>27</v>
      </c>
      <c r="L42" s="2"/>
      <c r="M42" s="2"/>
      <c r="N42" s="2"/>
      <c r="O42" s="2">
        <f t="shared" si="21"/>
        <v>43427.88</v>
      </c>
      <c r="P42" s="2">
        <f>ROUND((ROUND((AC42*I42),2)*BC42),2)</f>
        <v>43427.88</v>
      </c>
      <c r="Q42" s="2">
        <f>(ROUND((ROUND(((ET42)*AV42*I42),2)*BB42),2)+ROUND((ROUND(((AE42-(EU42))*AV42*I42),2)*BS42),2))</f>
        <v>0</v>
      </c>
      <c r="R42" s="2">
        <f t="shared" si="22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28"/>
        <v>0</v>
      </c>
      <c r="Y42" s="2">
        <f t="shared" si="29"/>
        <v>0</v>
      </c>
      <c r="Z42" s="2"/>
      <c r="AA42" s="2">
        <v>59213216</v>
      </c>
      <c r="AB42" s="2">
        <f t="shared" si="30"/>
        <v>1608.44</v>
      </c>
      <c r="AC42" s="2">
        <f>ROUND((ES42),6)</f>
        <v>1608.44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31"/>
        <v>0</v>
      </c>
      <c r="AH42" s="2">
        <f>(EW42)</f>
        <v>0</v>
      </c>
      <c r="AI42" s="2">
        <f>(EX42)</f>
        <v>0</v>
      </c>
      <c r="AJ42" s="2">
        <f t="shared" si="32"/>
        <v>0</v>
      </c>
      <c r="AK42" s="2">
        <v>1608.4399999999998</v>
      </c>
      <c r="AL42" s="2">
        <v>1608.4399999999998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3"/>
        <v>43427.88</v>
      </c>
      <c r="CQ42" s="2">
        <f>ROUND((ROUND((AC42*1),2)*BC42),2)</f>
        <v>1608.44</v>
      </c>
      <c r="CR42" s="2">
        <f>(ROUND((ROUND(((ET42)*AV42*1),2)*BB42),2)+ROUND((ROUND(((AE42-(EU42))*AV42*1),2)*BS42),2))</f>
        <v>0</v>
      </c>
      <c r="CS42" s="2">
        <f t="shared" si="34"/>
        <v>0</v>
      </c>
      <c r="CT42" s="2">
        <f t="shared" si="35"/>
        <v>0</v>
      </c>
      <c r="CU42" s="2">
        <f t="shared" si="36"/>
        <v>0</v>
      </c>
      <c r="CV42" s="2">
        <f t="shared" si="37"/>
        <v>0</v>
      </c>
      <c r="CW42" s="2">
        <f t="shared" si="38"/>
        <v>0</v>
      </c>
      <c r="CX42" s="2">
        <f t="shared" si="39"/>
        <v>0</v>
      </c>
      <c r="CY42" s="2">
        <f t="shared" si="40"/>
        <v>0</v>
      </c>
      <c r="CZ42" s="2">
        <f t="shared" si="41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34</v>
      </c>
      <c r="DW42" s="2" t="s">
        <v>34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58808284</v>
      </c>
      <c r="EF42" s="2">
        <v>130</v>
      </c>
      <c r="EG42" s="2" t="s">
        <v>35</v>
      </c>
      <c r="EH42" s="2">
        <v>0</v>
      </c>
      <c r="EI42" s="2" t="s">
        <v>3</v>
      </c>
      <c r="EJ42" s="2">
        <v>3</v>
      </c>
      <c r="EK42" s="2">
        <v>746</v>
      </c>
      <c r="EL42" s="2" t="s">
        <v>36</v>
      </c>
      <c r="EM42" s="2" t="s">
        <v>37</v>
      </c>
      <c r="EN42" s="2"/>
      <c r="EO42" s="2" t="s">
        <v>3</v>
      </c>
      <c r="EP42" s="2"/>
      <c r="EQ42" s="2">
        <v>0</v>
      </c>
      <c r="ER42" s="2">
        <v>0</v>
      </c>
      <c r="ES42" s="2">
        <v>1608.4399999999998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43427.88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63</v>
      </c>
      <c r="GB42" s="2"/>
      <c r="GC42" s="2"/>
      <c r="GD42" s="2">
        <v>1</v>
      </c>
      <c r="GE42" s="2"/>
      <c r="GF42" s="2">
        <v>17706835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42"/>
        <v>0</v>
      </c>
      <c r="GM42" s="2">
        <f t="shared" si="43"/>
        <v>43427.88</v>
      </c>
      <c r="GN42" s="2">
        <f t="shared" si="44"/>
        <v>0</v>
      </c>
      <c r="GO42" s="2">
        <f t="shared" si="45"/>
        <v>0</v>
      </c>
      <c r="GP42" s="2">
        <f t="shared" si="46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7"/>
        <v>0</v>
      </c>
      <c r="GW42" s="2">
        <v>1</v>
      </c>
      <c r="GX42" s="2">
        <f t="shared" si="48"/>
        <v>0</v>
      </c>
      <c r="GY42" s="2"/>
      <c r="GZ42" s="2"/>
      <c r="HA42" s="2">
        <v>0</v>
      </c>
      <c r="HB42" s="2">
        <v>0</v>
      </c>
      <c r="HC42" s="2">
        <f t="shared" si="49"/>
        <v>0</v>
      </c>
      <c r="HD42" s="2"/>
      <c r="HE42" s="2" t="s">
        <v>39</v>
      </c>
      <c r="HF42" s="2" t="s">
        <v>40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60</v>
      </c>
      <c r="F43" t="s">
        <v>61</v>
      </c>
      <c r="G43" t="s">
        <v>62</v>
      </c>
      <c r="H43" t="s">
        <v>34</v>
      </c>
      <c r="I43">
        <f>ROUND(ROUND(27,4),9)</f>
        <v>27</v>
      </c>
      <c r="J43">
        <v>0</v>
      </c>
      <c r="K43">
        <f>ROUND(ROUND(27,4),9)</f>
        <v>27</v>
      </c>
      <c r="O43">
        <f t="shared" si="21"/>
        <v>332657.56</v>
      </c>
      <c r="P43">
        <f>ROUND((ROUND((AC43*I43),2)*BC43),2)</f>
        <v>332657.56</v>
      </c>
      <c r="Q43">
        <f>(ROUND((ROUND(((ET43)*AV43*I43),2)*BB43),2)+ROUND((ROUND(((AE43-(EU43))*AV43*I43),2)*BS43),2))</f>
        <v>0</v>
      </c>
      <c r="R43">
        <f t="shared" si="22"/>
        <v>0</v>
      </c>
      <c r="S43">
        <f t="shared" si="23"/>
        <v>0</v>
      </c>
      <c r="T43">
        <f t="shared" si="24"/>
        <v>0</v>
      </c>
      <c r="U43">
        <f t="shared" si="25"/>
        <v>0</v>
      </c>
      <c r="V43">
        <f t="shared" si="26"/>
        <v>0</v>
      </c>
      <c r="W43">
        <f t="shared" si="27"/>
        <v>0</v>
      </c>
      <c r="X43">
        <f t="shared" si="28"/>
        <v>0</v>
      </c>
      <c r="Y43">
        <f t="shared" si="29"/>
        <v>0</v>
      </c>
      <c r="AA43">
        <v>59213213</v>
      </c>
      <c r="AB43">
        <f t="shared" si="30"/>
        <v>1608.44</v>
      </c>
      <c r="AC43">
        <f>ROUND((ES43),6)</f>
        <v>1608.44</v>
      </c>
      <c r="AD43">
        <f>ROUND((((ET43)-(EU43))+AE43),6)</f>
        <v>0</v>
      </c>
      <c r="AE43">
        <f>ROUND((EU43),6)</f>
        <v>0</v>
      </c>
      <c r="AF43">
        <f>ROUND((EV43),6)</f>
        <v>0</v>
      </c>
      <c r="AG43">
        <f t="shared" si="31"/>
        <v>0</v>
      </c>
      <c r="AH43">
        <f>(EW43)</f>
        <v>0</v>
      </c>
      <c r="AI43">
        <f>(EX43)</f>
        <v>0</v>
      </c>
      <c r="AJ43">
        <f t="shared" si="32"/>
        <v>0</v>
      </c>
      <c r="AK43">
        <v>1608.4399999999998</v>
      </c>
      <c r="AL43">
        <v>1608.4399999999998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3"/>
        <v>332657.56</v>
      </c>
      <c r="CQ43">
        <f>ROUND((ROUND((AC43*1),2)*BC43),2)</f>
        <v>12320.65</v>
      </c>
      <c r="CR43">
        <f>(ROUND((ROUND(((ET43)*AV43*1),2)*BB43),2)+ROUND((ROUND(((AE43-(EU43))*AV43*1),2)*BS43),2))</f>
        <v>0</v>
      </c>
      <c r="CS43">
        <f t="shared" si="34"/>
        <v>0</v>
      </c>
      <c r="CT43">
        <f t="shared" si="35"/>
        <v>0</v>
      </c>
      <c r="CU43">
        <f t="shared" si="36"/>
        <v>0</v>
      </c>
      <c r="CV43">
        <f t="shared" si="37"/>
        <v>0</v>
      </c>
      <c r="CW43">
        <f t="shared" si="38"/>
        <v>0</v>
      </c>
      <c r="CX43">
        <f t="shared" si="39"/>
        <v>0</v>
      </c>
      <c r="CY43">
        <f t="shared" si="40"/>
        <v>0</v>
      </c>
      <c r="CZ43">
        <f t="shared" si="41"/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34</v>
      </c>
      <c r="DW43" t="s">
        <v>34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58808284</v>
      </c>
      <c r="EF43">
        <v>130</v>
      </c>
      <c r="EG43" t="s">
        <v>35</v>
      </c>
      <c r="EH43">
        <v>0</v>
      </c>
      <c r="EI43" t="s">
        <v>3</v>
      </c>
      <c r="EJ43">
        <v>3</v>
      </c>
      <c r="EK43">
        <v>746</v>
      </c>
      <c r="EL43" t="s">
        <v>36</v>
      </c>
      <c r="EM43" t="s">
        <v>37</v>
      </c>
      <c r="EO43" t="s">
        <v>3</v>
      </c>
      <c r="EQ43">
        <v>0</v>
      </c>
      <c r="ER43">
        <v>1608.4399999999998</v>
      </c>
      <c r="ES43">
        <v>1608.4399999999998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5</v>
      </c>
      <c r="FC43">
        <v>1</v>
      </c>
      <c r="FD43">
        <v>18</v>
      </c>
      <c r="FF43">
        <v>14184</v>
      </c>
      <c r="FQ43">
        <v>0</v>
      </c>
      <c r="FR43">
        <f>P43</f>
        <v>332657.56</v>
      </c>
      <c r="FS43">
        <v>0</v>
      </c>
      <c r="FX43">
        <v>0</v>
      </c>
      <c r="FY43">
        <v>0</v>
      </c>
      <c r="GA43" t="s">
        <v>63</v>
      </c>
      <c r="GD43">
        <v>1</v>
      </c>
      <c r="GF43">
        <v>17706835</v>
      </c>
      <c r="GG43">
        <v>2</v>
      </c>
      <c r="GH43">
        <v>3</v>
      </c>
      <c r="GI43">
        <v>5</v>
      </c>
      <c r="GJ43">
        <v>0</v>
      </c>
      <c r="GK43">
        <v>0</v>
      </c>
      <c r="GL43">
        <f t="shared" si="42"/>
        <v>0</v>
      </c>
      <c r="GM43">
        <f t="shared" si="43"/>
        <v>332657.56</v>
      </c>
      <c r="GN43">
        <f t="shared" si="44"/>
        <v>0</v>
      </c>
      <c r="GO43">
        <f t="shared" si="45"/>
        <v>0</v>
      </c>
      <c r="GP43">
        <f t="shared" si="46"/>
        <v>0</v>
      </c>
      <c r="GR43">
        <v>2</v>
      </c>
      <c r="GS43">
        <v>1</v>
      </c>
      <c r="GT43">
        <v>0</v>
      </c>
      <c r="GU43" t="s">
        <v>3</v>
      </c>
      <c r="GV43">
        <f t="shared" si="47"/>
        <v>0</v>
      </c>
      <c r="GW43">
        <v>1</v>
      </c>
      <c r="GX43">
        <f t="shared" si="48"/>
        <v>0</v>
      </c>
      <c r="HA43">
        <v>0</v>
      </c>
      <c r="HB43">
        <v>0</v>
      </c>
      <c r="HC43">
        <f t="shared" si="49"/>
        <v>0</v>
      </c>
      <c r="HE43" t="s">
        <v>39</v>
      </c>
      <c r="HF43" t="s">
        <v>40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ROW(SmtRes!A45)</f>
        <v>45</v>
      </c>
      <c r="D44" s="2">
        <f>ROW(EtalonRes!A49)</f>
        <v>49</v>
      </c>
      <c r="E44" s="2" t="s">
        <v>64</v>
      </c>
      <c r="F44" s="2" t="s">
        <v>65</v>
      </c>
      <c r="G44" s="2" t="s">
        <v>66</v>
      </c>
      <c r="H44" s="2" t="s">
        <v>43</v>
      </c>
      <c r="I44" s="2">
        <f>ROUND(ROUND(38+4,4),9)</f>
        <v>42</v>
      </c>
      <c r="J44" s="2">
        <v>0</v>
      </c>
      <c r="K44" s="2">
        <f>ROUND(ROUND(38+4,4),9)</f>
        <v>42</v>
      </c>
      <c r="L44" s="2"/>
      <c r="M44" s="2"/>
      <c r="N44" s="2"/>
      <c r="O44" s="2">
        <f t="shared" si="21"/>
        <v>556.84</v>
      </c>
      <c r="P44" s="2">
        <f>ROUND((ROUND((AC44*AW44*I44),2)*BC44),2)</f>
        <v>44.1</v>
      </c>
      <c r="Q44" s="2">
        <f>(ROUND((ROUND((((ET44*1.1))*AV44*I44),2)*BB44),2)+ROUND((ROUND(((AE44-((EU44*1.1)))*AV44*I44),2)*BS44),2))</f>
        <v>0</v>
      </c>
      <c r="R44" s="2">
        <f t="shared" si="22"/>
        <v>0</v>
      </c>
      <c r="S44" s="2">
        <f t="shared" si="23"/>
        <v>512.74</v>
      </c>
      <c r="T44" s="2">
        <f t="shared" si="24"/>
        <v>0</v>
      </c>
      <c r="U44" s="2">
        <f t="shared" si="25"/>
        <v>40.631975999999995</v>
      </c>
      <c r="V44" s="2">
        <f t="shared" si="26"/>
        <v>0</v>
      </c>
      <c r="W44" s="2">
        <f t="shared" si="27"/>
        <v>0</v>
      </c>
      <c r="X44" s="2">
        <f t="shared" si="28"/>
        <v>461.47</v>
      </c>
      <c r="Y44" s="2">
        <f t="shared" si="29"/>
        <v>235.86</v>
      </c>
      <c r="Z44" s="2"/>
      <c r="AA44" s="2">
        <v>59213216</v>
      </c>
      <c r="AB44" s="2">
        <f t="shared" si="30"/>
        <v>12.71</v>
      </c>
      <c r="AC44" s="2">
        <f>ROUND(((ES44*1)),6)</f>
        <v>1.05</v>
      </c>
      <c r="AD44" s="2">
        <f>ROUND(((((ET44*1.1))-((EU44*1.1)))+AE44),6)</f>
        <v>0</v>
      </c>
      <c r="AE44" s="2">
        <f>ROUND(((EU44*1.1)),6)</f>
        <v>0</v>
      </c>
      <c r="AF44" s="2">
        <f>ROUND(((EV44*1.1)),6)</f>
        <v>11.66</v>
      </c>
      <c r="AG44" s="2">
        <f t="shared" si="31"/>
        <v>0</v>
      </c>
      <c r="AH44" s="2">
        <f>((EW44*1.1))</f>
        <v>0.92400000000000004</v>
      </c>
      <c r="AI44" s="2">
        <f>((EX44*1.1))</f>
        <v>0</v>
      </c>
      <c r="AJ44" s="2">
        <f t="shared" si="32"/>
        <v>0</v>
      </c>
      <c r="AK44" s="2">
        <v>11.65</v>
      </c>
      <c r="AL44" s="2">
        <v>1.05</v>
      </c>
      <c r="AM44" s="2">
        <v>0</v>
      </c>
      <c r="AN44" s="2">
        <v>0</v>
      </c>
      <c r="AO44" s="2">
        <v>10.6</v>
      </c>
      <c r="AP44" s="2">
        <v>0</v>
      </c>
      <c r="AQ44" s="2">
        <v>0.84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67</v>
      </c>
      <c r="BK44" s="2"/>
      <c r="BL44" s="2"/>
      <c r="BM44" s="2">
        <v>68</v>
      </c>
      <c r="BN44" s="2">
        <v>58808062</v>
      </c>
      <c r="BO44" s="2" t="s">
        <v>65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492</v>
      </c>
      <c r="CO44" s="2">
        <v>0</v>
      </c>
      <c r="CP44" s="2">
        <f t="shared" si="33"/>
        <v>556.84</v>
      </c>
      <c r="CQ44" s="2">
        <f>ROUND((ROUND((AC44*AW44*1),2)*BC44),2)</f>
        <v>1.05</v>
      </c>
      <c r="CR44" s="2">
        <f>(ROUND((ROUND((((ET44*1.1))*AV44*1),2)*BB44),2)+ROUND((ROUND(((AE44-((EU44*1.1)))*AV44*1),2)*BS44),2))</f>
        <v>0</v>
      </c>
      <c r="CS44" s="2">
        <f t="shared" si="34"/>
        <v>0</v>
      </c>
      <c r="CT44" s="2">
        <f t="shared" si="35"/>
        <v>12.21</v>
      </c>
      <c r="CU44" s="2">
        <f t="shared" si="36"/>
        <v>0</v>
      </c>
      <c r="CV44" s="2">
        <f t="shared" si="37"/>
        <v>0.96742799999999995</v>
      </c>
      <c r="CW44" s="2">
        <f t="shared" si="38"/>
        <v>0</v>
      </c>
      <c r="CX44" s="2">
        <f t="shared" si="39"/>
        <v>0</v>
      </c>
      <c r="CY44" s="2">
        <f t="shared" si="40"/>
        <v>461.46600000000001</v>
      </c>
      <c r="CZ44" s="2">
        <f t="shared" si="41"/>
        <v>235.8604</v>
      </c>
      <c r="DA44" s="2"/>
      <c r="DB44" s="2">
        <v>9</v>
      </c>
      <c r="DC44" s="2" t="s">
        <v>3</v>
      </c>
      <c r="DD44" s="2" t="s">
        <v>25</v>
      </c>
      <c r="DE44" s="2" t="s">
        <v>26</v>
      </c>
      <c r="DF44" s="2" t="s">
        <v>26</v>
      </c>
      <c r="DG44" s="2" t="s">
        <v>26</v>
      </c>
      <c r="DH44" s="2" t="s">
        <v>3</v>
      </c>
      <c r="DI44" s="2" t="s">
        <v>26</v>
      </c>
      <c r="DJ44" s="2" t="s">
        <v>26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43</v>
      </c>
      <c r="DW44" s="2" t="s">
        <v>43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58808178</v>
      </c>
      <c r="EF44" s="2">
        <v>40</v>
      </c>
      <c r="EG44" s="2" t="s">
        <v>27</v>
      </c>
      <c r="EH44" s="2">
        <v>0</v>
      </c>
      <c r="EI44" s="2" t="s">
        <v>3</v>
      </c>
      <c r="EJ44" s="2">
        <v>2</v>
      </c>
      <c r="EK44" s="2">
        <v>68</v>
      </c>
      <c r="EL44" s="2" t="s">
        <v>28</v>
      </c>
      <c r="EM44" s="2" t="s">
        <v>29</v>
      </c>
      <c r="EN44" s="2"/>
      <c r="EO44" s="2" t="s">
        <v>30</v>
      </c>
      <c r="EP44" s="2"/>
      <c r="EQ44" s="2">
        <v>0</v>
      </c>
      <c r="ER44" s="2">
        <v>11.65</v>
      </c>
      <c r="ES44" s="2">
        <v>1.05</v>
      </c>
      <c r="ET44" s="2">
        <v>0</v>
      </c>
      <c r="EU44" s="2">
        <v>0</v>
      </c>
      <c r="EV44" s="2">
        <v>10.6</v>
      </c>
      <c r="EW44" s="2">
        <v>0.84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1491178318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42"/>
        <v>0</v>
      </c>
      <c r="GM44" s="2">
        <f t="shared" si="43"/>
        <v>1254.17</v>
      </c>
      <c r="GN44" s="2">
        <f t="shared" si="44"/>
        <v>0</v>
      </c>
      <c r="GO44" s="2">
        <f t="shared" si="45"/>
        <v>1254.17</v>
      </c>
      <c r="GP44" s="2">
        <f t="shared" si="4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7"/>
        <v>0</v>
      </c>
      <c r="GW44" s="2">
        <v>1</v>
      </c>
      <c r="GX44" s="2">
        <f t="shared" si="48"/>
        <v>0</v>
      </c>
      <c r="GY44" s="2"/>
      <c r="GZ44" s="2"/>
      <c r="HA44" s="2">
        <v>0</v>
      </c>
      <c r="HB44" s="2">
        <v>0</v>
      </c>
      <c r="HC44" s="2">
        <f t="shared" si="4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ROW(SmtRes!A46)</f>
        <v>46</v>
      </c>
      <c r="D45">
        <f>ROW(EtalonRes!A50)</f>
        <v>50</v>
      </c>
      <c r="E45" t="s">
        <v>64</v>
      </c>
      <c r="F45" t="s">
        <v>65</v>
      </c>
      <c r="G45" t="s">
        <v>66</v>
      </c>
      <c r="H45" t="s">
        <v>43</v>
      </c>
      <c r="I45">
        <f>ROUND(ROUND(38+4,4),9)</f>
        <v>42</v>
      </c>
      <c r="J45">
        <v>0</v>
      </c>
      <c r="K45">
        <f>ROUND(ROUND(38+4,4),9)</f>
        <v>42</v>
      </c>
      <c r="O45">
        <f t="shared" si="21"/>
        <v>28631.72</v>
      </c>
      <c r="P45">
        <f>ROUND((ROUND((AC45*AW45*I45),2)*BC45),2)</f>
        <v>436.15</v>
      </c>
      <c r="Q45">
        <f>(ROUND((ROUND((((ET45*1.1))*AV45*I45),2)*BB45),2)+ROUND((ROUND(((AE45-((EU45*1.1)))*AV45*I45),2)*BS45),2))</f>
        <v>0</v>
      </c>
      <c r="R45">
        <f t="shared" si="22"/>
        <v>0</v>
      </c>
      <c r="S45">
        <f t="shared" si="23"/>
        <v>28195.57</v>
      </c>
      <c r="T45">
        <f t="shared" si="24"/>
        <v>0</v>
      </c>
      <c r="U45">
        <f t="shared" si="25"/>
        <v>40.631975999999995</v>
      </c>
      <c r="V45">
        <f t="shared" si="26"/>
        <v>0</v>
      </c>
      <c r="W45">
        <f t="shared" si="27"/>
        <v>0</v>
      </c>
      <c r="X45">
        <f t="shared" si="28"/>
        <v>25376.01</v>
      </c>
      <c r="Y45">
        <f t="shared" si="29"/>
        <v>12969.96</v>
      </c>
      <c r="AA45">
        <v>59213213</v>
      </c>
      <c r="AB45">
        <f t="shared" si="30"/>
        <v>12.71</v>
      </c>
      <c r="AC45">
        <f>ROUND(((ES45*1)),6)</f>
        <v>1.05</v>
      </c>
      <c r="AD45">
        <f>ROUND(((((ET45*1.1))-((EU45*1.1)))+AE45),6)</f>
        <v>0</v>
      </c>
      <c r="AE45">
        <f>ROUND(((EU45*1.1)),6)</f>
        <v>0</v>
      </c>
      <c r="AF45">
        <f>ROUND(((EV45*1.1)),6)</f>
        <v>11.66</v>
      </c>
      <c r="AG45">
        <f t="shared" si="31"/>
        <v>0</v>
      </c>
      <c r="AH45">
        <f>((EW45*1.1))</f>
        <v>0.92400000000000004</v>
      </c>
      <c r="AI45">
        <f>((EX45*1.1))</f>
        <v>0</v>
      </c>
      <c r="AJ45">
        <f t="shared" si="32"/>
        <v>0</v>
      </c>
      <c r="AK45">
        <v>11.65</v>
      </c>
      <c r="AL45">
        <v>1.05</v>
      </c>
      <c r="AM45">
        <v>0</v>
      </c>
      <c r="AN45">
        <v>0</v>
      </c>
      <c r="AO45">
        <v>10.6</v>
      </c>
      <c r="AP45">
        <v>0</v>
      </c>
      <c r="AQ45">
        <v>0.84</v>
      </c>
      <c r="AR45">
        <v>0</v>
      </c>
      <c r="AS45">
        <v>0</v>
      </c>
      <c r="AT45">
        <v>90</v>
      </c>
      <c r="AU45">
        <v>46</v>
      </c>
      <c r="AV45">
        <v>1.0469999999999999</v>
      </c>
      <c r="AW45">
        <v>1</v>
      </c>
      <c r="AZ45">
        <v>1</v>
      </c>
      <c r="BA45">
        <v>54.99</v>
      </c>
      <c r="BB45">
        <v>1</v>
      </c>
      <c r="BC45">
        <v>9.89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2</v>
      </c>
      <c r="BJ45" t="s">
        <v>67</v>
      </c>
      <c r="BM45">
        <v>68</v>
      </c>
      <c r="BN45">
        <v>58808062</v>
      </c>
      <c r="BO45" t="s">
        <v>65</v>
      </c>
      <c r="BP45">
        <v>1</v>
      </c>
      <c r="BQ45">
        <v>40</v>
      </c>
      <c r="BR45">
        <v>0</v>
      </c>
      <c r="BS45">
        <v>54.99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90</v>
      </c>
      <c r="CA45">
        <v>46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492</v>
      </c>
      <c r="CO45">
        <v>0</v>
      </c>
      <c r="CP45">
        <f t="shared" si="33"/>
        <v>28631.72</v>
      </c>
      <c r="CQ45">
        <f>ROUND((ROUND((AC45*AW45*1),2)*BC45),2)</f>
        <v>10.38</v>
      </c>
      <c r="CR45">
        <f>(ROUND((ROUND((((ET45*1.1))*AV45*1),2)*BB45),2)+ROUND((ROUND(((AE45-((EU45*1.1)))*AV45*1),2)*BS45),2))</f>
        <v>0</v>
      </c>
      <c r="CS45">
        <f t="shared" si="34"/>
        <v>0</v>
      </c>
      <c r="CT45">
        <f t="shared" si="35"/>
        <v>671.43</v>
      </c>
      <c r="CU45">
        <f t="shared" si="36"/>
        <v>0</v>
      </c>
      <c r="CV45">
        <f t="shared" si="37"/>
        <v>0.96742799999999995</v>
      </c>
      <c r="CW45">
        <f t="shared" si="38"/>
        <v>0</v>
      </c>
      <c r="CX45">
        <f t="shared" si="39"/>
        <v>0</v>
      </c>
      <c r="CY45">
        <f t="shared" si="40"/>
        <v>25376.012999999999</v>
      </c>
      <c r="CZ45">
        <f t="shared" si="41"/>
        <v>12969.9622</v>
      </c>
      <c r="DB45">
        <v>10</v>
      </c>
      <c r="DC45" t="s">
        <v>3</v>
      </c>
      <c r="DD45" t="s">
        <v>25</v>
      </c>
      <c r="DE45" t="s">
        <v>26</v>
      </c>
      <c r="DF45" t="s">
        <v>26</v>
      </c>
      <c r="DG45" t="s">
        <v>26</v>
      </c>
      <c r="DH45" t="s">
        <v>3</v>
      </c>
      <c r="DI45" t="s">
        <v>26</v>
      </c>
      <c r="DJ45" t="s">
        <v>26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43</v>
      </c>
      <c r="DW45" t="s">
        <v>43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58808178</v>
      </c>
      <c r="EF45">
        <v>40</v>
      </c>
      <c r="EG45" t="s">
        <v>27</v>
      </c>
      <c r="EH45">
        <v>0</v>
      </c>
      <c r="EI45" t="s">
        <v>3</v>
      </c>
      <c r="EJ45">
        <v>2</v>
      </c>
      <c r="EK45">
        <v>68</v>
      </c>
      <c r="EL45" t="s">
        <v>28</v>
      </c>
      <c r="EM45" t="s">
        <v>29</v>
      </c>
      <c r="EO45" t="s">
        <v>30</v>
      </c>
      <c r="EQ45">
        <v>0</v>
      </c>
      <c r="ER45">
        <v>11.65</v>
      </c>
      <c r="ES45">
        <v>1.05</v>
      </c>
      <c r="ET45">
        <v>0</v>
      </c>
      <c r="EU45">
        <v>0</v>
      </c>
      <c r="EV45">
        <v>10.6</v>
      </c>
      <c r="EW45">
        <v>0.84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90</v>
      </c>
      <c r="FY45">
        <v>46</v>
      </c>
      <c r="GA45" t="s">
        <v>3</v>
      </c>
      <c r="GD45">
        <v>1</v>
      </c>
      <c r="GF45">
        <v>1491178318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42"/>
        <v>0</v>
      </c>
      <c r="GM45">
        <f t="shared" si="43"/>
        <v>66977.69</v>
      </c>
      <c r="GN45">
        <f t="shared" si="44"/>
        <v>0</v>
      </c>
      <c r="GO45">
        <f t="shared" si="45"/>
        <v>66977.69</v>
      </c>
      <c r="GP45">
        <f t="shared" si="46"/>
        <v>0</v>
      </c>
      <c r="GR45">
        <v>0</v>
      </c>
      <c r="GS45">
        <v>3</v>
      </c>
      <c r="GT45">
        <v>0</v>
      </c>
      <c r="GU45" t="s">
        <v>3</v>
      </c>
      <c r="GV45">
        <f t="shared" si="47"/>
        <v>0</v>
      </c>
      <c r="GW45">
        <v>1</v>
      </c>
      <c r="GX45">
        <f t="shared" si="48"/>
        <v>0</v>
      </c>
      <c r="HA45">
        <v>0</v>
      </c>
      <c r="HB45">
        <v>0</v>
      </c>
      <c r="HC45">
        <f t="shared" si="49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/>
      <c r="D46" s="2"/>
      <c r="E46" s="2" t="s">
        <v>68</v>
      </c>
      <c r="F46" s="2" t="s">
        <v>69</v>
      </c>
      <c r="G46" s="2" t="s">
        <v>70</v>
      </c>
      <c r="H46" s="2" t="s">
        <v>34</v>
      </c>
      <c r="I46" s="2">
        <f>ROUND(ROUND(38,4),9)</f>
        <v>38</v>
      </c>
      <c r="J46" s="2">
        <v>0</v>
      </c>
      <c r="K46" s="2">
        <f>ROUND(ROUND(38,4),9)</f>
        <v>38</v>
      </c>
      <c r="L46" s="2"/>
      <c r="M46" s="2"/>
      <c r="N46" s="2"/>
      <c r="O46" s="2">
        <f t="shared" si="21"/>
        <v>1792.84</v>
      </c>
      <c r="P46" s="2">
        <f>ROUND((ROUND((AC46*I46),2)*BC46),2)</f>
        <v>1792.84</v>
      </c>
      <c r="Q46" s="2">
        <f>(ROUND((ROUND(((ET46)*AV46*I46),2)*BB46),2)+ROUND((ROUND(((AE46-(EU46))*AV46*I46),2)*BS46),2))</f>
        <v>0</v>
      </c>
      <c r="R46" s="2">
        <f t="shared" si="22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28"/>
        <v>0</v>
      </c>
      <c r="Y46" s="2">
        <f t="shared" si="29"/>
        <v>0</v>
      </c>
      <c r="Z46" s="2"/>
      <c r="AA46" s="2">
        <v>59213216</v>
      </c>
      <c r="AB46" s="2">
        <f t="shared" si="30"/>
        <v>47.18</v>
      </c>
      <c r="AC46" s="2">
        <f>ROUND((ES46),6)</f>
        <v>47.18</v>
      </c>
      <c r="AD46" s="2">
        <f>ROUND((((ET46)-(EU46))+AE46),6)</f>
        <v>0</v>
      </c>
      <c r="AE46" s="2">
        <f t="shared" ref="AE46:AF49" si="50">ROUND((EU46),6)</f>
        <v>0</v>
      </c>
      <c r="AF46" s="2">
        <f t="shared" si="50"/>
        <v>0</v>
      </c>
      <c r="AG46" s="2">
        <f t="shared" si="31"/>
        <v>0</v>
      </c>
      <c r="AH46" s="2">
        <f t="shared" ref="AH46:AI49" si="51">(EW46)</f>
        <v>0</v>
      </c>
      <c r="AI46" s="2">
        <f t="shared" si="51"/>
        <v>0</v>
      </c>
      <c r="AJ46" s="2">
        <f t="shared" si="32"/>
        <v>0</v>
      </c>
      <c r="AK46" s="2">
        <v>47.18</v>
      </c>
      <c r="AL46" s="2">
        <v>47.18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3</v>
      </c>
      <c r="BJ46" s="2" t="s">
        <v>3</v>
      </c>
      <c r="BK46" s="2"/>
      <c r="BL46" s="2"/>
      <c r="BM46" s="2">
        <v>746</v>
      </c>
      <c r="BN46" s="2">
        <v>0</v>
      </c>
      <c r="BO46" s="2" t="s">
        <v>3</v>
      </c>
      <c r="BP46" s="2">
        <v>0</v>
      </c>
      <c r="BQ46" s="2">
        <v>130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0</v>
      </c>
      <c r="CA46" s="2">
        <v>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3"/>
        <v>1792.84</v>
      </c>
      <c r="CQ46" s="2">
        <f>ROUND((ROUND((AC46*1),2)*BC46),2)</f>
        <v>47.18</v>
      </c>
      <c r="CR46" s="2">
        <f>(ROUND((ROUND(((ET46)*AV46*1),2)*BB46),2)+ROUND((ROUND(((AE46-(EU46))*AV46*1),2)*BS46),2))</f>
        <v>0</v>
      </c>
      <c r="CS46" s="2">
        <f t="shared" si="34"/>
        <v>0</v>
      </c>
      <c r="CT46" s="2">
        <f t="shared" si="35"/>
        <v>0</v>
      </c>
      <c r="CU46" s="2">
        <f t="shared" si="36"/>
        <v>0</v>
      </c>
      <c r="CV46" s="2">
        <f t="shared" si="37"/>
        <v>0</v>
      </c>
      <c r="CW46" s="2">
        <f t="shared" si="38"/>
        <v>0</v>
      </c>
      <c r="CX46" s="2">
        <f t="shared" si="39"/>
        <v>0</v>
      </c>
      <c r="CY46" s="2">
        <f t="shared" si="40"/>
        <v>0</v>
      </c>
      <c r="CZ46" s="2">
        <f t="shared" si="41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34</v>
      </c>
      <c r="DW46" s="2" t="s">
        <v>34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58808284</v>
      </c>
      <c r="EF46" s="2">
        <v>130</v>
      </c>
      <c r="EG46" s="2" t="s">
        <v>35</v>
      </c>
      <c r="EH46" s="2">
        <v>0</v>
      </c>
      <c r="EI46" s="2" t="s">
        <v>3</v>
      </c>
      <c r="EJ46" s="2">
        <v>3</v>
      </c>
      <c r="EK46" s="2">
        <v>746</v>
      </c>
      <c r="EL46" s="2" t="s">
        <v>36</v>
      </c>
      <c r="EM46" s="2" t="s">
        <v>37</v>
      </c>
      <c r="EN46" s="2"/>
      <c r="EO46" s="2" t="s">
        <v>3</v>
      </c>
      <c r="EP46" s="2"/>
      <c r="EQ46" s="2">
        <v>0</v>
      </c>
      <c r="ER46" s="2">
        <v>0</v>
      </c>
      <c r="ES46" s="2">
        <v>47.18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f>P46</f>
        <v>1792.84</v>
      </c>
      <c r="FS46" s="2">
        <v>0</v>
      </c>
      <c r="FT46" s="2"/>
      <c r="FU46" s="2"/>
      <c r="FV46" s="2"/>
      <c r="FW46" s="2"/>
      <c r="FX46" s="2">
        <v>0</v>
      </c>
      <c r="FY46" s="2">
        <v>0</v>
      </c>
      <c r="FZ46" s="2"/>
      <c r="GA46" s="2" t="s">
        <v>71</v>
      </c>
      <c r="GB46" s="2"/>
      <c r="GC46" s="2"/>
      <c r="GD46" s="2">
        <v>1</v>
      </c>
      <c r="GE46" s="2"/>
      <c r="GF46" s="2">
        <v>890166502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42"/>
        <v>0</v>
      </c>
      <c r="GM46" s="2">
        <f t="shared" si="43"/>
        <v>1792.84</v>
      </c>
      <c r="GN46" s="2">
        <f t="shared" si="44"/>
        <v>0</v>
      </c>
      <c r="GO46" s="2">
        <f t="shared" si="45"/>
        <v>0</v>
      </c>
      <c r="GP46" s="2">
        <f t="shared" si="46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7"/>
        <v>0</v>
      </c>
      <c r="GW46" s="2">
        <v>1</v>
      </c>
      <c r="GX46" s="2">
        <f t="shared" si="48"/>
        <v>0</v>
      </c>
      <c r="GY46" s="2"/>
      <c r="GZ46" s="2"/>
      <c r="HA46" s="2">
        <v>0</v>
      </c>
      <c r="HB46" s="2">
        <v>0</v>
      </c>
      <c r="HC46" s="2">
        <f t="shared" si="49"/>
        <v>0</v>
      </c>
      <c r="HD46" s="2"/>
      <c r="HE46" s="2" t="s">
        <v>39</v>
      </c>
      <c r="HF46" s="2" t="s">
        <v>40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E47" t="s">
        <v>68</v>
      </c>
      <c r="F47" t="s">
        <v>69</v>
      </c>
      <c r="G47" t="s">
        <v>70</v>
      </c>
      <c r="H47" t="s">
        <v>34</v>
      </c>
      <c r="I47">
        <f>ROUND(ROUND(38,4),9)</f>
        <v>38</v>
      </c>
      <c r="J47">
        <v>0</v>
      </c>
      <c r="K47">
        <f>ROUND(ROUND(38,4),9)</f>
        <v>38</v>
      </c>
      <c r="O47">
        <f t="shared" si="21"/>
        <v>13733.15</v>
      </c>
      <c r="P47">
        <f>ROUND((ROUND((AC47*I47),2)*BC47),2)</f>
        <v>13733.15</v>
      </c>
      <c r="Q47">
        <f>(ROUND((ROUND(((ET47)*AV47*I47),2)*BB47),2)+ROUND((ROUND(((AE47-(EU47))*AV47*I47),2)*BS47),2))</f>
        <v>0</v>
      </c>
      <c r="R47">
        <f t="shared" si="22"/>
        <v>0</v>
      </c>
      <c r="S47">
        <f t="shared" si="23"/>
        <v>0</v>
      </c>
      <c r="T47">
        <f t="shared" si="24"/>
        <v>0</v>
      </c>
      <c r="U47">
        <f t="shared" si="25"/>
        <v>0</v>
      </c>
      <c r="V47">
        <f t="shared" si="26"/>
        <v>0</v>
      </c>
      <c r="W47">
        <f t="shared" si="27"/>
        <v>0</v>
      </c>
      <c r="X47">
        <f t="shared" si="28"/>
        <v>0</v>
      </c>
      <c r="Y47">
        <f t="shared" si="29"/>
        <v>0</v>
      </c>
      <c r="AA47">
        <v>59213213</v>
      </c>
      <c r="AB47">
        <f t="shared" si="30"/>
        <v>47.18</v>
      </c>
      <c r="AC47">
        <f>ROUND((ES47),6)</f>
        <v>47.18</v>
      </c>
      <c r="AD47">
        <f>ROUND((((ET47)-(EU47))+AE47),6)</f>
        <v>0</v>
      </c>
      <c r="AE47">
        <f t="shared" si="50"/>
        <v>0</v>
      </c>
      <c r="AF47">
        <f t="shared" si="50"/>
        <v>0</v>
      </c>
      <c r="AG47">
        <f t="shared" si="31"/>
        <v>0</v>
      </c>
      <c r="AH47">
        <f t="shared" si="51"/>
        <v>0</v>
      </c>
      <c r="AI47">
        <f t="shared" si="51"/>
        <v>0</v>
      </c>
      <c r="AJ47">
        <f t="shared" si="32"/>
        <v>0</v>
      </c>
      <c r="AK47">
        <v>47.18</v>
      </c>
      <c r="AL47">
        <v>47.18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7.66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3</v>
      </c>
      <c r="BJ47" t="s">
        <v>3</v>
      </c>
      <c r="BM47">
        <v>746</v>
      </c>
      <c r="BN47">
        <v>0</v>
      </c>
      <c r="BO47" t="s">
        <v>3</v>
      </c>
      <c r="BP47">
        <v>0</v>
      </c>
      <c r="BQ47">
        <v>130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0</v>
      </c>
      <c r="CA47">
        <v>0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3"/>
        <v>13733.15</v>
      </c>
      <c r="CQ47">
        <f>ROUND((ROUND((AC47*1),2)*BC47),2)</f>
        <v>361.4</v>
      </c>
      <c r="CR47">
        <f>(ROUND((ROUND(((ET47)*AV47*1),2)*BB47),2)+ROUND((ROUND(((AE47-(EU47))*AV47*1),2)*BS47),2))</f>
        <v>0</v>
      </c>
      <c r="CS47">
        <f t="shared" si="34"/>
        <v>0</v>
      </c>
      <c r="CT47">
        <f t="shared" si="35"/>
        <v>0</v>
      </c>
      <c r="CU47">
        <f t="shared" si="36"/>
        <v>0</v>
      </c>
      <c r="CV47">
        <f t="shared" si="37"/>
        <v>0</v>
      </c>
      <c r="CW47">
        <f t="shared" si="38"/>
        <v>0</v>
      </c>
      <c r="CX47">
        <f t="shared" si="39"/>
        <v>0</v>
      </c>
      <c r="CY47">
        <f t="shared" si="40"/>
        <v>0</v>
      </c>
      <c r="CZ47">
        <f t="shared" si="41"/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1010</v>
      </c>
      <c r="DV47" t="s">
        <v>34</v>
      </c>
      <c r="DW47" t="s">
        <v>34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58808284</v>
      </c>
      <c r="EF47">
        <v>130</v>
      </c>
      <c r="EG47" t="s">
        <v>35</v>
      </c>
      <c r="EH47">
        <v>0</v>
      </c>
      <c r="EI47" t="s">
        <v>3</v>
      </c>
      <c r="EJ47">
        <v>3</v>
      </c>
      <c r="EK47">
        <v>746</v>
      </c>
      <c r="EL47" t="s">
        <v>36</v>
      </c>
      <c r="EM47" t="s">
        <v>37</v>
      </c>
      <c r="EO47" t="s">
        <v>3</v>
      </c>
      <c r="EQ47">
        <v>0</v>
      </c>
      <c r="ER47">
        <v>47.18</v>
      </c>
      <c r="ES47">
        <v>47.18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5</v>
      </c>
      <c r="FC47">
        <v>1</v>
      </c>
      <c r="FD47">
        <v>18</v>
      </c>
      <c r="FF47">
        <v>416</v>
      </c>
      <c r="FQ47">
        <v>0</v>
      </c>
      <c r="FR47">
        <f>P47</f>
        <v>13733.15</v>
      </c>
      <c r="FS47">
        <v>0</v>
      </c>
      <c r="FX47">
        <v>0</v>
      </c>
      <c r="FY47">
        <v>0</v>
      </c>
      <c r="GA47" t="s">
        <v>71</v>
      </c>
      <c r="GD47">
        <v>1</v>
      </c>
      <c r="GF47">
        <v>890166502</v>
      </c>
      <c r="GG47">
        <v>2</v>
      </c>
      <c r="GH47">
        <v>3</v>
      </c>
      <c r="GI47">
        <v>5</v>
      </c>
      <c r="GJ47">
        <v>0</v>
      </c>
      <c r="GK47">
        <v>0</v>
      </c>
      <c r="GL47">
        <f t="shared" si="42"/>
        <v>0</v>
      </c>
      <c r="GM47">
        <f t="shared" si="43"/>
        <v>13733.15</v>
      </c>
      <c r="GN47">
        <f t="shared" si="44"/>
        <v>0</v>
      </c>
      <c r="GO47">
        <f t="shared" si="45"/>
        <v>0</v>
      </c>
      <c r="GP47">
        <f t="shared" si="46"/>
        <v>0</v>
      </c>
      <c r="GR47">
        <v>2</v>
      </c>
      <c r="GS47">
        <v>1</v>
      </c>
      <c r="GT47">
        <v>0</v>
      </c>
      <c r="GU47" t="s">
        <v>3</v>
      </c>
      <c r="GV47">
        <f t="shared" si="47"/>
        <v>0</v>
      </c>
      <c r="GW47">
        <v>1</v>
      </c>
      <c r="GX47">
        <f t="shared" si="48"/>
        <v>0</v>
      </c>
      <c r="HA47">
        <v>0</v>
      </c>
      <c r="HB47">
        <v>0</v>
      </c>
      <c r="HC47">
        <f t="shared" si="49"/>
        <v>0</v>
      </c>
      <c r="HE47" t="s">
        <v>39</v>
      </c>
      <c r="HF47" t="s">
        <v>40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72</v>
      </c>
      <c r="F48" s="2" t="s">
        <v>73</v>
      </c>
      <c r="G48" s="2" t="s">
        <v>74</v>
      </c>
      <c r="H48" s="2" t="s">
        <v>34</v>
      </c>
      <c r="I48" s="2">
        <f>ROUND(ROUND(4,4),9)</f>
        <v>4</v>
      </c>
      <c r="J48" s="2">
        <v>0</v>
      </c>
      <c r="K48" s="2">
        <f>ROUND(ROUND(4,4),9)</f>
        <v>4</v>
      </c>
      <c r="L48" s="2"/>
      <c r="M48" s="2"/>
      <c r="N48" s="2"/>
      <c r="O48" s="2">
        <f t="shared" si="21"/>
        <v>51.16</v>
      </c>
      <c r="P48" s="2">
        <f>ROUND((ROUND((AC48*I48),2)*BC48),2)</f>
        <v>51.16</v>
      </c>
      <c r="Q48" s="2">
        <f>(ROUND((ROUND(((ET48)*AV48*I48),2)*BB48),2)+ROUND((ROUND(((AE48-(EU48))*AV48*I48),2)*BS48),2))</f>
        <v>0</v>
      </c>
      <c r="R48" s="2">
        <f t="shared" si="22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28"/>
        <v>0</v>
      </c>
      <c r="Y48" s="2">
        <f t="shared" si="29"/>
        <v>0</v>
      </c>
      <c r="Z48" s="2"/>
      <c r="AA48" s="2">
        <v>59213216</v>
      </c>
      <c r="AB48" s="2">
        <f t="shared" si="30"/>
        <v>12.79</v>
      </c>
      <c r="AC48" s="2">
        <f>ROUND((ES48),6)</f>
        <v>12.79</v>
      </c>
      <c r="AD48" s="2">
        <f>ROUND((((ET48)-(EU48))+AE48),6)</f>
        <v>0</v>
      </c>
      <c r="AE48" s="2">
        <f t="shared" si="50"/>
        <v>0</v>
      </c>
      <c r="AF48" s="2">
        <f t="shared" si="50"/>
        <v>0</v>
      </c>
      <c r="AG48" s="2">
        <f t="shared" si="31"/>
        <v>0</v>
      </c>
      <c r="AH48" s="2">
        <f t="shared" si="51"/>
        <v>0</v>
      </c>
      <c r="AI48" s="2">
        <f t="shared" si="51"/>
        <v>0</v>
      </c>
      <c r="AJ48" s="2">
        <f t="shared" si="32"/>
        <v>0</v>
      </c>
      <c r="AK48" s="2">
        <v>12.79</v>
      </c>
      <c r="AL48" s="2">
        <v>12.79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3"/>
        <v>51.16</v>
      </c>
      <c r="CQ48" s="2">
        <f>ROUND((ROUND((AC48*1),2)*BC48),2)</f>
        <v>12.79</v>
      </c>
      <c r="CR48" s="2">
        <f>(ROUND((ROUND(((ET48)*AV48*1),2)*BB48),2)+ROUND((ROUND(((AE48-(EU48))*AV48*1),2)*BS48),2))</f>
        <v>0</v>
      </c>
      <c r="CS48" s="2">
        <f t="shared" si="34"/>
        <v>0</v>
      </c>
      <c r="CT48" s="2">
        <f t="shared" si="35"/>
        <v>0</v>
      </c>
      <c r="CU48" s="2">
        <f t="shared" si="36"/>
        <v>0</v>
      </c>
      <c r="CV48" s="2">
        <f t="shared" si="37"/>
        <v>0</v>
      </c>
      <c r="CW48" s="2">
        <f t="shared" si="38"/>
        <v>0</v>
      </c>
      <c r="CX48" s="2">
        <f t="shared" si="39"/>
        <v>0</v>
      </c>
      <c r="CY48" s="2">
        <f t="shared" si="40"/>
        <v>0</v>
      </c>
      <c r="CZ48" s="2">
        <f t="shared" si="41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34</v>
      </c>
      <c r="DW48" s="2" t="s">
        <v>34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58808284</v>
      </c>
      <c r="EF48" s="2">
        <v>130</v>
      </c>
      <c r="EG48" s="2" t="s">
        <v>35</v>
      </c>
      <c r="EH48" s="2">
        <v>0</v>
      </c>
      <c r="EI48" s="2" t="s">
        <v>3</v>
      </c>
      <c r="EJ48" s="2">
        <v>3</v>
      </c>
      <c r="EK48" s="2">
        <v>746</v>
      </c>
      <c r="EL48" s="2" t="s">
        <v>36</v>
      </c>
      <c r="EM48" s="2" t="s">
        <v>37</v>
      </c>
      <c r="EN48" s="2"/>
      <c r="EO48" s="2" t="s">
        <v>3</v>
      </c>
      <c r="EP48" s="2"/>
      <c r="EQ48" s="2">
        <v>0</v>
      </c>
      <c r="ER48" s="2">
        <v>0</v>
      </c>
      <c r="ES48" s="2">
        <v>12.79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>P48</f>
        <v>51.16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75</v>
      </c>
      <c r="GB48" s="2"/>
      <c r="GC48" s="2"/>
      <c r="GD48" s="2">
        <v>1</v>
      </c>
      <c r="GE48" s="2"/>
      <c r="GF48" s="2">
        <v>1231063478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42"/>
        <v>0</v>
      </c>
      <c r="GM48" s="2">
        <f t="shared" si="43"/>
        <v>51.16</v>
      </c>
      <c r="GN48" s="2">
        <f t="shared" si="44"/>
        <v>0</v>
      </c>
      <c r="GO48" s="2">
        <f t="shared" si="45"/>
        <v>0</v>
      </c>
      <c r="GP48" s="2">
        <f t="shared" si="46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7"/>
        <v>0</v>
      </c>
      <c r="GW48" s="2">
        <v>1</v>
      </c>
      <c r="GX48" s="2">
        <f t="shared" si="48"/>
        <v>0</v>
      </c>
      <c r="GY48" s="2"/>
      <c r="GZ48" s="2"/>
      <c r="HA48" s="2">
        <v>0</v>
      </c>
      <c r="HB48" s="2">
        <v>0</v>
      </c>
      <c r="HC48" s="2">
        <f t="shared" si="49"/>
        <v>0</v>
      </c>
      <c r="HD48" s="2"/>
      <c r="HE48" s="2" t="s">
        <v>39</v>
      </c>
      <c r="HF48" s="2" t="s">
        <v>40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E49" t="s">
        <v>72</v>
      </c>
      <c r="F49" t="s">
        <v>73</v>
      </c>
      <c r="G49" t="s">
        <v>74</v>
      </c>
      <c r="H49" t="s">
        <v>34</v>
      </c>
      <c r="I49">
        <f>ROUND(ROUND(4,4),9)</f>
        <v>4</v>
      </c>
      <c r="J49">
        <v>0</v>
      </c>
      <c r="K49">
        <f>ROUND(ROUND(4,4),9)</f>
        <v>4</v>
      </c>
      <c r="O49">
        <f t="shared" si="21"/>
        <v>391.89</v>
      </c>
      <c r="P49">
        <f>ROUND((ROUND((AC49*I49),2)*BC49),2)</f>
        <v>391.89</v>
      </c>
      <c r="Q49">
        <f>(ROUND((ROUND(((ET49)*AV49*I49),2)*BB49),2)+ROUND((ROUND(((AE49-(EU49))*AV49*I49),2)*BS49),2))</f>
        <v>0</v>
      </c>
      <c r="R49">
        <f t="shared" si="22"/>
        <v>0</v>
      </c>
      <c r="S49">
        <f t="shared" si="23"/>
        <v>0</v>
      </c>
      <c r="T49">
        <f t="shared" si="24"/>
        <v>0</v>
      </c>
      <c r="U49">
        <f t="shared" si="25"/>
        <v>0</v>
      </c>
      <c r="V49">
        <f t="shared" si="26"/>
        <v>0</v>
      </c>
      <c r="W49">
        <f t="shared" si="27"/>
        <v>0</v>
      </c>
      <c r="X49">
        <f t="shared" si="28"/>
        <v>0</v>
      </c>
      <c r="Y49">
        <f t="shared" si="29"/>
        <v>0</v>
      </c>
      <c r="AA49">
        <v>59213213</v>
      </c>
      <c r="AB49">
        <f t="shared" si="30"/>
        <v>12.79</v>
      </c>
      <c r="AC49">
        <f>ROUND((ES49),6)</f>
        <v>12.79</v>
      </c>
      <c r="AD49">
        <f>ROUND((((ET49)-(EU49))+AE49),6)</f>
        <v>0</v>
      </c>
      <c r="AE49">
        <f t="shared" si="50"/>
        <v>0</v>
      </c>
      <c r="AF49">
        <f t="shared" si="50"/>
        <v>0</v>
      </c>
      <c r="AG49">
        <f t="shared" si="31"/>
        <v>0</v>
      </c>
      <c r="AH49">
        <f t="shared" si="51"/>
        <v>0</v>
      </c>
      <c r="AI49">
        <f t="shared" si="51"/>
        <v>0</v>
      </c>
      <c r="AJ49">
        <f t="shared" si="32"/>
        <v>0</v>
      </c>
      <c r="AK49">
        <v>12.79</v>
      </c>
      <c r="AL49">
        <v>12.79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7.66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3</v>
      </c>
      <c r="BJ49" t="s">
        <v>3</v>
      </c>
      <c r="BM49">
        <v>746</v>
      </c>
      <c r="BN49">
        <v>0</v>
      </c>
      <c r="BO49" t="s">
        <v>3</v>
      </c>
      <c r="BP49">
        <v>0</v>
      </c>
      <c r="BQ49">
        <v>130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0</v>
      </c>
      <c r="CA49">
        <v>0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3"/>
        <v>391.89</v>
      </c>
      <c r="CQ49">
        <f>ROUND((ROUND((AC49*1),2)*BC49),2)</f>
        <v>97.97</v>
      </c>
      <c r="CR49">
        <f>(ROUND((ROUND(((ET49)*AV49*1),2)*BB49),2)+ROUND((ROUND(((AE49-(EU49))*AV49*1),2)*BS49),2))</f>
        <v>0</v>
      </c>
      <c r="CS49">
        <f t="shared" si="34"/>
        <v>0</v>
      </c>
      <c r="CT49">
        <f t="shared" si="35"/>
        <v>0</v>
      </c>
      <c r="CU49">
        <f t="shared" si="36"/>
        <v>0</v>
      </c>
      <c r="CV49">
        <f t="shared" si="37"/>
        <v>0</v>
      </c>
      <c r="CW49">
        <f t="shared" si="38"/>
        <v>0</v>
      </c>
      <c r="CX49">
        <f t="shared" si="39"/>
        <v>0</v>
      </c>
      <c r="CY49">
        <f t="shared" si="40"/>
        <v>0</v>
      </c>
      <c r="CZ49">
        <f t="shared" si="41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1010</v>
      </c>
      <c r="DV49" t="s">
        <v>34</v>
      </c>
      <c r="DW49" t="s">
        <v>34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58808284</v>
      </c>
      <c r="EF49">
        <v>130</v>
      </c>
      <c r="EG49" t="s">
        <v>35</v>
      </c>
      <c r="EH49">
        <v>0</v>
      </c>
      <c r="EI49" t="s">
        <v>3</v>
      </c>
      <c r="EJ49">
        <v>3</v>
      </c>
      <c r="EK49">
        <v>746</v>
      </c>
      <c r="EL49" t="s">
        <v>36</v>
      </c>
      <c r="EM49" t="s">
        <v>37</v>
      </c>
      <c r="EO49" t="s">
        <v>3</v>
      </c>
      <c r="EQ49">
        <v>0</v>
      </c>
      <c r="ER49">
        <v>12.79</v>
      </c>
      <c r="ES49">
        <v>12.79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5</v>
      </c>
      <c r="FC49">
        <v>1</v>
      </c>
      <c r="FD49">
        <v>18</v>
      </c>
      <c r="FF49">
        <v>112.8</v>
      </c>
      <c r="FQ49">
        <v>0</v>
      </c>
      <c r="FR49">
        <f>P49</f>
        <v>391.89</v>
      </c>
      <c r="FS49">
        <v>0</v>
      </c>
      <c r="FX49">
        <v>0</v>
      </c>
      <c r="FY49">
        <v>0</v>
      </c>
      <c r="GA49" t="s">
        <v>75</v>
      </c>
      <c r="GD49">
        <v>1</v>
      </c>
      <c r="GF49">
        <v>1231063478</v>
      </c>
      <c r="GG49">
        <v>2</v>
      </c>
      <c r="GH49">
        <v>3</v>
      </c>
      <c r="GI49">
        <v>5</v>
      </c>
      <c r="GJ49">
        <v>0</v>
      </c>
      <c r="GK49">
        <v>0</v>
      </c>
      <c r="GL49">
        <f t="shared" si="42"/>
        <v>0</v>
      </c>
      <c r="GM49">
        <f t="shared" si="43"/>
        <v>391.89</v>
      </c>
      <c r="GN49">
        <f t="shared" si="44"/>
        <v>0</v>
      </c>
      <c r="GO49">
        <f t="shared" si="45"/>
        <v>0</v>
      </c>
      <c r="GP49">
        <f t="shared" si="46"/>
        <v>0</v>
      </c>
      <c r="GR49">
        <v>2</v>
      </c>
      <c r="GS49">
        <v>1</v>
      </c>
      <c r="GT49">
        <v>0</v>
      </c>
      <c r="GU49" t="s">
        <v>3</v>
      </c>
      <c r="GV49">
        <f t="shared" si="47"/>
        <v>0</v>
      </c>
      <c r="GW49">
        <v>1</v>
      </c>
      <c r="GX49">
        <f t="shared" si="48"/>
        <v>0</v>
      </c>
      <c r="HA49">
        <v>0</v>
      </c>
      <c r="HB49">
        <v>0</v>
      </c>
      <c r="HC49">
        <f t="shared" si="49"/>
        <v>0</v>
      </c>
      <c r="HE49" t="s">
        <v>39</v>
      </c>
      <c r="HF49" t="s">
        <v>40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>
        <f>ROW(SmtRes!A51)</f>
        <v>51</v>
      </c>
      <c r="D50" s="2">
        <f>ROW(EtalonRes!A56)</f>
        <v>56</v>
      </c>
      <c r="E50" s="2" t="s">
        <v>76</v>
      </c>
      <c r="F50" s="2" t="s">
        <v>77</v>
      </c>
      <c r="G50" s="2" t="s">
        <v>78</v>
      </c>
      <c r="H50" s="2" t="s">
        <v>23</v>
      </c>
      <c r="I50" s="2">
        <f>ROUND(ROUND(42/10,4),9)</f>
        <v>4.2</v>
      </c>
      <c r="J50" s="2">
        <v>0</v>
      </c>
      <c r="K50" s="2">
        <f>ROUND(ROUND(42/10,4),9)</f>
        <v>4.2</v>
      </c>
      <c r="L50" s="2"/>
      <c r="M50" s="2"/>
      <c r="N50" s="2"/>
      <c r="O50" s="2">
        <f t="shared" si="21"/>
        <v>1139.77</v>
      </c>
      <c r="P50" s="2">
        <f>ROUND((ROUND((AC50*AW50*I50),2)*BC50),2)</f>
        <v>10.25</v>
      </c>
      <c r="Q50" s="2">
        <f>(ROUND((ROUND((((ET50*1.1))*AV50*I50),2)*BB50),2)+ROUND((ROUND(((AE50-((EU50*1.1)))*AV50*I50),2)*BS50),2))</f>
        <v>29.36</v>
      </c>
      <c r="R50" s="2">
        <f t="shared" si="22"/>
        <v>3.68</v>
      </c>
      <c r="S50" s="2">
        <f t="shared" si="23"/>
        <v>1100.1600000000001</v>
      </c>
      <c r="T50" s="2">
        <f t="shared" si="24"/>
        <v>0</v>
      </c>
      <c r="U50" s="2">
        <f t="shared" si="25"/>
        <v>70.815729600000012</v>
      </c>
      <c r="V50" s="2">
        <f t="shared" si="26"/>
        <v>0</v>
      </c>
      <c r="W50" s="2">
        <f t="shared" si="27"/>
        <v>0</v>
      </c>
      <c r="X50" s="2">
        <f t="shared" si="28"/>
        <v>993.46</v>
      </c>
      <c r="Y50" s="2">
        <f t="shared" si="29"/>
        <v>507.77</v>
      </c>
      <c r="Z50" s="2"/>
      <c r="AA50" s="2">
        <v>59213216</v>
      </c>
      <c r="AB50" s="2">
        <f t="shared" si="30"/>
        <v>259.30099999999999</v>
      </c>
      <c r="AC50" s="2">
        <f>ROUND(((ES50*1)),6)</f>
        <v>2.44</v>
      </c>
      <c r="AD50" s="2">
        <f>ROUND(((((ET50*1.1))-((EU50*1.1)))+AE50),6)</f>
        <v>6.6769999999999996</v>
      </c>
      <c r="AE50" s="2">
        <f>ROUND(((EU50*1.1)),6)</f>
        <v>0.83599999999999997</v>
      </c>
      <c r="AF50" s="2">
        <f>ROUND(((EV50*1.1)),6)</f>
        <v>250.184</v>
      </c>
      <c r="AG50" s="2">
        <f t="shared" si="31"/>
        <v>0</v>
      </c>
      <c r="AH50" s="2">
        <f>((EW50*1.1))</f>
        <v>16.104000000000003</v>
      </c>
      <c r="AI50" s="2">
        <f>((EX50*1.1))</f>
        <v>0</v>
      </c>
      <c r="AJ50" s="2">
        <f t="shared" si="32"/>
        <v>0</v>
      </c>
      <c r="AK50" s="2">
        <v>235.95</v>
      </c>
      <c r="AL50" s="2">
        <v>2.44</v>
      </c>
      <c r="AM50" s="2">
        <v>6.07</v>
      </c>
      <c r="AN50" s="2">
        <v>0.76</v>
      </c>
      <c r="AO50" s="2">
        <v>227.44</v>
      </c>
      <c r="AP50" s="2">
        <v>0</v>
      </c>
      <c r="AQ50" s="2">
        <v>14.64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79</v>
      </c>
      <c r="BK50" s="2"/>
      <c r="BL50" s="2"/>
      <c r="BM50" s="2">
        <v>68</v>
      </c>
      <c r="BN50" s="2">
        <v>58808062</v>
      </c>
      <c r="BO50" s="2" t="s">
        <v>77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492</v>
      </c>
      <c r="CO50" s="2">
        <v>0</v>
      </c>
      <c r="CP50" s="2">
        <f t="shared" si="33"/>
        <v>1139.77</v>
      </c>
      <c r="CQ50" s="2">
        <f>ROUND((ROUND((AC50*AW50*1),2)*BC50),2)</f>
        <v>2.44</v>
      </c>
      <c r="CR50" s="2">
        <f>(ROUND((ROUND((((ET50*1.1))*AV50*1),2)*BB50),2)+ROUND((ROUND(((AE50-((EU50*1.1)))*AV50*1),2)*BS50),2))</f>
        <v>6.99</v>
      </c>
      <c r="CS50" s="2">
        <f t="shared" si="34"/>
        <v>0.88</v>
      </c>
      <c r="CT50" s="2">
        <f t="shared" si="35"/>
        <v>261.94</v>
      </c>
      <c r="CU50" s="2">
        <f t="shared" si="36"/>
        <v>0</v>
      </c>
      <c r="CV50" s="2">
        <f t="shared" si="37"/>
        <v>16.860888000000003</v>
      </c>
      <c r="CW50" s="2">
        <f t="shared" si="38"/>
        <v>0</v>
      </c>
      <c r="CX50" s="2">
        <f t="shared" si="39"/>
        <v>0</v>
      </c>
      <c r="CY50" s="2">
        <f t="shared" si="40"/>
        <v>993.45600000000002</v>
      </c>
      <c r="CZ50" s="2">
        <f t="shared" si="41"/>
        <v>507.76640000000009</v>
      </c>
      <c r="DA50" s="2"/>
      <c r="DB50" s="2">
        <v>11</v>
      </c>
      <c r="DC50" s="2" t="s">
        <v>3</v>
      </c>
      <c r="DD50" s="2" t="s">
        <v>25</v>
      </c>
      <c r="DE50" s="2" t="s">
        <v>26</v>
      </c>
      <c r="DF50" s="2" t="s">
        <v>26</v>
      </c>
      <c r="DG50" s="2" t="s">
        <v>26</v>
      </c>
      <c r="DH50" s="2" t="s">
        <v>3</v>
      </c>
      <c r="DI50" s="2" t="s">
        <v>26</v>
      </c>
      <c r="DJ50" s="2" t="s">
        <v>26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23</v>
      </c>
      <c r="DW50" s="2" t="s">
        <v>23</v>
      </c>
      <c r="DX50" s="2">
        <v>10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58808178</v>
      </c>
      <c r="EF50" s="2">
        <v>40</v>
      </c>
      <c r="EG50" s="2" t="s">
        <v>27</v>
      </c>
      <c r="EH50" s="2">
        <v>0</v>
      </c>
      <c r="EI50" s="2" t="s">
        <v>3</v>
      </c>
      <c r="EJ50" s="2">
        <v>2</v>
      </c>
      <c r="EK50" s="2">
        <v>68</v>
      </c>
      <c r="EL50" s="2" t="s">
        <v>28</v>
      </c>
      <c r="EM50" s="2" t="s">
        <v>29</v>
      </c>
      <c r="EN50" s="2"/>
      <c r="EO50" s="2" t="s">
        <v>30</v>
      </c>
      <c r="EP50" s="2"/>
      <c r="EQ50" s="2">
        <v>0</v>
      </c>
      <c r="ER50" s="2">
        <v>235.95</v>
      </c>
      <c r="ES50" s="2">
        <v>2.44</v>
      </c>
      <c r="ET50" s="2">
        <v>6.07</v>
      </c>
      <c r="EU50" s="2">
        <v>0.76</v>
      </c>
      <c r="EV50" s="2">
        <v>227.44</v>
      </c>
      <c r="EW50" s="2">
        <v>14.64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-1147212458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42"/>
        <v>0</v>
      </c>
      <c r="GM50" s="2">
        <f t="shared" si="43"/>
        <v>2641</v>
      </c>
      <c r="GN50" s="2">
        <f t="shared" si="44"/>
        <v>0</v>
      </c>
      <c r="GO50" s="2">
        <f t="shared" si="45"/>
        <v>2641</v>
      </c>
      <c r="GP50" s="2">
        <f t="shared" si="4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7"/>
        <v>0</v>
      </c>
      <c r="GW50" s="2">
        <v>1</v>
      </c>
      <c r="GX50" s="2">
        <f t="shared" si="48"/>
        <v>0</v>
      </c>
      <c r="GY50" s="2"/>
      <c r="GZ50" s="2"/>
      <c r="HA50" s="2">
        <v>0</v>
      </c>
      <c r="HB50" s="2">
        <v>0</v>
      </c>
      <c r="HC50" s="2">
        <f t="shared" si="4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C51">
        <f>ROW(SmtRes!A56)</f>
        <v>56</v>
      </c>
      <c r="D51">
        <f>ROW(EtalonRes!A62)</f>
        <v>62</v>
      </c>
      <c r="E51" t="s">
        <v>76</v>
      </c>
      <c r="F51" t="s">
        <v>77</v>
      </c>
      <c r="G51" t="s">
        <v>78</v>
      </c>
      <c r="H51" t="s">
        <v>23</v>
      </c>
      <c r="I51">
        <f>ROUND(ROUND(42/10,4),9)</f>
        <v>4.2</v>
      </c>
      <c r="J51">
        <v>0</v>
      </c>
      <c r="K51">
        <f>ROUND(ROUND(42/10,4),9)</f>
        <v>4.2</v>
      </c>
      <c r="O51">
        <f t="shared" si="21"/>
        <v>61010.55</v>
      </c>
      <c r="P51">
        <f>ROUND((ROUND((AC51*AW51*I51),2)*BC51),2)</f>
        <v>74.11</v>
      </c>
      <c r="Q51">
        <f>(ROUND((ROUND((((ET51*1.1))*AV51*I51),2)*BB51),2)+ROUND((ROUND(((AE51-((EU51*1.1)))*AV51*I51),2)*BS51),2))</f>
        <v>438.64</v>
      </c>
      <c r="R51">
        <f t="shared" si="22"/>
        <v>202.36</v>
      </c>
      <c r="S51">
        <f t="shared" si="23"/>
        <v>60497.8</v>
      </c>
      <c r="T51">
        <f t="shared" si="24"/>
        <v>0</v>
      </c>
      <c r="U51">
        <f t="shared" si="25"/>
        <v>70.815729600000012</v>
      </c>
      <c r="V51">
        <f t="shared" si="26"/>
        <v>0</v>
      </c>
      <c r="W51">
        <f t="shared" si="27"/>
        <v>0</v>
      </c>
      <c r="X51">
        <f t="shared" si="28"/>
        <v>54630.14</v>
      </c>
      <c r="Y51">
        <f t="shared" si="29"/>
        <v>27922.07</v>
      </c>
      <c r="AA51">
        <v>59213213</v>
      </c>
      <c r="AB51">
        <f t="shared" si="30"/>
        <v>259.30099999999999</v>
      </c>
      <c r="AC51">
        <f>ROUND(((ES51*1)),6)</f>
        <v>2.44</v>
      </c>
      <c r="AD51">
        <f>ROUND(((((ET51*1.1))-((EU51*1.1)))+AE51),6)</f>
        <v>6.6769999999999996</v>
      </c>
      <c r="AE51">
        <f>ROUND(((EU51*1.1)),6)</f>
        <v>0.83599999999999997</v>
      </c>
      <c r="AF51">
        <f>ROUND(((EV51*1.1)),6)</f>
        <v>250.184</v>
      </c>
      <c r="AG51">
        <f t="shared" si="31"/>
        <v>0</v>
      </c>
      <c r="AH51">
        <f>((EW51*1.1))</f>
        <v>16.104000000000003</v>
      </c>
      <c r="AI51">
        <f>((EX51*1.1))</f>
        <v>0</v>
      </c>
      <c r="AJ51">
        <f t="shared" si="32"/>
        <v>0</v>
      </c>
      <c r="AK51">
        <v>235.95</v>
      </c>
      <c r="AL51">
        <v>2.44</v>
      </c>
      <c r="AM51">
        <v>6.07</v>
      </c>
      <c r="AN51">
        <v>0.76</v>
      </c>
      <c r="AO51">
        <v>227.44</v>
      </c>
      <c r="AP51">
        <v>0</v>
      </c>
      <c r="AQ51">
        <v>14.64</v>
      </c>
      <c r="AR51">
        <v>0</v>
      </c>
      <c r="AS51">
        <v>0</v>
      </c>
      <c r="AT51">
        <v>90</v>
      </c>
      <c r="AU51">
        <v>46</v>
      </c>
      <c r="AV51">
        <v>1.0469999999999999</v>
      </c>
      <c r="AW51">
        <v>1</v>
      </c>
      <c r="AZ51">
        <v>1</v>
      </c>
      <c r="BA51">
        <v>54.99</v>
      </c>
      <c r="BB51">
        <v>14.94</v>
      </c>
      <c r="BC51">
        <v>7.23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2</v>
      </c>
      <c r="BJ51" t="s">
        <v>79</v>
      </c>
      <c r="BM51">
        <v>68</v>
      </c>
      <c r="BN51">
        <v>58808062</v>
      </c>
      <c r="BO51" t="s">
        <v>77</v>
      </c>
      <c r="BP51">
        <v>1</v>
      </c>
      <c r="BQ51">
        <v>40</v>
      </c>
      <c r="BR51">
        <v>0</v>
      </c>
      <c r="BS51">
        <v>54.99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90</v>
      </c>
      <c r="CA51">
        <v>46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492</v>
      </c>
      <c r="CO51">
        <v>0</v>
      </c>
      <c r="CP51">
        <f t="shared" si="33"/>
        <v>61010.55</v>
      </c>
      <c r="CQ51">
        <f>ROUND((ROUND((AC51*AW51*1),2)*BC51),2)</f>
        <v>17.64</v>
      </c>
      <c r="CR51">
        <f>(ROUND((ROUND((((ET51*1.1))*AV51*1),2)*BB51),2)+ROUND((ROUND(((AE51-((EU51*1.1)))*AV51*1),2)*BS51),2))</f>
        <v>104.43</v>
      </c>
      <c r="CS51">
        <f t="shared" si="34"/>
        <v>48.39</v>
      </c>
      <c r="CT51">
        <f t="shared" si="35"/>
        <v>14404.08</v>
      </c>
      <c r="CU51">
        <f t="shared" si="36"/>
        <v>0</v>
      </c>
      <c r="CV51">
        <f t="shared" si="37"/>
        <v>16.860888000000003</v>
      </c>
      <c r="CW51">
        <f t="shared" si="38"/>
        <v>0</v>
      </c>
      <c r="CX51">
        <f t="shared" si="39"/>
        <v>0</v>
      </c>
      <c r="CY51">
        <f t="shared" si="40"/>
        <v>54630.144</v>
      </c>
      <c r="CZ51">
        <f t="shared" si="41"/>
        <v>27922.073600000003</v>
      </c>
      <c r="DB51">
        <v>12</v>
      </c>
      <c r="DC51" t="s">
        <v>3</v>
      </c>
      <c r="DD51" t="s">
        <v>25</v>
      </c>
      <c r="DE51" t="s">
        <v>26</v>
      </c>
      <c r="DF51" t="s">
        <v>26</v>
      </c>
      <c r="DG51" t="s">
        <v>26</v>
      </c>
      <c r="DH51" t="s">
        <v>3</v>
      </c>
      <c r="DI51" t="s">
        <v>26</v>
      </c>
      <c r="DJ51" t="s">
        <v>26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1010</v>
      </c>
      <c r="DV51" t="s">
        <v>23</v>
      </c>
      <c r="DW51" t="s">
        <v>23</v>
      </c>
      <c r="DX51">
        <v>10</v>
      </c>
      <c r="DZ51" t="s">
        <v>3</v>
      </c>
      <c r="EA51" t="s">
        <v>3</v>
      </c>
      <c r="EB51" t="s">
        <v>3</v>
      </c>
      <c r="EC51" t="s">
        <v>3</v>
      </c>
      <c r="EE51">
        <v>58808178</v>
      </c>
      <c r="EF51">
        <v>40</v>
      </c>
      <c r="EG51" t="s">
        <v>27</v>
      </c>
      <c r="EH51">
        <v>0</v>
      </c>
      <c r="EI51" t="s">
        <v>3</v>
      </c>
      <c r="EJ51">
        <v>2</v>
      </c>
      <c r="EK51">
        <v>68</v>
      </c>
      <c r="EL51" t="s">
        <v>28</v>
      </c>
      <c r="EM51" t="s">
        <v>29</v>
      </c>
      <c r="EO51" t="s">
        <v>30</v>
      </c>
      <c r="EQ51">
        <v>0</v>
      </c>
      <c r="ER51">
        <v>235.95</v>
      </c>
      <c r="ES51">
        <v>2.44</v>
      </c>
      <c r="ET51">
        <v>6.07</v>
      </c>
      <c r="EU51">
        <v>0.76</v>
      </c>
      <c r="EV51">
        <v>227.44</v>
      </c>
      <c r="EW51">
        <v>14.64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90</v>
      </c>
      <c r="FY51">
        <v>46</v>
      </c>
      <c r="GA51" t="s">
        <v>3</v>
      </c>
      <c r="GD51">
        <v>1</v>
      </c>
      <c r="GF51">
        <v>-1147212458</v>
      </c>
      <c r="GG51">
        <v>2</v>
      </c>
      <c r="GH51">
        <v>1</v>
      </c>
      <c r="GI51">
        <v>2</v>
      </c>
      <c r="GJ51">
        <v>0</v>
      </c>
      <c r="GK51">
        <v>0</v>
      </c>
      <c r="GL51">
        <f t="shared" si="42"/>
        <v>0</v>
      </c>
      <c r="GM51">
        <f t="shared" si="43"/>
        <v>143562.76</v>
      </c>
      <c r="GN51">
        <f t="shared" si="44"/>
        <v>0</v>
      </c>
      <c r="GO51">
        <f t="shared" si="45"/>
        <v>143562.76</v>
      </c>
      <c r="GP51">
        <f t="shared" si="46"/>
        <v>0</v>
      </c>
      <c r="GR51">
        <v>0</v>
      </c>
      <c r="GS51">
        <v>3</v>
      </c>
      <c r="GT51">
        <v>0</v>
      </c>
      <c r="GU51" t="s">
        <v>3</v>
      </c>
      <c r="GV51">
        <f t="shared" si="47"/>
        <v>0</v>
      </c>
      <c r="GW51">
        <v>1</v>
      </c>
      <c r="GX51">
        <f t="shared" si="48"/>
        <v>0</v>
      </c>
      <c r="HA51">
        <v>0</v>
      </c>
      <c r="HB51">
        <v>0</v>
      </c>
      <c r="HC51">
        <f t="shared" si="49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34</v>
      </c>
      <c r="I52" s="2">
        <f>ROUND(ROUND(42,4),9)</f>
        <v>42</v>
      </c>
      <c r="J52" s="2">
        <v>0</v>
      </c>
      <c r="K52" s="2">
        <f>ROUND(ROUND(42,4),9)</f>
        <v>42</v>
      </c>
      <c r="L52" s="2"/>
      <c r="M52" s="2"/>
      <c r="N52" s="2"/>
      <c r="O52" s="2">
        <f t="shared" si="21"/>
        <v>75727.679999999993</v>
      </c>
      <c r="P52" s="2">
        <f>ROUND((ROUND((AC52*I52),2)*BC52),2)</f>
        <v>75727.679999999993</v>
      </c>
      <c r="Q52" s="2">
        <f>(ROUND((ROUND(((ET52)*AV52*I52),2)*BB52),2)+ROUND((ROUND(((AE52-(EU52))*AV52*I52),2)*BS52),2))</f>
        <v>0</v>
      </c>
      <c r="R52" s="2">
        <f t="shared" si="22"/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 t="shared" si="28"/>
        <v>0</v>
      </c>
      <c r="Y52" s="2">
        <f t="shared" si="29"/>
        <v>0</v>
      </c>
      <c r="Z52" s="2"/>
      <c r="AA52" s="2">
        <v>59213216</v>
      </c>
      <c r="AB52" s="2">
        <f t="shared" si="30"/>
        <v>1803.04</v>
      </c>
      <c r="AC52" s="2">
        <f>ROUND((ES52),6)</f>
        <v>1803.04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31"/>
        <v>0</v>
      </c>
      <c r="AH52" s="2">
        <f>(EW52)</f>
        <v>0</v>
      </c>
      <c r="AI52" s="2">
        <f>(EX52)</f>
        <v>0</v>
      </c>
      <c r="AJ52" s="2">
        <f t="shared" si="32"/>
        <v>0</v>
      </c>
      <c r="AK52" s="2">
        <v>1803.0400000000002</v>
      </c>
      <c r="AL52" s="2">
        <v>1803.0400000000002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3"/>
        <v>75727.679999999993</v>
      </c>
      <c r="CQ52" s="2">
        <f>ROUND((ROUND((AC52*1),2)*BC52),2)</f>
        <v>1803.04</v>
      </c>
      <c r="CR52" s="2">
        <f>(ROUND((ROUND(((ET52)*AV52*1),2)*BB52),2)+ROUND((ROUND(((AE52-(EU52))*AV52*1),2)*BS52),2))</f>
        <v>0</v>
      </c>
      <c r="CS52" s="2">
        <f t="shared" si="34"/>
        <v>0</v>
      </c>
      <c r="CT52" s="2">
        <f t="shared" si="35"/>
        <v>0</v>
      </c>
      <c r="CU52" s="2">
        <f t="shared" si="36"/>
        <v>0</v>
      </c>
      <c r="CV52" s="2">
        <f t="shared" si="37"/>
        <v>0</v>
      </c>
      <c r="CW52" s="2">
        <f t="shared" si="38"/>
        <v>0</v>
      </c>
      <c r="CX52" s="2">
        <f t="shared" si="39"/>
        <v>0</v>
      </c>
      <c r="CY52" s="2">
        <f t="shared" si="40"/>
        <v>0</v>
      </c>
      <c r="CZ52" s="2">
        <f t="shared" si="41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34</v>
      </c>
      <c r="DW52" s="2" t="s">
        <v>34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58808284</v>
      </c>
      <c r="EF52" s="2">
        <v>130</v>
      </c>
      <c r="EG52" s="2" t="s">
        <v>35</v>
      </c>
      <c r="EH52" s="2">
        <v>0</v>
      </c>
      <c r="EI52" s="2" t="s">
        <v>3</v>
      </c>
      <c r="EJ52" s="2">
        <v>3</v>
      </c>
      <c r="EK52" s="2">
        <v>746</v>
      </c>
      <c r="EL52" s="2" t="s">
        <v>36</v>
      </c>
      <c r="EM52" s="2" t="s">
        <v>37</v>
      </c>
      <c r="EN52" s="2"/>
      <c r="EO52" s="2" t="s">
        <v>3</v>
      </c>
      <c r="EP52" s="2"/>
      <c r="EQ52" s="2">
        <v>0</v>
      </c>
      <c r="ER52" s="2">
        <v>0</v>
      </c>
      <c r="ES52" s="2">
        <v>1803.0400000000002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75727.679999999993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48</v>
      </c>
      <c r="GB52" s="2"/>
      <c r="GC52" s="2"/>
      <c r="GD52" s="2">
        <v>1</v>
      </c>
      <c r="GE52" s="2"/>
      <c r="GF52" s="2">
        <v>56064933</v>
      </c>
      <c r="GG52" s="2">
        <v>2</v>
      </c>
      <c r="GH52" s="2">
        <v>4</v>
      </c>
      <c r="GI52" s="2">
        <v>0</v>
      </c>
      <c r="GJ52" s="2">
        <v>0</v>
      </c>
      <c r="GK52" s="2">
        <v>0</v>
      </c>
      <c r="GL52" s="2">
        <f t="shared" si="42"/>
        <v>0</v>
      </c>
      <c r="GM52" s="2">
        <f t="shared" si="43"/>
        <v>75727.679999999993</v>
      </c>
      <c r="GN52" s="2">
        <f t="shared" si="44"/>
        <v>0</v>
      </c>
      <c r="GO52" s="2">
        <f t="shared" si="45"/>
        <v>0</v>
      </c>
      <c r="GP52" s="2">
        <f t="shared" si="46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7"/>
        <v>0</v>
      </c>
      <c r="GW52" s="2">
        <v>1</v>
      </c>
      <c r="GX52" s="2">
        <f t="shared" si="48"/>
        <v>0</v>
      </c>
      <c r="GY52" s="2"/>
      <c r="GZ52" s="2"/>
      <c r="HA52" s="2">
        <v>0</v>
      </c>
      <c r="HB52" s="2">
        <v>0</v>
      </c>
      <c r="HC52" s="2">
        <f t="shared" si="49"/>
        <v>0</v>
      </c>
      <c r="HD52" s="2"/>
      <c r="HE52" s="2" t="s">
        <v>39</v>
      </c>
      <c r="HF52" s="2" t="s">
        <v>40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80</v>
      </c>
      <c r="F53" t="s">
        <v>81</v>
      </c>
      <c r="G53" t="s">
        <v>82</v>
      </c>
      <c r="H53" t="s">
        <v>34</v>
      </c>
      <c r="I53">
        <f>ROUND(ROUND(42,4),9)</f>
        <v>42</v>
      </c>
      <c r="J53">
        <v>0</v>
      </c>
      <c r="K53">
        <f>ROUND(ROUND(42,4),9)</f>
        <v>42</v>
      </c>
      <c r="O53">
        <f t="shared" si="21"/>
        <v>580074.03</v>
      </c>
      <c r="P53">
        <f>ROUND((ROUND((AC53*I53),2)*BC53),2)</f>
        <v>580074.03</v>
      </c>
      <c r="Q53">
        <f>(ROUND((ROUND(((ET53)*AV53*I53),2)*BB53),2)+ROUND((ROUND(((AE53-(EU53))*AV53*I53),2)*BS53),2))</f>
        <v>0</v>
      </c>
      <c r="R53">
        <f t="shared" si="22"/>
        <v>0</v>
      </c>
      <c r="S53">
        <f t="shared" si="23"/>
        <v>0</v>
      </c>
      <c r="T53">
        <f t="shared" si="24"/>
        <v>0</v>
      </c>
      <c r="U53">
        <f t="shared" si="25"/>
        <v>0</v>
      </c>
      <c r="V53">
        <f t="shared" si="26"/>
        <v>0</v>
      </c>
      <c r="W53">
        <f t="shared" si="27"/>
        <v>0</v>
      </c>
      <c r="X53">
        <f t="shared" si="28"/>
        <v>0</v>
      </c>
      <c r="Y53">
        <f t="shared" si="29"/>
        <v>0</v>
      </c>
      <c r="AA53">
        <v>59213213</v>
      </c>
      <c r="AB53">
        <f t="shared" si="30"/>
        <v>1803.04</v>
      </c>
      <c r="AC53">
        <f>ROUND((ES53),6)</f>
        <v>1803.04</v>
      </c>
      <c r="AD53">
        <f>ROUND((((ET53)-(EU53))+AE53),6)</f>
        <v>0</v>
      </c>
      <c r="AE53">
        <f>ROUND((EU53),6)</f>
        <v>0</v>
      </c>
      <c r="AF53">
        <f>ROUND((EV53),6)</f>
        <v>0</v>
      </c>
      <c r="AG53">
        <f t="shared" si="31"/>
        <v>0</v>
      </c>
      <c r="AH53">
        <f>(EW53)</f>
        <v>0</v>
      </c>
      <c r="AI53">
        <f>(EX53)</f>
        <v>0</v>
      </c>
      <c r="AJ53">
        <f t="shared" si="32"/>
        <v>0</v>
      </c>
      <c r="AK53">
        <v>1803.0400000000002</v>
      </c>
      <c r="AL53">
        <v>1803.0400000000002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7.66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3</v>
      </c>
      <c r="BJ53" t="s">
        <v>3</v>
      </c>
      <c r="BM53">
        <v>746</v>
      </c>
      <c r="BN53">
        <v>0</v>
      </c>
      <c r="BO53" t="s">
        <v>3</v>
      </c>
      <c r="BP53">
        <v>0</v>
      </c>
      <c r="BQ53">
        <v>130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33"/>
        <v>580074.03</v>
      </c>
      <c r="CQ53">
        <f>ROUND((ROUND((AC53*1),2)*BC53),2)</f>
        <v>13811.29</v>
      </c>
      <c r="CR53">
        <f>(ROUND((ROUND(((ET53)*AV53*1),2)*BB53),2)+ROUND((ROUND(((AE53-(EU53))*AV53*1),2)*BS53),2))</f>
        <v>0</v>
      </c>
      <c r="CS53">
        <f t="shared" si="34"/>
        <v>0</v>
      </c>
      <c r="CT53">
        <f t="shared" si="35"/>
        <v>0</v>
      </c>
      <c r="CU53">
        <f t="shared" si="36"/>
        <v>0</v>
      </c>
      <c r="CV53">
        <f t="shared" si="37"/>
        <v>0</v>
      </c>
      <c r="CW53">
        <f t="shared" si="38"/>
        <v>0</v>
      </c>
      <c r="CX53">
        <f t="shared" si="39"/>
        <v>0</v>
      </c>
      <c r="CY53">
        <f t="shared" si="40"/>
        <v>0</v>
      </c>
      <c r="CZ53">
        <f t="shared" si="41"/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1010</v>
      </c>
      <c r="DV53" t="s">
        <v>34</v>
      </c>
      <c r="DW53" t="s">
        <v>34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58808284</v>
      </c>
      <c r="EF53">
        <v>130</v>
      </c>
      <c r="EG53" t="s">
        <v>35</v>
      </c>
      <c r="EH53">
        <v>0</v>
      </c>
      <c r="EI53" t="s">
        <v>3</v>
      </c>
      <c r="EJ53">
        <v>3</v>
      </c>
      <c r="EK53">
        <v>746</v>
      </c>
      <c r="EL53" t="s">
        <v>36</v>
      </c>
      <c r="EM53" t="s">
        <v>37</v>
      </c>
      <c r="EO53" t="s">
        <v>3</v>
      </c>
      <c r="EQ53">
        <v>0</v>
      </c>
      <c r="ER53">
        <v>1803.0400000000002</v>
      </c>
      <c r="ES53">
        <v>1803.0400000000002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1</v>
      </c>
      <c r="FD53">
        <v>18</v>
      </c>
      <c r="FF53">
        <v>15900</v>
      </c>
      <c r="FQ53">
        <v>0</v>
      </c>
      <c r="FR53">
        <f>P53</f>
        <v>580074.03</v>
      </c>
      <c r="FS53">
        <v>0</v>
      </c>
      <c r="FX53">
        <v>0</v>
      </c>
      <c r="FY53">
        <v>0</v>
      </c>
      <c r="GA53" t="s">
        <v>48</v>
      </c>
      <c r="GD53">
        <v>1</v>
      </c>
      <c r="GF53">
        <v>56064933</v>
      </c>
      <c r="GG53">
        <v>2</v>
      </c>
      <c r="GH53">
        <v>3</v>
      </c>
      <c r="GI53">
        <v>5</v>
      </c>
      <c r="GJ53">
        <v>0</v>
      </c>
      <c r="GK53">
        <v>0</v>
      </c>
      <c r="GL53">
        <f t="shared" si="42"/>
        <v>0</v>
      </c>
      <c r="GM53">
        <f t="shared" si="43"/>
        <v>580074.03</v>
      </c>
      <c r="GN53">
        <f t="shared" si="44"/>
        <v>0</v>
      </c>
      <c r="GO53">
        <f t="shared" si="45"/>
        <v>0</v>
      </c>
      <c r="GP53">
        <f t="shared" si="46"/>
        <v>0</v>
      </c>
      <c r="GR53">
        <v>2</v>
      </c>
      <c r="GS53">
        <v>1</v>
      </c>
      <c r="GT53">
        <v>0</v>
      </c>
      <c r="GU53" t="s">
        <v>3</v>
      </c>
      <c r="GV53">
        <f t="shared" si="47"/>
        <v>0</v>
      </c>
      <c r="GW53">
        <v>1</v>
      </c>
      <c r="GX53">
        <f t="shared" si="48"/>
        <v>0</v>
      </c>
      <c r="HA53">
        <v>0</v>
      </c>
      <c r="HB53">
        <v>0</v>
      </c>
      <c r="HC53">
        <f t="shared" si="49"/>
        <v>0</v>
      </c>
      <c r="HE53" t="s">
        <v>39</v>
      </c>
      <c r="HF53" t="s">
        <v>40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>
        <f>ROW(SmtRes!A60)</f>
        <v>60</v>
      </c>
      <c r="D54" s="2">
        <f>ROW(EtalonRes!A66)</f>
        <v>66</v>
      </c>
      <c r="E54" s="2" t="s">
        <v>83</v>
      </c>
      <c r="F54" s="2" t="s">
        <v>84</v>
      </c>
      <c r="G54" s="2" t="s">
        <v>85</v>
      </c>
      <c r="H54" s="2" t="s">
        <v>43</v>
      </c>
      <c r="I54" s="2">
        <f>ROUND(ROUND(12,4),9)</f>
        <v>12</v>
      </c>
      <c r="J54" s="2">
        <v>0</v>
      </c>
      <c r="K54" s="2">
        <f>ROUND(ROUND(12,4),9)</f>
        <v>12</v>
      </c>
      <c r="L54" s="2"/>
      <c r="M54" s="2"/>
      <c r="N54" s="2"/>
      <c r="O54" s="2">
        <f t="shared" si="21"/>
        <v>184.36</v>
      </c>
      <c r="P54" s="2">
        <f t="shared" ref="P54:P59" si="52">ROUND((ROUND((AC54*AW54*I54),2)*BC54),2)</f>
        <v>20.04</v>
      </c>
      <c r="Q54" s="2">
        <f>(ROUND((ROUND((((ET54*1.1))*AV54*I54),2)*BB54),2)+ROUND((ROUND(((AE54-((EU54*1.1)))*AV54*I54),2)*BS54),2))</f>
        <v>0</v>
      </c>
      <c r="R54" s="2">
        <f t="shared" si="22"/>
        <v>0</v>
      </c>
      <c r="S54" s="2">
        <f t="shared" si="23"/>
        <v>164.32</v>
      </c>
      <c r="T54" s="2">
        <f t="shared" si="24"/>
        <v>0</v>
      </c>
      <c r="U54" s="2">
        <f t="shared" si="25"/>
        <v>13.820399999999999</v>
      </c>
      <c r="V54" s="2">
        <f t="shared" si="26"/>
        <v>0</v>
      </c>
      <c r="W54" s="2">
        <f t="shared" si="27"/>
        <v>0</v>
      </c>
      <c r="X54" s="2">
        <f t="shared" si="28"/>
        <v>156.1</v>
      </c>
      <c r="Y54" s="2">
        <f t="shared" si="29"/>
        <v>87.09</v>
      </c>
      <c r="Z54" s="2"/>
      <c r="AA54" s="2">
        <v>59213216</v>
      </c>
      <c r="AB54" s="2">
        <f t="shared" si="30"/>
        <v>14.749000000000001</v>
      </c>
      <c r="AC54" s="2">
        <f>ROUND(((ES54*1)),6)</f>
        <v>1.67</v>
      </c>
      <c r="AD54" s="2">
        <f>ROUND(((((ET54*1.1))-((EU54*1.1)))+AE54),6)</f>
        <v>0</v>
      </c>
      <c r="AE54" s="2">
        <f>ROUND(((EU54*1.1)),6)</f>
        <v>0</v>
      </c>
      <c r="AF54" s="2">
        <f>ROUND(((EV54*1.1)),6)</f>
        <v>13.079000000000001</v>
      </c>
      <c r="AG54" s="2">
        <f t="shared" si="31"/>
        <v>0</v>
      </c>
      <c r="AH54" s="2">
        <f>((EW54*1.1))</f>
        <v>1.1000000000000001</v>
      </c>
      <c r="AI54" s="2">
        <f>((EX54*1.1))</f>
        <v>0</v>
      </c>
      <c r="AJ54" s="2">
        <f t="shared" si="32"/>
        <v>0</v>
      </c>
      <c r="AK54" s="2">
        <v>13.56</v>
      </c>
      <c r="AL54" s="2">
        <v>1.67</v>
      </c>
      <c r="AM54" s="2">
        <v>0</v>
      </c>
      <c r="AN54" s="2">
        <v>0</v>
      </c>
      <c r="AO54" s="2">
        <v>11.89</v>
      </c>
      <c r="AP54" s="2">
        <v>0</v>
      </c>
      <c r="AQ54" s="2">
        <v>1</v>
      </c>
      <c r="AR54" s="2">
        <v>0</v>
      </c>
      <c r="AS54" s="2">
        <v>0</v>
      </c>
      <c r="AT54" s="2">
        <v>95</v>
      </c>
      <c r="AU54" s="2">
        <v>53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86</v>
      </c>
      <c r="BK54" s="2"/>
      <c r="BL54" s="2"/>
      <c r="BM54" s="2">
        <v>69</v>
      </c>
      <c r="BN54" s="2">
        <v>58808062</v>
      </c>
      <c r="BO54" s="2" t="s">
        <v>84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95</v>
      </c>
      <c r="CA54" s="2">
        <v>53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492</v>
      </c>
      <c r="CO54" s="2">
        <v>0</v>
      </c>
      <c r="CP54" s="2">
        <f t="shared" si="33"/>
        <v>184.35999999999999</v>
      </c>
      <c r="CQ54" s="2">
        <f t="shared" ref="CQ54:CQ59" si="53">ROUND((ROUND((AC54*AW54*1),2)*BC54),2)</f>
        <v>1.67</v>
      </c>
      <c r="CR54" s="2">
        <f>(ROUND((ROUND((((ET54*1.1))*AV54*1),2)*BB54),2)+ROUND((ROUND(((AE54-((EU54*1.1)))*AV54*1),2)*BS54),2))</f>
        <v>0</v>
      </c>
      <c r="CS54" s="2">
        <f t="shared" si="34"/>
        <v>0</v>
      </c>
      <c r="CT54" s="2">
        <f t="shared" si="35"/>
        <v>13.69</v>
      </c>
      <c r="CU54" s="2">
        <f t="shared" si="36"/>
        <v>0</v>
      </c>
      <c r="CV54" s="2">
        <f t="shared" si="37"/>
        <v>1.1516999999999999</v>
      </c>
      <c r="CW54" s="2">
        <f t="shared" si="38"/>
        <v>0</v>
      </c>
      <c r="CX54" s="2">
        <f t="shared" si="39"/>
        <v>0</v>
      </c>
      <c r="CY54" s="2">
        <f t="shared" si="40"/>
        <v>156.10399999999998</v>
      </c>
      <c r="CZ54" s="2">
        <f t="shared" si="41"/>
        <v>87.08959999999999</v>
      </c>
      <c r="DA54" s="2"/>
      <c r="DB54" s="2">
        <v>13</v>
      </c>
      <c r="DC54" s="2" t="s">
        <v>3</v>
      </c>
      <c r="DD54" s="2" t="s">
        <v>25</v>
      </c>
      <c r="DE54" s="2" t="s">
        <v>26</v>
      </c>
      <c r="DF54" s="2" t="s">
        <v>26</v>
      </c>
      <c r="DG54" s="2" t="s">
        <v>26</v>
      </c>
      <c r="DH54" s="2" t="s">
        <v>3</v>
      </c>
      <c r="DI54" s="2" t="s">
        <v>26</v>
      </c>
      <c r="DJ54" s="2" t="s">
        <v>26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43</v>
      </c>
      <c r="DW54" s="2" t="s">
        <v>43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58808179</v>
      </c>
      <c r="EF54" s="2">
        <v>40</v>
      </c>
      <c r="EG54" s="2" t="s">
        <v>27</v>
      </c>
      <c r="EH54" s="2">
        <v>0</v>
      </c>
      <c r="EI54" s="2" t="s">
        <v>3</v>
      </c>
      <c r="EJ54" s="2">
        <v>2</v>
      </c>
      <c r="EK54" s="2">
        <v>69</v>
      </c>
      <c r="EL54" s="2" t="s">
        <v>87</v>
      </c>
      <c r="EM54" s="2" t="s">
        <v>88</v>
      </c>
      <c r="EN54" s="2"/>
      <c r="EO54" s="2" t="s">
        <v>30</v>
      </c>
      <c r="EP54" s="2"/>
      <c r="EQ54" s="2">
        <v>0</v>
      </c>
      <c r="ER54" s="2">
        <v>13.56</v>
      </c>
      <c r="ES54" s="2">
        <v>1.67</v>
      </c>
      <c r="ET54" s="2">
        <v>0</v>
      </c>
      <c r="EU54" s="2">
        <v>0</v>
      </c>
      <c r="EV54" s="2">
        <v>11.89</v>
      </c>
      <c r="EW54" s="2">
        <v>1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95</v>
      </c>
      <c r="FY54" s="2">
        <v>53</v>
      </c>
      <c r="FZ54" s="2"/>
      <c r="GA54" s="2" t="s">
        <v>3</v>
      </c>
      <c r="GB54" s="2"/>
      <c r="GC54" s="2"/>
      <c r="GD54" s="2">
        <v>1</v>
      </c>
      <c r="GE54" s="2"/>
      <c r="GF54" s="2">
        <v>-508473279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42"/>
        <v>0</v>
      </c>
      <c r="GM54" s="2">
        <f t="shared" si="43"/>
        <v>427.55</v>
      </c>
      <c r="GN54" s="2">
        <f t="shared" si="44"/>
        <v>0</v>
      </c>
      <c r="GO54" s="2">
        <f t="shared" si="45"/>
        <v>427.55</v>
      </c>
      <c r="GP54" s="2">
        <f t="shared" si="4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7"/>
        <v>0</v>
      </c>
      <c r="GW54" s="2">
        <v>1</v>
      </c>
      <c r="GX54" s="2">
        <f t="shared" si="48"/>
        <v>0</v>
      </c>
      <c r="GY54" s="2"/>
      <c r="GZ54" s="2"/>
      <c r="HA54" s="2">
        <v>0</v>
      </c>
      <c r="HB54" s="2">
        <v>0</v>
      </c>
      <c r="HC54" s="2">
        <f t="shared" si="4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C55">
        <f>ROW(SmtRes!A64)</f>
        <v>64</v>
      </c>
      <c r="D55">
        <f>ROW(EtalonRes!A70)</f>
        <v>70</v>
      </c>
      <c r="E55" t="s">
        <v>83</v>
      </c>
      <c r="F55" t="s">
        <v>84</v>
      </c>
      <c r="G55" t="s">
        <v>85</v>
      </c>
      <c r="H55" t="s">
        <v>43</v>
      </c>
      <c r="I55">
        <f>ROUND(ROUND(12,4),9)</f>
        <v>12</v>
      </c>
      <c r="J55">
        <v>0</v>
      </c>
      <c r="K55">
        <f>ROUND(ROUND(12,4),9)</f>
        <v>12</v>
      </c>
      <c r="O55">
        <f t="shared" si="21"/>
        <v>9408.9</v>
      </c>
      <c r="P55">
        <f t="shared" si="52"/>
        <v>372.94</v>
      </c>
      <c r="Q55">
        <f>(ROUND((ROUND((((ET55*1.1))*AV55*I55),2)*BB55),2)+ROUND((ROUND(((AE55-((EU55*1.1)))*AV55*I55),2)*BS55),2))</f>
        <v>0</v>
      </c>
      <c r="R55">
        <f t="shared" si="22"/>
        <v>0</v>
      </c>
      <c r="S55">
        <f t="shared" si="23"/>
        <v>9035.9599999999991</v>
      </c>
      <c r="T55">
        <f t="shared" si="24"/>
        <v>0</v>
      </c>
      <c r="U55">
        <f t="shared" si="25"/>
        <v>13.820399999999999</v>
      </c>
      <c r="V55">
        <f t="shared" si="26"/>
        <v>0</v>
      </c>
      <c r="W55">
        <f t="shared" si="27"/>
        <v>0</v>
      </c>
      <c r="X55">
        <f t="shared" si="28"/>
        <v>8584.16</v>
      </c>
      <c r="Y55">
        <f t="shared" si="29"/>
        <v>4789.0600000000004</v>
      </c>
      <c r="AA55">
        <v>59213213</v>
      </c>
      <c r="AB55">
        <f t="shared" si="30"/>
        <v>14.749000000000001</v>
      </c>
      <c r="AC55">
        <f>ROUND(((ES55*1)),6)</f>
        <v>1.67</v>
      </c>
      <c r="AD55">
        <f>ROUND(((((ET55*1.1))-((EU55*1.1)))+AE55),6)</f>
        <v>0</v>
      </c>
      <c r="AE55">
        <f>ROUND(((EU55*1.1)),6)</f>
        <v>0</v>
      </c>
      <c r="AF55">
        <f>ROUND(((EV55*1.1)),6)</f>
        <v>13.079000000000001</v>
      </c>
      <c r="AG55">
        <f t="shared" si="31"/>
        <v>0</v>
      </c>
      <c r="AH55">
        <f>((EW55*1.1))</f>
        <v>1.1000000000000001</v>
      </c>
      <c r="AI55">
        <f>((EX55*1.1))</f>
        <v>0</v>
      </c>
      <c r="AJ55">
        <f t="shared" si="32"/>
        <v>0</v>
      </c>
      <c r="AK55">
        <v>13.56</v>
      </c>
      <c r="AL55">
        <v>1.67</v>
      </c>
      <c r="AM55">
        <v>0</v>
      </c>
      <c r="AN55">
        <v>0</v>
      </c>
      <c r="AO55">
        <v>11.89</v>
      </c>
      <c r="AP55">
        <v>0</v>
      </c>
      <c r="AQ55">
        <v>1</v>
      </c>
      <c r="AR55">
        <v>0</v>
      </c>
      <c r="AS55">
        <v>0</v>
      </c>
      <c r="AT55">
        <v>95</v>
      </c>
      <c r="AU55">
        <v>53</v>
      </c>
      <c r="AV55">
        <v>1.0469999999999999</v>
      </c>
      <c r="AW55">
        <v>1</v>
      </c>
      <c r="AZ55">
        <v>1</v>
      </c>
      <c r="BA55">
        <v>54.99</v>
      </c>
      <c r="BB55">
        <v>1</v>
      </c>
      <c r="BC55">
        <v>18.61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2</v>
      </c>
      <c r="BJ55" t="s">
        <v>86</v>
      </c>
      <c r="BM55">
        <v>69</v>
      </c>
      <c r="BN55">
        <v>58808062</v>
      </c>
      <c r="BO55" t="s">
        <v>84</v>
      </c>
      <c r="BP55">
        <v>1</v>
      </c>
      <c r="BQ55">
        <v>40</v>
      </c>
      <c r="BR55">
        <v>0</v>
      </c>
      <c r="BS55">
        <v>54.99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95</v>
      </c>
      <c r="CA55">
        <v>53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492</v>
      </c>
      <c r="CO55">
        <v>0</v>
      </c>
      <c r="CP55">
        <f t="shared" si="33"/>
        <v>9408.9</v>
      </c>
      <c r="CQ55">
        <f t="shared" si="53"/>
        <v>31.08</v>
      </c>
      <c r="CR55">
        <f>(ROUND((ROUND((((ET55*1.1))*AV55*1),2)*BB55),2)+ROUND((ROUND(((AE55-((EU55*1.1)))*AV55*1),2)*BS55),2))</f>
        <v>0</v>
      </c>
      <c r="CS55">
        <f t="shared" si="34"/>
        <v>0</v>
      </c>
      <c r="CT55">
        <f t="shared" si="35"/>
        <v>752.81</v>
      </c>
      <c r="CU55">
        <f t="shared" si="36"/>
        <v>0</v>
      </c>
      <c r="CV55">
        <f t="shared" si="37"/>
        <v>1.1516999999999999</v>
      </c>
      <c r="CW55">
        <f t="shared" si="38"/>
        <v>0</v>
      </c>
      <c r="CX55">
        <f t="shared" si="39"/>
        <v>0</v>
      </c>
      <c r="CY55">
        <f t="shared" si="40"/>
        <v>8584.1620000000003</v>
      </c>
      <c r="CZ55">
        <f t="shared" si="41"/>
        <v>4789.0587999999998</v>
      </c>
      <c r="DB55">
        <v>14</v>
      </c>
      <c r="DC55" t="s">
        <v>3</v>
      </c>
      <c r="DD55" t="s">
        <v>25</v>
      </c>
      <c r="DE55" t="s">
        <v>26</v>
      </c>
      <c r="DF55" t="s">
        <v>26</v>
      </c>
      <c r="DG55" t="s">
        <v>26</v>
      </c>
      <c r="DH55" t="s">
        <v>3</v>
      </c>
      <c r="DI55" t="s">
        <v>26</v>
      </c>
      <c r="DJ55" t="s">
        <v>26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1013</v>
      </c>
      <c r="DV55" t="s">
        <v>43</v>
      </c>
      <c r="DW55" t="s">
        <v>43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58808179</v>
      </c>
      <c r="EF55">
        <v>40</v>
      </c>
      <c r="EG55" t="s">
        <v>27</v>
      </c>
      <c r="EH55">
        <v>0</v>
      </c>
      <c r="EI55" t="s">
        <v>3</v>
      </c>
      <c r="EJ55">
        <v>2</v>
      </c>
      <c r="EK55">
        <v>69</v>
      </c>
      <c r="EL55" t="s">
        <v>87</v>
      </c>
      <c r="EM55" t="s">
        <v>88</v>
      </c>
      <c r="EO55" t="s">
        <v>30</v>
      </c>
      <c r="EQ55">
        <v>0</v>
      </c>
      <c r="ER55">
        <v>13.56</v>
      </c>
      <c r="ES55">
        <v>1.67</v>
      </c>
      <c r="ET55">
        <v>0</v>
      </c>
      <c r="EU55">
        <v>0</v>
      </c>
      <c r="EV55">
        <v>11.89</v>
      </c>
      <c r="EW55">
        <v>1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95</v>
      </c>
      <c r="FY55">
        <v>53</v>
      </c>
      <c r="GA55" t="s">
        <v>3</v>
      </c>
      <c r="GD55">
        <v>1</v>
      </c>
      <c r="GF55">
        <v>-508473279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42"/>
        <v>0</v>
      </c>
      <c r="GM55">
        <f t="shared" si="43"/>
        <v>22782.12</v>
      </c>
      <c r="GN55">
        <f t="shared" si="44"/>
        <v>0</v>
      </c>
      <c r="GO55">
        <f t="shared" si="45"/>
        <v>22782.12</v>
      </c>
      <c r="GP55">
        <f t="shared" si="46"/>
        <v>0</v>
      </c>
      <c r="GR55">
        <v>0</v>
      </c>
      <c r="GS55">
        <v>3</v>
      </c>
      <c r="GT55">
        <v>0</v>
      </c>
      <c r="GU55" t="s">
        <v>3</v>
      </c>
      <c r="GV55">
        <f t="shared" si="47"/>
        <v>0</v>
      </c>
      <c r="GW55">
        <v>1</v>
      </c>
      <c r="GX55">
        <f t="shared" si="48"/>
        <v>0</v>
      </c>
      <c r="HA55">
        <v>0</v>
      </c>
      <c r="HB55">
        <v>0</v>
      </c>
      <c r="HC55">
        <f t="shared" si="49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18</v>
      </c>
      <c r="B56" s="2">
        <v>1</v>
      </c>
      <c r="C56" s="2">
        <v>60</v>
      </c>
      <c r="D56" s="2"/>
      <c r="E56" s="2" t="s">
        <v>89</v>
      </c>
      <c r="F56" s="2" t="s">
        <v>90</v>
      </c>
      <c r="G56" s="2" t="s">
        <v>91</v>
      </c>
      <c r="H56" s="2" t="s">
        <v>34</v>
      </c>
      <c r="I56" s="2">
        <f>I54*J56</f>
        <v>12</v>
      </c>
      <c r="J56" s="2">
        <v>1</v>
      </c>
      <c r="K56" s="2">
        <v>1</v>
      </c>
      <c r="L56" s="2"/>
      <c r="M56" s="2"/>
      <c r="N56" s="2"/>
      <c r="O56" s="2">
        <f t="shared" si="21"/>
        <v>1187.28</v>
      </c>
      <c r="P56" s="2">
        <f t="shared" si="52"/>
        <v>1187.28</v>
      </c>
      <c r="Q56" s="2">
        <f>(ROUND((ROUND(((ET56)*AV56*I56),2)*BB56),2)+ROUND((ROUND(((AE56-(EU56))*AV56*I56),2)*BS56),2))</f>
        <v>0</v>
      </c>
      <c r="R56" s="2">
        <f t="shared" si="22"/>
        <v>0</v>
      </c>
      <c r="S56" s="2">
        <f t="shared" si="23"/>
        <v>0</v>
      </c>
      <c r="T56" s="2">
        <f t="shared" si="24"/>
        <v>0</v>
      </c>
      <c r="U56" s="2">
        <f t="shared" si="25"/>
        <v>0</v>
      </c>
      <c r="V56" s="2">
        <f t="shared" si="26"/>
        <v>0</v>
      </c>
      <c r="W56" s="2">
        <f t="shared" si="27"/>
        <v>0</v>
      </c>
      <c r="X56" s="2">
        <f t="shared" si="28"/>
        <v>0</v>
      </c>
      <c r="Y56" s="2">
        <f t="shared" si="29"/>
        <v>0</v>
      </c>
      <c r="Z56" s="2"/>
      <c r="AA56" s="2">
        <v>59213216</v>
      </c>
      <c r="AB56" s="2">
        <f t="shared" si="30"/>
        <v>98.94</v>
      </c>
      <c r="AC56" s="2">
        <f>ROUND((ES56),6)</f>
        <v>98.94</v>
      </c>
      <c r="AD56" s="2">
        <f>ROUND((((ET56)-(EU56))+AE56),6)</f>
        <v>0</v>
      </c>
      <c r="AE56" s="2">
        <f>ROUND((EU56),6)</f>
        <v>0</v>
      </c>
      <c r="AF56" s="2">
        <f>ROUND((EV56),6)</f>
        <v>0</v>
      </c>
      <c r="AG56" s="2">
        <f t="shared" si="31"/>
        <v>0</v>
      </c>
      <c r="AH56" s="2">
        <f>(EW56)</f>
        <v>0</v>
      </c>
      <c r="AI56" s="2">
        <f>(EX56)</f>
        <v>0</v>
      </c>
      <c r="AJ56" s="2">
        <f t="shared" si="32"/>
        <v>0</v>
      </c>
      <c r="AK56" s="2">
        <v>98.94</v>
      </c>
      <c r="AL56" s="2">
        <v>98.94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95</v>
      </c>
      <c r="AU56" s="2">
        <v>53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2</v>
      </c>
      <c r="BJ56" s="2" t="s">
        <v>3</v>
      </c>
      <c r="BK56" s="2"/>
      <c r="BL56" s="2"/>
      <c r="BM56" s="2">
        <v>69</v>
      </c>
      <c r="BN56" s="2">
        <v>0</v>
      </c>
      <c r="BO56" s="2" t="s">
        <v>3</v>
      </c>
      <c r="BP56" s="2">
        <v>0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95</v>
      </c>
      <c r="CA56" s="2">
        <v>53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3"/>
        <v>1187.28</v>
      </c>
      <c r="CQ56" s="2">
        <f t="shared" si="53"/>
        <v>98.94</v>
      </c>
      <c r="CR56" s="2">
        <f>(ROUND((ROUND(((ET56)*AV56*1),2)*BB56),2)+ROUND((ROUND(((AE56-(EU56))*AV56*1),2)*BS56),2))</f>
        <v>0</v>
      </c>
      <c r="CS56" s="2">
        <f t="shared" si="34"/>
        <v>0</v>
      </c>
      <c r="CT56" s="2">
        <f t="shared" si="35"/>
        <v>0</v>
      </c>
      <c r="CU56" s="2">
        <f t="shared" si="36"/>
        <v>0</v>
      </c>
      <c r="CV56" s="2">
        <f t="shared" si="37"/>
        <v>0</v>
      </c>
      <c r="CW56" s="2">
        <f t="shared" si="38"/>
        <v>0</v>
      </c>
      <c r="CX56" s="2">
        <f t="shared" si="39"/>
        <v>0</v>
      </c>
      <c r="CY56" s="2">
        <f t="shared" si="40"/>
        <v>0</v>
      </c>
      <c r="CZ56" s="2">
        <f t="shared" si="41"/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34</v>
      </c>
      <c r="DW56" s="2" t="s">
        <v>34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58808179</v>
      </c>
      <c r="EF56" s="2">
        <v>40</v>
      </c>
      <c r="EG56" s="2" t="s">
        <v>27</v>
      </c>
      <c r="EH56" s="2">
        <v>0</v>
      </c>
      <c r="EI56" s="2" t="s">
        <v>3</v>
      </c>
      <c r="EJ56" s="2">
        <v>2</v>
      </c>
      <c r="EK56" s="2">
        <v>69</v>
      </c>
      <c r="EL56" s="2" t="s">
        <v>87</v>
      </c>
      <c r="EM56" s="2" t="s">
        <v>88</v>
      </c>
      <c r="EN56" s="2"/>
      <c r="EO56" s="2" t="s">
        <v>3</v>
      </c>
      <c r="EP56" s="2"/>
      <c r="EQ56" s="2">
        <v>0</v>
      </c>
      <c r="ER56" s="2">
        <v>0</v>
      </c>
      <c r="ES56" s="2">
        <v>98.94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95</v>
      </c>
      <c r="FY56" s="2">
        <v>53</v>
      </c>
      <c r="FZ56" s="2"/>
      <c r="GA56" s="2" t="s">
        <v>92</v>
      </c>
      <c r="GB56" s="2"/>
      <c r="GC56" s="2"/>
      <c r="GD56" s="2">
        <v>1</v>
      </c>
      <c r="GE56" s="2"/>
      <c r="GF56" s="2">
        <v>-871963031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42"/>
        <v>0</v>
      </c>
      <c r="GM56" s="2">
        <f t="shared" si="43"/>
        <v>1187.28</v>
      </c>
      <c r="GN56" s="2">
        <f t="shared" si="44"/>
        <v>0</v>
      </c>
      <c r="GO56" s="2">
        <f t="shared" si="45"/>
        <v>1187.28</v>
      </c>
      <c r="GP56" s="2">
        <f t="shared" si="46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47"/>
        <v>0</v>
      </c>
      <c r="GW56" s="2">
        <v>1</v>
      </c>
      <c r="GX56" s="2">
        <f t="shared" si="48"/>
        <v>0</v>
      </c>
      <c r="GY56" s="2"/>
      <c r="GZ56" s="2"/>
      <c r="HA56" s="2">
        <v>0</v>
      </c>
      <c r="HB56" s="2">
        <v>0</v>
      </c>
      <c r="HC56" s="2">
        <f t="shared" si="49"/>
        <v>0</v>
      </c>
      <c r="HD56" s="2"/>
      <c r="HE56" s="2" t="s">
        <v>93</v>
      </c>
      <c r="HF56" s="2" t="s">
        <v>31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18</v>
      </c>
      <c r="B57">
        <v>1</v>
      </c>
      <c r="C57">
        <v>64</v>
      </c>
      <c r="E57" t="s">
        <v>89</v>
      </c>
      <c r="F57" t="s">
        <v>90</v>
      </c>
      <c r="G57" t="s">
        <v>91</v>
      </c>
      <c r="H57" t="s">
        <v>34</v>
      </c>
      <c r="I57">
        <f>I55*J57</f>
        <v>12</v>
      </c>
      <c r="J57">
        <v>1</v>
      </c>
      <c r="K57">
        <v>1</v>
      </c>
      <c r="O57">
        <f t="shared" si="21"/>
        <v>11730.33</v>
      </c>
      <c r="P57">
        <f t="shared" si="52"/>
        <v>11730.33</v>
      </c>
      <c r="Q57">
        <f>(ROUND((ROUND(((ET57)*AV57*I57),2)*BB57),2)+ROUND((ROUND(((AE57-(EU57))*AV57*I57),2)*BS57),2))</f>
        <v>0</v>
      </c>
      <c r="R57">
        <f t="shared" si="22"/>
        <v>0</v>
      </c>
      <c r="S57">
        <f t="shared" si="23"/>
        <v>0</v>
      </c>
      <c r="T57">
        <f t="shared" si="24"/>
        <v>0</v>
      </c>
      <c r="U57">
        <f t="shared" si="25"/>
        <v>0</v>
      </c>
      <c r="V57">
        <f t="shared" si="26"/>
        <v>0</v>
      </c>
      <c r="W57">
        <f t="shared" si="27"/>
        <v>0</v>
      </c>
      <c r="X57">
        <f t="shared" si="28"/>
        <v>0</v>
      </c>
      <c r="Y57">
        <f t="shared" si="29"/>
        <v>0</v>
      </c>
      <c r="AA57">
        <v>59213213</v>
      </c>
      <c r="AB57">
        <f t="shared" si="30"/>
        <v>98.94</v>
      </c>
      <c r="AC57">
        <f>ROUND((ES57),6)</f>
        <v>98.94</v>
      </c>
      <c r="AD57">
        <f>ROUND((((ET57)-(EU57))+AE57),6)</f>
        <v>0</v>
      </c>
      <c r="AE57">
        <f>ROUND((EU57),6)</f>
        <v>0</v>
      </c>
      <c r="AF57">
        <f>ROUND((EV57),6)</f>
        <v>0</v>
      </c>
      <c r="AG57">
        <f t="shared" si="31"/>
        <v>0</v>
      </c>
      <c r="AH57">
        <f>(EW57)</f>
        <v>0</v>
      </c>
      <c r="AI57">
        <f>(EX57)</f>
        <v>0</v>
      </c>
      <c r="AJ57">
        <f t="shared" si="32"/>
        <v>0</v>
      </c>
      <c r="AK57">
        <v>98.94</v>
      </c>
      <c r="AL57">
        <v>98.94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95</v>
      </c>
      <c r="AU57">
        <v>53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9.8800000000000008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2</v>
      </c>
      <c r="BJ57" t="s">
        <v>3</v>
      </c>
      <c r="BM57">
        <v>69</v>
      </c>
      <c r="BN57">
        <v>0</v>
      </c>
      <c r="BO57" t="s">
        <v>3</v>
      </c>
      <c r="BP57">
        <v>0</v>
      </c>
      <c r="BQ57">
        <v>40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95</v>
      </c>
      <c r="CA57">
        <v>53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33"/>
        <v>11730.33</v>
      </c>
      <c r="CQ57">
        <f t="shared" si="53"/>
        <v>977.53</v>
      </c>
      <c r="CR57">
        <f>(ROUND((ROUND(((ET57)*AV57*1),2)*BB57),2)+ROUND((ROUND(((AE57-(EU57))*AV57*1),2)*BS57),2))</f>
        <v>0</v>
      </c>
      <c r="CS57">
        <f t="shared" si="34"/>
        <v>0</v>
      </c>
      <c r="CT57">
        <f t="shared" si="35"/>
        <v>0</v>
      </c>
      <c r="CU57">
        <f t="shared" si="36"/>
        <v>0</v>
      </c>
      <c r="CV57">
        <f t="shared" si="37"/>
        <v>0</v>
      </c>
      <c r="CW57">
        <f t="shared" si="38"/>
        <v>0</v>
      </c>
      <c r="CX57">
        <f t="shared" si="39"/>
        <v>0</v>
      </c>
      <c r="CY57">
        <f t="shared" si="40"/>
        <v>0</v>
      </c>
      <c r="CZ57">
        <f t="shared" si="41"/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1010</v>
      </c>
      <c r="DV57" t="s">
        <v>34</v>
      </c>
      <c r="DW57" t="s">
        <v>34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58808179</v>
      </c>
      <c r="EF57">
        <v>40</v>
      </c>
      <c r="EG57" t="s">
        <v>27</v>
      </c>
      <c r="EH57">
        <v>0</v>
      </c>
      <c r="EI57" t="s">
        <v>3</v>
      </c>
      <c r="EJ57">
        <v>2</v>
      </c>
      <c r="EK57">
        <v>69</v>
      </c>
      <c r="EL57" t="s">
        <v>87</v>
      </c>
      <c r="EM57" t="s">
        <v>88</v>
      </c>
      <c r="EO57" t="s">
        <v>3</v>
      </c>
      <c r="EQ57">
        <v>0</v>
      </c>
      <c r="ER57">
        <v>130.41000000000003</v>
      </c>
      <c r="ES57">
        <v>98.94</v>
      </c>
      <c r="ET57">
        <v>0</v>
      </c>
      <c r="EU57">
        <v>0</v>
      </c>
      <c r="EV57">
        <v>0</v>
      </c>
      <c r="EW57">
        <v>0</v>
      </c>
      <c r="EX57">
        <v>0</v>
      </c>
      <c r="EZ57">
        <v>5</v>
      </c>
      <c r="FC57">
        <v>1</v>
      </c>
      <c r="FD57">
        <v>18</v>
      </c>
      <c r="FF57">
        <v>1150</v>
      </c>
      <c r="FQ57">
        <v>0</v>
      </c>
      <c r="FR57">
        <v>0</v>
      </c>
      <c r="FS57">
        <v>0</v>
      </c>
      <c r="FX57">
        <v>95</v>
      </c>
      <c r="FY57">
        <v>53</v>
      </c>
      <c r="GA57" t="s">
        <v>92</v>
      </c>
      <c r="GD57">
        <v>1</v>
      </c>
      <c r="GF57">
        <v>-871963031</v>
      </c>
      <c r="GG57">
        <v>2</v>
      </c>
      <c r="GH57">
        <v>3</v>
      </c>
      <c r="GI57">
        <v>5</v>
      </c>
      <c r="GJ57">
        <v>0</v>
      </c>
      <c r="GK57">
        <v>0</v>
      </c>
      <c r="GL57">
        <f t="shared" si="42"/>
        <v>0</v>
      </c>
      <c r="GM57">
        <f t="shared" si="43"/>
        <v>11730.33</v>
      </c>
      <c r="GN57">
        <f t="shared" si="44"/>
        <v>0</v>
      </c>
      <c r="GO57">
        <f t="shared" si="45"/>
        <v>11730.33</v>
      </c>
      <c r="GP57">
        <f t="shared" si="46"/>
        <v>0</v>
      </c>
      <c r="GR57">
        <v>2</v>
      </c>
      <c r="GS57">
        <v>1</v>
      </c>
      <c r="GT57">
        <v>0</v>
      </c>
      <c r="GU57" t="s">
        <v>3</v>
      </c>
      <c r="GV57">
        <f t="shared" si="47"/>
        <v>0</v>
      </c>
      <c r="GW57">
        <v>1</v>
      </c>
      <c r="GX57">
        <f t="shared" si="48"/>
        <v>0</v>
      </c>
      <c r="HA57">
        <v>0</v>
      </c>
      <c r="HB57">
        <v>0</v>
      </c>
      <c r="HC57">
        <f t="shared" si="49"/>
        <v>0</v>
      </c>
      <c r="HE57" t="s">
        <v>93</v>
      </c>
      <c r="HF57" t="s">
        <v>31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>
        <f>ROW(SmtRes!A66)</f>
        <v>66</v>
      </c>
      <c r="D58" s="2">
        <f>ROW(EtalonRes!A73)</f>
        <v>73</v>
      </c>
      <c r="E58" s="2" t="s">
        <v>94</v>
      </c>
      <c r="F58" s="2" t="s">
        <v>95</v>
      </c>
      <c r="G58" s="2" t="s">
        <v>96</v>
      </c>
      <c r="H58" s="2" t="s">
        <v>43</v>
      </c>
      <c r="I58" s="2">
        <f>ROUND(ROUND(27,4),9)</f>
        <v>27</v>
      </c>
      <c r="J58" s="2">
        <v>0</v>
      </c>
      <c r="K58" s="2">
        <f>ROUND(ROUND(27,4),9)</f>
        <v>27</v>
      </c>
      <c r="L58" s="2"/>
      <c r="M58" s="2"/>
      <c r="N58" s="2"/>
      <c r="O58" s="2">
        <f t="shared" si="21"/>
        <v>332.73</v>
      </c>
      <c r="P58" s="2">
        <f t="shared" si="52"/>
        <v>0</v>
      </c>
      <c r="Q58" s="2">
        <f>(ROUND((ROUND((((ET58*1.1))*AV58*I58),2)*BB58),2)+ROUND((ROUND(((AE58-((EU58*1.1)))*AV58*I58),2)*BS58),2))</f>
        <v>0</v>
      </c>
      <c r="R58" s="2">
        <f t="shared" si="22"/>
        <v>0</v>
      </c>
      <c r="S58" s="2">
        <f t="shared" si="23"/>
        <v>332.73</v>
      </c>
      <c r="T58" s="2">
        <f t="shared" si="24"/>
        <v>0</v>
      </c>
      <c r="U58" s="2">
        <f t="shared" si="25"/>
        <v>31.0959</v>
      </c>
      <c r="V58" s="2">
        <f t="shared" si="26"/>
        <v>0</v>
      </c>
      <c r="W58" s="2">
        <f t="shared" si="27"/>
        <v>0</v>
      </c>
      <c r="X58" s="2">
        <f t="shared" si="28"/>
        <v>316.08999999999997</v>
      </c>
      <c r="Y58" s="2">
        <f t="shared" si="29"/>
        <v>176.35</v>
      </c>
      <c r="Z58" s="2"/>
      <c r="AA58" s="2">
        <v>59213216</v>
      </c>
      <c r="AB58" s="2">
        <f t="shared" si="30"/>
        <v>11.77</v>
      </c>
      <c r="AC58" s="2">
        <f>ROUND(((ES58*1)),6)</f>
        <v>0</v>
      </c>
      <c r="AD58" s="2">
        <f>ROUND(((((ET58*1.1))-((EU58*1.1)))+AE58),6)</f>
        <v>0</v>
      </c>
      <c r="AE58" s="2">
        <f>ROUND(((EU58*1.1)),6)</f>
        <v>0</v>
      </c>
      <c r="AF58" s="2">
        <f>ROUND(((EV58*1.1)),6)</f>
        <v>11.77</v>
      </c>
      <c r="AG58" s="2">
        <f t="shared" si="31"/>
        <v>0</v>
      </c>
      <c r="AH58" s="2">
        <f>((EW58*1.1))</f>
        <v>1.1000000000000001</v>
      </c>
      <c r="AI58" s="2">
        <f>((EX58*1.1))</f>
        <v>0</v>
      </c>
      <c r="AJ58" s="2">
        <f t="shared" si="32"/>
        <v>0</v>
      </c>
      <c r="AK58" s="2">
        <v>10.7</v>
      </c>
      <c r="AL58" s="2">
        <v>0</v>
      </c>
      <c r="AM58" s="2">
        <v>0</v>
      </c>
      <c r="AN58" s="2">
        <v>0</v>
      </c>
      <c r="AO58" s="2">
        <v>10.7</v>
      </c>
      <c r="AP58" s="2">
        <v>0</v>
      </c>
      <c r="AQ58" s="2">
        <v>1</v>
      </c>
      <c r="AR58" s="2">
        <v>0</v>
      </c>
      <c r="AS58" s="2">
        <v>0</v>
      </c>
      <c r="AT58" s="2">
        <v>95</v>
      </c>
      <c r="AU58" s="2">
        <v>53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97</v>
      </c>
      <c r="BK58" s="2"/>
      <c r="BL58" s="2"/>
      <c r="BM58" s="2">
        <v>69</v>
      </c>
      <c r="BN58" s="2">
        <v>58808062</v>
      </c>
      <c r="BO58" s="2" t="s">
        <v>95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95</v>
      </c>
      <c r="CA58" s="2">
        <v>53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492</v>
      </c>
      <c r="CO58" s="2">
        <v>0</v>
      </c>
      <c r="CP58" s="2">
        <f t="shared" si="33"/>
        <v>332.73</v>
      </c>
      <c r="CQ58" s="2">
        <f t="shared" si="53"/>
        <v>0</v>
      </c>
      <c r="CR58" s="2">
        <f>(ROUND((ROUND((((ET58*1.1))*AV58*1),2)*BB58),2)+ROUND((ROUND(((AE58-((EU58*1.1)))*AV58*1),2)*BS58),2))</f>
        <v>0</v>
      </c>
      <c r="CS58" s="2">
        <f t="shared" si="34"/>
        <v>0</v>
      </c>
      <c r="CT58" s="2">
        <f t="shared" si="35"/>
        <v>12.32</v>
      </c>
      <c r="CU58" s="2">
        <f t="shared" si="36"/>
        <v>0</v>
      </c>
      <c r="CV58" s="2">
        <f t="shared" si="37"/>
        <v>1.1516999999999999</v>
      </c>
      <c r="CW58" s="2">
        <f t="shared" si="38"/>
        <v>0</v>
      </c>
      <c r="CX58" s="2">
        <f t="shared" si="39"/>
        <v>0</v>
      </c>
      <c r="CY58" s="2">
        <f t="shared" si="40"/>
        <v>316.09350000000001</v>
      </c>
      <c r="CZ58" s="2">
        <f t="shared" si="41"/>
        <v>176.34690000000003</v>
      </c>
      <c r="DA58" s="2"/>
      <c r="DB58" s="2">
        <v>15</v>
      </c>
      <c r="DC58" s="2" t="s">
        <v>3</v>
      </c>
      <c r="DD58" s="2" t="s">
        <v>25</v>
      </c>
      <c r="DE58" s="2" t="s">
        <v>26</v>
      </c>
      <c r="DF58" s="2" t="s">
        <v>26</v>
      </c>
      <c r="DG58" s="2" t="s">
        <v>26</v>
      </c>
      <c r="DH58" s="2" t="s">
        <v>3</v>
      </c>
      <c r="DI58" s="2" t="s">
        <v>26</v>
      </c>
      <c r="DJ58" s="2" t="s">
        <v>26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43</v>
      </c>
      <c r="DW58" s="2" t="s">
        <v>43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58808179</v>
      </c>
      <c r="EF58" s="2">
        <v>40</v>
      </c>
      <c r="EG58" s="2" t="s">
        <v>27</v>
      </c>
      <c r="EH58" s="2">
        <v>0</v>
      </c>
      <c r="EI58" s="2" t="s">
        <v>3</v>
      </c>
      <c r="EJ58" s="2">
        <v>2</v>
      </c>
      <c r="EK58" s="2">
        <v>69</v>
      </c>
      <c r="EL58" s="2" t="s">
        <v>87</v>
      </c>
      <c r="EM58" s="2" t="s">
        <v>88</v>
      </c>
      <c r="EN58" s="2"/>
      <c r="EO58" s="2" t="s">
        <v>30</v>
      </c>
      <c r="EP58" s="2"/>
      <c r="EQ58" s="2">
        <v>0</v>
      </c>
      <c r="ER58" s="2">
        <v>10.7</v>
      </c>
      <c r="ES58" s="2">
        <v>0</v>
      </c>
      <c r="ET58" s="2">
        <v>0</v>
      </c>
      <c r="EU58" s="2">
        <v>0</v>
      </c>
      <c r="EV58" s="2">
        <v>10.7</v>
      </c>
      <c r="EW58" s="2">
        <v>1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95</v>
      </c>
      <c r="FY58" s="2">
        <v>53</v>
      </c>
      <c r="FZ58" s="2"/>
      <c r="GA58" s="2" t="s">
        <v>3</v>
      </c>
      <c r="GB58" s="2"/>
      <c r="GC58" s="2"/>
      <c r="GD58" s="2">
        <v>1</v>
      </c>
      <c r="GE58" s="2"/>
      <c r="GF58" s="2">
        <v>-1595364230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42"/>
        <v>0</v>
      </c>
      <c r="GM58" s="2">
        <f t="shared" si="43"/>
        <v>825.17</v>
      </c>
      <c r="GN58" s="2">
        <f t="shared" si="44"/>
        <v>0</v>
      </c>
      <c r="GO58" s="2">
        <f t="shared" si="45"/>
        <v>825.17</v>
      </c>
      <c r="GP58" s="2">
        <f t="shared" si="4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47"/>
        <v>0</v>
      </c>
      <c r="GW58" s="2">
        <v>1</v>
      </c>
      <c r="GX58" s="2">
        <f t="shared" si="48"/>
        <v>0</v>
      </c>
      <c r="GY58" s="2"/>
      <c r="GZ58" s="2"/>
      <c r="HA58" s="2">
        <v>0</v>
      </c>
      <c r="HB58" s="2">
        <v>0</v>
      </c>
      <c r="HC58" s="2">
        <f t="shared" si="4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C59">
        <f>ROW(SmtRes!A68)</f>
        <v>68</v>
      </c>
      <c r="D59">
        <f>ROW(EtalonRes!A76)</f>
        <v>76</v>
      </c>
      <c r="E59" t="s">
        <v>94</v>
      </c>
      <c r="F59" t="s">
        <v>95</v>
      </c>
      <c r="G59" t="s">
        <v>96</v>
      </c>
      <c r="H59" t="s">
        <v>43</v>
      </c>
      <c r="I59">
        <f>ROUND(ROUND(27,4),9)</f>
        <v>27</v>
      </c>
      <c r="J59">
        <v>0</v>
      </c>
      <c r="K59">
        <f>ROUND(ROUND(27,4),9)</f>
        <v>27</v>
      </c>
      <c r="O59">
        <f t="shared" si="21"/>
        <v>18296.82</v>
      </c>
      <c r="P59">
        <f t="shared" si="52"/>
        <v>0</v>
      </c>
      <c r="Q59">
        <f>(ROUND((ROUND((((ET59*1.1))*AV59*I59),2)*BB59),2)+ROUND((ROUND(((AE59-((EU59*1.1)))*AV59*I59),2)*BS59),2))</f>
        <v>0</v>
      </c>
      <c r="R59">
        <f t="shared" si="22"/>
        <v>0</v>
      </c>
      <c r="S59">
        <f t="shared" si="23"/>
        <v>18296.82</v>
      </c>
      <c r="T59">
        <f t="shared" si="24"/>
        <v>0</v>
      </c>
      <c r="U59">
        <f t="shared" si="25"/>
        <v>31.0959</v>
      </c>
      <c r="V59">
        <f t="shared" si="26"/>
        <v>0</v>
      </c>
      <c r="W59">
        <f t="shared" si="27"/>
        <v>0</v>
      </c>
      <c r="X59">
        <f t="shared" si="28"/>
        <v>17381.98</v>
      </c>
      <c r="Y59">
        <f t="shared" si="29"/>
        <v>9697.31</v>
      </c>
      <c r="AA59">
        <v>59213213</v>
      </c>
      <c r="AB59">
        <f t="shared" si="30"/>
        <v>11.77</v>
      </c>
      <c r="AC59">
        <f>ROUND(((ES59*1)),6)</f>
        <v>0</v>
      </c>
      <c r="AD59">
        <f>ROUND(((((ET59*1.1))-((EU59*1.1)))+AE59),6)</f>
        <v>0</v>
      </c>
      <c r="AE59">
        <f>ROUND(((EU59*1.1)),6)</f>
        <v>0</v>
      </c>
      <c r="AF59">
        <f>ROUND(((EV59*1.1)),6)</f>
        <v>11.77</v>
      </c>
      <c r="AG59">
        <f t="shared" si="31"/>
        <v>0</v>
      </c>
      <c r="AH59">
        <f>((EW59*1.1))</f>
        <v>1.1000000000000001</v>
      </c>
      <c r="AI59">
        <f>((EX59*1.1))</f>
        <v>0</v>
      </c>
      <c r="AJ59">
        <f t="shared" si="32"/>
        <v>0</v>
      </c>
      <c r="AK59">
        <v>10.7</v>
      </c>
      <c r="AL59">
        <v>0</v>
      </c>
      <c r="AM59">
        <v>0</v>
      </c>
      <c r="AN59">
        <v>0</v>
      </c>
      <c r="AO59">
        <v>10.7</v>
      </c>
      <c r="AP59">
        <v>0</v>
      </c>
      <c r="AQ59">
        <v>1</v>
      </c>
      <c r="AR59">
        <v>0</v>
      </c>
      <c r="AS59">
        <v>0</v>
      </c>
      <c r="AT59">
        <v>95</v>
      </c>
      <c r="AU59">
        <v>53</v>
      </c>
      <c r="AV59">
        <v>1.0469999999999999</v>
      </c>
      <c r="AW59">
        <v>1</v>
      </c>
      <c r="AZ59">
        <v>1</v>
      </c>
      <c r="BA59">
        <v>54.99</v>
      </c>
      <c r="BB59">
        <v>1</v>
      </c>
      <c r="BC59">
        <v>1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2</v>
      </c>
      <c r="BJ59" t="s">
        <v>97</v>
      </c>
      <c r="BM59">
        <v>69</v>
      </c>
      <c r="BN59">
        <v>58808062</v>
      </c>
      <c r="BO59" t="s">
        <v>95</v>
      </c>
      <c r="BP59">
        <v>1</v>
      </c>
      <c r="BQ59">
        <v>40</v>
      </c>
      <c r="BR59">
        <v>0</v>
      </c>
      <c r="BS59">
        <v>54.99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95</v>
      </c>
      <c r="CA59">
        <v>53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492</v>
      </c>
      <c r="CO59">
        <v>0</v>
      </c>
      <c r="CP59">
        <f t="shared" si="33"/>
        <v>18296.82</v>
      </c>
      <c r="CQ59">
        <f t="shared" si="53"/>
        <v>0</v>
      </c>
      <c r="CR59">
        <f>(ROUND((ROUND((((ET59*1.1))*AV59*1),2)*BB59),2)+ROUND((ROUND(((AE59-((EU59*1.1)))*AV59*1),2)*BS59),2))</f>
        <v>0</v>
      </c>
      <c r="CS59">
        <f t="shared" si="34"/>
        <v>0</v>
      </c>
      <c r="CT59">
        <f t="shared" si="35"/>
        <v>677.48</v>
      </c>
      <c r="CU59">
        <f t="shared" si="36"/>
        <v>0</v>
      </c>
      <c r="CV59">
        <f t="shared" si="37"/>
        <v>1.1516999999999999</v>
      </c>
      <c r="CW59">
        <f t="shared" si="38"/>
        <v>0</v>
      </c>
      <c r="CX59">
        <f t="shared" si="39"/>
        <v>0</v>
      </c>
      <c r="CY59">
        <f t="shared" si="40"/>
        <v>17381.978999999999</v>
      </c>
      <c r="CZ59">
        <f t="shared" si="41"/>
        <v>9697.3145999999997</v>
      </c>
      <c r="DB59">
        <v>16</v>
      </c>
      <c r="DC59" t="s">
        <v>3</v>
      </c>
      <c r="DD59" t="s">
        <v>25</v>
      </c>
      <c r="DE59" t="s">
        <v>26</v>
      </c>
      <c r="DF59" t="s">
        <v>26</v>
      </c>
      <c r="DG59" t="s">
        <v>26</v>
      </c>
      <c r="DH59" t="s">
        <v>3</v>
      </c>
      <c r="DI59" t="s">
        <v>26</v>
      </c>
      <c r="DJ59" t="s">
        <v>26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1013</v>
      </c>
      <c r="DV59" t="s">
        <v>43</v>
      </c>
      <c r="DW59" t="s">
        <v>43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58808179</v>
      </c>
      <c r="EF59">
        <v>40</v>
      </c>
      <c r="EG59" t="s">
        <v>27</v>
      </c>
      <c r="EH59">
        <v>0</v>
      </c>
      <c r="EI59" t="s">
        <v>3</v>
      </c>
      <c r="EJ59">
        <v>2</v>
      </c>
      <c r="EK59">
        <v>69</v>
      </c>
      <c r="EL59" t="s">
        <v>87</v>
      </c>
      <c r="EM59" t="s">
        <v>88</v>
      </c>
      <c r="EO59" t="s">
        <v>30</v>
      </c>
      <c r="EQ59">
        <v>0</v>
      </c>
      <c r="ER59">
        <v>10.7</v>
      </c>
      <c r="ES59">
        <v>0</v>
      </c>
      <c r="ET59">
        <v>0</v>
      </c>
      <c r="EU59">
        <v>0</v>
      </c>
      <c r="EV59">
        <v>10.7</v>
      </c>
      <c r="EW59">
        <v>1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95</v>
      </c>
      <c r="FY59">
        <v>53</v>
      </c>
      <c r="GA59" t="s">
        <v>3</v>
      </c>
      <c r="GD59">
        <v>1</v>
      </c>
      <c r="GF59">
        <v>-1595364230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42"/>
        <v>0</v>
      </c>
      <c r="GM59">
        <f t="shared" si="43"/>
        <v>45376.11</v>
      </c>
      <c r="GN59">
        <f t="shared" si="44"/>
        <v>0</v>
      </c>
      <c r="GO59">
        <f t="shared" si="45"/>
        <v>45376.11</v>
      </c>
      <c r="GP59">
        <f t="shared" si="46"/>
        <v>0</v>
      </c>
      <c r="GR59">
        <v>0</v>
      </c>
      <c r="GS59">
        <v>3</v>
      </c>
      <c r="GT59">
        <v>0</v>
      </c>
      <c r="GU59" t="s">
        <v>3</v>
      </c>
      <c r="GV59">
        <f t="shared" si="47"/>
        <v>0</v>
      </c>
      <c r="GW59">
        <v>1</v>
      </c>
      <c r="GX59">
        <f t="shared" si="48"/>
        <v>0</v>
      </c>
      <c r="HA59">
        <v>0</v>
      </c>
      <c r="HB59">
        <v>0</v>
      </c>
      <c r="HC59">
        <f t="shared" si="49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98</v>
      </c>
      <c r="F60" s="2" t="s">
        <v>99</v>
      </c>
      <c r="G60" s="2" t="s">
        <v>100</v>
      </c>
      <c r="H60" s="2" t="s">
        <v>34</v>
      </c>
      <c r="I60" s="2">
        <v>27</v>
      </c>
      <c r="J60" s="2">
        <v>0</v>
      </c>
      <c r="K60" s="2">
        <v>27</v>
      </c>
      <c r="L60" s="2"/>
      <c r="M60" s="2"/>
      <c r="N60" s="2"/>
      <c r="O60" s="2">
        <f t="shared" ref="O60:O89" si="54">ROUND(CP60,2)</f>
        <v>3329.64</v>
      </c>
      <c r="P60" s="2">
        <f>ROUND((ROUND((AC60*I60),2)*BC60),2)</f>
        <v>3329.64</v>
      </c>
      <c r="Q60" s="2">
        <f>(ROUND((ROUND(((ET60)*AV60*I60),2)*BB60),2)+ROUND((ROUND(((AE60-(EU60))*AV60*I60),2)*BS60),2))</f>
        <v>0</v>
      </c>
      <c r="R60" s="2">
        <f t="shared" ref="R60:R89" si="55">ROUND((ROUND((AE60*AV60*I60),2)*BS60),2)</f>
        <v>0</v>
      </c>
      <c r="S60" s="2">
        <f t="shared" ref="S60:S89" si="56">ROUND((ROUND((AF60*AV60*I60),2)*BA60),2)</f>
        <v>0</v>
      </c>
      <c r="T60" s="2">
        <f t="shared" ref="T60:T89" si="57">ROUND(CU60*I60,2)</f>
        <v>0</v>
      </c>
      <c r="U60" s="2">
        <f t="shared" ref="U60:U89" si="58">CV60*I60</f>
        <v>0</v>
      </c>
      <c r="V60" s="2">
        <f t="shared" ref="V60:V89" si="59">CW60*I60</f>
        <v>0</v>
      </c>
      <c r="W60" s="2">
        <f t="shared" ref="W60:W89" si="60">ROUND(CX60*I60,2)</f>
        <v>0</v>
      </c>
      <c r="X60" s="2">
        <f t="shared" ref="X60:X89" si="61">ROUND(CY60,2)</f>
        <v>0</v>
      </c>
      <c r="Y60" s="2">
        <f t="shared" ref="Y60:Y89" si="62">ROUND(CZ60,2)</f>
        <v>0</v>
      </c>
      <c r="Z60" s="2"/>
      <c r="AA60" s="2">
        <v>59213216</v>
      </c>
      <c r="AB60" s="2">
        <f t="shared" ref="AB60:AB89" si="63">ROUND((AC60+AD60+AF60),6)</f>
        <v>123.32</v>
      </c>
      <c r="AC60" s="2">
        <f>ROUND((ES60),6)</f>
        <v>123.32</v>
      </c>
      <c r="AD60" s="2">
        <f>ROUND((((ET60)-(EU60))+AE60),6)</f>
        <v>0</v>
      </c>
      <c r="AE60" s="2">
        <f>ROUND((EU60),6)</f>
        <v>0</v>
      </c>
      <c r="AF60" s="2">
        <f>ROUND((EV60),6)</f>
        <v>0</v>
      </c>
      <c r="AG60" s="2">
        <f t="shared" ref="AG60:AG89" si="64">ROUND((AP60),6)</f>
        <v>0</v>
      </c>
      <c r="AH60" s="2">
        <f>(EW60)</f>
        <v>0</v>
      </c>
      <c r="AI60" s="2">
        <f>(EX60)</f>
        <v>0</v>
      </c>
      <c r="AJ60" s="2">
        <f t="shared" ref="AJ60:AJ89" si="65">(AS60)</f>
        <v>0</v>
      </c>
      <c r="AK60" s="2">
        <v>123.32</v>
      </c>
      <c r="AL60" s="2">
        <v>123.32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3</v>
      </c>
      <c r="BJ60" s="2" t="s">
        <v>3</v>
      </c>
      <c r="BK60" s="2"/>
      <c r="BL60" s="2"/>
      <c r="BM60" s="2">
        <v>746</v>
      </c>
      <c r="BN60" s="2">
        <v>0</v>
      </c>
      <c r="BO60" s="2" t="s">
        <v>3</v>
      </c>
      <c r="BP60" s="2">
        <v>0</v>
      </c>
      <c r="BQ60" s="2">
        <v>130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ref="CP60:CP89" si="66">(P60+Q60+S60)</f>
        <v>3329.64</v>
      </c>
      <c r="CQ60" s="2">
        <f>ROUND((ROUND((AC60*1),2)*BC60),2)</f>
        <v>123.32</v>
      </c>
      <c r="CR60" s="2">
        <f>(ROUND((ROUND(((ET60)*AV60*1),2)*BB60),2)+ROUND((ROUND(((AE60-(EU60))*AV60*1),2)*BS60),2))</f>
        <v>0</v>
      </c>
      <c r="CS60" s="2">
        <f t="shared" ref="CS60:CS89" si="67">ROUND((ROUND((AE60*AV60*1),2)*BS60),2)</f>
        <v>0</v>
      </c>
      <c r="CT60" s="2">
        <f t="shared" ref="CT60:CT89" si="68">ROUND((ROUND((AF60*AV60*1),2)*BA60),2)</f>
        <v>0</v>
      </c>
      <c r="CU60" s="2">
        <f t="shared" ref="CU60:CU89" si="69">AG60</f>
        <v>0</v>
      </c>
      <c r="CV60" s="2">
        <f t="shared" ref="CV60:CV89" si="70">(AH60*AV60)</f>
        <v>0</v>
      </c>
      <c r="CW60" s="2">
        <f t="shared" ref="CW60:CW89" si="71">AI60</f>
        <v>0</v>
      </c>
      <c r="CX60" s="2">
        <f t="shared" ref="CX60:CX89" si="72">AJ60</f>
        <v>0</v>
      </c>
      <c r="CY60" s="2">
        <f t="shared" ref="CY60:CY89" si="73">(((S60+R60)*AT60)/100)</f>
        <v>0</v>
      </c>
      <c r="CZ60" s="2">
        <f t="shared" ref="CZ60:CZ89" si="74">(((S60+R60)*AU60)/100)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34</v>
      </c>
      <c r="DW60" s="2" t="s">
        <v>34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58808284</v>
      </c>
      <c r="EF60" s="2">
        <v>130</v>
      </c>
      <c r="EG60" s="2" t="s">
        <v>35</v>
      </c>
      <c r="EH60" s="2">
        <v>0</v>
      </c>
      <c r="EI60" s="2" t="s">
        <v>3</v>
      </c>
      <c r="EJ60" s="2">
        <v>3</v>
      </c>
      <c r="EK60" s="2">
        <v>746</v>
      </c>
      <c r="EL60" s="2" t="s">
        <v>36</v>
      </c>
      <c r="EM60" s="2" t="s">
        <v>37</v>
      </c>
      <c r="EN60" s="2"/>
      <c r="EO60" s="2" t="s">
        <v>3</v>
      </c>
      <c r="EP60" s="2"/>
      <c r="EQ60" s="2">
        <v>0</v>
      </c>
      <c r="ER60" s="2">
        <v>0</v>
      </c>
      <c r="ES60" s="2">
        <v>123.32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f>P60</f>
        <v>3329.64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101</v>
      </c>
      <c r="GB60" s="2"/>
      <c r="GC60" s="2"/>
      <c r="GD60" s="2">
        <v>1</v>
      </c>
      <c r="GE60" s="2"/>
      <c r="GF60" s="2">
        <v>-859608360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ref="GL60:GL89" si="75">ROUND(IF(AND(BH60=3,BI60=3,FS60&lt;&gt;0),P60,0),2)</f>
        <v>0</v>
      </c>
      <c r="GM60" s="2">
        <f t="shared" ref="GM60:GM89" si="76">ROUND(O60+X60+Y60,2)+GX60</f>
        <v>3329.64</v>
      </c>
      <c r="GN60" s="2">
        <f t="shared" ref="GN60:GN89" si="77">IF(OR(BI60=0,BI60=1),GM60-GX60,0)</f>
        <v>0</v>
      </c>
      <c r="GO60" s="2">
        <f t="shared" ref="GO60:GO89" si="78">IF(BI60=2,GM60-GX60,0)</f>
        <v>0</v>
      </c>
      <c r="GP60" s="2">
        <f t="shared" ref="GP60:GP89" si="79">IF(BI60=4,GM60-GX60,0)</f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ref="GV60:GV89" si="80">ROUND((GT60),6)</f>
        <v>0</v>
      </c>
      <c r="GW60" s="2">
        <v>1</v>
      </c>
      <c r="GX60" s="2">
        <f t="shared" ref="GX60:GX89" si="81">ROUND(HC60*I60,2)</f>
        <v>0</v>
      </c>
      <c r="GY60" s="2"/>
      <c r="GZ60" s="2"/>
      <c r="HA60" s="2">
        <v>0</v>
      </c>
      <c r="HB60" s="2">
        <v>0</v>
      </c>
      <c r="HC60" s="2">
        <f t="shared" ref="HC60:HC89" si="82">GV60*GW60</f>
        <v>0</v>
      </c>
      <c r="HD60" s="2"/>
      <c r="HE60" s="2" t="s">
        <v>39</v>
      </c>
      <c r="HF60" s="2" t="s">
        <v>40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E61" t="s">
        <v>98</v>
      </c>
      <c r="F61" t="s">
        <v>99</v>
      </c>
      <c r="G61" t="s">
        <v>100</v>
      </c>
      <c r="H61" t="s">
        <v>34</v>
      </c>
      <c r="I61">
        <v>27</v>
      </c>
      <c r="J61">
        <v>0</v>
      </c>
      <c r="K61">
        <v>27</v>
      </c>
      <c r="O61">
        <f t="shared" si="54"/>
        <v>25505.040000000001</v>
      </c>
      <c r="P61">
        <f>ROUND((ROUND((AC61*I61),2)*BC61),2)</f>
        <v>25505.040000000001</v>
      </c>
      <c r="Q61">
        <f>(ROUND((ROUND(((ET61)*AV61*I61),2)*BB61),2)+ROUND((ROUND(((AE61-(EU61))*AV61*I61),2)*BS61),2))</f>
        <v>0</v>
      </c>
      <c r="R61">
        <f t="shared" si="55"/>
        <v>0</v>
      </c>
      <c r="S61">
        <f t="shared" si="56"/>
        <v>0</v>
      </c>
      <c r="T61">
        <f t="shared" si="57"/>
        <v>0</v>
      </c>
      <c r="U61">
        <f t="shared" si="58"/>
        <v>0</v>
      </c>
      <c r="V61">
        <f t="shared" si="59"/>
        <v>0</v>
      </c>
      <c r="W61">
        <f t="shared" si="60"/>
        <v>0</v>
      </c>
      <c r="X61">
        <f t="shared" si="61"/>
        <v>0</v>
      </c>
      <c r="Y61">
        <f t="shared" si="62"/>
        <v>0</v>
      </c>
      <c r="AA61">
        <v>59213213</v>
      </c>
      <c r="AB61">
        <f t="shared" si="63"/>
        <v>123.32</v>
      </c>
      <c r="AC61">
        <f>ROUND((ES61),6)</f>
        <v>123.32</v>
      </c>
      <c r="AD61">
        <f>ROUND((((ET61)-(EU61))+AE61),6)</f>
        <v>0</v>
      </c>
      <c r="AE61">
        <f>ROUND((EU61),6)</f>
        <v>0</v>
      </c>
      <c r="AF61">
        <f>ROUND((EV61),6)</f>
        <v>0</v>
      </c>
      <c r="AG61">
        <f t="shared" si="64"/>
        <v>0</v>
      </c>
      <c r="AH61">
        <f>(EW61)</f>
        <v>0</v>
      </c>
      <c r="AI61">
        <f>(EX61)</f>
        <v>0</v>
      </c>
      <c r="AJ61">
        <f t="shared" si="65"/>
        <v>0</v>
      </c>
      <c r="AK61">
        <v>123.32</v>
      </c>
      <c r="AL61">
        <v>123.32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7.66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3</v>
      </c>
      <c r="BJ61" t="s">
        <v>3</v>
      </c>
      <c r="BM61">
        <v>746</v>
      </c>
      <c r="BN61">
        <v>0</v>
      </c>
      <c r="BO61" t="s">
        <v>3</v>
      </c>
      <c r="BP61">
        <v>0</v>
      </c>
      <c r="BQ61">
        <v>130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0</v>
      </c>
      <c r="CA61">
        <v>0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3</v>
      </c>
      <c r="CO61">
        <v>0</v>
      </c>
      <c r="CP61">
        <f t="shared" si="66"/>
        <v>25505.040000000001</v>
      </c>
      <c r="CQ61">
        <f>ROUND((ROUND((AC61*1),2)*BC61),2)</f>
        <v>944.63</v>
      </c>
      <c r="CR61">
        <f>(ROUND((ROUND(((ET61)*AV61*1),2)*BB61),2)+ROUND((ROUND(((AE61-(EU61))*AV61*1),2)*BS61),2))</f>
        <v>0</v>
      </c>
      <c r="CS61">
        <f t="shared" si="67"/>
        <v>0</v>
      </c>
      <c r="CT61">
        <f t="shared" si="68"/>
        <v>0</v>
      </c>
      <c r="CU61">
        <f t="shared" si="69"/>
        <v>0</v>
      </c>
      <c r="CV61">
        <f t="shared" si="70"/>
        <v>0</v>
      </c>
      <c r="CW61">
        <f t="shared" si="71"/>
        <v>0</v>
      </c>
      <c r="CX61">
        <f t="shared" si="72"/>
        <v>0</v>
      </c>
      <c r="CY61">
        <f t="shared" si="73"/>
        <v>0</v>
      </c>
      <c r="CZ61">
        <f t="shared" si="74"/>
        <v>0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1010</v>
      </c>
      <c r="DV61" t="s">
        <v>34</v>
      </c>
      <c r="DW61" t="s">
        <v>34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58808284</v>
      </c>
      <c r="EF61">
        <v>130</v>
      </c>
      <c r="EG61" t="s">
        <v>35</v>
      </c>
      <c r="EH61">
        <v>0</v>
      </c>
      <c r="EI61" t="s">
        <v>3</v>
      </c>
      <c r="EJ61">
        <v>3</v>
      </c>
      <c r="EK61">
        <v>746</v>
      </c>
      <c r="EL61" t="s">
        <v>36</v>
      </c>
      <c r="EM61" t="s">
        <v>37</v>
      </c>
      <c r="EO61" t="s">
        <v>3</v>
      </c>
      <c r="EQ61">
        <v>0</v>
      </c>
      <c r="ER61">
        <v>123.32</v>
      </c>
      <c r="ES61">
        <v>123.32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5</v>
      </c>
      <c r="FC61">
        <v>1</v>
      </c>
      <c r="FD61">
        <v>18</v>
      </c>
      <c r="FF61">
        <v>1087.5</v>
      </c>
      <c r="FQ61">
        <v>0</v>
      </c>
      <c r="FR61">
        <f>P61</f>
        <v>25505.040000000001</v>
      </c>
      <c r="FS61">
        <v>0</v>
      </c>
      <c r="FX61">
        <v>0</v>
      </c>
      <c r="FY61">
        <v>0</v>
      </c>
      <c r="GA61" t="s">
        <v>101</v>
      </c>
      <c r="GD61">
        <v>1</v>
      </c>
      <c r="GF61">
        <v>-859608360</v>
      </c>
      <c r="GG61">
        <v>2</v>
      </c>
      <c r="GH61">
        <v>3</v>
      </c>
      <c r="GI61">
        <v>5</v>
      </c>
      <c r="GJ61">
        <v>0</v>
      </c>
      <c r="GK61">
        <v>0</v>
      </c>
      <c r="GL61">
        <f t="shared" si="75"/>
        <v>0</v>
      </c>
      <c r="GM61">
        <f t="shared" si="76"/>
        <v>25505.040000000001</v>
      </c>
      <c r="GN61">
        <f t="shared" si="77"/>
        <v>0</v>
      </c>
      <c r="GO61">
        <f t="shared" si="78"/>
        <v>0</v>
      </c>
      <c r="GP61">
        <f t="shared" si="79"/>
        <v>0</v>
      </c>
      <c r="GR61">
        <v>2</v>
      </c>
      <c r="GS61">
        <v>1</v>
      </c>
      <c r="GT61">
        <v>0</v>
      </c>
      <c r="GU61" t="s">
        <v>3</v>
      </c>
      <c r="GV61">
        <f t="shared" si="80"/>
        <v>0</v>
      </c>
      <c r="GW61">
        <v>1</v>
      </c>
      <c r="GX61">
        <f t="shared" si="81"/>
        <v>0</v>
      </c>
      <c r="HA61">
        <v>0</v>
      </c>
      <c r="HB61">
        <v>0</v>
      </c>
      <c r="HC61">
        <f t="shared" si="82"/>
        <v>0</v>
      </c>
      <c r="HE61" t="s">
        <v>39</v>
      </c>
      <c r="HF61" t="s">
        <v>40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2">
      <c r="A62" s="2">
        <v>17</v>
      </c>
      <c r="B62" s="2">
        <v>1</v>
      </c>
      <c r="C62" s="2">
        <f>ROW(SmtRes!A72)</f>
        <v>72</v>
      </c>
      <c r="D62" s="2">
        <f>ROW(EtalonRes!A81)</f>
        <v>81</v>
      </c>
      <c r="E62" s="2" t="s">
        <v>102</v>
      </c>
      <c r="F62" s="2" t="s">
        <v>103</v>
      </c>
      <c r="G62" s="2" t="s">
        <v>104</v>
      </c>
      <c r="H62" s="2" t="s">
        <v>43</v>
      </c>
      <c r="I62" s="2">
        <f>ROUND(ROUND(2,4),9)</f>
        <v>2</v>
      </c>
      <c r="J62" s="2">
        <v>0</v>
      </c>
      <c r="K62" s="2">
        <f>ROUND(ROUND(2,4),9)</f>
        <v>2</v>
      </c>
      <c r="L62" s="2"/>
      <c r="M62" s="2"/>
      <c r="N62" s="2"/>
      <c r="O62" s="2">
        <f t="shared" si="54"/>
        <v>97.21</v>
      </c>
      <c r="P62" s="2">
        <f>ROUND((ROUND((AC62*AW62*I62),2)*BC62),2)</f>
        <v>4.68</v>
      </c>
      <c r="Q62" s="2">
        <f>(ROUND((ROUND((((ET62*1.1))*AV62*I62),2)*BB62),2)+ROUND((ROUND(((AE62-((EU62*1.1)))*AV62*I62),2)*BS62),2))</f>
        <v>0</v>
      </c>
      <c r="R62" s="2">
        <f t="shared" si="55"/>
        <v>0</v>
      </c>
      <c r="S62" s="2">
        <f t="shared" si="56"/>
        <v>92.53</v>
      </c>
      <c r="T62" s="2">
        <f t="shared" si="57"/>
        <v>0</v>
      </c>
      <c r="U62" s="2">
        <f t="shared" si="58"/>
        <v>7.3248120000000005</v>
      </c>
      <c r="V62" s="2">
        <f t="shared" si="59"/>
        <v>0</v>
      </c>
      <c r="W62" s="2">
        <f t="shared" si="60"/>
        <v>0</v>
      </c>
      <c r="X62" s="2">
        <f t="shared" si="61"/>
        <v>83.28</v>
      </c>
      <c r="Y62" s="2">
        <f t="shared" si="62"/>
        <v>42.56</v>
      </c>
      <c r="Z62" s="2"/>
      <c r="AA62" s="2">
        <v>59213216</v>
      </c>
      <c r="AB62" s="2">
        <f t="shared" si="63"/>
        <v>46.527000000000001</v>
      </c>
      <c r="AC62" s="2">
        <f>ROUND(((ES62*1)),6)</f>
        <v>2.34</v>
      </c>
      <c r="AD62" s="2">
        <f>ROUND(((((ET62*1.1))-((EU62*1.1)))+AE62),6)</f>
        <v>0</v>
      </c>
      <c r="AE62" s="2">
        <f>ROUND(((EU62*1.1)),6)</f>
        <v>0</v>
      </c>
      <c r="AF62" s="2">
        <f>ROUND(((EV62*1.1)),6)</f>
        <v>44.186999999999998</v>
      </c>
      <c r="AG62" s="2">
        <f t="shared" si="64"/>
        <v>0</v>
      </c>
      <c r="AH62" s="2">
        <f>((EW62*1.1))</f>
        <v>3.4980000000000007</v>
      </c>
      <c r="AI62" s="2">
        <f>((EX62*1.1))</f>
        <v>0</v>
      </c>
      <c r="AJ62" s="2">
        <f t="shared" si="65"/>
        <v>0</v>
      </c>
      <c r="AK62" s="2">
        <v>42.51</v>
      </c>
      <c r="AL62" s="2">
        <v>2.34</v>
      </c>
      <c r="AM62" s="2">
        <v>0</v>
      </c>
      <c r="AN62" s="2">
        <v>0</v>
      </c>
      <c r="AO62" s="2">
        <v>40.17</v>
      </c>
      <c r="AP62" s="2">
        <v>0</v>
      </c>
      <c r="AQ62" s="2">
        <v>3.18</v>
      </c>
      <c r="AR62" s="2">
        <v>0</v>
      </c>
      <c r="AS62" s="2">
        <v>0</v>
      </c>
      <c r="AT62" s="2">
        <v>90</v>
      </c>
      <c r="AU62" s="2">
        <v>46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105</v>
      </c>
      <c r="BK62" s="2"/>
      <c r="BL62" s="2"/>
      <c r="BM62" s="2">
        <v>68</v>
      </c>
      <c r="BN62" s="2">
        <v>58808062</v>
      </c>
      <c r="BO62" s="2" t="s">
        <v>103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30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492</v>
      </c>
      <c r="CO62" s="2">
        <v>0</v>
      </c>
      <c r="CP62" s="2">
        <f t="shared" si="66"/>
        <v>97.210000000000008</v>
      </c>
      <c r="CQ62" s="2">
        <f>ROUND((ROUND((AC62*AW62*1),2)*BC62),2)</f>
        <v>2.34</v>
      </c>
      <c r="CR62" s="2">
        <f>(ROUND((ROUND((((ET62*1.1))*AV62*1),2)*BB62),2)+ROUND((ROUND(((AE62-((EU62*1.1)))*AV62*1),2)*BS62),2))</f>
        <v>0</v>
      </c>
      <c r="CS62" s="2">
        <f t="shared" si="67"/>
        <v>0</v>
      </c>
      <c r="CT62" s="2">
        <f t="shared" si="68"/>
        <v>46.26</v>
      </c>
      <c r="CU62" s="2">
        <f t="shared" si="69"/>
        <v>0</v>
      </c>
      <c r="CV62" s="2">
        <f t="shared" si="70"/>
        <v>3.6624060000000003</v>
      </c>
      <c r="CW62" s="2">
        <f t="shared" si="71"/>
        <v>0</v>
      </c>
      <c r="CX62" s="2">
        <f t="shared" si="72"/>
        <v>0</v>
      </c>
      <c r="CY62" s="2">
        <f t="shared" si="73"/>
        <v>83.277000000000001</v>
      </c>
      <c r="CZ62" s="2">
        <f t="shared" si="74"/>
        <v>42.563800000000001</v>
      </c>
      <c r="DA62" s="2"/>
      <c r="DB62" s="2">
        <v>17</v>
      </c>
      <c r="DC62" s="2" t="s">
        <v>3</v>
      </c>
      <c r="DD62" s="2" t="s">
        <v>25</v>
      </c>
      <c r="DE62" s="2" t="s">
        <v>26</v>
      </c>
      <c r="DF62" s="2" t="s">
        <v>26</v>
      </c>
      <c r="DG62" s="2" t="s">
        <v>26</v>
      </c>
      <c r="DH62" s="2" t="s">
        <v>3</v>
      </c>
      <c r="DI62" s="2" t="s">
        <v>26</v>
      </c>
      <c r="DJ62" s="2" t="s">
        <v>26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43</v>
      </c>
      <c r="DW62" s="2" t="s">
        <v>43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58808178</v>
      </c>
      <c r="EF62" s="2">
        <v>40</v>
      </c>
      <c r="EG62" s="2" t="s">
        <v>27</v>
      </c>
      <c r="EH62" s="2">
        <v>0</v>
      </c>
      <c r="EI62" s="2" t="s">
        <v>3</v>
      </c>
      <c r="EJ62" s="2">
        <v>2</v>
      </c>
      <c r="EK62" s="2">
        <v>68</v>
      </c>
      <c r="EL62" s="2" t="s">
        <v>28</v>
      </c>
      <c r="EM62" s="2" t="s">
        <v>29</v>
      </c>
      <c r="EN62" s="2"/>
      <c r="EO62" s="2" t="s">
        <v>30</v>
      </c>
      <c r="EP62" s="2"/>
      <c r="EQ62" s="2">
        <v>0</v>
      </c>
      <c r="ER62" s="2">
        <v>42.51</v>
      </c>
      <c r="ES62" s="2">
        <v>2.34</v>
      </c>
      <c r="ET62" s="2">
        <v>0</v>
      </c>
      <c r="EU62" s="2">
        <v>0</v>
      </c>
      <c r="EV62" s="2">
        <v>40.17</v>
      </c>
      <c r="EW62" s="2">
        <v>3.18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1548884140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75"/>
        <v>0</v>
      </c>
      <c r="GM62" s="2">
        <f t="shared" si="76"/>
        <v>223.05</v>
      </c>
      <c r="GN62" s="2">
        <f t="shared" si="77"/>
        <v>0</v>
      </c>
      <c r="GO62" s="2">
        <f t="shared" si="78"/>
        <v>223.05</v>
      </c>
      <c r="GP62" s="2">
        <f t="shared" si="79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80"/>
        <v>0</v>
      </c>
      <c r="GW62" s="2">
        <v>1</v>
      </c>
      <c r="GX62" s="2">
        <f t="shared" si="81"/>
        <v>0</v>
      </c>
      <c r="GY62" s="2"/>
      <c r="GZ62" s="2"/>
      <c r="HA62" s="2">
        <v>0</v>
      </c>
      <c r="HB62" s="2">
        <v>0</v>
      </c>
      <c r="HC62" s="2">
        <f t="shared" si="82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>
        <v>17</v>
      </c>
      <c r="B63">
        <v>1</v>
      </c>
      <c r="C63">
        <f>ROW(SmtRes!A76)</f>
        <v>76</v>
      </c>
      <c r="D63">
        <f>ROW(EtalonRes!A86)</f>
        <v>86</v>
      </c>
      <c r="E63" t="s">
        <v>102</v>
      </c>
      <c r="F63" t="s">
        <v>103</v>
      </c>
      <c r="G63" t="s">
        <v>104</v>
      </c>
      <c r="H63" t="s">
        <v>43</v>
      </c>
      <c r="I63">
        <f>ROUND(ROUND(2,4),9)</f>
        <v>2</v>
      </c>
      <c r="J63">
        <v>0</v>
      </c>
      <c r="K63">
        <f>ROUND(ROUND(2,4),9)</f>
        <v>2</v>
      </c>
      <c r="O63">
        <f t="shared" si="54"/>
        <v>5136.24</v>
      </c>
      <c r="P63">
        <f>ROUND((ROUND((AC63*AW63*I63),2)*BC63),2)</f>
        <v>48.02</v>
      </c>
      <c r="Q63">
        <f>(ROUND((ROUND((((ET63*1.1))*AV63*I63),2)*BB63),2)+ROUND((ROUND(((AE63-((EU63*1.1)))*AV63*I63),2)*BS63),2))</f>
        <v>0</v>
      </c>
      <c r="R63">
        <f t="shared" si="55"/>
        <v>0</v>
      </c>
      <c r="S63">
        <f t="shared" si="56"/>
        <v>5088.22</v>
      </c>
      <c r="T63">
        <f t="shared" si="57"/>
        <v>0</v>
      </c>
      <c r="U63">
        <f t="shared" si="58"/>
        <v>7.3248120000000005</v>
      </c>
      <c r="V63">
        <f t="shared" si="59"/>
        <v>0</v>
      </c>
      <c r="W63">
        <f t="shared" si="60"/>
        <v>0</v>
      </c>
      <c r="X63">
        <f t="shared" si="61"/>
        <v>4579.3999999999996</v>
      </c>
      <c r="Y63">
        <f t="shared" si="62"/>
        <v>2340.58</v>
      </c>
      <c r="AA63">
        <v>59213213</v>
      </c>
      <c r="AB63">
        <f t="shared" si="63"/>
        <v>46.527000000000001</v>
      </c>
      <c r="AC63">
        <f>ROUND(((ES63*1)),6)</f>
        <v>2.34</v>
      </c>
      <c r="AD63">
        <f>ROUND(((((ET63*1.1))-((EU63*1.1)))+AE63),6)</f>
        <v>0</v>
      </c>
      <c r="AE63">
        <f>ROUND(((EU63*1.1)),6)</f>
        <v>0</v>
      </c>
      <c r="AF63">
        <f>ROUND(((EV63*1.1)),6)</f>
        <v>44.186999999999998</v>
      </c>
      <c r="AG63">
        <f t="shared" si="64"/>
        <v>0</v>
      </c>
      <c r="AH63">
        <f>((EW63*1.1))</f>
        <v>3.4980000000000007</v>
      </c>
      <c r="AI63">
        <f>((EX63*1.1))</f>
        <v>0</v>
      </c>
      <c r="AJ63">
        <f t="shared" si="65"/>
        <v>0</v>
      </c>
      <c r="AK63">
        <v>42.51</v>
      </c>
      <c r="AL63">
        <v>2.34</v>
      </c>
      <c r="AM63">
        <v>0</v>
      </c>
      <c r="AN63">
        <v>0</v>
      </c>
      <c r="AO63">
        <v>40.17</v>
      </c>
      <c r="AP63">
        <v>0</v>
      </c>
      <c r="AQ63">
        <v>3.18</v>
      </c>
      <c r="AR63">
        <v>0</v>
      </c>
      <c r="AS63">
        <v>0</v>
      </c>
      <c r="AT63">
        <v>90</v>
      </c>
      <c r="AU63">
        <v>46</v>
      </c>
      <c r="AV63">
        <v>1.0469999999999999</v>
      </c>
      <c r="AW63">
        <v>1</v>
      </c>
      <c r="AZ63">
        <v>1</v>
      </c>
      <c r="BA63">
        <v>54.99</v>
      </c>
      <c r="BB63">
        <v>1</v>
      </c>
      <c r="BC63">
        <v>10.26</v>
      </c>
      <c r="BD63" t="s">
        <v>3</v>
      </c>
      <c r="BE63" t="s">
        <v>3</v>
      </c>
      <c r="BF63" t="s">
        <v>3</v>
      </c>
      <c r="BG63" t="s">
        <v>3</v>
      </c>
      <c r="BH63">
        <v>0</v>
      </c>
      <c r="BI63">
        <v>2</v>
      </c>
      <c r="BJ63" t="s">
        <v>105</v>
      </c>
      <c r="BM63">
        <v>68</v>
      </c>
      <c r="BN63">
        <v>58808062</v>
      </c>
      <c r="BO63" t="s">
        <v>103</v>
      </c>
      <c r="BP63">
        <v>1</v>
      </c>
      <c r="BQ63">
        <v>40</v>
      </c>
      <c r="BR63">
        <v>0</v>
      </c>
      <c r="BS63">
        <v>54.99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90</v>
      </c>
      <c r="CA63">
        <v>46</v>
      </c>
      <c r="CB63" t="s">
        <v>3</v>
      </c>
      <c r="CE63">
        <v>30</v>
      </c>
      <c r="CF63">
        <v>0</v>
      </c>
      <c r="CG63">
        <v>0</v>
      </c>
      <c r="CM63">
        <v>0</v>
      </c>
      <c r="CN63" t="s">
        <v>492</v>
      </c>
      <c r="CO63">
        <v>0</v>
      </c>
      <c r="CP63">
        <f t="shared" si="66"/>
        <v>5136.2400000000007</v>
      </c>
      <c r="CQ63">
        <f>ROUND((ROUND((AC63*AW63*1),2)*BC63),2)</f>
        <v>24.01</v>
      </c>
      <c r="CR63">
        <f>(ROUND((ROUND((((ET63*1.1))*AV63*1),2)*BB63),2)+ROUND((ROUND(((AE63-((EU63*1.1)))*AV63*1),2)*BS63),2))</f>
        <v>0</v>
      </c>
      <c r="CS63">
        <f t="shared" si="67"/>
        <v>0</v>
      </c>
      <c r="CT63">
        <f t="shared" si="68"/>
        <v>2543.84</v>
      </c>
      <c r="CU63">
        <f t="shared" si="69"/>
        <v>0</v>
      </c>
      <c r="CV63">
        <f t="shared" si="70"/>
        <v>3.6624060000000003</v>
      </c>
      <c r="CW63">
        <f t="shared" si="71"/>
        <v>0</v>
      </c>
      <c r="CX63">
        <f t="shared" si="72"/>
        <v>0</v>
      </c>
      <c r="CY63">
        <f t="shared" si="73"/>
        <v>4579.3980000000001</v>
      </c>
      <c r="CZ63">
        <f t="shared" si="74"/>
        <v>2340.5812000000001</v>
      </c>
      <c r="DB63">
        <v>18</v>
      </c>
      <c r="DC63" t="s">
        <v>3</v>
      </c>
      <c r="DD63" t="s">
        <v>25</v>
      </c>
      <c r="DE63" t="s">
        <v>26</v>
      </c>
      <c r="DF63" t="s">
        <v>26</v>
      </c>
      <c r="DG63" t="s">
        <v>26</v>
      </c>
      <c r="DH63" t="s">
        <v>3</v>
      </c>
      <c r="DI63" t="s">
        <v>26</v>
      </c>
      <c r="DJ63" t="s">
        <v>26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1013</v>
      </c>
      <c r="DV63" t="s">
        <v>43</v>
      </c>
      <c r="DW63" t="s">
        <v>43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58808178</v>
      </c>
      <c r="EF63">
        <v>40</v>
      </c>
      <c r="EG63" t="s">
        <v>27</v>
      </c>
      <c r="EH63">
        <v>0</v>
      </c>
      <c r="EI63" t="s">
        <v>3</v>
      </c>
      <c r="EJ63">
        <v>2</v>
      </c>
      <c r="EK63">
        <v>68</v>
      </c>
      <c r="EL63" t="s">
        <v>28</v>
      </c>
      <c r="EM63" t="s">
        <v>29</v>
      </c>
      <c r="EO63" t="s">
        <v>30</v>
      </c>
      <c r="EQ63">
        <v>0</v>
      </c>
      <c r="ER63">
        <v>42.51</v>
      </c>
      <c r="ES63">
        <v>2.34</v>
      </c>
      <c r="ET63">
        <v>0</v>
      </c>
      <c r="EU63">
        <v>0</v>
      </c>
      <c r="EV63">
        <v>40.17</v>
      </c>
      <c r="EW63">
        <v>3.18</v>
      </c>
      <c r="EX63">
        <v>0</v>
      </c>
      <c r="EY63">
        <v>0</v>
      </c>
      <c r="FQ63">
        <v>0</v>
      </c>
      <c r="FR63">
        <v>0</v>
      </c>
      <c r="FS63">
        <v>0</v>
      </c>
      <c r="FX63">
        <v>90</v>
      </c>
      <c r="FY63">
        <v>46</v>
      </c>
      <c r="GA63" t="s">
        <v>3</v>
      </c>
      <c r="GD63">
        <v>1</v>
      </c>
      <c r="GF63">
        <v>1548884140</v>
      </c>
      <c r="GG63">
        <v>2</v>
      </c>
      <c r="GH63">
        <v>1</v>
      </c>
      <c r="GI63">
        <v>2</v>
      </c>
      <c r="GJ63">
        <v>0</v>
      </c>
      <c r="GK63">
        <v>0</v>
      </c>
      <c r="GL63">
        <f t="shared" si="75"/>
        <v>0</v>
      </c>
      <c r="GM63">
        <f t="shared" si="76"/>
        <v>12056.22</v>
      </c>
      <c r="GN63">
        <f t="shared" si="77"/>
        <v>0</v>
      </c>
      <c r="GO63">
        <f t="shared" si="78"/>
        <v>12056.22</v>
      </c>
      <c r="GP63">
        <f t="shared" si="79"/>
        <v>0</v>
      </c>
      <c r="GR63">
        <v>0</v>
      </c>
      <c r="GS63">
        <v>3</v>
      </c>
      <c r="GT63">
        <v>0</v>
      </c>
      <c r="GU63" t="s">
        <v>3</v>
      </c>
      <c r="GV63">
        <f t="shared" si="80"/>
        <v>0</v>
      </c>
      <c r="GW63">
        <v>1</v>
      </c>
      <c r="GX63">
        <f t="shared" si="81"/>
        <v>0</v>
      </c>
      <c r="HA63">
        <v>0</v>
      </c>
      <c r="HB63">
        <v>0</v>
      </c>
      <c r="HC63">
        <f t="shared" si="82"/>
        <v>0</v>
      </c>
      <c r="HE63" t="s">
        <v>3</v>
      </c>
      <c r="HF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4" spans="1:255" x14ac:dyDescent="0.2">
      <c r="A64" s="2">
        <v>17</v>
      </c>
      <c r="B64" s="2">
        <v>1</v>
      </c>
      <c r="C64" s="2"/>
      <c r="D64" s="2"/>
      <c r="E64" s="2" t="s">
        <v>106</v>
      </c>
      <c r="F64" s="2" t="s">
        <v>107</v>
      </c>
      <c r="G64" s="2" t="s">
        <v>108</v>
      </c>
      <c r="H64" s="2" t="s">
        <v>34</v>
      </c>
      <c r="I64" s="2">
        <f>ROUND(ROUND(2,4),9)</f>
        <v>2</v>
      </c>
      <c r="J64" s="2">
        <v>0</v>
      </c>
      <c r="K64" s="2">
        <f>ROUND(ROUND(2,4),9)</f>
        <v>2</v>
      </c>
      <c r="L64" s="2"/>
      <c r="M64" s="2"/>
      <c r="N64" s="2"/>
      <c r="O64" s="2">
        <f t="shared" si="54"/>
        <v>1976.54</v>
      </c>
      <c r="P64" s="2">
        <f>ROUND((ROUND((AC64*I64),2)*BC64),2)</f>
        <v>1976.54</v>
      </c>
      <c r="Q64" s="2">
        <f>(ROUND((ROUND(((ET64)*AV64*I64),2)*BB64),2)+ROUND((ROUND(((AE64-(EU64))*AV64*I64),2)*BS64),2))</f>
        <v>0</v>
      </c>
      <c r="R64" s="2">
        <f t="shared" si="55"/>
        <v>0</v>
      </c>
      <c r="S64" s="2">
        <f t="shared" si="56"/>
        <v>0</v>
      </c>
      <c r="T64" s="2">
        <f t="shared" si="57"/>
        <v>0</v>
      </c>
      <c r="U64" s="2">
        <f t="shared" si="58"/>
        <v>0</v>
      </c>
      <c r="V64" s="2">
        <f t="shared" si="59"/>
        <v>0</v>
      </c>
      <c r="W64" s="2">
        <f t="shared" si="60"/>
        <v>0</v>
      </c>
      <c r="X64" s="2">
        <f t="shared" si="61"/>
        <v>0</v>
      </c>
      <c r="Y64" s="2">
        <f t="shared" si="62"/>
        <v>0</v>
      </c>
      <c r="Z64" s="2"/>
      <c r="AA64" s="2">
        <v>59213216</v>
      </c>
      <c r="AB64" s="2">
        <f t="shared" si="63"/>
        <v>988.27</v>
      </c>
      <c r="AC64" s="2">
        <f>ROUND((ES64),6)</f>
        <v>988.27</v>
      </c>
      <c r="AD64" s="2">
        <f>ROUND((((ET64)-(EU64))+AE64),6)</f>
        <v>0</v>
      </c>
      <c r="AE64" s="2">
        <f t="shared" ref="AE64:AF67" si="83">ROUND((EU64),6)</f>
        <v>0</v>
      </c>
      <c r="AF64" s="2">
        <f t="shared" si="83"/>
        <v>0</v>
      </c>
      <c r="AG64" s="2">
        <f t="shared" si="64"/>
        <v>0</v>
      </c>
      <c r="AH64" s="2">
        <f t="shared" ref="AH64:AI67" si="84">(EW64)</f>
        <v>0</v>
      </c>
      <c r="AI64" s="2">
        <f t="shared" si="84"/>
        <v>0</v>
      </c>
      <c r="AJ64" s="2">
        <f t="shared" si="65"/>
        <v>0</v>
      </c>
      <c r="AK64" s="2">
        <v>988.2700000000001</v>
      </c>
      <c r="AL64" s="2">
        <v>988.2700000000001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3</v>
      </c>
      <c r="BJ64" s="2" t="s">
        <v>3</v>
      </c>
      <c r="BK64" s="2"/>
      <c r="BL64" s="2"/>
      <c r="BM64" s="2">
        <v>746</v>
      </c>
      <c r="BN64" s="2">
        <v>0</v>
      </c>
      <c r="BO64" s="2" t="s">
        <v>3</v>
      </c>
      <c r="BP64" s="2">
        <v>0</v>
      </c>
      <c r="BQ64" s="2">
        <v>130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30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66"/>
        <v>1976.54</v>
      </c>
      <c r="CQ64" s="2">
        <f>ROUND((ROUND((AC64*1),2)*BC64),2)</f>
        <v>988.27</v>
      </c>
      <c r="CR64" s="2">
        <f>(ROUND((ROUND(((ET64)*AV64*1),2)*BB64),2)+ROUND((ROUND(((AE64-(EU64))*AV64*1),2)*BS64),2))</f>
        <v>0</v>
      </c>
      <c r="CS64" s="2">
        <f t="shared" si="67"/>
        <v>0</v>
      </c>
      <c r="CT64" s="2">
        <f t="shared" si="68"/>
        <v>0</v>
      </c>
      <c r="CU64" s="2">
        <f t="shared" si="69"/>
        <v>0</v>
      </c>
      <c r="CV64" s="2">
        <f t="shared" si="70"/>
        <v>0</v>
      </c>
      <c r="CW64" s="2">
        <f t="shared" si="71"/>
        <v>0</v>
      </c>
      <c r="CX64" s="2">
        <f t="shared" si="72"/>
        <v>0</v>
      </c>
      <c r="CY64" s="2">
        <f t="shared" si="73"/>
        <v>0</v>
      </c>
      <c r="CZ64" s="2">
        <f t="shared" si="74"/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1010</v>
      </c>
      <c r="DV64" s="2" t="s">
        <v>34</v>
      </c>
      <c r="DW64" s="2" t="s">
        <v>34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58808284</v>
      </c>
      <c r="EF64" s="2">
        <v>130</v>
      </c>
      <c r="EG64" s="2" t="s">
        <v>35</v>
      </c>
      <c r="EH64" s="2">
        <v>0</v>
      </c>
      <c r="EI64" s="2" t="s">
        <v>3</v>
      </c>
      <c r="EJ64" s="2">
        <v>3</v>
      </c>
      <c r="EK64" s="2">
        <v>746</v>
      </c>
      <c r="EL64" s="2" t="s">
        <v>36</v>
      </c>
      <c r="EM64" s="2" t="s">
        <v>37</v>
      </c>
      <c r="EN64" s="2"/>
      <c r="EO64" s="2" t="s">
        <v>3</v>
      </c>
      <c r="EP64" s="2"/>
      <c r="EQ64" s="2">
        <v>0</v>
      </c>
      <c r="ER64" s="2">
        <v>0</v>
      </c>
      <c r="ES64" s="2">
        <v>988.2700000000001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f>P64</f>
        <v>1976.54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109</v>
      </c>
      <c r="GB64" s="2"/>
      <c r="GC64" s="2"/>
      <c r="GD64" s="2">
        <v>1</v>
      </c>
      <c r="GE64" s="2"/>
      <c r="GF64" s="2">
        <v>253381566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75"/>
        <v>0</v>
      </c>
      <c r="GM64" s="2">
        <f t="shared" si="76"/>
        <v>1976.54</v>
      </c>
      <c r="GN64" s="2">
        <f t="shared" si="77"/>
        <v>0</v>
      </c>
      <c r="GO64" s="2">
        <f t="shared" si="78"/>
        <v>0</v>
      </c>
      <c r="GP64" s="2">
        <f t="shared" si="79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80"/>
        <v>0</v>
      </c>
      <c r="GW64" s="2">
        <v>1</v>
      </c>
      <c r="GX64" s="2">
        <f t="shared" si="81"/>
        <v>0</v>
      </c>
      <c r="GY64" s="2"/>
      <c r="GZ64" s="2"/>
      <c r="HA64" s="2">
        <v>0</v>
      </c>
      <c r="HB64" s="2">
        <v>0</v>
      </c>
      <c r="HC64" s="2">
        <f t="shared" si="82"/>
        <v>0</v>
      </c>
      <c r="HD64" s="2"/>
      <c r="HE64" s="2" t="s">
        <v>39</v>
      </c>
      <c r="HF64" s="2" t="s">
        <v>40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>
        <v>17</v>
      </c>
      <c r="B65">
        <v>1</v>
      </c>
      <c r="E65" t="s">
        <v>106</v>
      </c>
      <c r="F65" t="s">
        <v>107</v>
      </c>
      <c r="G65" t="s">
        <v>108</v>
      </c>
      <c r="H65" t="s">
        <v>34</v>
      </c>
      <c r="I65">
        <f>ROUND(ROUND(2,4),9)</f>
        <v>2</v>
      </c>
      <c r="J65">
        <v>0</v>
      </c>
      <c r="K65">
        <f>ROUND(ROUND(2,4),9)</f>
        <v>2</v>
      </c>
      <c r="O65">
        <f t="shared" si="54"/>
        <v>15140.3</v>
      </c>
      <c r="P65">
        <f>ROUND((ROUND((AC65*I65),2)*BC65),2)</f>
        <v>15140.3</v>
      </c>
      <c r="Q65">
        <f>(ROUND((ROUND(((ET65)*AV65*I65),2)*BB65),2)+ROUND((ROUND(((AE65-(EU65))*AV65*I65),2)*BS65),2))</f>
        <v>0</v>
      </c>
      <c r="R65">
        <f t="shared" si="55"/>
        <v>0</v>
      </c>
      <c r="S65">
        <f t="shared" si="56"/>
        <v>0</v>
      </c>
      <c r="T65">
        <f t="shared" si="57"/>
        <v>0</v>
      </c>
      <c r="U65">
        <f t="shared" si="58"/>
        <v>0</v>
      </c>
      <c r="V65">
        <f t="shared" si="59"/>
        <v>0</v>
      </c>
      <c r="W65">
        <f t="shared" si="60"/>
        <v>0</v>
      </c>
      <c r="X65">
        <f t="shared" si="61"/>
        <v>0</v>
      </c>
      <c r="Y65">
        <f t="shared" si="62"/>
        <v>0</v>
      </c>
      <c r="AA65">
        <v>59213213</v>
      </c>
      <c r="AB65">
        <f t="shared" si="63"/>
        <v>988.27</v>
      </c>
      <c r="AC65">
        <f>ROUND((ES65),6)</f>
        <v>988.27</v>
      </c>
      <c r="AD65">
        <f>ROUND((((ET65)-(EU65))+AE65),6)</f>
        <v>0</v>
      </c>
      <c r="AE65">
        <f t="shared" si="83"/>
        <v>0</v>
      </c>
      <c r="AF65">
        <f t="shared" si="83"/>
        <v>0</v>
      </c>
      <c r="AG65">
        <f t="shared" si="64"/>
        <v>0</v>
      </c>
      <c r="AH65">
        <f t="shared" si="84"/>
        <v>0</v>
      </c>
      <c r="AI65">
        <f t="shared" si="84"/>
        <v>0</v>
      </c>
      <c r="AJ65">
        <f t="shared" si="65"/>
        <v>0</v>
      </c>
      <c r="AK65">
        <v>988.2700000000001</v>
      </c>
      <c r="AL65">
        <v>988.2700000000001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Z65">
        <v>1</v>
      </c>
      <c r="BA65">
        <v>1</v>
      </c>
      <c r="BB65">
        <v>1</v>
      </c>
      <c r="BC65">
        <v>7.66</v>
      </c>
      <c r="BD65" t="s">
        <v>3</v>
      </c>
      <c r="BE65" t="s">
        <v>3</v>
      </c>
      <c r="BF65" t="s">
        <v>3</v>
      </c>
      <c r="BG65" t="s">
        <v>3</v>
      </c>
      <c r="BH65">
        <v>3</v>
      </c>
      <c r="BI65">
        <v>3</v>
      </c>
      <c r="BJ65" t="s">
        <v>3</v>
      </c>
      <c r="BM65">
        <v>746</v>
      </c>
      <c r="BN65">
        <v>0</v>
      </c>
      <c r="BO65" t="s">
        <v>3</v>
      </c>
      <c r="BP65">
        <v>0</v>
      </c>
      <c r="BQ65">
        <v>130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 t="s">
        <v>3</v>
      </c>
      <c r="BZ65">
        <v>0</v>
      </c>
      <c r="CA65">
        <v>0</v>
      </c>
      <c r="CB65" t="s">
        <v>3</v>
      </c>
      <c r="CE65">
        <v>30</v>
      </c>
      <c r="CF65">
        <v>0</v>
      </c>
      <c r="CG65">
        <v>0</v>
      </c>
      <c r="CM65">
        <v>0</v>
      </c>
      <c r="CN65" t="s">
        <v>3</v>
      </c>
      <c r="CO65">
        <v>0</v>
      </c>
      <c r="CP65">
        <f t="shared" si="66"/>
        <v>15140.3</v>
      </c>
      <c r="CQ65">
        <f>ROUND((ROUND((AC65*1),2)*BC65),2)</f>
        <v>7570.15</v>
      </c>
      <c r="CR65">
        <f>(ROUND((ROUND(((ET65)*AV65*1),2)*BB65),2)+ROUND((ROUND(((AE65-(EU65))*AV65*1),2)*BS65),2))</f>
        <v>0</v>
      </c>
      <c r="CS65">
        <f t="shared" si="67"/>
        <v>0</v>
      </c>
      <c r="CT65">
        <f t="shared" si="68"/>
        <v>0</v>
      </c>
      <c r="CU65">
        <f t="shared" si="69"/>
        <v>0</v>
      </c>
      <c r="CV65">
        <f t="shared" si="70"/>
        <v>0</v>
      </c>
      <c r="CW65">
        <f t="shared" si="71"/>
        <v>0</v>
      </c>
      <c r="CX65">
        <f t="shared" si="72"/>
        <v>0</v>
      </c>
      <c r="CY65">
        <f t="shared" si="73"/>
        <v>0</v>
      </c>
      <c r="CZ65">
        <f t="shared" si="74"/>
        <v>0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>
        <v>0</v>
      </c>
      <c r="DO65">
        <v>0</v>
      </c>
      <c r="DP65">
        <v>1</v>
      </c>
      <c r="DQ65">
        <v>1</v>
      </c>
      <c r="DU65">
        <v>1010</v>
      </c>
      <c r="DV65" t="s">
        <v>34</v>
      </c>
      <c r="DW65" t="s">
        <v>34</v>
      </c>
      <c r="DX65">
        <v>1</v>
      </c>
      <c r="DZ65" t="s">
        <v>3</v>
      </c>
      <c r="EA65" t="s">
        <v>3</v>
      </c>
      <c r="EB65" t="s">
        <v>3</v>
      </c>
      <c r="EC65" t="s">
        <v>3</v>
      </c>
      <c r="EE65">
        <v>58808284</v>
      </c>
      <c r="EF65">
        <v>130</v>
      </c>
      <c r="EG65" t="s">
        <v>35</v>
      </c>
      <c r="EH65">
        <v>0</v>
      </c>
      <c r="EI65" t="s">
        <v>3</v>
      </c>
      <c r="EJ65">
        <v>3</v>
      </c>
      <c r="EK65">
        <v>746</v>
      </c>
      <c r="EL65" t="s">
        <v>36</v>
      </c>
      <c r="EM65" t="s">
        <v>37</v>
      </c>
      <c r="EO65" t="s">
        <v>3</v>
      </c>
      <c r="EQ65">
        <v>0</v>
      </c>
      <c r="ER65">
        <v>988.2700000000001</v>
      </c>
      <c r="ES65">
        <v>988.2700000000001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5</v>
      </c>
      <c r="FC65">
        <v>1</v>
      </c>
      <c r="FD65">
        <v>18</v>
      </c>
      <c r="FF65">
        <v>8715</v>
      </c>
      <c r="FQ65">
        <v>0</v>
      </c>
      <c r="FR65">
        <f>P65</f>
        <v>15140.3</v>
      </c>
      <c r="FS65">
        <v>0</v>
      </c>
      <c r="FX65">
        <v>0</v>
      </c>
      <c r="FY65">
        <v>0</v>
      </c>
      <c r="GA65" t="s">
        <v>109</v>
      </c>
      <c r="GD65">
        <v>1</v>
      </c>
      <c r="GF65">
        <v>253381566</v>
      </c>
      <c r="GG65">
        <v>2</v>
      </c>
      <c r="GH65">
        <v>3</v>
      </c>
      <c r="GI65">
        <v>5</v>
      </c>
      <c r="GJ65">
        <v>0</v>
      </c>
      <c r="GK65">
        <v>0</v>
      </c>
      <c r="GL65">
        <f t="shared" si="75"/>
        <v>0</v>
      </c>
      <c r="GM65">
        <f t="shared" si="76"/>
        <v>15140.3</v>
      </c>
      <c r="GN65">
        <f t="shared" si="77"/>
        <v>0</v>
      </c>
      <c r="GO65">
        <f t="shared" si="78"/>
        <v>0</v>
      </c>
      <c r="GP65">
        <f t="shared" si="79"/>
        <v>0</v>
      </c>
      <c r="GR65">
        <v>2</v>
      </c>
      <c r="GS65">
        <v>1</v>
      </c>
      <c r="GT65">
        <v>0</v>
      </c>
      <c r="GU65" t="s">
        <v>3</v>
      </c>
      <c r="GV65">
        <f t="shared" si="80"/>
        <v>0</v>
      </c>
      <c r="GW65">
        <v>1</v>
      </c>
      <c r="GX65">
        <f t="shared" si="81"/>
        <v>0</v>
      </c>
      <c r="HA65">
        <v>0</v>
      </c>
      <c r="HB65">
        <v>0</v>
      </c>
      <c r="HC65">
        <f t="shared" si="82"/>
        <v>0</v>
      </c>
      <c r="HE65" t="s">
        <v>39</v>
      </c>
      <c r="HF65" t="s">
        <v>40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S65">
        <v>0</v>
      </c>
      <c r="IK65">
        <v>0</v>
      </c>
    </row>
    <row r="66" spans="1:255" x14ac:dyDescent="0.2">
      <c r="A66" s="2">
        <v>17</v>
      </c>
      <c r="B66" s="2">
        <v>1</v>
      </c>
      <c r="C66" s="2"/>
      <c r="D66" s="2"/>
      <c r="E66" s="2" t="s">
        <v>110</v>
      </c>
      <c r="F66" s="2" t="s">
        <v>111</v>
      </c>
      <c r="G66" s="2" t="s">
        <v>112</v>
      </c>
      <c r="H66" s="2" t="s">
        <v>34</v>
      </c>
      <c r="I66" s="2">
        <f>ROUND(ROUND(4,4),9)</f>
        <v>4</v>
      </c>
      <c r="J66" s="2">
        <v>0</v>
      </c>
      <c r="K66" s="2">
        <f>ROUND(ROUND(4,4),9)</f>
        <v>4</v>
      </c>
      <c r="L66" s="2"/>
      <c r="M66" s="2"/>
      <c r="N66" s="2"/>
      <c r="O66" s="2">
        <f t="shared" si="54"/>
        <v>357.56</v>
      </c>
      <c r="P66" s="2">
        <f>ROUND((ROUND((AC66*I66),2)*BC66),2)</f>
        <v>357.56</v>
      </c>
      <c r="Q66" s="2">
        <f>(ROUND((ROUND(((ET66)*AV66*I66),2)*BB66),2)+ROUND((ROUND(((AE66-(EU66))*AV66*I66),2)*BS66),2))</f>
        <v>0</v>
      </c>
      <c r="R66" s="2">
        <f t="shared" si="55"/>
        <v>0</v>
      </c>
      <c r="S66" s="2">
        <f t="shared" si="56"/>
        <v>0</v>
      </c>
      <c r="T66" s="2">
        <f t="shared" si="57"/>
        <v>0</v>
      </c>
      <c r="U66" s="2">
        <f t="shared" si="58"/>
        <v>0</v>
      </c>
      <c r="V66" s="2">
        <f t="shared" si="59"/>
        <v>0</v>
      </c>
      <c r="W66" s="2">
        <f t="shared" si="60"/>
        <v>0</v>
      </c>
      <c r="X66" s="2">
        <f t="shared" si="61"/>
        <v>0</v>
      </c>
      <c r="Y66" s="2">
        <f t="shared" si="62"/>
        <v>0</v>
      </c>
      <c r="Z66" s="2"/>
      <c r="AA66" s="2">
        <v>59213216</v>
      </c>
      <c r="AB66" s="2">
        <f t="shared" si="63"/>
        <v>89.39</v>
      </c>
      <c r="AC66" s="2">
        <f>ROUND((ES66),6)</f>
        <v>89.39</v>
      </c>
      <c r="AD66" s="2">
        <f>ROUND((((ET66)-(EU66))+AE66),6)</f>
        <v>0</v>
      </c>
      <c r="AE66" s="2">
        <f t="shared" si="83"/>
        <v>0</v>
      </c>
      <c r="AF66" s="2">
        <f t="shared" si="83"/>
        <v>0</v>
      </c>
      <c r="AG66" s="2">
        <f t="shared" si="64"/>
        <v>0</v>
      </c>
      <c r="AH66" s="2">
        <f t="shared" si="84"/>
        <v>0</v>
      </c>
      <c r="AI66" s="2">
        <f t="shared" si="84"/>
        <v>0</v>
      </c>
      <c r="AJ66" s="2">
        <f t="shared" si="65"/>
        <v>0</v>
      </c>
      <c r="AK66" s="2">
        <v>89.39</v>
      </c>
      <c r="AL66" s="2">
        <v>89.39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3</v>
      </c>
      <c r="BJ66" s="2" t="s">
        <v>3</v>
      </c>
      <c r="BK66" s="2"/>
      <c r="BL66" s="2"/>
      <c r="BM66" s="2">
        <v>746</v>
      </c>
      <c r="BN66" s="2">
        <v>58808062</v>
      </c>
      <c r="BO66" s="2" t="s">
        <v>3</v>
      </c>
      <c r="BP66" s="2">
        <v>0</v>
      </c>
      <c r="BQ66" s="2">
        <v>130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0</v>
      </c>
      <c r="CA66" s="2">
        <v>0</v>
      </c>
      <c r="CB66" s="2" t="s">
        <v>3</v>
      </c>
      <c r="CC66" s="2"/>
      <c r="CD66" s="2"/>
      <c r="CE66" s="2">
        <v>30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66"/>
        <v>357.56</v>
      </c>
      <c r="CQ66" s="2">
        <f>ROUND((ROUND((AC66*1),2)*BC66),2)</f>
        <v>89.39</v>
      </c>
      <c r="CR66" s="2">
        <f>(ROUND((ROUND(((ET66)*AV66*1),2)*BB66),2)+ROUND((ROUND(((AE66-(EU66))*AV66*1),2)*BS66),2))</f>
        <v>0</v>
      </c>
      <c r="CS66" s="2">
        <f t="shared" si="67"/>
        <v>0</v>
      </c>
      <c r="CT66" s="2">
        <f t="shared" si="68"/>
        <v>0</v>
      </c>
      <c r="CU66" s="2">
        <f t="shared" si="69"/>
        <v>0</v>
      </c>
      <c r="CV66" s="2">
        <f t="shared" si="70"/>
        <v>0</v>
      </c>
      <c r="CW66" s="2">
        <f t="shared" si="71"/>
        <v>0</v>
      </c>
      <c r="CX66" s="2">
        <f t="shared" si="72"/>
        <v>0</v>
      </c>
      <c r="CY66" s="2">
        <f t="shared" si="73"/>
        <v>0</v>
      </c>
      <c r="CZ66" s="2">
        <f t="shared" si="74"/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1010</v>
      </c>
      <c r="DV66" s="2" t="s">
        <v>34</v>
      </c>
      <c r="DW66" s="2" t="s">
        <v>34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58808284</v>
      </c>
      <c r="EF66" s="2">
        <v>130</v>
      </c>
      <c r="EG66" s="2" t="s">
        <v>35</v>
      </c>
      <c r="EH66" s="2">
        <v>0</v>
      </c>
      <c r="EI66" s="2" t="s">
        <v>3</v>
      </c>
      <c r="EJ66" s="2">
        <v>3</v>
      </c>
      <c r="EK66" s="2">
        <v>746</v>
      </c>
      <c r="EL66" s="2" t="s">
        <v>36</v>
      </c>
      <c r="EM66" s="2" t="s">
        <v>37</v>
      </c>
      <c r="EN66" s="2"/>
      <c r="EO66" s="2" t="s">
        <v>3</v>
      </c>
      <c r="EP66" s="2"/>
      <c r="EQ66" s="2">
        <v>0</v>
      </c>
      <c r="ER66" s="2">
        <v>89.39</v>
      </c>
      <c r="ES66" s="2">
        <v>89.39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f>P66</f>
        <v>357.56</v>
      </c>
      <c r="FS66" s="2">
        <v>0</v>
      </c>
      <c r="FT66" s="2"/>
      <c r="FU66" s="2"/>
      <c r="FV66" s="2"/>
      <c r="FW66" s="2"/>
      <c r="FX66" s="2">
        <v>0</v>
      </c>
      <c r="FY66" s="2">
        <v>0</v>
      </c>
      <c r="FZ66" s="2"/>
      <c r="GA66" s="2" t="s">
        <v>3</v>
      </c>
      <c r="GB66" s="2"/>
      <c r="GC66" s="2"/>
      <c r="GD66" s="2">
        <v>1</v>
      </c>
      <c r="GE66" s="2"/>
      <c r="GF66" s="2">
        <v>-1135192264</v>
      </c>
      <c r="GG66" s="2">
        <v>2</v>
      </c>
      <c r="GH66" s="2">
        <v>1</v>
      </c>
      <c r="GI66" s="2">
        <v>-2</v>
      </c>
      <c r="GJ66" s="2">
        <v>0</v>
      </c>
      <c r="GK66" s="2">
        <v>0</v>
      </c>
      <c r="GL66" s="2">
        <f t="shared" si="75"/>
        <v>0</v>
      </c>
      <c r="GM66" s="2">
        <f t="shared" si="76"/>
        <v>357.56</v>
      </c>
      <c r="GN66" s="2">
        <f t="shared" si="77"/>
        <v>0</v>
      </c>
      <c r="GO66" s="2">
        <f t="shared" si="78"/>
        <v>0</v>
      </c>
      <c r="GP66" s="2">
        <f t="shared" si="79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80"/>
        <v>0</v>
      </c>
      <c r="GW66" s="2">
        <v>1</v>
      </c>
      <c r="GX66" s="2">
        <f t="shared" si="81"/>
        <v>0</v>
      </c>
      <c r="GY66" s="2"/>
      <c r="GZ66" s="2"/>
      <c r="HA66" s="2">
        <v>0</v>
      </c>
      <c r="HB66" s="2">
        <v>0</v>
      </c>
      <c r="HC66" s="2">
        <f t="shared" si="82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>
        <v>17</v>
      </c>
      <c r="B67">
        <v>1</v>
      </c>
      <c r="E67" t="s">
        <v>110</v>
      </c>
      <c r="F67" t="s">
        <v>111</v>
      </c>
      <c r="G67" t="s">
        <v>112</v>
      </c>
      <c r="H67" t="s">
        <v>34</v>
      </c>
      <c r="I67">
        <f>ROUND(ROUND(4,4),9)</f>
        <v>4</v>
      </c>
      <c r="J67">
        <v>0</v>
      </c>
      <c r="K67">
        <f>ROUND(ROUND(4,4),9)</f>
        <v>4</v>
      </c>
      <c r="O67">
        <f t="shared" si="54"/>
        <v>3128.65</v>
      </c>
      <c r="P67">
        <f>ROUND((ROUND((AC67*I67),2)*BC67),2)</f>
        <v>3128.65</v>
      </c>
      <c r="Q67">
        <f>(ROUND((ROUND(((ET67)*AV67*I67),2)*BB67),2)+ROUND((ROUND(((AE67-(EU67))*AV67*I67),2)*BS67),2))</f>
        <v>0</v>
      </c>
      <c r="R67">
        <f t="shared" si="55"/>
        <v>0</v>
      </c>
      <c r="S67">
        <f t="shared" si="56"/>
        <v>0</v>
      </c>
      <c r="T67">
        <f t="shared" si="57"/>
        <v>0</v>
      </c>
      <c r="U67">
        <f t="shared" si="58"/>
        <v>0</v>
      </c>
      <c r="V67">
        <f t="shared" si="59"/>
        <v>0</v>
      </c>
      <c r="W67">
        <f t="shared" si="60"/>
        <v>0</v>
      </c>
      <c r="X67">
        <f t="shared" si="61"/>
        <v>0</v>
      </c>
      <c r="Y67">
        <f t="shared" si="62"/>
        <v>0</v>
      </c>
      <c r="AA67">
        <v>59213213</v>
      </c>
      <c r="AB67">
        <f t="shared" si="63"/>
        <v>89.39</v>
      </c>
      <c r="AC67">
        <f>ROUND((ES67),6)</f>
        <v>89.39</v>
      </c>
      <c r="AD67">
        <f>ROUND((((ET67)-(EU67))+AE67),6)</f>
        <v>0</v>
      </c>
      <c r="AE67">
        <f t="shared" si="83"/>
        <v>0</v>
      </c>
      <c r="AF67">
        <f t="shared" si="83"/>
        <v>0</v>
      </c>
      <c r="AG67">
        <f t="shared" si="64"/>
        <v>0</v>
      </c>
      <c r="AH67">
        <f t="shared" si="84"/>
        <v>0</v>
      </c>
      <c r="AI67">
        <f t="shared" si="84"/>
        <v>0</v>
      </c>
      <c r="AJ67">
        <f t="shared" si="65"/>
        <v>0</v>
      </c>
      <c r="AK67">
        <v>89.39</v>
      </c>
      <c r="AL67">
        <v>89.39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Z67">
        <v>1</v>
      </c>
      <c r="BA67">
        <v>1</v>
      </c>
      <c r="BB67">
        <v>1</v>
      </c>
      <c r="BC67">
        <v>8.75</v>
      </c>
      <c r="BD67" t="s">
        <v>3</v>
      </c>
      <c r="BE67" t="s">
        <v>3</v>
      </c>
      <c r="BF67" t="s">
        <v>3</v>
      </c>
      <c r="BG67" t="s">
        <v>3</v>
      </c>
      <c r="BH67">
        <v>3</v>
      </c>
      <c r="BI67">
        <v>3</v>
      </c>
      <c r="BJ67" t="s">
        <v>3</v>
      </c>
      <c r="BM67">
        <v>746</v>
      </c>
      <c r="BN67">
        <v>58808062</v>
      </c>
      <c r="BO67" t="s">
        <v>3</v>
      </c>
      <c r="BP67">
        <v>0</v>
      </c>
      <c r="BQ67">
        <v>130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 t="s">
        <v>3</v>
      </c>
      <c r="BZ67">
        <v>0</v>
      </c>
      <c r="CA67">
        <v>0</v>
      </c>
      <c r="CB67" t="s">
        <v>3</v>
      </c>
      <c r="CE67">
        <v>30</v>
      </c>
      <c r="CF67">
        <v>0</v>
      </c>
      <c r="CG67">
        <v>0</v>
      </c>
      <c r="CM67">
        <v>0</v>
      </c>
      <c r="CN67" t="s">
        <v>3</v>
      </c>
      <c r="CO67">
        <v>0</v>
      </c>
      <c r="CP67">
        <f t="shared" si="66"/>
        <v>3128.65</v>
      </c>
      <c r="CQ67">
        <f>ROUND((ROUND((AC67*1),2)*BC67),2)</f>
        <v>782.16</v>
      </c>
      <c r="CR67">
        <f>(ROUND((ROUND(((ET67)*AV67*1),2)*BB67),2)+ROUND((ROUND(((AE67-(EU67))*AV67*1),2)*BS67),2))</f>
        <v>0</v>
      </c>
      <c r="CS67">
        <f t="shared" si="67"/>
        <v>0</v>
      </c>
      <c r="CT67">
        <f t="shared" si="68"/>
        <v>0</v>
      </c>
      <c r="CU67">
        <f t="shared" si="69"/>
        <v>0</v>
      </c>
      <c r="CV67">
        <f t="shared" si="70"/>
        <v>0</v>
      </c>
      <c r="CW67">
        <f t="shared" si="71"/>
        <v>0</v>
      </c>
      <c r="CX67">
        <f t="shared" si="72"/>
        <v>0</v>
      </c>
      <c r="CY67">
        <f t="shared" si="73"/>
        <v>0</v>
      </c>
      <c r="CZ67">
        <f t="shared" si="74"/>
        <v>0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>
        <v>0</v>
      </c>
      <c r="DO67">
        <v>0</v>
      </c>
      <c r="DP67">
        <v>1</v>
      </c>
      <c r="DQ67">
        <v>1</v>
      </c>
      <c r="DU67">
        <v>1010</v>
      </c>
      <c r="DV67" t="s">
        <v>34</v>
      </c>
      <c r="DW67" t="s">
        <v>34</v>
      </c>
      <c r="DX67">
        <v>1</v>
      </c>
      <c r="DZ67" t="s">
        <v>3</v>
      </c>
      <c r="EA67" t="s">
        <v>3</v>
      </c>
      <c r="EB67" t="s">
        <v>3</v>
      </c>
      <c r="EC67" t="s">
        <v>3</v>
      </c>
      <c r="EE67">
        <v>58808284</v>
      </c>
      <c r="EF67">
        <v>130</v>
      </c>
      <c r="EG67" t="s">
        <v>35</v>
      </c>
      <c r="EH67">
        <v>0</v>
      </c>
      <c r="EI67" t="s">
        <v>3</v>
      </c>
      <c r="EJ67">
        <v>3</v>
      </c>
      <c r="EK67">
        <v>746</v>
      </c>
      <c r="EL67" t="s">
        <v>36</v>
      </c>
      <c r="EM67" t="s">
        <v>37</v>
      </c>
      <c r="EO67" t="s">
        <v>3</v>
      </c>
      <c r="EQ67">
        <v>0</v>
      </c>
      <c r="ER67">
        <v>89.39</v>
      </c>
      <c r="ES67">
        <v>89.39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FQ67">
        <v>0</v>
      </c>
      <c r="FR67">
        <f>P67</f>
        <v>3128.65</v>
      </c>
      <c r="FS67">
        <v>0</v>
      </c>
      <c r="FX67">
        <v>0</v>
      </c>
      <c r="FY67">
        <v>0</v>
      </c>
      <c r="GA67" t="s">
        <v>3</v>
      </c>
      <c r="GD67">
        <v>1</v>
      </c>
      <c r="GF67">
        <v>-1135192264</v>
      </c>
      <c r="GG67">
        <v>2</v>
      </c>
      <c r="GH67">
        <v>1</v>
      </c>
      <c r="GI67">
        <v>2</v>
      </c>
      <c r="GJ67">
        <v>0</v>
      </c>
      <c r="GK67">
        <v>0</v>
      </c>
      <c r="GL67">
        <f t="shared" si="75"/>
        <v>0</v>
      </c>
      <c r="GM67">
        <f t="shared" si="76"/>
        <v>3128.65</v>
      </c>
      <c r="GN67">
        <f t="shared" si="77"/>
        <v>0</v>
      </c>
      <c r="GO67">
        <f t="shared" si="78"/>
        <v>0</v>
      </c>
      <c r="GP67">
        <f t="shared" si="79"/>
        <v>0</v>
      </c>
      <c r="GR67">
        <v>0</v>
      </c>
      <c r="GS67">
        <v>3</v>
      </c>
      <c r="GT67">
        <v>0</v>
      </c>
      <c r="GU67" t="s">
        <v>3</v>
      </c>
      <c r="GV67">
        <f t="shared" si="80"/>
        <v>0</v>
      </c>
      <c r="GW67">
        <v>1</v>
      </c>
      <c r="GX67">
        <f t="shared" si="81"/>
        <v>0</v>
      </c>
      <c r="HA67">
        <v>0</v>
      </c>
      <c r="HB67">
        <v>0</v>
      </c>
      <c r="HC67">
        <f t="shared" si="82"/>
        <v>0</v>
      </c>
      <c r="HE67" t="s">
        <v>3</v>
      </c>
      <c r="HF67" t="s">
        <v>3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S67">
        <v>0</v>
      </c>
      <c r="IK67">
        <v>0</v>
      </c>
    </row>
    <row r="68" spans="1:255" x14ac:dyDescent="0.2">
      <c r="A68" s="2">
        <v>17</v>
      </c>
      <c r="B68" s="2">
        <v>1</v>
      </c>
      <c r="C68" s="2">
        <f>ROW(SmtRes!A79)</f>
        <v>79</v>
      </c>
      <c r="D68" s="2">
        <f>ROW(EtalonRes!A89)</f>
        <v>89</v>
      </c>
      <c r="E68" s="2" t="s">
        <v>113</v>
      </c>
      <c r="F68" s="2" t="s">
        <v>114</v>
      </c>
      <c r="G68" s="2" t="s">
        <v>115</v>
      </c>
      <c r="H68" s="2" t="s">
        <v>43</v>
      </c>
      <c r="I68" s="2">
        <f>ROUND(ROUND(7,4),9)</f>
        <v>7</v>
      </c>
      <c r="J68" s="2">
        <v>0</v>
      </c>
      <c r="K68" s="2">
        <f>ROUND(ROUND(7,4),9)</f>
        <v>7</v>
      </c>
      <c r="L68" s="2"/>
      <c r="M68" s="2"/>
      <c r="N68" s="2"/>
      <c r="O68" s="2">
        <f t="shared" si="54"/>
        <v>97.95</v>
      </c>
      <c r="P68" s="2">
        <f t="shared" ref="P68:P77" si="85">ROUND((ROUND((AC68*AW68*I68),2)*BC68),2)</f>
        <v>0</v>
      </c>
      <c r="Q68" s="2">
        <f>(ROUND((ROUND((((ET68*1.1))*AV68*I68),2)*BB68),2)+ROUND((ROUND(((AE68-((EU68*1.1)))*AV68*I68),2)*BS68),2))</f>
        <v>4.03</v>
      </c>
      <c r="R68" s="2">
        <f t="shared" si="55"/>
        <v>0.64</v>
      </c>
      <c r="S68" s="2">
        <f t="shared" si="56"/>
        <v>93.92</v>
      </c>
      <c r="T68" s="2">
        <f t="shared" si="57"/>
        <v>0</v>
      </c>
      <c r="U68" s="2">
        <f t="shared" si="58"/>
        <v>8.3037570000000009</v>
      </c>
      <c r="V68" s="2">
        <f t="shared" si="59"/>
        <v>0</v>
      </c>
      <c r="W68" s="2">
        <f t="shared" si="60"/>
        <v>0</v>
      </c>
      <c r="X68" s="2">
        <f t="shared" si="61"/>
        <v>85.1</v>
      </c>
      <c r="Y68" s="2">
        <f t="shared" si="62"/>
        <v>43.5</v>
      </c>
      <c r="Z68" s="2"/>
      <c r="AA68" s="2">
        <v>59213216</v>
      </c>
      <c r="AB68" s="2">
        <f t="shared" si="63"/>
        <v>13.365</v>
      </c>
      <c r="AC68" s="2">
        <f>ROUND(((ES68*1)),6)</f>
        <v>0</v>
      </c>
      <c r="AD68" s="2">
        <f>ROUND(((((ET68*1.1))-((EU68*1.1)))+AE68),6)</f>
        <v>0.55000000000000004</v>
      </c>
      <c r="AE68" s="2">
        <f>ROUND(((EU68*1.1)),6)</f>
        <v>8.7999999999999995E-2</v>
      </c>
      <c r="AF68" s="2">
        <f>ROUND(((EV68*1.1)),6)</f>
        <v>12.815</v>
      </c>
      <c r="AG68" s="2">
        <f t="shared" si="64"/>
        <v>0</v>
      </c>
      <c r="AH68" s="2">
        <f>((EW68*1.1))</f>
        <v>1.1330000000000002</v>
      </c>
      <c r="AI68" s="2">
        <f>((EX68*1.1))</f>
        <v>0</v>
      </c>
      <c r="AJ68" s="2">
        <f t="shared" si="65"/>
        <v>0</v>
      </c>
      <c r="AK68" s="2">
        <v>12.15</v>
      </c>
      <c r="AL68" s="2">
        <v>0</v>
      </c>
      <c r="AM68" s="2">
        <v>0.5</v>
      </c>
      <c r="AN68" s="2">
        <v>0.08</v>
      </c>
      <c r="AO68" s="2">
        <v>11.65</v>
      </c>
      <c r="AP68" s="2">
        <v>0</v>
      </c>
      <c r="AQ68" s="2">
        <v>1.03</v>
      </c>
      <c r="AR68" s="2">
        <v>0</v>
      </c>
      <c r="AS68" s="2">
        <v>0</v>
      </c>
      <c r="AT68" s="2">
        <v>90</v>
      </c>
      <c r="AU68" s="2">
        <v>46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2</v>
      </c>
      <c r="BJ68" s="2" t="s">
        <v>116</v>
      </c>
      <c r="BK68" s="2"/>
      <c r="BL68" s="2"/>
      <c r="BM68" s="2">
        <v>72</v>
      </c>
      <c r="BN68" s="2">
        <v>58808062</v>
      </c>
      <c r="BO68" s="2" t="s">
        <v>114</v>
      </c>
      <c r="BP68" s="2">
        <v>1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90</v>
      </c>
      <c r="CA68" s="2">
        <v>46</v>
      </c>
      <c r="CB68" s="2" t="s">
        <v>3</v>
      </c>
      <c r="CC68" s="2"/>
      <c r="CD68" s="2"/>
      <c r="CE68" s="2">
        <v>30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492</v>
      </c>
      <c r="CO68" s="2">
        <v>0</v>
      </c>
      <c r="CP68" s="2">
        <f t="shared" si="66"/>
        <v>97.95</v>
      </c>
      <c r="CQ68" s="2">
        <f t="shared" ref="CQ68:CQ77" si="86">ROUND((ROUND((AC68*AW68*1),2)*BC68),2)</f>
        <v>0</v>
      </c>
      <c r="CR68" s="2">
        <f>(ROUND((ROUND((((ET68*1.1))*AV68*1),2)*BB68),2)+ROUND((ROUND(((AE68-((EU68*1.1)))*AV68*1),2)*BS68),2))</f>
        <v>0.57999999999999996</v>
      </c>
      <c r="CS68" s="2">
        <f t="shared" si="67"/>
        <v>0.09</v>
      </c>
      <c r="CT68" s="2">
        <f t="shared" si="68"/>
        <v>13.42</v>
      </c>
      <c r="CU68" s="2">
        <f t="shared" si="69"/>
        <v>0</v>
      </c>
      <c r="CV68" s="2">
        <f t="shared" si="70"/>
        <v>1.1862510000000002</v>
      </c>
      <c r="CW68" s="2">
        <f t="shared" si="71"/>
        <v>0</v>
      </c>
      <c r="CX68" s="2">
        <f t="shared" si="72"/>
        <v>0</v>
      </c>
      <c r="CY68" s="2">
        <f t="shared" si="73"/>
        <v>85.103999999999999</v>
      </c>
      <c r="CZ68" s="2">
        <f t="shared" si="74"/>
        <v>43.497600000000006</v>
      </c>
      <c r="DA68" s="2"/>
      <c r="DB68" s="2">
        <v>19</v>
      </c>
      <c r="DC68" s="2" t="s">
        <v>3</v>
      </c>
      <c r="DD68" s="2" t="s">
        <v>25</v>
      </c>
      <c r="DE68" s="2" t="s">
        <v>26</v>
      </c>
      <c r="DF68" s="2" t="s">
        <v>26</v>
      </c>
      <c r="DG68" s="2" t="s">
        <v>26</v>
      </c>
      <c r="DH68" s="2" t="s">
        <v>3</v>
      </c>
      <c r="DI68" s="2" t="s">
        <v>26</v>
      </c>
      <c r="DJ68" s="2" t="s">
        <v>26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43</v>
      </c>
      <c r="DW68" s="2" t="s">
        <v>43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58808182</v>
      </c>
      <c r="EF68" s="2">
        <v>40</v>
      </c>
      <c r="EG68" s="2" t="s">
        <v>27</v>
      </c>
      <c r="EH68" s="2">
        <v>0</v>
      </c>
      <c r="EI68" s="2" t="s">
        <v>3</v>
      </c>
      <c r="EJ68" s="2">
        <v>2</v>
      </c>
      <c r="EK68" s="2">
        <v>72</v>
      </c>
      <c r="EL68" s="2" t="s">
        <v>58</v>
      </c>
      <c r="EM68" s="2" t="s">
        <v>59</v>
      </c>
      <c r="EN68" s="2"/>
      <c r="EO68" s="2" t="s">
        <v>30</v>
      </c>
      <c r="EP68" s="2"/>
      <c r="EQ68" s="2">
        <v>0</v>
      </c>
      <c r="ER68" s="2">
        <v>12.15</v>
      </c>
      <c r="ES68" s="2">
        <v>0</v>
      </c>
      <c r="ET68" s="2">
        <v>0.5</v>
      </c>
      <c r="EU68" s="2">
        <v>0.08</v>
      </c>
      <c r="EV68" s="2">
        <v>11.65</v>
      </c>
      <c r="EW68" s="2">
        <v>1.03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90</v>
      </c>
      <c r="FY68" s="2">
        <v>46</v>
      </c>
      <c r="FZ68" s="2"/>
      <c r="GA68" s="2" t="s">
        <v>3</v>
      </c>
      <c r="GB68" s="2"/>
      <c r="GC68" s="2"/>
      <c r="GD68" s="2">
        <v>1</v>
      </c>
      <c r="GE68" s="2"/>
      <c r="GF68" s="2">
        <v>1708693888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75"/>
        <v>0</v>
      </c>
      <c r="GM68" s="2">
        <f t="shared" si="76"/>
        <v>226.55</v>
      </c>
      <c r="GN68" s="2">
        <f t="shared" si="77"/>
        <v>0</v>
      </c>
      <c r="GO68" s="2">
        <f t="shared" si="78"/>
        <v>226.55</v>
      </c>
      <c r="GP68" s="2">
        <f t="shared" si="79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80"/>
        <v>0</v>
      </c>
      <c r="GW68" s="2">
        <v>1</v>
      </c>
      <c r="GX68" s="2">
        <f t="shared" si="81"/>
        <v>0</v>
      </c>
      <c r="GY68" s="2"/>
      <c r="GZ68" s="2"/>
      <c r="HA68" s="2">
        <v>0</v>
      </c>
      <c r="HB68" s="2">
        <v>0</v>
      </c>
      <c r="HC68" s="2">
        <f t="shared" si="82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>
        <v>17</v>
      </c>
      <c r="B69">
        <v>1</v>
      </c>
      <c r="C69">
        <f>ROW(SmtRes!A82)</f>
        <v>82</v>
      </c>
      <c r="D69">
        <f>ROW(EtalonRes!A92)</f>
        <v>92</v>
      </c>
      <c r="E69" t="s">
        <v>113</v>
      </c>
      <c r="F69" t="s">
        <v>114</v>
      </c>
      <c r="G69" t="s">
        <v>115</v>
      </c>
      <c r="H69" t="s">
        <v>43</v>
      </c>
      <c r="I69">
        <f>ROUND(ROUND(7,4),9)</f>
        <v>7</v>
      </c>
      <c r="J69">
        <v>0</v>
      </c>
      <c r="K69">
        <f>ROUND(ROUND(7,4),9)</f>
        <v>7</v>
      </c>
      <c r="O69">
        <f t="shared" si="54"/>
        <v>5230.1899999999996</v>
      </c>
      <c r="P69">
        <f t="shared" si="85"/>
        <v>0</v>
      </c>
      <c r="Q69">
        <f>(ROUND((ROUND((((ET69*1.1))*AV69*I69),2)*BB69),2)+ROUND((ROUND(((AE69-((EU69*1.1)))*AV69*I69),2)*BS69),2))</f>
        <v>65.53</v>
      </c>
      <c r="R69">
        <f t="shared" si="55"/>
        <v>35.19</v>
      </c>
      <c r="S69">
        <f t="shared" si="56"/>
        <v>5164.66</v>
      </c>
      <c r="T69">
        <f t="shared" si="57"/>
        <v>0</v>
      </c>
      <c r="U69">
        <f t="shared" si="58"/>
        <v>8.3037570000000009</v>
      </c>
      <c r="V69">
        <f t="shared" si="59"/>
        <v>0</v>
      </c>
      <c r="W69">
        <f t="shared" si="60"/>
        <v>0</v>
      </c>
      <c r="X69">
        <f t="shared" si="61"/>
        <v>4679.87</v>
      </c>
      <c r="Y69">
        <f t="shared" si="62"/>
        <v>2391.9299999999998</v>
      </c>
      <c r="AA69">
        <v>59213213</v>
      </c>
      <c r="AB69">
        <f t="shared" si="63"/>
        <v>13.365</v>
      </c>
      <c r="AC69">
        <f>ROUND(((ES69*1)),6)</f>
        <v>0</v>
      </c>
      <c r="AD69">
        <f>ROUND(((((ET69*1.1))-((EU69*1.1)))+AE69),6)</f>
        <v>0.55000000000000004</v>
      </c>
      <c r="AE69">
        <f>ROUND(((EU69*1.1)),6)</f>
        <v>8.7999999999999995E-2</v>
      </c>
      <c r="AF69">
        <f>ROUND(((EV69*1.1)),6)</f>
        <v>12.815</v>
      </c>
      <c r="AG69">
        <f t="shared" si="64"/>
        <v>0</v>
      </c>
      <c r="AH69">
        <f>((EW69*1.1))</f>
        <v>1.1330000000000002</v>
      </c>
      <c r="AI69">
        <f>((EX69*1.1))</f>
        <v>0</v>
      </c>
      <c r="AJ69">
        <f t="shared" si="65"/>
        <v>0</v>
      </c>
      <c r="AK69">
        <v>12.15</v>
      </c>
      <c r="AL69">
        <v>0</v>
      </c>
      <c r="AM69">
        <v>0.5</v>
      </c>
      <c r="AN69">
        <v>0.08</v>
      </c>
      <c r="AO69">
        <v>11.65</v>
      </c>
      <c r="AP69">
        <v>0</v>
      </c>
      <c r="AQ69">
        <v>1.03</v>
      </c>
      <c r="AR69">
        <v>0</v>
      </c>
      <c r="AS69">
        <v>0</v>
      </c>
      <c r="AT69">
        <v>90</v>
      </c>
      <c r="AU69">
        <v>46</v>
      </c>
      <c r="AV69">
        <v>1.0469999999999999</v>
      </c>
      <c r="AW69">
        <v>1</v>
      </c>
      <c r="AZ69">
        <v>1</v>
      </c>
      <c r="BA69">
        <v>54.99</v>
      </c>
      <c r="BB69">
        <v>16.260000000000002</v>
      </c>
      <c r="BC69">
        <v>1</v>
      </c>
      <c r="BD69" t="s">
        <v>3</v>
      </c>
      <c r="BE69" t="s">
        <v>3</v>
      </c>
      <c r="BF69" t="s">
        <v>3</v>
      </c>
      <c r="BG69" t="s">
        <v>3</v>
      </c>
      <c r="BH69">
        <v>0</v>
      </c>
      <c r="BI69">
        <v>2</v>
      </c>
      <c r="BJ69" t="s">
        <v>116</v>
      </c>
      <c r="BM69">
        <v>72</v>
      </c>
      <c r="BN69">
        <v>58808062</v>
      </c>
      <c r="BO69" t="s">
        <v>114</v>
      </c>
      <c r="BP69">
        <v>1</v>
      </c>
      <c r="BQ69">
        <v>40</v>
      </c>
      <c r="BR69">
        <v>0</v>
      </c>
      <c r="BS69">
        <v>54.99</v>
      </c>
      <c r="BT69">
        <v>1</v>
      </c>
      <c r="BU69">
        <v>1</v>
      </c>
      <c r="BV69">
        <v>1</v>
      </c>
      <c r="BW69">
        <v>1</v>
      </c>
      <c r="BX69">
        <v>1</v>
      </c>
      <c r="BY69" t="s">
        <v>3</v>
      </c>
      <c r="BZ69">
        <v>90</v>
      </c>
      <c r="CA69">
        <v>46</v>
      </c>
      <c r="CB69" t="s">
        <v>3</v>
      </c>
      <c r="CE69">
        <v>30</v>
      </c>
      <c r="CF69">
        <v>0</v>
      </c>
      <c r="CG69">
        <v>0</v>
      </c>
      <c r="CM69">
        <v>0</v>
      </c>
      <c r="CN69" t="s">
        <v>492</v>
      </c>
      <c r="CO69">
        <v>0</v>
      </c>
      <c r="CP69">
        <f t="shared" si="66"/>
        <v>5230.1899999999996</v>
      </c>
      <c r="CQ69">
        <f t="shared" si="86"/>
        <v>0</v>
      </c>
      <c r="CR69">
        <f>(ROUND((ROUND((((ET69*1.1))*AV69*1),2)*BB69),2)+ROUND((ROUND(((AE69-((EU69*1.1)))*AV69*1),2)*BS69),2))</f>
        <v>9.43</v>
      </c>
      <c r="CS69">
        <f t="shared" si="67"/>
        <v>4.95</v>
      </c>
      <c r="CT69">
        <f t="shared" si="68"/>
        <v>737.97</v>
      </c>
      <c r="CU69">
        <f t="shared" si="69"/>
        <v>0</v>
      </c>
      <c r="CV69">
        <f t="shared" si="70"/>
        <v>1.1862510000000002</v>
      </c>
      <c r="CW69">
        <f t="shared" si="71"/>
        <v>0</v>
      </c>
      <c r="CX69">
        <f t="shared" si="72"/>
        <v>0</v>
      </c>
      <c r="CY69">
        <f t="shared" si="73"/>
        <v>4679.8649999999998</v>
      </c>
      <c r="CZ69">
        <f t="shared" si="74"/>
        <v>2391.9309999999996</v>
      </c>
      <c r="DB69">
        <v>20</v>
      </c>
      <c r="DC69" t="s">
        <v>3</v>
      </c>
      <c r="DD69" t="s">
        <v>25</v>
      </c>
      <c r="DE69" t="s">
        <v>26</v>
      </c>
      <c r="DF69" t="s">
        <v>26</v>
      </c>
      <c r="DG69" t="s">
        <v>26</v>
      </c>
      <c r="DH69" t="s">
        <v>3</v>
      </c>
      <c r="DI69" t="s">
        <v>26</v>
      </c>
      <c r="DJ69" t="s">
        <v>26</v>
      </c>
      <c r="DK69" t="s">
        <v>3</v>
      </c>
      <c r="DL69" t="s">
        <v>3</v>
      </c>
      <c r="DM69" t="s">
        <v>3</v>
      </c>
      <c r="DN69">
        <v>0</v>
      </c>
      <c r="DO69">
        <v>0</v>
      </c>
      <c r="DP69">
        <v>1</v>
      </c>
      <c r="DQ69">
        <v>1</v>
      </c>
      <c r="DU69">
        <v>1013</v>
      </c>
      <c r="DV69" t="s">
        <v>43</v>
      </c>
      <c r="DW69" t="s">
        <v>43</v>
      </c>
      <c r="DX69">
        <v>1</v>
      </c>
      <c r="DZ69" t="s">
        <v>3</v>
      </c>
      <c r="EA69" t="s">
        <v>3</v>
      </c>
      <c r="EB69" t="s">
        <v>3</v>
      </c>
      <c r="EC69" t="s">
        <v>3</v>
      </c>
      <c r="EE69">
        <v>58808182</v>
      </c>
      <c r="EF69">
        <v>40</v>
      </c>
      <c r="EG69" t="s">
        <v>27</v>
      </c>
      <c r="EH69">
        <v>0</v>
      </c>
      <c r="EI69" t="s">
        <v>3</v>
      </c>
      <c r="EJ69">
        <v>2</v>
      </c>
      <c r="EK69">
        <v>72</v>
      </c>
      <c r="EL69" t="s">
        <v>58</v>
      </c>
      <c r="EM69" t="s">
        <v>59</v>
      </c>
      <c r="EO69" t="s">
        <v>30</v>
      </c>
      <c r="EQ69">
        <v>0</v>
      </c>
      <c r="ER69">
        <v>12.15</v>
      </c>
      <c r="ES69">
        <v>0</v>
      </c>
      <c r="ET69">
        <v>0.5</v>
      </c>
      <c r="EU69">
        <v>0.08</v>
      </c>
      <c r="EV69">
        <v>11.65</v>
      </c>
      <c r="EW69">
        <v>1.03</v>
      </c>
      <c r="EX69">
        <v>0</v>
      </c>
      <c r="EY69">
        <v>0</v>
      </c>
      <c r="FQ69">
        <v>0</v>
      </c>
      <c r="FR69">
        <v>0</v>
      </c>
      <c r="FS69">
        <v>0</v>
      </c>
      <c r="FX69">
        <v>90</v>
      </c>
      <c r="FY69">
        <v>46</v>
      </c>
      <c r="GA69" t="s">
        <v>3</v>
      </c>
      <c r="GD69">
        <v>1</v>
      </c>
      <c r="GF69">
        <v>1708693888</v>
      </c>
      <c r="GG69">
        <v>2</v>
      </c>
      <c r="GH69">
        <v>1</v>
      </c>
      <c r="GI69">
        <v>2</v>
      </c>
      <c r="GJ69">
        <v>0</v>
      </c>
      <c r="GK69">
        <v>0</v>
      </c>
      <c r="GL69">
        <f t="shared" si="75"/>
        <v>0</v>
      </c>
      <c r="GM69">
        <f t="shared" si="76"/>
        <v>12301.99</v>
      </c>
      <c r="GN69">
        <f t="shared" si="77"/>
        <v>0</v>
      </c>
      <c r="GO69">
        <f t="shared" si="78"/>
        <v>12301.99</v>
      </c>
      <c r="GP69">
        <f t="shared" si="79"/>
        <v>0</v>
      </c>
      <c r="GR69">
        <v>0</v>
      </c>
      <c r="GS69">
        <v>3</v>
      </c>
      <c r="GT69">
        <v>0</v>
      </c>
      <c r="GU69" t="s">
        <v>3</v>
      </c>
      <c r="GV69">
        <f t="shared" si="80"/>
        <v>0</v>
      </c>
      <c r="GW69">
        <v>1</v>
      </c>
      <c r="GX69">
        <f t="shared" si="81"/>
        <v>0</v>
      </c>
      <c r="HA69">
        <v>0</v>
      </c>
      <c r="HB69">
        <v>0</v>
      </c>
      <c r="HC69">
        <f t="shared" si="82"/>
        <v>0</v>
      </c>
      <c r="HE69" t="s">
        <v>3</v>
      </c>
      <c r="HF69" t="s">
        <v>3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S69">
        <v>0</v>
      </c>
      <c r="IK69">
        <v>0</v>
      </c>
    </row>
    <row r="70" spans="1:255" x14ac:dyDescent="0.2">
      <c r="A70" s="2">
        <v>18</v>
      </c>
      <c r="B70" s="2">
        <v>1</v>
      </c>
      <c r="C70" s="2">
        <v>79</v>
      </c>
      <c r="D70" s="2"/>
      <c r="E70" s="2" t="s">
        <v>117</v>
      </c>
      <c r="F70" s="2" t="s">
        <v>118</v>
      </c>
      <c r="G70" s="2" t="s">
        <v>119</v>
      </c>
      <c r="H70" s="2" t="s">
        <v>34</v>
      </c>
      <c r="I70" s="2">
        <f>I68*J70</f>
        <v>49</v>
      </c>
      <c r="J70" s="2">
        <v>7</v>
      </c>
      <c r="K70" s="2">
        <v>7</v>
      </c>
      <c r="L70" s="2"/>
      <c r="M70" s="2"/>
      <c r="N70" s="2"/>
      <c r="O70" s="2">
        <f t="shared" si="54"/>
        <v>11403.77</v>
      </c>
      <c r="P70" s="2">
        <f t="shared" si="85"/>
        <v>11403.77</v>
      </c>
      <c r="Q70" s="2">
        <f>(ROUND((ROUND(((ET70)*AV70*I70),2)*BB70),2)+ROUND((ROUND(((AE70-(EU70))*AV70*I70),2)*BS70),2))</f>
        <v>0</v>
      </c>
      <c r="R70" s="2">
        <f t="shared" si="55"/>
        <v>0</v>
      </c>
      <c r="S70" s="2">
        <f t="shared" si="56"/>
        <v>0</v>
      </c>
      <c r="T70" s="2">
        <f t="shared" si="57"/>
        <v>0</v>
      </c>
      <c r="U70" s="2">
        <f t="shared" si="58"/>
        <v>0</v>
      </c>
      <c r="V70" s="2">
        <f t="shared" si="59"/>
        <v>0</v>
      </c>
      <c r="W70" s="2">
        <f t="shared" si="60"/>
        <v>0</v>
      </c>
      <c r="X70" s="2">
        <f t="shared" si="61"/>
        <v>0</v>
      </c>
      <c r="Y70" s="2">
        <f t="shared" si="62"/>
        <v>0</v>
      </c>
      <c r="Z70" s="2"/>
      <c r="AA70" s="2">
        <v>59213216</v>
      </c>
      <c r="AB70" s="2">
        <f t="shared" si="63"/>
        <v>232.73</v>
      </c>
      <c r="AC70" s="2">
        <f>ROUND((ES70),6)</f>
        <v>232.73</v>
      </c>
      <c r="AD70" s="2">
        <f>ROUND((((ET70)-(EU70))+AE70),6)</f>
        <v>0</v>
      </c>
      <c r="AE70" s="2">
        <f>ROUND((EU70),6)</f>
        <v>0</v>
      </c>
      <c r="AF70" s="2">
        <f>ROUND((EV70),6)</f>
        <v>0</v>
      </c>
      <c r="AG70" s="2">
        <f t="shared" si="64"/>
        <v>0</v>
      </c>
      <c r="AH70" s="2">
        <f>(EW70)</f>
        <v>0</v>
      </c>
      <c r="AI70" s="2">
        <f>(EX70)</f>
        <v>0</v>
      </c>
      <c r="AJ70" s="2">
        <f t="shared" si="65"/>
        <v>0</v>
      </c>
      <c r="AK70" s="2">
        <v>232.73</v>
      </c>
      <c r="AL70" s="2">
        <v>232.73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90</v>
      </c>
      <c r="AU70" s="2">
        <v>46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2</v>
      </c>
      <c r="BJ70" s="2" t="s">
        <v>3</v>
      </c>
      <c r="BK70" s="2"/>
      <c r="BL70" s="2"/>
      <c r="BM70" s="2">
        <v>72</v>
      </c>
      <c r="BN70" s="2">
        <v>0</v>
      </c>
      <c r="BO70" s="2" t="s">
        <v>3</v>
      </c>
      <c r="BP70" s="2">
        <v>0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90</v>
      </c>
      <c r="CA70" s="2">
        <v>46</v>
      </c>
      <c r="CB70" s="2" t="s">
        <v>3</v>
      </c>
      <c r="CC70" s="2"/>
      <c r="CD70" s="2"/>
      <c r="CE70" s="2">
        <v>30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66"/>
        <v>11403.77</v>
      </c>
      <c r="CQ70" s="2">
        <f t="shared" si="86"/>
        <v>232.73</v>
      </c>
      <c r="CR70" s="2">
        <f>(ROUND((ROUND(((ET70)*AV70*1),2)*BB70),2)+ROUND((ROUND(((AE70-(EU70))*AV70*1),2)*BS70),2))</f>
        <v>0</v>
      </c>
      <c r="CS70" s="2">
        <f t="shared" si="67"/>
        <v>0</v>
      </c>
      <c r="CT70" s="2">
        <f t="shared" si="68"/>
        <v>0</v>
      </c>
      <c r="CU70" s="2">
        <f t="shared" si="69"/>
        <v>0</v>
      </c>
      <c r="CV70" s="2">
        <f t="shared" si="70"/>
        <v>0</v>
      </c>
      <c r="CW70" s="2">
        <f t="shared" si="71"/>
        <v>0</v>
      </c>
      <c r="CX70" s="2">
        <f t="shared" si="72"/>
        <v>0</v>
      </c>
      <c r="CY70" s="2">
        <f t="shared" si="73"/>
        <v>0</v>
      </c>
      <c r="CZ70" s="2">
        <f t="shared" si="74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1010</v>
      </c>
      <c r="DV70" s="2" t="s">
        <v>34</v>
      </c>
      <c r="DW70" s="2" t="s">
        <v>34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58808182</v>
      </c>
      <c r="EF70" s="2">
        <v>40</v>
      </c>
      <c r="EG70" s="2" t="s">
        <v>27</v>
      </c>
      <c r="EH70" s="2">
        <v>0</v>
      </c>
      <c r="EI70" s="2" t="s">
        <v>3</v>
      </c>
      <c r="EJ70" s="2">
        <v>2</v>
      </c>
      <c r="EK70" s="2">
        <v>72</v>
      </c>
      <c r="EL70" s="2" t="s">
        <v>58</v>
      </c>
      <c r="EM70" s="2" t="s">
        <v>59</v>
      </c>
      <c r="EN70" s="2"/>
      <c r="EO70" s="2" t="s">
        <v>3</v>
      </c>
      <c r="EP70" s="2"/>
      <c r="EQ70" s="2">
        <v>0</v>
      </c>
      <c r="ER70" s="2">
        <v>0</v>
      </c>
      <c r="ES70" s="2">
        <v>232.73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90</v>
      </c>
      <c r="FY70" s="2">
        <v>46</v>
      </c>
      <c r="FZ70" s="2"/>
      <c r="GA70" s="2" t="s">
        <v>120</v>
      </c>
      <c r="GB70" s="2"/>
      <c r="GC70" s="2"/>
      <c r="GD70" s="2">
        <v>1</v>
      </c>
      <c r="GE70" s="2"/>
      <c r="GF70" s="2">
        <v>-1498373408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75"/>
        <v>0</v>
      </c>
      <c r="GM70" s="2">
        <f t="shared" si="76"/>
        <v>11403.77</v>
      </c>
      <c r="GN70" s="2">
        <f t="shared" si="77"/>
        <v>0</v>
      </c>
      <c r="GO70" s="2">
        <f t="shared" si="78"/>
        <v>11403.77</v>
      </c>
      <c r="GP70" s="2">
        <f t="shared" si="79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80"/>
        <v>0</v>
      </c>
      <c r="GW70" s="2">
        <v>1</v>
      </c>
      <c r="GX70" s="2">
        <f t="shared" si="81"/>
        <v>0</v>
      </c>
      <c r="GY70" s="2"/>
      <c r="GZ70" s="2"/>
      <c r="HA70" s="2">
        <v>0</v>
      </c>
      <c r="HB70" s="2">
        <v>0</v>
      </c>
      <c r="HC70" s="2">
        <f t="shared" si="82"/>
        <v>0</v>
      </c>
      <c r="HD70" s="2"/>
      <c r="HE70" s="2" t="s">
        <v>93</v>
      </c>
      <c r="HF70" s="2" t="s">
        <v>31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>
        <v>18</v>
      </c>
      <c r="B71">
        <v>1</v>
      </c>
      <c r="C71">
        <v>82</v>
      </c>
      <c r="E71" t="s">
        <v>117</v>
      </c>
      <c r="F71" t="s">
        <v>118</v>
      </c>
      <c r="G71" t="s">
        <v>119</v>
      </c>
      <c r="H71" t="s">
        <v>34</v>
      </c>
      <c r="I71">
        <f>I69*J71</f>
        <v>49</v>
      </c>
      <c r="J71">
        <v>7</v>
      </c>
      <c r="K71">
        <v>7</v>
      </c>
      <c r="O71">
        <f t="shared" si="54"/>
        <v>112669.25</v>
      </c>
      <c r="P71">
        <f t="shared" si="85"/>
        <v>112669.25</v>
      </c>
      <c r="Q71">
        <f>(ROUND((ROUND(((ET71)*AV71*I71),2)*BB71),2)+ROUND((ROUND(((AE71-(EU71))*AV71*I71),2)*BS71),2))</f>
        <v>0</v>
      </c>
      <c r="R71">
        <f t="shared" si="55"/>
        <v>0</v>
      </c>
      <c r="S71">
        <f t="shared" si="56"/>
        <v>0</v>
      </c>
      <c r="T71">
        <f t="shared" si="57"/>
        <v>0</v>
      </c>
      <c r="U71">
        <f t="shared" si="58"/>
        <v>0</v>
      </c>
      <c r="V71">
        <f t="shared" si="59"/>
        <v>0</v>
      </c>
      <c r="W71">
        <f t="shared" si="60"/>
        <v>0</v>
      </c>
      <c r="X71">
        <f t="shared" si="61"/>
        <v>0</v>
      </c>
      <c r="Y71">
        <f t="shared" si="62"/>
        <v>0</v>
      </c>
      <c r="AA71">
        <v>59213213</v>
      </c>
      <c r="AB71">
        <f t="shared" si="63"/>
        <v>232.73</v>
      </c>
      <c r="AC71">
        <f>ROUND((ES71),6)</f>
        <v>232.73</v>
      </c>
      <c r="AD71">
        <f>ROUND((((ET71)-(EU71))+AE71),6)</f>
        <v>0</v>
      </c>
      <c r="AE71">
        <f>ROUND((EU71),6)</f>
        <v>0</v>
      </c>
      <c r="AF71">
        <f>ROUND((EV71),6)</f>
        <v>0</v>
      </c>
      <c r="AG71">
        <f t="shared" si="64"/>
        <v>0</v>
      </c>
      <c r="AH71">
        <f>(EW71)</f>
        <v>0</v>
      </c>
      <c r="AI71">
        <f>(EX71)</f>
        <v>0</v>
      </c>
      <c r="AJ71">
        <f t="shared" si="65"/>
        <v>0</v>
      </c>
      <c r="AK71">
        <v>232.73</v>
      </c>
      <c r="AL71">
        <v>232.73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90</v>
      </c>
      <c r="AU71">
        <v>46</v>
      </c>
      <c r="AV71">
        <v>1</v>
      </c>
      <c r="AW71">
        <v>1</v>
      </c>
      <c r="AZ71">
        <v>1</v>
      </c>
      <c r="BA71">
        <v>1</v>
      </c>
      <c r="BB71">
        <v>1</v>
      </c>
      <c r="BC71">
        <v>9.8800000000000008</v>
      </c>
      <c r="BD71" t="s">
        <v>3</v>
      </c>
      <c r="BE71" t="s">
        <v>3</v>
      </c>
      <c r="BF71" t="s">
        <v>3</v>
      </c>
      <c r="BG71" t="s">
        <v>3</v>
      </c>
      <c r="BH71">
        <v>3</v>
      </c>
      <c r="BI71">
        <v>2</v>
      </c>
      <c r="BJ71" t="s">
        <v>3</v>
      </c>
      <c r="BM71">
        <v>72</v>
      </c>
      <c r="BN71">
        <v>0</v>
      </c>
      <c r="BO71" t="s">
        <v>3</v>
      </c>
      <c r="BP71">
        <v>0</v>
      </c>
      <c r="BQ71">
        <v>40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 t="s">
        <v>3</v>
      </c>
      <c r="BZ71">
        <v>90</v>
      </c>
      <c r="CA71">
        <v>46</v>
      </c>
      <c r="CB71" t="s">
        <v>3</v>
      </c>
      <c r="CE71">
        <v>30</v>
      </c>
      <c r="CF71">
        <v>0</v>
      </c>
      <c r="CG71">
        <v>0</v>
      </c>
      <c r="CM71">
        <v>0</v>
      </c>
      <c r="CN71" t="s">
        <v>3</v>
      </c>
      <c r="CO71">
        <v>0</v>
      </c>
      <c r="CP71">
        <f t="shared" si="66"/>
        <v>112669.25</v>
      </c>
      <c r="CQ71">
        <f t="shared" si="86"/>
        <v>2299.37</v>
      </c>
      <c r="CR71">
        <f>(ROUND((ROUND(((ET71)*AV71*1),2)*BB71),2)+ROUND((ROUND(((AE71-(EU71))*AV71*1),2)*BS71),2))</f>
        <v>0</v>
      </c>
      <c r="CS71">
        <f t="shared" si="67"/>
        <v>0</v>
      </c>
      <c r="CT71">
        <f t="shared" si="68"/>
        <v>0</v>
      </c>
      <c r="CU71">
        <f t="shared" si="69"/>
        <v>0</v>
      </c>
      <c r="CV71">
        <f t="shared" si="70"/>
        <v>0</v>
      </c>
      <c r="CW71">
        <f t="shared" si="71"/>
        <v>0</v>
      </c>
      <c r="CX71">
        <f t="shared" si="72"/>
        <v>0</v>
      </c>
      <c r="CY71">
        <f t="shared" si="73"/>
        <v>0</v>
      </c>
      <c r="CZ71">
        <f t="shared" si="74"/>
        <v>0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>
        <v>0</v>
      </c>
      <c r="DO71">
        <v>0</v>
      </c>
      <c r="DP71">
        <v>1</v>
      </c>
      <c r="DQ71">
        <v>1</v>
      </c>
      <c r="DU71">
        <v>1010</v>
      </c>
      <c r="DV71" t="s">
        <v>34</v>
      </c>
      <c r="DW71" t="s">
        <v>34</v>
      </c>
      <c r="DX71">
        <v>1</v>
      </c>
      <c r="DZ71" t="s">
        <v>3</v>
      </c>
      <c r="EA71" t="s">
        <v>3</v>
      </c>
      <c r="EB71" t="s">
        <v>3</v>
      </c>
      <c r="EC71" t="s">
        <v>3</v>
      </c>
      <c r="EE71">
        <v>58808182</v>
      </c>
      <c r="EF71">
        <v>40</v>
      </c>
      <c r="EG71" t="s">
        <v>27</v>
      </c>
      <c r="EH71">
        <v>0</v>
      </c>
      <c r="EI71" t="s">
        <v>3</v>
      </c>
      <c r="EJ71">
        <v>2</v>
      </c>
      <c r="EK71">
        <v>72</v>
      </c>
      <c r="EL71" t="s">
        <v>58</v>
      </c>
      <c r="EM71" t="s">
        <v>59</v>
      </c>
      <c r="EO71" t="s">
        <v>3</v>
      </c>
      <c r="EQ71">
        <v>0</v>
      </c>
      <c r="ER71">
        <v>306.76</v>
      </c>
      <c r="ES71">
        <v>232.73</v>
      </c>
      <c r="ET71">
        <v>0</v>
      </c>
      <c r="EU71">
        <v>0</v>
      </c>
      <c r="EV71">
        <v>0</v>
      </c>
      <c r="EW71">
        <v>0</v>
      </c>
      <c r="EX71">
        <v>0</v>
      </c>
      <c r="EZ71">
        <v>5</v>
      </c>
      <c r="FC71">
        <v>1</v>
      </c>
      <c r="FD71">
        <v>18</v>
      </c>
      <c r="FF71">
        <v>2705.14</v>
      </c>
      <c r="FQ71">
        <v>0</v>
      </c>
      <c r="FR71">
        <v>0</v>
      </c>
      <c r="FS71">
        <v>0</v>
      </c>
      <c r="FX71">
        <v>90</v>
      </c>
      <c r="FY71">
        <v>46</v>
      </c>
      <c r="GA71" t="s">
        <v>120</v>
      </c>
      <c r="GD71">
        <v>1</v>
      </c>
      <c r="GF71">
        <v>-1498373408</v>
      </c>
      <c r="GG71">
        <v>2</v>
      </c>
      <c r="GH71">
        <v>3</v>
      </c>
      <c r="GI71">
        <v>5</v>
      </c>
      <c r="GJ71">
        <v>0</v>
      </c>
      <c r="GK71">
        <v>0</v>
      </c>
      <c r="GL71">
        <f t="shared" si="75"/>
        <v>0</v>
      </c>
      <c r="GM71">
        <f t="shared" si="76"/>
        <v>112669.25</v>
      </c>
      <c r="GN71">
        <f t="shared" si="77"/>
        <v>0</v>
      </c>
      <c r="GO71">
        <f t="shared" si="78"/>
        <v>112669.25</v>
      </c>
      <c r="GP71">
        <f t="shared" si="79"/>
        <v>0</v>
      </c>
      <c r="GR71">
        <v>1</v>
      </c>
      <c r="GS71">
        <v>1</v>
      </c>
      <c r="GT71">
        <v>0</v>
      </c>
      <c r="GU71" t="s">
        <v>3</v>
      </c>
      <c r="GV71">
        <f t="shared" si="80"/>
        <v>0</v>
      </c>
      <c r="GW71">
        <v>1</v>
      </c>
      <c r="GX71">
        <f t="shared" si="81"/>
        <v>0</v>
      </c>
      <c r="HA71">
        <v>0</v>
      </c>
      <c r="HB71">
        <v>0</v>
      </c>
      <c r="HC71">
        <f t="shared" si="82"/>
        <v>0</v>
      </c>
      <c r="HE71" t="s">
        <v>93</v>
      </c>
      <c r="HF71" t="s">
        <v>31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S71">
        <v>0</v>
      </c>
      <c r="IK71">
        <v>0</v>
      </c>
    </row>
    <row r="72" spans="1:255" x14ac:dyDescent="0.2">
      <c r="A72" s="2">
        <v>17</v>
      </c>
      <c r="B72" s="2">
        <v>1</v>
      </c>
      <c r="C72" s="2">
        <f>ROW(SmtRes!A84)</f>
        <v>84</v>
      </c>
      <c r="D72" s="2">
        <f>ROW(EtalonRes!A94)</f>
        <v>94</v>
      </c>
      <c r="E72" s="2" t="s">
        <v>121</v>
      </c>
      <c r="F72" s="2" t="s">
        <v>122</v>
      </c>
      <c r="G72" s="2" t="s">
        <v>123</v>
      </c>
      <c r="H72" s="2" t="s">
        <v>124</v>
      </c>
      <c r="I72" s="2">
        <f>ROUND(ROUND(7,4),9)</f>
        <v>7</v>
      </c>
      <c r="J72" s="2">
        <v>0</v>
      </c>
      <c r="K72" s="2">
        <f>ROUND(ROUND(7,4),9)</f>
        <v>7</v>
      </c>
      <c r="L72" s="2"/>
      <c r="M72" s="2"/>
      <c r="N72" s="2"/>
      <c r="O72" s="2">
        <f t="shared" si="54"/>
        <v>6.29</v>
      </c>
      <c r="P72" s="2">
        <f t="shared" si="85"/>
        <v>0</v>
      </c>
      <c r="Q72" s="2">
        <f>(ROUND((ROUND((((ET72*1.1))*AV72*I72),2)*BB72),2)+ROUND((ROUND(((AE72-((EU72*1.1)))*AV72*I72),2)*BS72),2))</f>
        <v>0</v>
      </c>
      <c r="R72" s="2">
        <f t="shared" si="55"/>
        <v>0</v>
      </c>
      <c r="S72" s="2">
        <f t="shared" si="56"/>
        <v>6.29</v>
      </c>
      <c r="T72" s="2">
        <f t="shared" si="57"/>
        <v>0</v>
      </c>
      <c r="U72" s="2">
        <f t="shared" si="58"/>
        <v>0.56433300000000008</v>
      </c>
      <c r="V72" s="2">
        <f t="shared" si="59"/>
        <v>0</v>
      </c>
      <c r="W72" s="2">
        <f t="shared" si="60"/>
        <v>0</v>
      </c>
      <c r="X72" s="2">
        <f t="shared" si="61"/>
        <v>5.66</v>
      </c>
      <c r="Y72" s="2">
        <f t="shared" si="62"/>
        <v>2.89</v>
      </c>
      <c r="Z72" s="2"/>
      <c r="AA72" s="2">
        <v>59213216</v>
      </c>
      <c r="AB72" s="2">
        <f t="shared" si="63"/>
        <v>0.85799999999999998</v>
      </c>
      <c r="AC72" s="2">
        <f>ROUND(((ES72*1)),6)</f>
        <v>0</v>
      </c>
      <c r="AD72" s="2">
        <f>ROUND(((((ET72*1.1))-((EU72*1.1)))+AE72),6)</f>
        <v>0</v>
      </c>
      <c r="AE72" s="2">
        <f>ROUND(((EU72*1.1)),6)</f>
        <v>0</v>
      </c>
      <c r="AF72" s="2">
        <f>ROUND(((EV72*1.1)),6)</f>
        <v>0.85799999999999998</v>
      </c>
      <c r="AG72" s="2">
        <f t="shared" si="64"/>
        <v>0</v>
      </c>
      <c r="AH72" s="2">
        <f>((EW72*1.1))</f>
        <v>7.7000000000000013E-2</v>
      </c>
      <c r="AI72" s="2">
        <f>((EX72*1.1))</f>
        <v>0</v>
      </c>
      <c r="AJ72" s="2">
        <f t="shared" si="65"/>
        <v>0</v>
      </c>
      <c r="AK72" s="2">
        <v>0.78</v>
      </c>
      <c r="AL72" s="2">
        <v>0</v>
      </c>
      <c r="AM72" s="2">
        <v>0</v>
      </c>
      <c r="AN72" s="2">
        <v>0</v>
      </c>
      <c r="AO72" s="2">
        <v>0.78</v>
      </c>
      <c r="AP72" s="2">
        <v>0</v>
      </c>
      <c r="AQ72" s="2">
        <v>7.0000000000000007E-2</v>
      </c>
      <c r="AR72" s="2">
        <v>0</v>
      </c>
      <c r="AS72" s="2">
        <v>0</v>
      </c>
      <c r="AT72" s="2">
        <v>90</v>
      </c>
      <c r="AU72" s="2">
        <v>46</v>
      </c>
      <c r="AV72" s="2">
        <v>1.0469999999999999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125</v>
      </c>
      <c r="BK72" s="2"/>
      <c r="BL72" s="2"/>
      <c r="BM72" s="2">
        <v>68</v>
      </c>
      <c r="BN72" s="2">
        <v>58808062</v>
      </c>
      <c r="BO72" s="2" t="s">
        <v>122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30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492</v>
      </c>
      <c r="CO72" s="2">
        <v>0</v>
      </c>
      <c r="CP72" s="2">
        <f t="shared" si="66"/>
        <v>6.29</v>
      </c>
      <c r="CQ72" s="2">
        <f t="shared" si="86"/>
        <v>0</v>
      </c>
      <c r="CR72" s="2">
        <f>(ROUND((ROUND((((ET72*1.1))*AV72*1),2)*BB72),2)+ROUND((ROUND(((AE72-((EU72*1.1)))*AV72*1),2)*BS72),2))</f>
        <v>0</v>
      </c>
      <c r="CS72" s="2">
        <f t="shared" si="67"/>
        <v>0</v>
      </c>
      <c r="CT72" s="2">
        <f t="shared" si="68"/>
        <v>0.9</v>
      </c>
      <c r="CU72" s="2">
        <f t="shared" si="69"/>
        <v>0</v>
      </c>
      <c r="CV72" s="2">
        <f t="shared" si="70"/>
        <v>8.061900000000001E-2</v>
      </c>
      <c r="CW72" s="2">
        <f t="shared" si="71"/>
        <v>0</v>
      </c>
      <c r="CX72" s="2">
        <f t="shared" si="72"/>
        <v>0</v>
      </c>
      <c r="CY72" s="2">
        <f t="shared" si="73"/>
        <v>5.6610000000000005</v>
      </c>
      <c r="CZ72" s="2">
        <f t="shared" si="74"/>
        <v>2.8933999999999997</v>
      </c>
      <c r="DA72" s="2"/>
      <c r="DB72" s="2">
        <v>21</v>
      </c>
      <c r="DC72" s="2" t="s">
        <v>3</v>
      </c>
      <c r="DD72" s="2" t="s">
        <v>25</v>
      </c>
      <c r="DE72" s="2" t="s">
        <v>26</v>
      </c>
      <c r="DF72" s="2" t="s">
        <v>26</v>
      </c>
      <c r="DG72" s="2" t="s">
        <v>26</v>
      </c>
      <c r="DH72" s="2" t="s">
        <v>3</v>
      </c>
      <c r="DI72" s="2" t="s">
        <v>26</v>
      </c>
      <c r="DJ72" s="2" t="s">
        <v>26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1013</v>
      </c>
      <c r="DV72" s="2" t="s">
        <v>124</v>
      </c>
      <c r="DW72" s="2" t="s">
        <v>124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58808178</v>
      </c>
      <c r="EF72" s="2">
        <v>40</v>
      </c>
      <c r="EG72" s="2" t="s">
        <v>27</v>
      </c>
      <c r="EH72" s="2">
        <v>0</v>
      </c>
      <c r="EI72" s="2" t="s">
        <v>3</v>
      </c>
      <c r="EJ72" s="2">
        <v>2</v>
      </c>
      <c r="EK72" s="2">
        <v>68</v>
      </c>
      <c r="EL72" s="2" t="s">
        <v>28</v>
      </c>
      <c r="EM72" s="2" t="s">
        <v>29</v>
      </c>
      <c r="EN72" s="2"/>
      <c r="EO72" s="2" t="s">
        <v>30</v>
      </c>
      <c r="EP72" s="2"/>
      <c r="EQ72" s="2">
        <v>0</v>
      </c>
      <c r="ER72" s="2">
        <v>0.78</v>
      </c>
      <c r="ES72" s="2">
        <v>0</v>
      </c>
      <c r="ET72" s="2">
        <v>0</v>
      </c>
      <c r="EU72" s="2">
        <v>0</v>
      </c>
      <c r="EV72" s="2">
        <v>0.78</v>
      </c>
      <c r="EW72" s="2">
        <v>7.0000000000000007E-2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-1730397577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75"/>
        <v>0</v>
      </c>
      <c r="GM72" s="2">
        <f t="shared" si="76"/>
        <v>14.84</v>
      </c>
      <c r="GN72" s="2">
        <f t="shared" si="77"/>
        <v>0</v>
      </c>
      <c r="GO72" s="2">
        <f t="shared" si="78"/>
        <v>14.84</v>
      </c>
      <c r="GP72" s="2">
        <f t="shared" si="79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80"/>
        <v>0</v>
      </c>
      <c r="GW72" s="2">
        <v>1</v>
      </c>
      <c r="GX72" s="2">
        <f t="shared" si="81"/>
        <v>0</v>
      </c>
      <c r="GY72" s="2"/>
      <c r="GZ72" s="2"/>
      <c r="HA72" s="2">
        <v>0</v>
      </c>
      <c r="HB72" s="2">
        <v>0</v>
      </c>
      <c r="HC72" s="2">
        <f t="shared" si="82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>
        <v>17</v>
      </c>
      <c r="B73">
        <v>1</v>
      </c>
      <c r="C73">
        <f>ROW(SmtRes!A86)</f>
        <v>86</v>
      </c>
      <c r="D73">
        <f>ROW(EtalonRes!A96)</f>
        <v>96</v>
      </c>
      <c r="E73" t="s">
        <v>121</v>
      </c>
      <c r="F73" t="s">
        <v>122</v>
      </c>
      <c r="G73" t="s">
        <v>123</v>
      </c>
      <c r="H73" t="s">
        <v>124</v>
      </c>
      <c r="I73">
        <f>ROUND(ROUND(7,4),9)</f>
        <v>7</v>
      </c>
      <c r="J73">
        <v>0</v>
      </c>
      <c r="K73">
        <f>ROUND(ROUND(7,4),9)</f>
        <v>7</v>
      </c>
      <c r="O73">
        <f t="shared" si="54"/>
        <v>345.89</v>
      </c>
      <c r="P73">
        <f t="shared" si="85"/>
        <v>0</v>
      </c>
      <c r="Q73">
        <f>(ROUND((ROUND((((ET73*1.1))*AV73*I73),2)*BB73),2)+ROUND((ROUND(((AE73-((EU73*1.1)))*AV73*I73),2)*BS73),2))</f>
        <v>0</v>
      </c>
      <c r="R73">
        <f t="shared" si="55"/>
        <v>0</v>
      </c>
      <c r="S73">
        <f t="shared" si="56"/>
        <v>345.89</v>
      </c>
      <c r="T73">
        <f t="shared" si="57"/>
        <v>0</v>
      </c>
      <c r="U73">
        <f t="shared" si="58"/>
        <v>0.56433300000000008</v>
      </c>
      <c r="V73">
        <f t="shared" si="59"/>
        <v>0</v>
      </c>
      <c r="W73">
        <f t="shared" si="60"/>
        <v>0</v>
      </c>
      <c r="X73">
        <f t="shared" si="61"/>
        <v>311.3</v>
      </c>
      <c r="Y73">
        <f t="shared" si="62"/>
        <v>159.11000000000001</v>
      </c>
      <c r="AA73">
        <v>59213213</v>
      </c>
      <c r="AB73">
        <f t="shared" si="63"/>
        <v>0.85799999999999998</v>
      </c>
      <c r="AC73">
        <f>ROUND(((ES73*1)),6)</f>
        <v>0</v>
      </c>
      <c r="AD73">
        <f>ROUND(((((ET73*1.1))-((EU73*1.1)))+AE73),6)</f>
        <v>0</v>
      </c>
      <c r="AE73">
        <f>ROUND(((EU73*1.1)),6)</f>
        <v>0</v>
      </c>
      <c r="AF73">
        <f>ROUND(((EV73*1.1)),6)</f>
        <v>0.85799999999999998</v>
      </c>
      <c r="AG73">
        <f t="shared" si="64"/>
        <v>0</v>
      </c>
      <c r="AH73">
        <f>((EW73*1.1))</f>
        <v>7.7000000000000013E-2</v>
      </c>
      <c r="AI73">
        <f>((EX73*1.1))</f>
        <v>0</v>
      </c>
      <c r="AJ73">
        <f t="shared" si="65"/>
        <v>0</v>
      </c>
      <c r="AK73">
        <v>0.78</v>
      </c>
      <c r="AL73">
        <v>0</v>
      </c>
      <c r="AM73">
        <v>0</v>
      </c>
      <c r="AN73">
        <v>0</v>
      </c>
      <c r="AO73">
        <v>0.78</v>
      </c>
      <c r="AP73">
        <v>0</v>
      </c>
      <c r="AQ73">
        <v>7.0000000000000007E-2</v>
      </c>
      <c r="AR73">
        <v>0</v>
      </c>
      <c r="AS73">
        <v>0</v>
      </c>
      <c r="AT73">
        <v>90</v>
      </c>
      <c r="AU73">
        <v>46</v>
      </c>
      <c r="AV73">
        <v>1.0469999999999999</v>
      </c>
      <c r="AW73">
        <v>1</v>
      </c>
      <c r="AZ73">
        <v>1</v>
      </c>
      <c r="BA73">
        <v>54.99</v>
      </c>
      <c r="BB73">
        <v>1</v>
      </c>
      <c r="BC73">
        <v>1</v>
      </c>
      <c r="BD73" t="s">
        <v>3</v>
      </c>
      <c r="BE73" t="s">
        <v>3</v>
      </c>
      <c r="BF73" t="s">
        <v>3</v>
      </c>
      <c r="BG73" t="s">
        <v>3</v>
      </c>
      <c r="BH73">
        <v>0</v>
      </c>
      <c r="BI73">
        <v>2</v>
      </c>
      <c r="BJ73" t="s">
        <v>125</v>
      </c>
      <c r="BM73">
        <v>68</v>
      </c>
      <c r="BN73">
        <v>58808062</v>
      </c>
      <c r="BO73" t="s">
        <v>122</v>
      </c>
      <c r="BP73">
        <v>1</v>
      </c>
      <c r="BQ73">
        <v>40</v>
      </c>
      <c r="BR73">
        <v>0</v>
      </c>
      <c r="BS73">
        <v>54.99</v>
      </c>
      <c r="BT73">
        <v>1</v>
      </c>
      <c r="BU73">
        <v>1</v>
      </c>
      <c r="BV73">
        <v>1</v>
      </c>
      <c r="BW73">
        <v>1</v>
      </c>
      <c r="BX73">
        <v>1</v>
      </c>
      <c r="BY73" t="s">
        <v>3</v>
      </c>
      <c r="BZ73">
        <v>90</v>
      </c>
      <c r="CA73">
        <v>46</v>
      </c>
      <c r="CB73" t="s">
        <v>3</v>
      </c>
      <c r="CE73">
        <v>30</v>
      </c>
      <c r="CF73">
        <v>0</v>
      </c>
      <c r="CG73">
        <v>0</v>
      </c>
      <c r="CM73">
        <v>0</v>
      </c>
      <c r="CN73" t="s">
        <v>492</v>
      </c>
      <c r="CO73">
        <v>0</v>
      </c>
      <c r="CP73">
        <f t="shared" si="66"/>
        <v>345.89</v>
      </c>
      <c r="CQ73">
        <f t="shared" si="86"/>
        <v>0</v>
      </c>
      <c r="CR73">
        <f>(ROUND((ROUND((((ET73*1.1))*AV73*1),2)*BB73),2)+ROUND((ROUND(((AE73-((EU73*1.1)))*AV73*1),2)*BS73),2))</f>
        <v>0</v>
      </c>
      <c r="CS73">
        <f t="shared" si="67"/>
        <v>0</v>
      </c>
      <c r="CT73">
        <f t="shared" si="68"/>
        <v>49.49</v>
      </c>
      <c r="CU73">
        <f t="shared" si="69"/>
        <v>0</v>
      </c>
      <c r="CV73">
        <f t="shared" si="70"/>
        <v>8.061900000000001E-2</v>
      </c>
      <c r="CW73">
        <f t="shared" si="71"/>
        <v>0</v>
      </c>
      <c r="CX73">
        <f t="shared" si="72"/>
        <v>0</v>
      </c>
      <c r="CY73">
        <f t="shared" si="73"/>
        <v>311.30099999999999</v>
      </c>
      <c r="CZ73">
        <f t="shared" si="74"/>
        <v>159.10939999999999</v>
      </c>
      <c r="DB73">
        <v>22</v>
      </c>
      <c r="DC73" t="s">
        <v>3</v>
      </c>
      <c r="DD73" t="s">
        <v>25</v>
      </c>
      <c r="DE73" t="s">
        <v>26</v>
      </c>
      <c r="DF73" t="s">
        <v>26</v>
      </c>
      <c r="DG73" t="s">
        <v>26</v>
      </c>
      <c r="DH73" t="s">
        <v>3</v>
      </c>
      <c r="DI73" t="s">
        <v>26</v>
      </c>
      <c r="DJ73" t="s">
        <v>26</v>
      </c>
      <c r="DK73" t="s">
        <v>3</v>
      </c>
      <c r="DL73" t="s">
        <v>3</v>
      </c>
      <c r="DM73" t="s">
        <v>3</v>
      </c>
      <c r="DN73">
        <v>0</v>
      </c>
      <c r="DO73">
        <v>0</v>
      </c>
      <c r="DP73">
        <v>1</v>
      </c>
      <c r="DQ73">
        <v>1</v>
      </c>
      <c r="DU73">
        <v>1013</v>
      </c>
      <c r="DV73" t="s">
        <v>124</v>
      </c>
      <c r="DW73" t="s">
        <v>124</v>
      </c>
      <c r="DX73">
        <v>1</v>
      </c>
      <c r="DZ73" t="s">
        <v>3</v>
      </c>
      <c r="EA73" t="s">
        <v>3</v>
      </c>
      <c r="EB73" t="s">
        <v>3</v>
      </c>
      <c r="EC73" t="s">
        <v>3</v>
      </c>
      <c r="EE73">
        <v>58808178</v>
      </c>
      <c r="EF73">
        <v>40</v>
      </c>
      <c r="EG73" t="s">
        <v>27</v>
      </c>
      <c r="EH73">
        <v>0</v>
      </c>
      <c r="EI73" t="s">
        <v>3</v>
      </c>
      <c r="EJ73">
        <v>2</v>
      </c>
      <c r="EK73">
        <v>68</v>
      </c>
      <c r="EL73" t="s">
        <v>28</v>
      </c>
      <c r="EM73" t="s">
        <v>29</v>
      </c>
      <c r="EO73" t="s">
        <v>30</v>
      </c>
      <c r="EQ73">
        <v>0</v>
      </c>
      <c r="ER73">
        <v>0.78</v>
      </c>
      <c r="ES73">
        <v>0</v>
      </c>
      <c r="ET73">
        <v>0</v>
      </c>
      <c r="EU73">
        <v>0</v>
      </c>
      <c r="EV73">
        <v>0.78</v>
      </c>
      <c r="EW73">
        <v>7.0000000000000007E-2</v>
      </c>
      <c r="EX73">
        <v>0</v>
      </c>
      <c r="EY73">
        <v>0</v>
      </c>
      <c r="FQ73">
        <v>0</v>
      </c>
      <c r="FR73">
        <v>0</v>
      </c>
      <c r="FS73">
        <v>0</v>
      </c>
      <c r="FX73">
        <v>90</v>
      </c>
      <c r="FY73">
        <v>46</v>
      </c>
      <c r="GA73" t="s">
        <v>3</v>
      </c>
      <c r="GD73">
        <v>1</v>
      </c>
      <c r="GF73">
        <v>-1730397577</v>
      </c>
      <c r="GG73">
        <v>2</v>
      </c>
      <c r="GH73">
        <v>1</v>
      </c>
      <c r="GI73">
        <v>2</v>
      </c>
      <c r="GJ73">
        <v>0</v>
      </c>
      <c r="GK73">
        <v>0</v>
      </c>
      <c r="GL73">
        <f t="shared" si="75"/>
        <v>0</v>
      </c>
      <c r="GM73">
        <f t="shared" si="76"/>
        <v>816.3</v>
      </c>
      <c r="GN73">
        <f t="shared" si="77"/>
        <v>0</v>
      </c>
      <c r="GO73">
        <f t="shared" si="78"/>
        <v>816.3</v>
      </c>
      <c r="GP73">
        <f t="shared" si="79"/>
        <v>0</v>
      </c>
      <c r="GR73">
        <v>0</v>
      </c>
      <c r="GS73">
        <v>3</v>
      </c>
      <c r="GT73">
        <v>0</v>
      </c>
      <c r="GU73" t="s">
        <v>3</v>
      </c>
      <c r="GV73">
        <f t="shared" si="80"/>
        <v>0</v>
      </c>
      <c r="GW73">
        <v>1</v>
      </c>
      <c r="GX73">
        <f t="shared" si="81"/>
        <v>0</v>
      </c>
      <c r="HA73">
        <v>0</v>
      </c>
      <c r="HB73">
        <v>0</v>
      </c>
      <c r="HC73">
        <f t="shared" si="82"/>
        <v>0</v>
      </c>
      <c r="HE73" t="s">
        <v>3</v>
      </c>
      <c r="HF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S73">
        <v>0</v>
      </c>
      <c r="IK73">
        <v>0</v>
      </c>
    </row>
    <row r="74" spans="1:255" x14ac:dyDescent="0.2">
      <c r="A74" s="2">
        <v>18</v>
      </c>
      <c r="B74" s="2">
        <v>1</v>
      </c>
      <c r="C74" s="2">
        <v>84</v>
      </c>
      <c r="D74" s="2"/>
      <c r="E74" s="2" t="s">
        <v>126</v>
      </c>
      <c r="F74" s="2" t="s">
        <v>127</v>
      </c>
      <c r="G74" s="2" t="s">
        <v>128</v>
      </c>
      <c r="H74" s="2" t="s">
        <v>34</v>
      </c>
      <c r="I74" s="2">
        <f>I72*J74</f>
        <v>7</v>
      </c>
      <c r="J74" s="2">
        <v>1</v>
      </c>
      <c r="K74" s="2">
        <v>1</v>
      </c>
      <c r="L74" s="2"/>
      <c r="M74" s="2"/>
      <c r="N74" s="2"/>
      <c r="O74" s="2">
        <f t="shared" si="54"/>
        <v>259</v>
      </c>
      <c r="P74" s="2">
        <f t="shared" si="85"/>
        <v>259</v>
      </c>
      <c r="Q74" s="2">
        <f>(ROUND((ROUND(((ET74)*AV74*I74),2)*BB74),2)+ROUND((ROUND(((AE74-(EU74))*AV74*I74),2)*BS74),2))</f>
        <v>0</v>
      </c>
      <c r="R74" s="2">
        <f t="shared" si="55"/>
        <v>0</v>
      </c>
      <c r="S74" s="2">
        <f t="shared" si="56"/>
        <v>0</v>
      </c>
      <c r="T74" s="2">
        <f t="shared" si="57"/>
        <v>0</v>
      </c>
      <c r="U74" s="2">
        <f t="shared" si="58"/>
        <v>0</v>
      </c>
      <c r="V74" s="2">
        <f t="shared" si="59"/>
        <v>0</v>
      </c>
      <c r="W74" s="2">
        <f t="shared" si="60"/>
        <v>0</v>
      </c>
      <c r="X74" s="2">
        <f t="shared" si="61"/>
        <v>0</v>
      </c>
      <c r="Y74" s="2">
        <f t="shared" si="62"/>
        <v>0</v>
      </c>
      <c r="Z74" s="2"/>
      <c r="AA74" s="2">
        <v>59213216</v>
      </c>
      <c r="AB74" s="2">
        <f t="shared" si="63"/>
        <v>37</v>
      </c>
      <c r="AC74" s="2">
        <f>ROUND((ES74),6)</f>
        <v>37</v>
      </c>
      <c r="AD74" s="2">
        <f>ROUND((((ET74)-(EU74))+AE74),6)</f>
        <v>0</v>
      </c>
      <c r="AE74" s="2">
        <f>ROUND((EU74),6)</f>
        <v>0</v>
      </c>
      <c r="AF74" s="2">
        <f>ROUND((EV74),6)</f>
        <v>0</v>
      </c>
      <c r="AG74" s="2">
        <f t="shared" si="64"/>
        <v>0</v>
      </c>
      <c r="AH74" s="2">
        <f>(EW74)</f>
        <v>0</v>
      </c>
      <c r="AI74" s="2">
        <f>(EX74)</f>
        <v>0</v>
      </c>
      <c r="AJ74" s="2">
        <f t="shared" si="65"/>
        <v>0</v>
      </c>
      <c r="AK74" s="2">
        <v>37</v>
      </c>
      <c r="AL74" s="2">
        <v>37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90</v>
      </c>
      <c r="AU74" s="2">
        <v>46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2</v>
      </c>
      <c r="BJ74" s="2" t="s">
        <v>3</v>
      </c>
      <c r="BK74" s="2"/>
      <c r="BL74" s="2"/>
      <c r="BM74" s="2">
        <v>68</v>
      </c>
      <c r="BN74" s="2">
        <v>0</v>
      </c>
      <c r="BO74" s="2" t="s">
        <v>3</v>
      </c>
      <c r="BP74" s="2">
        <v>0</v>
      </c>
      <c r="BQ74" s="2">
        <v>40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90</v>
      </c>
      <c r="CA74" s="2">
        <v>46</v>
      </c>
      <c r="CB74" s="2" t="s">
        <v>3</v>
      </c>
      <c r="CC74" s="2"/>
      <c r="CD74" s="2"/>
      <c r="CE74" s="2">
        <v>30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66"/>
        <v>259</v>
      </c>
      <c r="CQ74" s="2">
        <f t="shared" si="86"/>
        <v>37</v>
      </c>
      <c r="CR74" s="2">
        <f>(ROUND((ROUND(((ET74)*AV74*1),2)*BB74),2)+ROUND((ROUND(((AE74-(EU74))*AV74*1),2)*BS74),2))</f>
        <v>0</v>
      </c>
      <c r="CS74" s="2">
        <f t="shared" si="67"/>
        <v>0</v>
      </c>
      <c r="CT74" s="2">
        <f t="shared" si="68"/>
        <v>0</v>
      </c>
      <c r="CU74" s="2">
        <f t="shared" si="69"/>
        <v>0</v>
      </c>
      <c r="CV74" s="2">
        <f t="shared" si="70"/>
        <v>0</v>
      </c>
      <c r="CW74" s="2">
        <f t="shared" si="71"/>
        <v>0</v>
      </c>
      <c r="CX74" s="2">
        <f t="shared" si="72"/>
        <v>0</v>
      </c>
      <c r="CY74" s="2">
        <f t="shared" si="73"/>
        <v>0</v>
      </c>
      <c r="CZ74" s="2">
        <f t="shared" si="74"/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1010</v>
      </c>
      <c r="DV74" s="2" t="s">
        <v>34</v>
      </c>
      <c r="DW74" s="2" t="s">
        <v>34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58808178</v>
      </c>
      <c r="EF74" s="2">
        <v>40</v>
      </c>
      <c r="EG74" s="2" t="s">
        <v>27</v>
      </c>
      <c r="EH74" s="2">
        <v>0</v>
      </c>
      <c r="EI74" s="2" t="s">
        <v>3</v>
      </c>
      <c r="EJ74" s="2">
        <v>2</v>
      </c>
      <c r="EK74" s="2">
        <v>68</v>
      </c>
      <c r="EL74" s="2" t="s">
        <v>28</v>
      </c>
      <c r="EM74" s="2" t="s">
        <v>29</v>
      </c>
      <c r="EN74" s="2"/>
      <c r="EO74" s="2" t="s">
        <v>3</v>
      </c>
      <c r="EP74" s="2"/>
      <c r="EQ74" s="2">
        <v>0</v>
      </c>
      <c r="ER74" s="2">
        <v>0</v>
      </c>
      <c r="ES74" s="2">
        <v>37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90</v>
      </c>
      <c r="FY74" s="2">
        <v>46</v>
      </c>
      <c r="FZ74" s="2"/>
      <c r="GA74" s="2" t="s">
        <v>129</v>
      </c>
      <c r="GB74" s="2"/>
      <c r="GC74" s="2"/>
      <c r="GD74" s="2">
        <v>1</v>
      </c>
      <c r="GE74" s="2"/>
      <c r="GF74" s="2">
        <v>-1209925472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75"/>
        <v>0</v>
      </c>
      <c r="GM74" s="2">
        <f t="shared" si="76"/>
        <v>259</v>
      </c>
      <c r="GN74" s="2">
        <f t="shared" si="77"/>
        <v>0</v>
      </c>
      <c r="GO74" s="2">
        <f t="shared" si="78"/>
        <v>259</v>
      </c>
      <c r="GP74" s="2">
        <f t="shared" si="79"/>
        <v>0</v>
      </c>
      <c r="GQ74" s="2"/>
      <c r="GR74" s="2">
        <v>2</v>
      </c>
      <c r="GS74" s="2">
        <v>2</v>
      </c>
      <c r="GT74" s="2">
        <v>0</v>
      </c>
      <c r="GU74" s="2" t="s">
        <v>3</v>
      </c>
      <c r="GV74" s="2">
        <f t="shared" si="80"/>
        <v>0</v>
      </c>
      <c r="GW74" s="2">
        <v>1</v>
      </c>
      <c r="GX74" s="2">
        <f t="shared" si="81"/>
        <v>0</v>
      </c>
      <c r="GY74" s="2"/>
      <c r="GZ74" s="2"/>
      <c r="HA74" s="2">
        <v>0</v>
      </c>
      <c r="HB74" s="2">
        <v>0</v>
      </c>
      <c r="HC74" s="2">
        <f t="shared" si="82"/>
        <v>0</v>
      </c>
      <c r="HD74" s="2"/>
      <c r="HE74" s="2" t="s">
        <v>93</v>
      </c>
      <c r="HF74" s="2" t="s">
        <v>31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>
        <v>18</v>
      </c>
      <c r="B75">
        <v>1</v>
      </c>
      <c r="C75">
        <v>86</v>
      </c>
      <c r="E75" t="s">
        <v>126</v>
      </c>
      <c r="F75" t="s">
        <v>127</v>
      </c>
      <c r="G75" t="s">
        <v>128</v>
      </c>
      <c r="H75" t="s">
        <v>34</v>
      </c>
      <c r="I75">
        <f>I73*J75</f>
        <v>7</v>
      </c>
      <c r="J75">
        <v>1</v>
      </c>
      <c r="K75">
        <v>1</v>
      </c>
      <c r="O75">
        <f t="shared" si="54"/>
        <v>2558.92</v>
      </c>
      <c r="P75">
        <f t="shared" si="85"/>
        <v>2558.92</v>
      </c>
      <c r="Q75">
        <f>(ROUND((ROUND(((ET75)*AV75*I75),2)*BB75),2)+ROUND((ROUND(((AE75-(EU75))*AV75*I75),2)*BS75),2))</f>
        <v>0</v>
      </c>
      <c r="R75">
        <f t="shared" si="55"/>
        <v>0</v>
      </c>
      <c r="S75">
        <f t="shared" si="56"/>
        <v>0</v>
      </c>
      <c r="T75">
        <f t="shared" si="57"/>
        <v>0</v>
      </c>
      <c r="U75">
        <f t="shared" si="58"/>
        <v>0</v>
      </c>
      <c r="V75">
        <f t="shared" si="59"/>
        <v>0</v>
      </c>
      <c r="W75">
        <f t="shared" si="60"/>
        <v>0</v>
      </c>
      <c r="X75">
        <f t="shared" si="61"/>
        <v>0</v>
      </c>
      <c r="Y75">
        <f t="shared" si="62"/>
        <v>0</v>
      </c>
      <c r="AA75">
        <v>59213213</v>
      </c>
      <c r="AB75">
        <f t="shared" si="63"/>
        <v>37</v>
      </c>
      <c r="AC75">
        <f>ROUND((ES75),6)</f>
        <v>37</v>
      </c>
      <c r="AD75">
        <f>ROUND((((ET75)-(EU75))+AE75),6)</f>
        <v>0</v>
      </c>
      <c r="AE75">
        <f>ROUND((EU75),6)</f>
        <v>0</v>
      </c>
      <c r="AF75">
        <f>ROUND((EV75),6)</f>
        <v>0</v>
      </c>
      <c r="AG75">
        <f t="shared" si="64"/>
        <v>0</v>
      </c>
      <c r="AH75">
        <f>(EW75)</f>
        <v>0</v>
      </c>
      <c r="AI75">
        <f>(EX75)</f>
        <v>0</v>
      </c>
      <c r="AJ75">
        <f t="shared" si="65"/>
        <v>0</v>
      </c>
      <c r="AK75">
        <v>37</v>
      </c>
      <c r="AL75">
        <v>37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90</v>
      </c>
      <c r="AU75">
        <v>46</v>
      </c>
      <c r="AV75">
        <v>1</v>
      </c>
      <c r="AW75">
        <v>1</v>
      </c>
      <c r="AZ75">
        <v>1</v>
      </c>
      <c r="BA75">
        <v>1</v>
      </c>
      <c r="BB75">
        <v>1</v>
      </c>
      <c r="BC75">
        <v>9.8800000000000008</v>
      </c>
      <c r="BD75" t="s">
        <v>3</v>
      </c>
      <c r="BE75" t="s">
        <v>3</v>
      </c>
      <c r="BF75" t="s">
        <v>3</v>
      </c>
      <c r="BG75" t="s">
        <v>3</v>
      </c>
      <c r="BH75">
        <v>3</v>
      </c>
      <c r="BI75">
        <v>2</v>
      </c>
      <c r="BJ75" t="s">
        <v>3</v>
      </c>
      <c r="BM75">
        <v>68</v>
      </c>
      <c r="BN75">
        <v>0</v>
      </c>
      <c r="BO75" t="s">
        <v>3</v>
      </c>
      <c r="BP75">
        <v>0</v>
      </c>
      <c r="BQ75">
        <v>40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 t="s">
        <v>3</v>
      </c>
      <c r="BZ75">
        <v>90</v>
      </c>
      <c r="CA75">
        <v>46</v>
      </c>
      <c r="CB75" t="s">
        <v>3</v>
      </c>
      <c r="CE75">
        <v>30</v>
      </c>
      <c r="CF75">
        <v>0</v>
      </c>
      <c r="CG75">
        <v>0</v>
      </c>
      <c r="CM75">
        <v>0</v>
      </c>
      <c r="CN75" t="s">
        <v>3</v>
      </c>
      <c r="CO75">
        <v>0</v>
      </c>
      <c r="CP75">
        <f t="shared" si="66"/>
        <v>2558.92</v>
      </c>
      <c r="CQ75">
        <f t="shared" si="86"/>
        <v>365.56</v>
      </c>
      <c r="CR75">
        <f>(ROUND((ROUND(((ET75)*AV75*1),2)*BB75),2)+ROUND((ROUND(((AE75-(EU75))*AV75*1),2)*BS75),2))</f>
        <v>0</v>
      </c>
      <c r="CS75">
        <f t="shared" si="67"/>
        <v>0</v>
      </c>
      <c r="CT75">
        <f t="shared" si="68"/>
        <v>0</v>
      </c>
      <c r="CU75">
        <f t="shared" si="69"/>
        <v>0</v>
      </c>
      <c r="CV75">
        <f t="shared" si="70"/>
        <v>0</v>
      </c>
      <c r="CW75">
        <f t="shared" si="71"/>
        <v>0</v>
      </c>
      <c r="CX75">
        <f t="shared" si="72"/>
        <v>0</v>
      </c>
      <c r="CY75">
        <f t="shared" si="73"/>
        <v>0</v>
      </c>
      <c r="CZ75">
        <f t="shared" si="74"/>
        <v>0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>
        <v>0</v>
      </c>
      <c r="DO75">
        <v>0</v>
      </c>
      <c r="DP75">
        <v>1</v>
      </c>
      <c r="DQ75">
        <v>1</v>
      </c>
      <c r="DU75">
        <v>1010</v>
      </c>
      <c r="DV75" t="s">
        <v>34</v>
      </c>
      <c r="DW75" t="s">
        <v>34</v>
      </c>
      <c r="DX75">
        <v>1</v>
      </c>
      <c r="DZ75" t="s">
        <v>3</v>
      </c>
      <c r="EA75" t="s">
        <v>3</v>
      </c>
      <c r="EB75" t="s">
        <v>3</v>
      </c>
      <c r="EC75" t="s">
        <v>3</v>
      </c>
      <c r="EE75">
        <v>58808178</v>
      </c>
      <c r="EF75">
        <v>40</v>
      </c>
      <c r="EG75" t="s">
        <v>27</v>
      </c>
      <c r="EH75">
        <v>0</v>
      </c>
      <c r="EI75" t="s">
        <v>3</v>
      </c>
      <c r="EJ75">
        <v>2</v>
      </c>
      <c r="EK75">
        <v>68</v>
      </c>
      <c r="EL75" t="s">
        <v>28</v>
      </c>
      <c r="EM75" t="s">
        <v>29</v>
      </c>
      <c r="EO75" t="s">
        <v>3</v>
      </c>
      <c r="EQ75">
        <v>0</v>
      </c>
      <c r="ER75">
        <v>0</v>
      </c>
      <c r="ES75">
        <v>37</v>
      </c>
      <c r="ET75">
        <v>0</v>
      </c>
      <c r="EU75">
        <v>0</v>
      </c>
      <c r="EV75">
        <v>0</v>
      </c>
      <c r="EW75">
        <v>0</v>
      </c>
      <c r="EX75">
        <v>0</v>
      </c>
      <c r="EZ75">
        <v>5</v>
      </c>
      <c r="FC75">
        <v>1</v>
      </c>
      <c r="FD75">
        <v>18</v>
      </c>
      <c r="FF75">
        <v>430</v>
      </c>
      <c r="FQ75">
        <v>0</v>
      </c>
      <c r="FR75">
        <v>0</v>
      </c>
      <c r="FS75">
        <v>0</v>
      </c>
      <c r="FX75">
        <v>90</v>
      </c>
      <c r="FY75">
        <v>46</v>
      </c>
      <c r="GA75" t="s">
        <v>129</v>
      </c>
      <c r="GD75">
        <v>1</v>
      </c>
      <c r="GF75">
        <v>-1209925472</v>
      </c>
      <c r="GG75">
        <v>2</v>
      </c>
      <c r="GH75">
        <v>2</v>
      </c>
      <c r="GI75">
        <v>5</v>
      </c>
      <c r="GJ75">
        <v>0</v>
      </c>
      <c r="GK75">
        <v>0</v>
      </c>
      <c r="GL75">
        <f t="shared" si="75"/>
        <v>0</v>
      </c>
      <c r="GM75">
        <f t="shared" si="76"/>
        <v>2558.92</v>
      </c>
      <c r="GN75">
        <f t="shared" si="77"/>
        <v>0</v>
      </c>
      <c r="GO75">
        <f t="shared" si="78"/>
        <v>2558.92</v>
      </c>
      <c r="GP75">
        <f t="shared" si="79"/>
        <v>0</v>
      </c>
      <c r="GR75">
        <v>2</v>
      </c>
      <c r="GS75">
        <v>1</v>
      </c>
      <c r="GT75">
        <v>0</v>
      </c>
      <c r="GU75" t="s">
        <v>3</v>
      </c>
      <c r="GV75">
        <f t="shared" si="80"/>
        <v>0</v>
      </c>
      <c r="GW75">
        <v>1</v>
      </c>
      <c r="GX75">
        <f t="shared" si="81"/>
        <v>0</v>
      </c>
      <c r="HA75">
        <v>0</v>
      </c>
      <c r="HB75">
        <v>0</v>
      </c>
      <c r="HC75">
        <f t="shared" si="82"/>
        <v>0</v>
      </c>
      <c r="HE75" t="s">
        <v>93</v>
      </c>
      <c r="HF75" t="s">
        <v>31</v>
      </c>
      <c r="HM75" t="s">
        <v>3</v>
      </c>
      <c r="HN75" t="s">
        <v>3</v>
      </c>
      <c r="HO75" t="s">
        <v>3</v>
      </c>
      <c r="HP75" t="s">
        <v>3</v>
      </c>
      <c r="HQ75" t="s">
        <v>3</v>
      </c>
      <c r="HS75">
        <v>0</v>
      </c>
      <c r="IK75">
        <v>0</v>
      </c>
    </row>
    <row r="76" spans="1:255" x14ac:dyDescent="0.2">
      <c r="A76" s="2">
        <v>17</v>
      </c>
      <c r="B76" s="2">
        <v>1</v>
      </c>
      <c r="C76" s="2">
        <f>ROW(SmtRes!A88)</f>
        <v>88</v>
      </c>
      <c r="D76" s="2">
        <f>ROW(EtalonRes!A99)</f>
        <v>99</v>
      </c>
      <c r="E76" s="2" t="s">
        <v>130</v>
      </c>
      <c r="F76" s="2" t="s">
        <v>131</v>
      </c>
      <c r="G76" s="2" t="s">
        <v>132</v>
      </c>
      <c r="H76" s="2" t="s">
        <v>43</v>
      </c>
      <c r="I76" s="2">
        <f t="shared" ref="I76:I83" si="87">ROUND(ROUND(1,4),9)</f>
        <v>1</v>
      </c>
      <c r="J76" s="2">
        <v>0</v>
      </c>
      <c r="K76" s="2">
        <f t="shared" ref="K76:K83" si="88">ROUND(ROUND(1,4),9)</f>
        <v>1</v>
      </c>
      <c r="L76" s="2"/>
      <c r="M76" s="2"/>
      <c r="N76" s="2"/>
      <c r="O76" s="2">
        <f t="shared" si="54"/>
        <v>70.41</v>
      </c>
      <c r="P76" s="2">
        <f t="shared" si="85"/>
        <v>0</v>
      </c>
      <c r="Q76" s="2">
        <f>(ROUND((ROUND((((ET76*1.1))*AV76*I76),2)*BB76),2)+ROUND((ROUND(((AE76-((EU76*1.1)))*AV76*I76),2)*BS76),2))</f>
        <v>30.62</v>
      </c>
      <c r="R76" s="2">
        <f t="shared" si="55"/>
        <v>4.6500000000000004</v>
      </c>
      <c r="S76" s="2">
        <f t="shared" si="56"/>
        <v>39.79</v>
      </c>
      <c r="T76" s="2">
        <f t="shared" si="57"/>
        <v>0</v>
      </c>
      <c r="U76" s="2">
        <f t="shared" si="58"/>
        <v>3.5587529999999998</v>
      </c>
      <c r="V76" s="2">
        <f t="shared" si="59"/>
        <v>0</v>
      </c>
      <c r="W76" s="2">
        <f t="shared" si="60"/>
        <v>0</v>
      </c>
      <c r="X76" s="2">
        <f t="shared" si="61"/>
        <v>40</v>
      </c>
      <c r="Y76" s="2">
        <f t="shared" si="62"/>
        <v>20.440000000000001</v>
      </c>
      <c r="Z76" s="2"/>
      <c r="AA76" s="2">
        <v>59213216</v>
      </c>
      <c r="AB76" s="2">
        <f t="shared" si="63"/>
        <v>67.254000000000005</v>
      </c>
      <c r="AC76" s="2">
        <f>ROUND(((ES76*1)),6)</f>
        <v>0</v>
      </c>
      <c r="AD76" s="2">
        <f>ROUND(((((ET76*1.1))-((EU76*1.1)))+AE76),6)</f>
        <v>29.248999999999999</v>
      </c>
      <c r="AE76" s="2">
        <f>ROUND(((EU76*1.1)),6)</f>
        <v>4.444</v>
      </c>
      <c r="AF76" s="2">
        <f>ROUND(((EV76*1.1)),6)</f>
        <v>38.005000000000003</v>
      </c>
      <c r="AG76" s="2">
        <f t="shared" si="64"/>
        <v>0</v>
      </c>
      <c r="AH76" s="2">
        <f>((EW76*1.1))</f>
        <v>3.399</v>
      </c>
      <c r="AI76" s="2">
        <f>((EX76*1.1))</f>
        <v>0</v>
      </c>
      <c r="AJ76" s="2">
        <f t="shared" si="65"/>
        <v>0</v>
      </c>
      <c r="AK76" s="2">
        <v>61.14</v>
      </c>
      <c r="AL76" s="2">
        <v>0</v>
      </c>
      <c r="AM76" s="2">
        <v>26.59</v>
      </c>
      <c r="AN76" s="2">
        <v>4.04</v>
      </c>
      <c r="AO76" s="2">
        <v>34.549999999999997</v>
      </c>
      <c r="AP76" s="2">
        <v>0</v>
      </c>
      <c r="AQ76" s="2">
        <v>3.09</v>
      </c>
      <c r="AR76" s="2">
        <v>0</v>
      </c>
      <c r="AS76" s="2">
        <v>0</v>
      </c>
      <c r="AT76" s="2">
        <v>90</v>
      </c>
      <c r="AU76" s="2">
        <v>46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2</v>
      </c>
      <c r="BJ76" s="2" t="s">
        <v>133</v>
      </c>
      <c r="BK76" s="2"/>
      <c r="BL76" s="2"/>
      <c r="BM76" s="2">
        <v>72</v>
      </c>
      <c r="BN76" s="2">
        <v>58808062</v>
      </c>
      <c r="BO76" s="2" t="s">
        <v>131</v>
      </c>
      <c r="BP76" s="2">
        <v>1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30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492</v>
      </c>
      <c r="CO76" s="2">
        <v>0</v>
      </c>
      <c r="CP76" s="2">
        <f t="shared" si="66"/>
        <v>70.41</v>
      </c>
      <c r="CQ76" s="2">
        <f t="shared" si="86"/>
        <v>0</v>
      </c>
      <c r="CR76" s="2">
        <f>(ROUND((ROUND((((ET76*1.1))*AV76*1),2)*BB76),2)+ROUND((ROUND(((AE76-((EU76*1.1)))*AV76*1),2)*BS76),2))</f>
        <v>30.62</v>
      </c>
      <c r="CS76" s="2">
        <f t="shared" si="67"/>
        <v>4.6500000000000004</v>
      </c>
      <c r="CT76" s="2">
        <f t="shared" si="68"/>
        <v>39.79</v>
      </c>
      <c r="CU76" s="2">
        <f t="shared" si="69"/>
        <v>0</v>
      </c>
      <c r="CV76" s="2">
        <f t="shared" si="70"/>
        <v>3.5587529999999998</v>
      </c>
      <c r="CW76" s="2">
        <f t="shared" si="71"/>
        <v>0</v>
      </c>
      <c r="CX76" s="2">
        <f t="shared" si="72"/>
        <v>0</v>
      </c>
      <c r="CY76" s="2">
        <f t="shared" si="73"/>
        <v>39.996000000000002</v>
      </c>
      <c r="CZ76" s="2">
        <f t="shared" si="74"/>
        <v>20.442399999999999</v>
      </c>
      <c r="DA76" s="2"/>
      <c r="DB76" s="2">
        <v>23</v>
      </c>
      <c r="DC76" s="2" t="s">
        <v>3</v>
      </c>
      <c r="DD76" s="2" t="s">
        <v>25</v>
      </c>
      <c r="DE76" s="2" t="s">
        <v>26</v>
      </c>
      <c r="DF76" s="2" t="s">
        <v>26</v>
      </c>
      <c r="DG76" s="2" t="s">
        <v>26</v>
      </c>
      <c r="DH76" s="2" t="s">
        <v>3</v>
      </c>
      <c r="DI76" s="2" t="s">
        <v>26</v>
      </c>
      <c r="DJ76" s="2" t="s">
        <v>26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1013</v>
      </c>
      <c r="DV76" s="2" t="s">
        <v>43</v>
      </c>
      <c r="DW76" s="2" t="s">
        <v>43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58808182</v>
      </c>
      <c r="EF76" s="2">
        <v>40</v>
      </c>
      <c r="EG76" s="2" t="s">
        <v>27</v>
      </c>
      <c r="EH76" s="2">
        <v>0</v>
      </c>
      <c r="EI76" s="2" t="s">
        <v>3</v>
      </c>
      <c r="EJ76" s="2">
        <v>2</v>
      </c>
      <c r="EK76" s="2">
        <v>72</v>
      </c>
      <c r="EL76" s="2" t="s">
        <v>58</v>
      </c>
      <c r="EM76" s="2" t="s">
        <v>59</v>
      </c>
      <c r="EN76" s="2"/>
      <c r="EO76" s="2" t="s">
        <v>30</v>
      </c>
      <c r="EP76" s="2"/>
      <c r="EQ76" s="2">
        <v>0</v>
      </c>
      <c r="ER76" s="2">
        <v>61.14</v>
      </c>
      <c r="ES76" s="2">
        <v>0</v>
      </c>
      <c r="ET76" s="2">
        <v>26.59</v>
      </c>
      <c r="EU76" s="2">
        <v>4.04</v>
      </c>
      <c r="EV76" s="2">
        <v>34.549999999999997</v>
      </c>
      <c r="EW76" s="2">
        <v>3.09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-1491520468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75"/>
        <v>0</v>
      </c>
      <c r="GM76" s="2">
        <f t="shared" si="76"/>
        <v>130.85</v>
      </c>
      <c r="GN76" s="2">
        <f t="shared" si="77"/>
        <v>0</v>
      </c>
      <c r="GO76" s="2">
        <f t="shared" si="78"/>
        <v>130.85</v>
      </c>
      <c r="GP76" s="2">
        <f t="shared" si="79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80"/>
        <v>0</v>
      </c>
      <c r="GW76" s="2">
        <v>1</v>
      </c>
      <c r="GX76" s="2">
        <f t="shared" si="81"/>
        <v>0</v>
      </c>
      <c r="GY76" s="2"/>
      <c r="GZ76" s="2"/>
      <c r="HA76" s="2">
        <v>0</v>
      </c>
      <c r="HB76" s="2">
        <v>0</v>
      </c>
      <c r="HC76" s="2">
        <f t="shared" si="82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>
        <v>17</v>
      </c>
      <c r="B77">
        <v>1</v>
      </c>
      <c r="C77">
        <f>ROW(SmtRes!A90)</f>
        <v>90</v>
      </c>
      <c r="D77">
        <f>ROW(EtalonRes!A102)</f>
        <v>102</v>
      </c>
      <c r="E77" t="s">
        <v>130</v>
      </c>
      <c r="F77" t="s">
        <v>131</v>
      </c>
      <c r="G77" t="s">
        <v>132</v>
      </c>
      <c r="H77" t="s">
        <v>43</v>
      </c>
      <c r="I77">
        <f t="shared" si="87"/>
        <v>1</v>
      </c>
      <c r="J77">
        <v>0</v>
      </c>
      <c r="K77">
        <f t="shared" si="88"/>
        <v>1</v>
      </c>
      <c r="O77">
        <f t="shared" si="54"/>
        <v>2687.16</v>
      </c>
      <c r="P77">
        <f t="shared" si="85"/>
        <v>0</v>
      </c>
      <c r="Q77">
        <f>(ROUND((ROUND((((ET77*1.1))*AV77*I77),2)*BB77),2)+ROUND((ROUND(((AE77-((EU77*1.1)))*AV77*I77),2)*BS77),2))</f>
        <v>499.11</v>
      </c>
      <c r="R77">
        <f t="shared" si="55"/>
        <v>255.7</v>
      </c>
      <c r="S77">
        <f t="shared" si="56"/>
        <v>2188.0500000000002</v>
      </c>
      <c r="T77">
        <f t="shared" si="57"/>
        <v>0</v>
      </c>
      <c r="U77">
        <f t="shared" si="58"/>
        <v>3.5587529999999998</v>
      </c>
      <c r="V77">
        <f t="shared" si="59"/>
        <v>0</v>
      </c>
      <c r="W77">
        <f t="shared" si="60"/>
        <v>0</v>
      </c>
      <c r="X77">
        <f t="shared" si="61"/>
        <v>2199.38</v>
      </c>
      <c r="Y77">
        <f t="shared" si="62"/>
        <v>1124.1300000000001</v>
      </c>
      <c r="AA77">
        <v>59213213</v>
      </c>
      <c r="AB77">
        <f t="shared" si="63"/>
        <v>67.254000000000005</v>
      </c>
      <c r="AC77">
        <f>ROUND(((ES77*1)),6)</f>
        <v>0</v>
      </c>
      <c r="AD77">
        <f>ROUND(((((ET77*1.1))-((EU77*1.1)))+AE77),6)</f>
        <v>29.248999999999999</v>
      </c>
      <c r="AE77">
        <f>ROUND(((EU77*1.1)),6)</f>
        <v>4.444</v>
      </c>
      <c r="AF77">
        <f>ROUND(((EV77*1.1)),6)</f>
        <v>38.005000000000003</v>
      </c>
      <c r="AG77">
        <f t="shared" si="64"/>
        <v>0</v>
      </c>
      <c r="AH77">
        <f>((EW77*1.1))</f>
        <v>3.399</v>
      </c>
      <c r="AI77">
        <f>((EX77*1.1))</f>
        <v>0</v>
      </c>
      <c r="AJ77">
        <f t="shared" si="65"/>
        <v>0</v>
      </c>
      <c r="AK77">
        <v>61.14</v>
      </c>
      <c r="AL77">
        <v>0</v>
      </c>
      <c r="AM77">
        <v>26.59</v>
      </c>
      <c r="AN77">
        <v>4.04</v>
      </c>
      <c r="AO77">
        <v>34.549999999999997</v>
      </c>
      <c r="AP77">
        <v>0</v>
      </c>
      <c r="AQ77">
        <v>3.09</v>
      </c>
      <c r="AR77">
        <v>0</v>
      </c>
      <c r="AS77">
        <v>0</v>
      </c>
      <c r="AT77">
        <v>90</v>
      </c>
      <c r="AU77">
        <v>46</v>
      </c>
      <c r="AV77">
        <v>1.0469999999999999</v>
      </c>
      <c r="AW77">
        <v>1</v>
      </c>
      <c r="AZ77">
        <v>1</v>
      </c>
      <c r="BA77">
        <v>54.99</v>
      </c>
      <c r="BB77">
        <v>16.3</v>
      </c>
      <c r="BC77">
        <v>1</v>
      </c>
      <c r="BD77" t="s">
        <v>3</v>
      </c>
      <c r="BE77" t="s">
        <v>3</v>
      </c>
      <c r="BF77" t="s">
        <v>3</v>
      </c>
      <c r="BG77" t="s">
        <v>3</v>
      </c>
      <c r="BH77">
        <v>0</v>
      </c>
      <c r="BI77">
        <v>2</v>
      </c>
      <c r="BJ77" t="s">
        <v>133</v>
      </c>
      <c r="BM77">
        <v>72</v>
      </c>
      <c r="BN77">
        <v>58808062</v>
      </c>
      <c r="BO77" t="s">
        <v>131</v>
      </c>
      <c r="BP77">
        <v>1</v>
      </c>
      <c r="BQ77">
        <v>40</v>
      </c>
      <c r="BR77">
        <v>0</v>
      </c>
      <c r="BS77">
        <v>54.99</v>
      </c>
      <c r="BT77">
        <v>1</v>
      </c>
      <c r="BU77">
        <v>1</v>
      </c>
      <c r="BV77">
        <v>1</v>
      </c>
      <c r="BW77">
        <v>1</v>
      </c>
      <c r="BX77">
        <v>1</v>
      </c>
      <c r="BY77" t="s">
        <v>3</v>
      </c>
      <c r="BZ77">
        <v>90</v>
      </c>
      <c r="CA77">
        <v>46</v>
      </c>
      <c r="CB77" t="s">
        <v>3</v>
      </c>
      <c r="CE77">
        <v>30</v>
      </c>
      <c r="CF77">
        <v>0</v>
      </c>
      <c r="CG77">
        <v>0</v>
      </c>
      <c r="CM77">
        <v>0</v>
      </c>
      <c r="CN77" t="s">
        <v>492</v>
      </c>
      <c r="CO77">
        <v>0</v>
      </c>
      <c r="CP77">
        <f t="shared" si="66"/>
        <v>2687.1600000000003</v>
      </c>
      <c r="CQ77">
        <f t="shared" si="86"/>
        <v>0</v>
      </c>
      <c r="CR77">
        <f>(ROUND((ROUND((((ET77*1.1))*AV77*1),2)*BB77),2)+ROUND((ROUND(((AE77-((EU77*1.1)))*AV77*1),2)*BS77),2))</f>
        <v>499.11</v>
      </c>
      <c r="CS77">
        <f t="shared" si="67"/>
        <v>255.7</v>
      </c>
      <c r="CT77">
        <f t="shared" si="68"/>
        <v>2188.0500000000002</v>
      </c>
      <c r="CU77">
        <f t="shared" si="69"/>
        <v>0</v>
      </c>
      <c r="CV77">
        <f t="shared" si="70"/>
        <v>3.5587529999999998</v>
      </c>
      <c r="CW77">
        <f t="shared" si="71"/>
        <v>0</v>
      </c>
      <c r="CX77">
        <f t="shared" si="72"/>
        <v>0</v>
      </c>
      <c r="CY77">
        <f t="shared" si="73"/>
        <v>2199.375</v>
      </c>
      <c r="CZ77">
        <f t="shared" si="74"/>
        <v>1124.125</v>
      </c>
      <c r="DB77">
        <v>24</v>
      </c>
      <c r="DC77" t="s">
        <v>3</v>
      </c>
      <c r="DD77" t="s">
        <v>25</v>
      </c>
      <c r="DE77" t="s">
        <v>26</v>
      </c>
      <c r="DF77" t="s">
        <v>26</v>
      </c>
      <c r="DG77" t="s">
        <v>26</v>
      </c>
      <c r="DH77" t="s">
        <v>3</v>
      </c>
      <c r="DI77" t="s">
        <v>26</v>
      </c>
      <c r="DJ77" t="s">
        <v>26</v>
      </c>
      <c r="DK77" t="s">
        <v>3</v>
      </c>
      <c r="DL77" t="s">
        <v>3</v>
      </c>
      <c r="DM77" t="s">
        <v>3</v>
      </c>
      <c r="DN77">
        <v>0</v>
      </c>
      <c r="DO77">
        <v>0</v>
      </c>
      <c r="DP77">
        <v>1</v>
      </c>
      <c r="DQ77">
        <v>1</v>
      </c>
      <c r="DU77">
        <v>1013</v>
      </c>
      <c r="DV77" t="s">
        <v>43</v>
      </c>
      <c r="DW77" t="s">
        <v>43</v>
      </c>
      <c r="DX77">
        <v>1</v>
      </c>
      <c r="DZ77" t="s">
        <v>3</v>
      </c>
      <c r="EA77" t="s">
        <v>3</v>
      </c>
      <c r="EB77" t="s">
        <v>3</v>
      </c>
      <c r="EC77" t="s">
        <v>3</v>
      </c>
      <c r="EE77">
        <v>58808182</v>
      </c>
      <c r="EF77">
        <v>40</v>
      </c>
      <c r="EG77" t="s">
        <v>27</v>
      </c>
      <c r="EH77">
        <v>0</v>
      </c>
      <c r="EI77" t="s">
        <v>3</v>
      </c>
      <c r="EJ77">
        <v>2</v>
      </c>
      <c r="EK77">
        <v>72</v>
      </c>
      <c r="EL77" t="s">
        <v>58</v>
      </c>
      <c r="EM77" t="s">
        <v>59</v>
      </c>
      <c r="EO77" t="s">
        <v>30</v>
      </c>
      <c r="EQ77">
        <v>0</v>
      </c>
      <c r="ER77">
        <v>61.14</v>
      </c>
      <c r="ES77">
        <v>0</v>
      </c>
      <c r="ET77">
        <v>26.59</v>
      </c>
      <c r="EU77">
        <v>4.04</v>
      </c>
      <c r="EV77">
        <v>34.549999999999997</v>
      </c>
      <c r="EW77">
        <v>3.09</v>
      </c>
      <c r="EX77">
        <v>0</v>
      </c>
      <c r="EY77">
        <v>0</v>
      </c>
      <c r="FQ77">
        <v>0</v>
      </c>
      <c r="FR77">
        <v>0</v>
      </c>
      <c r="FS77">
        <v>0</v>
      </c>
      <c r="FX77">
        <v>90</v>
      </c>
      <c r="FY77">
        <v>46</v>
      </c>
      <c r="GA77" t="s">
        <v>3</v>
      </c>
      <c r="GD77">
        <v>1</v>
      </c>
      <c r="GF77">
        <v>-1491520468</v>
      </c>
      <c r="GG77">
        <v>2</v>
      </c>
      <c r="GH77">
        <v>1</v>
      </c>
      <c r="GI77">
        <v>2</v>
      </c>
      <c r="GJ77">
        <v>0</v>
      </c>
      <c r="GK77">
        <v>0</v>
      </c>
      <c r="GL77">
        <f t="shared" si="75"/>
        <v>0</v>
      </c>
      <c r="GM77">
        <f t="shared" si="76"/>
        <v>6010.67</v>
      </c>
      <c r="GN77">
        <f t="shared" si="77"/>
        <v>0</v>
      </c>
      <c r="GO77">
        <f t="shared" si="78"/>
        <v>6010.67</v>
      </c>
      <c r="GP77">
        <f t="shared" si="79"/>
        <v>0</v>
      </c>
      <c r="GR77">
        <v>0</v>
      </c>
      <c r="GS77">
        <v>3</v>
      </c>
      <c r="GT77">
        <v>0</v>
      </c>
      <c r="GU77" t="s">
        <v>3</v>
      </c>
      <c r="GV77">
        <f t="shared" si="80"/>
        <v>0</v>
      </c>
      <c r="GW77">
        <v>1</v>
      </c>
      <c r="GX77">
        <f t="shared" si="81"/>
        <v>0</v>
      </c>
      <c r="HA77">
        <v>0</v>
      </c>
      <c r="HB77">
        <v>0</v>
      </c>
      <c r="HC77">
        <f t="shared" si="82"/>
        <v>0</v>
      </c>
      <c r="HE77" t="s">
        <v>3</v>
      </c>
      <c r="HF77" t="s">
        <v>3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HS77">
        <v>0</v>
      </c>
      <c r="IK77">
        <v>0</v>
      </c>
    </row>
    <row r="78" spans="1:255" x14ac:dyDescent="0.2">
      <c r="A78" s="2">
        <v>17</v>
      </c>
      <c r="B78" s="2">
        <v>1</v>
      </c>
      <c r="C78" s="2"/>
      <c r="D78" s="2"/>
      <c r="E78" s="2" t="s">
        <v>134</v>
      </c>
      <c r="F78" s="2" t="s">
        <v>135</v>
      </c>
      <c r="G78" s="2" t="s">
        <v>136</v>
      </c>
      <c r="H78" s="2" t="s">
        <v>34</v>
      </c>
      <c r="I78" s="2">
        <f t="shared" si="87"/>
        <v>1</v>
      </c>
      <c r="J78" s="2">
        <v>0</v>
      </c>
      <c r="K78" s="2">
        <f t="shared" si="88"/>
        <v>1</v>
      </c>
      <c r="L78" s="2"/>
      <c r="M78" s="2"/>
      <c r="N78" s="2"/>
      <c r="O78" s="2">
        <f t="shared" si="54"/>
        <v>53114.44</v>
      </c>
      <c r="P78" s="2">
        <f>ROUND((ROUND((AC78*I78),2)*BC78),2)</f>
        <v>53114.44</v>
      </c>
      <c r="Q78" s="2">
        <f>(ROUND((ROUND(((ET78)*AV78*I78),2)*BB78),2)+ROUND((ROUND(((AE78-(EU78))*AV78*I78),2)*BS78),2))</f>
        <v>0</v>
      </c>
      <c r="R78" s="2">
        <f t="shared" si="55"/>
        <v>0</v>
      </c>
      <c r="S78" s="2">
        <f t="shared" si="56"/>
        <v>0</v>
      </c>
      <c r="T78" s="2">
        <f t="shared" si="57"/>
        <v>0</v>
      </c>
      <c r="U78" s="2">
        <f t="shared" si="58"/>
        <v>0</v>
      </c>
      <c r="V78" s="2">
        <f t="shared" si="59"/>
        <v>0</v>
      </c>
      <c r="W78" s="2">
        <f t="shared" si="60"/>
        <v>0</v>
      </c>
      <c r="X78" s="2">
        <f t="shared" si="61"/>
        <v>0</v>
      </c>
      <c r="Y78" s="2">
        <f t="shared" si="62"/>
        <v>0</v>
      </c>
      <c r="Z78" s="2"/>
      <c r="AA78" s="2">
        <v>59213216</v>
      </c>
      <c r="AB78" s="2">
        <f t="shared" si="63"/>
        <v>53114.44</v>
      </c>
      <c r="AC78" s="2">
        <f>ROUND((ES78),6)</f>
        <v>53114.44</v>
      </c>
      <c r="AD78" s="2">
        <f>ROUND((((ET78)-(EU78))+AE78),6)</f>
        <v>0</v>
      </c>
      <c r="AE78" s="2">
        <f>ROUND((EU78),6)</f>
        <v>0</v>
      </c>
      <c r="AF78" s="2">
        <f>ROUND((EV78),6)</f>
        <v>0</v>
      </c>
      <c r="AG78" s="2">
        <f t="shared" si="64"/>
        <v>0</v>
      </c>
      <c r="AH78" s="2">
        <f>(EW78)</f>
        <v>0</v>
      </c>
      <c r="AI78" s="2">
        <f>(EX78)</f>
        <v>0</v>
      </c>
      <c r="AJ78" s="2">
        <f t="shared" si="65"/>
        <v>0</v>
      </c>
      <c r="AK78" s="2">
        <v>53114.44</v>
      </c>
      <c r="AL78" s="2">
        <v>53114.44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3</v>
      </c>
      <c r="BJ78" s="2" t="s">
        <v>3</v>
      </c>
      <c r="BK78" s="2"/>
      <c r="BL78" s="2"/>
      <c r="BM78" s="2">
        <v>746</v>
      </c>
      <c r="BN78" s="2">
        <v>0</v>
      </c>
      <c r="BO78" s="2" t="s">
        <v>3</v>
      </c>
      <c r="BP78" s="2">
        <v>0</v>
      </c>
      <c r="BQ78" s="2">
        <v>130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0</v>
      </c>
      <c r="CA78" s="2">
        <v>0</v>
      </c>
      <c r="CB78" s="2" t="s">
        <v>3</v>
      </c>
      <c r="CC78" s="2"/>
      <c r="CD78" s="2"/>
      <c r="CE78" s="2">
        <v>30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66"/>
        <v>53114.44</v>
      </c>
      <c r="CQ78" s="2">
        <f>ROUND((ROUND((AC78*1),2)*BC78),2)</f>
        <v>53114.44</v>
      </c>
      <c r="CR78" s="2">
        <f>(ROUND((ROUND(((ET78)*AV78*1),2)*BB78),2)+ROUND((ROUND(((AE78-(EU78))*AV78*1),2)*BS78),2))</f>
        <v>0</v>
      </c>
      <c r="CS78" s="2">
        <f t="shared" si="67"/>
        <v>0</v>
      </c>
      <c r="CT78" s="2">
        <f t="shared" si="68"/>
        <v>0</v>
      </c>
      <c r="CU78" s="2">
        <f t="shared" si="69"/>
        <v>0</v>
      </c>
      <c r="CV78" s="2">
        <f t="shared" si="70"/>
        <v>0</v>
      </c>
      <c r="CW78" s="2">
        <f t="shared" si="71"/>
        <v>0</v>
      </c>
      <c r="CX78" s="2">
        <f t="shared" si="72"/>
        <v>0</v>
      </c>
      <c r="CY78" s="2">
        <f t="shared" si="73"/>
        <v>0</v>
      </c>
      <c r="CZ78" s="2">
        <f t="shared" si="74"/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1010</v>
      </c>
      <c r="DV78" s="2" t="s">
        <v>34</v>
      </c>
      <c r="DW78" s="2" t="s">
        <v>34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58808284</v>
      </c>
      <c r="EF78" s="2">
        <v>130</v>
      </c>
      <c r="EG78" s="2" t="s">
        <v>35</v>
      </c>
      <c r="EH78" s="2">
        <v>0</v>
      </c>
      <c r="EI78" s="2" t="s">
        <v>3</v>
      </c>
      <c r="EJ78" s="2">
        <v>3</v>
      </c>
      <c r="EK78" s="2">
        <v>746</v>
      </c>
      <c r="EL78" s="2" t="s">
        <v>36</v>
      </c>
      <c r="EM78" s="2" t="s">
        <v>37</v>
      </c>
      <c r="EN78" s="2"/>
      <c r="EO78" s="2" t="s">
        <v>3</v>
      </c>
      <c r="EP78" s="2"/>
      <c r="EQ78" s="2">
        <v>0</v>
      </c>
      <c r="ER78" s="2">
        <v>0</v>
      </c>
      <c r="ES78" s="2">
        <v>53114.44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f>P78</f>
        <v>53114.44</v>
      </c>
      <c r="FS78" s="2">
        <v>0</v>
      </c>
      <c r="FT78" s="2"/>
      <c r="FU78" s="2"/>
      <c r="FV78" s="2"/>
      <c r="FW78" s="2"/>
      <c r="FX78" s="2">
        <v>0</v>
      </c>
      <c r="FY78" s="2">
        <v>0</v>
      </c>
      <c r="FZ78" s="2"/>
      <c r="GA78" s="2" t="s">
        <v>137</v>
      </c>
      <c r="GB78" s="2"/>
      <c r="GC78" s="2"/>
      <c r="GD78" s="2">
        <v>1</v>
      </c>
      <c r="GE78" s="2"/>
      <c r="GF78" s="2">
        <v>-1321760238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75"/>
        <v>0</v>
      </c>
      <c r="GM78" s="2">
        <f t="shared" si="76"/>
        <v>53114.44</v>
      </c>
      <c r="GN78" s="2">
        <f t="shared" si="77"/>
        <v>0</v>
      </c>
      <c r="GO78" s="2">
        <f t="shared" si="78"/>
        <v>0</v>
      </c>
      <c r="GP78" s="2">
        <f t="shared" si="79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80"/>
        <v>0</v>
      </c>
      <c r="GW78" s="2">
        <v>1</v>
      </c>
      <c r="GX78" s="2">
        <f t="shared" si="81"/>
        <v>0</v>
      </c>
      <c r="GY78" s="2"/>
      <c r="GZ78" s="2"/>
      <c r="HA78" s="2">
        <v>0</v>
      </c>
      <c r="HB78" s="2">
        <v>0</v>
      </c>
      <c r="HC78" s="2">
        <f t="shared" si="82"/>
        <v>0</v>
      </c>
      <c r="HD78" s="2"/>
      <c r="HE78" s="2" t="s">
        <v>39</v>
      </c>
      <c r="HF78" s="2" t="s">
        <v>40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>
        <v>17</v>
      </c>
      <c r="B79">
        <v>1</v>
      </c>
      <c r="E79" t="s">
        <v>134</v>
      </c>
      <c r="F79" t="s">
        <v>135</v>
      </c>
      <c r="G79" t="s">
        <v>136</v>
      </c>
      <c r="H79" t="s">
        <v>34</v>
      </c>
      <c r="I79">
        <f t="shared" si="87"/>
        <v>1</v>
      </c>
      <c r="J79">
        <v>0</v>
      </c>
      <c r="K79">
        <f t="shared" si="88"/>
        <v>1</v>
      </c>
      <c r="O79">
        <f t="shared" si="54"/>
        <v>406856.61</v>
      </c>
      <c r="P79">
        <f>ROUND((ROUND((AC79*I79),2)*BC79),2)</f>
        <v>406856.61</v>
      </c>
      <c r="Q79">
        <f>(ROUND((ROUND(((ET79)*AV79*I79),2)*BB79),2)+ROUND((ROUND(((AE79-(EU79))*AV79*I79),2)*BS79),2))</f>
        <v>0</v>
      </c>
      <c r="R79">
        <f t="shared" si="55"/>
        <v>0</v>
      </c>
      <c r="S79">
        <f t="shared" si="56"/>
        <v>0</v>
      </c>
      <c r="T79">
        <f t="shared" si="57"/>
        <v>0</v>
      </c>
      <c r="U79">
        <f t="shared" si="58"/>
        <v>0</v>
      </c>
      <c r="V79">
        <f t="shared" si="59"/>
        <v>0</v>
      </c>
      <c r="W79">
        <f t="shared" si="60"/>
        <v>0</v>
      </c>
      <c r="X79">
        <f t="shared" si="61"/>
        <v>0</v>
      </c>
      <c r="Y79">
        <f t="shared" si="62"/>
        <v>0</v>
      </c>
      <c r="AA79">
        <v>59213213</v>
      </c>
      <c r="AB79">
        <f t="shared" si="63"/>
        <v>53114.44</v>
      </c>
      <c r="AC79">
        <f>ROUND((ES79),6)</f>
        <v>53114.44</v>
      </c>
      <c r="AD79">
        <f>ROUND((((ET79)-(EU79))+AE79),6)</f>
        <v>0</v>
      </c>
      <c r="AE79">
        <f>ROUND((EU79),6)</f>
        <v>0</v>
      </c>
      <c r="AF79">
        <f>ROUND((EV79),6)</f>
        <v>0</v>
      </c>
      <c r="AG79">
        <f t="shared" si="64"/>
        <v>0</v>
      </c>
      <c r="AH79">
        <f>(EW79)</f>
        <v>0</v>
      </c>
      <c r="AI79">
        <f>(EX79)</f>
        <v>0</v>
      </c>
      <c r="AJ79">
        <f t="shared" si="65"/>
        <v>0</v>
      </c>
      <c r="AK79">
        <v>53114.44</v>
      </c>
      <c r="AL79">
        <v>53114.44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Z79">
        <v>1</v>
      </c>
      <c r="BA79">
        <v>1</v>
      </c>
      <c r="BB79">
        <v>1</v>
      </c>
      <c r="BC79">
        <v>7.66</v>
      </c>
      <c r="BD79" t="s">
        <v>3</v>
      </c>
      <c r="BE79" t="s">
        <v>3</v>
      </c>
      <c r="BF79" t="s">
        <v>3</v>
      </c>
      <c r="BG79" t="s">
        <v>3</v>
      </c>
      <c r="BH79">
        <v>3</v>
      </c>
      <c r="BI79">
        <v>3</v>
      </c>
      <c r="BJ79" t="s">
        <v>3</v>
      </c>
      <c r="BM79">
        <v>746</v>
      </c>
      <c r="BN79">
        <v>0</v>
      </c>
      <c r="BO79" t="s">
        <v>3</v>
      </c>
      <c r="BP79">
        <v>0</v>
      </c>
      <c r="BQ79">
        <v>130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 t="s">
        <v>3</v>
      </c>
      <c r="BZ79">
        <v>0</v>
      </c>
      <c r="CA79">
        <v>0</v>
      </c>
      <c r="CB79" t="s">
        <v>3</v>
      </c>
      <c r="CE79">
        <v>30</v>
      </c>
      <c r="CF79">
        <v>0</v>
      </c>
      <c r="CG79">
        <v>0</v>
      </c>
      <c r="CM79">
        <v>0</v>
      </c>
      <c r="CN79" t="s">
        <v>3</v>
      </c>
      <c r="CO79">
        <v>0</v>
      </c>
      <c r="CP79">
        <f t="shared" si="66"/>
        <v>406856.61</v>
      </c>
      <c r="CQ79">
        <f>ROUND((ROUND((AC79*1),2)*BC79),2)</f>
        <v>406856.61</v>
      </c>
      <c r="CR79">
        <f>(ROUND((ROUND(((ET79)*AV79*1),2)*BB79),2)+ROUND((ROUND(((AE79-(EU79))*AV79*1),2)*BS79),2))</f>
        <v>0</v>
      </c>
      <c r="CS79">
        <f t="shared" si="67"/>
        <v>0</v>
      </c>
      <c r="CT79">
        <f t="shared" si="68"/>
        <v>0</v>
      </c>
      <c r="CU79">
        <f t="shared" si="69"/>
        <v>0</v>
      </c>
      <c r="CV79">
        <f t="shared" si="70"/>
        <v>0</v>
      </c>
      <c r="CW79">
        <f t="shared" si="71"/>
        <v>0</v>
      </c>
      <c r="CX79">
        <f t="shared" si="72"/>
        <v>0</v>
      </c>
      <c r="CY79">
        <f t="shared" si="73"/>
        <v>0</v>
      </c>
      <c r="CZ79">
        <f t="shared" si="74"/>
        <v>0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>
        <v>0</v>
      </c>
      <c r="DO79">
        <v>0</v>
      </c>
      <c r="DP79">
        <v>1</v>
      </c>
      <c r="DQ79">
        <v>1</v>
      </c>
      <c r="DU79">
        <v>1010</v>
      </c>
      <c r="DV79" t="s">
        <v>34</v>
      </c>
      <c r="DW79" t="s">
        <v>34</v>
      </c>
      <c r="DX79">
        <v>1</v>
      </c>
      <c r="DZ79" t="s">
        <v>3</v>
      </c>
      <c r="EA79" t="s">
        <v>3</v>
      </c>
      <c r="EB79" t="s">
        <v>3</v>
      </c>
      <c r="EC79" t="s">
        <v>3</v>
      </c>
      <c r="EE79">
        <v>58808284</v>
      </c>
      <c r="EF79">
        <v>130</v>
      </c>
      <c r="EG79" t="s">
        <v>35</v>
      </c>
      <c r="EH79">
        <v>0</v>
      </c>
      <c r="EI79" t="s">
        <v>3</v>
      </c>
      <c r="EJ79">
        <v>3</v>
      </c>
      <c r="EK79">
        <v>746</v>
      </c>
      <c r="EL79" t="s">
        <v>36</v>
      </c>
      <c r="EM79" t="s">
        <v>37</v>
      </c>
      <c r="EO79" t="s">
        <v>3</v>
      </c>
      <c r="EQ79">
        <v>0</v>
      </c>
      <c r="ER79">
        <v>53114.44</v>
      </c>
      <c r="ES79">
        <v>53114.44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5</v>
      </c>
      <c r="FC79">
        <v>1</v>
      </c>
      <c r="FD79">
        <v>18</v>
      </c>
      <c r="FF79">
        <v>468387</v>
      </c>
      <c r="FQ79">
        <v>0</v>
      </c>
      <c r="FR79">
        <f>P79</f>
        <v>406856.61</v>
      </c>
      <c r="FS79">
        <v>0</v>
      </c>
      <c r="FX79">
        <v>0</v>
      </c>
      <c r="FY79">
        <v>0</v>
      </c>
      <c r="GA79" t="s">
        <v>137</v>
      </c>
      <c r="GD79">
        <v>1</v>
      </c>
      <c r="GF79">
        <v>-1321760238</v>
      </c>
      <c r="GG79">
        <v>2</v>
      </c>
      <c r="GH79">
        <v>3</v>
      </c>
      <c r="GI79">
        <v>5</v>
      </c>
      <c r="GJ79">
        <v>0</v>
      </c>
      <c r="GK79">
        <v>0</v>
      </c>
      <c r="GL79">
        <f t="shared" si="75"/>
        <v>0</v>
      </c>
      <c r="GM79">
        <f t="shared" si="76"/>
        <v>406856.61</v>
      </c>
      <c r="GN79">
        <f t="shared" si="77"/>
        <v>0</v>
      </c>
      <c r="GO79">
        <f t="shared" si="78"/>
        <v>0</v>
      </c>
      <c r="GP79">
        <f t="shared" si="79"/>
        <v>0</v>
      </c>
      <c r="GR79">
        <v>1</v>
      </c>
      <c r="GS79">
        <v>1</v>
      </c>
      <c r="GT79">
        <v>0</v>
      </c>
      <c r="GU79" t="s">
        <v>3</v>
      </c>
      <c r="GV79">
        <f t="shared" si="80"/>
        <v>0</v>
      </c>
      <c r="GW79">
        <v>1</v>
      </c>
      <c r="GX79">
        <f t="shared" si="81"/>
        <v>0</v>
      </c>
      <c r="HA79">
        <v>0</v>
      </c>
      <c r="HB79">
        <v>0</v>
      </c>
      <c r="HC79">
        <f t="shared" si="82"/>
        <v>0</v>
      </c>
      <c r="HE79" t="s">
        <v>39</v>
      </c>
      <c r="HF79" t="s">
        <v>40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HS79">
        <v>0</v>
      </c>
      <c r="IK79">
        <v>0</v>
      </c>
    </row>
    <row r="80" spans="1:255" x14ac:dyDescent="0.2">
      <c r="A80" s="2">
        <v>17</v>
      </c>
      <c r="B80" s="2">
        <v>1</v>
      </c>
      <c r="C80" s="2">
        <f>ROW(SmtRes!A94)</f>
        <v>94</v>
      </c>
      <c r="D80" s="2">
        <f>ROW(EtalonRes!A107)</f>
        <v>107</v>
      </c>
      <c r="E80" s="2" t="s">
        <v>138</v>
      </c>
      <c r="F80" s="2" t="s">
        <v>103</v>
      </c>
      <c r="G80" s="2" t="s">
        <v>104</v>
      </c>
      <c r="H80" s="2" t="s">
        <v>43</v>
      </c>
      <c r="I80" s="2">
        <f t="shared" si="87"/>
        <v>1</v>
      </c>
      <c r="J80" s="2">
        <v>0</v>
      </c>
      <c r="K80" s="2">
        <f t="shared" si="88"/>
        <v>1</v>
      </c>
      <c r="L80" s="2"/>
      <c r="M80" s="2"/>
      <c r="N80" s="2"/>
      <c r="O80" s="2">
        <f t="shared" si="54"/>
        <v>48.6</v>
      </c>
      <c r="P80" s="2">
        <f>ROUND((ROUND((AC80*AW80*I80),2)*BC80),2)</f>
        <v>2.34</v>
      </c>
      <c r="Q80" s="2">
        <f>(ROUND((ROUND((((ET80*1.1))*AV80*I80),2)*BB80),2)+ROUND((ROUND(((AE80-((EU80*1.1)))*AV80*I80),2)*BS80),2))</f>
        <v>0</v>
      </c>
      <c r="R80" s="2">
        <f t="shared" si="55"/>
        <v>0</v>
      </c>
      <c r="S80" s="2">
        <f t="shared" si="56"/>
        <v>46.26</v>
      </c>
      <c r="T80" s="2">
        <f t="shared" si="57"/>
        <v>0</v>
      </c>
      <c r="U80" s="2">
        <f t="shared" si="58"/>
        <v>3.6624060000000003</v>
      </c>
      <c r="V80" s="2">
        <f t="shared" si="59"/>
        <v>0</v>
      </c>
      <c r="W80" s="2">
        <f t="shared" si="60"/>
        <v>0</v>
      </c>
      <c r="X80" s="2">
        <f t="shared" si="61"/>
        <v>41.63</v>
      </c>
      <c r="Y80" s="2">
        <f t="shared" si="62"/>
        <v>21.28</v>
      </c>
      <c r="Z80" s="2"/>
      <c r="AA80" s="2">
        <v>59213216</v>
      </c>
      <c r="AB80" s="2">
        <f t="shared" si="63"/>
        <v>46.527000000000001</v>
      </c>
      <c r="AC80" s="2">
        <f>ROUND(((ES80*1)),6)</f>
        <v>2.34</v>
      </c>
      <c r="AD80" s="2">
        <f>ROUND(((((ET80*1.1))-((EU80*1.1)))+AE80),6)</f>
        <v>0</v>
      </c>
      <c r="AE80" s="2">
        <f>ROUND(((EU80*1.1)),6)</f>
        <v>0</v>
      </c>
      <c r="AF80" s="2">
        <f>ROUND(((EV80*1.1)),6)</f>
        <v>44.186999999999998</v>
      </c>
      <c r="AG80" s="2">
        <f t="shared" si="64"/>
        <v>0</v>
      </c>
      <c r="AH80" s="2">
        <f>((EW80*1.1))</f>
        <v>3.4980000000000007</v>
      </c>
      <c r="AI80" s="2">
        <f>((EX80*1.1))</f>
        <v>0</v>
      </c>
      <c r="AJ80" s="2">
        <f t="shared" si="65"/>
        <v>0</v>
      </c>
      <c r="AK80" s="2">
        <v>42.51</v>
      </c>
      <c r="AL80" s="2">
        <v>2.34</v>
      </c>
      <c r="AM80" s="2">
        <v>0</v>
      </c>
      <c r="AN80" s="2">
        <v>0</v>
      </c>
      <c r="AO80" s="2">
        <v>40.17</v>
      </c>
      <c r="AP80" s="2">
        <v>0</v>
      </c>
      <c r="AQ80" s="2">
        <v>3.18</v>
      </c>
      <c r="AR80" s="2">
        <v>0</v>
      </c>
      <c r="AS80" s="2">
        <v>0</v>
      </c>
      <c r="AT80" s="2">
        <v>90</v>
      </c>
      <c r="AU80" s="2">
        <v>46</v>
      </c>
      <c r="AV80" s="2">
        <v>1.0469999999999999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0</v>
      </c>
      <c r="BI80" s="2">
        <v>2</v>
      </c>
      <c r="BJ80" s="2" t="s">
        <v>105</v>
      </c>
      <c r="BK80" s="2"/>
      <c r="BL80" s="2"/>
      <c r="BM80" s="2">
        <v>68</v>
      </c>
      <c r="BN80" s="2">
        <v>58808062</v>
      </c>
      <c r="BO80" s="2" t="s">
        <v>103</v>
      </c>
      <c r="BP80" s="2">
        <v>1</v>
      </c>
      <c r="BQ80" s="2">
        <v>40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90</v>
      </c>
      <c r="CA80" s="2">
        <v>46</v>
      </c>
      <c r="CB80" s="2" t="s">
        <v>3</v>
      </c>
      <c r="CC80" s="2"/>
      <c r="CD80" s="2"/>
      <c r="CE80" s="2">
        <v>30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492</v>
      </c>
      <c r="CO80" s="2">
        <v>0</v>
      </c>
      <c r="CP80" s="2">
        <f t="shared" si="66"/>
        <v>48.599999999999994</v>
      </c>
      <c r="CQ80" s="2">
        <f>ROUND((ROUND((AC80*AW80*1),2)*BC80),2)</f>
        <v>2.34</v>
      </c>
      <c r="CR80" s="2">
        <f>(ROUND((ROUND((((ET80*1.1))*AV80*1),2)*BB80),2)+ROUND((ROUND(((AE80-((EU80*1.1)))*AV80*1),2)*BS80),2))</f>
        <v>0</v>
      </c>
      <c r="CS80" s="2">
        <f t="shared" si="67"/>
        <v>0</v>
      </c>
      <c r="CT80" s="2">
        <f t="shared" si="68"/>
        <v>46.26</v>
      </c>
      <c r="CU80" s="2">
        <f t="shared" si="69"/>
        <v>0</v>
      </c>
      <c r="CV80" s="2">
        <f t="shared" si="70"/>
        <v>3.6624060000000003</v>
      </c>
      <c r="CW80" s="2">
        <f t="shared" si="71"/>
        <v>0</v>
      </c>
      <c r="CX80" s="2">
        <f t="shared" si="72"/>
        <v>0</v>
      </c>
      <c r="CY80" s="2">
        <f t="shared" si="73"/>
        <v>41.633999999999993</v>
      </c>
      <c r="CZ80" s="2">
        <f t="shared" si="74"/>
        <v>21.279600000000002</v>
      </c>
      <c r="DA80" s="2"/>
      <c r="DB80" s="2">
        <v>25</v>
      </c>
      <c r="DC80" s="2" t="s">
        <v>3</v>
      </c>
      <c r="DD80" s="2" t="s">
        <v>25</v>
      </c>
      <c r="DE80" s="2" t="s">
        <v>26</v>
      </c>
      <c r="DF80" s="2" t="s">
        <v>26</v>
      </c>
      <c r="DG80" s="2" t="s">
        <v>26</v>
      </c>
      <c r="DH80" s="2" t="s">
        <v>3</v>
      </c>
      <c r="DI80" s="2" t="s">
        <v>26</v>
      </c>
      <c r="DJ80" s="2" t="s">
        <v>26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1013</v>
      </c>
      <c r="DV80" s="2" t="s">
        <v>43</v>
      </c>
      <c r="DW80" s="2" t="s">
        <v>43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58808178</v>
      </c>
      <c r="EF80" s="2">
        <v>40</v>
      </c>
      <c r="EG80" s="2" t="s">
        <v>27</v>
      </c>
      <c r="EH80" s="2">
        <v>0</v>
      </c>
      <c r="EI80" s="2" t="s">
        <v>3</v>
      </c>
      <c r="EJ80" s="2">
        <v>2</v>
      </c>
      <c r="EK80" s="2">
        <v>68</v>
      </c>
      <c r="EL80" s="2" t="s">
        <v>28</v>
      </c>
      <c r="EM80" s="2" t="s">
        <v>29</v>
      </c>
      <c r="EN80" s="2"/>
      <c r="EO80" s="2" t="s">
        <v>30</v>
      </c>
      <c r="EP80" s="2"/>
      <c r="EQ80" s="2">
        <v>0</v>
      </c>
      <c r="ER80" s="2">
        <v>42.51</v>
      </c>
      <c r="ES80" s="2">
        <v>2.34</v>
      </c>
      <c r="ET80" s="2">
        <v>0</v>
      </c>
      <c r="EU80" s="2">
        <v>0</v>
      </c>
      <c r="EV80" s="2">
        <v>40.17</v>
      </c>
      <c r="EW80" s="2">
        <v>3.18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90</v>
      </c>
      <c r="FY80" s="2">
        <v>46</v>
      </c>
      <c r="FZ80" s="2"/>
      <c r="GA80" s="2" t="s">
        <v>3</v>
      </c>
      <c r="GB80" s="2"/>
      <c r="GC80" s="2"/>
      <c r="GD80" s="2">
        <v>1</v>
      </c>
      <c r="GE80" s="2"/>
      <c r="GF80" s="2">
        <v>1548884140</v>
      </c>
      <c r="GG80" s="2">
        <v>2</v>
      </c>
      <c r="GH80" s="2">
        <v>1</v>
      </c>
      <c r="GI80" s="2">
        <v>2</v>
      </c>
      <c r="GJ80" s="2">
        <v>0</v>
      </c>
      <c r="GK80" s="2">
        <v>0</v>
      </c>
      <c r="GL80" s="2">
        <f t="shared" si="75"/>
        <v>0</v>
      </c>
      <c r="GM80" s="2">
        <f t="shared" si="76"/>
        <v>111.51</v>
      </c>
      <c r="GN80" s="2">
        <f t="shared" si="77"/>
        <v>0</v>
      </c>
      <c r="GO80" s="2">
        <f t="shared" si="78"/>
        <v>111.51</v>
      </c>
      <c r="GP80" s="2">
        <f t="shared" si="79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80"/>
        <v>0</v>
      </c>
      <c r="GW80" s="2">
        <v>1</v>
      </c>
      <c r="GX80" s="2">
        <f t="shared" si="81"/>
        <v>0</v>
      </c>
      <c r="GY80" s="2"/>
      <c r="GZ80" s="2"/>
      <c r="HA80" s="2">
        <v>0</v>
      </c>
      <c r="HB80" s="2">
        <v>0</v>
      </c>
      <c r="HC80" s="2">
        <f t="shared" si="82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>
        <v>17</v>
      </c>
      <c r="B81">
        <v>1</v>
      </c>
      <c r="C81">
        <f>ROW(SmtRes!A98)</f>
        <v>98</v>
      </c>
      <c r="D81">
        <f>ROW(EtalonRes!A112)</f>
        <v>112</v>
      </c>
      <c r="E81" t="s">
        <v>138</v>
      </c>
      <c r="F81" t="s">
        <v>103</v>
      </c>
      <c r="G81" t="s">
        <v>104</v>
      </c>
      <c r="H81" t="s">
        <v>43</v>
      </c>
      <c r="I81">
        <f t="shared" si="87"/>
        <v>1</v>
      </c>
      <c r="J81">
        <v>0</v>
      </c>
      <c r="K81">
        <f t="shared" si="88"/>
        <v>1</v>
      </c>
      <c r="O81">
        <f t="shared" si="54"/>
        <v>2567.85</v>
      </c>
      <c r="P81">
        <f>ROUND((ROUND((AC81*AW81*I81),2)*BC81),2)</f>
        <v>24.01</v>
      </c>
      <c r="Q81">
        <f>(ROUND((ROUND((((ET81*1.1))*AV81*I81),2)*BB81),2)+ROUND((ROUND(((AE81-((EU81*1.1)))*AV81*I81),2)*BS81),2))</f>
        <v>0</v>
      </c>
      <c r="R81">
        <f t="shared" si="55"/>
        <v>0</v>
      </c>
      <c r="S81">
        <f t="shared" si="56"/>
        <v>2543.84</v>
      </c>
      <c r="T81">
        <f t="shared" si="57"/>
        <v>0</v>
      </c>
      <c r="U81">
        <f t="shared" si="58"/>
        <v>3.6624060000000003</v>
      </c>
      <c r="V81">
        <f t="shared" si="59"/>
        <v>0</v>
      </c>
      <c r="W81">
        <f t="shared" si="60"/>
        <v>0</v>
      </c>
      <c r="X81">
        <f t="shared" si="61"/>
        <v>2289.46</v>
      </c>
      <c r="Y81">
        <f t="shared" si="62"/>
        <v>1170.17</v>
      </c>
      <c r="AA81">
        <v>59213213</v>
      </c>
      <c r="AB81">
        <f t="shared" si="63"/>
        <v>46.527000000000001</v>
      </c>
      <c r="AC81">
        <f>ROUND(((ES81*1)),6)</f>
        <v>2.34</v>
      </c>
      <c r="AD81">
        <f>ROUND(((((ET81*1.1))-((EU81*1.1)))+AE81),6)</f>
        <v>0</v>
      </c>
      <c r="AE81">
        <f>ROUND(((EU81*1.1)),6)</f>
        <v>0</v>
      </c>
      <c r="AF81">
        <f>ROUND(((EV81*1.1)),6)</f>
        <v>44.186999999999998</v>
      </c>
      <c r="AG81">
        <f t="shared" si="64"/>
        <v>0</v>
      </c>
      <c r="AH81">
        <f>((EW81*1.1))</f>
        <v>3.4980000000000007</v>
      </c>
      <c r="AI81">
        <f>((EX81*1.1))</f>
        <v>0</v>
      </c>
      <c r="AJ81">
        <f t="shared" si="65"/>
        <v>0</v>
      </c>
      <c r="AK81">
        <v>42.51</v>
      </c>
      <c r="AL81">
        <v>2.34</v>
      </c>
      <c r="AM81">
        <v>0</v>
      </c>
      <c r="AN81">
        <v>0</v>
      </c>
      <c r="AO81">
        <v>40.17</v>
      </c>
      <c r="AP81">
        <v>0</v>
      </c>
      <c r="AQ81">
        <v>3.18</v>
      </c>
      <c r="AR81">
        <v>0</v>
      </c>
      <c r="AS81">
        <v>0</v>
      </c>
      <c r="AT81">
        <v>90</v>
      </c>
      <c r="AU81">
        <v>46</v>
      </c>
      <c r="AV81">
        <v>1.0469999999999999</v>
      </c>
      <c r="AW81">
        <v>1</v>
      </c>
      <c r="AZ81">
        <v>1</v>
      </c>
      <c r="BA81">
        <v>54.99</v>
      </c>
      <c r="BB81">
        <v>1</v>
      </c>
      <c r="BC81">
        <v>10.26</v>
      </c>
      <c r="BD81" t="s">
        <v>3</v>
      </c>
      <c r="BE81" t="s">
        <v>3</v>
      </c>
      <c r="BF81" t="s">
        <v>3</v>
      </c>
      <c r="BG81" t="s">
        <v>3</v>
      </c>
      <c r="BH81">
        <v>0</v>
      </c>
      <c r="BI81">
        <v>2</v>
      </c>
      <c r="BJ81" t="s">
        <v>105</v>
      </c>
      <c r="BM81">
        <v>68</v>
      </c>
      <c r="BN81">
        <v>58808062</v>
      </c>
      <c r="BO81" t="s">
        <v>103</v>
      </c>
      <c r="BP81">
        <v>1</v>
      </c>
      <c r="BQ81">
        <v>40</v>
      </c>
      <c r="BR81">
        <v>0</v>
      </c>
      <c r="BS81">
        <v>54.99</v>
      </c>
      <c r="BT81">
        <v>1</v>
      </c>
      <c r="BU81">
        <v>1</v>
      </c>
      <c r="BV81">
        <v>1</v>
      </c>
      <c r="BW81">
        <v>1</v>
      </c>
      <c r="BX81">
        <v>1</v>
      </c>
      <c r="BY81" t="s">
        <v>3</v>
      </c>
      <c r="BZ81">
        <v>90</v>
      </c>
      <c r="CA81">
        <v>46</v>
      </c>
      <c r="CB81" t="s">
        <v>3</v>
      </c>
      <c r="CE81">
        <v>30</v>
      </c>
      <c r="CF81">
        <v>0</v>
      </c>
      <c r="CG81">
        <v>0</v>
      </c>
      <c r="CM81">
        <v>0</v>
      </c>
      <c r="CN81" t="s">
        <v>492</v>
      </c>
      <c r="CO81">
        <v>0</v>
      </c>
      <c r="CP81">
        <f t="shared" si="66"/>
        <v>2567.8500000000004</v>
      </c>
      <c r="CQ81">
        <f>ROUND((ROUND((AC81*AW81*1),2)*BC81),2)</f>
        <v>24.01</v>
      </c>
      <c r="CR81">
        <f>(ROUND((ROUND((((ET81*1.1))*AV81*1),2)*BB81),2)+ROUND((ROUND(((AE81-((EU81*1.1)))*AV81*1),2)*BS81),2))</f>
        <v>0</v>
      </c>
      <c r="CS81">
        <f t="shared" si="67"/>
        <v>0</v>
      </c>
      <c r="CT81">
        <f t="shared" si="68"/>
        <v>2543.84</v>
      </c>
      <c r="CU81">
        <f t="shared" si="69"/>
        <v>0</v>
      </c>
      <c r="CV81">
        <f t="shared" si="70"/>
        <v>3.6624060000000003</v>
      </c>
      <c r="CW81">
        <f t="shared" si="71"/>
        <v>0</v>
      </c>
      <c r="CX81">
        <f t="shared" si="72"/>
        <v>0</v>
      </c>
      <c r="CY81">
        <f t="shared" si="73"/>
        <v>2289.4560000000001</v>
      </c>
      <c r="CZ81">
        <f t="shared" si="74"/>
        <v>1170.1664000000001</v>
      </c>
      <c r="DB81">
        <v>26</v>
      </c>
      <c r="DC81" t="s">
        <v>3</v>
      </c>
      <c r="DD81" t="s">
        <v>25</v>
      </c>
      <c r="DE81" t="s">
        <v>26</v>
      </c>
      <c r="DF81" t="s">
        <v>26</v>
      </c>
      <c r="DG81" t="s">
        <v>26</v>
      </c>
      <c r="DH81" t="s">
        <v>3</v>
      </c>
      <c r="DI81" t="s">
        <v>26</v>
      </c>
      <c r="DJ81" t="s">
        <v>26</v>
      </c>
      <c r="DK81" t="s">
        <v>3</v>
      </c>
      <c r="DL81" t="s">
        <v>3</v>
      </c>
      <c r="DM81" t="s">
        <v>3</v>
      </c>
      <c r="DN81">
        <v>0</v>
      </c>
      <c r="DO81">
        <v>0</v>
      </c>
      <c r="DP81">
        <v>1</v>
      </c>
      <c r="DQ81">
        <v>1</v>
      </c>
      <c r="DU81">
        <v>1013</v>
      </c>
      <c r="DV81" t="s">
        <v>43</v>
      </c>
      <c r="DW81" t="s">
        <v>43</v>
      </c>
      <c r="DX81">
        <v>1</v>
      </c>
      <c r="DZ81" t="s">
        <v>3</v>
      </c>
      <c r="EA81" t="s">
        <v>3</v>
      </c>
      <c r="EB81" t="s">
        <v>3</v>
      </c>
      <c r="EC81" t="s">
        <v>3</v>
      </c>
      <c r="EE81">
        <v>58808178</v>
      </c>
      <c r="EF81">
        <v>40</v>
      </c>
      <c r="EG81" t="s">
        <v>27</v>
      </c>
      <c r="EH81">
        <v>0</v>
      </c>
      <c r="EI81" t="s">
        <v>3</v>
      </c>
      <c r="EJ81">
        <v>2</v>
      </c>
      <c r="EK81">
        <v>68</v>
      </c>
      <c r="EL81" t="s">
        <v>28</v>
      </c>
      <c r="EM81" t="s">
        <v>29</v>
      </c>
      <c r="EO81" t="s">
        <v>30</v>
      </c>
      <c r="EQ81">
        <v>0</v>
      </c>
      <c r="ER81">
        <v>42.51</v>
      </c>
      <c r="ES81">
        <v>2.34</v>
      </c>
      <c r="ET81">
        <v>0</v>
      </c>
      <c r="EU81">
        <v>0</v>
      </c>
      <c r="EV81">
        <v>40.17</v>
      </c>
      <c r="EW81">
        <v>3.18</v>
      </c>
      <c r="EX81">
        <v>0</v>
      </c>
      <c r="EY81">
        <v>0</v>
      </c>
      <c r="FQ81">
        <v>0</v>
      </c>
      <c r="FR81">
        <v>0</v>
      </c>
      <c r="FS81">
        <v>0</v>
      </c>
      <c r="FX81">
        <v>90</v>
      </c>
      <c r="FY81">
        <v>46</v>
      </c>
      <c r="GA81" t="s">
        <v>3</v>
      </c>
      <c r="GD81">
        <v>1</v>
      </c>
      <c r="GF81">
        <v>1548884140</v>
      </c>
      <c r="GG81">
        <v>2</v>
      </c>
      <c r="GH81">
        <v>1</v>
      </c>
      <c r="GI81">
        <v>2</v>
      </c>
      <c r="GJ81">
        <v>0</v>
      </c>
      <c r="GK81">
        <v>0</v>
      </c>
      <c r="GL81">
        <f t="shared" si="75"/>
        <v>0</v>
      </c>
      <c r="GM81">
        <f t="shared" si="76"/>
        <v>6027.48</v>
      </c>
      <c r="GN81">
        <f t="shared" si="77"/>
        <v>0</v>
      </c>
      <c r="GO81">
        <f t="shared" si="78"/>
        <v>6027.48</v>
      </c>
      <c r="GP81">
        <f t="shared" si="79"/>
        <v>0</v>
      </c>
      <c r="GR81">
        <v>0</v>
      </c>
      <c r="GS81">
        <v>3</v>
      </c>
      <c r="GT81">
        <v>0</v>
      </c>
      <c r="GU81" t="s">
        <v>3</v>
      </c>
      <c r="GV81">
        <f t="shared" si="80"/>
        <v>0</v>
      </c>
      <c r="GW81">
        <v>1</v>
      </c>
      <c r="GX81">
        <f t="shared" si="81"/>
        <v>0</v>
      </c>
      <c r="HA81">
        <v>0</v>
      </c>
      <c r="HB81">
        <v>0</v>
      </c>
      <c r="HC81">
        <f t="shared" si="82"/>
        <v>0</v>
      </c>
      <c r="HE81" t="s">
        <v>3</v>
      </c>
      <c r="HF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HS81">
        <v>0</v>
      </c>
      <c r="IK81">
        <v>0</v>
      </c>
    </row>
    <row r="82" spans="1:255" x14ac:dyDescent="0.2">
      <c r="A82" s="2">
        <v>17</v>
      </c>
      <c r="B82" s="2">
        <v>1</v>
      </c>
      <c r="C82" s="2"/>
      <c r="D82" s="2"/>
      <c r="E82" s="2" t="s">
        <v>139</v>
      </c>
      <c r="F82" s="2" t="s">
        <v>140</v>
      </c>
      <c r="G82" s="2" t="s">
        <v>141</v>
      </c>
      <c r="H82" s="2" t="s">
        <v>34</v>
      </c>
      <c r="I82" s="2">
        <f t="shared" si="87"/>
        <v>1</v>
      </c>
      <c r="J82" s="2">
        <v>0</v>
      </c>
      <c r="K82" s="2">
        <f t="shared" si="88"/>
        <v>1</v>
      </c>
      <c r="L82" s="2"/>
      <c r="M82" s="2"/>
      <c r="N82" s="2"/>
      <c r="O82" s="2">
        <f t="shared" si="54"/>
        <v>4552.96</v>
      </c>
      <c r="P82" s="2">
        <f>ROUND((ROUND((AC82*I82),2)*BC82),2)</f>
        <v>4552.96</v>
      </c>
      <c r="Q82" s="2">
        <f>(ROUND((ROUND(((ET82)*AV82*I82),2)*BB82),2)+ROUND((ROUND(((AE82-(EU82))*AV82*I82),2)*BS82),2))</f>
        <v>0</v>
      </c>
      <c r="R82" s="2">
        <f t="shared" si="55"/>
        <v>0</v>
      </c>
      <c r="S82" s="2">
        <f t="shared" si="56"/>
        <v>0</v>
      </c>
      <c r="T82" s="2">
        <f t="shared" si="57"/>
        <v>0</v>
      </c>
      <c r="U82" s="2">
        <f t="shared" si="58"/>
        <v>0</v>
      </c>
      <c r="V82" s="2">
        <f t="shared" si="59"/>
        <v>0</v>
      </c>
      <c r="W82" s="2">
        <f t="shared" si="60"/>
        <v>0</v>
      </c>
      <c r="X82" s="2">
        <f t="shared" si="61"/>
        <v>0</v>
      </c>
      <c r="Y82" s="2">
        <f t="shared" si="62"/>
        <v>0</v>
      </c>
      <c r="Z82" s="2"/>
      <c r="AA82" s="2">
        <v>59213216</v>
      </c>
      <c r="AB82" s="2">
        <f t="shared" si="63"/>
        <v>4552.96</v>
      </c>
      <c r="AC82" s="2">
        <f>ROUND((ES82),6)</f>
        <v>4552.96</v>
      </c>
      <c r="AD82" s="2">
        <f>ROUND((((ET82)-(EU82))+AE82),6)</f>
        <v>0</v>
      </c>
      <c r="AE82" s="2">
        <f>ROUND((EU82),6)</f>
        <v>0</v>
      </c>
      <c r="AF82" s="2">
        <f>ROUND((EV82),6)</f>
        <v>0</v>
      </c>
      <c r="AG82" s="2">
        <f t="shared" si="64"/>
        <v>0</v>
      </c>
      <c r="AH82" s="2">
        <f>(EW82)</f>
        <v>0</v>
      </c>
      <c r="AI82" s="2">
        <f>(EX82)</f>
        <v>0</v>
      </c>
      <c r="AJ82" s="2">
        <f t="shared" si="65"/>
        <v>0</v>
      </c>
      <c r="AK82" s="2">
        <v>4552.96</v>
      </c>
      <c r="AL82" s="2">
        <v>4552.96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3</v>
      </c>
      <c r="BJ82" s="2" t="s">
        <v>3</v>
      </c>
      <c r="BK82" s="2"/>
      <c r="BL82" s="2"/>
      <c r="BM82" s="2">
        <v>746</v>
      </c>
      <c r="BN82" s="2">
        <v>0</v>
      </c>
      <c r="BO82" s="2" t="s">
        <v>3</v>
      </c>
      <c r="BP82" s="2">
        <v>0</v>
      </c>
      <c r="BQ82" s="2">
        <v>130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0</v>
      </c>
      <c r="CA82" s="2">
        <v>0</v>
      </c>
      <c r="CB82" s="2" t="s">
        <v>3</v>
      </c>
      <c r="CC82" s="2"/>
      <c r="CD82" s="2"/>
      <c r="CE82" s="2">
        <v>30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66"/>
        <v>4552.96</v>
      </c>
      <c r="CQ82" s="2">
        <f>ROUND((ROUND((AC82*1),2)*BC82),2)</f>
        <v>4552.96</v>
      </c>
      <c r="CR82" s="2">
        <f>(ROUND((ROUND(((ET82)*AV82*1),2)*BB82),2)+ROUND((ROUND(((AE82-(EU82))*AV82*1),2)*BS82),2))</f>
        <v>0</v>
      </c>
      <c r="CS82" s="2">
        <f t="shared" si="67"/>
        <v>0</v>
      </c>
      <c r="CT82" s="2">
        <f t="shared" si="68"/>
        <v>0</v>
      </c>
      <c r="CU82" s="2">
        <f t="shared" si="69"/>
        <v>0</v>
      </c>
      <c r="CV82" s="2">
        <f t="shared" si="70"/>
        <v>0</v>
      </c>
      <c r="CW82" s="2">
        <f t="shared" si="71"/>
        <v>0</v>
      </c>
      <c r="CX82" s="2">
        <f t="shared" si="72"/>
        <v>0</v>
      </c>
      <c r="CY82" s="2">
        <f t="shared" si="73"/>
        <v>0</v>
      </c>
      <c r="CZ82" s="2">
        <f t="shared" si="74"/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1010</v>
      </c>
      <c r="DV82" s="2" t="s">
        <v>34</v>
      </c>
      <c r="DW82" s="2" t="s">
        <v>34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58808284</v>
      </c>
      <c r="EF82" s="2">
        <v>130</v>
      </c>
      <c r="EG82" s="2" t="s">
        <v>35</v>
      </c>
      <c r="EH82" s="2">
        <v>0</v>
      </c>
      <c r="EI82" s="2" t="s">
        <v>3</v>
      </c>
      <c r="EJ82" s="2">
        <v>3</v>
      </c>
      <c r="EK82" s="2">
        <v>746</v>
      </c>
      <c r="EL82" s="2" t="s">
        <v>36</v>
      </c>
      <c r="EM82" s="2" t="s">
        <v>37</v>
      </c>
      <c r="EN82" s="2"/>
      <c r="EO82" s="2" t="s">
        <v>3</v>
      </c>
      <c r="EP82" s="2"/>
      <c r="EQ82" s="2">
        <v>0</v>
      </c>
      <c r="ER82" s="2">
        <v>0</v>
      </c>
      <c r="ES82" s="2">
        <v>4552.96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f>P82</f>
        <v>4552.96</v>
      </c>
      <c r="FS82" s="2">
        <v>0</v>
      </c>
      <c r="FT82" s="2"/>
      <c r="FU82" s="2"/>
      <c r="FV82" s="2"/>
      <c r="FW82" s="2"/>
      <c r="FX82" s="2">
        <v>0</v>
      </c>
      <c r="FY82" s="2">
        <v>0</v>
      </c>
      <c r="FZ82" s="2"/>
      <c r="GA82" s="2" t="s">
        <v>142</v>
      </c>
      <c r="GB82" s="2"/>
      <c r="GC82" s="2"/>
      <c r="GD82" s="2">
        <v>1</v>
      </c>
      <c r="GE82" s="2"/>
      <c r="GF82" s="2">
        <v>1820334090</v>
      </c>
      <c r="GG82" s="2">
        <v>2</v>
      </c>
      <c r="GH82" s="2">
        <v>4</v>
      </c>
      <c r="GI82" s="2">
        <v>-2</v>
      </c>
      <c r="GJ82" s="2">
        <v>0</v>
      </c>
      <c r="GK82" s="2">
        <v>0</v>
      </c>
      <c r="GL82" s="2">
        <f t="shared" si="75"/>
        <v>0</v>
      </c>
      <c r="GM82" s="2">
        <f t="shared" si="76"/>
        <v>4552.96</v>
      </c>
      <c r="GN82" s="2">
        <f t="shared" si="77"/>
        <v>0</v>
      </c>
      <c r="GO82" s="2">
        <f t="shared" si="78"/>
        <v>0</v>
      </c>
      <c r="GP82" s="2">
        <f t="shared" si="79"/>
        <v>0</v>
      </c>
      <c r="GQ82" s="2"/>
      <c r="GR82" s="2">
        <v>0</v>
      </c>
      <c r="GS82" s="2">
        <v>2</v>
      </c>
      <c r="GT82" s="2">
        <v>0</v>
      </c>
      <c r="GU82" s="2" t="s">
        <v>3</v>
      </c>
      <c r="GV82" s="2">
        <f t="shared" si="80"/>
        <v>0</v>
      </c>
      <c r="GW82" s="2">
        <v>1</v>
      </c>
      <c r="GX82" s="2">
        <f t="shared" si="81"/>
        <v>0</v>
      </c>
      <c r="GY82" s="2"/>
      <c r="GZ82" s="2"/>
      <c r="HA82" s="2">
        <v>0</v>
      </c>
      <c r="HB82" s="2">
        <v>0</v>
      </c>
      <c r="HC82" s="2">
        <f t="shared" si="82"/>
        <v>0</v>
      </c>
      <c r="HD82" s="2"/>
      <c r="HE82" s="2" t="s">
        <v>39</v>
      </c>
      <c r="HF82" s="2" t="s">
        <v>40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>
        <v>17</v>
      </c>
      <c r="B83">
        <v>1</v>
      </c>
      <c r="E83" t="s">
        <v>139</v>
      </c>
      <c r="F83" t="s">
        <v>140</v>
      </c>
      <c r="G83" t="s">
        <v>141</v>
      </c>
      <c r="H83" t="s">
        <v>34</v>
      </c>
      <c r="I83">
        <f t="shared" si="87"/>
        <v>1</v>
      </c>
      <c r="J83">
        <v>0</v>
      </c>
      <c r="K83">
        <f t="shared" si="88"/>
        <v>1</v>
      </c>
      <c r="O83">
        <f t="shared" si="54"/>
        <v>34875.67</v>
      </c>
      <c r="P83">
        <f>ROUND((ROUND((AC83*I83),2)*BC83),2)</f>
        <v>34875.67</v>
      </c>
      <c r="Q83">
        <f>(ROUND((ROUND(((ET83)*AV83*I83),2)*BB83),2)+ROUND((ROUND(((AE83-(EU83))*AV83*I83),2)*BS83),2))</f>
        <v>0</v>
      </c>
      <c r="R83">
        <f t="shared" si="55"/>
        <v>0</v>
      </c>
      <c r="S83">
        <f t="shared" si="56"/>
        <v>0</v>
      </c>
      <c r="T83">
        <f t="shared" si="57"/>
        <v>0</v>
      </c>
      <c r="U83">
        <f t="shared" si="58"/>
        <v>0</v>
      </c>
      <c r="V83">
        <f t="shared" si="59"/>
        <v>0</v>
      </c>
      <c r="W83">
        <f t="shared" si="60"/>
        <v>0</v>
      </c>
      <c r="X83">
        <f t="shared" si="61"/>
        <v>0</v>
      </c>
      <c r="Y83">
        <f t="shared" si="62"/>
        <v>0</v>
      </c>
      <c r="AA83">
        <v>59213213</v>
      </c>
      <c r="AB83">
        <f t="shared" si="63"/>
        <v>4552.96</v>
      </c>
      <c r="AC83">
        <f>ROUND((ES83),6)</f>
        <v>4552.96</v>
      </c>
      <c r="AD83">
        <f>ROUND((((ET83)-(EU83))+AE83),6)</f>
        <v>0</v>
      </c>
      <c r="AE83">
        <f>ROUND((EU83),6)</f>
        <v>0</v>
      </c>
      <c r="AF83">
        <f>ROUND((EV83),6)</f>
        <v>0</v>
      </c>
      <c r="AG83">
        <f t="shared" si="64"/>
        <v>0</v>
      </c>
      <c r="AH83">
        <f>(EW83)</f>
        <v>0</v>
      </c>
      <c r="AI83">
        <f>(EX83)</f>
        <v>0</v>
      </c>
      <c r="AJ83">
        <f t="shared" si="65"/>
        <v>0</v>
      </c>
      <c r="AK83">
        <v>4552.96</v>
      </c>
      <c r="AL83">
        <v>4552.96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Z83">
        <v>1</v>
      </c>
      <c r="BA83">
        <v>1</v>
      </c>
      <c r="BB83">
        <v>1</v>
      </c>
      <c r="BC83">
        <v>7.66</v>
      </c>
      <c r="BD83" t="s">
        <v>3</v>
      </c>
      <c r="BE83" t="s">
        <v>3</v>
      </c>
      <c r="BF83" t="s">
        <v>3</v>
      </c>
      <c r="BG83" t="s">
        <v>3</v>
      </c>
      <c r="BH83">
        <v>3</v>
      </c>
      <c r="BI83">
        <v>3</v>
      </c>
      <c r="BJ83" t="s">
        <v>3</v>
      </c>
      <c r="BM83">
        <v>746</v>
      </c>
      <c r="BN83">
        <v>0</v>
      </c>
      <c r="BO83" t="s">
        <v>3</v>
      </c>
      <c r="BP83">
        <v>0</v>
      </c>
      <c r="BQ83">
        <v>130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 t="s">
        <v>3</v>
      </c>
      <c r="BZ83">
        <v>0</v>
      </c>
      <c r="CA83">
        <v>0</v>
      </c>
      <c r="CB83" t="s">
        <v>3</v>
      </c>
      <c r="CE83">
        <v>30</v>
      </c>
      <c r="CF83">
        <v>0</v>
      </c>
      <c r="CG83">
        <v>0</v>
      </c>
      <c r="CM83">
        <v>0</v>
      </c>
      <c r="CN83" t="s">
        <v>3</v>
      </c>
      <c r="CO83">
        <v>0</v>
      </c>
      <c r="CP83">
        <f t="shared" si="66"/>
        <v>34875.67</v>
      </c>
      <c r="CQ83">
        <f>ROUND((ROUND((AC83*1),2)*BC83),2)</f>
        <v>34875.67</v>
      </c>
      <c r="CR83">
        <f>(ROUND((ROUND(((ET83)*AV83*1),2)*BB83),2)+ROUND((ROUND(((AE83-(EU83))*AV83*1),2)*BS83),2))</f>
        <v>0</v>
      </c>
      <c r="CS83">
        <f t="shared" si="67"/>
        <v>0</v>
      </c>
      <c r="CT83">
        <f t="shared" si="68"/>
        <v>0</v>
      </c>
      <c r="CU83">
        <f t="shared" si="69"/>
        <v>0</v>
      </c>
      <c r="CV83">
        <f t="shared" si="70"/>
        <v>0</v>
      </c>
      <c r="CW83">
        <f t="shared" si="71"/>
        <v>0</v>
      </c>
      <c r="CX83">
        <f t="shared" si="72"/>
        <v>0</v>
      </c>
      <c r="CY83">
        <f t="shared" si="73"/>
        <v>0</v>
      </c>
      <c r="CZ83">
        <f t="shared" si="74"/>
        <v>0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>
        <v>0</v>
      </c>
      <c r="DO83">
        <v>0</v>
      </c>
      <c r="DP83">
        <v>1</v>
      </c>
      <c r="DQ83">
        <v>1</v>
      </c>
      <c r="DU83">
        <v>1010</v>
      </c>
      <c r="DV83" t="s">
        <v>34</v>
      </c>
      <c r="DW83" t="s">
        <v>34</v>
      </c>
      <c r="DX83">
        <v>1</v>
      </c>
      <c r="DZ83" t="s">
        <v>3</v>
      </c>
      <c r="EA83" t="s">
        <v>3</v>
      </c>
      <c r="EB83" t="s">
        <v>3</v>
      </c>
      <c r="EC83" t="s">
        <v>3</v>
      </c>
      <c r="EE83">
        <v>58808284</v>
      </c>
      <c r="EF83">
        <v>130</v>
      </c>
      <c r="EG83" t="s">
        <v>35</v>
      </c>
      <c r="EH83">
        <v>0</v>
      </c>
      <c r="EI83" t="s">
        <v>3</v>
      </c>
      <c r="EJ83">
        <v>3</v>
      </c>
      <c r="EK83">
        <v>746</v>
      </c>
      <c r="EL83" t="s">
        <v>36</v>
      </c>
      <c r="EM83" t="s">
        <v>37</v>
      </c>
      <c r="EO83" t="s">
        <v>3</v>
      </c>
      <c r="EQ83">
        <v>0</v>
      </c>
      <c r="ER83">
        <v>4552.96</v>
      </c>
      <c r="ES83">
        <v>4552.96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5</v>
      </c>
      <c r="FC83">
        <v>1</v>
      </c>
      <c r="FD83">
        <v>18</v>
      </c>
      <c r="FF83">
        <v>40150</v>
      </c>
      <c r="FQ83">
        <v>0</v>
      </c>
      <c r="FR83">
        <f>P83</f>
        <v>34875.67</v>
      </c>
      <c r="FS83">
        <v>0</v>
      </c>
      <c r="FX83">
        <v>0</v>
      </c>
      <c r="FY83">
        <v>0</v>
      </c>
      <c r="GA83" t="s">
        <v>142</v>
      </c>
      <c r="GD83">
        <v>1</v>
      </c>
      <c r="GF83">
        <v>1820334090</v>
      </c>
      <c r="GG83">
        <v>2</v>
      </c>
      <c r="GH83">
        <v>3</v>
      </c>
      <c r="GI83">
        <v>5</v>
      </c>
      <c r="GJ83">
        <v>0</v>
      </c>
      <c r="GK83">
        <v>0</v>
      </c>
      <c r="GL83">
        <f t="shared" si="75"/>
        <v>0</v>
      </c>
      <c r="GM83">
        <f t="shared" si="76"/>
        <v>34875.67</v>
      </c>
      <c r="GN83">
        <f t="shared" si="77"/>
        <v>0</v>
      </c>
      <c r="GO83">
        <f t="shared" si="78"/>
        <v>0</v>
      </c>
      <c r="GP83">
        <f t="shared" si="79"/>
        <v>0</v>
      </c>
      <c r="GR83">
        <v>1</v>
      </c>
      <c r="GS83">
        <v>1</v>
      </c>
      <c r="GT83">
        <v>0</v>
      </c>
      <c r="GU83" t="s">
        <v>3</v>
      </c>
      <c r="GV83">
        <f t="shared" si="80"/>
        <v>0</v>
      </c>
      <c r="GW83">
        <v>1</v>
      </c>
      <c r="GX83">
        <f t="shared" si="81"/>
        <v>0</v>
      </c>
      <c r="HA83">
        <v>0</v>
      </c>
      <c r="HB83">
        <v>0</v>
      </c>
      <c r="HC83">
        <f t="shared" si="82"/>
        <v>0</v>
      </c>
      <c r="HE83" t="s">
        <v>39</v>
      </c>
      <c r="HF83" t="s">
        <v>40</v>
      </c>
      <c r="HM83" t="s">
        <v>3</v>
      </c>
      <c r="HN83" t="s">
        <v>3</v>
      </c>
      <c r="HO83" t="s">
        <v>3</v>
      </c>
      <c r="HP83" t="s">
        <v>3</v>
      </c>
      <c r="HQ83" t="s">
        <v>3</v>
      </c>
      <c r="HS83">
        <v>0</v>
      </c>
      <c r="IK83">
        <v>0</v>
      </c>
    </row>
    <row r="84" spans="1:255" x14ac:dyDescent="0.2">
      <c r="A84" s="2">
        <v>17</v>
      </c>
      <c r="B84" s="2">
        <v>1</v>
      </c>
      <c r="C84" s="2">
        <f>ROW(SmtRes!A102)</f>
        <v>102</v>
      </c>
      <c r="D84" s="2">
        <f>ROW(EtalonRes!A117)</f>
        <v>117</v>
      </c>
      <c r="E84" s="2" t="s">
        <v>143</v>
      </c>
      <c r="F84" s="2" t="s">
        <v>144</v>
      </c>
      <c r="G84" s="2" t="s">
        <v>145</v>
      </c>
      <c r="H84" s="2" t="s">
        <v>43</v>
      </c>
      <c r="I84" s="2">
        <f>ROUND(ROUND(7,4),9)</f>
        <v>7</v>
      </c>
      <c r="J84" s="2">
        <v>0</v>
      </c>
      <c r="K84" s="2">
        <f>ROUND(ROUND(7,4),9)</f>
        <v>7</v>
      </c>
      <c r="L84" s="2"/>
      <c r="M84" s="2"/>
      <c r="N84" s="2"/>
      <c r="O84" s="2">
        <f t="shared" si="54"/>
        <v>948.67</v>
      </c>
      <c r="P84" s="2">
        <f>ROUND((ROUND((AC84*AW84*I84),2)*BC84),2)</f>
        <v>86.45</v>
      </c>
      <c r="Q84" s="2">
        <f>(ROUND((ROUND((((ET84*1.1))*AV84*I84),2)*BB84),2)+ROUND((ROUND(((AE84-((EU84*1.1)))*AV84*I84),2)*BS84),2))</f>
        <v>231.46</v>
      </c>
      <c r="R84" s="2">
        <f t="shared" si="55"/>
        <v>25.48</v>
      </c>
      <c r="S84" s="2">
        <f t="shared" si="56"/>
        <v>630.76</v>
      </c>
      <c r="T84" s="2">
        <f t="shared" si="57"/>
        <v>0</v>
      </c>
      <c r="U84" s="2">
        <f t="shared" si="58"/>
        <v>49.983780000000003</v>
      </c>
      <c r="V84" s="2">
        <f t="shared" si="59"/>
        <v>0</v>
      </c>
      <c r="W84" s="2">
        <f t="shared" si="60"/>
        <v>0</v>
      </c>
      <c r="X84" s="2">
        <f t="shared" si="61"/>
        <v>590.62</v>
      </c>
      <c r="Y84" s="2">
        <f t="shared" si="62"/>
        <v>301.87</v>
      </c>
      <c r="Z84" s="2"/>
      <c r="AA84" s="2">
        <v>59213216</v>
      </c>
      <c r="AB84" s="2">
        <f t="shared" si="63"/>
        <v>129.995</v>
      </c>
      <c r="AC84" s="2">
        <f>ROUND(((ES84*1)),6)</f>
        <v>12.35</v>
      </c>
      <c r="AD84" s="2">
        <f>ROUND(((((ET84*1.1))-((EU84*1.1)))+AE84),6)</f>
        <v>31.581</v>
      </c>
      <c r="AE84" s="2">
        <f>ROUND(((EU84*1.1)),6)</f>
        <v>3.476</v>
      </c>
      <c r="AF84" s="2">
        <f>ROUND(((EV84*1.1)),6)</f>
        <v>86.063999999999993</v>
      </c>
      <c r="AG84" s="2">
        <f t="shared" si="64"/>
        <v>0</v>
      </c>
      <c r="AH84" s="2">
        <f>((EW84*1.1))</f>
        <v>6.8200000000000012</v>
      </c>
      <c r="AI84" s="2">
        <f>((EX84*1.1))</f>
        <v>0</v>
      </c>
      <c r="AJ84" s="2">
        <f t="shared" si="65"/>
        <v>0</v>
      </c>
      <c r="AK84" s="2">
        <v>119.3</v>
      </c>
      <c r="AL84" s="2">
        <v>12.35</v>
      </c>
      <c r="AM84" s="2">
        <v>28.71</v>
      </c>
      <c r="AN84" s="2">
        <v>3.16</v>
      </c>
      <c r="AO84" s="2">
        <v>78.239999999999995</v>
      </c>
      <c r="AP84" s="2">
        <v>0</v>
      </c>
      <c r="AQ84" s="2">
        <v>6.2</v>
      </c>
      <c r="AR84" s="2">
        <v>0</v>
      </c>
      <c r="AS84" s="2">
        <v>0</v>
      </c>
      <c r="AT84" s="2">
        <v>90</v>
      </c>
      <c r="AU84" s="2">
        <v>46</v>
      </c>
      <c r="AV84" s="2">
        <v>1.0469999999999999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0</v>
      </c>
      <c r="BI84" s="2">
        <v>2</v>
      </c>
      <c r="BJ84" s="2" t="s">
        <v>146</v>
      </c>
      <c r="BK84" s="2"/>
      <c r="BL84" s="2"/>
      <c r="BM84" s="2">
        <v>68</v>
      </c>
      <c r="BN84" s="2">
        <v>58808062</v>
      </c>
      <c r="BO84" s="2" t="s">
        <v>144</v>
      </c>
      <c r="BP84" s="2">
        <v>1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90</v>
      </c>
      <c r="CA84" s="2">
        <v>46</v>
      </c>
      <c r="CB84" s="2" t="s">
        <v>3</v>
      </c>
      <c r="CC84" s="2"/>
      <c r="CD84" s="2"/>
      <c r="CE84" s="2">
        <v>30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492</v>
      </c>
      <c r="CO84" s="2">
        <v>0</v>
      </c>
      <c r="CP84" s="2">
        <f t="shared" si="66"/>
        <v>948.67000000000007</v>
      </c>
      <c r="CQ84" s="2">
        <f>ROUND((ROUND((AC84*AW84*1),2)*BC84),2)</f>
        <v>12.35</v>
      </c>
      <c r="CR84" s="2">
        <f>(ROUND((ROUND((((ET84*1.1))*AV84*1),2)*BB84),2)+ROUND((ROUND(((AE84-((EU84*1.1)))*AV84*1),2)*BS84),2))</f>
        <v>33.07</v>
      </c>
      <c r="CS84" s="2">
        <f t="shared" si="67"/>
        <v>3.64</v>
      </c>
      <c r="CT84" s="2">
        <f t="shared" si="68"/>
        <v>90.11</v>
      </c>
      <c r="CU84" s="2">
        <f t="shared" si="69"/>
        <v>0</v>
      </c>
      <c r="CV84" s="2">
        <f t="shared" si="70"/>
        <v>7.1405400000000006</v>
      </c>
      <c r="CW84" s="2">
        <f t="shared" si="71"/>
        <v>0</v>
      </c>
      <c r="CX84" s="2">
        <f t="shared" si="72"/>
        <v>0</v>
      </c>
      <c r="CY84" s="2">
        <f t="shared" si="73"/>
        <v>590.61599999999999</v>
      </c>
      <c r="CZ84" s="2">
        <f t="shared" si="74"/>
        <v>301.87040000000002</v>
      </c>
      <c r="DA84" s="2"/>
      <c r="DB84" s="2">
        <v>27</v>
      </c>
      <c r="DC84" s="2" t="s">
        <v>3</v>
      </c>
      <c r="DD84" s="2" t="s">
        <v>25</v>
      </c>
      <c r="DE84" s="2" t="s">
        <v>26</v>
      </c>
      <c r="DF84" s="2" t="s">
        <v>26</v>
      </c>
      <c r="DG84" s="2" t="s">
        <v>26</v>
      </c>
      <c r="DH84" s="2" t="s">
        <v>3</v>
      </c>
      <c r="DI84" s="2" t="s">
        <v>26</v>
      </c>
      <c r="DJ84" s="2" t="s">
        <v>26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1013</v>
      </c>
      <c r="DV84" s="2" t="s">
        <v>43</v>
      </c>
      <c r="DW84" s="2" t="s">
        <v>43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58808178</v>
      </c>
      <c r="EF84" s="2">
        <v>40</v>
      </c>
      <c r="EG84" s="2" t="s">
        <v>27</v>
      </c>
      <c r="EH84" s="2">
        <v>0</v>
      </c>
      <c r="EI84" s="2" t="s">
        <v>3</v>
      </c>
      <c r="EJ84" s="2">
        <v>2</v>
      </c>
      <c r="EK84" s="2">
        <v>68</v>
      </c>
      <c r="EL84" s="2" t="s">
        <v>28</v>
      </c>
      <c r="EM84" s="2" t="s">
        <v>29</v>
      </c>
      <c r="EN84" s="2"/>
      <c r="EO84" s="2" t="s">
        <v>30</v>
      </c>
      <c r="EP84" s="2"/>
      <c r="EQ84" s="2">
        <v>0</v>
      </c>
      <c r="ER84" s="2">
        <v>119.3</v>
      </c>
      <c r="ES84" s="2">
        <v>12.35</v>
      </c>
      <c r="ET84" s="2">
        <v>28.71</v>
      </c>
      <c r="EU84" s="2">
        <v>3.16</v>
      </c>
      <c r="EV84" s="2">
        <v>78.239999999999995</v>
      </c>
      <c r="EW84" s="2">
        <v>6.2</v>
      </c>
      <c r="EX84" s="2">
        <v>0</v>
      </c>
      <c r="EY84" s="2">
        <v>0</v>
      </c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90</v>
      </c>
      <c r="FY84" s="2">
        <v>46</v>
      </c>
      <c r="FZ84" s="2"/>
      <c r="GA84" s="2" t="s">
        <v>3</v>
      </c>
      <c r="GB84" s="2"/>
      <c r="GC84" s="2"/>
      <c r="GD84" s="2">
        <v>1</v>
      </c>
      <c r="GE84" s="2"/>
      <c r="GF84" s="2">
        <v>-210614787</v>
      </c>
      <c r="GG84" s="2">
        <v>2</v>
      </c>
      <c r="GH84" s="2">
        <v>1</v>
      </c>
      <c r="GI84" s="2">
        <v>2</v>
      </c>
      <c r="GJ84" s="2">
        <v>0</v>
      </c>
      <c r="GK84" s="2">
        <v>0</v>
      </c>
      <c r="GL84" s="2">
        <f t="shared" si="75"/>
        <v>0</v>
      </c>
      <c r="GM84" s="2">
        <f t="shared" si="76"/>
        <v>1841.16</v>
      </c>
      <c r="GN84" s="2">
        <f t="shared" si="77"/>
        <v>0</v>
      </c>
      <c r="GO84" s="2">
        <f t="shared" si="78"/>
        <v>1841.16</v>
      </c>
      <c r="GP84" s="2">
        <f t="shared" si="79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80"/>
        <v>0</v>
      </c>
      <c r="GW84" s="2">
        <v>1</v>
      </c>
      <c r="GX84" s="2">
        <f t="shared" si="81"/>
        <v>0</v>
      </c>
      <c r="GY84" s="2"/>
      <c r="GZ84" s="2"/>
      <c r="HA84" s="2">
        <v>0</v>
      </c>
      <c r="HB84" s="2">
        <v>0</v>
      </c>
      <c r="HC84" s="2">
        <f t="shared" si="82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>
        <v>17</v>
      </c>
      <c r="B85">
        <v>1</v>
      </c>
      <c r="C85">
        <f>ROW(SmtRes!A106)</f>
        <v>106</v>
      </c>
      <c r="D85">
        <f>ROW(EtalonRes!A122)</f>
        <v>122</v>
      </c>
      <c r="E85" t="s">
        <v>143</v>
      </c>
      <c r="F85" t="s">
        <v>144</v>
      </c>
      <c r="G85" t="s">
        <v>145</v>
      </c>
      <c r="H85" t="s">
        <v>43</v>
      </c>
      <c r="I85">
        <f>ROUND(ROUND(7,4),9)</f>
        <v>7</v>
      </c>
      <c r="J85">
        <v>0</v>
      </c>
      <c r="K85">
        <f>ROUND(ROUND(7,4),9)</f>
        <v>7</v>
      </c>
      <c r="O85">
        <f t="shared" si="54"/>
        <v>39534.68</v>
      </c>
      <c r="P85">
        <f>ROUND((ROUND((AC85*AW85*I85),2)*BC85),2)</f>
        <v>1270.82</v>
      </c>
      <c r="Q85">
        <f>(ROUND((ROUND((((ET85*1.1))*AV85*I85),2)*BB85),2)+ROUND((ROUND(((AE85-((EU85*1.1)))*AV85*I85),2)*BS85),2))</f>
        <v>3578.37</v>
      </c>
      <c r="R85">
        <f t="shared" si="55"/>
        <v>1401.15</v>
      </c>
      <c r="S85">
        <f t="shared" si="56"/>
        <v>34685.49</v>
      </c>
      <c r="T85">
        <f t="shared" si="57"/>
        <v>0</v>
      </c>
      <c r="U85">
        <f t="shared" si="58"/>
        <v>49.983780000000003</v>
      </c>
      <c r="V85">
        <f t="shared" si="59"/>
        <v>0</v>
      </c>
      <c r="W85">
        <f t="shared" si="60"/>
        <v>0</v>
      </c>
      <c r="X85">
        <f t="shared" si="61"/>
        <v>32477.98</v>
      </c>
      <c r="Y85">
        <f t="shared" si="62"/>
        <v>16599.849999999999</v>
      </c>
      <c r="AA85">
        <v>59213213</v>
      </c>
      <c r="AB85">
        <f t="shared" si="63"/>
        <v>129.995</v>
      </c>
      <c r="AC85">
        <f>ROUND(((ES85*1)),6)</f>
        <v>12.35</v>
      </c>
      <c r="AD85">
        <f>ROUND(((((ET85*1.1))-((EU85*1.1)))+AE85),6)</f>
        <v>31.581</v>
      </c>
      <c r="AE85">
        <f>ROUND(((EU85*1.1)),6)</f>
        <v>3.476</v>
      </c>
      <c r="AF85">
        <f>ROUND(((EV85*1.1)),6)</f>
        <v>86.063999999999993</v>
      </c>
      <c r="AG85">
        <f t="shared" si="64"/>
        <v>0</v>
      </c>
      <c r="AH85">
        <f>((EW85*1.1))</f>
        <v>6.8200000000000012</v>
      </c>
      <c r="AI85">
        <f>((EX85*1.1))</f>
        <v>0</v>
      </c>
      <c r="AJ85">
        <f t="shared" si="65"/>
        <v>0</v>
      </c>
      <c r="AK85">
        <v>119.3</v>
      </c>
      <c r="AL85">
        <v>12.35</v>
      </c>
      <c r="AM85">
        <v>28.71</v>
      </c>
      <c r="AN85">
        <v>3.16</v>
      </c>
      <c r="AO85">
        <v>78.239999999999995</v>
      </c>
      <c r="AP85">
        <v>0</v>
      </c>
      <c r="AQ85">
        <v>6.2</v>
      </c>
      <c r="AR85">
        <v>0</v>
      </c>
      <c r="AS85">
        <v>0</v>
      </c>
      <c r="AT85">
        <v>90</v>
      </c>
      <c r="AU85">
        <v>46</v>
      </c>
      <c r="AV85">
        <v>1.0469999999999999</v>
      </c>
      <c r="AW85">
        <v>1</v>
      </c>
      <c r="AZ85">
        <v>1</v>
      </c>
      <c r="BA85">
        <v>54.99</v>
      </c>
      <c r="BB85">
        <v>15.46</v>
      </c>
      <c r="BC85">
        <v>14.7</v>
      </c>
      <c r="BD85" t="s">
        <v>3</v>
      </c>
      <c r="BE85" t="s">
        <v>3</v>
      </c>
      <c r="BF85" t="s">
        <v>3</v>
      </c>
      <c r="BG85" t="s">
        <v>3</v>
      </c>
      <c r="BH85">
        <v>0</v>
      </c>
      <c r="BI85">
        <v>2</v>
      </c>
      <c r="BJ85" t="s">
        <v>146</v>
      </c>
      <c r="BM85">
        <v>68</v>
      </c>
      <c r="BN85">
        <v>58808062</v>
      </c>
      <c r="BO85" t="s">
        <v>144</v>
      </c>
      <c r="BP85">
        <v>1</v>
      </c>
      <c r="BQ85">
        <v>40</v>
      </c>
      <c r="BR85">
        <v>0</v>
      </c>
      <c r="BS85">
        <v>54.99</v>
      </c>
      <c r="BT85">
        <v>1</v>
      </c>
      <c r="BU85">
        <v>1</v>
      </c>
      <c r="BV85">
        <v>1</v>
      </c>
      <c r="BW85">
        <v>1</v>
      </c>
      <c r="BX85">
        <v>1</v>
      </c>
      <c r="BY85" t="s">
        <v>3</v>
      </c>
      <c r="BZ85">
        <v>90</v>
      </c>
      <c r="CA85">
        <v>46</v>
      </c>
      <c r="CB85" t="s">
        <v>3</v>
      </c>
      <c r="CE85">
        <v>30</v>
      </c>
      <c r="CF85">
        <v>0</v>
      </c>
      <c r="CG85">
        <v>0</v>
      </c>
      <c r="CM85">
        <v>0</v>
      </c>
      <c r="CN85" t="s">
        <v>492</v>
      </c>
      <c r="CO85">
        <v>0</v>
      </c>
      <c r="CP85">
        <f t="shared" si="66"/>
        <v>39534.68</v>
      </c>
      <c r="CQ85">
        <f>ROUND((ROUND((AC85*AW85*1),2)*BC85),2)</f>
        <v>181.55</v>
      </c>
      <c r="CR85">
        <f>(ROUND((ROUND((((ET85*1.1))*AV85*1),2)*BB85),2)+ROUND((ROUND(((AE85-((EU85*1.1)))*AV85*1),2)*BS85),2))</f>
        <v>511.26</v>
      </c>
      <c r="CS85">
        <f t="shared" si="67"/>
        <v>200.16</v>
      </c>
      <c r="CT85">
        <f t="shared" si="68"/>
        <v>4955.1499999999996</v>
      </c>
      <c r="CU85">
        <f t="shared" si="69"/>
        <v>0</v>
      </c>
      <c r="CV85">
        <f t="shared" si="70"/>
        <v>7.1405400000000006</v>
      </c>
      <c r="CW85">
        <f t="shared" si="71"/>
        <v>0</v>
      </c>
      <c r="CX85">
        <f t="shared" si="72"/>
        <v>0</v>
      </c>
      <c r="CY85">
        <f t="shared" si="73"/>
        <v>32477.976000000002</v>
      </c>
      <c r="CZ85">
        <f t="shared" si="74"/>
        <v>16599.8544</v>
      </c>
      <c r="DB85">
        <v>28</v>
      </c>
      <c r="DC85" t="s">
        <v>3</v>
      </c>
      <c r="DD85" t="s">
        <v>25</v>
      </c>
      <c r="DE85" t="s">
        <v>26</v>
      </c>
      <c r="DF85" t="s">
        <v>26</v>
      </c>
      <c r="DG85" t="s">
        <v>26</v>
      </c>
      <c r="DH85" t="s">
        <v>3</v>
      </c>
      <c r="DI85" t="s">
        <v>26</v>
      </c>
      <c r="DJ85" t="s">
        <v>26</v>
      </c>
      <c r="DK85" t="s">
        <v>3</v>
      </c>
      <c r="DL85" t="s">
        <v>3</v>
      </c>
      <c r="DM85" t="s">
        <v>3</v>
      </c>
      <c r="DN85">
        <v>0</v>
      </c>
      <c r="DO85">
        <v>0</v>
      </c>
      <c r="DP85">
        <v>1</v>
      </c>
      <c r="DQ85">
        <v>1</v>
      </c>
      <c r="DU85">
        <v>1013</v>
      </c>
      <c r="DV85" t="s">
        <v>43</v>
      </c>
      <c r="DW85" t="s">
        <v>43</v>
      </c>
      <c r="DX85">
        <v>1</v>
      </c>
      <c r="DZ85" t="s">
        <v>3</v>
      </c>
      <c r="EA85" t="s">
        <v>3</v>
      </c>
      <c r="EB85" t="s">
        <v>3</v>
      </c>
      <c r="EC85" t="s">
        <v>3</v>
      </c>
      <c r="EE85">
        <v>58808178</v>
      </c>
      <c r="EF85">
        <v>40</v>
      </c>
      <c r="EG85" t="s">
        <v>27</v>
      </c>
      <c r="EH85">
        <v>0</v>
      </c>
      <c r="EI85" t="s">
        <v>3</v>
      </c>
      <c r="EJ85">
        <v>2</v>
      </c>
      <c r="EK85">
        <v>68</v>
      </c>
      <c r="EL85" t="s">
        <v>28</v>
      </c>
      <c r="EM85" t="s">
        <v>29</v>
      </c>
      <c r="EO85" t="s">
        <v>30</v>
      </c>
      <c r="EQ85">
        <v>0</v>
      </c>
      <c r="ER85">
        <v>119.3</v>
      </c>
      <c r="ES85">
        <v>12.35</v>
      </c>
      <c r="ET85">
        <v>28.71</v>
      </c>
      <c r="EU85">
        <v>3.16</v>
      </c>
      <c r="EV85">
        <v>78.239999999999995</v>
      </c>
      <c r="EW85">
        <v>6.2</v>
      </c>
      <c r="EX85">
        <v>0</v>
      </c>
      <c r="EY85">
        <v>0</v>
      </c>
      <c r="FQ85">
        <v>0</v>
      </c>
      <c r="FR85">
        <v>0</v>
      </c>
      <c r="FS85">
        <v>0</v>
      </c>
      <c r="FX85">
        <v>90</v>
      </c>
      <c r="FY85">
        <v>46</v>
      </c>
      <c r="GA85" t="s">
        <v>3</v>
      </c>
      <c r="GD85">
        <v>1</v>
      </c>
      <c r="GF85">
        <v>-210614787</v>
      </c>
      <c r="GG85">
        <v>2</v>
      </c>
      <c r="GH85">
        <v>1</v>
      </c>
      <c r="GI85">
        <v>2</v>
      </c>
      <c r="GJ85">
        <v>0</v>
      </c>
      <c r="GK85">
        <v>0</v>
      </c>
      <c r="GL85">
        <f t="shared" si="75"/>
        <v>0</v>
      </c>
      <c r="GM85">
        <f t="shared" si="76"/>
        <v>88612.51</v>
      </c>
      <c r="GN85">
        <f t="shared" si="77"/>
        <v>0</v>
      </c>
      <c r="GO85">
        <f t="shared" si="78"/>
        <v>88612.51</v>
      </c>
      <c r="GP85">
        <f t="shared" si="79"/>
        <v>0</v>
      </c>
      <c r="GR85">
        <v>0</v>
      </c>
      <c r="GS85">
        <v>3</v>
      </c>
      <c r="GT85">
        <v>0</v>
      </c>
      <c r="GU85" t="s">
        <v>3</v>
      </c>
      <c r="GV85">
        <f t="shared" si="80"/>
        <v>0</v>
      </c>
      <c r="GW85">
        <v>1</v>
      </c>
      <c r="GX85">
        <f t="shared" si="81"/>
        <v>0</v>
      </c>
      <c r="HA85">
        <v>0</v>
      </c>
      <c r="HB85">
        <v>0</v>
      </c>
      <c r="HC85">
        <f t="shared" si="82"/>
        <v>0</v>
      </c>
      <c r="HE85" t="s">
        <v>3</v>
      </c>
      <c r="HF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3</v>
      </c>
      <c r="HS85">
        <v>0</v>
      </c>
      <c r="IK85">
        <v>0</v>
      </c>
    </row>
    <row r="86" spans="1:255" x14ac:dyDescent="0.2">
      <c r="A86" s="2">
        <v>17</v>
      </c>
      <c r="B86" s="2">
        <v>1</v>
      </c>
      <c r="C86" s="2"/>
      <c r="D86" s="2"/>
      <c r="E86" s="2" t="s">
        <v>147</v>
      </c>
      <c r="F86" s="2" t="s">
        <v>148</v>
      </c>
      <c r="G86" s="2" t="s">
        <v>149</v>
      </c>
      <c r="H86" s="2" t="s">
        <v>34</v>
      </c>
      <c r="I86" s="2">
        <f>ROUND(ROUND(7,4),9)</f>
        <v>7</v>
      </c>
      <c r="J86" s="2">
        <v>0</v>
      </c>
      <c r="K86" s="2">
        <f>ROUND(ROUND(7,4),9)</f>
        <v>7</v>
      </c>
      <c r="L86" s="2"/>
      <c r="M86" s="2"/>
      <c r="N86" s="2"/>
      <c r="O86" s="2">
        <f t="shared" si="54"/>
        <v>17735.62</v>
      </c>
      <c r="P86" s="2">
        <f>ROUND((ROUND((AC86*I86),2)*BC86),2)</f>
        <v>17735.62</v>
      </c>
      <c r="Q86" s="2">
        <f>(ROUND((ROUND(((ET86)*AV86*I86),2)*BB86),2)+ROUND((ROUND(((AE86-(EU86))*AV86*I86),2)*BS86),2))</f>
        <v>0</v>
      </c>
      <c r="R86" s="2">
        <f t="shared" si="55"/>
        <v>0</v>
      </c>
      <c r="S86" s="2">
        <f t="shared" si="56"/>
        <v>0</v>
      </c>
      <c r="T86" s="2">
        <f t="shared" si="57"/>
        <v>0</v>
      </c>
      <c r="U86" s="2">
        <f t="shared" si="58"/>
        <v>0</v>
      </c>
      <c r="V86" s="2">
        <f t="shared" si="59"/>
        <v>0</v>
      </c>
      <c r="W86" s="2">
        <f t="shared" si="60"/>
        <v>0</v>
      </c>
      <c r="X86" s="2">
        <f t="shared" si="61"/>
        <v>0</v>
      </c>
      <c r="Y86" s="2">
        <f t="shared" si="62"/>
        <v>0</v>
      </c>
      <c r="Z86" s="2"/>
      <c r="AA86" s="2">
        <v>59213216</v>
      </c>
      <c r="AB86" s="2">
        <f t="shared" si="63"/>
        <v>2533.66</v>
      </c>
      <c r="AC86" s="2">
        <f>ROUND((ES86),6)</f>
        <v>2533.66</v>
      </c>
      <c r="AD86" s="2">
        <f>ROUND((((ET86)-(EU86))+AE86),6)</f>
        <v>0</v>
      </c>
      <c r="AE86" s="2">
        <f t="shared" ref="AE86:AF89" si="89">ROUND((EU86),6)</f>
        <v>0</v>
      </c>
      <c r="AF86" s="2">
        <f t="shared" si="89"/>
        <v>0</v>
      </c>
      <c r="AG86" s="2">
        <f t="shared" si="64"/>
        <v>0</v>
      </c>
      <c r="AH86" s="2">
        <f t="shared" ref="AH86:AI89" si="90">(EW86)</f>
        <v>0</v>
      </c>
      <c r="AI86" s="2">
        <f t="shared" si="90"/>
        <v>0</v>
      </c>
      <c r="AJ86" s="2">
        <f t="shared" si="65"/>
        <v>0</v>
      </c>
      <c r="AK86" s="2">
        <v>2533.66</v>
      </c>
      <c r="AL86" s="2">
        <v>2533.66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3</v>
      </c>
      <c r="BJ86" s="2" t="s">
        <v>3</v>
      </c>
      <c r="BK86" s="2"/>
      <c r="BL86" s="2"/>
      <c r="BM86" s="2">
        <v>746</v>
      </c>
      <c r="BN86" s="2">
        <v>0</v>
      </c>
      <c r="BO86" s="2" t="s">
        <v>3</v>
      </c>
      <c r="BP86" s="2">
        <v>0</v>
      </c>
      <c r="BQ86" s="2">
        <v>130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0</v>
      </c>
      <c r="CA86" s="2">
        <v>0</v>
      </c>
      <c r="CB86" s="2" t="s">
        <v>3</v>
      </c>
      <c r="CC86" s="2"/>
      <c r="CD86" s="2"/>
      <c r="CE86" s="2">
        <v>30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66"/>
        <v>17735.62</v>
      </c>
      <c r="CQ86" s="2">
        <f>ROUND((ROUND((AC86*1),2)*BC86),2)</f>
        <v>2533.66</v>
      </c>
      <c r="CR86" s="2">
        <f>(ROUND((ROUND(((ET86)*AV86*1),2)*BB86),2)+ROUND((ROUND(((AE86-(EU86))*AV86*1),2)*BS86),2))</f>
        <v>0</v>
      </c>
      <c r="CS86" s="2">
        <f t="shared" si="67"/>
        <v>0</v>
      </c>
      <c r="CT86" s="2">
        <f t="shared" si="68"/>
        <v>0</v>
      </c>
      <c r="CU86" s="2">
        <f t="shared" si="69"/>
        <v>0</v>
      </c>
      <c r="CV86" s="2">
        <f t="shared" si="70"/>
        <v>0</v>
      </c>
      <c r="CW86" s="2">
        <f t="shared" si="71"/>
        <v>0</v>
      </c>
      <c r="CX86" s="2">
        <f t="shared" si="72"/>
        <v>0</v>
      </c>
      <c r="CY86" s="2">
        <f t="shared" si="73"/>
        <v>0</v>
      </c>
      <c r="CZ86" s="2">
        <f t="shared" si="74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34</v>
      </c>
      <c r="DW86" s="2" t="s">
        <v>34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58808284</v>
      </c>
      <c r="EF86" s="2">
        <v>130</v>
      </c>
      <c r="EG86" s="2" t="s">
        <v>35</v>
      </c>
      <c r="EH86" s="2">
        <v>0</v>
      </c>
      <c r="EI86" s="2" t="s">
        <v>3</v>
      </c>
      <c r="EJ86" s="2">
        <v>3</v>
      </c>
      <c r="EK86" s="2">
        <v>746</v>
      </c>
      <c r="EL86" s="2" t="s">
        <v>36</v>
      </c>
      <c r="EM86" s="2" t="s">
        <v>37</v>
      </c>
      <c r="EN86" s="2"/>
      <c r="EO86" s="2" t="s">
        <v>3</v>
      </c>
      <c r="EP86" s="2"/>
      <c r="EQ86" s="2">
        <v>0</v>
      </c>
      <c r="ER86" s="2">
        <v>0</v>
      </c>
      <c r="ES86" s="2">
        <v>2533.66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f>P86</f>
        <v>17735.62</v>
      </c>
      <c r="FS86" s="2">
        <v>0</v>
      </c>
      <c r="FT86" s="2"/>
      <c r="FU86" s="2"/>
      <c r="FV86" s="2"/>
      <c r="FW86" s="2"/>
      <c r="FX86" s="2">
        <v>0</v>
      </c>
      <c r="FY86" s="2">
        <v>0</v>
      </c>
      <c r="FZ86" s="2"/>
      <c r="GA86" s="2" t="s">
        <v>150</v>
      </c>
      <c r="GB86" s="2"/>
      <c r="GC86" s="2"/>
      <c r="GD86" s="2">
        <v>1</v>
      </c>
      <c r="GE86" s="2"/>
      <c r="GF86" s="2">
        <v>1205439943</v>
      </c>
      <c r="GG86" s="2">
        <v>2</v>
      </c>
      <c r="GH86" s="2">
        <v>4</v>
      </c>
      <c r="GI86" s="2">
        <v>0</v>
      </c>
      <c r="GJ86" s="2">
        <v>0</v>
      </c>
      <c r="GK86" s="2">
        <v>0</v>
      </c>
      <c r="GL86" s="2">
        <f t="shared" si="75"/>
        <v>0</v>
      </c>
      <c r="GM86" s="2">
        <f t="shared" si="76"/>
        <v>17735.62</v>
      </c>
      <c r="GN86" s="2">
        <f t="shared" si="77"/>
        <v>0</v>
      </c>
      <c r="GO86" s="2">
        <f t="shared" si="78"/>
        <v>0</v>
      </c>
      <c r="GP86" s="2">
        <f t="shared" si="79"/>
        <v>0</v>
      </c>
      <c r="GQ86" s="2"/>
      <c r="GR86" s="2">
        <v>2</v>
      </c>
      <c r="GS86" s="2">
        <v>2</v>
      </c>
      <c r="GT86" s="2">
        <v>0</v>
      </c>
      <c r="GU86" s="2" t="s">
        <v>3</v>
      </c>
      <c r="GV86" s="2">
        <f t="shared" si="80"/>
        <v>0</v>
      </c>
      <c r="GW86" s="2">
        <v>1</v>
      </c>
      <c r="GX86" s="2">
        <f t="shared" si="81"/>
        <v>0</v>
      </c>
      <c r="GY86" s="2"/>
      <c r="GZ86" s="2"/>
      <c r="HA86" s="2">
        <v>0</v>
      </c>
      <c r="HB86" s="2">
        <v>0</v>
      </c>
      <c r="HC86" s="2">
        <f t="shared" si="82"/>
        <v>0</v>
      </c>
      <c r="HD86" s="2"/>
      <c r="HE86" s="2" t="s">
        <v>39</v>
      </c>
      <c r="HF86" s="2" t="s">
        <v>40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>
        <v>17</v>
      </c>
      <c r="B87">
        <v>1</v>
      </c>
      <c r="E87" t="s">
        <v>147</v>
      </c>
      <c r="F87" t="s">
        <v>148</v>
      </c>
      <c r="G87" t="s">
        <v>149</v>
      </c>
      <c r="H87" t="s">
        <v>34</v>
      </c>
      <c r="I87">
        <f>ROUND(ROUND(7,4),9)</f>
        <v>7</v>
      </c>
      <c r="J87">
        <v>0</v>
      </c>
      <c r="K87">
        <f>ROUND(ROUND(7,4),9)</f>
        <v>7</v>
      </c>
      <c r="O87">
        <f t="shared" si="54"/>
        <v>135854.85</v>
      </c>
      <c r="P87">
        <f>ROUND((ROUND((AC87*I87),2)*BC87),2)</f>
        <v>135854.85</v>
      </c>
      <c r="Q87">
        <f>(ROUND((ROUND(((ET87)*AV87*I87),2)*BB87),2)+ROUND((ROUND(((AE87-(EU87))*AV87*I87),2)*BS87),2))</f>
        <v>0</v>
      </c>
      <c r="R87">
        <f t="shared" si="55"/>
        <v>0</v>
      </c>
      <c r="S87">
        <f t="shared" si="56"/>
        <v>0</v>
      </c>
      <c r="T87">
        <f t="shared" si="57"/>
        <v>0</v>
      </c>
      <c r="U87">
        <f t="shared" si="58"/>
        <v>0</v>
      </c>
      <c r="V87">
        <f t="shared" si="59"/>
        <v>0</v>
      </c>
      <c r="W87">
        <f t="shared" si="60"/>
        <v>0</v>
      </c>
      <c r="X87">
        <f t="shared" si="61"/>
        <v>0</v>
      </c>
      <c r="Y87">
        <f t="shared" si="62"/>
        <v>0</v>
      </c>
      <c r="AA87">
        <v>59213213</v>
      </c>
      <c r="AB87">
        <f t="shared" si="63"/>
        <v>2533.66</v>
      </c>
      <c r="AC87">
        <f>ROUND((ES87),6)</f>
        <v>2533.66</v>
      </c>
      <c r="AD87">
        <f>ROUND((((ET87)-(EU87))+AE87),6)</f>
        <v>0</v>
      </c>
      <c r="AE87">
        <f t="shared" si="89"/>
        <v>0</v>
      </c>
      <c r="AF87">
        <f t="shared" si="89"/>
        <v>0</v>
      </c>
      <c r="AG87">
        <f t="shared" si="64"/>
        <v>0</v>
      </c>
      <c r="AH87">
        <f t="shared" si="90"/>
        <v>0</v>
      </c>
      <c r="AI87">
        <f t="shared" si="90"/>
        <v>0</v>
      </c>
      <c r="AJ87">
        <f t="shared" si="65"/>
        <v>0</v>
      </c>
      <c r="AK87">
        <v>2533.66</v>
      </c>
      <c r="AL87">
        <v>2533.66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Z87">
        <v>1</v>
      </c>
      <c r="BA87">
        <v>1</v>
      </c>
      <c r="BB87">
        <v>1</v>
      </c>
      <c r="BC87">
        <v>7.66</v>
      </c>
      <c r="BD87" t="s">
        <v>3</v>
      </c>
      <c r="BE87" t="s">
        <v>3</v>
      </c>
      <c r="BF87" t="s">
        <v>3</v>
      </c>
      <c r="BG87" t="s">
        <v>3</v>
      </c>
      <c r="BH87">
        <v>3</v>
      </c>
      <c r="BI87">
        <v>3</v>
      </c>
      <c r="BJ87" t="s">
        <v>3</v>
      </c>
      <c r="BM87">
        <v>746</v>
      </c>
      <c r="BN87">
        <v>0</v>
      </c>
      <c r="BO87" t="s">
        <v>3</v>
      </c>
      <c r="BP87">
        <v>0</v>
      </c>
      <c r="BQ87">
        <v>130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 t="s">
        <v>3</v>
      </c>
      <c r="BZ87">
        <v>0</v>
      </c>
      <c r="CA87">
        <v>0</v>
      </c>
      <c r="CB87" t="s">
        <v>3</v>
      </c>
      <c r="CE87">
        <v>30</v>
      </c>
      <c r="CF87">
        <v>0</v>
      </c>
      <c r="CG87">
        <v>0</v>
      </c>
      <c r="CM87">
        <v>0</v>
      </c>
      <c r="CN87" t="s">
        <v>3</v>
      </c>
      <c r="CO87">
        <v>0</v>
      </c>
      <c r="CP87">
        <f t="shared" si="66"/>
        <v>135854.85</v>
      </c>
      <c r="CQ87">
        <f>ROUND((ROUND((AC87*1),2)*BC87),2)</f>
        <v>19407.84</v>
      </c>
      <c r="CR87">
        <f>(ROUND((ROUND(((ET87)*AV87*1),2)*BB87),2)+ROUND((ROUND(((AE87-(EU87))*AV87*1),2)*BS87),2))</f>
        <v>0</v>
      </c>
      <c r="CS87">
        <f t="shared" si="67"/>
        <v>0</v>
      </c>
      <c r="CT87">
        <f t="shared" si="68"/>
        <v>0</v>
      </c>
      <c r="CU87">
        <f t="shared" si="69"/>
        <v>0</v>
      </c>
      <c r="CV87">
        <f t="shared" si="70"/>
        <v>0</v>
      </c>
      <c r="CW87">
        <f t="shared" si="71"/>
        <v>0</v>
      </c>
      <c r="CX87">
        <f t="shared" si="72"/>
        <v>0</v>
      </c>
      <c r="CY87">
        <f t="shared" si="73"/>
        <v>0</v>
      </c>
      <c r="CZ87">
        <f t="shared" si="74"/>
        <v>0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>
        <v>0</v>
      </c>
      <c r="DO87">
        <v>0</v>
      </c>
      <c r="DP87">
        <v>1</v>
      </c>
      <c r="DQ87">
        <v>1</v>
      </c>
      <c r="DU87">
        <v>1010</v>
      </c>
      <c r="DV87" t="s">
        <v>34</v>
      </c>
      <c r="DW87" t="s">
        <v>34</v>
      </c>
      <c r="DX87">
        <v>1</v>
      </c>
      <c r="DZ87" t="s">
        <v>3</v>
      </c>
      <c r="EA87" t="s">
        <v>3</v>
      </c>
      <c r="EB87" t="s">
        <v>3</v>
      </c>
      <c r="EC87" t="s">
        <v>3</v>
      </c>
      <c r="EE87">
        <v>58808284</v>
      </c>
      <c r="EF87">
        <v>130</v>
      </c>
      <c r="EG87" t="s">
        <v>35</v>
      </c>
      <c r="EH87">
        <v>0</v>
      </c>
      <c r="EI87" t="s">
        <v>3</v>
      </c>
      <c r="EJ87">
        <v>3</v>
      </c>
      <c r="EK87">
        <v>746</v>
      </c>
      <c r="EL87" t="s">
        <v>36</v>
      </c>
      <c r="EM87" t="s">
        <v>37</v>
      </c>
      <c r="EO87" t="s">
        <v>3</v>
      </c>
      <c r="EQ87">
        <v>0</v>
      </c>
      <c r="ER87">
        <v>0</v>
      </c>
      <c r="ES87">
        <v>2533.66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5</v>
      </c>
      <c r="FC87">
        <v>1</v>
      </c>
      <c r="FD87">
        <v>18</v>
      </c>
      <c r="FF87">
        <v>22343</v>
      </c>
      <c r="FQ87">
        <v>0</v>
      </c>
      <c r="FR87">
        <f>P87</f>
        <v>135854.85</v>
      </c>
      <c r="FS87">
        <v>0</v>
      </c>
      <c r="FX87">
        <v>0</v>
      </c>
      <c r="FY87">
        <v>0</v>
      </c>
      <c r="GA87" t="s">
        <v>150</v>
      </c>
      <c r="GD87">
        <v>1</v>
      </c>
      <c r="GF87">
        <v>1205439943</v>
      </c>
      <c r="GG87">
        <v>2</v>
      </c>
      <c r="GH87">
        <v>2</v>
      </c>
      <c r="GI87">
        <v>5</v>
      </c>
      <c r="GJ87">
        <v>0</v>
      </c>
      <c r="GK87">
        <v>0</v>
      </c>
      <c r="GL87">
        <f t="shared" si="75"/>
        <v>0</v>
      </c>
      <c r="GM87">
        <f t="shared" si="76"/>
        <v>135854.85</v>
      </c>
      <c r="GN87">
        <f t="shared" si="77"/>
        <v>0</v>
      </c>
      <c r="GO87">
        <f t="shared" si="78"/>
        <v>0</v>
      </c>
      <c r="GP87">
        <f t="shared" si="79"/>
        <v>0</v>
      </c>
      <c r="GR87">
        <v>2</v>
      </c>
      <c r="GS87">
        <v>1</v>
      </c>
      <c r="GT87">
        <v>0</v>
      </c>
      <c r="GU87" t="s">
        <v>3</v>
      </c>
      <c r="GV87">
        <f t="shared" si="80"/>
        <v>0</v>
      </c>
      <c r="GW87">
        <v>1</v>
      </c>
      <c r="GX87">
        <f t="shared" si="81"/>
        <v>0</v>
      </c>
      <c r="HA87">
        <v>0</v>
      </c>
      <c r="HB87">
        <v>0</v>
      </c>
      <c r="HC87">
        <f t="shared" si="82"/>
        <v>0</v>
      </c>
      <c r="HE87" t="s">
        <v>39</v>
      </c>
      <c r="HF87" t="s">
        <v>40</v>
      </c>
      <c r="HM87" t="s">
        <v>3</v>
      </c>
      <c r="HN87" t="s">
        <v>3</v>
      </c>
      <c r="HO87" t="s">
        <v>3</v>
      </c>
      <c r="HP87" t="s">
        <v>3</v>
      </c>
      <c r="HQ87" t="s">
        <v>3</v>
      </c>
      <c r="HS87">
        <v>0</v>
      </c>
      <c r="IK87">
        <v>0</v>
      </c>
    </row>
    <row r="88" spans="1:255" x14ac:dyDescent="0.2">
      <c r="A88" s="2">
        <v>17</v>
      </c>
      <c r="B88" s="2">
        <v>1</v>
      </c>
      <c r="C88" s="2"/>
      <c r="D88" s="2"/>
      <c r="E88" s="2" t="s">
        <v>151</v>
      </c>
      <c r="F88" s="2" t="s">
        <v>152</v>
      </c>
      <c r="G88" s="2" t="s">
        <v>153</v>
      </c>
      <c r="H88" s="2" t="s">
        <v>34</v>
      </c>
      <c r="I88" s="2">
        <f>ROUND(ROUND(50,4),9)</f>
        <v>50</v>
      </c>
      <c r="J88" s="2">
        <v>0</v>
      </c>
      <c r="K88" s="2">
        <f>ROUND(ROUND(50,4),9)</f>
        <v>50</v>
      </c>
      <c r="L88" s="2"/>
      <c r="M88" s="2"/>
      <c r="N88" s="2"/>
      <c r="O88" s="2">
        <f t="shared" si="54"/>
        <v>86</v>
      </c>
      <c r="P88" s="2">
        <f>ROUND((ROUND((AC88*AW88*I88),2)*BC88),2)</f>
        <v>86</v>
      </c>
      <c r="Q88" s="2">
        <f>(ROUND((ROUND(((ET88)*AV88*I88),2)*BB88),2)+ROUND((ROUND(((AE88-(EU88))*AV88*I88),2)*BS88),2))</f>
        <v>0</v>
      </c>
      <c r="R88" s="2">
        <f t="shared" si="55"/>
        <v>0</v>
      </c>
      <c r="S88" s="2">
        <f t="shared" si="56"/>
        <v>0</v>
      </c>
      <c r="T88" s="2">
        <f t="shared" si="57"/>
        <v>0</v>
      </c>
      <c r="U88" s="2">
        <f t="shared" si="58"/>
        <v>0</v>
      </c>
      <c r="V88" s="2">
        <f t="shared" si="59"/>
        <v>0</v>
      </c>
      <c r="W88" s="2">
        <f t="shared" si="60"/>
        <v>0</v>
      </c>
      <c r="X88" s="2">
        <f t="shared" si="61"/>
        <v>0</v>
      </c>
      <c r="Y88" s="2">
        <f t="shared" si="62"/>
        <v>0</v>
      </c>
      <c r="Z88" s="2"/>
      <c r="AA88" s="2">
        <v>59213216</v>
      </c>
      <c r="AB88" s="2">
        <f t="shared" si="63"/>
        <v>1.72</v>
      </c>
      <c r="AC88" s="2">
        <f>ROUND((ES88),6)</f>
        <v>1.72</v>
      </c>
      <c r="AD88" s="2">
        <f>ROUND((((ET88)-(EU88))+AE88),6)</f>
        <v>0</v>
      </c>
      <c r="AE88" s="2">
        <f t="shared" si="89"/>
        <v>0</v>
      </c>
      <c r="AF88" s="2">
        <f t="shared" si="89"/>
        <v>0</v>
      </c>
      <c r="AG88" s="2">
        <f t="shared" si="64"/>
        <v>0</v>
      </c>
      <c r="AH88" s="2">
        <f t="shared" si="90"/>
        <v>0</v>
      </c>
      <c r="AI88" s="2">
        <f t="shared" si="90"/>
        <v>0</v>
      </c>
      <c r="AJ88" s="2">
        <f t="shared" si="65"/>
        <v>0</v>
      </c>
      <c r="AK88" s="2">
        <v>1.72</v>
      </c>
      <c r="AL88" s="2">
        <v>1.72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1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3</v>
      </c>
      <c r="BI88" s="2">
        <v>1</v>
      </c>
      <c r="BJ88" s="2" t="s">
        <v>3</v>
      </c>
      <c r="BK88" s="2"/>
      <c r="BL88" s="2"/>
      <c r="BM88" s="2">
        <v>400002</v>
      </c>
      <c r="BN88" s="2">
        <v>0</v>
      </c>
      <c r="BO88" s="2" t="s">
        <v>3</v>
      </c>
      <c r="BP88" s="2">
        <v>0</v>
      </c>
      <c r="BQ88" s="2">
        <v>202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0</v>
      </c>
      <c r="CA88" s="2">
        <v>0</v>
      </c>
      <c r="CB88" s="2" t="s">
        <v>3</v>
      </c>
      <c r="CC88" s="2"/>
      <c r="CD88" s="2"/>
      <c r="CE88" s="2">
        <v>30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3</v>
      </c>
      <c r="CO88" s="2">
        <v>0</v>
      </c>
      <c r="CP88" s="2">
        <f t="shared" si="66"/>
        <v>86</v>
      </c>
      <c r="CQ88" s="2">
        <f>ROUND((ROUND((AC88*AW88*1),2)*BC88),2)</f>
        <v>1.72</v>
      </c>
      <c r="CR88" s="2">
        <f>(ROUND((ROUND(((ET88)*AV88*1),2)*BB88),2)+ROUND((ROUND(((AE88-(EU88))*AV88*1),2)*BS88),2))</f>
        <v>0</v>
      </c>
      <c r="CS88" s="2">
        <f t="shared" si="67"/>
        <v>0</v>
      </c>
      <c r="CT88" s="2">
        <f t="shared" si="68"/>
        <v>0</v>
      </c>
      <c r="CU88" s="2">
        <f t="shared" si="69"/>
        <v>0</v>
      </c>
      <c r="CV88" s="2">
        <f t="shared" si="70"/>
        <v>0</v>
      </c>
      <c r="CW88" s="2">
        <f t="shared" si="71"/>
        <v>0</v>
      </c>
      <c r="CX88" s="2">
        <f t="shared" si="72"/>
        <v>0</v>
      </c>
      <c r="CY88" s="2">
        <f t="shared" si="73"/>
        <v>0</v>
      </c>
      <c r="CZ88" s="2">
        <f t="shared" si="74"/>
        <v>0</v>
      </c>
      <c r="DA88" s="2"/>
      <c r="DB88" s="2"/>
      <c r="DC88" s="2" t="s">
        <v>3</v>
      </c>
      <c r="DD88" s="2" t="s">
        <v>3</v>
      </c>
      <c r="DE88" s="2" t="s">
        <v>3</v>
      </c>
      <c r="DF88" s="2" t="s">
        <v>3</v>
      </c>
      <c r="DG88" s="2" t="s">
        <v>3</v>
      </c>
      <c r="DH88" s="2" t="s">
        <v>3</v>
      </c>
      <c r="DI88" s="2" t="s">
        <v>3</v>
      </c>
      <c r="DJ88" s="2" t="s">
        <v>3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34</v>
      </c>
      <c r="DW88" s="2" t="s">
        <v>34</v>
      </c>
      <c r="DX88" s="2">
        <v>1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58808290</v>
      </c>
      <c r="EF88" s="2">
        <v>202</v>
      </c>
      <c r="EG88" s="2" t="s">
        <v>154</v>
      </c>
      <c r="EH88" s="2">
        <v>0</v>
      </c>
      <c r="EI88" s="2" t="s">
        <v>3</v>
      </c>
      <c r="EJ88" s="2">
        <v>1</v>
      </c>
      <c r="EK88" s="2">
        <v>400002</v>
      </c>
      <c r="EL88" s="2" t="s">
        <v>155</v>
      </c>
      <c r="EM88" s="2" t="s">
        <v>154</v>
      </c>
      <c r="EN88" s="2"/>
      <c r="EO88" s="2" t="s">
        <v>3</v>
      </c>
      <c r="EP88" s="2"/>
      <c r="EQ88" s="2">
        <v>0</v>
      </c>
      <c r="ER88" s="2">
        <v>0</v>
      </c>
      <c r="ES88" s="2">
        <v>1.72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0</v>
      </c>
      <c r="FY88" s="2">
        <v>0</v>
      </c>
      <c r="FZ88" s="2"/>
      <c r="GA88" s="2" t="s">
        <v>156</v>
      </c>
      <c r="GB88" s="2"/>
      <c r="GC88" s="2"/>
      <c r="GD88" s="2">
        <v>1</v>
      </c>
      <c r="GE88" s="2"/>
      <c r="GF88" s="2">
        <v>-1595401749</v>
      </c>
      <c r="GG88" s="2">
        <v>2</v>
      </c>
      <c r="GH88" s="2">
        <v>4</v>
      </c>
      <c r="GI88" s="2">
        <v>-2</v>
      </c>
      <c r="GJ88" s="2">
        <v>0</v>
      </c>
      <c r="GK88" s="2">
        <v>0</v>
      </c>
      <c r="GL88" s="2">
        <f t="shared" si="75"/>
        <v>0</v>
      </c>
      <c r="GM88" s="2">
        <f t="shared" si="76"/>
        <v>86</v>
      </c>
      <c r="GN88" s="2">
        <f t="shared" si="77"/>
        <v>86</v>
      </c>
      <c r="GO88" s="2">
        <f t="shared" si="78"/>
        <v>0</v>
      </c>
      <c r="GP88" s="2">
        <f t="shared" si="79"/>
        <v>0</v>
      </c>
      <c r="GQ88" s="2"/>
      <c r="GR88" s="2">
        <v>2</v>
      </c>
      <c r="GS88" s="2">
        <v>2</v>
      </c>
      <c r="GT88" s="2">
        <v>0</v>
      </c>
      <c r="GU88" s="2" t="s">
        <v>3</v>
      </c>
      <c r="GV88" s="2">
        <f t="shared" si="80"/>
        <v>0</v>
      </c>
      <c r="GW88" s="2">
        <v>1</v>
      </c>
      <c r="GX88" s="2">
        <f t="shared" si="81"/>
        <v>0</v>
      </c>
      <c r="GY88" s="2"/>
      <c r="GZ88" s="2"/>
      <c r="HA88" s="2">
        <v>0</v>
      </c>
      <c r="HB88" s="2">
        <v>0</v>
      </c>
      <c r="HC88" s="2">
        <f t="shared" si="82"/>
        <v>0</v>
      </c>
      <c r="HD88" s="2"/>
      <c r="HE88" s="2" t="s">
        <v>93</v>
      </c>
      <c r="HF88" s="2" t="s">
        <v>31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>
        <v>17</v>
      </c>
      <c r="B89">
        <v>1</v>
      </c>
      <c r="E89" t="s">
        <v>151</v>
      </c>
      <c r="F89" t="s">
        <v>152</v>
      </c>
      <c r="G89" t="s">
        <v>153</v>
      </c>
      <c r="H89" t="s">
        <v>34</v>
      </c>
      <c r="I89">
        <f>ROUND(ROUND(50,4),9)</f>
        <v>50</v>
      </c>
      <c r="J89">
        <v>0</v>
      </c>
      <c r="K89">
        <f>ROUND(ROUND(50,4),9)</f>
        <v>50</v>
      </c>
      <c r="O89">
        <f t="shared" si="54"/>
        <v>849.68</v>
      </c>
      <c r="P89">
        <f>ROUND((ROUND((AC89*AW89*I89),2)*BC89),2)</f>
        <v>849.68</v>
      </c>
      <c r="Q89">
        <f>(ROUND((ROUND(((ET89)*AV89*I89),2)*BB89),2)+ROUND((ROUND(((AE89-(EU89))*AV89*I89),2)*BS89),2))</f>
        <v>0</v>
      </c>
      <c r="R89">
        <f t="shared" si="55"/>
        <v>0</v>
      </c>
      <c r="S89">
        <f t="shared" si="56"/>
        <v>0</v>
      </c>
      <c r="T89">
        <f t="shared" si="57"/>
        <v>0</v>
      </c>
      <c r="U89">
        <f t="shared" si="58"/>
        <v>0</v>
      </c>
      <c r="V89">
        <f t="shared" si="59"/>
        <v>0</v>
      </c>
      <c r="W89">
        <f t="shared" si="60"/>
        <v>0</v>
      </c>
      <c r="X89">
        <f t="shared" si="61"/>
        <v>0</v>
      </c>
      <c r="Y89">
        <f t="shared" si="62"/>
        <v>0</v>
      </c>
      <c r="AA89">
        <v>59213213</v>
      </c>
      <c r="AB89">
        <f t="shared" si="63"/>
        <v>1.72</v>
      </c>
      <c r="AC89">
        <f>ROUND((ES89),6)</f>
        <v>1.72</v>
      </c>
      <c r="AD89">
        <f>ROUND((((ET89)-(EU89))+AE89),6)</f>
        <v>0</v>
      </c>
      <c r="AE89">
        <f t="shared" si="89"/>
        <v>0</v>
      </c>
      <c r="AF89">
        <f t="shared" si="89"/>
        <v>0</v>
      </c>
      <c r="AG89">
        <f t="shared" si="64"/>
        <v>0</v>
      </c>
      <c r="AH89">
        <f t="shared" si="90"/>
        <v>0</v>
      </c>
      <c r="AI89">
        <f t="shared" si="90"/>
        <v>0</v>
      </c>
      <c r="AJ89">
        <f t="shared" si="65"/>
        <v>0</v>
      </c>
      <c r="AK89">
        <v>1.72</v>
      </c>
      <c r="AL89">
        <v>1.72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Z89">
        <v>1</v>
      </c>
      <c r="BA89">
        <v>1</v>
      </c>
      <c r="BB89">
        <v>1</v>
      </c>
      <c r="BC89">
        <v>9.8800000000000008</v>
      </c>
      <c r="BD89" t="s">
        <v>3</v>
      </c>
      <c r="BE89" t="s">
        <v>3</v>
      </c>
      <c r="BF89" t="s">
        <v>3</v>
      </c>
      <c r="BG89" t="s">
        <v>3</v>
      </c>
      <c r="BH89">
        <v>3</v>
      </c>
      <c r="BI89">
        <v>1</v>
      </c>
      <c r="BJ89" t="s">
        <v>3</v>
      </c>
      <c r="BM89">
        <v>400002</v>
      </c>
      <c r="BN89">
        <v>0</v>
      </c>
      <c r="BO89" t="s">
        <v>3</v>
      </c>
      <c r="BP89">
        <v>0</v>
      </c>
      <c r="BQ89">
        <v>202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 t="s">
        <v>3</v>
      </c>
      <c r="BZ89">
        <v>0</v>
      </c>
      <c r="CA89">
        <v>0</v>
      </c>
      <c r="CB89" t="s">
        <v>3</v>
      </c>
      <c r="CE89">
        <v>30</v>
      </c>
      <c r="CF89">
        <v>0</v>
      </c>
      <c r="CG89">
        <v>0</v>
      </c>
      <c r="CM89">
        <v>0</v>
      </c>
      <c r="CN89" t="s">
        <v>3</v>
      </c>
      <c r="CO89">
        <v>0</v>
      </c>
      <c r="CP89">
        <f t="shared" si="66"/>
        <v>849.68</v>
      </c>
      <c r="CQ89">
        <f>ROUND((ROUND((AC89*AW89*1),2)*BC89),2)</f>
        <v>16.989999999999998</v>
      </c>
      <c r="CR89">
        <f>(ROUND((ROUND(((ET89)*AV89*1),2)*BB89),2)+ROUND((ROUND(((AE89-(EU89))*AV89*1),2)*BS89),2))</f>
        <v>0</v>
      </c>
      <c r="CS89">
        <f t="shared" si="67"/>
        <v>0</v>
      </c>
      <c r="CT89">
        <f t="shared" si="68"/>
        <v>0</v>
      </c>
      <c r="CU89">
        <f t="shared" si="69"/>
        <v>0</v>
      </c>
      <c r="CV89">
        <f t="shared" si="70"/>
        <v>0</v>
      </c>
      <c r="CW89">
        <f t="shared" si="71"/>
        <v>0</v>
      </c>
      <c r="CX89">
        <f t="shared" si="72"/>
        <v>0</v>
      </c>
      <c r="CY89">
        <f t="shared" si="73"/>
        <v>0</v>
      </c>
      <c r="CZ89">
        <f t="shared" si="74"/>
        <v>0</v>
      </c>
      <c r="DC89" t="s">
        <v>3</v>
      </c>
      <c r="DD89" t="s">
        <v>3</v>
      </c>
      <c r="DE89" t="s">
        <v>3</v>
      </c>
      <c r="DF89" t="s">
        <v>3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>
        <v>0</v>
      </c>
      <c r="DO89">
        <v>0</v>
      </c>
      <c r="DP89">
        <v>1</v>
      </c>
      <c r="DQ89">
        <v>1</v>
      </c>
      <c r="DU89">
        <v>1010</v>
      </c>
      <c r="DV89" t="s">
        <v>34</v>
      </c>
      <c r="DW89" t="s">
        <v>34</v>
      </c>
      <c r="DX89">
        <v>1</v>
      </c>
      <c r="DZ89" t="s">
        <v>3</v>
      </c>
      <c r="EA89" t="s">
        <v>3</v>
      </c>
      <c r="EB89" t="s">
        <v>3</v>
      </c>
      <c r="EC89" t="s">
        <v>3</v>
      </c>
      <c r="EE89">
        <v>58808290</v>
      </c>
      <c r="EF89">
        <v>202</v>
      </c>
      <c r="EG89" t="s">
        <v>154</v>
      </c>
      <c r="EH89">
        <v>0</v>
      </c>
      <c r="EI89" t="s">
        <v>3</v>
      </c>
      <c r="EJ89">
        <v>1</v>
      </c>
      <c r="EK89">
        <v>400002</v>
      </c>
      <c r="EL89" t="s">
        <v>155</v>
      </c>
      <c r="EM89" t="s">
        <v>154</v>
      </c>
      <c r="EO89" t="s">
        <v>3</v>
      </c>
      <c r="EQ89">
        <v>0</v>
      </c>
      <c r="ER89">
        <v>0</v>
      </c>
      <c r="ES89">
        <v>1.72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5</v>
      </c>
      <c r="FC89">
        <v>1</v>
      </c>
      <c r="FD89">
        <v>18</v>
      </c>
      <c r="FF89">
        <v>20</v>
      </c>
      <c r="FQ89">
        <v>0</v>
      </c>
      <c r="FR89">
        <v>0</v>
      </c>
      <c r="FS89">
        <v>0</v>
      </c>
      <c r="FX89">
        <v>0</v>
      </c>
      <c r="FY89">
        <v>0</v>
      </c>
      <c r="GA89" t="s">
        <v>156</v>
      </c>
      <c r="GD89">
        <v>1</v>
      </c>
      <c r="GF89">
        <v>-1595401749</v>
      </c>
      <c r="GG89">
        <v>2</v>
      </c>
      <c r="GH89">
        <v>2</v>
      </c>
      <c r="GI89">
        <v>5</v>
      </c>
      <c r="GJ89">
        <v>0</v>
      </c>
      <c r="GK89">
        <v>0</v>
      </c>
      <c r="GL89">
        <f t="shared" si="75"/>
        <v>0</v>
      </c>
      <c r="GM89">
        <f t="shared" si="76"/>
        <v>849.68</v>
      </c>
      <c r="GN89">
        <f t="shared" si="77"/>
        <v>849.68</v>
      </c>
      <c r="GO89">
        <f t="shared" si="78"/>
        <v>0</v>
      </c>
      <c r="GP89">
        <f t="shared" si="79"/>
        <v>0</v>
      </c>
      <c r="GR89">
        <v>2</v>
      </c>
      <c r="GS89">
        <v>1</v>
      </c>
      <c r="GT89">
        <v>0</v>
      </c>
      <c r="GU89" t="s">
        <v>3</v>
      </c>
      <c r="GV89">
        <f t="shared" si="80"/>
        <v>0</v>
      </c>
      <c r="GW89">
        <v>1</v>
      </c>
      <c r="GX89">
        <f t="shared" si="81"/>
        <v>0</v>
      </c>
      <c r="HA89">
        <v>0</v>
      </c>
      <c r="HB89">
        <v>0</v>
      </c>
      <c r="HC89">
        <f t="shared" si="82"/>
        <v>0</v>
      </c>
      <c r="HE89" t="s">
        <v>93</v>
      </c>
      <c r="HF89" t="s">
        <v>31</v>
      </c>
      <c r="HM89" t="s">
        <v>3</v>
      </c>
      <c r="HN89" t="s">
        <v>3</v>
      </c>
      <c r="HO89" t="s">
        <v>3</v>
      </c>
      <c r="HP89" t="s">
        <v>3</v>
      </c>
      <c r="HQ89" t="s">
        <v>3</v>
      </c>
      <c r="HS89">
        <v>0</v>
      </c>
      <c r="IK89">
        <v>0</v>
      </c>
    </row>
    <row r="91" spans="1:255" x14ac:dyDescent="0.2">
      <c r="A91" s="3">
        <v>51</v>
      </c>
      <c r="B91" s="3">
        <f>B24</f>
        <v>1</v>
      </c>
      <c r="C91" s="3">
        <f>A24</f>
        <v>4</v>
      </c>
      <c r="D91" s="3">
        <f>ROW(A24)</f>
        <v>24</v>
      </c>
      <c r="E91" s="3"/>
      <c r="F91" s="3" t="str">
        <f>IF(F24&lt;&gt;"",F24,"")</f>
        <v>Новый раздел</v>
      </c>
      <c r="G91" s="3" t="str">
        <f>IF(G24&lt;&gt;"",G24,"")</f>
        <v>Оборудование</v>
      </c>
      <c r="H91" s="3">
        <v>0</v>
      </c>
      <c r="I91" s="3"/>
      <c r="J91" s="3"/>
      <c r="K91" s="3"/>
      <c r="L91" s="3"/>
      <c r="M91" s="3"/>
      <c r="N91" s="3"/>
      <c r="O91" s="3">
        <f t="shared" ref="O91:T91" si="91">ROUND(AB91,2)</f>
        <v>500427.42</v>
      </c>
      <c r="P91" s="3">
        <f t="shared" si="91"/>
        <v>495367.76</v>
      </c>
      <c r="Q91" s="3">
        <f t="shared" si="91"/>
        <v>354.18</v>
      </c>
      <c r="R91" s="3">
        <f t="shared" si="91"/>
        <v>46.3</v>
      </c>
      <c r="S91" s="3">
        <f t="shared" si="91"/>
        <v>4705.4799999999996</v>
      </c>
      <c r="T91" s="3">
        <f t="shared" si="91"/>
        <v>0</v>
      </c>
      <c r="U91" s="3">
        <f>AH91</f>
        <v>355.44917100000004</v>
      </c>
      <c r="V91" s="3">
        <f>AI91</f>
        <v>0</v>
      </c>
      <c r="W91" s="3">
        <f>ROUND(AJ91,2)</f>
        <v>0</v>
      </c>
      <c r="X91" s="3">
        <f>ROUND(AK91,2)</f>
        <v>4301.46</v>
      </c>
      <c r="Y91" s="3">
        <f>ROUND(AL91,2)</f>
        <v>2220.6</v>
      </c>
      <c r="Z91" s="3"/>
      <c r="AA91" s="3"/>
      <c r="AB91" s="3">
        <f>ROUND(SUMIF(AA28:AA89,"=59213216",O28:O89),2)</f>
        <v>500427.42</v>
      </c>
      <c r="AC91" s="3">
        <f>ROUND(SUMIF(AA28:AA89,"=59213216",P28:P89),2)</f>
        <v>495367.76</v>
      </c>
      <c r="AD91" s="3">
        <f>ROUND(SUMIF(AA28:AA89,"=59213216",Q28:Q89),2)</f>
        <v>354.18</v>
      </c>
      <c r="AE91" s="3">
        <f>ROUND(SUMIF(AA28:AA89,"=59213216",R28:R89),2)</f>
        <v>46.3</v>
      </c>
      <c r="AF91" s="3">
        <f>ROUND(SUMIF(AA28:AA89,"=59213216",S28:S89),2)</f>
        <v>4705.4799999999996</v>
      </c>
      <c r="AG91" s="3">
        <f>ROUND(SUMIF(AA28:AA89,"=59213216",T28:T89),2)</f>
        <v>0</v>
      </c>
      <c r="AH91" s="3">
        <f>SUMIF(AA28:AA89,"=59213216",U28:U89)</f>
        <v>355.44917100000004</v>
      </c>
      <c r="AI91" s="3">
        <f>SUMIF(AA28:AA89,"=59213216",V28:V89)</f>
        <v>0</v>
      </c>
      <c r="AJ91" s="3">
        <f>ROUND(SUMIF(AA28:AA89,"=59213216",W28:W89),2)</f>
        <v>0</v>
      </c>
      <c r="AK91" s="3">
        <f>ROUND(SUMIF(AA28:AA89,"=59213216",X28:X89),2)</f>
        <v>4301.46</v>
      </c>
      <c r="AL91" s="3">
        <f>ROUND(SUMIF(AA28:AA89,"=59213216",Y28:Y89),2)</f>
        <v>2220.6</v>
      </c>
      <c r="AM91" s="3"/>
      <c r="AN91" s="3"/>
      <c r="AO91" s="3">
        <f t="shared" ref="AO91:BD91" si="92">ROUND(BX91,2)</f>
        <v>0</v>
      </c>
      <c r="AP91" s="3">
        <f t="shared" si="92"/>
        <v>481129.05</v>
      </c>
      <c r="AQ91" s="3">
        <f t="shared" si="92"/>
        <v>0</v>
      </c>
      <c r="AR91" s="3">
        <f t="shared" si="92"/>
        <v>506949.48</v>
      </c>
      <c r="AS91" s="3">
        <f t="shared" si="92"/>
        <v>86</v>
      </c>
      <c r="AT91" s="3">
        <f t="shared" si="92"/>
        <v>25734.43</v>
      </c>
      <c r="AU91" s="3">
        <f t="shared" si="92"/>
        <v>0</v>
      </c>
      <c r="AV91" s="3">
        <f t="shared" si="92"/>
        <v>495367.76</v>
      </c>
      <c r="AW91" s="3">
        <f t="shared" si="92"/>
        <v>14238.71</v>
      </c>
      <c r="AX91" s="3">
        <f t="shared" si="92"/>
        <v>0</v>
      </c>
      <c r="AY91" s="3">
        <f t="shared" si="92"/>
        <v>14238.71</v>
      </c>
      <c r="AZ91" s="3">
        <f t="shared" si="92"/>
        <v>481129.05</v>
      </c>
      <c r="BA91" s="3">
        <f t="shared" si="92"/>
        <v>0</v>
      </c>
      <c r="BB91" s="3">
        <f t="shared" si="92"/>
        <v>0</v>
      </c>
      <c r="BC91" s="3">
        <f t="shared" si="92"/>
        <v>0</v>
      </c>
      <c r="BD91" s="3">
        <f t="shared" si="92"/>
        <v>0</v>
      </c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>
        <f>ROUND(SUMIF(AA28:AA89,"=59213216",FQ28:FQ89),2)</f>
        <v>0</v>
      </c>
      <c r="BY91" s="3">
        <f>ROUND(SUMIF(AA28:AA89,"=59213216",FR28:FR89),2)</f>
        <v>481129.05</v>
      </c>
      <c r="BZ91" s="3">
        <f>ROUND(SUMIF(AA28:AA89,"=59213216",GL28:GL89),2)</f>
        <v>0</v>
      </c>
      <c r="CA91" s="3">
        <f>ROUND(SUMIF(AA28:AA89,"=59213216",GM28:GM89),2)</f>
        <v>506949.48</v>
      </c>
      <c r="CB91" s="3">
        <f>ROUND(SUMIF(AA28:AA89,"=59213216",GN28:GN89),2)</f>
        <v>86</v>
      </c>
      <c r="CC91" s="3">
        <f>ROUND(SUMIF(AA28:AA89,"=59213216",GO28:GO89),2)</f>
        <v>25734.43</v>
      </c>
      <c r="CD91" s="3">
        <f>ROUND(SUMIF(AA28:AA89,"=59213216",GP28:GP89),2)</f>
        <v>0</v>
      </c>
      <c r="CE91" s="3">
        <f>AC91-BX91</f>
        <v>495367.76</v>
      </c>
      <c r="CF91" s="3">
        <f>AC91-BY91</f>
        <v>14238.710000000021</v>
      </c>
      <c r="CG91" s="3">
        <f>BX91-BZ91</f>
        <v>0</v>
      </c>
      <c r="CH91" s="3">
        <f>AC91-BX91-BY91+BZ91</f>
        <v>14238.710000000021</v>
      </c>
      <c r="CI91" s="3">
        <f>BY91-BZ91</f>
        <v>481129.05</v>
      </c>
      <c r="CJ91" s="3">
        <f>ROUND(SUMIF(AA28:AA89,"=59213216",GX28:GX89),2)</f>
        <v>0</v>
      </c>
      <c r="CK91" s="3">
        <f>ROUND(SUMIF(AA28:AA89,"=59213216",GY28:GY89),2)</f>
        <v>0</v>
      </c>
      <c r="CL91" s="3">
        <f>ROUND(SUMIF(AA28:AA89,"=59213216",GZ28:GZ89),2)</f>
        <v>0</v>
      </c>
      <c r="CM91" s="3">
        <f>ROUND(SUMIF(AA28:AA89,"=59213216",HD28:HD89),2)</f>
        <v>0</v>
      </c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4">
        <f t="shared" ref="DG91:DL91" si="93">ROUND(DT91,2)</f>
        <v>4092448.54</v>
      </c>
      <c r="DH91" s="4">
        <f t="shared" si="93"/>
        <v>3827930.75</v>
      </c>
      <c r="DI91" s="4">
        <f t="shared" si="93"/>
        <v>5763.45</v>
      </c>
      <c r="DJ91" s="4">
        <f t="shared" si="93"/>
        <v>2546.0300000000002</v>
      </c>
      <c r="DK91" s="4">
        <f t="shared" si="93"/>
        <v>258754.34</v>
      </c>
      <c r="DL91" s="4">
        <f t="shared" si="93"/>
        <v>0</v>
      </c>
      <c r="DM91" s="4">
        <f>DZ91</f>
        <v>355.44917100000004</v>
      </c>
      <c r="DN91" s="4">
        <f>EA91</f>
        <v>0</v>
      </c>
      <c r="DO91" s="4">
        <f>ROUND(EB91,2)</f>
        <v>0</v>
      </c>
      <c r="DP91" s="4">
        <f>ROUND(EC91,2)</f>
        <v>236536.98</v>
      </c>
      <c r="DQ91" s="4">
        <f>ROUND(ED91,2)</f>
        <v>122111.46</v>
      </c>
      <c r="DR91" s="4"/>
      <c r="DS91" s="4"/>
      <c r="DT91" s="4">
        <f>ROUND(SUMIF(AA28:AA89,"=59213213",O28:O89),2)</f>
        <v>4092448.54</v>
      </c>
      <c r="DU91" s="4">
        <f>ROUND(SUMIF(AA28:AA89,"=59213213",P28:P89),2)</f>
        <v>3827930.75</v>
      </c>
      <c r="DV91" s="4">
        <f>ROUND(SUMIF(AA28:AA89,"=59213213",Q28:Q89),2)</f>
        <v>5763.45</v>
      </c>
      <c r="DW91" s="4">
        <f>ROUND(SUMIF(AA28:AA89,"=59213213",R28:R89),2)</f>
        <v>2546.0300000000002</v>
      </c>
      <c r="DX91" s="4">
        <f>ROUND(SUMIF(AA28:AA89,"=59213213",S28:S89),2)</f>
        <v>258754.34</v>
      </c>
      <c r="DY91" s="4">
        <f>ROUND(SUMIF(AA28:AA89,"=59213213",T28:T89),2)</f>
        <v>0</v>
      </c>
      <c r="DZ91" s="4">
        <f>SUMIF(AA28:AA89,"=59213213",U28:U89)</f>
        <v>355.44917100000004</v>
      </c>
      <c r="EA91" s="4">
        <f>SUMIF(AA28:AA89,"=59213213",V28:V89)</f>
        <v>0</v>
      </c>
      <c r="EB91" s="4">
        <f>ROUND(SUMIF(AA28:AA89,"=59213213",W28:W89),2)</f>
        <v>0</v>
      </c>
      <c r="EC91" s="4">
        <f>ROUND(SUMIF(AA28:AA89,"=59213213",X28:X89),2)</f>
        <v>236536.98</v>
      </c>
      <c r="ED91" s="4">
        <f>ROUND(SUMIF(AA28:AA89,"=59213213",Y28:Y89),2)</f>
        <v>122111.46</v>
      </c>
      <c r="EE91" s="4"/>
      <c r="EF91" s="4"/>
      <c r="EG91" s="4">
        <f t="shared" ref="EG91:EV91" si="94">ROUND(FP91,2)</f>
        <v>0</v>
      </c>
      <c r="EH91" s="4">
        <f t="shared" si="94"/>
        <v>3685838.26</v>
      </c>
      <c r="EI91" s="4">
        <f t="shared" si="94"/>
        <v>0</v>
      </c>
      <c r="EJ91" s="4">
        <f t="shared" si="94"/>
        <v>4451096.9800000004</v>
      </c>
      <c r="EK91" s="4">
        <f t="shared" si="94"/>
        <v>849.68</v>
      </c>
      <c r="EL91" s="4">
        <f t="shared" si="94"/>
        <v>764409.04</v>
      </c>
      <c r="EM91" s="4">
        <f t="shared" si="94"/>
        <v>0</v>
      </c>
      <c r="EN91" s="4">
        <f t="shared" si="94"/>
        <v>3827930.75</v>
      </c>
      <c r="EO91" s="4">
        <f t="shared" si="94"/>
        <v>142092.49</v>
      </c>
      <c r="EP91" s="4">
        <f t="shared" si="94"/>
        <v>0</v>
      </c>
      <c r="EQ91" s="4">
        <f t="shared" si="94"/>
        <v>142092.49</v>
      </c>
      <c r="ER91" s="4">
        <f t="shared" si="94"/>
        <v>3685838.26</v>
      </c>
      <c r="ES91" s="4">
        <f t="shared" si="94"/>
        <v>0</v>
      </c>
      <c r="ET91" s="4">
        <f t="shared" si="94"/>
        <v>0</v>
      </c>
      <c r="EU91" s="4">
        <f t="shared" si="94"/>
        <v>0</v>
      </c>
      <c r="EV91" s="4">
        <f t="shared" si="94"/>
        <v>0</v>
      </c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>
        <f>ROUND(SUMIF(AA28:AA89,"=59213213",FQ28:FQ89),2)</f>
        <v>0</v>
      </c>
      <c r="FQ91" s="4">
        <f>ROUND(SUMIF(AA28:AA89,"=59213213",FR28:FR89),2)</f>
        <v>3685838.26</v>
      </c>
      <c r="FR91" s="4">
        <f>ROUND(SUMIF(AA28:AA89,"=59213213",GL28:GL89),2)</f>
        <v>0</v>
      </c>
      <c r="FS91" s="4">
        <f>ROUND(SUMIF(AA28:AA89,"=59213213",GM28:GM89),2)</f>
        <v>4451096.9800000004</v>
      </c>
      <c r="FT91" s="4">
        <f>ROUND(SUMIF(AA28:AA89,"=59213213",GN28:GN89),2)</f>
        <v>849.68</v>
      </c>
      <c r="FU91" s="4">
        <f>ROUND(SUMIF(AA28:AA89,"=59213213",GO28:GO89),2)</f>
        <v>764409.04</v>
      </c>
      <c r="FV91" s="4">
        <f>ROUND(SUMIF(AA28:AA89,"=59213213",GP28:GP89),2)</f>
        <v>0</v>
      </c>
      <c r="FW91" s="4">
        <f>DU91-FP91</f>
        <v>3827930.75</v>
      </c>
      <c r="FX91" s="4">
        <f>DU91-FQ91</f>
        <v>142092.49000000022</v>
      </c>
      <c r="FY91" s="4">
        <f>FP91-FR91</f>
        <v>0</v>
      </c>
      <c r="FZ91" s="4">
        <f>DU91-FP91-FQ91+FR91</f>
        <v>142092.49000000022</v>
      </c>
      <c r="GA91" s="4">
        <f>FQ91-FR91</f>
        <v>3685838.26</v>
      </c>
      <c r="GB91" s="4">
        <f>ROUND(SUMIF(AA28:AA89,"=59213213",GX28:GX89),2)</f>
        <v>0</v>
      </c>
      <c r="GC91" s="4">
        <f>ROUND(SUMIF(AA28:AA89,"=59213213",GY28:GY89),2)</f>
        <v>0</v>
      </c>
      <c r="GD91" s="4">
        <f>ROUND(SUMIF(AA28:AA89,"=59213213",GZ28:GZ89),2)</f>
        <v>0</v>
      </c>
      <c r="GE91" s="4">
        <f>ROUND(SUMIF(AA28:AA89,"=59213213",HD28:HD89),2)</f>
        <v>0</v>
      </c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>
        <v>0</v>
      </c>
    </row>
    <row r="93" spans="1:255" x14ac:dyDescent="0.2">
      <c r="A93" s="5">
        <v>50</v>
      </c>
      <c r="B93" s="5">
        <v>0</v>
      </c>
      <c r="C93" s="5">
        <v>0</v>
      </c>
      <c r="D93" s="5">
        <v>1</v>
      </c>
      <c r="E93" s="5">
        <v>201</v>
      </c>
      <c r="F93" s="5">
        <f>ROUND(Source!O91,O93)</f>
        <v>500427.42</v>
      </c>
      <c r="G93" s="5" t="s">
        <v>157</v>
      </c>
      <c r="H93" s="5" t="s">
        <v>158</v>
      </c>
      <c r="I93" s="5"/>
      <c r="J93" s="5"/>
      <c r="K93" s="5">
        <v>201</v>
      </c>
      <c r="L93" s="5">
        <v>1</v>
      </c>
      <c r="M93" s="5">
        <v>3</v>
      </c>
      <c r="N93" s="5" t="s">
        <v>3</v>
      </c>
      <c r="O93" s="5">
        <v>2</v>
      </c>
      <c r="P93" s="5">
        <f>ROUND(Source!DG91,O93)</f>
        <v>4092448.54</v>
      </c>
      <c r="Q93" s="5"/>
      <c r="R93" s="5"/>
      <c r="S93" s="5"/>
      <c r="T93" s="5"/>
      <c r="U93" s="5"/>
      <c r="V93" s="5"/>
      <c r="W93" s="5">
        <v>500427.42</v>
      </c>
      <c r="X93" s="5">
        <v>1</v>
      </c>
      <c r="Y93" s="5">
        <v>500427.42</v>
      </c>
      <c r="Z93" s="5">
        <v>4092448.54</v>
      </c>
      <c r="AA93" s="5">
        <v>1</v>
      </c>
      <c r="AB93" s="5">
        <v>4092448.54</v>
      </c>
    </row>
    <row r="94" spans="1:255" x14ac:dyDescent="0.2">
      <c r="A94" s="5">
        <v>50</v>
      </c>
      <c r="B94" s="5">
        <v>0</v>
      </c>
      <c r="C94" s="5">
        <v>0</v>
      </c>
      <c r="D94" s="5">
        <v>1</v>
      </c>
      <c r="E94" s="5">
        <v>202</v>
      </c>
      <c r="F94" s="5">
        <f>ROUND(Source!P91,O94)</f>
        <v>495367.76</v>
      </c>
      <c r="G94" s="5" t="s">
        <v>159</v>
      </c>
      <c r="H94" s="5" t="s">
        <v>160</v>
      </c>
      <c r="I94" s="5"/>
      <c r="J94" s="5"/>
      <c r="K94" s="5">
        <v>202</v>
      </c>
      <c r="L94" s="5">
        <v>2</v>
      </c>
      <c r="M94" s="5">
        <v>3</v>
      </c>
      <c r="N94" s="5" t="s">
        <v>3</v>
      </c>
      <c r="O94" s="5">
        <v>2</v>
      </c>
      <c r="P94" s="5">
        <f>ROUND(Source!DH91,O94)</f>
        <v>3827930.75</v>
      </c>
      <c r="Q94" s="5"/>
      <c r="R94" s="5"/>
      <c r="S94" s="5"/>
      <c r="T94" s="5"/>
      <c r="U94" s="5"/>
      <c r="V94" s="5"/>
      <c r="W94" s="5">
        <v>495367.76</v>
      </c>
      <c r="X94" s="5">
        <v>1</v>
      </c>
      <c r="Y94" s="5">
        <v>495367.76</v>
      </c>
      <c r="Z94" s="5">
        <v>3827930.75</v>
      </c>
      <c r="AA94" s="5">
        <v>1</v>
      </c>
      <c r="AB94" s="5">
        <v>3827930.75</v>
      </c>
    </row>
    <row r="95" spans="1:255" x14ac:dyDescent="0.2">
      <c r="A95" s="5">
        <v>50</v>
      </c>
      <c r="B95" s="5">
        <v>0</v>
      </c>
      <c r="C95" s="5">
        <v>0</v>
      </c>
      <c r="D95" s="5">
        <v>1</v>
      </c>
      <c r="E95" s="5">
        <v>222</v>
      </c>
      <c r="F95" s="5">
        <f>ROUND(Source!AO91,O95)</f>
        <v>0</v>
      </c>
      <c r="G95" s="5" t="s">
        <v>161</v>
      </c>
      <c r="H95" s="5" t="s">
        <v>162</v>
      </c>
      <c r="I95" s="5"/>
      <c r="J95" s="5"/>
      <c r="K95" s="5">
        <v>222</v>
      </c>
      <c r="L95" s="5">
        <v>3</v>
      </c>
      <c r="M95" s="5">
        <v>3</v>
      </c>
      <c r="N95" s="5" t="s">
        <v>3</v>
      </c>
      <c r="O95" s="5">
        <v>2</v>
      </c>
      <c r="P95" s="5">
        <f>ROUND(Source!EG91,O95)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55" x14ac:dyDescent="0.2">
      <c r="A96" s="5">
        <v>50</v>
      </c>
      <c r="B96" s="5">
        <v>0</v>
      </c>
      <c r="C96" s="5">
        <v>0</v>
      </c>
      <c r="D96" s="5">
        <v>1</v>
      </c>
      <c r="E96" s="5">
        <v>225</v>
      </c>
      <c r="F96" s="5">
        <f>ROUND(Source!AV91,O96)</f>
        <v>495367.76</v>
      </c>
      <c r="G96" s="5" t="s">
        <v>163</v>
      </c>
      <c r="H96" s="5" t="s">
        <v>164</v>
      </c>
      <c r="I96" s="5"/>
      <c r="J96" s="5"/>
      <c r="K96" s="5">
        <v>225</v>
      </c>
      <c r="L96" s="5">
        <v>4</v>
      </c>
      <c r="M96" s="5">
        <v>3</v>
      </c>
      <c r="N96" s="5" t="s">
        <v>3</v>
      </c>
      <c r="O96" s="5">
        <v>2</v>
      </c>
      <c r="P96" s="5">
        <f>ROUND(Source!EN91,O96)</f>
        <v>3827930.75</v>
      </c>
      <c r="Q96" s="5"/>
      <c r="R96" s="5"/>
      <c r="S96" s="5"/>
      <c r="T96" s="5"/>
      <c r="U96" s="5"/>
      <c r="V96" s="5"/>
      <c r="W96" s="5">
        <v>495367.76</v>
      </c>
      <c r="X96" s="5">
        <v>1</v>
      </c>
      <c r="Y96" s="5">
        <v>495367.76</v>
      </c>
      <c r="Z96" s="5">
        <v>3827930.75</v>
      </c>
      <c r="AA96" s="5">
        <v>1</v>
      </c>
      <c r="AB96" s="5">
        <v>3827930.75</v>
      </c>
    </row>
    <row r="97" spans="1:28" x14ac:dyDescent="0.2">
      <c r="A97" s="5">
        <v>50</v>
      </c>
      <c r="B97" s="5">
        <v>0</v>
      </c>
      <c r="C97" s="5">
        <v>0</v>
      </c>
      <c r="D97" s="5">
        <v>1</v>
      </c>
      <c r="E97" s="5">
        <v>226</v>
      </c>
      <c r="F97" s="5">
        <f>ROUND(Source!AW91,O97)</f>
        <v>14238.71</v>
      </c>
      <c r="G97" s="5" t="s">
        <v>165</v>
      </c>
      <c r="H97" s="5" t="s">
        <v>166</v>
      </c>
      <c r="I97" s="5"/>
      <c r="J97" s="5"/>
      <c r="K97" s="5">
        <v>226</v>
      </c>
      <c r="L97" s="5">
        <v>5</v>
      </c>
      <c r="M97" s="5">
        <v>3</v>
      </c>
      <c r="N97" s="5" t="s">
        <v>3</v>
      </c>
      <c r="O97" s="5">
        <v>2</v>
      </c>
      <c r="P97" s="5">
        <f>ROUND(Source!EO91,O97)</f>
        <v>142092.49</v>
      </c>
      <c r="Q97" s="5"/>
      <c r="R97" s="5"/>
      <c r="S97" s="5"/>
      <c r="T97" s="5"/>
      <c r="U97" s="5"/>
      <c r="V97" s="5"/>
      <c r="W97" s="5">
        <v>14238.71</v>
      </c>
      <c r="X97" s="5">
        <v>1</v>
      </c>
      <c r="Y97" s="5">
        <v>14238.71</v>
      </c>
      <c r="Z97" s="5">
        <v>142092.49</v>
      </c>
      <c r="AA97" s="5">
        <v>1</v>
      </c>
      <c r="AB97" s="5">
        <v>142092.49</v>
      </c>
    </row>
    <row r="98" spans="1:28" x14ac:dyDescent="0.2">
      <c r="A98" s="5">
        <v>50</v>
      </c>
      <c r="B98" s="5">
        <v>0</v>
      </c>
      <c r="C98" s="5">
        <v>0</v>
      </c>
      <c r="D98" s="5">
        <v>1</v>
      </c>
      <c r="E98" s="5">
        <v>227</v>
      </c>
      <c r="F98" s="5">
        <f>ROUND(Source!AX91,O98)</f>
        <v>0</v>
      </c>
      <c r="G98" s="5" t="s">
        <v>167</v>
      </c>
      <c r="H98" s="5" t="s">
        <v>168</v>
      </c>
      <c r="I98" s="5"/>
      <c r="J98" s="5"/>
      <c r="K98" s="5">
        <v>227</v>
      </c>
      <c r="L98" s="5">
        <v>6</v>
      </c>
      <c r="M98" s="5">
        <v>3</v>
      </c>
      <c r="N98" s="5" t="s">
        <v>3</v>
      </c>
      <c r="O98" s="5">
        <v>2</v>
      </c>
      <c r="P98" s="5">
        <f>ROUND(Source!EP91,O98)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8" x14ac:dyDescent="0.2">
      <c r="A99" s="5">
        <v>50</v>
      </c>
      <c r="B99" s="5">
        <v>0</v>
      </c>
      <c r="C99" s="5">
        <v>0</v>
      </c>
      <c r="D99" s="5">
        <v>1</v>
      </c>
      <c r="E99" s="5">
        <v>228</v>
      </c>
      <c r="F99" s="5">
        <f>ROUND(Source!AY91,O99)</f>
        <v>14238.71</v>
      </c>
      <c r="G99" s="5" t="s">
        <v>169</v>
      </c>
      <c r="H99" s="5" t="s">
        <v>170</v>
      </c>
      <c r="I99" s="5"/>
      <c r="J99" s="5"/>
      <c r="K99" s="5">
        <v>228</v>
      </c>
      <c r="L99" s="5">
        <v>7</v>
      </c>
      <c r="M99" s="5">
        <v>3</v>
      </c>
      <c r="N99" s="5" t="s">
        <v>3</v>
      </c>
      <c r="O99" s="5">
        <v>2</v>
      </c>
      <c r="P99" s="5">
        <f>ROUND(Source!EQ91,O99)</f>
        <v>142092.49</v>
      </c>
      <c r="Q99" s="5"/>
      <c r="R99" s="5"/>
      <c r="S99" s="5"/>
      <c r="T99" s="5"/>
      <c r="U99" s="5"/>
      <c r="V99" s="5"/>
      <c r="W99" s="5">
        <v>14238.71</v>
      </c>
      <c r="X99" s="5">
        <v>1</v>
      </c>
      <c r="Y99" s="5">
        <v>14238.71</v>
      </c>
      <c r="Z99" s="5">
        <v>142092.49</v>
      </c>
      <c r="AA99" s="5">
        <v>1</v>
      </c>
      <c r="AB99" s="5">
        <v>142092.49</v>
      </c>
    </row>
    <row r="100" spans="1:28" x14ac:dyDescent="0.2">
      <c r="A100" s="5">
        <v>50</v>
      </c>
      <c r="B100" s="5">
        <v>0</v>
      </c>
      <c r="C100" s="5">
        <v>0</v>
      </c>
      <c r="D100" s="5">
        <v>1</v>
      </c>
      <c r="E100" s="5">
        <v>216</v>
      </c>
      <c r="F100" s="5">
        <f>ROUND(Source!AP91,O100)</f>
        <v>481129.05</v>
      </c>
      <c r="G100" s="5" t="s">
        <v>171</v>
      </c>
      <c r="H100" s="5" t="s">
        <v>172</v>
      </c>
      <c r="I100" s="5"/>
      <c r="J100" s="5"/>
      <c r="K100" s="5">
        <v>216</v>
      </c>
      <c r="L100" s="5">
        <v>8</v>
      </c>
      <c r="M100" s="5">
        <v>3</v>
      </c>
      <c r="N100" s="5" t="s">
        <v>3</v>
      </c>
      <c r="O100" s="5">
        <v>2</v>
      </c>
      <c r="P100" s="5">
        <f>ROUND(Source!EH91,O100)</f>
        <v>3685838.26</v>
      </c>
      <c r="Q100" s="5"/>
      <c r="R100" s="5"/>
      <c r="S100" s="5"/>
      <c r="T100" s="5"/>
      <c r="U100" s="5"/>
      <c r="V100" s="5"/>
      <c r="W100" s="5">
        <v>481129.05</v>
      </c>
      <c r="X100" s="5">
        <v>1</v>
      </c>
      <c r="Y100" s="5">
        <v>481129.05</v>
      </c>
      <c r="Z100" s="5">
        <v>3685838.26</v>
      </c>
      <c r="AA100" s="5">
        <v>1</v>
      </c>
      <c r="AB100" s="5">
        <v>3685838.26</v>
      </c>
    </row>
    <row r="101" spans="1:28" x14ac:dyDescent="0.2">
      <c r="A101" s="5">
        <v>50</v>
      </c>
      <c r="B101" s="5">
        <v>0</v>
      </c>
      <c r="C101" s="5">
        <v>0</v>
      </c>
      <c r="D101" s="5">
        <v>1</v>
      </c>
      <c r="E101" s="5">
        <v>223</v>
      </c>
      <c r="F101" s="5">
        <f>ROUND(Source!AQ91,O101)</f>
        <v>0</v>
      </c>
      <c r="G101" s="5" t="s">
        <v>173</v>
      </c>
      <c r="H101" s="5" t="s">
        <v>174</v>
      </c>
      <c r="I101" s="5"/>
      <c r="J101" s="5"/>
      <c r="K101" s="5">
        <v>223</v>
      </c>
      <c r="L101" s="5">
        <v>9</v>
      </c>
      <c r="M101" s="5">
        <v>3</v>
      </c>
      <c r="N101" s="5" t="s">
        <v>3</v>
      </c>
      <c r="O101" s="5">
        <v>2</v>
      </c>
      <c r="P101" s="5">
        <f>ROUND(Source!EI91,O101)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x14ac:dyDescent="0.2">
      <c r="A102" s="5">
        <v>50</v>
      </c>
      <c r="B102" s="5">
        <v>0</v>
      </c>
      <c r="C102" s="5">
        <v>0</v>
      </c>
      <c r="D102" s="5">
        <v>1</v>
      </c>
      <c r="E102" s="5">
        <v>229</v>
      </c>
      <c r="F102" s="5">
        <f>ROUND(Source!AZ91,O102)</f>
        <v>481129.05</v>
      </c>
      <c r="G102" s="5" t="s">
        <v>175</v>
      </c>
      <c r="H102" s="5" t="s">
        <v>176</v>
      </c>
      <c r="I102" s="5"/>
      <c r="J102" s="5"/>
      <c r="K102" s="5">
        <v>229</v>
      </c>
      <c r="L102" s="5">
        <v>10</v>
      </c>
      <c r="M102" s="5">
        <v>3</v>
      </c>
      <c r="N102" s="5" t="s">
        <v>3</v>
      </c>
      <c r="O102" s="5">
        <v>2</v>
      </c>
      <c r="P102" s="5">
        <f>ROUND(Source!ER91,O102)</f>
        <v>3685838.26</v>
      </c>
      <c r="Q102" s="5"/>
      <c r="R102" s="5"/>
      <c r="S102" s="5"/>
      <c r="T102" s="5"/>
      <c r="U102" s="5"/>
      <c r="V102" s="5"/>
      <c r="W102" s="5">
        <v>481129.05</v>
      </c>
      <c r="X102" s="5">
        <v>1</v>
      </c>
      <c r="Y102" s="5">
        <v>481129.05</v>
      </c>
      <c r="Z102" s="5">
        <v>3685838.26</v>
      </c>
      <c r="AA102" s="5">
        <v>1</v>
      </c>
      <c r="AB102" s="5">
        <v>3685838.26</v>
      </c>
    </row>
    <row r="103" spans="1:28" x14ac:dyDescent="0.2">
      <c r="A103" s="5">
        <v>50</v>
      </c>
      <c r="B103" s="5">
        <v>0</v>
      </c>
      <c r="C103" s="5">
        <v>0</v>
      </c>
      <c r="D103" s="5">
        <v>1</v>
      </c>
      <c r="E103" s="5">
        <v>203</v>
      </c>
      <c r="F103" s="5">
        <f>ROUND(Source!Q91,O103)</f>
        <v>354.18</v>
      </c>
      <c r="G103" s="5" t="s">
        <v>177</v>
      </c>
      <c r="H103" s="5" t="s">
        <v>178</v>
      </c>
      <c r="I103" s="5"/>
      <c r="J103" s="5"/>
      <c r="K103" s="5">
        <v>203</v>
      </c>
      <c r="L103" s="5">
        <v>11</v>
      </c>
      <c r="M103" s="5">
        <v>3</v>
      </c>
      <c r="N103" s="5" t="s">
        <v>3</v>
      </c>
      <c r="O103" s="5">
        <v>2</v>
      </c>
      <c r="P103" s="5">
        <f>ROUND(Source!DI91,O103)</f>
        <v>5763.45</v>
      </c>
      <c r="Q103" s="5"/>
      <c r="R103" s="5"/>
      <c r="S103" s="5"/>
      <c r="T103" s="5"/>
      <c r="U103" s="5"/>
      <c r="V103" s="5"/>
      <c r="W103" s="5">
        <v>354.18</v>
      </c>
      <c r="X103" s="5">
        <v>1</v>
      </c>
      <c r="Y103" s="5">
        <v>354.18</v>
      </c>
      <c r="Z103" s="5">
        <v>5763.45</v>
      </c>
      <c r="AA103" s="5">
        <v>1</v>
      </c>
      <c r="AB103" s="5">
        <v>5763.45</v>
      </c>
    </row>
    <row r="104" spans="1:28" x14ac:dyDescent="0.2">
      <c r="A104" s="5">
        <v>50</v>
      </c>
      <c r="B104" s="5">
        <v>0</v>
      </c>
      <c r="C104" s="5">
        <v>0</v>
      </c>
      <c r="D104" s="5">
        <v>1</v>
      </c>
      <c r="E104" s="5">
        <v>231</v>
      </c>
      <c r="F104" s="5">
        <f>ROUND(Source!BB91,O104)</f>
        <v>0</v>
      </c>
      <c r="G104" s="5" t="s">
        <v>179</v>
      </c>
      <c r="H104" s="5" t="s">
        <v>180</v>
      </c>
      <c r="I104" s="5"/>
      <c r="J104" s="5"/>
      <c r="K104" s="5">
        <v>231</v>
      </c>
      <c r="L104" s="5">
        <v>12</v>
      </c>
      <c r="M104" s="5">
        <v>3</v>
      </c>
      <c r="N104" s="5" t="s">
        <v>3</v>
      </c>
      <c r="O104" s="5">
        <v>2</v>
      </c>
      <c r="P104" s="5">
        <f>ROUND(Source!ET91,O104)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x14ac:dyDescent="0.2">
      <c r="A105" s="5">
        <v>50</v>
      </c>
      <c r="B105" s="5">
        <v>0</v>
      </c>
      <c r="C105" s="5">
        <v>0</v>
      </c>
      <c r="D105" s="5">
        <v>1</v>
      </c>
      <c r="E105" s="5">
        <v>204</v>
      </c>
      <c r="F105" s="5">
        <f>ROUND(Source!R91,O105)</f>
        <v>46.3</v>
      </c>
      <c r="G105" s="5" t="s">
        <v>181</v>
      </c>
      <c r="H105" s="5" t="s">
        <v>182</v>
      </c>
      <c r="I105" s="5"/>
      <c r="J105" s="5"/>
      <c r="K105" s="5">
        <v>204</v>
      </c>
      <c r="L105" s="5">
        <v>13</v>
      </c>
      <c r="M105" s="5">
        <v>3</v>
      </c>
      <c r="N105" s="5" t="s">
        <v>3</v>
      </c>
      <c r="O105" s="5">
        <v>2</v>
      </c>
      <c r="P105" s="5">
        <f>ROUND(Source!DJ91,O105)</f>
        <v>2546.0300000000002</v>
      </c>
      <c r="Q105" s="5"/>
      <c r="R105" s="5"/>
      <c r="S105" s="5"/>
      <c r="T105" s="5"/>
      <c r="U105" s="5"/>
      <c r="V105" s="5"/>
      <c r="W105" s="5">
        <v>46.3</v>
      </c>
      <c r="X105" s="5">
        <v>1</v>
      </c>
      <c r="Y105" s="5">
        <v>46.3</v>
      </c>
      <c r="Z105" s="5">
        <v>2546.0300000000002</v>
      </c>
      <c r="AA105" s="5">
        <v>1</v>
      </c>
      <c r="AB105" s="5">
        <v>2546.0300000000002</v>
      </c>
    </row>
    <row r="106" spans="1:28" x14ac:dyDescent="0.2">
      <c r="A106" s="5">
        <v>50</v>
      </c>
      <c r="B106" s="5">
        <v>0</v>
      </c>
      <c r="C106" s="5">
        <v>0</v>
      </c>
      <c r="D106" s="5">
        <v>1</v>
      </c>
      <c r="E106" s="5">
        <v>205</v>
      </c>
      <c r="F106" s="5">
        <f>ROUND(Source!S91,O106)</f>
        <v>4705.4799999999996</v>
      </c>
      <c r="G106" s="5" t="s">
        <v>183</v>
      </c>
      <c r="H106" s="5" t="s">
        <v>184</v>
      </c>
      <c r="I106" s="5"/>
      <c r="J106" s="5"/>
      <c r="K106" s="5">
        <v>205</v>
      </c>
      <c r="L106" s="5">
        <v>14</v>
      </c>
      <c r="M106" s="5">
        <v>3</v>
      </c>
      <c r="N106" s="5" t="s">
        <v>3</v>
      </c>
      <c r="O106" s="5">
        <v>2</v>
      </c>
      <c r="P106" s="5">
        <f>ROUND(Source!DK91,O106)</f>
        <v>258754.34</v>
      </c>
      <c r="Q106" s="5"/>
      <c r="R106" s="5"/>
      <c r="S106" s="5"/>
      <c r="T106" s="5"/>
      <c r="U106" s="5"/>
      <c r="V106" s="5"/>
      <c r="W106" s="5">
        <v>4705.4799999999996</v>
      </c>
      <c r="X106" s="5">
        <v>1</v>
      </c>
      <c r="Y106" s="5">
        <v>4705.4799999999996</v>
      </c>
      <c r="Z106" s="5">
        <v>258754.34</v>
      </c>
      <c r="AA106" s="5">
        <v>1</v>
      </c>
      <c r="AB106" s="5">
        <v>258754.34</v>
      </c>
    </row>
    <row r="107" spans="1:28" x14ac:dyDescent="0.2">
      <c r="A107" s="5">
        <v>50</v>
      </c>
      <c r="B107" s="5">
        <v>0</v>
      </c>
      <c r="C107" s="5">
        <v>0</v>
      </c>
      <c r="D107" s="5">
        <v>1</v>
      </c>
      <c r="E107" s="5">
        <v>232</v>
      </c>
      <c r="F107" s="5">
        <f>ROUND(Source!BC91,O107)</f>
        <v>0</v>
      </c>
      <c r="G107" s="5" t="s">
        <v>185</v>
      </c>
      <c r="H107" s="5" t="s">
        <v>186</v>
      </c>
      <c r="I107" s="5"/>
      <c r="J107" s="5"/>
      <c r="K107" s="5">
        <v>232</v>
      </c>
      <c r="L107" s="5">
        <v>15</v>
      </c>
      <c r="M107" s="5">
        <v>3</v>
      </c>
      <c r="N107" s="5" t="s">
        <v>3</v>
      </c>
      <c r="O107" s="5">
        <v>2</v>
      </c>
      <c r="P107" s="5">
        <f>ROUND(Source!EU91,O107)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8" x14ac:dyDescent="0.2">
      <c r="A108" s="5">
        <v>50</v>
      </c>
      <c r="B108" s="5">
        <v>0</v>
      </c>
      <c r="C108" s="5">
        <v>0</v>
      </c>
      <c r="D108" s="5">
        <v>1</v>
      </c>
      <c r="E108" s="5">
        <v>214</v>
      </c>
      <c r="F108" s="5">
        <f>ROUND(Source!AS91,O108)</f>
        <v>86</v>
      </c>
      <c r="G108" s="5" t="s">
        <v>187</v>
      </c>
      <c r="H108" s="5" t="s">
        <v>188</v>
      </c>
      <c r="I108" s="5"/>
      <c r="J108" s="5"/>
      <c r="K108" s="5">
        <v>214</v>
      </c>
      <c r="L108" s="5">
        <v>16</v>
      </c>
      <c r="M108" s="5">
        <v>3</v>
      </c>
      <c r="N108" s="5" t="s">
        <v>3</v>
      </c>
      <c r="O108" s="5">
        <v>2</v>
      </c>
      <c r="P108" s="5">
        <f>ROUND(Source!EK91,O108)</f>
        <v>849.68</v>
      </c>
      <c r="Q108" s="5"/>
      <c r="R108" s="5"/>
      <c r="S108" s="5"/>
      <c r="T108" s="5"/>
      <c r="U108" s="5"/>
      <c r="V108" s="5"/>
      <c r="W108" s="5">
        <v>86</v>
      </c>
      <c r="X108" s="5">
        <v>1</v>
      </c>
      <c r="Y108" s="5">
        <v>86</v>
      </c>
      <c r="Z108" s="5">
        <v>849.68</v>
      </c>
      <c r="AA108" s="5">
        <v>1</v>
      </c>
      <c r="AB108" s="5">
        <v>849.68</v>
      </c>
    </row>
    <row r="109" spans="1:28" x14ac:dyDescent="0.2">
      <c r="A109" s="5">
        <v>50</v>
      </c>
      <c r="B109" s="5">
        <v>0</v>
      </c>
      <c r="C109" s="5">
        <v>0</v>
      </c>
      <c r="D109" s="5">
        <v>1</v>
      </c>
      <c r="E109" s="5">
        <v>215</v>
      </c>
      <c r="F109" s="5">
        <f>ROUND(Source!AT91,O109)</f>
        <v>25734.43</v>
      </c>
      <c r="G109" s="5" t="s">
        <v>189</v>
      </c>
      <c r="H109" s="5" t="s">
        <v>190</v>
      </c>
      <c r="I109" s="5"/>
      <c r="J109" s="5"/>
      <c r="K109" s="5">
        <v>215</v>
      </c>
      <c r="L109" s="5">
        <v>17</v>
      </c>
      <c r="M109" s="5">
        <v>3</v>
      </c>
      <c r="N109" s="5" t="s">
        <v>3</v>
      </c>
      <c r="O109" s="5">
        <v>2</v>
      </c>
      <c r="P109" s="5">
        <f>ROUND(Source!EL91,O109)</f>
        <v>764409.04</v>
      </c>
      <c r="Q109" s="5"/>
      <c r="R109" s="5"/>
      <c r="S109" s="5"/>
      <c r="T109" s="5"/>
      <c r="U109" s="5"/>
      <c r="V109" s="5"/>
      <c r="W109" s="5">
        <v>25734.43</v>
      </c>
      <c r="X109" s="5">
        <v>1</v>
      </c>
      <c r="Y109" s="5">
        <v>25734.43</v>
      </c>
      <c r="Z109" s="5">
        <v>764409.04</v>
      </c>
      <c r="AA109" s="5">
        <v>1</v>
      </c>
      <c r="AB109" s="5">
        <v>764409.04</v>
      </c>
    </row>
    <row r="110" spans="1:28" x14ac:dyDescent="0.2">
      <c r="A110" s="5">
        <v>50</v>
      </c>
      <c r="B110" s="5">
        <v>0</v>
      </c>
      <c r="C110" s="5">
        <v>0</v>
      </c>
      <c r="D110" s="5">
        <v>1</v>
      </c>
      <c r="E110" s="5">
        <v>217</v>
      </c>
      <c r="F110" s="5">
        <f>ROUND(Source!AU91,O110)</f>
        <v>0</v>
      </c>
      <c r="G110" s="5" t="s">
        <v>191</v>
      </c>
      <c r="H110" s="5" t="s">
        <v>192</v>
      </c>
      <c r="I110" s="5"/>
      <c r="J110" s="5"/>
      <c r="K110" s="5">
        <v>217</v>
      </c>
      <c r="L110" s="5">
        <v>18</v>
      </c>
      <c r="M110" s="5">
        <v>3</v>
      </c>
      <c r="N110" s="5" t="s">
        <v>3</v>
      </c>
      <c r="O110" s="5">
        <v>2</v>
      </c>
      <c r="P110" s="5">
        <f>ROUND(Source!EM91,O110)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x14ac:dyDescent="0.2">
      <c r="A111" s="5">
        <v>50</v>
      </c>
      <c r="B111" s="5">
        <v>0</v>
      </c>
      <c r="C111" s="5">
        <v>0</v>
      </c>
      <c r="D111" s="5">
        <v>1</v>
      </c>
      <c r="E111" s="5">
        <v>230</v>
      </c>
      <c r="F111" s="5">
        <f>ROUND(Source!BA91,O111)</f>
        <v>0</v>
      </c>
      <c r="G111" s="5" t="s">
        <v>193</v>
      </c>
      <c r="H111" s="5" t="s">
        <v>194</v>
      </c>
      <c r="I111" s="5"/>
      <c r="J111" s="5"/>
      <c r="K111" s="5">
        <v>230</v>
      </c>
      <c r="L111" s="5">
        <v>19</v>
      </c>
      <c r="M111" s="5">
        <v>3</v>
      </c>
      <c r="N111" s="5" t="s">
        <v>3</v>
      </c>
      <c r="O111" s="5">
        <v>2</v>
      </c>
      <c r="P111" s="5">
        <f>ROUND(Source!ES91,O111)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x14ac:dyDescent="0.2">
      <c r="A112" s="5">
        <v>50</v>
      </c>
      <c r="B112" s="5">
        <v>0</v>
      </c>
      <c r="C112" s="5">
        <v>0</v>
      </c>
      <c r="D112" s="5">
        <v>1</v>
      </c>
      <c r="E112" s="5">
        <v>206</v>
      </c>
      <c r="F112" s="5">
        <f>ROUND(Source!T91,O112)</f>
        <v>0</v>
      </c>
      <c r="G112" s="5" t="s">
        <v>195</v>
      </c>
      <c r="H112" s="5" t="s">
        <v>196</v>
      </c>
      <c r="I112" s="5"/>
      <c r="J112" s="5"/>
      <c r="K112" s="5">
        <v>206</v>
      </c>
      <c r="L112" s="5">
        <v>20</v>
      </c>
      <c r="M112" s="5">
        <v>3</v>
      </c>
      <c r="N112" s="5" t="s">
        <v>3</v>
      </c>
      <c r="O112" s="5">
        <v>2</v>
      </c>
      <c r="P112" s="5">
        <f>ROUND(Source!DL91,O112)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55" x14ac:dyDescent="0.2">
      <c r="A113" s="5">
        <v>50</v>
      </c>
      <c r="B113" s="5">
        <v>0</v>
      </c>
      <c r="C113" s="5">
        <v>0</v>
      </c>
      <c r="D113" s="5">
        <v>1</v>
      </c>
      <c r="E113" s="5">
        <v>207</v>
      </c>
      <c r="F113" s="5">
        <f>Source!U91</f>
        <v>355.44917100000004</v>
      </c>
      <c r="G113" s="5" t="s">
        <v>197</v>
      </c>
      <c r="H113" s="5" t="s">
        <v>198</v>
      </c>
      <c r="I113" s="5"/>
      <c r="J113" s="5"/>
      <c r="K113" s="5">
        <v>207</v>
      </c>
      <c r="L113" s="5">
        <v>21</v>
      </c>
      <c r="M113" s="5">
        <v>3</v>
      </c>
      <c r="N113" s="5" t="s">
        <v>3</v>
      </c>
      <c r="O113" s="5">
        <v>-1</v>
      </c>
      <c r="P113" s="5">
        <f>Source!DM91</f>
        <v>355.44917100000004</v>
      </c>
      <c r="Q113" s="5"/>
      <c r="R113" s="5"/>
      <c r="S113" s="5"/>
      <c r="T113" s="5"/>
      <c r="U113" s="5"/>
      <c r="V113" s="5"/>
      <c r="W113" s="5">
        <v>355.44917100000004</v>
      </c>
      <c r="X113" s="5">
        <v>1</v>
      </c>
      <c r="Y113" s="5">
        <v>355.44917100000004</v>
      </c>
      <c r="Z113" s="5">
        <v>355.44917100000004</v>
      </c>
      <c r="AA113" s="5">
        <v>1</v>
      </c>
      <c r="AB113" s="5">
        <v>355.44917100000004</v>
      </c>
    </row>
    <row r="114" spans="1:255" x14ac:dyDescent="0.2">
      <c r="A114" s="5">
        <v>50</v>
      </c>
      <c r="B114" s="5">
        <v>0</v>
      </c>
      <c r="C114" s="5">
        <v>0</v>
      </c>
      <c r="D114" s="5">
        <v>1</v>
      </c>
      <c r="E114" s="5">
        <v>208</v>
      </c>
      <c r="F114" s="5">
        <f>Source!V91</f>
        <v>0</v>
      </c>
      <c r="G114" s="5" t="s">
        <v>199</v>
      </c>
      <c r="H114" s="5" t="s">
        <v>200</v>
      </c>
      <c r="I114" s="5"/>
      <c r="J114" s="5"/>
      <c r="K114" s="5">
        <v>208</v>
      </c>
      <c r="L114" s="5">
        <v>22</v>
      </c>
      <c r="M114" s="5">
        <v>3</v>
      </c>
      <c r="N114" s="5" t="s">
        <v>3</v>
      </c>
      <c r="O114" s="5">
        <v>-1</v>
      </c>
      <c r="P114" s="5">
        <f>Source!DN91</f>
        <v>0</v>
      </c>
      <c r="Q114" s="5"/>
      <c r="R114" s="5"/>
      <c r="S114" s="5"/>
      <c r="T114" s="5"/>
      <c r="U114" s="5"/>
      <c r="V114" s="5"/>
      <c r="W114" s="5">
        <v>0</v>
      </c>
      <c r="X114" s="5">
        <v>1</v>
      </c>
      <c r="Y114" s="5">
        <v>0</v>
      </c>
      <c r="Z114" s="5">
        <v>0</v>
      </c>
      <c r="AA114" s="5">
        <v>1</v>
      </c>
      <c r="AB114" s="5">
        <v>0</v>
      </c>
    </row>
    <row r="115" spans="1:255" x14ac:dyDescent="0.2">
      <c r="A115" s="5">
        <v>50</v>
      </c>
      <c r="B115" s="5">
        <v>0</v>
      </c>
      <c r="C115" s="5">
        <v>0</v>
      </c>
      <c r="D115" s="5">
        <v>1</v>
      </c>
      <c r="E115" s="5">
        <v>209</v>
      </c>
      <c r="F115" s="5">
        <f>ROUND(Source!W91,O115)</f>
        <v>0</v>
      </c>
      <c r="G115" s="5" t="s">
        <v>201</v>
      </c>
      <c r="H115" s="5" t="s">
        <v>202</v>
      </c>
      <c r="I115" s="5"/>
      <c r="J115" s="5"/>
      <c r="K115" s="5">
        <v>209</v>
      </c>
      <c r="L115" s="5">
        <v>23</v>
      </c>
      <c r="M115" s="5">
        <v>3</v>
      </c>
      <c r="N115" s="5" t="s">
        <v>3</v>
      </c>
      <c r="O115" s="5">
        <v>2</v>
      </c>
      <c r="P115" s="5">
        <f>ROUND(Source!DO91,O115)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55" x14ac:dyDescent="0.2">
      <c r="A116" s="5">
        <v>50</v>
      </c>
      <c r="B116" s="5">
        <v>0</v>
      </c>
      <c r="C116" s="5">
        <v>0</v>
      </c>
      <c r="D116" s="5">
        <v>1</v>
      </c>
      <c r="E116" s="5">
        <v>233</v>
      </c>
      <c r="F116" s="5">
        <f>ROUND(Source!BD91,O116)</f>
        <v>0</v>
      </c>
      <c r="G116" s="5" t="s">
        <v>203</v>
      </c>
      <c r="H116" s="5" t="s">
        <v>204</v>
      </c>
      <c r="I116" s="5"/>
      <c r="J116" s="5"/>
      <c r="K116" s="5">
        <v>233</v>
      </c>
      <c r="L116" s="5">
        <v>24</v>
      </c>
      <c r="M116" s="5">
        <v>3</v>
      </c>
      <c r="N116" s="5" t="s">
        <v>3</v>
      </c>
      <c r="O116" s="5">
        <v>2</v>
      </c>
      <c r="P116" s="5">
        <f>ROUND(Source!EV91,O116)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55" x14ac:dyDescent="0.2">
      <c r="A117" s="5">
        <v>50</v>
      </c>
      <c r="B117" s="5">
        <v>0</v>
      </c>
      <c r="C117" s="5">
        <v>0</v>
      </c>
      <c r="D117" s="5">
        <v>1</v>
      </c>
      <c r="E117" s="5">
        <v>210</v>
      </c>
      <c r="F117" s="5">
        <f>ROUND(Source!X91,O117)</f>
        <v>4301.46</v>
      </c>
      <c r="G117" s="5" t="s">
        <v>205</v>
      </c>
      <c r="H117" s="5" t="s">
        <v>206</v>
      </c>
      <c r="I117" s="5"/>
      <c r="J117" s="5"/>
      <c r="K117" s="5">
        <v>210</v>
      </c>
      <c r="L117" s="5">
        <v>25</v>
      </c>
      <c r="M117" s="5">
        <v>3</v>
      </c>
      <c r="N117" s="5" t="s">
        <v>3</v>
      </c>
      <c r="O117" s="5">
        <v>2</v>
      </c>
      <c r="P117" s="5">
        <f>ROUND(Source!DP91,O117)</f>
        <v>236536.98</v>
      </c>
      <c r="Q117" s="5"/>
      <c r="R117" s="5"/>
      <c r="S117" s="5"/>
      <c r="T117" s="5"/>
      <c r="U117" s="5"/>
      <c r="V117" s="5"/>
      <c r="W117" s="5">
        <v>4301.46</v>
      </c>
      <c r="X117" s="5">
        <v>1</v>
      </c>
      <c r="Y117" s="5">
        <v>4301.46</v>
      </c>
      <c r="Z117" s="5">
        <v>236536.98</v>
      </c>
      <c r="AA117" s="5">
        <v>1</v>
      </c>
      <c r="AB117" s="5">
        <v>236536.98</v>
      </c>
    </row>
    <row r="118" spans="1:255" x14ac:dyDescent="0.2">
      <c r="A118" s="5">
        <v>50</v>
      </c>
      <c r="B118" s="5">
        <v>0</v>
      </c>
      <c r="C118" s="5">
        <v>0</v>
      </c>
      <c r="D118" s="5">
        <v>1</v>
      </c>
      <c r="E118" s="5">
        <v>211</v>
      </c>
      <c r="F118" s="5">
        <f>ROUND(Source!Y91,O118)</f>
        <v>2220.6</v>
      </c>
      <c r="G118" s="5" t="s">
        <v>207</v>
      </c>
      <c r="H118" s="5" t="s">
        <v>208</v>
      </c>
      <c r="I118" s="5"/>
      <c r="J118" s="5"/>
      <c r="K118" s="5">
        <v>211</v>
      </c>
      <c r="L118" s="5">
        <v>26</v>
      </c>
      <c r="M118" s="5">
        <v>3</v>
      </c>
      <c r="N118" s="5" t="s">
        <v>3</v>
      </c>
      <c r="O118" s="5">
        <v>2</v>
      </c>
      <c r="P118" s="5">
        <f>ROUND(Source!DQ91,O118)</f>
        <v>122111.46</v>
      </c>
      <c r="Q118" s="5"/>
      <c r="R118" s="5"/>
      <c r="S118" s="5"/>
      <c r="T118" s="5"/>
      <c r="U118" s="5"/>
      <c r="V118" s="5"/>
      <c r="W118" s="5">
        <v>2220.6</v>
      </c>
      <c r="X118" s="5">
        <v>1</v>
      </c>
      <c r="Y118" s="5">
        <v>2220.6</v>
      </c>
      <c r="Z118" s="5">
        <v>122111.46</v>
      </c>
      <c r="AA118" s="5">
        <v>1</v>
      </c>
      <c r="AB118" s="5">
        <v>122111.46</v>
      </c>
    </row>
    <row r="119" spans="1:255" x14ac:dyDescent="0.2">
      <c r="A119" s="5">
        <v>50</v>
      </c>
      <c r="B119" s="5">
        <v>0</v>
      </c>
      <c r="C119" s="5">
        <v>0</v>
      </c>
      <c r="D119" s="5">
        <v>1</v>
      </c>
      <c r="E119" s="5">
        <v>224</v>
      </c>
      <c r="F119" s="5">
        <f>ROUND(Source!AR91,O119)</f>
        <v>506949.48</v>
      </c>
      <c r="G119" s="5" t="s">
        <v>209</v>
      </c>
      <c r="H119" s="5" t="s">
        <v>210</v>
      </c>
      <c r="I119" s="5"/>
      <c r="J119" s="5"/>
      <c r="K119" s="5">
        <v>224</v>
      </c>
      <c r="L119" s="5">
        <v>27</v>
      </c>
      <c r="M119" s="5">
        <v>3</v>
      </c>
      <c r="N119" s="5" t="s">
        <v>3</v>
      </c>
      <c r="O119" s="5">
        <v>2</v>
      </c>
      <c r="P119" s="5">
        <f>ROUND(Source!EJ91,O119)</f>
        <v>4451096.9800000004</v>
      </c>
      <c r="Q119" s="5"/>
      <c r="R119" s="5"/>
      <c r="S119" s="5"/>
      <c r="T119" s="5"/>
      <c r="U119" s="5"/>
      <c r="V119" s="5"/>
      <c r="W119" s="5">
        <v>506949.48</v>
      </c>
      <c r="X119" s="5">
        <v>1</v>
      </c>
      <c r="Y119" s="5">
        <v>506949.48</v>
      </c>
      <c r="Z119" s="5">
        <v>4451096.9800000004</v>
      </c>
      <c r="AA119" s="5">
        <v>1</v>
      </c>
      <c r="AB119" s="5">
        <v>4451096.9800000004</v>
      </c>
    </row>
    <row r="121" spans="1:255" x14ac:dyDescent="0.2">
      <c r="A121" s="1">
        <v>4</v>
      </c>
      <c r="B121" s="1">
        <v>1</v>
      </c>
      <c r="C121" s="1"/>
      <c r="D121" s="1">
        <f>ROW(A164)</f>
        <v>164</v>
      </c>
      <c r="E121" s="1"/>
      <c r="F121" s="1" t="s">
        <v>18</v>
      </c>
      <c r="G121" s="1" t="s">
        <v>211</v>
      </c>
      <c r="H121" s="1" t="s">
        <v>3</v>
      </c>
      <c r="I121" s="1">
        <v>0</v>
      </c>
      <c r="J121" s="1"/>
      <c r="K121" s="1">
        <v>0</v>
      </c>
      <c r="L121" s="1"/>
      <c r="M121" s="1" t="s">
        <v>3</v>
      </c>
      <c r="N121" s="1"/>
      <c r="O121" s="1"/>
      <c r="P121" s="1"/>
      <c r="Q121" s="1"/>
      <c r="R121" s="1"/>
      <c r="S121" s="1">
        <v>0</v>
      </c>
      <c r="T121" s="1">
        <v>0</v>
      </c>
      <c r="U121" s="1" t="s">
        <v>3</v>
      </c>
      <c r="V121" s="1">
        <v>2</v>
      </c>
      <c r="W121" s="1"/>
      <c r="X121" s="1"/>
      <c r="Y121" s="1"/>
      <c r="Z121" s="1"/>
      <c r="AA121" s="1"/>
      <c r="AB121" s="1" t="s">
        <v>3</v>
      </c>
      <c r="AC121" s="1" t="s">
        <v>3</v>
      </c>
      <c r="AD121" s="1" t="s">
        <v>3</v>
      </c>
      <c r="AE121" s="1" t="s">
        <v>3</v>
      </c>
      <c r="AF121" s="1" t="s">
        <v>3</v>
      </c>
      <c r="AG121" s="1" t="s">
        <v>3</v>
      </c>
      <c r="AH121" s="1"/>
      <c r="AI121" s="1"/>
      <c r="AJ121" s="1"/>
      <c r="AK121" s="1"/>
      <c r="AL121" s="1"/>
      <c r="AM121" s="1"/>
      <c r="AN121" s="1"/>
      <c r="AO121" s="1"/>
      <c r="AP121" s="1" t="s">
        <v>3</v>
      </c>
      <c r="AQ121" s="1" t="s">
        <v>3</v>
      </c>
      <c r="AR121" s="1" t="s">
        <v>3</v>
      </c>
      <c r="AS121" s="1"/>
      <c r="AT121" s="1"/>
      <c r="AU121" s="1"/>
      <c r="AV121" s="1"/>
      <c r="AW121" s="1"/>
      <c r="AX121" s="1"/>
      <c r="AY121" s="1"/>
      <c r="AZ121" s="1" t="s">
        <v>3</v>
      </c>
      <c r="BA121" s="1"/>
      <c r="BB121" s="1" t="s">
        <v>3</v>
      </c>
      <c r="BC121" s="1" t="s">
        <v>3</v>
      </c>
      <c r="BD121" s="1" t="s">
        <v>3</v>
      </c>
      <c r="BE121" s="1" t="s">
        <v>3</v>
      </c>
      <c r="BF121" s="1" t="s">
        <v>3</v>
      </c>
      <c r="BG121" s="1" t="s">
        <v>3</v>
      </c>
      <c r="BH121" s="1" t="s">
        <v>3</v>
      </c>
      <c r="BI121" s="1" t="s">
        <v>3</v>
      </c>
      <c r="BJ121" s="1" t="s">
        <v>3</v>
      </c>
      <c r="BK121" s="1" t="s">
        <v>3</v>
      </c>
      <c r="BL121" s="1" t="s">
        <v>3</v>
      </c>
      <c r="BM121" s="1" t="s">
        <v>3</v>
      </c>
      <c r="BN121" s="1" t="s">
        <v>3</v>
      </c>
      <c r="BO121" s="1" t="s">
        <v>3</v>
      </c>
      <c r="BP121" s="1" t="s">
        <v>3</v>
      </c>
      <c r="BQ121" s="1"/>
      <c r="BR121" s="1"/>
      <c r="BS121" s="1"/>
      <c r="BT121" s="1"/>
      <c r="BU121" s="1"/>
      <c r="BV121" s="1"/>
      <c r="BW121" s="1"/>
      <c r="BX121" s="1">
        <v>0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>
        <v>0</v>
      </c>
    </row>
    <row r="123" spans="1:255" x14ac:dyDescent="0.2">
      <c r="A123" s="3">
        <v>52</v>
      </c>
      <c r="B123" s="3">
        <f t="shared" ref="B123:G123" si="95">B164</f>
        <v>1</v>
      </c>
      <c r="C123" s="3">
        <f t="shared" si="95"/>
        <v>4</v>
      </c>
      <c r="D123" s="3">
        <f t="shared" si="95"/>
        <v>121</v>
      </c>
      <c r="E123" s="3">
        <f t="shared" si="95"/>
        <v>0</v>
      </c>
      <c r="F123" s="3" t="str">
        <f t="shared" si="95"/>
        <v>Новый раздел</v>
      </c>
      <c r="G123" s="3" t="str">
        <f t="shared" si="95"/>
        <v>Кабельные изделия и материалы</v>
      </c>
      <c r="H123" s="3"/>
      <c r="I123" s="3"/>
      <c r="J123" s="3"/>
      <c r="K123" s="3"/>
      <c r="L123" s="3"/>
      <c r="M123" s="3"/>
      <c r="N123" s="3"/>
      <c r="O123" s="3">
        <f t="shared" ref="O123:AT123" si="96">O164</f>
        <v>25071.14</v>
      </c>
      <c r="P123" s="3">
        <f t="shared" si="96"/>
        <v>20467.3</v>
      </c>
      <c r="Q123" s="3">
        <f t="shared" si="96"/>
        <v>587.84</v>
      </c>
      <c r="R123" s="3">
        <f t="shared" si="96"/>
        <v>95.95</v>
      </c>
      <c r="S123" s="3">
        <f t="shared" si="96"/>
        <v>4016</v>
      </c>
      <c r="T123" s="3">
        <f t="shared" si="96"/>
        <v>0</v>
      </c>
      <c r="U123" s="3">
        <f t="shared" si="96"/>
        <v>316.50904229999998</v>
      </c>
      <c r="V123" s="3">
        <f t="shared" si="96"/>
        <v>0</v>
      </c>
      <c r="W123" s="3">
        <f t="shared" si="96"/>
        <v>0</v>
      </c>
      <c r="X123" s="3">
        <f t="shared" si="96"/>
        <v>3988.58</v>
      </c>
      <c r="Y123" s="3">
        <f t="shared" si="96"/>
        <v>2097.09</v>
      </c>
      <c r="Z123" s="3">
        <f t="shared" si="96"/>
        <v>0</v>
      </c>
      <c r="AA123" s="3">
        <f t="shared" si="96"/>
        <v>0</v>
      </c>
      <c r="AB123" s="3">
        <f t="shared" si="96"/>
        <v>25071.14</v>
      </c>
      <c r="AC123" s="3">
        <f t="shared" si="96"/>
        <v>20467.3</v>
      </c>
      <c r="AD123" s="3">
        <f t="shared" si="96"/>
        <v>587.84</v>
      </c>
      <c r="AE123" s="3">
        <f t="shared" si="96"/>
        <v>95.95</v>
      </c>
      <c r="AF123" s="3">
        <f t="shared" si="96"/>
        <v>4016</v>
      </c>
      <c r="AG123" s="3">
        <f t="shared" si="96"/>
        <v>0</v>
      </c>
      <c r="AH123" s="3">
        <f t="shared" si="96"/>
        <v>316.50904229999998</v>
      </c>
      <c r="AI123" s="3">
        <f t="shared" si="96"/>
        <v>0</v>
      </c>
      <c r="AJ123" s="3">
        <f t="shared" si="96"/>
        <v>0</v>
      </c>
      <c r="AK123" s="3">
        <f t="shared" si="96"/>
        <v>3988.58</v>
      </c>
      <c r="AL123" s="3">
        <f t="shared" si="96"/>
        <v>2097.09</v>
      </c>
      <c r="AM123" s="3">
        <f t="shared" si="96"/>
        <v>0</v>
      </c>
      <c r="AN123" s="3">
        <f t="shared" si="96"/>
        <v>0</v>
      </c>
      <c r="AO123" s="3">
        <f t="shared" si="96"/>
        <v>0</v>
      </c>
      <c r="AP123" s="3">
        <f t="shared" si="96"/>
        <v>0</v>
      </c>
      <c r="AQ123" s="3">
        <f t="shared" si="96"/>
        <v>0</v>
      </c>
      <c r="AR123" s="3">
        <f t="shared" si="96"/>
        <v>31156.81</v>
      </c>
      <c r="AS123" s="3">
        <f t="shared" si="96"/>
        <v>42.53</v>
      </c>
      <c r="AT123" s="3">
        <f t="shared" si="96"/>
        <v>31114.28</v>
      </c>
      <c r="AU123" s="3">
        <f t="shared" ref="AU123:BZ123" si="97">AU164</f>
        <v>0</v>
      </c>
      <c r="AV123" s="3">
        <f t="shared" si="97"/>
        <v>20467.3</v>
      </c>
      <c r="AW123" s="3">
        <f t="shared" si="97"/>
        <v>20467.3</v>
      </c>
      <c r="AX123" s="3">
        <f t="shared" si="97"/>
        <v>0</v>
      </c>
      <c r="AY123" s="3">
        <f t="shared" si="97"/>
        <v>20467.3</v>
      </c>
      <c r="AZ123" s="3">
        <f t="shared" si="97"/>
        <v>0</v>
      </c>
      <c r="BA123" s="3">
        <f t="shared" si="97"/>
        <v>0</v>
      </c>
      <c r="BB123" s="3">
        <f t="shared" si="97"/>
        <v>0</v>
      </c>
      <c r="BC123" s="3">
        <f t="shared" si="97"/>
        <v>0</v>
      </c>
      <c r="BD123" s="3">
        <f t="shared" si="97"/>
        <v>0</v>
      </c>
      <c r="BE123" s="3">
        <f t="shared" si="97"/>
        <v>0</v>
      </c>
      <c r="BF123" s="3">
        <f t="shared" si="97"/>
        <v>0</v>
      </c>
      <c r="BG123" s="3">
        <f t="shared" si="97"/>
        <v>0</v>
      </c>
      <c r="BH123" s="3">
        <f t="shared" si="97"/>
        <v>0</v>
      </c>
      <c r="BI123" s="3">
        <f t="shared" si="97"/>
        <v>0</v>
      </c>
      <c r="BJ123" s="3">
        <f t="shared" si="97"/>
        <v>0</v>
      </c>
      <c r="BK123" s="3">
        <f t="shared" si="97"/>
        <v>0</v>
      </c>
      <c r="BL123" s="3">
        <f t="shared" si="97"/>
        <v>0</v>
      </c>
      <c r="BM123" s="3">
        <f t="shared" si="97"/>
        <v>0</v>
      </c>
      <c r="BN123" s="3">
        <f t="shared" si="97"/>
        <v>0</v>
      </c>
      <c r="BO123" s="3">
        <f t="shared" si="97"/>
        <v>0</v>
      </c>
      <c r="BP123" s="3">
        <f t="shared" si="97"/>
        <v>0</v>
      </c>
      <c r="BQ123" s="3">
        <f t="shared" si="97"/>
        <v>0</v>
      </c>
      <c r="BR123" s="3">
        <f t="shared" si="97"/>
        <v>0</v>
      </c>
      <c r="BS123" s="3">
        <f t="shared" si="97"/>
        <v>0</v>
      </c>
      <c r="BT123" s="3">
        <f t="shared" si="97"/>
        <v>0</v>
      </c>
      <c r="BU123" s="3">
        <f t="shared" si="97"/>
        <v>0</v>
      </c>
      <c r="BV123" s="3">
        <f t="shared" si="97"/>
        <v>0</v>
      </c>
      <c r="BW123" s="3">
        <f t="shared" si="97"/>
        <v>0</v>
      </c>
      <c r="BX123" s="3">
        <f t="shared" si="97"/>
        <v>0</v>
      </c>
      <c r="BY123" s="3">
        <f t="shared" si="97"/>
        <v>0</v>
      </c>
      <c r="BZ123" s="3">
        <f t="shared" si="97"/>
        <v>0</v>
      </c>
      <c r="CA123" s="3">
        <f t="shared" ref="CA123:DF123" si="98">CA164</f>
        <v>31156.81</v>
      </c>
      <c r="CB123" s="3">
        <f t="shared" si="98"/>
        <v>42.53</v>
      </c>
      <c r="CC123" s="3">
        <f t="shared" si="98"/>
        <v>31114.28</v>
      </c>
      <c r="CD123" s="3">
        <f t="shared" si="98"/>
        <v>0</v>
      </c>
      <c r="CE123" s="3">
        <f t="shared" si="98"/>
        <v>20467.3</v>
      </c>
      <c r="CF123" s="3">
        <f t="shared" si="98"/>
        <v>20467.3</v>
      </c>
      <c r="CG123" s="3">
        <f t="shared" si="98"/>
        <v>0</v>
      </c>
      <c r="CH123" s="3">
        <f t="shared" si="98"/>
        <v>20467.3</v>
      </c>
      <c r="CI123" s="3">
        <f t="shared" si="98"/>
        <v>0</v>
      </c>
      <c r="CJ123" s="3">
        <f t="shared" si="98"/>
        <v>0</v>
      </c>
      <c r="CK123" s="3">
        <f t="shared" si="98"/>
        <v>0</v>
      </c>
      <c r="CL123" s="3">
        <f t="shared" si="98"/>
        <v>0</v>
      </c>
      <c r="CM123" s="3">
        <f t="shared" si="98"/>
        <v>0</v>
      </c>
      <c r="CN123" s="3">
        <f t="shared" si="98"/>
        <v>0</v>
      </c>
      <c r="CO123" s="3">
        <f t="shared" si="98"/>
        <v>0</v>
      </c>
      <c r="CP123" s="3">
        <f t="shared" si="98"/>
        <v>0</v>
      </c>
      <c r="CQ123" s="3">
        <f t="shared" si="98"/>
        <v>0</v>
      </c>
      <c r="CR123" s="3">
        <f t="shared" si="98"/>
        <v>0</v>
      </c>
      <c r="CS123" s="3">
        <f t="shared" si="98"/>
        <v>0</v>
      </c>
      <c r="CT123" s="3">
        <f t="shared" si="98"/>
        <v>0</v>
      </c>
      <c r="CU123" s="3">
        <f t="shared" si="98"/>
        <v>0</v>
      </c>
      <c r="CV123" s="3">
        <f t="shared" si="98"/>
        <v>0</v>
      </c>
      <c r="CW123" s="3">
        <f t="shared" si="98"/>
        <v>0</v>
      </c>
      <c r="CX123" s="3">
        <f t="shared" si="98"/>
        <v>0</v>
      </c>
      <c r="CY123" s="3">
        <f t="shared" si="98"/>
        <v>0</v>
      </c>
      <c r="CZ123" s="3">
        <f t="shared" si="98"/>
        <v>0</v>
      </c>
      <c r="DA123" s="3">
        <f t="shared" si="98"/>
        <v>0</v>
      </c>
      <c r="DB123" s="3">
        <f t="shared" si="98"/>
        <v>0</v>
      </c>
      <c r="DC123" s="3">
        <f t="shared" si="98"/>
        <v>0</v>
      </c>
      <c r="DD123" s="3">
        <f t="shared" si="98"/>
        <v>0</v>
      </c>
      <c r="DE123" s="3">
        <f t="shared" si="98"/>
        <v>0</v>
      </c>
      <c r="DF123" s="3">
        <f t="shared" si="98"/>
        <v>0</v>
      </c>
      <c r="DG123" s="4">
        <f t="shared" ref="DG123:EL123" si="99">DG164</f>
        <v>370293.04</v>
      </c>
      <c r="DH123" s="4">
        <f t="shared" si="99"/>
        <v>139283.34</v>
      </c>
      <c r="DI123" s="4">
        <f t="shared" si="99"/>
        <v>10169.86</v>
      </c>
      <c r="DJ123" s="4">
        <f t="shared" si="99"/>
        <v>5276.29</v>
      </c>
      <c r="DK123" s="4">
        <f t="shared" si="99"/>
        <v>220839.84</v>
      </c>
      <c r="DL123" s="4">
        <f t="shared" si="99"/>
        <v>0</v>
      </c>
      <c r="DM123" s="4">
        <f t="shared" si="99"/>
        <v>316.50904229999998</v>
      </c>
      <c r="DN123" s="4">
        <f t="shared" si="99"/>
        <v>0</v>
      </c>
      <c r="DO123" s="4">
        <f t="shared" si="99"/>
        <v>0</v>
      </c>
      <c r="DP123" s="4">
        <f t="shared" si="99"/>
        <v>219332.65</v>
      </c>
      <c r="DQ123" s="4">
        <f t="shared" si="99"/>
        <v>115319.22</v>
      </c>
      <c r="DR123" s="4">
        <f t="shared" si="99"/>
        <v>0</v>
      </c>
      <c r="DS123" s="4">
        <f t="shared" si="99"/>
        <v>0</v>
      </c>
      <c r="DT123" s="4">
        <f t="shared" si="99"/>
        <v>370293.04</v>
      </c>
      <c r="DU123" s="4">
        <f t="shared" si="99"/>
        <v>139283.34</v>
      </c>
      <c r="DV123" s="4">
        <f t="shared" si="99"/>
        <v>10169.86</v>
      </c>
      <c r="DW123" s="4">
        <f t="shared" si="99"/>
        <v>5276.29</v>
      </c>
      <c r="DX123" s="4">
        <f t="shared" si="99"/>
        <v>220839.84</v>
      </c>
      <c r="DY123" s="4">
        <f t="shared" si="99"/>
        <v>0</v>
      </c>
      <c r="DZ123" s="4">
        <f t="shared" si="99"/>
        <v>316.50904229999998</v>
      </c>
      <c r="EA123" s="4">
        <f t="shared" si="99"/>
        <v>0</v>
      </c>
      <c r="EB123" s="4">
        <f t="shared" si="99"/>
        <v>0</v>
      </c>
      <c r="EC123" s="4">
        <f t="shared" si="99"/>
        <v>219332.65</v>
      </c>
      <c r="ED123" s="4">
        <f t="shared" si="99"/>
        <v>115319.22</v>
      </c>
      <c r="EE123" s="4">
        <f t="shared" si="99"/>
        <v>0</v>
      </c>
      <c r="EF123" s="4">
        <f t="shared" si="99"/>
        <v>0</v>
      </c>
      <c r="EG123" s="4">
        <f t="shared" si="99"/>
        <v>0</v>
      </c>
      <c r="EH123" s="4">
        <f t="shared" si="99"/>
        <v>0</v>
      </c>
      <c r="EI123" s="4">
        <f t="shared" si="99"/>
        <v>0</v>
      </c>
      <c r="EJ123" s="4">
        <f t="shared" si="99"/>
        <v>704944.91</v>
      </c>
      <c r="EK123" s="4">
        <f t="shared" si="99"/>
        <v>179.48</v>
      </c>
      <c r="EL123" s="4">
        <f t="shared" si="99"/>
        <v>704765.43</v>
      </c>
      <c r="EM123" s="4">
        <f t="shared" ref="EM123:FR123" si="100">EM164</f>
        <v>0</v>
      </c>
      <c r="EN123" s="4">
        <f t="shared" si="100"/>
        <v>139283.34</v>
      </c>
      <c r="EO123" s="4">
        <f t="shared" si="100"/>
        <v>139283.34</v>
      </c>
      <c r="EP123" s="4">
        <f t="shared" si="100"/>
        <v>0</v>
      </c>
      <c r="EQ123" s="4">
        <f t="shared" si="100"/>
        <v>139283.34</v>
      </c>
      <c r="ER123" s="4">
        <f t="shared" si="100"/>
        <v>0</v>
      </c>
      <c r="ES123" s="4">
        <f t="shared" si="100"/>
        <v>0</v>
      </c>
      <c r="ET123" s="4">
        <f t="shared" si="100"/>
        <v>0</v>
      </c>
      <c r="EU123" s="4">
        <f t="shared" si="100"/>
        <v>0</v>
      </c>
      <c r="EV123" s="4">
        <f t="shared" si="100"/>
        <v>0</v>
      </c>
      <c r="EW123" s="4">
        <f t="shared" si="100"/>
        <v>0</v>
      </c>
      <c r="EX123" s="4">
        <f t="shared" si="100"/>
        <v>0</v>
      </c>
      <c r="EY123" s="4">
        <f t="shared" si="100"/>
        <v>0</v>
      </c>
      <c r="EZ123" s="4">
        <f t="shared" si="100"/>
        <v>0</v>
      </c>
      <c r="FA123" s="4">
        <f t="shared" si="100"/>
        <v>0</v>
      </c>
      <c r="FB123" s="4">
        <f t="shared" si="100"/>
        <v>0</v>
      </c>
      <c r="FC123" s="4">
        <f t="shared" si="100"/>
        <v>0</v>
      </c>
      <c r="FD123" s="4">
        <f t="shared" si="100"/>
        <v>0</v>
      </c>
      <c r="FE123" s="4">
        <f t="shared" si="100"/>
        <v>0</v>
      </c>
      <c r="FF123" s="4">
        <f t="shared" si="100"/>
        <v>0</v>
      </c>
      <c r="FG123" s="4">
        <f t="shared" si="100"/>
        <v>0</v>
      </c>
      <c r="FH123" s="4">
        <f t="shared" si="100"/>
        <v>0</v>
      </c>
      <c r="FI123" s="4">
        <f t="shared" si="100"/>
        <v>0</v>
      </c>
      <c r="FJ123" s="4">
        <f t="shared" si="100"/>
        <v>0</v>
      </c>
      <c r="FK123" s="4">
        <f t="shared" si="100"/>
        <v>0</v>
      </c>
      <c r="FL123" s="4">
        <f t="shared" si="100"/>
        <v>0</v>
      </c>
      <c r="FM123" s="4">
        <f t="shared" si="100"/>
        <v>0</v>
      </c>
      <c r="FN123" s="4">
        <f t="shared" si="100"/>
        <v>0</v>
      </c>
      <c r="FO123" s="4">
        <f t="shared" si="100"/>
        <v>0</v>
      </c>
      <c r="FP123" s="4">
        <f t="shared" si="100"/>
        <v>0</v>
      </c>
      <c r="FQ123" s="4">
        <f t="shared" si="100"/>
        <v>0</v>
      </c>
      <c r="FR123" s="4">
        <f t="shared" si="100"/>
        <v>0</v>
      </c>
      <c r="FS123" s="4">
        <f t="shared" ref="FS123:GX123" si="101">FS164</f>
        <v>704944.91</v>
      </c>
      <c r="FT123" s="4">
        <f t="shared" si="101"/>
        <v>179.48</v>
      </c>
      <c r="FU123" s="4">
        <f t="shared" si="101"/>
        <v>704765.43</v>
      </c>
      <c r="FV123" s="4">
        <f t="shared" si="101"/>
        <v>0</v>
      </c>
      <c r="FW123" s="4">
        <f t="shared" si="101"/>
        <v>139283.34</v>
      </c>
      <c r="FX123" s="4">
        <f t="shared" si="101"/>
        <v>139283.34</v>
      </c>
      <c r="FY123" s="4">
        <f t="shared" si="101"/>
        <v>0</v>
      </c>
      <c r="FZ123" s="4">
        <f t="shared" si="101"/>
        <v>139283.34</v>
      </c>
      <c r="GA123" s="4">
        <f t="shared" si="101"/>
        <v>0</v>
      </c>
      <c r="GB123" s="4">
        <f t="shared" si="101"/>
        <v>0</v>
      </c>
      <c r="GC123" s="4">
        <f t="shared" si="101"/>
        <v>0</v>
      </c>
      <c r="GD123" s="4">
        <f t="shared" si="101"/>
        <v>0</v>
      </c>
      <c r="GE123" s="4">
        <f t="shared" si="101"/>
        <v>0</v>
      </c>
      <c r="GF123" s="4">
        <f t="shared" si="101"/>
        <v>0</v>
      </c>
      <c r="GG123" s="4">
        <f t="shared" si="101"/>
        <v>0</v>
      </c>
      <c r="GH123" s="4">
        <f t="shared" si="101"/>
        <v>0</v>
      </c>
      <c r="GI123" s="4">
        <f t="shared" si="101"/>
        <v>0</v>
      </c>
      <c r="GJ123" s="4">
        <f t="shared" si="101"/>
        <v>0</v>
      </c>
      <c r="GK123" s="4">
        <f t="shared" si="101"/>
        <v>0</v>
      </c>
      <c r="GL123" s="4">
        <f t="shared" si="101"/>
        <v>0</v>
      </c>
      <c r="GM123" s="4">
        <f t="shared" si="101"/>
        <v>0</v>
      </c>
      <c r="GN123" s="4">
        <f t="shared" si="101"/>
        <v>0</v>
      </c>
      <c r="GO123" s="4">
        <f t="shared" si="101"/>
        <v>0</v>
      </c>
      <c r="GP123" s="4">
        <f t="shared" si="101"/>
        <v>0</v>
      </c>
      <c r="GQ123" s="4">
        <f t="shared" si="101"/>
        <v>0</v>
      </c>
      <c r="GR123" s="4">
        <f t="shared" si="101"/>
        <v>0</v>
      </c>
      <c r="GS123" s="4">
        <f t="shared" si="101"/>
        <v>0</v>
      </c>
      <c r="GT123" s="4">
        <f t="shared" si="101"/>
        <v>0</v>
      </c>
      <c r="GU123" s="4">
        <f t="shared" si="101"/>
        <v>0</v>
      </c>
      <c r="GV123" s="4">
        <f t="shared" si="101"/>
        <v>0</v>
      </c>
      <c r="GW123" s="4">
        <f t="shared" si="101"/>
        <v>0</v>
      </c>
      <c r="GX123" s="4">
        <f t="shared" si="101"/>
        <v>0</v>
      </c>
    </row>
    <row r="125" spans="1:255" x14ac:dyDescent="0.2">
      <c r="A125" s="2">
        <v>17</v>
      </c>
      <c r="B125" s="2">
        <v>1</v>
      </c>
      <c r="C125" s="2">
        <f>ROW(SmtRes!A109)</f>
        <v>109</v>
      </c>
      <c r="D125" s="2">
        <f>ROW(EtalonRes!A126)</f>
        <v>126</v>
      </c>
      <c r="E125" s="2" t="s">
        <v>212</v>
      </c>
      <c r="F125" s="2" t="s">
        <v>213</v>
      </c>
      <c r="G125" s="2" t="s">
        <v>214</v>
      </c>
      <c r="H125" s="2" t="s">
        <v>215</v>
      </c>
      <c r="I125" s="2">
        <f>ROUND(ROUND(870/100,4),9)</f>
        <v>8.6999999999999993</v>
      </c>
      <c r="J125" s="2">
        <v>0</v>
      </c>
      <c r="K125" s="2">
        <f>ROUND(ROUND(870/100,4),9)</f>
        <v>8.6999999999999993</v>
      </c>
      <c r="L125" s="2"/>
      <c r="M125" s="2"/>
      <c r="N125" s="2"/>
      <c r="O125" s="2">
        <f t="shared" ref="O125:O162" si="102">ROUND(CP125,2)</f>
        <v>4990.07</v>
      </c>
      <c r="P125" s="2">
        <f t="shared" ref="P125:P162" si="103">ROUND((ROUND((AC125*AW125*I125),2)*BC125),2)</f>
        <v>2734.32</v>
      </c>
      <c r="Q125" s="2">
        <f>(ROUND((ROUND((((ET125*1.1))*AV125*I125),2)*BB125),2)+ROUND((ROUND(((AE125-((EU125*1.1)))*AV125*I125),2)*BS125),2))</f>
        <v>329.35</v>
      </c>
      <c r="R125" s="2">
        <f t="shared" ref="R125:R162" si="104">ROUND((ROUND((AE125*AV125*I125),2)*BS125),2)</f>
        <v>57.21</v>
      </c>
      <c r="S125" s="2">
        <f t="shared" ref="S125:S162" si="105">ROUND((ROUND((AF125*AV125*I125),2)*BA125),2)</f>
        <v>1926.4</v>
      </c>
      <c r="T125" s="2">
        <f t="shared" ref="T125:T162" si="106">ROUND(CU125*I125,2)</f>
        <v>0</v>
      </c>
      <c r="U125" s="2">
        <f t="shared" ref="U125:U162" si="107">CV125*I125</f>
        <v>150.29684999999998</v>
      </c>
      <c r="V125" s="2">
        <f t="shared" ref="V125:V162" si="108">CW125*I125</f>
        <v>0</v>
      </c>
      <c r="W125" s="2">
        <f t="shared" ref="W125:W162" si="109">ROUND(CX125*I125,2)</f>
        <v>0</v>
      </c>
      <c r="X125" s="2">
        <f t="shared" ref="X125:X162" si="110">ROUND(CY125,2)</f>
        <v>1924.1</v>
      </c>
      <c r="Y125" s="2">
        <f t="shared" ref="Y125:Y162" si="111">ROUND(CZ125,2)</f>
        <v>1011.64</v>
      </c>
      <c r="Z125" s="2"/>
      <c r="AA125" s="2">
        <v>59213216</v>
      </c>
      <c r="AB125" s="2">
        <f t="shared" ref="AB125:AB162" si="112">ROUND((AC125+AD125+AF125),6)</f>
        <v>561.93299999999999</v>
      </c>
      <c r="AC125" s="2">
        <f>ROUND(((ES125*1)),6)</f>
        <v>314.29000000000002</v>
      </c>
      <c r="AD125" s="2">
        <f>ROUND(((((ET125*1.1))-((EU125*1.1)))+AE125),6)</f>
        <v>36.156999999999996</v>
      </c>
      <c r="AE125" s="2">
        <f>ROUND(((EU125*1.1)),6)</f>
        <v>6.2809999999999997</v>
      </c>
      <c r="AF125" s="2">
        <f>ROUND(((EV125*1.1)),6)</f>
        <v>211.48599999999999</v>
      </c>
      <c r="AG125" s="2">
        <f t="shared" ref="AG125:AG162" si="113">ROUND((AP125),6)</f>
        <v>0</v>
      </c>
      <c r="AH125" s="2">
        <f>((EW125*1.1))</f>
        <v>16.5</v>
      </c>
      <c r="AI125" s="2">
        <f>((EX125*1.1))</f>
        <v>0</v>
      </c>
      <c r="AJ125" s="2">
        <f t="shared" ref="AJ125:AJ162" si="114">(AS125)</f>
        <v>0</v>
      </c>
      <c r="AK125" s="2">
        <v>539.41999999999996</v>
      </c>
      <c r="AL125" s="2">
        <v>314.29000000000002</v>
      </c>
      <c r="AM125" s="2">
        <v>32.869999999999997</v>
      </c>
      <c r="AN125" s="2">
        <v>5.71</v>
      </c>
      <c r="AO125" s="2">
        <v>192.26</v>
      </c>
      <c r="AP125" s="2">
        <v>0</v>
      </c>
      <c r="AQ125" s="2">
        <v>15</v>
      </c>
      <c r="AR125" s="2">
        <v>0</v>
      </c>
      <c r="AS125" s="2">
        <v>0</v>
      </c>
      <c r="AT125" s="2">
        <v>97</v>
      </c>
      <c r="AU125" s="2">
        <v>51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216</v>
      </c>
      <c r="BK125" s="2"/>
      <c r="BL125" s="2"/>
      <c r="BM125" s="2">
        <v>67</v>
      </c>
      <c r="BN125" s="2">
        <v>58808062</v>
      </c>
      <c r="BO125" s="2" t="s">
        <v>213</v>
      </c>
      <c r="BP125" s="2">
        <v>1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97</v>
      </c>
      <c r="CA125" s="2">
        <v>51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492</v>
      </c>
      <c r="CO125" s="2">
        <v>0</v>
      </c>
      <c r="CP125" s="2">
        <f t="shared" ref="CP125:CP162" si="115">(P125+Q125+S125)</f>
        <v>4990.07</v>
      </c>
      <c r="CQ125" s="2">
        <f t="shared" ref="CQ125:CQ162" si="116">ROUND((ROUND((AC125*AW125*1),2)*BC125),2)</f>
        <v>314.29000000000002</v>
      </c>
      <c r="CR125" s="2">
        <f>(ROUND((ROUND((((ET125*1.1))*AV125*1),2)*BB125),2)+ROUND((ROUND(((AE125-((EU125*1.1)))*AV125*1),2)*BS125),2))</f>
        <v>37.86</v>
      </c>
      <c r="CS125" s="2">
        <f t="shared" ref="CS125:CS162" si="117">ROUND((ROUND((AE125*AV125*1),2)*BS125),2)</f>
        <v>6.58</v>
      </c>
      <c r="CT125" s="2">
        <f t="shared" ref="CT125:CT162" si="118">ROUND((ROUND((AF125*AV125*1),2)*BA125),2)</f>
        <v>221.43</v>
      </c>
      <c r="CU125" s="2">
        <f t="shared" ref="CU125:CU162" si="119">AG125</f>
        <v>0</v>
      </c>
      <c r="CV125" s="2">
        <f t="shared" ref="CV125:CV162" si="120">(AH125*AV125)</f>
        <v>17.275499999999997</v>
      </c>
      <c r="CW125" s="2">
        <f t="shared" ref="CW125:CW162" si="121">AI125</f>
        <v>0</v>
      </c>
      <c r="CX125" s="2">
        <f t="shared" ref="CX125:CX162" si="122">AJ125</f>
        <v>0</v>
      </c>
      <c r="CY125" s="2">
        <f t="shared" ref="CY125:CY162" si="123">(((S125+R125)*AT125)/100)</f>
        <v>1924.1017000000002</v>
      </c>
      <c r="CZ125" s="2">
        <f t="shared" ref="CZ125:CZ162" si="124">(((S125+R125)*AU125)/100)</f>
        <v>1011.6411000000001</v>
      </c>
      <c r="DA125" s="2"/>
      <c r="DB125" s="2">
        <v>29</v>
      </c>
      <c r="DC125" s="2" t="s">
        <v>3</v>
      </c>
      <c r="DD125" s="2" t="s">
        <v>25</v>
      </c>
      <c r="DE125" s="2" t="s">
        <v>26</v>
      </c>
      <c r="DF125" s="2" t="s">
        <v>26</v>
      </c>
      <c r="DG125" s="2" t="s">
        <v>26</v>
      </c>
      <c r="DH125" s="2" t="s">
        <v>3</v>
      </c>
      <c r="DI125" s="2" t="s">
        <v>26</v>
      </c>
      <c r="DJ125" s="2" t="s">
        <v>26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1003</v>
      </c>
      <c r="DV125" s="2" t="s">
        <v>215</v>
      </c>
      <c r="DW125" s="2" t="s">
        <v>215</v>
      </c>
      <c r="DX125" s="2">
        <v>100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58808177</v>
      </c>
      <c r="EF125" s="2">
        <v>40</v>
      </c>
      <c r="EG125" s="2" t="s">
        <v>27</v>
      </c>
      <c r="EH125" s="2">
        <v>0</v>
      </c>
      <c r="EI125" s="2" t="s">
        <v>3</v>
      </c>
      <c r="EJ125" s="2">
        <v>2</v>
      </c>
      <c r="EK125" s="2">
        <v>67</v>
      </c>
      <c r="EL125" s="2" t="s">
        <v>217</v>
      </c>
      <c r="EM125" s="2" t="s">
        <v>218</v>
      </c>
      <c r="EN125" s="2"/>
      <c r="EO125" s="2" t="s">
        <v>30</v>
      </c>
      <c r="EP125" s="2"/>
      <c r="EQ125" s="2">
        <v>0</v>
      </c>
      <c r="ER125" s="2">
        <v>539.41999999999996</v>
      </c>
      <c r="ES125" s="2">
        <v>314.29000000000002</v>
      </c>
      <c r="ET125" s="2">
        <v>32.869999999999997</v>
      </c>
      <c r="EU125" s="2">
        <v>5.71</v>
      </c>
      <c r="EV125" s="2">
        <v>192.26</v>
      </c>
      <c r="EW125" s="2">
        <v>15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97</v>
      </c>
      <c r="FY125" s="2">
        <v>51</v>
      </c>
      <c r="FZ125" s="2"/>
      <c r="GA125" s="2" t="s">
        <v>3</v>
      </c>
      <c r="GB125" s="2"/>
      <c r="GC125" s="2"/>
      <c r="GD125" s="2">
        <v>1</v>
      </c>
      <c r="GE125" s="2"/>
      <c r="GF125" s="2">
        <v>1705749599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ref="GL125:GL162" si="125">ROUND(IF(AND(BH125=3,BI125=3,FS125&lt;&gt;0),P125,0),2)</f>
        <v>0</v>
      </c>
      <c r="GM125" s="2">
        <f t="shared" ref="GM125:GM162" si="126">ROUND(O125+X125+Y125,2)+GX125</f>
        <v>7925.81</v>
      </c>
      <c r="GN125" s="2">
        <f t="shared" ref="GN125:GN162" si="127">IF(OR(BI125=0,BI125=1),GM125-GX125,0)</f>
        <v>0</v>
      </c>
      <c r="GO125" s="2">
        <f t="shared" ref="GO125:GO162" si="128">IF(BI125=2,GM125-GX125,0)</f>
        <v>7925.81</v>
      </c>
      <c r="GP125" s="2">
        <f t="shared" ref="GP125:GP162" si="129">IF(BI125=4,GM125-GX125,0)</f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ref="GV125:GV162" si="130">ROUND((GT125),6)</f>
        <v>0</v>
      </c>
      <c r="GW125" s="2">
        <v>1</v>
      </c>
      <c r="GX125" s="2">
        <f t="shared" ref="GX125:GX162" si="131">ROUND(HC125*I125,2)</f>
        <v>0</v>
      </c>
      <c r="GY125" s="2"/>
      <c r="GZ125" s="2"/>
      <c r="HA125" s="2">
        <v>0</v>
      </c>
      <c r="HB125" s="2">
        <v>0</v>
      </c>
      <c r="HC125" s="2">
        <f t="shared" ref="HC125:HC162" si="132">GV125*GW125</f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C126">
        <f>ROW(SmtRes!A112)</f>
        <v>112</v>
      </c>
      <c r="D126">
        <f>ROW(EtalonRes!A130)</f>
        <v>130</v>
      </c>
      <c r="E126" t="s">
        <v>212</v>
      </c>
      <c r="F126" t="s">
        <v>213</v>
      </c>
      <c r="G126" t="s">
        <v>214</v>
      </c>
      <c r="H126" t="s">
        <v>215</v>
      </c>
      <c r="I126">
        <f>ROUND(ROUND(870/100,4),9)</f>
        <v>8.6999999999999993</v>
      </c>
      <c r="J126">
        <v>0</v>
      </c>
      <c r="K126">
        <f>ROUND(ROUND(870/100,4),9)</f>
        <v>8.6999999999999993</v>
      </c>
      <c r="O126">
        <f t="shared" si="102"/>
        <v>138854.06</v>
      </c>
      <c r="P126">
        <f t="shared" si="103"/>
        <v>27042.42</v>
      </c>
      <c r="Q126">
        <f>(ROUND((ROUND((((ET126*1.1))*AV126*I126),2)*BB126),2)+ROUND((ROUND(((AE126-((EU126*1.1)))*AV126*I126),2)*BS126),2))</f>
        <v>5878.9</v>
      </c>
      <c r="R126">
        <f t="shared" si="104"/>
        <v>3145.98</v>
      </c>
      <c r="S126">
        <f t="shared" si="105"/>
        <v>105932.74</v>
      </c>
      <c r="T126">
        <f t="shared" si="106"/>
        <v>0</v>
      </c>
      <c r="U126">
        <f t="shared" si="107"/>
        <v>150.29684999999998</v>
      </c>
      <c r="V126">
        <f t="shared" si="108"/>
        <v>0</v>
      </c>
      <c r="W126">
        <f t="shared" si="109"/>
        <v>0</v>
      </c>
      <c r="X126">
        <f t="shared" si="110"/>
        <v>105806.36</v>
      </c>
      <c r="Y126">
        <f t="shared" si="111"/>
        <v>55630.15</v>
      </c>
      <c r="AA126">
        <v>59213213</v>
      </c>
      <c r="AB126">
        <f t="shared" si="112"/>
        <v>561.93299999999999</v>
      </c>
      <c r="AC126">
        <f>ROUND(((ES126*1)),6)</f>
        <v>314.29000000000002</v>
      </c>
      <c r="AD126">
        <f>ROUND(((((ET126*1.1))-((EU126*1.1)))+AE126),6)</f>
        <v>36.156999999999996</v>
      </c>
      <c r="AE126">
        <f>ROUND(((EU126*1.1)),6)</f>
        <v>6.2809999999999997</v>
      </c>
      <c r="AF126">
        <f>ROUND(((EV126*1.1)),6)</f>
        <v>211.48599999999999</v>
      </c>
      <c r="AG126">
        <f t="shared" si="113"/>
        <v>0</v>
      </c>
      <c r="AH126">
        <f>((EW126*1.1))</f>
        <v>16.5</v>
      </c>
      <c r="AI126">
        <f>((EX126*1.1))</f>
        <v>0</v>
      </c>
      <c r="AJ126">
        <f t="shared" si="114"/>
        <v>0</v>
      </c>
      <c r="AK126">
        <v>539.41999999999996</v>
      </c>
      <c r="AL126">
        <v>314.29000000000002</v>
      </c>
      <c r="AM126">
        <v>32.869999999999997</v>
      </c>
      <c r="AN126">
        <v>5.71</v>
      </c>
      <c r="AO126">
        <v>192.26</v>
      </c>
      <c r="AP126">
        <v>0</v>
      </c>
      <c r="AQ126">
        <v>15</v>
      </c>
      <c r="AR126">
        <v>0</v>
      </c>
      <c r="AS126">
        <v>0</v>
      </c>
      <c r="AT126">
        <v>97</v>
      </c>
      <c r="AU126">
        <v>51</v>
      </c>
      <c r="AV126">
        <v>1.0469999999999999</v>
      </c>
      <c r="AW126">
        <v>1</v>
      </c>
      <c r="AZ126">
        <v>1</v>
      </c>
      <c r="BA126">
        <v>54.99</v>
      </c>
      <c r="BB126">
        <v>17.850000000000001</v>
      </c>
      <c r="BC126">
        <v>9.89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216</v>
      </c>
      <c r="BM126">
        <v>67</v>
      </c>
      <c r="BN126">
        <v>58808062</v>
      </c>
      <c r="BO126" t="s">
        <v>213</v>
      </c>
      <c r="BP126">
        <v>1</v>
      </c>
      <c r="BQ126">
        <v>40</v>
      </c>
      <c r="BR126">
        <v>0</v>
      </c>
      <c r="BS126">
        <v>54.99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97</v>
      </c>
      <c r="CA126">
        <v>51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492</v>
      </c>
      <c r="CO126">
        <v>0</v>
      </c>
      <c r="CP126">
        <f t="shared" si="115"/>
        <v>138854.06</v>
      </c>
      <c r="CQ126">
        <f t="shared" si="116"/>
        <v>3108.33</v>
      </c>
      <c r="CR126">
        <f>(ROUND((ROUND((((ET126*1.1))*AV126*1),2)*BB126),2)+ROUND((ROUND(((AE126-((EU126*1.1)))*AV126*1),2)*BS126),2))</f>
        <v>675.8</v>
      </c>
      <c r="CS126">
        <f t="shared" si="117"/>
        <v>361.83</v>
      </c>
      <c r="CT126">
        <f t="shared" si="118"/>
        <v>12176.44</v>
      </c>
      <c r="CU126">
        <f t="shared" si="119"/>
        <v>0</v>
      </c>
      <c r="CV126">
        <f t="shared" si="120"/>
        <v>17.275499999999997</v>
      </c>
      <c r="CW126">
        <f t="shared" si="121"/>
        <v>0</v>
      </c>
      <c r="CX126">
        <f t="shared" si="122"/>
        <v>0</v>
      </c>
      <c r="CY126">
        <f t="shared" si="123"/>
        <v>105806.3584</v>
      </c>
      <c r="CZ126">
        <f t="shared" si="124"/>
        <v>55630.147199999999</v>
      </c>
      <c r="DB126">
        <v>30</v>
      </c>
      <c r="DC126" t="s">
        <v>3</v>
      </c>
      <c r="DD126" t="s">
        <v>25</v>
      </c>
      <c r="DE126" t="s">
        <v>26</v>
      </c>
      <c r="DF126" t="s">
        <v>26</v>
      </c>
      <c r="DG126" t="s">
        <v>26</v>
      </c>
      <c r="DH126" t="s">
        <v>3</v>
      </c>
      <c r="DI126" t="s">
        <v>26</v>
      </c>
      <c r="DJ126" t="s">
        <v>26</v>
      </c>
      <c r="DK126" t="s">
        <v>3</v>
      </c>
      <c r="DL126" t="s">
        <v>3</v>
      </c>
      <c r="DM126" t="s">
        <v>3</v>
      </c>
      <c r="DN126">
        <v>0</v>
      </c>
      <c r="DO126">
        <v>0</v>
      </c>
      <c r="DP126">
        <v>1</v>
      </c>
      <c r="DQ126">
        <v>1</v>
      </c>
      <c r="DU126">
        <v>1003</v>
      </c>
      <c r="DV126" t="s">
        <v>215</v>
      </c>
      <c r="DW126" t="s">
        <v>215</v>
      </c>
      <c r="DX126">
        <v>100</v>
      </c>
      <c r="DZ126" t="s">
        <v>3</v>
      </c>
      <c r="EA126" t="s">
        <v>3</v>
      </c>
      <c r="EB126" t="s">
        <v>3</v>
      </c>
      <c r="EC126" t="s">
        <v>3</v>
      </c>
      <c r="EE126">
        <v>58808177</v>
      </c>
      <c r="EF126">
        <v>40</v>
      </c>
      <c r="EG126" t="s">
        <v>27</v>
      </c>
      <c r="EH126">
        <v>0</v>
      </c>
      <c r="EI126" t="s">
        <v>3</v>
      </c>
      <c r="EJ126">
        <v>2</v>
      </c>
      <c r="EK126">
        <v>67</v>
      </c>
      <c r="EL126" t="s">
        <v>217</v>
      </c>
      <c r="EM126" t="s">
        <v>218</v>
      </c>
      <c r="EO126" t="s">
        <v>30</v>
      </c>
      <c r="EQ126">
        <v>0</v>
      </c>
      <c r="ER126">
        <v>539.41999999999996</v>
      </c>
      <c r="ES126">
        <v>314.29000000000002</v>
      </c>
      <c r="ET126">
        <v>32.869999999999997</v>
      </c>
      <c r="EU126">
        <v>5.71</v>
      </c>
      <c r="EV126">
        <v>192.26</v>
      </c>
      <c r="EW126">
        <v>15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97</v>
      </c>
      <c r="FY126">
        <v>51</v>
      </c>
      <c r="GA126" t="s">
        <v>3</v>
      </c>
      <c r="GD126">
        <v>1</v>
      </c>
      <c r="GF126">
        <v>1705749599</v>
      </c>
      <c r="GG126">
        <v>2</v>
      </c>
      <c r="GH126">
        <v>1</v>
      </c>
      <c r="GI126">
        <v>2</v>
      </c>
      <c r="GJ126">
        <v>0</v>
      </c>
      <c r="GK126">
        <v>0</v>
      </c>
      <c r="GL126">
        <f t="shared" si="125"/>
        <v>0</v>
      </c>
      <c r="GM126">
        <f t="shared" si="126"/>
        <v>300290.57</v>
      </c>
      <c r="GN126">
        <f t="shared" si="127"/>
        <v>0</v>
      </c>
      <c r="GO126">
        <f t="shared" si="128"/>
        <v>300290.57</v>
      </c>
      <c r="GP126">
        <f t="shared" si="129"/>
        <v>0</v>
      </c>
      <c r="GR126">
        <v>0</v>
      </c>
      <c r="GS126">
        <v>3</v>
      </c>
      <c r="GT126">
        <v>0</v>
      </c>
      <c r="GU126" t="s">
        <v>3</v>
      </c>
      <c r="GV126">
        <f t="shared" si="130"/>
        <v>0</v>
      </c>
      <c r="GW126">
        <v>1</v>
      </c>
      <c r="GX126">
        <f t="shared" si="131"/>
        <v>0</v>
      </c>
      <c r="HA126">
        <v>0</v>
      </c>
      <c r="HB126">
        <v>0</v>
      </c>
      <c r="HC126">
        <f t="shared" si="132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18</v>
      </c>
      <c r="B127" s="2">
        <v>1</v>
      </c>
      <c r="C127" s="2">
        <v>108</v>
      </c>
      <c r="D127" s="2"/>
      <c r="E127" s="2" t="s">
        <v>219</v>
      </c>
      <c r="F127" s="2" t="s">
        <v>220</v>
      </c>
      <c r="G127" s="2" t="s">
        <v>221</v>
      </c>
      <c r="H127" s="2" t="s">
        <v>222</v>
      </c>
      <c r="I127" s="2">
        <f>I125*J127</f>
        <v>887.4</v>
      </c>
      <c r="J127" s="2">
        <v>102</v>
      </c>
      <c r="K127" s="2">
        <v>102</v>
      </c>
      <c r="L127" s="2"/>
      <c r="M127" s="2"/>
      <c r="N127" s="2"/>
      <c r="O127" s="2">
        <f t="shared" si="102"/>
        <v>3061.53</v>
      </c>
      <c r="P127" s="2">
        <f t="shared" si="103"/>
        <v>3061.53</v>
      </c>
      <c r="Q127" s="2">
        <f>(ROUND((ROUND(((ET127)*AV127*I127),2)*BB127),2)+ROUND((ROUND(((AE127-(EU127))*AV127*I127),2)*BS127),2))</f>
        <v>0</v>
      </c>
      <c r="R127" s="2">
        <f t="shared" si="104"/>
        <v>0</v>
      </c>
      <c r="S127" s="2">
        <f t="shared" si="105"/>
        <v>0</v>
      </c>
      <c r="T127" s="2">
        <f t="shared" si="106"/>
        <v>0</v>
      </c>
      <c r="U127" s="2">
        <f t="shared" si="107"/>
        <v>0</v>
      </c>
      <c r="V127" s="2">
        <f t="shared" si="108"/>
        <v>0</v>
      </c>
      <c r="W127" s="2">
        <f t="shared" si="109"/>
        <v>0</v>
      </c>
      <c r="X127" s="2">
        <f t="shared" si="110"/>
        <v>0</v>
      </c>
      <c r="Y127" s="2">
        <f t="shared" si="111"/>
        <v>0</v>
      </c>
      <c r="Z127" s="2"/>
      <c r="AA127" s="2">
        <v>59213216</v>
      </c>
      <c r="AB127" s="2">
        <f t="shared" si="112"/>
        <v>3.45</v>
      </c>
      <c r="AC127" s="2">
        <f>ROUND((ES127),6)</f>
        <v>3.45</v>
      </c>
      <c r="AD127" s="2">
        <f>ROUND((((ET127)-(EU127))+AE127),6)</f>
        <v>0</v>
      </c>
      <c r="AE127" s="2">
        <f t="shared" ref="AE127:AF130" si="133">ROUND((EU127),6)</f>
        <v>0</v>
      </c>
      <c r="AF127" s="2">
        <f t="shared" si="133"/>
        <v>0</v>
      </c>
      <c r="AG127" s="2">
        <f t="shared" si="113"/>
        <v>0</v>
      </c>
      <c r="AH127" s="2">
        <f t="shared" ref="AH127:AI130" si="134">(EW127)</f>
        <v>0</v>
      </c>
      <c r="AI127" s="2">
        <f t="shared" si="134"/>
        <v>0</v>
      </c>
      <c r="AJ127" s="2">
        <f t="shared" si="114"/>
        <v>0</v>
      </c>
      <c r="AK127" s="2">
        <v>3.45</v>
      </c>
      <c r="AL127" s="2">
        <v>3.45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97</v>
      </c>
      <c r="AU127" s="2">
        <v>51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2</v>
      </c>
      <c r="BJ127" s="2" t="s">
        <v>223</v>
      </c>
      <c r="BK127" s="2"/>
      <c r="BL127" s="2"/>
      <c r="BM127" s="2">
        <v>67</v>
      </c>
      <c r="BN127" s="2">
        <v>58808062</v>
      </c>
      <c r="BO127" s="2" t="s">
        <v>3</v>
      </c>
      <c r="BP127" s="2">
        <v>0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97</v>
      </c>
      <c r="CA127" s="2">
        <v>51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492</v>
      </c>
      <c r="CO127" s="2">
        <v>0</v>
      </c>
      <c r="CP127" s="2">
        <f t="shared" si="115"/>
        <v>3061.53</v>
      </c>
      <c r="CQ127" s="2">
        <f t="shared" si="116"/>
        <v>3.45</v>
      </c>
      <c r="CR127" s="2">
        <f>(ROUND((ROUND(((ET127)*AV127*1),2)*BB127),2)+ROUND((ROUND(((AE127-(EU127))*AV127*1),2)*BS127),2))</f>
        <v>0</v>
      </c>
      <c r="CS127" s="2">
        <f t="shared" si="117"/>
        <v>0</v>
      </c>
      <c r="CT127" s="2">
        <f t="shared" si="118"/>
        <v>0</v>
      </c>
      <c r="CU127" s="2">
        <f t="shared" si="119"/>
        <v>0</v>
      </c>
      <c r="CV127" s="2">
        <f t="shared" si="120"/>
        <v>0</v>
      </c>
      <c r="CW127" s="2">
        <f t="shared" si="121"/>
        <v>0</v>
      </c>
      <c r="CX127" s="2">
        <f t="shared" si="122"/>
        <v>0</v>
      </c>
      <c r="CY127" s="2">
        <f t="shared" si="123"/>
        <v>0</v>
      </c>
      <c r="CZ127" s="2">
        <f t="shared" si="124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1003</v>
      </c>
      <c r="DV127" s="2" t="s">
        <v>222</v>
      </c>
      <c r="DW127" s="2" t="s">
        <v>222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58808177</v>
      </c>
      <c r="EF127" s="2">
        <v>40</v>
      </c>
      <c r="EG127" s="2" t="s">
        <v>27</v>
      </c>
      <c r="EH127" s="2">
        <v>0</v>
      </c>
      <c r="EI127" s="2" t="s">
        <v>3</v>
      </c>
      <c r="EJ127" s="2">
        <v>2</v>
      </c>
      <c r="EK127" s="2">
        <v>67</v>
      </c>
      <c r="EL127" s="2" t="s">
        <v>217</v>
      </c>
      <c r="EM127" s="2" t="s">
        <v>218</v>
      </c>
      <c r="EN127" s="2"/>
      <c r="EO127" s="2" t="s">
        <v>30</v>
      </c>
      <c r="EP127" s="2"/>
      <c r="EQ127" s="2">
        <v>0</v>
      </c>
      <c r="ER127" s="2">
        <v>3.45</v>
      </c>
      <c r="ES127" s="2">
        <v>3.45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97</v>
      </c>
      <c r="FY127" s="2">
        <v>51</v>
      </c>
      <c r="FZ127" s="2"/>
      <c r="GA127" s="2" t="s">
        <v>3</v>
      </c>
      <c r="GB127" s="2"/>
      <c r="GC127" s="2"/>
      <c r="GD127" s="2">
        <v>1</v>
      </c>
      <c r="GE127" s="2"/>
      <c r="GF127" s="2">
        <v>-1305428159</v>
      </c>
      <c r="GG127" s="2">
        <v>2</v>
      </c>
      <c r="GH127" s="2">
        <v>1</v>
      </c>
      <c r="GI127" s="2">
        <v>-2</v>
      </c>
      <c r="GJ127" s="2">
        <v>0</v>
      </c>
      <c r="GK127" s="2">
        <v>0</v>
      </c>
      <c r="GL127" s="2">
        <f t="shared" si="125"/>
        <v>0</v>
      </c>
      <c r="GM127" s="2">
        <f t="shared" si="126"/>
        <v>3061.53</v>
      </c>
      <c r="GN127" s="2">
        <f t="shared" si="127"/>
        <v>0</v>
      </c>
      <c r="GO127" s="2">
        <f t="shared" si="128"/>
        <v>3061.53</v>
      </c>
      <c r="GP127" s="2">
        <f t="shared" si="129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30"/>
        <v>0</v>
      </c>
      <c r="GW127" s="2">
        <v>1</v>
      </c>
      <c r="GX127" s="2">
        <f t="shared" si="131"/>
        <v>0</v>
      </c>
      <c r="GY127" s="2"/>
      <c r="GZ127" s="2"/>
      <c r="HA127" s="2">
        <v>0</v>
      </c>
      <c r="HB127" s="2">
        <v>0</v>
      </c>
      <c r="HC127" s="2">
        <f t="shared" si="132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25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18</v>
      </c>
      <c r="B128">
        <v>1</v>
      </c>
      <c r="C128">
        <v>111</v>
      </c>
      <c r="E128" t="s">
        <v>219</v>
      </c>
      <c r="F128" t="s">
        <v>220</v>
      </c>
      <c r="G128" t="s">
        <v>221</v>
      </c>
      <c r="H128" t="s">
        <v>222</v>
      </c>
      <c r="I128">
        <f>I126*J128</f>
        <v>887.4</v>
      </c>
      <c r="J128">
        <v>102</v>
      </c>
      <c r="K128">
        <v>102</v>
      </c>
      <c r="O128">
        <f t="shared" si="102"/>
        <v>12031.81</v>
      </c>
      <c r="P128">
        <f t="shared" si="103"/>
        <v>12031.81</v>
      </c>
      <c r="Q128">
        <f>(ROUND((ROUND(((ET128)*AV128*I128),2)*BB128),2)+ROUND((ROUND(((AE128-(EU128))*AV128*I128),2)*BS128),2))</f>
        <v>0</v>
      </c>
      <c r="R128">
        <f t="shared" si="104"/>
        <v>0</v>
      </c>
      <c r="S128">
        <f t="shared" si="105"/>
        <v>0</v>
      </c>
      <c r="T128">
        <f t="shared" si="106"/>
        <v>0</v>
      </c>
      <c r="U128">
        <f t="shared" si="107"/>
        <v>0</v>
      </c>
      <c r="V128">
        <f t="shared" si="108"/>
        <v>0</v>
      </c>
      <c r="W128">
        <f t="shared" si="109"/>
        <v>0</v>
      </c>
      <c r="X128">
        <f t="shared" si="110"/>
        <v>0</v>
      </c>
      <c r="Y128">
        <f t="shared" si="111"/>
        <v>0</v>
      </c>
      <c r="AA128">
        <v>59213213</v>
      </c>
      <c r="AB128">
        <f t="shared" si="112"/>
        <v>3.45</v>
      </c>
      <c r="AC128">
        <f>ROUND((ES128),6)</f>
        <v>3.45</v>
      </c>
      <c r="AD128">
        <f>ROUND((((ET128)-(EU128))+AE128),6)</f>
        <v>0</v>
      </c>
      <c r="AE128">
        <f t="shared" si="133"/>
        <v>0</v>
      </c>
      <c r="AF128">
        <f t="shared" si="133"/>
        <v>0</v>
      </c>
      <c r="AG128">
        <f t="shared" si="113"/>
        <v>0</v>
      </c>
      <c r="AH128">
        <f t="shared" si="134"/>
        <v>0</v>
      </c>
      <c r="AI128">
        <f t="shared" si="134"/>
        <v>0</v>
      </c>
      <c r="AJ128">
        <f t="shared" si="114"/>
        <v>0</v>
      </c>
      <c r="AK128">
        <v>3.45</v>
      </c>
      <c r="AL128">
        <v>3.45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97</v>
      </c>
      <c r="AU128">
        <v>51</v>
      </c>
      <c r="AV128">
        <v>1</v>
      </c>
      <c r="AW128">
        <v>1</v>
      </c>
      <c r="AZ128">
        <v>1</v>
      </c>
      <c r="BA128">
        <v>1</v>
      </c>
      <c r="BB128">
        <v>1</v>
      </c>
      <c r="BC128">
        <v>3.93</v>
      </c>
      <c r="BD128" t="s">
        <v>3</v>
      </c>
      <c r="BE128" t="s">
        <v>3</v>
      </c>
      <c r="BF128" t="s">
        <v>3</v>
      </c>
      <c r="BG128" t="s">
        <v>3</v>
      </c>
      <c r="BH128">
        <v>3</v>
      </c>
      <c r="BI128">
        <v>2</v>
      </c>
      <c r="BJ128" t="s">
        <v>223</v>
      </c>
      <c r="BM128">
        <v>67</v>
      </c>
      <c r="BN128">
        <v>58808062</v>
      </c>
      <c r="BO128" t="s">
        <v>220</v>
      </c>
      <c r="BP128">
        <v>1</v>
      </c>
      <c r="BQ128">
        <v>40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97</v>
      </c>
      <c r="CA128">
        <v>51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492</v>
      </c>
      <c r="CO128">
        <v>0</v>
      </c>
      <c r="CP128">
        <f t="shared" si="115"/>
        <v>12031.81</v>
      </c>
      <c r="CQ128">
        <f t="shared" si="116"/>
        <v>13.56</v>
      </c>
      <c r="CR128">
        <f>(ROUND((ROUND(((ET128)*AV128*1),2)*BB128),2)+ROUND((ROUND(((AE128-(EU128))*AV128*1),2)*BS128),2))</f>
        <v>0</v>
      </c>
      <c r="CS128">
        <f t="shared" si="117"/>
        <v>0</v>
      </c>
      <c r="CT128">
        <f t="shared" si="118"/>
        <v>0</v>
      </c>
      <c r="CU128">
        <f t="shared" si="119"/>
        <v>0</v>
      </c>
      <c r="CV128">
        <f t="shared" si="120"/>
        <v>0</v>
      </c>
      <c r="CW128">
        <f t="shared" si="121"/>
        <v>0</v>
      </c>
      <c r="CX128">
        <f t="shared" si="122"/>
        <v>0</v>
      </c>
      <c r="CY128">
        <f t="shared" si="123"/>
        <v>0</v>
      </c>
      <c r="CZ128">
        <f t="shared" si="124"/>
        <v>0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1003</v>
      </c>
      <c r="DV128" t="s">
        <v>222</v>
      </c>
      <c r="DW128" t="s">
        <v>222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58808177</v>
      </c>
      <c r="EF128">
        <v>40</v>
      </c>
      <c r="EG128" t="s">
        <v>27</v>
      </c>
      <c r="EH128">
        <v>0</v>
      </c>
      <c r="EI128" t="s">
        <v>3</v>
      </c>
      <c r="EJ128">
        <v>2</v>
      </c>
      <c r="EK128">
        <v>67</v>
      </c>
      <c r="EL128" t="s">
        <v>217</v>
      </c>
      <c r="EM128" t="s">
        <v>218</v>
      </c>
      <c r="EO128" t="s">
        <v>30</v>
      </c>
      <c r="EQ128">
        <v>0</v>
      </c>
      <c r="ER128">
        <v>3.45</v>
      </c>
      <c r="ES128">
        <v>3.45</v>
      </c>
      <c r="ET128">
        <v>0</v>
      </c>
      <c r="EU128">
        <v>0</v>
      </c>
      <c r="EV128">
        <v>0</v>
      </c>
      <c r="EW128">
        <v>0</v>
      </c>
      <c r="EX128">
        <v>0</v>
      </c>
      <c r="FQ128">
        <v>0</v>
      </c>
      <c r="FR128">
        <v>0</v>
      </c>
      <c r="FS128">
        <v>0</v>
      </c>
      <c r="FX128">
        <v>97</v>
      </c>
      <c r="FY128">
        <v>51</v>
      </c>
      <c r="GA128" t="s">
        <v>3</v>
      </c>
      <c r="GD128">
        <v>1</v>
      </c>
      <c r="GF128">
        <v>-1305428159</v>
      </c>
      <c r="GG128">
        <v>2</v>
      </c>
      <c r="GH128">
        <v>1</v>
      </c>
      <c r="GI128">
        <v>2</v>
      </c>
      <c r="GJ128">
        <v>0</v>
      </c>
      <c r="GK128">
        <v>0</v>
      </c>
      <c r="GL128">
        <f t="shared" si="125"/>
        <v>0</v>
      </c>
      <c r="GM128">
        <f t="shared" si="126"/>
        <v>12031.81</v>
      </c>
      <c r="GN128">
        <f t="shared" si="127"/>
        <v>0</v>
      </c>
      <c r="GO128">
        <f t="shared" si="128"/>
        <v>12031.81</v>
      </c>
      <c r="GP128">
        <f t="shared" si="129"/>
        <v>0</v>
      </c>
      <c r="GR128">
        <v>0</v>
      </c>
      <c r="GS128">
        <v>3</v>
      </c>
      <c r="GT128">
        <v>0</v>
      </c>
      <c r="GU128" t="s">
        <v>3</v>
      </c>
      <c r="GV128">
        <f t="shared" si="130"/>
        <v>0</v>
      </c>
      <c r="GW128">
        <v>1</v>
      </c>
      <c r="GX128">
        <f t="shared" si="131"/>
        <v>0</v>
      </c>
      <c r="HA128">
        <v>0</v>
      </c>
      <c r="HB128">
        <v>0</v>
      </c>
      <c r="HC128">
        <f t="shared" si="132"/>
        <v>0</v>
      </c>
      <c r="HE128" t="s">
        <v>3</v>
      </c>
      <c r="HF128" t="s">
        <v>3</v>
      </c>
      <c r="HM128" t="s">
        <v>25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18</v>
      </c>
      <c r="B129" s="2">
        <v>1</v>
      </c>
      <c r="C129" s="2">
        <v>109</v>
      </c>
      <c r="D129" s="2"/>
      <c r="E129" s="2" t="s">
        <v>224</v>
      </c>
      <c r="F129" s="2" t="s">
        <v>225</v>
      </c>
      <c r="G129" s="2" t="s">
        <v>226</v>
      </c>
      <c r="H129" s="2" t="s">
        <v>227</v>
      </c>
      <c r="I129" s="2">
        <f>I125*J129</f>
        <v>17.399999999999999</v>
      </c>
      <c r="J129" s="2">
        <v>2</v>
      </c>
      <c r="K129" s="2">
        <v>2</v>
      </c>
      <c r="L129" s="2"/>
      <c r="M129" s="2"/>
      <c r="N129" s="2"/>
      <c r="O129" s="2">
        <f t="shared" si="102"/>
        <v>2555.89</v>
      </c>
      <c r="P129" s="2">
        <f t="shared" si="103"/>
        <v>2555.89</v>
      </c>
      <c r="Q129" s="2">
        <f>(ROUND((ROUND(((ET129)*AV129*I129),2)*BB129),2)+ROUND((ROUND(((AE129-(EU129))*AV129*I129),2)*BS129),2))</f>
        <v>0</v>
      </c>
      <c r="R129" s="2">
        <f t="shared" si="104"/>
        <v>0</v>
      </c>
      <c r="S129" s="2">
        <f t="shared" si="105"/>
        <v>0</v>
      </c>
      <c r="T129" s="2">
        <f t="shared" si="106"/>
        <v>0</v>
      </c>
      <c r="U129" s="2">
        <f t="shared" si="107"/>
        <v>0</v>
      </c>
      <c r="V129" s="2">
        <f t="shared" si="108"/>
        <v>0</v>
      </c>
      <c r="W129" s="2">
        <f t="shared" si="109"/>
        <v>0</v>
      </c>
      <c r="X129" s="2">
        <f t="shared" si="110"/>
        <v>0</v>
      </c>
      <c r="Y129" s="2">
        <f t="shared" si="111"/>
        <v>0</v>
      </c>
      <c r="Z129" s="2"/>
      <c r="AA129" s="2">
        <v>59213216</v>
      </c>
      <c r="AB129" s="2">
        <f t="shared" si="112"/>
        <v>146.88999999999999</v>
      </c>
      <c r="AC129" s="2">
        <f>ROUND((ES129),6)</f>
        <v>146.88999999999999</v>
      </c>
      <c r="AD129" s="2">
        <f>ROUND((((ET129)-(EU129))+AE129),6)</f>
        <v>0</v>
      </c>
      <c r="AE129" s="2">
        <f t="shared" si="133"/>
        <v>0</v>
      </c>
      <c r="AF129" s="2">
        <f t="shared" si="133"/>
        <v>0</v>
      </c>
      <c r="AG129" s="2">
        <f t="shared" si="113"/>
        <v>0</v>
      </c>
      <c r="AH129" s="2">
        <f t="shared" si="134"/>
        <v>0</v>
      </c>
      <c r="AI129" s="2">
        <f t="shared" si="134"/>
        <v>0</v>
      </c>
      <c r="AJ129" s="2">
        <f t="shared" si="114"/>
        <v>0</v>
      </c>
      <c r="AK129" s="2">
        <v>146.88999999999999</v>
      </c>
      <c r="AL129" s="2">
        <v>146.88999999999999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97</v>
      </c>
      <c r="AU129" s="2">
        <v>51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2</v>
      </c>
      <c r="BJ129" s="2" t="s">
        <v>228</v>
      </c>
      <c r="BK129" s="2"/>
      <c r="BL129" s="2"/>
      <c r="BM129" s="2">
        <v>67</v>
      </c>
      <c r="BN129" s="2">
        <v>58808062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97</v>
      </c>
      <c r="CA129" s="2">
        <v>51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492</v>
      </c>
      <c r="CO129" s="2">
        <v>0</v>
      </c>
      <c r="CP129" s="2">
        <f t="shared" si="115"/>
        <v>2555.89</v>
      </c>
      <c r="CQ129" s="2">
        <f t="shared" si="116"/>
        <v>146.88999999999999</v>
      </c>
      <c r="CR129" s="2">
        <f>(ROUND((ROUND(((ET129)*AV129*1),2)*BB129),2)+ROUND((ROUND(((AE129-(EU129))*AV129*1),2)*BS129),2))</f>
        <v>0</v>
      </c>
      <c r="CS129" s="2">
        <f t="shared" si="117"/>
        <v>0</v>
      </c>
      <c r="CT129" s="2">
        <f t="shared" si="118"/>
        <v>0</v>
      </c>
      <c r="CU129" s="2">
        <f t="shared" si="119"/>
        <v>0</v>
      </c>
      <c r="CV129" s="2">
        <f t="shared" si="120"/>
        <v>0</v>
      </c>
      <c r="CW129" s="2">
        <f t="shared" si="121"/>
        <v>0</v>
      </c>
      <c r="CX129" s="2">
        <f t="shared" si="122"/>
        <v>0</v>
      </c>
      <c r="CY129" s="2">
        <f t="shared" si="123"/>
        <v>0</v>
      </c>
      <c r="CZ129" s="2">
        <f t="shared" si="124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227</v>
      </c>
      <c r="DW129" s="2" t="s">
        <v>227</v>
      </c>
      <c r="DX129" s="2">
        <v>100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58808177</v>
      </c>
      <c r="EF129" s="2">
        <v>40</v>
      </c>
      <c r="EG129" s="2" t="s">
        <v>27</v>
      </c>
      <c r="EH129" s="2">
        <v>0</v>
      </c>
      <c r="EI129" s="2" t="s">
        <v>3</v>
      </c>
      <c r="EJ129" s="2">
        <v>2</v>
      </c>
      <c r="EK129" s="2">
        <v>67</v>
      </c>
      <c r="EL129" s="2" t="s">
        <v>217</v>
      </c>
      <c r="EM129" s="2" t="s">
        <v>218</v>
      </c>
      <c r="EN129" s="2"/>
      <c r="EO129" s="2" t="s">
        <v>30</v>
      </c>
      <c r="EP129" s="2"/>
      <c r="EQ129" s="2">
        <v>0</v>
      </c>
      <c r="ER129" s="2">
        <v>146.88999999999999</v>
      </c>
      <c r="ES129" s="2">
        <v>146.88999999999999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97</v>
      </c>
      <c r="FY129" s="2">
        <v>51</v>
      </c>
      <c r="FZ129" s="2"/>
      <c r="GA129" s="2" t="s">
        <v>3</v>
      </c>
      <c r="GB129" s="2"/>
      <c r="GC129" s="2"/>
      <c r="GD129" s="2">
        <v>1</v>
      </c>
      <c r="GE129" s="2"/>
      <c r="GF129" s="2">
        <v>-1171050213</v>
      </c>
      <c r="GG129" s="2">
        <v>2</v>
      </c>
      <c r="GH129" s="2">
        <v>1</v>
      </c>
      <c r="GI129" s="2">
        <v>-2</v>
      </c>
      <c r="GJ129" s="2">
        <v>0</v>
      </c>
      <c r="GK129" s="2">
        <v>0</v>
      </c>
      <c r="GL129" s="2">
        <f t="shared" si="125"/>
        <v>0</v>
      </c>
      <c r="GM129" s="2">
        <f t="shared" si="126"/>
        <v>2555.89</v>
      </c>
      <c r="GN129" s="2">
        <f t="shared" si="127"/>
        <v>0</v>
      </c>
      <c r="GO129" s="2">
        <f t="shared" si="128"/>
        <v>2555.89</v>
      </c>
      <c r="GP129" s="2">
        <f t="shared" si="129"/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si="130"/>
        <v>0</v>
      </c>
      <c r="GW129" s="2">
        <v>1</v>
      </c>
      <c r="GX129" s="2">
        <f t="shared" si="131"/>
        <v>0</v>
      </c>
      <c r="GY129" s="2"/>
      <c r="GZ129" s="2"/>
      <c r="HA129" s="2">
        <v>0</v>
      </c>
      <c r="HB129" s="2">
        <v>0</v>
      </c>
      <c r="HC129" s="2">
        <f t="shared" si="132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25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18</v>
      </c>
      <c r="B130">
        <v>1</v>
      </c>
      <c r="C130">
        <v>112</v>
      </c>
      <c r="E130" t="s">
        <v>224</v>
      </c>
      <c r="F130" t="s">
        <v>225</v>
      </c>
      <c r="G130" t="s">
        <v>226</v>
      </c>
      <c r="H130" t="s">
        <v>227</v>
      </c>
      <c r="I130">
        <f>I126*J130</f>
        <v>17.399999999999999</v>
      </c>
      <c r="J130">
        <v>2</v>
      </c>
      <c r="K130">
        <v>2</v>
      </c>
      <c r="O130">
        <f t="shared" si="102"/>
        <v>5188.46</v>
      </c>
      <c r="P130">
        <f t="shared" si="103"/>
        <v>5188.46</v>
      </c>
      <c r="Q130">
        <f>(ROUND((ROUND(((ET130)*AV130*I130),2)*BB130),2)+ROUND((ROUND(((AE130-(EU130))*AV130*I130),2)*BS130),2))</f>
        <v>0</v>
      </c>
      <c r="R130">
        <f t="shared" si="104"/>
        <v>0</v>
      </c>
      <c r="S130">
        <f t="shared" si="105"/>
        <v>0</v>
      </c>
      <c r="T130">
        <f t="shared" si="106"/>
        <v>0</v>
      </c>
      <c r="U130">
        <f t="shared" si="107"/>
        <v>0</v>
      </c>
      <c r="V130">
        <f t="shared" si="108"/>
        <v>0</v>
      </c>
      <c r="W130">
        <f t="shared" si="109"/>
        <v>0</v>
      </c>
      <c r="X130">
        <f t="shared" si="110"/>
        <v>0</v>
      </c>
      <c r="Y130">
        <f t="shared" si="111"/>
        <v>0</v>
      </c>
      <c r="AA130">
        <v>59213213</v>
      </c>
      <c r="AB130">
        <f t="shared" si="112"/>
        <v>146.88999999999999</v>
      </c>
      <c r="AC130">
        <f>ROUND((ES130),6)</f>
        <v>146.88999999999999</v>
      </c>
      <c r="AD130">
        <f>ROUND((((ET130)-(EU130))+AE130),6)</f>
        <v>0</v>
      </c>
      <c r="AE130">
        <f t="shared" si="133"/>
        <v>0</v>
      </c>
      <c r="AF130">
        <f t="shared" si="133"/>
        <v>0</v>
      </c>
      <c r="AG130">
        <f t="shared" si="113"/>
        <v>0</v>
      </c>
      <c r="AH130">
        <f t="shared" si="134"/>
        <v>0</v>
      </c>
      <c r="AI130">
        <f t="shared" si="134"/>
        <v>0</v>
      </c>
      <c r="AJ130">
        <f t="shared" si="114"/>
        <v>0</v>
      </c>
      <c r="AK130">
        <v>146.88999999999999</v>
      </c>
      <c r="AL130">
        <v>146.88999999999999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97</v>
      </c>
      <c r="AU130">
        <v>51</v>
      </c>
      <c r="AV130">
        <v>1</v>
      </c>
      <c r="AW130">
        <v>1</v>
      </c>
      <c r="AZ130">
        <v>1</v>
      </c>
      <c r="BA130">
        <v>1</v>
      </c>
      <c r="BB130">
        <v>1</v>
      </c>
      <c r="BC130">
        <v>2.0299999999999998</v>
      </c>
      <c r="BD130" t="s">
        <v>3</v>
      </c>
      <c r="BE130" t="s">
        <v>3</v>
      </c>
      <c r="BF130" t="s">
        <v>3</v>
      </c>
      <c r="BG130" t="s">
        <v>3</v>
      </c>
      <c r="BH130">
        <v>3</v>
      </c>
      <c r="BI130">
        <v>2</v>
      </c>
      <c r="BJ130" t="s">
        <v>228</v>
      </c>
      <c r="BM130">
        <v>67</v>
      </c>
      <c r="BN130">
        <v>58808062</v>
      </c>
      <c r="BO130" t="s">
        <v>225</v>
      </c>
      <c r="BP130">
        <v>1</v>
      </c>
      <c r="BQ130">
        <v>40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97</v>
      </c>
      <c r="CA130">
        <v>51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492</v>
      </c>
      <c r="CO130">
        <v>0</v>
      </c>
      <c r="CP130">
        <f t="shared" si="115"/>
        <v>5188.46</v>
      </c>
      <c r="CQ130">
        <f t="shared" si="116"/>
        <v>298.19</v>
      </c>
      <c r="CR130">
        <f>(ROUND((ROUND(((ET130)*AV130*1),2)*BB130),2)+ROUND((ROUND(((AE130-(EU130))*AV130*1),2)*BS130),2))</f>
        <v>0</v>
      </c>
      <c r="CS130">
        <f t="shared" si="117"/>
        <v>0</v>
      </c>
      <c r="CT130">
        <f t="shared" si="118"/>
        <v>0</v>
      </c>
      <c r="CU130">
        <f t="shared" si="119"/>
        <v>0</v>
      </c>
      <c r="CV130">
        <f t="shared" si="120"/>
        <v>0</v>
      </c>
      <c r="CW130">
        <f t="shared" si="121"/>
        <v>0</v>
      </c>
      <c r="CX130">
        <f t="shared" si="122"/>
        <v>0</v>
      </c>
      <c r="CY130">
        <f t="shared" si="123"/>
        <v>0</v>
      </c>
      <c r="CZ130">
        <f t="shared" si="124"/>
        <v>0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>
        <v>0</v>
      </c>
      <c r="DO130">
        <v>0</v>
      </c>
      <c r="DP130">
        <v>1</v>
      </c>
      <c r="DQ130">
        <v>1</v>
      </c>
      <c r="DU130">
        <v>1010</v>
      </c>
      <c r="DV130" t="s">
        <v>227</v>
      </c>
      <c r="DW130" t="s">
        <v>227</v>
      </c>
      <c r="DX130">
        <v>100</v>
      </c>
      <c r="DZ130" t="s">
        <v>3</v>
      </c>
      <c r="EA130" t="s">
        <v>3</v>
      </c>
      <c r="EB130" t="s">
        <v>3</v>
      </c>
      <c r="EC130" t="s">
        <v>3</v>
      </c>
      <c r="EE130">
        <v>58808177</v>
      </c>
      <c r="EF130">
        <v>40</v>
      </c>
      <c r="EG130" t="s">
        <v>27</v>
      </c>
      <c r="EH130">
        <v>0</v>
      </c>
      <c r="EI130" t="s">
        <v>3</v>
      </c>
      <c r="EJ130">
        <v>2</v>
      </c>
      <c r="EK130">
        <v>67</v>
      </c>
      <c r="EL130" t="s">
        <v>217</v>
      </c>
      <c r="EM130" t="s">
        <v>218</v>
      </c>
      <c r="EO130" t="s">
        <v>30</v>
      </c>
      <c r="EQ130">
        <v>0</v>
      </c>
      <c r="ER130">
        <v>146.88999999999999</v>
      </c>
      <c r="ES130">
        <v>146.88999999999999</v>
      </c>
      <c r="ET130">
        <v>0</v>
      </c>
      <c r="EU130">
        <v>0</v>
      </c>
      <c r="EV130">
        <v>0</v>
      </c>
      <c r="EW130">
        <v>0</v>
      </c>
      <c r="EX130">
        <v>0</v>
      </c>
      <c r="FQ130">
        <v>0</v>
      </c>
      <c r="FR130">
        <v>0</v>
      </c>
      <c r="FS130">
        <v>0</v>
      </c>
      <c r="FX130">
        <v>97</v>
      </c>
      <c r="FY130">
        <v>51</v>
      </c>
      <c r="GA130" t="s">
        <v>3</v>
      </c>
      <c r="GD130">
        <v>1</v>
      </c>
      <c r="GF130">
        <v>-1171050213</v>
      </c>
      <c r="GG130">
        <v>2</v>
      </c>
      <c r="GH130">
        <v>1</v>
      </c>
      <c r="GI130">
        <v>2</v>
      </c>
      <c r="GJ130">
        <v>0</v>
      </c>
      <c r="GK130">
        <v>0</v>
      </c>
      <c r="GL130">
        <f t="shared" si="125"/>
        <v>0</v>
      </c>
      <c r="GM130">
        <f t="shared" si="126"/>
        <v>5188.46</v>
      </c>
      <c r="GN130">
        <f t="shared" si="127"/>
        <v>0</v>
      </c>
      <c r="GO130">
        <f t="shared" si="128"/>
        <v>5188.46</v>
      </c>
      <c r="GP130">
        <f t="shared" si="129"/>
        <v>0</v>
      </c>
      <c r="GR130">
        <v>0</v>
      </c>
      <c r="GS130">
        <v>3</v>
      </c>
      <c r="GT130">
        <v>0</v>
      </c>
      <c r="GU130" t="s">
        <v>3</v>
      </c>
      <c r="GV130">
        <f t="shared" si="130"/>
        <v>0</v>
      </c>
      <c r="GW130">
        <v>1</v>
      </c>
      <c r="GX130">
        <f t="shared" si="131"/>
        <v>0</v>
      </c>
      <c r="HA130">
        <v>0</v>
      </c>
      <c r="HB130">
        <v>0</v>
      </c>
      <c r="HC130">
        <f t="shared" si="132"/>
        <v>0</v>
      </c>
      <c r="HE130" t="s">
        <v>3</v>
      </c>
      <c r="HF130" t="s">
        <v>3</v>
      </c>
      <c r="HM130" t="s">
        <v>25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>
        <f>ROW(SmtRes!A115)</f>
        <v>115</v>
      </c>
      <c r="D131" s="2">
        <f>ROW(EtalonRes!A134)</f>
        <v>134</v>
      </c>
      <c r="E131" s="2" t="s">
        <v>229</v>
      </c>
      <c r="F131" s="2" t="s">
        <v>230</v>
      </c>
      <c r="G131" s="2" t="s">
        <v>231</v>
      </c>
      <c r="H131" s="2" t="s">
        <v>215</v>
      </c>
      <c r="I131" s="2">
        <f>ROUND(ROUND(470/100,4),9)</f>
        <v>4.7</v>
      </c>
      <c r="J131" s="2">
        <v>0</v>
      </c>
      <c r="K131" s="2">
        <f>ROUND(ROUND(470/100,4),9)</f>
        <v>4.7</v>
      </c>
      <c r="L131" s="2"/>
      <c r="M131" s="2"/>
      <c r="N131" s="2"/>
      <c r="O131" s="2">
        <f t="shared" si="102"/>
        <v>2791.35</v>
      </c>
      <c r="P131" s="2">
        <f t="shared" si="103"/>
        <v>1612.24</v>
      </c>
      <c r="Q131" s="2">
        <f>(ROUND((ROUND((((ET131*1.1))*AV131*I131),2)*BB131),2)+ROUND((ROUND(((AE131-((EU131*1.1)))*AV131*I131),2)*BS131),2))</f>
        <v>177.22</v>
      </c>
      <c r="R131" s="2">
        <f t="shared" si="104"/>
        <v>29.55</v>
      </c>
      <c r="S131" s="2">
        <f t="shared" si="105"/>
        <v>1001.89</v>
      </c>
      <c r="T131" s="2">
        <f t="shared" si="106"/>
        <v>0</v>
      </c>
      <c r="U131" s="2">
        <f t="shared" si="107"/>
        <v>77.784666299999998</v>
      </c>
      <c r="V131" s="2">
        <f t="shared" si="108"/>
        <v>0</v>
      </c>
      <c r="W131" s="2">
        <f t="shared" si="109"/>
        <v>0</v>
      </c>
      <c r="X131" s="2">
        <f t="shared" si="110"/>
        <v>1000.5</v>
      </c>
      <c r="Y131" s="2">
        <f t="shared" si="111"/>
        <v>526.03</v>
      </c>
      <c r="Z131" s="2"/>
      <c r="AA131" s="2">
        <v>59213216</v>
      </c>
      <c r="AB131" s="2">
        <f t="shared" si="112"/>
        <v>582.64300000000003</v>
      </c>
      <c r="AC131" s="2">
        <f>ROUND(((ES131*1)),6)</f>
        <v>343.03</v>
      </c>
      <c r="AD131" s="2">
        <f>ROUND(((((ET131*1.1))-((EU131*1.1)))+AE131),6)</f>
        <v>36.014000000000003</v>
      </c>
      <c r="AE131" s="2">
        <f>ROUND(((EU131*1.1)),6)</f>
        <v>6.0060000000000002</v>
      </c>
      <c r="AF131" s="2">
        <f>ROUND(((EV131*1.1)),6)</f>
        <v>203.59899999999999</v>
      </c>
      <c r="AG131" s="2">
        <f t="shared" si="113"/>
        <v>0</v>
      </c>
      <c r="AH131" s="2">
        <f>((EW131*1.1))</f>
        <v>15.807</v>
      </c>
      <c r="AI131" s="2">
        <f>((EX131*1.1))</f>
        <v>0</v>
      </c>
      <c r="AJ131" s="2">
        <f t="shared" si="114"/>
        <v>0</v>
      </c>
      <c r="AK131" s="2">
        <v>560.86</v>
      </c>
      <c r="AL131" s="2">
        <v>343.03</v>
      </c>
      <c r="AM131" s="2">
        <v>32.74</v>
      </c>
      <c r="AN131" s="2">
        <v>5.46</v>
      </c>
      <c r="AO131" s="2">
        <v>185.09</v>
      </c>
      <c r="AP131" s="2">
        <v>0</v>
      </c>
      <c r="AQ131" s="2">
        <v>14.37</v>
      </c>
      <c r="AR131" s="2">
        <v>0</v>
      </c>
      <c r="AS131" s="2">
        <v>0</v>
      </c>
      <c r="AT131" s="2">
        <v>97</v>
      </c>
      <c r="AU131" s="2">
        <v>51</v>
      </c>
      <c r="AV131" s="2">
        <v>1.0469999999999999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232</v>
      </c>
      <c r="BK131" s="2"/>
      <c r="BL131" s="2"/>
      <c r="BM131" s="2">
        <v>67</v>
      </c>
      <c r="BN131" s="2">
        <v>58808062</v>
      </c>
      <c r="BO131" s="2" t="s">
        <v>230</v>
      </c>
      <c r="BP131" s="2">
        <v>1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97</v>
      </c>
      <c r="CA131" s="2">
        <v>51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492</v>
      </c>
      <c r="CO131" s="2">
        <v>0</v>
      </c>
      <c r="CP131" s="2">
        <f t="shared" si="115"/>
        <v>2791.35</v>
      </c>
      <c r="CQ131" s="2">
        <f t="shared" si="116"/>
        <v>343.03</v>
      </c>
      <c r="CR131" s="2">
        <f>(ROUND((ROUND((((ET131*1.1))*AV131*1),2)*BB131),2)+ROUND((ROUND(((AE131-((EU131*1.1)))*AV131*1),2)*BS131),2))</f>
        <v>37.71</v>
      </c>
      <c r="CS131" s="2">
        <f t="shared" si="117"/>
        <v>6.29</v>
      </c>
      <c r="CT131" s="2">
        <f t="shared" si="118"/>
        <v>213.17</v>
      </c>
      <c r="CU131" s="2">
        <f t="shared" si="119"/>
        <v>0</v>
      </c>
      <c r="CV131" s="2">
        <f t="shared" si="120"/>
        <v>16.549928999999999</v>
      </c>
      <c r="CW131" s="2">
        <f t="shared" si="121"/>
        <v>0</v>
      </c>
      <c r="CX131" s="2">
        <f t="shared" si="122"/>
        <v>0</v>
      </c>
      <c r="CY131" s="2">
        <f t="shared" si="123"/>
        <v>1000.4968000000001</v>
      </c>
      <c r="CZ131" s="2">
        <f t="shared" si="124"/>
        <v>526.03440000000001</v>
      </c>
      <c r="DA131" s="2"/>
      <c r="DB131" s="2">
        <v>31</v>
      </c>
      <c r="DC131" s="2" t="s">
        <v>3</v>
      </c>
      <c r="DD131" s="2" t="s">
        <v>25</v>
      </c>
      <c r="DE131" s="2" t="s">
        <v>26</v>
      </c>
      <c r="DF131" s="2" t="s">
        <v>26</v>
      </c>
      <c r="DG131" s="2" t="s">
        <v>26</v>
      </c>
      <c r="DH131" s="2" t="s">
        <v>3</v>
      </c>
      <c r="DI131" s="2" t="s">
        <v>26</v>
      </c>
      <c r="DJ131" s="2" t="s">
        <v>26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1003</v>
      </c>
      <c r="DV131" s="2" t="s">
        <v>215</v>
      </c>
      <c r="DW131" s="2" t="s">
        <v>215</v>
      </c>
      <c r="DX131" s="2">
        <v>100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58808177</v>
      </c>
      <c r="EF131" s="2">
        <v>40</v>
      </c>
      <c r="EG131" s="2" t="s">
        <v>27</v>
      </c>
      <c r="EH131" s="2">
        <v>0</v>
      </c>
      <c r="EI131" s="2" t="s">
        <v>3</v>
      </c>
      <c r="EJ131" s="2">
        <v>2</v>
      </c>
      <c r="EK131" s="2">
        <v>67</v>
      </c>
      <c r="EL131" s="2" t="s">
        <v>217</v>
      </c>
      <c r="EM131" s="2" t="s">
        <v>218</v>
      </c>
      <c r="EN131" s="2"/>
      <c r="EO131" s="2" t="s">
        <v>30</v>
      </c>
      <c r="EP131" s="2"/>
      <c r="EQ131" s="2">
        <v>0</v>
      </c>
      <c r="ER131" s="2">
        <v>560.86</v>
      </c>
      <c r="ES131" s="2">
        <v>343.03</v>
      </c>
      <c r="ET131" s="2">
        <v>32.74</v>
      </c>
      <c r="EU131" s="2">
        <v>5.46</v>
      </c>
      <c r="EV131" s="2">
        <v>185.09</v>
      </c>
      <c r="EW131" s="2">
        <v>14.37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97</v>
      </c>
      <c r="FY131" s="2">
        <v>51</v>
      </c>
      <c r="FZ131" s="2"/>
      <c r="GA131" s="2" t="s">
        <v>3</v>
      </c>
      <c r="GB131" s="2"/>
      <c r="GC131" s="2"/>
      <c r="GD131" s="2">
        <v>1</v>
      </c>
      <c r="GE131" s="2"/>
      <c r="GF131" s="2">
        <v>1777434348</v>
      </c>
      <c r="GG131" s="2">
        <v>2</v>
      </c>
      <c r="GH131" s="2">
        <v>1</v>
      </c>
      <c r="GI131" s="2">
        <v>2</v>
      </c>
      <c r="GJ131" s="2">
        <v>0</v>
      </c>
      <c r="GK131" s="2">
        <v>0</v>
      </c>
      <c r="GL131" s="2">
        <f t="shared" si="125"/>
        <v>0</v>
      </c>
      <c r="GM131" s="2">
        <f t="shared" si="126"/>
        <v>4317.88</v>
      </c>
      <c r="GN131" s="2">
        <f t="shared" si="127"/>
        <v>0</v>
      </c>
      <c r="GO131" s="2">
        <f t="shared" si="128"/>
        <v>4317.88</v>
      </c>
      <c r="GP131" s="2">
        <f t="shared" si="129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30"/>
        <v>0</v>
      </c>
      <c r="GW131" s="2">
        <v>1</v>
      </c>
      <c r="GX131" s="2">
        <f t="shared" si="131"/>
        <v>0</v>
      </c>
      <c r="GY131" s="2"/>
      <c r="GZ131" s="2"/>
      <c r="HA131" s="2">
        <v>0</v>
      </c>
      <c r="HB131" s="2">
        <v>0</v>
      </c>
      <c r="HC131" s="2">
        <f t="shared" si="132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C132">
        <f>ROW(SmtRes!A118)</f>
        <v>118</v>
      </c>
      <c r="D132">
        <f>ROW(EtalonRes!A138)</f>
        <v>138</v>
      </c>
      <c r="E132" t="s">
        <v>229</v>
      </c>
      <c r="F132" t="s">
        <v>230</v>
      </c>
      <c r="G132" t="s">
        <v>231</v>
      </c>
      <c r="H132" t="s">
        <v>215</v>
      </c>
      <c r="I132">
        <f>ROUND(ROUND(470/100,4),9)</f>
        <v>4.7</v>
      </c>
      <c r="J132">
        <v>0</v>
      </c>
      <c r="K132">
        <f>ROUND(ROUND(470/100,4),9)</f>
        <v>4.7</v>
      </c>
      <c r="O132">
        <f t="shared" si="102"/>
        <v>74147.42</v>
      </c>
      <c r="P132">
        <f t="shared" si="103"/>
        <v>15945.05</v>
      </c>
      <c r="Q132">
        <f>(ROUND((ROUND((((ET132*1.1))*AV132*I132),2)*BB132),2)+ROUND((ROUND(((AE132-((EU132*1.1)))*AV132*I132),2)*BS132),2))</f>
        <v>3108.44</v>
      </c>
      <c r="R132">
        <f t="shared" si="104"/>
        <v>1624.95</v>
      </c>
      <c r="S132">
        <f t="shared" si="105"/>
        <v>55093.93</v>
      </c>
      <c r="T132">
        <f t="shared" si="106"/>
        <v>0</v>
      </c>
      <c r="U132">
        <f t="shared" si="107"/>
        <v>77.784666299999998</v>
      </c>
      <c r="V132">
        <f t="shared" si="108"/>
        <v>0</v>
      </c>
      <c r="W132">
        <f t="shared" si="109"/>
        <v>0</v>
      </c>
      <c r="X132">
        <f t="shared" si="110"/>
        <v>55017.31</v>
      </c>
      <c r="Y132">
        <f t="shared" si="111"/>
        <v>28926.63</v>
      </c>
      <c r="AA132">
        <v>59213213</v>
      </c>
      <c r="AB132">
        <f t="shared" si="112"/>
        <v>582.64300000000003</v>
      </c>
      <c r="AC132">
        <f>ROUND(((ES132*1)),6)</f>
        <v>343.03</v>
      </c>
      <c r="AD132">
        <f>ROUND(((((ET132*1.1))-((EU132*1.1)))+AE132),6)</f>
        <v>36.014000000000003</v>
      </c>
      <c r="AE132">
        <f>ROUND(((EU132*1.1)),6)</f>
        <v>6.0060000000000002</v>
      </c>
      <c r="AF132">
        <f>ROUND(((EV132*1.1)),6)</f>
        <v>203.59899999999999</v>
      </c>
      <c r="AG132">
        <f t="shared" si="113"/>
        <v>0</v>
      </c>
      <c r="AH132">
        <f>((EW132*1.1))</f>
        <v>15.807</v>
      </c>
      <c r="AI132">
        <f>((EX132*1.1))</f>
        <v>0</v>
      </c>
      <c r="AJ132">
        <f t="shared" si="114"/>
        <v>0</v>
      </c>
      <c r="AK132">
        <v>560.86</v>
      </c>
      <c r="AL132">
        <v>343.03</v>
      </c>
      <c r="AM132">
        <v>32.74</v>
      </c>
      <c r="AN132">
        <v>5.46</v>
      </c>
      <c r="AO132">
        <v>185.09</v>
      </c>
      <c r="AP132">
        <v>0</v>
      </c>
      <c r="AQ132">
        <v>14.37</v>
      </c>
      <c r="AR132">
        <v>0</v>
      </c>
      <c r="AS132">
        <v>0</v>
      </c>
      <c r="AT132">
        <v>97</v>
      </c>
      <c r="AU132">
        <v>51</v>
      </c>
      <c r="AV132">
        <v>1.0469999999999999</v>
      </c>
      <c r="AW132">
        <v>1</v>
      </c>
      <c r="AZ132">
        <v>1</v>
      </c>
      <c r="BA132">
        <v>54.99</v>
      </c>
      <c r="BB132">
        <v>17.54</v>
      </c>
      <c r="BC132">
        <v>9.89</v>
      </c>
      <c r="BD132" t="s">
        <v>3</v>
      </c>
      <c r="BE132" t="s">
        <v>3</v>
      </c>
      <c r="BF132" t="s">
        <v>3</v>
      </c>
      <c r="BG132" t="s">
        <v>3</v>
      </c>
      <c r="BH132">
        <v>0</v>
      </c>
      <c r="BI132">
        <v>2</v>
      </c>
      <c r="BJ132" t="s">
        <v>232</v>
      </c>
      <c r="BM132">
        <v>67</v>
      </c>
      <c r="BN132">
        <v>58808062</v>
      </c>
      <c r="BO132" t="s">
        <v>230</v>
      </c>
      <c r="BP132">
        <v>1</v>
      </c>
      <c r="BQ132">
        <v>40</v>
      </c>
      <c r="BR132">
        <v>0</v>
      </c>
      <c r="BS132">
        <v>54.99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97</v>
      </c>
      <c r="CA132">
        <v>51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492</v>
      </c>
      <c r="CO132">
        <v>0</v>
      </c>
      <c r="CP132">
        <f t="shared" si="115"/>
        <v>74147.42</v>
      </c>
      <c r="CQ132">
        <f t="shared" si="116"/>
        <v>3392.57</v>
      </c>
      <c r="CR132">
        <f>(ROUND((ROUND((((ET132*1.1))*AV132*1),2)*BB132),2)+ROUND((ROUND(((AE132-((EU132*1.1)))*AV132*1),2)*BS132),2))</f>
        <v>661.43</v>
      </c>
      <c r="CS132">
        <f t="shared" si="117"/>
        <v>345.89</v>
      </c>
      <c r="CT132">
        <f t="shared" si="118"/>
        <v>11722.22</v>
      </c>
      <c r="CU132">
        <f t="shared" si="119"/>
        <v>0</v>
      </c>
      <c r="CV132">
        <f t="shared" si="120"/>
        <v>16.549928999999999</v>
      </c>
      <c r="CW132">
        <f t="shared" si="121"/>
        <v>0</v>
      </c>
      <c r="CX132">
        <f t="shared" si="122"/>
        <v>0</v>
      </c>
      <c r="CY132">
        <f t="shared" si="123"/>
        <v>55017.313599999994</v>
      </c>
      <c r="CZ132">
        <f t="shared" si="124"/>
        <v>28926.628799999999</v>
      </c>
      <c r="DB132">
        <v>32</v>
      </c>
      <c r="DC132" t="s">
        <v>3</v>
      </c>
      <c r="DD132" t="s">
        <v>25</v>
      </c>
      <c r="DE132" t="s">
        <v>26</v>
      </c>
      <c r="DF132" t="s">
        <v>26</v>
      </c>
      <c r="DG132" t="s">
        <v>26</v>
      </c>
      <c r="DH132" t="s">
        <v>3</v>
      </c>
      <c r="DI132" t="s">
        <v>26</v>
      </c>
      <c r="DJ132" t="s">
        <v>26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1003</v>
      </c>
      <c r="DV132" t="s">
        <v>215</v>
      </c>
      <c r="DW132" t="s">
        <v>215</v>
      </c>
      <c r="DX132">
        <v>100</v>
      </c>
      <c r="DZ132" t="s">
        <v>3</v>
      </c>
      <c r="EA132" t="s">
        <v>3</v>
      </c>
      <c r="EB132" t="s">
        <v>3</v>
      </c>
      <c r="EC132" t="s">
        <v>3</v>
      </c>
      <c r="EE132">
        <v>58808177</v>
      </c>
      <c r="EF132">
        <v>40</v>
      </c>
      <c r="EG132" t="s">
        <v>27</v>
      </c>
      <c r="EH132">
        <v>0</v>
      </c>
      <c r="EI132" t="s">
        <v>3</v>
      </c>
      <c r="EJ132">
        <v>2</v>
      </c>
      <c r="EK132">
        <v>67</v>
      </c>
      <c r="EL132" t="s">
        <v>217</v>
      </c>
      <c r="EM132" t="s">
        <v>218</v>
      </c>
      <c r="EO132" t="s">
        <v>30</v>
      </c>
      <c r="EQ132">
        <v>0</v>
      </c>
      <c r="ER132">
        <v>560.86</v>
      </c>
      <c r="ES132">
        <v>343.03</v>
      </c>
      <c r="ET132">
        <v>32.74</v>
      </c>
      <c r="EU132">
        <v>5.46</v>
      </c>
      <c r="EV132">
        <v>185.09</v>
      </c>
      <c r="EW132">
        <v>14.37</v>
      </c>
      <c r="EX132">
        <v>0</v>
      </c>
      <c r="EY132">
        <v>0</v>
      </c>
      <c r="FQ132">
        <v>0</v>
      </c>
      <c r="FR132">
        <v>0</v>
      </c>
      <c r="FS132">
        <v>0</v>
      </c>
      <c r="FX132">
        <v>97</v>
      </c>
      <c r="FY132">
        <v>51</v>
      </c>
      <c r="GA132" t="s">
        <v>3</v>
      </c>
      <c r="GD132">
        <v>1</v>
      </c>
      <c r="GF132">
        <v>1777434348</v>
      </c>
      <c r="GG132">
        <v>2</v>
      </c>
      <c r="GH132">
        <v>1</v>
      </c>
      <c r="GI132">
        <v>2</v>
      </c>
      <c r="GJ132">
        <v>0</v>
      </c>
      <c r="GK132">
        <v>0</v>
      </c>
      <c r="GL132">
        <f t="shared" si="125"/>
        <v>0</v>
      </c>
      <c r="GM132">
        <f t="shared" si="126"/>
        <v>158091.35999999999</v>
      </c>
      <c r="GN132">
        <f t="shared" si="127"/>
        <v>0</v>
      </c>
      <c r="GO132">
        <f t="shared" si="128"/>
        <v>158091.35999999999</v>
      </c>
      <c r="GP132">
        <f t="shared" si="129"/>
        <v>0</v>
      </c>
      <c r="GR132">
        <v>0</v>
      </c>
      <c r="GS132">
        <v>3</v>
      </c>
      <c r="GT132">
        <v>0</v>
      </c>
      <c r="GU132" t="s">
        <v>3</v>
      </c>
      <c r="GV132">
        <f t="shared" si="130"/>
        <v>0</v>
      </c>
      <c r="GW132">
        <v>1</v>
      </c>
      <c r="GX132">
        <f t="shared" si="131"/>
        <v>0</v>
      </c>
      <c r="HA132">
        <v>0</v>
      </c>
      <c r="HB132">
        <v>0</v>
      </c>
      <c r="HC132">
        <f t="shared" si="132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18</v>
      </c>
      <c r="B133" s="2">
        <v>1</v>
      </c>
      <c r="C133" s="2">
        <v>114</v>
      </c>
      <c r="D133" s="2"/>
      <c r="E133" s="2" t="s">
        <v>233</v>
      </c>
      <c r="F133" s="2" t="s">
        <v>234</v>
      </c>
      <c r="G133" s="2" t="s">
        <v>235</v>
      </c>
      <c r="H133" s="2" t="s">
        <v>222</v>
      </c>
      <c r="I133" s="2">
        <f>I131*J133</f>
        <v>479.4</v>
      </c>
      <c r="J133" s="2">
        <v>101.99999999999999</v>
      </c>
      <c r="K133" s="2">
        <v>102</v>
      </c>
      <c r="L133" s="2"/>
      <c r="M133" s="2"/>
      <c r="N133" s="2"/>
      <c r="O133" s="2">
        <f t="shared" si="102"/>
        <v>1280</v>
      </c>
      <c r="P133" s="2">
        <f t="shared" si="103"/>
        <v>1280</v>
      </c>
      <c r="Q133" s="2">
        <f>(ROUND((ROUND(((ET133)*AV133*I133),2)*BB133),2)+ROUND((ROUND(((AE133-(EU133))*AV133*I133),2)*BS133),2))</f>
        <v>0</v>
      </c>
      <c r="R133" s="2">
        <f t="shared" si="104"/>
        <v>0</v>
      </c>
      <c r="S133" s="2">
        <f t="shared" si="105"/>
        <v>0</v>
      </c>
      <c r="T133" s="2">
        <f t="shared" si="106"/>
        <v>0</v>
      </c>
      <c r="U133" s="2">
        <f t="shared" si="107"/>
        <v>0</v>
      </c>
      <c r="V133" s="2">
        <f t="shared" si="108"/>
        <v>0</v>
      </c>
      <c r="W133" s="2">
        <f t="shared" si="109"/>
        <v>0</v>
      </c>
      <c r="X133" s="2">
        <f t="shared" si="110"/>
        <v>0</v>
      </c>
      <c r="Y133" s="2">
        <f t="shared" si="111"/>
        <v>0</v>
      </c>
      <c r="Z133" s="2"/>
      <c r="AA133" s="2">
        <v>59213216</v>
      </c>
      <c r="AB133" s="2">
        <f t="shared" si="112"/>
        <v>2.67</v>
      </c>
      <c r="AC133" s="2">
        <f>ROUND((ES133),6)</f>
        <v>2.67</v>
      </c>
      <c r="AD133" s="2">
        <f>ROUND((((ET133)-(EU133))+AE133),6)</f>
        <v>0</v>
      </c>
      <c r="AE133" s="2">
        <f t="shared" ref="AE133:AF136" si="135">ROUND((EU133),6)</f>
        <v>0</v>
      </c>
      <c r="AF133" s="2">
        <f t="shared" si="135"/>
        <v>0</v>
      </c>
      <c r="AG133" s="2">
        <f t="shared" si="113"/>
        <v>0</v>
      </c>
      <c r="AH133" s="2">
        <f t="shared" ref="AH133:AI136" si="136">(EW133)</f>
        <v>0</v>
      </c>
      <c r="AI133" s="2">
        <f t="shared" si="136"/>
        <v>0</v>
      </c>
      <c r="AJ133" s="2">
        <f t="shared" si="114"/>
        <v>0</v>
      </c>
      <c r="AK133" s="2">
        <v>2.67</v>
      </c>
      <c r="AL133" s="2">
        <v>2.67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97</v>
      </c>
      <c r="AU133" s="2">
        <v>51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2</v>
      </c>
      <c r="BJ133" s="2" t="s">
        <v>236</v>
      </c>
      <c r="BK133" s="2"/>
      <c r="BL133" s="2"/>
      <c r="BM133" s="2">
        <v>67</v>
      </c>
      <c r="BN133" s="2">
        <v>58808062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97</v>
      </c>
      <c r="CA133" s="2">
        <v>51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492</v>
      </c>
      <c r="CO133" s="2">
        <v>0</v>
      </c>
      <c r="CP133" s="2">
        <f t="shared" si="115"/>
        <v>1280</v>
      </c>
      <c r="CQ133" s="2">
        <f t="shared" si="116"/>
        <v>2.67</v>
      </c>
      <c r="CR133" s="2">
        <f>(ROUND((ROUND(((ET133)*AV133*1),2)*BB133),2)+ROUND((ROUND(((AE133-(EU133))*AV133*1),2)*BS133),2))</f>
        <v>0</v>
      </c>
      <c r="CS133" s="2">
        <f t="shared" si="117"/>
        <v>0</v>
      </c>
      <c r="CT133" s="2">
        <f t="shared" si="118"/>
        <v>0</v>
      </c>
      <c r="CU133" s="2">
        <f t="shared" si="119"/>
        <v>0</v>
      </c>
      <c r="CV133" s="2">
        <f t="shared" si="120"/>
        <v>0</v>
      </c>
      <c r="CW133" s="2">
        <f t="shared" si="121"/>
        <v>0</v>
      </c>
      <c r="CX133" s="2">
        <f t="shared" si="122"/>
        <v>0</v>
      </c>
      <c r="CY133" s="2">
        <f t="shared" si="123"/>
        <v>0</v>
      </c>
      <c r="CZ133" s="2">
        <f t="shared" si="124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1003</v>
      </c>
      <c r="DV133" s="2" t="s">
        <v>222</v>
      </c>
      <c r="DW133" s="2" t="s">
        <v>222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58808177</v>
      </c>
      <c r="EF133" s="2">
        <v>40</v>
      </c>
      <c r="EG133" s="2" t="s">
        <v>27</v>
      </c>
      <c r="EH133" s="2">
        <v>0</v>
      </c>
      <c r="EI133" s="2" t="s">
        <v>3</v>
      </c>
      <c r="EJ133" s="2">
        <v>2</v>
      </c>
      <c r="EK133" s="2">
        <v>67</v>
      </c>
      <c r="EL133" s="2" t="s">
        <v>217</v>
      </c>
      <c r="EM133" s="2" t="s">
        <v>218</v>
      </c>
      <c r="EN133" s="2"/>
      <c r="EO133" s="2" t="s">
        <v>30</v>
      </c>
      <c r="EP133" s="2"/>
      <c r="EQ133" s="2">
        <v>0</v>
      </c>
      <c r="ER133" s="2">
        <v>2.67</v>
      </c>
      <c r="ES133" s="2">
        <v>2.67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97</v>
      </c>
      <c r="FY133" s="2">
        <v>51</v>
      </c>
      <c r="FZ133" s="2"/>
      <c r="GA133" s="2" t="s">
        <v>3</v>
      </c>
      <c r="GB133" s="2"/>
      <c r="GC133" s="2"/>
      <c r="GD133" s="2">
        <v>1</v>
      </c>
      <c r="GE133" s="2"/>
      <c r="GF133" s="2">
        <v>1184991115</v>
      </c>
      <c r="GG133" s="2">
        <v>2</v>
      </c>
      <c r="GH133" s="2">
        <v>1</v>
      </c>
      <c r="GI133" s="2">
        <v>-2</v>
      </c>
      <c r="GJ133" s="2">
        <v>0</v>
      </c>
      <c r="GK133" s="2">
        <v>0</v>
      </c>
      <c r="GL133" s="2">
        <f t="shared" si="125"/>
        <v>0</v>
      </c>
      <c r="GM133" s="2">
        <f t="shared" si="126"/>
        <v>1280</v>
      </c>
      <c r="GN133" s="2">
        <f t="shared" si="127"/>
        <v>0</v>
      </c>
      <c r="GO133" s="2">
        <f t="shared" si="128"/>
        <v>1280</v>
      </c>
      <c r="GP133" s="2">
        <f t="shared" si="129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30"/>
        <v>0</v>
      </c>
      <c r="GW133" s="2">
        <v>1</v>
      </c>
      <c r="GX133" s="2">
        <f t="shared" si="131"/>
        <v>0</v>
      </c>
      <c r="GY133" s="2"/>
      <c r="GZ133" s="2"/>
      <c r="HA133" s="2">
        <v>0</v>
      </c>
      <c r="HB133" s="2">
        <v>0</v>
      </c>
      <c r="HC133" s="2">
        <f t="shared" si="132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25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18</v>
      </c>
      <c r="B134">
        <v>1</v>
      </c>
      <c r="C134">
        <v>117</v>
      </c>
      <c r="E134" t="s">
        <v>233</v>
      </c>
      <c r="F134" t="s">
        <v>234</v>
      </c>
      <c r="G134" t="s">
        <v>235</v>
      </c>
      <c r="H134" t="s">
        <v>222</v>
      </c>
      <c r="I134">
        <f>I132*J134</f>
        <v>479.4</v>
      </c>
      <c r="J134">
        <v>101.99999999999999</v>
      </c>
      <c r="K134">
        <v>102</v>
      </c>
      <c r="O134">
        <f t="shared" si="102"/>
        <v>4902.3999999999996</v>
      </c>
      <c r="P134">
        <f t="shared" si="103"/>
        <v>4902.3999999999996</v>
      </c>
      <c r="Q134">
        <f>(ROUND((ROUND(((ET134)*AV134*I134),2)*BB134),2)+ROUND((ROUND(((AE134-(EU134))*AV134*I134),2)*BS134),2))</f>
        <v>0</v>
      </c>
      <c r="R134">
        <f t="shared" si="104"/>
        <v>0</v>
      </c>
      <c r="S134">
        <f t="shared" si="105"/>
        <v>0</v>
      </c>
      <c r="T134">
        <f t="shared" si="106"/>
        <v>0</v>
      </c>
      <c r="U134">
        <f t="shared" si="107"/>
        <v>0</v>
      </c>
      <c r="V134">
        <f t="shared" si="108"/>
        <v>0</v>
      </c>
      <c r="W134">
        <f t="shared" si="109"/>
        <v>0</v>
      </c>
      <c r="X134">
        <f t="shared" si="110"/>
        <v>0</v>
      </c>
      <c r="Y134">
        <f t="shared" si="111"/>
        <v>0</v>
      </c>
      <c r="AA134">
        <v>59213213</v>
      </c>
      <c r="AB134">
        <f t="shared" si="112"/>
        <v>2.67</v>
      </c>
      <c r="AC134">
        <f>ROUND((ES134),6)</f>
        <v>2.67</v>
      </c>
      <c r="AD134">
        <f>ROUND((((ET134)-(EU134))+AE134),6)</f>
        <v>0</v>
      </c>
      <c r="AE134">
        <f t="shared" si="135"/>
        <v>0</v>
      </c>
      <c r="AF134">
        <f t="shared" si="135"/>
        <v>0</v>
      </c>
      <c r="AG134">
        <f t="shared" si="113"/>
        <v>0</v>
      </c>
      <c r="AH134">
        <f t="shared" si="136"/>
        <v>0</v>
      </c>
      <c r="AI134">
        <f t="shared" si="136"/>
        <v>0</v>
      </c>
      <c r="AJ134">
        <f t="shared" si="114"/>
        <v>0</v>
      </c>
      <c r="AK134">
        <v>2.67</v>
      </c>
      <c r="AL134">
        <v>2.67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97</v>
      </c>
      <c r="AU134">
        <v>51</v>
      </c>
      <c r="AV134">
        <v>1</v>
      </c>
      <c r="AW134">
        <v>1</v>
      </c>
      <c r="AZ134">
        <v>1</v>
      </c>
      <c r="BA134">
        <v>1</v>
      </c>
      <c r="BB134">
        <v>1</v>
      </c>
      <c r="BC134">
        <v>3.83</v>
      </c>
      <c r="BD134" t="s">
        <v>3</v>
      </c>
      <c r="BE134" t="s">
        <v>3</v>
      </c>
      <c r="BF134" t="s">
        <v>3</v>
      </c>
      <c r="BG134" t="s">
        <v>3</v>
      </c>
      <c r="BH134">
        <v>3</v>
      </c>
      <c r="BI134">
        <v>2</v>
      </c>
      <c r="BJ134" t="s">
        <v>236</v>
      </c>
      <c r="BM134">
        <v>67</v>
      </c>
      <c r="BN134">
        <v>58808062</v>
      </c>
      <c r="BO134" t="s">
        <v>234</v>
      </c>
      <c r="BP134">
        <v>1</v>
      </c>
      <c r="BQ134">
        <v>40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97</v>
      </c>
      <c r="CA134">
        <v>51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492</v>
      </c>
      <c r="CO134">
        <v>0</v>
      </c>
      <c r="CP134">
        <f t="shared" si="115"/>
        <v>4902.3999999999996</v>
      </c>
      <c r="CQ134">
        <f t="shared" si="116"/>
        <v>10.23</v>
      </c>
      <c r="CR134">
        <f>(ROUND((ROUND(((ET134)*AV134*1),2)*BB134),2)+ROUND((ROUND(((AE134-(EU134))*AV134*1),2)*BS134),2))</f>
        <v>0</v>
      </c>
      <c r="CS134">
        <f t="shared" si="117"/>
        <v>0</v>
      </c>
      <c r="CT134">
        <f t="shared" si="118"/>
        <v>0</v>
      </c>
      <c r="CU134">
        <f t="shared" si="119"/>
        <v>0</v>
      </c>
      <c r="CV134">
        <f t="shared" si="120"/>
        <v>0</v>
      </c>
      <c r="CW134">
        <f t="shared" si="121"/>
        <v>0</v>
      </c>
      <c r="CX134">
        <f t="shared" si="122"/>
        <v>0</v>
      </c>
      <c r="CY134">
        <f t="shared" si="123"/>
        <v>0</v>
      </c>
      <c r="CZ134">
        <f t="shared" si="124"/>
        <v>0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>
        <v>0</v>
      </c>
      <c r="DO134">
        <v>0</v>
      </c>
      <c r="DP134">
        <v>1</v>
      </c>
      <c r="DQ134">
        <v>1</v>
      </c>
      <c r="DU134">
        <v>1003</v>
      </c>
      <c r="DV134" t="s">
        <v>222</v>
      </c>
      <c r="DW134" t="s">
        <v>222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58808177</v>
      </c>
      <c r="EF134">
        <v>40</v>
      </c>
      <c r="EG134" t="s">
        <v>27</v>
      </c>
      <c r="EH134">
        <v>0</v>
      </c>
      <c r="EI134" t="s">
        <v>3</v>
      </c>
      <c r="EJ134">
        <v>2</v>
      </c>
      <c r="EK134">
        <v>67</v>
      </c>
      <c r="EL134" t="s">
        <v>217</v>
      </c>
      <c r="EM134" t="s">
        <v>218</v>
      </c>
      <c r="EO134" t="s">
        <v>30</v>
      </c>
      <c r="EQ134">
        <v>0</v>
      </c>
      <c r="ER134">
        <v>2.67</v>
      </c>
      <c r="ES134">
        <v>2.67</v>
      </c>
      <c r="ET134">
        <v>0</v>
      </c>
      <c r="EU134">
        <v>0</v>
      </c>
      <c r="EV134">
        <v>0</v>
      </c>
      <c r="EW134">
        <v>0</v>
      </c>
      <c r="EX134">
        <v>0</v>
      </c>
      <c r="FQ134">
        <v>0</v>
      </c>
      <c r="FR134">
        <v>0</v>
      </c>
      <c r="FS134">
        <v>0</v>
      </c>
      <c r="FX134">
        <v>97</v>
      </c>
      <c r="FY134">
        <v>51</v>
      </c>
      <c r="GA134" t="s">
        <v>3</v>
      </c>
      <c r="GD134">
        <v>1</v>
      </c>
      <c r="GF134">
        <v>1184991115</v>
      </c>
      <c r="GG134">
        <v>2</v>
      </c>
      <c r="GH134">
        <v>1</v>
      </c>
      <c r="GI134">
        <v>2</v>
      </c>
      <c r="GJ134">
        <v>0</v>
      </c>
      <c r="GK134">
        <v>0</v>
      </c>
      <c r="GL134">
        <f t="shared" si="125"/>
        <v>0</v>
      </c>
      <c r="GM134">
        <f t="shared" si="126"/>
        <v>4902.3999999999996</v>
      </c>
      <c r="GN134">
        <f t="shared" si="127"/>
        <v>0</v>
      </c>
      <c r="GO134">
        <f t="shared" si="128"/>
        <v>4902.3999999999996</v>
      </c>
      <c r="GP134">
        <f t="shared" si="129"/>
        <v>0</v>
      </c>
      <c r="GR134">
        <v>0</v>
      </c>
      <c r="GS134">
        <v>3</v>
      </c>
      <c r="GT134">
        <v>0</v>
      </c>
      <c r="GU134" t="s">
        <v>3</v>
      </c>
      <c r="GV134">
        <f t="shared" si="130"/>
        <v>0</v>
      </c>
      <c r="GW134">
        <v>1</v>
      </c>
      <c r="GX134">
        <f t="shared" si="131"/>
        <v>0</v>
      </c>
      <c r="HA134">
        <v>0</v>
      </c>
      <c r="HB134">
        <v>0</v>
      </c>
      <c r="HC134">
        <f t="shared" si="132"/>
        <v>0</v>
      </c>
      <c r="HE134" t="s">
        <v>3</v>
      </c>
      <c r="HF134" t="s">
        <v>3</v>
      </c>
      <c r="HM134" t="s">
        <v>25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18</v>
      </c>
      <c r="B135" s="2">
        <v>1</v>
      </c>
      <c r="C135" s="2">
        <v>115</v>
      </c>
      <c r="D135" s="2"/>
      <c r="E135" s="2" t="s">
        <v>237</v>
      </c>
      <c r="F135" s="2" t="s">
        <v>238</v>
      </c>
      <c r="G135" s="2" t="s">
        <v>239</v>
      </c>
      <c r="H135" s="2" t="s">
        <v>227</v>
      </c>
      <c r="I135" s="2">
        <f>I131*J135</f>
        <v>9.4</v>
      </c>
      <c r="J135" s="2">
        <v>2</v>
      </c>
      <c r="K135" s="2">
        <v>2</v>
      </c>
      <c r="L135" s="2"/>
      <c r="M135" s="2"/>
      <c r="N135" s="2"/>
      <c r="O135" s="2">
        <f t="shared" si="102"/>
        <v>1275.3900000000001</v>
      </c>
      <c r="P135" s="2">
        <f t="shared" si="103"/>
        <v>1275.3900000000001</v>
      </c>
      <c r="Q135" s="2">
        <f>(ROUND((ROUND(((ET135)*AV135*I135),2)*BB135),2)+ROUND((ROUND(((AE135-(EU135))*AV135*I135),2)*BS135),2))</f>
        <v>0</v>
      </c>
      <c r="R135" s="2">
        <f t="shared" si="104"/>
        <v>0</v>
      </c>
      <c r="S135" s="2">
        <f t="shared" si="105"/>
        <v>0</v>
      </c>
      <c r="T135" s="2">
        <f t="shared" si="106"/>
        <v>0</v>
      </c>
      <c r="U135" s="2">
        <f t="shared" si="107"/>
        <v>0</v>
      </c>
      <c r="V135" s="2">
        <f t="shared" si="108"/>
        <v>0</v>
      </c>
      <c r="W135" s="2">
        <f t="shared" si="109"/>
        <v>0</v>
      </c>
      <c r="X135" s="2">
        <f t="shared" si="110"/>
        <v>0</v>
      </c>
      <c r="Y135" s="2">
        <f t="shared" si="111"/>
        <v>0</v>
      </c>
      <c r="Z135" s="2"/>
      <c r="AA135" s="2">
        <v>59213216</v>
      </c>
      <c r="AB135" s="2">
        <f t="shared" si="112"/>
        <v>135.68</v>
      </c>
      <c r="AC135" s="2">
        <f>ROUND((ES135),6)</f>
        <v>135.68</v>
      </c>
      <c r="AD135" s="2">
        <f>ROUND((((ET135)-(EU135))+AE135),6)</f>
        <v>0</v>
      </c>
      <c r="AE135" s="2">
        <f t="shared" si="135"/>
        <v>0</v>
      </c>
      <c r="AF135" s="2">
        <f t="shared" si="135"/>
        <v>0</v>
      </c>
      <c r="AG135" s="2">
        <f t="shared" si="113"/>
        <v>0</v>
      </c>
      <c r="AH135" s="2">
        <f t="shared" si="136"/>
        <v>0</v>
      </c>
      <c r="AI135" s="2">
        <f t="shared" si="136"/>
        <v>0</v>
      </c>
      <c r="AJ135" s="2">
        <f t="shared" si="114"/>
        <v>0</v>
      </c>
      <c r="AK135" s="2">
        <v>135.68</v>
      </c>
      <c r="AL135" s="2">
        <v>135.68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97</v>
      </c>
      <c r="AU135" s="2">
        <v>51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2</v>
      </c>
      <c r="BJ135" s="2" t="s">
        <v>240</v>
      </c>
      <c r="BK135" s="2"/>
      <c r="BL135" s="2"/>
      <c r="BM135" s="2">
        <v>67</v>
      </c>
      <c r="BN135" s="2">
        <v>58808062</v>
      </c>
      <c r="BO135" s="2" t="s">
        <v>3</v>
      </c>
      <c r="BP135" s="2">
        <v>0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97</v>
      </c>
      <c r="CA135" s="2">
        <v>51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492</v>
      </c>
      <c r="CO135" s="2">
        <v>0</v>
      </c>
      <c r="CP135" s="2">
        <f t="shared" si="115"/>
        <v>1275.3900000000001</v>
      </c>
      <c r="CQ135" s="2">
        <f t="shared" si="116"/>
        <v>135.68</v>
      </c>
      <c r="CR135" s="2">
        <f>(ROUND((ROUND(((ET135)*AV135*1),2)*BB135),2)+ROUND((ROUND(((AE135-(EU135))*AV135*1),2)*BS135),2))</f>
        <v>0</v>
      </c>
      <c r="CS135" s="2">
        <f t="shared" si="117"/>
        <v>0</v>
      </c>
      <c r="CT135" s="2">
        <f t="shared" si="118"/>
        <v>0</v>
      </c>
      <c r="CU135" s="2">
        <f t="shared" si="119"/>
        <v>0</v>
      </c>
      <c r="CV135" s="2">
        <f t="shared" si="120"/>
        <v>0</v>
      </c>
      <c r="CW135" s="2">
        <f t="shared" si="121"/>
        <v>0</v>
      </c>
      <c r="CX135" s="2">
        <f t="shared" si="122"/>
        <v>0</v>
      </c>
      <c r="CY135" s="2">
        <f t="shared" si="123"/>
        <v>0</v>
      </c>
      <c r="CZ135" s="2">
        <f t="shared" si="124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227</v>
      </c>
      <c r="DW135" s="2" t="s">
        <v>227</v>
      </c>
      <c r="DX135" s="2">
        <v>100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58808177</v>
      </c>
      <c r="EF135" s="2">
        <v>40</v>
      </c>
      <c r="EG135" s="2" t="s">
        <v>27</v>
      </c>
      <c r="EH135" s="2">
        <v>0</v>
      </c>
      <c r="EI135" s="2" t="s">
        <v>3</v>
      </c>
      <c r="EJ135" s="2">
        <v>2</v>
      </c>
      <c r="EK135" s="2">
        <v>67</v>
      </c>
      <c r="EL135" s="2" t="s">
        <v>217</v>
      </c>
      <c r="EM135" s="2" t="s">
        <v>218</v>
      </c>
      <c r="EN135" s="2"/>
      <c r="EO135" s="2" t="s">
        <v>30</v>
      </c>
      <c r="EP135" s="2"/>
      <c r="EQ135" s="2">
        <v>0</v>
      </c>
      <c r="ER135" s="2">
        <v>135.68</v>
      </c>
      <c r="ES135" s="2">
        <v>135.68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97</v>
      </c>
      <c r="FY135" s="2">
        <v>51</v>
      </c>
      <c r="FZ135" s="2"/>
      <c r="GA135" s="2" t="s">
        <v>3</v>
      </c>
      <c r="GB135" s="2"/>
      <c r="GC135" s="2"/>
      <c r="GD135" s="2">
        <v>1</v>
      </c>
      <c r="GE135" s="2"/>
      <c r="GF135" s="2">
        <v>1523068278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125"/>
        <v>0</v>
      </c>
      <c r="GM135" s="2">
        <f t="shared" si="126"/>
        <v>1275.3900000000001</v>
      </c>
      <c r="GN135" s="2">
        <f t="shared" si="127"/>
        <v>0</v>
      </c>
      <c r="GO135" s="2">
        <f t="shared" si="128"/>
        <v>1275.3900000000001</v>
      </c>
      <c r="GP135" s="2">
        <f t="shared" si="129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30"/>
        <v>0</v>
      </c>
      <c r="GW135" s="2">
        <v>1</v>
      </c>
      <c r="GX135" s="2">
        <f t="shared" si="131"/>
        <v>0</v>
      </c>
      <c r="GY135" s="2"/>
      <c r="GZ135" s="2"/>
      <c r="HA135" s="2">
        <v>0</v>
      </c>
      <c r="HB135" s="2">
        <v>0</v>
      </c>
      <c r="HC135" s="2">
        <f t="shared" si="132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25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18</v>
      </c>
      <c r="B136">
        <v>1</v>
      </c>
      <c r="C136">
        <v>118</v>
      </c>
      <c r="E136" t="s">
        <v>237</v>
      </c>
      <c r="F136" t="s">
        <v>238</v>
      </c>
      <c r="G136" t="s">
        <v>239</v>
      </c>
      <c r="H136" t="s">
        <v>227</v>
      </c>
      <c r="I136">
        <f>I132*J136</f>
        <v>9.4</v>
      </c>
      <c r="J136">
        <v>2</v>
      </c>
      <c r="K136">
        <v>2</v>
      </c>
      <c r="O136">
        <f t="shared" si="102"/>
        <v>2270.19</v>
      </c>
      <c r="P136">
        <f t="shared" si="103"/>
        <v>2270.19</v>
      </c>
      <c r="Q136">
        <f>(ROUND((ROUND(((ET136)*AV136*I136),2)*BB136),2)+ROUND((ROUND(((AE136-(EU136))*AV136*I136),2)*BS136),2))</f>
        <v>0</v>
      </c>
      <c r="R136">
        <f t="shared" si="104"/>
        <v>0</v>
      </c>
      <c r="S136">
        <f t="shared" si="105"/>
        <v>0</v>
      </c>
      <c r="T136">
        <f t="shared" si="106"/>
        <v>0</v>
      </c>
      <c r="U136">
        <f t="shared" si="107"/>
        <v>0</v>
      </c>
      <c r="V136">
        <f t="shared" si="108"/>
        <v>0</v>
      </c>
      <c r="W136">
        <f t="shared" si="109"/>
        <v>0</v>
      </c>
      <c r="X136">
        <f t="shared" si="110"/>
        <v>0</v>
      </c>
      <c r="Y136">
        <f t="shared" si="111"/>
        <v>0</v>
      </c>
      <c r="AA136">
        <v>59213213</v>
      </c>
      <c r="AB136">
        <f t="shared" si="112"/>
        <v>135.68</v>
      </c>
      <c r="AC136">
        <f>ROUND((ES136),6)</f>
        <v>135.68</v>
      </c>
      <c r="AD136">
        <f>ROUND((((ET136)-(EU136))+AE136),6)</f>
        <v>0</v>
      </c>
      <c r="AE136">
        <f t="shared" si="135"/>
        <v>0</v>
      </c>
      <c r="AF136">
        <f t="shared" si="135"/>
        <v>0</v>
      </c>
      <c r="AG136">
        <f t="shared" si="113"/>
        <v>0</v>
      </c>
      <c r="AH136">
        <f t="shared" si="136"/>
        <v>0</v>
      </c>
      <c r="AI136">
        <f t="shared" si="136"/>
        <v>0</v>
      </c>
      <c r="AJ136">
        <f t="shared" si="114"/>
        <v>0</v>
      </c>
      <c r="AK136">
        <v>135.68</v>
      </c>
      <c r="AL136">
        <v>135.68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97</v>
      </c>
      <c r="AU136">
        <v>51</v>
      </c>
      <c r="AV136">
        <v>1</v>
      </c>
      <c r="AW136">
        <v>1</v>
      </c>
      <c r="AZ136">
        <v>1</v>
      </c>
      <c r="BA136">
        <v>1</v>
      </c>
      <c r="BB136">
        <v>1</v>
      </c>
      <c r="BC136">
        <v>1.78</v>
      </c>
      <c r="BD136" t="s">
        <v>3</v>
      </c>
      <c r="BE136" t="s">
        <v>3</v>
      </c>
      <c r="BF136" t="s">
        <v>3</v>
      </c>
      <c r="BG136" t="s">
        <v>3</v>
      </c>
      <c r="BH136">
        <v>3</v>
      </c>
      <c r="BI136">
        <v>2</v>
      </c>
      <c r="BJ136" t="s">
        <v>240</v>
      </c>
      <c r="BM136">
        <v>67</v>
      </c>
      <c r="BN136">
        <v>58808062</v>
      </c>
      <c r="BO136" t="s">
        <v>238</v>
      </c>
      <c r="BP136">
        <v>1</v>
      </c>
      <c r="BQ136">
        <v>40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97</v>
      </c>
      <c r="CA136">
        <v>51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492</v>
      </c>
      <c r="CO136">
        <v>0</v>
      </c>
      <c r="CP136">
        <f t="shared" si="115"/>
        <v>2270.19</v>
      </c>
      <c r="CQ136">
        <f t="shared" si="116"/>
        <v>241.51</v>
      </c>
      <c r="CR136">
        <f>(ROUND((ROUND(((ET136)*AV136*1),2)*BB136),2)+ROUND((ROUND(((AE136-(EU136))*AV136*1),2)*BS136),2))</f>
        <v>0</v>
      </c>
      <c r="CS136">
        <f t="shared" si="117"/>
        <v>0</v>
      </c>
      <c r="CT136">
        <f t="shared" si="118"/>
        <v>0</v>
      </c>
      <c r="CU136">
        <f t="shared" si="119"/>
        <v>0</v>
      </c>
      <c r="CV136">
        <f t="shared" si="120"/>
        <v>0</v>
      </c>
      <c r="CW136">
        <f t="shared" si="121"/>
        <v>0</v>
      </c>
      <c r="CX136">
        <f t="shared" si="122"/>
        <v>0</v>
      </c>
      <c r="CY136">
        <f t="shared" si="123"/>
        <v>0</v>
      </c>
      <c r="CZ136">
        <f t="shared" si="124"/>
        <v>0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1010</v>
      </c>
      <c r="DV136" t="s">
        <v>227</v>
      </c>
      <c r="DW136" t="s">
        <v>227</v>
      </c>
      <c r="DX136">
        <v>100</v>
      </c>
      <c r="DZ136" t="s">
        <v>3</v>
      </c>
      <c r="EA136" t="s">
        <v>3</v>
      </c>
      <c r="EB136" t="s">
        <v>3</v>
      </c>
      <c r="EC136" t="s">
        <v>3</v>
      </c>
      <c r="EE136">
        <v>58808177</v>
      </c>
      <c r="EF136">
        <v>40</v>
      </c>
      <c r="EG136" t="s">
        <v>27</v>
      </c>
      <c r="EH136">
        <v>0</v>
      </c>
      <c r="EI136" t="s">
        <v>3</v>
      </c>
      <c r="EJ136">
        <v>2</v>
      </c>
      <c r="EK136">
        <v>67</v>
      </c>
      <c r="EL136" t="s">
        <v>217</v>
      </c>
      <c r="EM136" t="s">
        <v>218</v>
      </c>
      <c r="EO136" t="s">
        <v>30</v>
      </c>
      <c r="EQ136">
        <v>0</v>
      </c>
      <c r="ER136">
        <v>135.68</v>
      </c>
      <c r="ES136">
        <v>135.68</v>
      </c>
      <c r="ET136">
        <v>0</v>
      </c>
      <c r="EU136">
        <v>0</v>
      </c>
      <c r="EV136">
        <v>0</v>
      </c>
      <c r="EW136">
        <v>0</v>
      </c>
      <c r="EX136">
        <v>0</v>
      </c>
      <c r="FQ136">
        <v>0</v>
      </c>
      <c r="FR136">
        <v>0</v>
      </c>
      <c r="FS136">
        <v>0</v>
      </c>
      <c r="FX136">
        <v>97</v>
      </c>
      <c r="FY136">
        <v>51</v>
      </c>
      <c r="GA136" t="s">
        <v>3</v>
      </c>
      <c r="GD136">
        <v>1</v>
      </c>
      <c r="GF136">
        <v>1523068278</v>
      </c>
      <c r="GG136">
        <v>2</v>
      </c>
      <c r="GH136">
        <v>1</v>
      </c>
      <c r="GI136">
        <v>2</v>
      </c>
      <c r="GJ136">
        <v>0</v>
      </c>
      <c r="GK136">
        <v>0</v>
      </c>
      <c r="GL136">
        <f t="shared" si="125"/>
        <v>0</v>
      </c>
      <c r="GM136">
        <f t="shared" si="126"/>
        <v>2270.19</v>
      </c>
      <c r="GN136">
        <f t="shared" si="127"/>
        <v>0</v>
      </c>
      <c r="GO136">
        <f t="shared" si="128"/>
        <v>2270.19</v>
      </c>
      <c r="GP136">
        <f t="shared" si="129"/>
        <v>0</v>
      </c>
      <c r="GR136">
        <v>0</v>
      </c>
      <c r="GS136">
        <v>3</v>
      </c>
      <c r="GT136">
        <v>0</v>
      </c>
      <c r="GU136" t="s">
        <v>3</v>
      </c>
      <c r="GV136">
        <f t="shared" si="130"/>
        <v>0</v>
      </c>
      <c r="GW136">
        <v>1</v>
      </c>
      <c r="GX136">
        <f t="shared" si="131"/>
        <v>0</v>
      </c>
      <c r="HA136">
        <v>0</v>
      </c>
      <c r="HB136">
        <v>0</v>
      </c>
      <c r="HC136">
        <f t="shared" si="132"/>
        <v>0</v>
      </c>
      <c r="HE136" t="s">
        <v>3</v>
      </c>
      <c r="HF136" t="s">
        <v>3</v>
      </c>
      <c r="HM136" t="s">
        <v>25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241</v>
      </c>
      <c r="F137" s="2" t="s">
        <v>242</v>
      </c>
      <c r="G137" s="2" t="s">
        <v>243</v>
      </c>
      <c r="H137" s="2" t="s">
        <v>244</v>
      </c>
      <c r="I137" s="2">
        <f>ROUND(ROUND(1,4),9)</f>
        <v>1</v>
      </c>
      <c r="J137" s="2">
        <v>0</v>
      </c>
      <c r="K137" s="2">
        <f>ROUND(ROUND(1,4),9)</f>
        <v>1</v>
      </c>
      <c r="L137" s="2"/>
      <c r="M137" s="2"/>
      <c r="N137" s="2"/>
      <c r="O137" s="2">
        <f t="shared" si="102"/>
        <v>42.53</v>
      </c>
      <c r="P137" s="2">
        <f t="shared" si="103"/>
        <v>42.53</v>
      </c>
      <c r="Q137" s="2">
        <f>(ROUND((ROUND((((ET137*1.1))*AV137*I137),2)*BB137),2)+ROUND((ROUND(((AE137-((EU137*1.1)))*AV137*I137),2)*BS137),2))</f>
        <v>0</v>
      </c>
      <c r="R137" s="2">
        <f t="shared" si="104"/>
        <v>0</v>
      </c>
      <c r="S137" s="2">
        <f t="shared" si="105"/>
        <v>0</v>
      </c>
      <c r="T137" s="2">
        <f t="shared" si="106"/>
        <v>0</v>
      </c>
      <c r="U137" s="2">
        <f t="shared" si="107"/>
        <v>0</v>
      </c>
      <c r="V137" s="2">
        <f t="shared" si="108"/>
        <v>0</v>
      </c>
      <c r="W137" s="2">
        <f t="shared" si="109"/>
        <v>0</v>
      </c>
      <c r="X137" s="2">
        <f t="shared" si="110"/>
        <v>0</v>
      </c>
      <c r="Y137" s="2">
        <f t="shared" si="111"/>
        <v>0</v>
      </c>
      <c r="Z137" s="2"/>
      <c r="AA137" s="2">
        <v>59213216</v>
      </c>
      <c r="AB137" s="2">
        <f t="shared" si="112"/>
        <v>42.53</v>
      </c>
      <c r="AC137" s="2">
        <f>ROUND(((ES137*1)),6)</f>
        <v>42.53</v>
      </c>
      <c r="AD137" s="2">
        <f>ROUND(((((ET137*1.1))-((EU137*1.1)))+AE137),6)</f>
        <v>0</v>
      </c>
      <c r="AE137" s="2">
        <f t="shared" ref="AE137:AF140" si="137">ROUND(((EU137*1.1)),6)</f>
        <v>0</v>
      </c>
      <c r="AF137" s="2">
        <f t="shared" si="137"/>
        <v>0</v>
      </c>
      <c r="AG137" s="2">
        <f t="shared" si="113"/>
        <v>0</v>
      </c>
      <c r="AH137" s="2">
        <f t="shared" ref="AH137:AI140" si="138">((EW137*1.1))</f>
        <v>0</v>
      </c>
      <c r="AI137" s="2">
        <f t="shared" si="138"/>
        <v>0</v>
      </c>
      <c r="AJ137" s="2">
        <f t="shared" si="114"/>
        <v>0</v>
      </c>
      <c r="AK137" s="2">
        <v>42.53</v>
      </c>
      <c r="AL137" s="2">
        <v>42.53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1</v>
      </c>
      <c r="BJ137" s="2" t="s">
        <v>245</v>
      </c>
      <c r="BK137" s="2"/>
      <c r="BL137" s="2"/>
      <c r="BM137" s="2">
        <v>1617</v>
      </c>
      <c r="BN137" s="2">
        <v>58808062</v>
      </c>
      <c r="BO137" s="2" t="s">
        <v>3</v>
      </c>
      <c r="BP137" s="2">
        <v>0</v>
      </c>
      <c r="BQ137" s="2">
        <v>200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492</v>
      </c>
      <c r="CO137" s="2">
        <v>0</v>
      </c>
      <c r="CP137" s="2">
        <f t="shared" si="115"/>
        <v>42.53</v>
      </c>
      <c r="CQ137" s="2">
        <f t="shared" si="116"/>
        <v>42.53</v>
      </c>
      <c r="CR137" s="2">
        <f>(ROUND((ROUND((((ET137*1.1))*AV137*1),2)*BB137),2)+ROUND((ROUND(((AE137-((EU137*1.1)))*AV137*1),2)*BS137),2))</f>
        <v>0</v>
      </c>
      <c r="CS137" s="2">
        <f t="shared" si="117"/>
        <v>0</v>
      </c>
      <c r="CT137" s="2">
        <f t="shared" si="118"/>
        <v>0</v>
      </c>
      <c r="CU137" s="2">
        <f t="shared" si="119"/>
        <v>0</v>
      </c>
      <c r="CV137" s="2">
        <f t="shared" si="120"/>
        <v>0</v>
      </c>
      <c r="CW137" s="2">
        <f t="shared" si="121"/>
        <v>0</v>
      </c>
      <c r="CX137" s="2">
        <f t="shared" si="122"/>
        <v>0</v>
      </c>
      <c r="CY137" s="2">
        <f t="shared" si="123"/>
        <v>0</v>
      </c>
      <c r="CZ137" s="2">
        <f t="shared" si="124"/>
        <v>0</v>
      </c>
      <c r="DA137" s="2"/>
      <c r="DB137" s="2">
        <v>33</v>
      </c>
      <c r="DC137" s="2" t="s">
        <v>3</v>
      </c>
      <c r="DD137" s="2" t="s">
        <v>25</v>
      </c>
      <c r="DE137" s="2" t="s">
        <v>26</v>
      </c>
      <c r="DF137" s="2" t="s">
        <v>26</v>
      </c>
      <c r="DG137" s="2" t="s">
        <v>26</v>
      </c>
      <c r="DH137" s="2" t="s">
        <v>3</v>
      </c>
      <c r="DI137" s="2" t="s">
        <v>26</v>
      </c>
      <c r="DJ137" s="2" t="s">
        <v>26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1009</v>
      </c>
      <c r="DV137" s="2" t="s">
        <v>244</v>
      </c>
      <c r="DW137" s="2" t="s">
        <v>244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58808206</v>
      </c>
      <c r="EF137" s="2">
        <v>200</v>
      </c>
      <c r="EG137" s="2" t="s">
        <v>246</v>
      </c>
      <c r="EH137" s="2">
        <v>0</v>
      </c>
      <c r="EI137" s="2" t="s">
        <v>3</v>
      </c>
      <c r="EJ137" s="2">
        <v>1</v>
      </c>
      <c r="EK137" s="2">
        <v>1617</v>
      </c>
      <c r="EL137" s="2" t="s">
        <v>247</v>
      </c>
      <c r="EM137" s="2" t="s">
        <v>248</v>
      </c>
      <c r="EN137" s="2"/>
      <c r="EO137" s="2" t="s">
        <v>30</v>
      </c>
      <c r="EP137" s="2"/>
      <c r="EQ137" s="2">
        <v>0</v>
      </c>
      <c r="ER137" s="2">
        <v>42.53</v>
      </c>
      <c r="ES137" s="2">
        <v>42.53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3</v>
      </c>
      <c r="GB137" s="2"/>
      <c r="GC137" s="2"/>
      <c r="GD137" s="2">
        <v>1</v>
      </c>
      <c r="GE137" s="2"/>
      <c r="GF137" s="2">
        <v>-1075972502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125"/>
        <v>0</v>
      </c>
      <c r="GM137" s="2">
        <f t="shared" si="126"/>
        <v>42.53</v>
      </c>
      <c r="GN137" s="2">
        <f t="shared" si="127"/>
        <v>42.53</v>
      </c>
      <c r="GO137" s="2">
        <f t="shared" si="128"/>
        <v>0</v>
      </c>
      <c r="GP137" s="2">
        <f t="shared" si="129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30"/>
        <v>0</v>
      </c>
      <c r="GW137" s="2">
        <v>1</v>
      </c>
      <c r="GX137" s="2">
        <f t="shared" si="131"/>
        <v>0</v>
      </c>
      <c r="GY137" s="2"/>
      <c r="GZ137" s="2"/>
      <c r="HA137" s="2">
        <v>0</v>
      </c>
      <c r="HB137" s="2">
        <v>0</v>
      </c>
      <c r="HC137" s="2">
        <f t="shared" si="132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E138" t="s">
        <v>241</v>
      </c>
      <c r="F138" t="s">
        <v>242</v>
      </c>
      <c r="G138" t="s">
        <v>243</v>
      </c>
      <c r="H138" t="s">
        <v>244</v>
      </c>
      <c r="I138">
        <f>ROUND(ROUND(1,4),9)</f>
        <v>1</v>
      </c>
      <c r="J138">
        <v>0</v>
      </c>
      <c r="K138">
        <f>ROUND(ROUND(1,4),9)</f>
        <v>1</v>
      </c>
      <c r="O138">
        <f t="shared" si="102"/>
        <v>179.48</v>
      </c>
      <c r="P138">
        <f t="shared" si="103"/>
        <v>179.48</v>
      </c>
      <c r="Q138">
        <f>(ROUND((ROUND((((ET138*1.1))*AV138*I138),2)*BB138),2)+ROUND((ROUND(((AE138-((EU138*1.1)))*AV138*I138),2)*BS138),2))</f>
        <v>0</v>
      </c>
      <c r="R138">
        <f t="shared" si="104"/>
        <v>0</v>
      </c>
      <c r="S138">
        <f t="shared" si="105"/>
        <v>0</v>
      </c>
      <c r="T138">
        <f t="shared" si="106"/>
        <v>0</v>
      </c>
      <c r="U138">
        <f t="shared" si="107"/>
        <v>0</v>
      </c>
      <c r="V138">
        <f t="shared" si="108"/>
        <v>0</v>
      </c>
      <c r="W138">
        <f t="shared" si="109"/>
        <v>0</v>
      </c>
      <c r="X138">
        <f t="shared" si="110"/>
        <v>0</v>
      </c>
      <c r="Y138">
        <f t="shared" si="111"/>
        <v>0</v>
      </c>
      <c r="AA138">
        <v>59213213</v>
      </c>
      <c r="AB138">
        <f t="shared" si="112"/>
        <v>42.53</v>
      </c>
      <c r="AC138">
        <f>ROUND(((ES138*1)),6)</f>
        <v>42.53</v>
      </c>
      <c r="AD138">
        <f>ROUND(((((ET138*1.1))-((EU138*1.1)))+AE138),6)</f>
        <v>0</v>
      </c>
      <c r="AE138">
        <f t="shared" si="137"/>
        <v>0</v>
      </c>
      <c r="AF138">
        <f t="shared" si="137"/>
        <v>0</v>
      </c>
      <c r="AG138">
        <f t="shared" si="113"/>
        <v>0</v>
      </c>
      <c r="AH138">
        <f t="shared" si="138"/>
        <v>0</v>
      </c>
      <c r="AI138">
        <f t="shared" si="138"/>
        <v>0</v>
      </c>
      <c r="AJ138">
        <f t="shared" si="114"/>
        <v>0</v>
      </c>
      <c r="AK138">
        <v>42.53</v>
      </c>
      <c r="AL138">
        <v>42.53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Z138">
        <v>1</v>
      </c>
      <c r="BA138">
        <v>1</v>
      </c>
      <c r="BB138">
        <v>1</v>
      </c>
      <c r="BC138">
        <v>4.22</v>
      </c>
      <c r="BD138" t="s">
        <v>3</v>
      </c>
      <c r="BE138" t="s">
        <v>3</v>
      </c>
      <c r="BF138" t="s">
        <v>3</v>
      </c>
      <c r="BG138" t="s">
        <v>3</v>
      </c>
      <c r="BH138">
        <v>3</v>
      </c>
      <c r="BI138">
        <v>1</v>
      </c>
      <c r="BJ138" t="s">
        <v>245</v>
      </c>
      <c r="BM138">
        <v>1617</v>
      </c>
      <c r="BN138">
        <v>58808062</v>
      </c>
      <c r="BO138" t="s">
        <v>242</v>
      </c>
      <c r="BP138">
        <v>1</v>
      </c>
      <c r="BQ138">
        <v>200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0</v>
      </c>
      <c r="CA138">
        <v>0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492</v>
      </c>
      <c r="CO138">
        <v>0</v>
      </c>
      <c r="CP138">
        <f t="shared" si="115"/>
        <v>179.48</v>
      </c>
      <c r="CQ138">
        <f t="shared" si="116"/>
        <v>179.48</v>
      </c>
      <c r="CR138">
        <f>(ROUND((ROUND((((ET138*1.1))*AV138*1),2)*BB138),2)+ROUND((ROUND(((AE138-((EU138*1.1)))*AV138*1),2)*BS138),2))</f>
        <v>0</v>
      </c>
      <c r="CS138">
        <f t="shared" si="117"/>
        <v>0</v>
      </c>
      <c r="CT138">
        <f t="shared" si="118"/>
        <v>0</v>
      </c>
      <c r="CU138">
        <f t="shared" si="119"/>
        <v>0</v>
      </c>
      <c r="CV138">
        <f t="shared" si="120"/>
        <v>0</v>
      </c>
      <c r="CW138">
        <f t="shared" si="121"/>
        <v>0</v>
      </c>
      <c r="CX138">
        <f t="shared" si="122"/>
        <v>0</v>
      </c>
      <c r="CY138">
        <f t="shared" si="123"/>
        <v>0</v>
      </c>
      <c r="CZ138">
        <f t="shared" si="124"/>
        <v>0</v>
      </c>
      <c r="DB138">
        <v>34</v>
      </c>
      <c r="DC138" t="s">
        <v>3</v>
      </c>
      <c r="DD138" t="s">
        <v>25</v>
      </c>
      <c r="DE138" t="s">
        <v>26</v>
      </c>
      <c r="DF138" t="s">
        <v>26</v>
      </c>
      <c r="DG138" t="s">
        <v>26</v>
      </c>
      <c r="DH138" t="s">
        <v>3</v>
      </c>
      <c r="DI138" t="s">
        <v>26</v>
      </c>
      <c r="DJ138" t="s">
        <v>26</v>
      </c>
      <c r="DK138" t="s">
        <v>3</v>
      </c>
      <c r="DL138" t="s">
        <v>3</v>
      </c>
      <c r="DM138" t="s">
        <v>3</v>
      </c>
      <c r="DN138">
        <v>0</v>
      </c>
      <c r="DO138">
        <v>0</v>
      </c>
      <c r="DP138">
        <v>1</v>
      </c>
      <c r="DQ138">
        <v>1</v>
      </c>
      <c r="DU138">
        <v>1009</v>
      </c>
      <c r="DV138" t="s">
        <v>244</v>
      </c>
      <c r="DW138" t="s">
        <v>244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58808206</v>
      </c>
      <c r="EF138">
        <v>200</v>
      </c>
      <c r="EG138" t="s">
        <v>246</v>
      </c>
      <c r="EH138">
        <v>0</v>
      </c>
      <c r="EI138" t="s">
        <v>3</v>
      </c>
      <c r="EJ138">
        <v>1</v>
      </c>
      <c r="EK138">
        <v>1617</v>
      </c>
      <c r="EL138" t="s">
        <v>247</v>
      </c>
      <c r="EM138" t="s">
        <v>248</v>
      </c>
      <c r="EO138" t="s">
        <v>30</v>
      </c>
      <c r="EQ138">
        <v>0</v>
      </c>
      <c r="ER138">
        <v>42.53</v>
      </c>
      <c r="ES138">
        <v>42.53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0</v>
      </c>
      <c r="FY138">
        <v>0</v>
      </c>
      <c r="GA138" t="s">
        <v>3</v>
      </c>
      <c r="GD138">
        <v>1</v>
      </c>
      <c r="GF138">
        <v>-1075972502</v>
      </c>
      <c r="GG138">
        <v>2</v>
      </c>
      <c r="GH138">
        <v>1</v>
      </c>
      <c r="GI138">
        <v>2</v>
      </c>
      <c r="GJ138">
        <v>0</v>
      </c>
      <c r="GK138">
        <v>0</v>
      </c>
      <c r="GL138">
        <f t="shared" si="125"/>
        <v>0</v>
      </c>
      <c r="GM138">
        <f t="shared" si="126"/>
        <v>179.48</v>
      </c>
      <c r="GN138">
        <f t="shared" si="127"/>
        <v>179.48</v>
      </c>
      <c r="GO138">
        <f t="shared" si="128"/>
        <v>0</v>
      </c>
      <c r="GP138">
        <f t="shared" si="129"/>
        <v>0</v>
      </c>
      <c r="GR138">
        <v>0</v>
      </c>
      <c r="GS138">
        <v>3</v>
      </c>
      <c r="GT138">
        <v>0</v>
      </c>
      <c r="GU138" t="s">
        <v>3</v>
      </c>
      <c r="GV138">
        <f t="shared" si="130"/>
        <v>0</v>
      </c>
      <c r="GW138">
        <v>1</v>
      </c>
      <c r="GX138">
        <f t="shared" si="131"/>
        <v>0</v>
      </c>
      <c r="HA138">
        <v>0</v>
      </c>
      <c r="HB138">
        <v>0</v>
      </c>
      <c r="HC138">
        <f t="shared" si="132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>
        <f>ROW(SmtRes!A128)</f>
        <v>128</v>
      </c>
      <c r="D139" s="2">
        <f>ROW(EtalonRes!A148)</f>
        <v>148</v>
      </c>
      <c r="E139" s="2" t="s">
        <v>249</v>
      </c>
      <c r="F139" s="2" t="s">
        <v>250</v>
      </c>
      <c r="G139" s="2" t="s">
        <v>251</v>
      </c>
      <c r="H139" s="2" t="s">
        <v>215</v>
      </c>
      <c r="I139" s="2">
        <f>ROUND(ROUND(290/100,4),9)</f>
        <v>2.9</v>
      </c>
      <c r="J139" s="2">
        <v>0</v>
      </c>
      <c r="K139" s="2">
        <f>ROUND(ROUND(290/100,4),9)</f>
        <v>2.9</v>
      </c>
      <c r="L139" s="2"/>
      <c r="M139" s="2"/>
      <c r="N139" s="2"/>
      <c r="O139" s="2">
        <f t="shared" si="102"/>
        <v>361.85</v>
      </c>
      <c r="P139" s="2">
        <f t="shared" si="103"/>
        <v>168.64</v>
      </c>
      <c r="Q139" s="2">
        <f>(ROUND((ROUND((((ET139*1.1))*AV139*I139),2)*BB139),2)+ROUND((ROUND(((AE139-((EU139*1.1)))*AV139*I139),2)*BS139),2))</f>
        <v>8.75</v>
      </c>
      <c r="R139" s="2">
        <f t="shared" si="104"/>
        <v>1</v>
      </c>
      <c r="S139" s="2">
        <f t="shared" si="105"/>
        <v>184.46</v>
      </c>
      <c r="T139" s="2">
        <f t="shared" si="106"/>
        <v>0</v>
      </c>
      <c r="U139" s="2">
        <f t="shared" si="107"/>
        <v>14.996285700000003</v>
      </c>
      <c r="V139" s="2">
        <f t="shared" si="108"/>
        <v>0</v>
      </c>
      <c r="W139" s="2">
        <f t="shared" si="109"/>
        <v>0</v>
      </c>
      <c r="X139" s="2">
        <f t="shared" si="110"/>
        <v>179.9</v>
      </c>
      <c r="Y139" s="2">
        <f t="shared" si="111"/>
        <v>94.58</v>
      </c>
      <c r="Z139" s="2"/>
      <c r="AA139" s="2">
        <v>59213216</v>
      </c>
      <c r="AB139" s="2">
        <f t="shared" si="112"/>
        <v>121.785</v>
      </c>
      <c r="AC139" s="2">
        <f>ROUND(((ES139*1)),6)</f>
        <v>58.15</v>
      </c>
      <c r="AD139" s="2">
        <f>ROUND(((((ET139*1.1))-((EU139*1.1)))+AE139),6)</f>
        <v>2.8820000000000001</v>
      </c>
      <c r="AE139" s="2">
        <f t="shared" si="137"/>
        <v>0.33</v>
      </c>
      <c r="AF139" s="2">
        <f t="shared" si="137"/>
        <v>60.753</v>
      </c>
      <c r="AG139" s="2">
        <f t="shared" si="113"/>
        <v>0</v>
      </c>
      <c r="AH139" s="2">
        <f t="shared" si="138"/>
        <v>4.9390000000000009</v>
      </c>
      <c r="AI139" s="2">
        <f t="shared" si="138"/>
        <v>0</v>
      </c>
      <c r="AJ139" s="2">
        <f t="shared" si="114"/>
        <v>0</v>
      </c>
      <c r="AK139" s="2">
        <v>116</v>
      </c>
      <c r="AL139" s="2">
        <v>58.15</v>
      </c>
      <c r="AM139" s="2">
        <v>2.62</v>
      </c>
      <c r="AN139" s="2">
        <v>0.3</v>
      </c>
      <c r="AO139" s="2">
        <v>55.23</v>
      </c>
      <c r="AP139" s="2">
        <v>0</v>
      </c>
      <c r="AQ139" s="2">
        <v>4.49</v>
      </c>
      <c r="AR139" s="2">
        <v>0</v>
      </c>
      <c r="AS139" s="2">
        <v>0</v>
      </c>
      <c r="AT139" s="2">
        <v>97</v>
      </c>
      <c r="AU139" s="2">
        <v>51</v>
      </c>
      <c r="AV139" s="2">
        <v>1.0469999999999999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252</v>
      </c>
      <c r="BK139" s="2"/>
      <c r="BL139" s="2"/>
      <c r="BM139" s="2">
        <v>67</v>
      </c>
      <c r="BN139" s="2">
        <v>58808062</v>
      </c>
      <c r="BO139" s="2" t="s">
        <v>250</v>
      </c>
      <c r="BP139" s="2">
        <v>1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97</v>
      </c>
      <c r="CA139" s="2">
        <v>51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492</v>
      </c>
      <c r="CO139" s="2">
        <v>0</v>
      </c>
      <c r="CP139" s="2">
        <f t="shared" si="115"/>
        <v>361.85</v>
      </c>
      <c r="CQ139" s="2">
        <f t="shared" si="116"/>
        <v>58.15</v>
      </c>
      <c r="CR139" s="2">
        <f>(ROUND((ROUND((((ET139*1.1))*AV139*1),2)*BB139),2)+ROUND((ROUND(((AE139-((EU139*1.1)))*AV139*1),2)*BS139),2))</f>
        <v>3.02</v>
      </c>
      <c r="CS139" s="2">
        <f t="shared" si="117"/>
        <v>0.35</v>
      </c>
      <c r="CT139" s="2">
        <f t="shared" si="118"/>
        <v>63.61</v>
      </c>
      <c r="CU139" s="2">
        <f t="shared" si="119"/>
        <v>0</v>
      </c>
      <c r="CV139" s="2">
        <f t="shared" si="120"/>
        <v>5.1711330000000011</v>
      </c>
      <c r="CW139" s="2">
        <f t="shared" si="121"/>
        <v>0</v>
      </c>
      <c r="CX139" s="2">
        <f t="shared" si="122"/>
        <v>0</v>
      </c>
      <c r="CY139" s="2">
        <f t="shared" si="123"/>
        <v>179.89619999999999</v>
      </c>
      <c r="CZ139" s="2">
        <f t="shared" si="124"/>
        <v>94.584600000000009</v>
      </c>
      <c r="DA139" s="2"/>
      <c r="DB139" s="2">
        <v>35</v>
      </c>
      <c r="DC139" s="2" t="s">
        <v>3</v>
      </c>
      <c r="DD139" s="2" t="s">
        <v>25</v>
      </c>
      <c r="DE139" s="2" t="s">
        <v>26</v>
      </c>
      <c r="DF139" s="2" t="s">
        <v>26</v>
      </c>
      <c r="DG139" s="2" t="s">
        <v>26</v>
      </c>
      <c r="DH139" s="2" t="s">
        <v>3</v>
      </c>
      <c r="DI139" s="2" t="s">
        <v>26</v>
      </c>
      <c r="DJ139" s="2" t="s">
        <v>26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215</v>
      </c>
      <c r="DW139" s="2" t="s">
        <v>215</v>
      </c>
      <c r="DX139" s="2">
        <v>100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58808177</v>
      </c>
      <c r="EF139" s="2">
        <v>40</v>
      </c>
      <c r="EG139" s="2" t="s">
        <v>27</v>
      </c>
      <c r="EH139" s="2">
        <v>0</v>
      </c>
      <c r="EI139" s="2" t="s">
        <v>3</v>
      </c>
      <c r="EJ139" s="2">
        <v>2</v>
      </c>
      <c r="EK139" s="2">
        <v>67</v>
      </c>
      <c r="EL139" s="2" t="s">
        <v>217</v>
      </c>
      <c r="EM139" s="2" t="s">
        <v>218</v>
      </c>
      <c r="EN139" s="2"/>
      <c r="EO139" s="2" t="s">
        <v>30</v>
      </c>
      <c r="EP139" s="2"/>
      <c r="EQ139" s="2">
        <v>0</v>
      </c>
      <c r="ER139" s="2">
        <v>116</v>
      </c>
      <c r="ES139" s="2">
        <v>58.15</v>
      </c>
      <c r="ET139" s="2">
        <v>2.62</v>
      </c>
      <c r="EU139" s="2">
        <v>0.3</v>
      </c>
      <c r="EV139" s="2">
        <v>55.23</v>
      </c>
      <c r="EW139" s="2">
        <v>4.49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97</v>
      </c>
      <c r="FY139" s="2">
        <v>51</v>
      </c>
      <c r="FZ139" s="2"/>
      <c r="GA139" s="2" t="s">
        <v>3</v>
      </c>
      <c r="GB139" s="2"/>
      <c r="GC139" s="2"/>
      <c r="GD139" s="2">
        <v>1</v>
      </c>
      <c r="GE139" s="2"/>
      <c r="GF139" s="2">
        <v>770559996</v>
      </c>
      <c r="GG139" s="2">
        <v>2</v>
      </c>
      <c r="GH139" s="2">
        <v>1</v>
      </c>
      <c r="GI139" s="2">
        <v>2</v>
      </c>
      <c r="GJ139" s="2">
        <v>0</v>
      </c>
      <c r="GK139" s="2">
        <v>0</v>
      </c>
      <c r="GL139" s="2">
        <f t="shared" si="125"/>
        <v>0</v>
      </c>
      <c r="GM139" s="2">
        <f t="shared" si="126"/>
        <v>636.33000000000004</v>
      </c>
      <c r="GN139" s="2">
        <f t="shared" si="127"/>
        <v>0</v>
      </c>
      <c r="GO139" s="2">
        <f t="shared" si="128"/>
        <v>636.33000000000004</v>
      </c>
      <c r="GP139" s="2">
        <f t="shared" si="129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30"/>
        <v>0</v>
      </c>
      <c r="GW139" s="2">
        <v>1</v>
      </c>
      <c r="GX139" s="2">
        <f t="shared" si="131"/>
        <v>0</v>
      </c>
      <c r="GY139" s="2"/>
      <c r="GZ139" s="2"/>
      <c r="HA139" s="2">
        <v>0</v>
      </c>
      <c r="HB139" s="2">
        <v>0</v>
      </c>
      <c r="HC139" s="2">
        <f t="shared" si="13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C140">
        <f>ROW(SmtRes!A138)</f>
        <v>138</v>
      </c>
      <c r="D140">
        <f>ROW(EtalonRes!A158)</f>
        <v>158</v>
      </c>
      <c r="E140" t="s">
        <v>249</v>
      </c>
      <c r="F140" t="s">
        <v>250</v>
      </c>
      <c r="G140" t="s">
        <v>251</v>
      </c>
      <c r="H140" t="s">
        <v>215</v>
      </c>
      <c r="I140">
        <f>ROUND(ROUND(290/100,4),9)</f>
        <v>2.9</v>
      </c>
      <c r="J140">
        <v>0</v>
      </c>
      <c r="K140">
        <f>ROUND(ROUND(290/100,4),9)</f>
        <v>2.9</v>
      </c>
      <c r="O140">
        <f t="shared" si="102"/>
        <v>10894.92</v>
      </c>
      <c r="P140">
        <f t="shared" si="103"/>
        <v>623.97</v>
      </c>
      <c r="Q140">
        <f>(ROUND((ROUND((((ET140*1.1))*AV140*I140),2)*BB140),2)+ROUND((ROUND(((AE140-((EU140*1.1)))*AV140*I140),2)*BS140),2))</f>
        <v>127.49</v>
      </c>
      <c r="R140">
        <f t="shared" si="104"/>
        <v>54.99</v>
      </c>
      <c r="S140">
        <f t="shared" si="105"/>
        <v>10143.459999999999</v>
      </c>
      <c r="T140">
        <f t="shared" si="106"/>
        <v>0</v>
      </c>
      <c r="U140">
        <f t="shared" si="107"/>
        <v>14.996285700000003</v>
      </c>
      <c r="V140">
        <f t="shared" si="108"/>
        <v>0</v>
      </c>
      <c r="W140">
        <f t="shared" si="109"/>
        <v>0</v>
      </c>
      <c r="X140">
        <f t="shared" si="110"/>
        <v>9892.5</v>
      </c>
      <c r="Y140">
        <f t="shared" si="111"/>
        <v>5201.21</v>
      </c>
      <c r="AA140">
        <v>59213213</v>
      </c>
      <c r="AB140">
        <f t="shared" si="112"/>
        <v>121.785</v>
      </c>
      <c r="AC140">
        <f>ROUND(((ES140*1)),6)</f>
        <v>58.15</v>
      </c>
      <c r="AD140">
        <f>ROUND(((((ET140*1.1))-((EU140*1.1)))+AE140),6)</f>
        <v>2.8820000000000001</v>
      </c>
      <c r="AE140">
        <f t="shared" si="137"/>
        <v>0.33</v>
      </c>
      <c r="AF140">
        <f t="shared" si="137"/>
        <v>60.753</v>
      </c>
      <c r="AG140">
        <f t="shared" si="113"/>
        <v>0</v>
      </c>
      <c r="AH140">
        <f t="shared" si="138"/>
        <v>4.9390000000000009</v>
      </c>
      <c r="AI140">
        <f t="shared" si="138"/>
        <v>0</v>
      </c>
      <c r="AJ140">
        <f t="shared" si="114"/>
        <v>0</v>
      </c>
      <c r="AK140">
        <v>116</v>
      </c>
      <c r="AL140">
        <v>58.15</v>
      </c>
      <c r="AM140">
        <v>2.62</v>
      </c>
      <c r="AN140">
        <v>0.3</v>
      </c>
      <c r="AO140">
        <v>55.23</v>
      </c>
      <c r="AP140">
        <v>0</v>
      </c>
      <c r="AQ140">
        <v>4.49</v>
      </c>
      <c r="AR140">
        <v>0</v>
      </c>
      <c r="AS140">
        <v>0</v>
      </c>
      <c r="AT140">
        <v>97</v>
      </c>
      <c r="AU140">
        <v>51</v>
      </c>
      <c r="AV140">
        <v>1.0469999999999999</v>
      </c>
      <c r="AW140">
        <v>1</v>
      </c>
      <c r="AZ140">
        <v>1</v>
      </c>
      <c r="BA140">
        <v>54.99</v>
      </c>
      <c r="BB140">
        <v>14.57</v>
      </c>
      <c r="BC140">
        <v>3.7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2</v>
      </c>
      <c r="BJ140" t="s">
        <v>252</v>
      </c>
      <c r="BM140">
        <v>67</v>
      </c>
      <c r="BN140">
        <v>58808062</v>
      </c>
      <c r="BO140" t="s">
        <v>250</v>
      </c>
      <c r="BP140">
        <v>1</v>
      </c>
      <c r="BQ140">
        <v>40</v>
      </c>
      <c r="BR140">
        <v>0</v>
      </c>
      <c r="BS140">
        <v>54.99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97</v>
      </c>
      <c r="CA140">
        <v>51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492</v>
      </c>
      <c r="CO140">
        <v>0</v>
      </c>
      <c r="CP140">
        <f t="shared" si="115"/>
        <v>10894.919999999998</v>
      </c>
      <c r="CQ140">
        <f t="shared" si="116"/>
        <v>215.16</v>
      </c>
      <c r="CR140">
        <f>(ROUND((ROUND((((ET140*1.1))*AV140*1),2)*BB140),2)+ROUND((ROUND(((AE140-((EU140*1.1)))*AV140*1),2)*BS140),2))</f>
        <v>44</v>
      </c>
      <c r="CS140">
        <f t="shared" si="117"/>
        <v>19.25</v>
      </c>
      <c r="CT140">
        <f t="shared" si="118"/>
        <v>3497.91</v>
      </c>
      <c r="CU140">
        <f t="shared" si="119"/>
        <v>0</v>
      </c>
      <c r="CV140">
        <f t="shared" si="120"/>
        <v>5.1711330000000011</v>
      </c>
      <c r="CW140">
        <f t="shared" si="121"/>
        <v>0</v>
      </c>
      <c r="CX140">
        <f t="shared" si="122"/>
        <v>0</v>
      </c>
      <c r="CY140">
        <f t="shared" si="123"/>
        <v>9892.4964999999993</v>
      </c>
      <c r="CZ140">
        <f t="shared" si="124"/>
        <v>5201.2094999999999</v>
      </c>
      <c r="DB140">
        <v>36</v>
      </c>
      <c r="DC140" t="s">
        <v>3</v>
      </c>
      <c r="DD140" t="s">
        <v>25</v>
      </c>
      <c r="DE140" t="s">
        <v>26</v>
      </c>
      <c r="DF140" t="s">
        <v>26</v>
      </c>
      <c r="DG140" t="s">
        <v>26</v>
      </c>
      <c r="DH140" t="s">
        <v>3</v>
      </c>
      <c r="DI140" t="s">
        <v>26</v>
      </c>
      <c r="DJ140" t="s">
        <v>26</v>
      </c>
      <c r="DK140" t="s">
        <v>3</v>
      </c>
      <c r="DL140" t="s">
        <v>3</v>
      </c>
      <c r="DM140" t="s">
        <v>3</v>
      </c>
      <c r="DN140">
        <v>0</v>
      </c>
      <c r="DO140">
        <v>0</v>
      </c>
      <c r="DP140">
        <v>1</v>
      </c>
      <c r="DQ140">
        <v>1</v>
      </c>
      <c r="DU140">
        <v>1003</v>
      </c>
      <c r="DV140" t="s">
        <v>215</v>
      </c>
      <c r="DW140" t="s">
        <v>215</v>
      </c>
      <c r="DX140">
        <v>100</v>
      </c>
      <c r="DZ140" t="s">
        <v>3</v>
      </c>
      <c r="EA140" t="s">
        <v>3</v>
      </c>
      <c r="EB140" t="s">
        <v>3</v>
      </c>
      <c r="EC140" t="s">
        <v>3</v>
      </c>
      <c r="EE140">
        <v>58808177</v>
      </c>
      <c r="EF140">
        <v>40</v>
      </c>
      <c r="EG140" t="s">
        <v>27</v>
      </c>
      <c r="EH140">
        <v>0</v>
      </c>
      <c r="EI140" t="s">
        <v>3</v>
      </c>
      <c r="EJ140">
        <v>2</v>
      </c>
      <c r="EK140">
        <v>67</v>
      </c>
      <c r="EL140" t="s">
        <v>217</v>
      </c>
      <c r="EM140" t="s">
        <v>218</v>
      </c>
      <c r="EO140" t="s">
        <v>30</v>
      </c>
      <c r="EQ140">
        <v>0</v>
      </c>
      <c r="ER140">
        <v>116</v>
      </c>
      <c r="ES140">
        <v>58.15</v>
      </c>
      <c r="ET140">
        <v>2.62</v>
      </c>
      <c r="EU140">
        <v>0.3</v>
      </c>
      <c r="EV140">
        <v>55.23</v>
      </c>
      <c r="EW140">
        <v>4.49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97</v>
      </c>
      <c r="FY140">
        <v>51</v>
      </c>
      <c r="GA140" t="s">
        <v>3</v>
      </c>
      <c r="GD140">
        <v>1</v>
      </c>
      <c r="GF140">
        <v>770559996</v>
      </c>
      <c r="GG140">
        <v>2</v>
      </c>
      <c r="GH140">
        <v>1</v>
      </c>
      <c r="GI140">
        <v>2</v>
      </c>
      <c r="GJ140">
        <v>0</v>
      </c>
      <c r="GK140">
        <v>0</v>
      </c>
      <c r="GL140">
        <f t="shared" si="125"/>
        <v>0</v>
      </c>
      <c r="GM140">
        <f t="shared" si="126"/>
        <v>25988.63</v>
      </c>
      <c r="GN140">
        <f t="shared" si="127"/>
        <v>0</v>
      </c>
      <c r="GO140">
        <f t="shared" si="128"/>
        <v>25988.63</v>
      </c>
      <c r="GP140">
        <f t="shared" si="129"/>
        <v>0</v>
      </c>
      <c r="GR140">
        <v>0</v>
      </c>
      <c r="GS140">
        <v>3</v>
      </c>
      <c r="GT140">
        <v>0</v>
      </c>
      <c r="GU140" t="s">
        <v>3</v>
      </c>
      <c r="GV140">
        <f t="shared" si="130"/>
        <v>0</v>
      </c>
      <c r="GW140">
        <v>1</v>
      </c>
      <c r="GX140">
        <f t="shared" si="131"/>
        <v>0</v>
      </c>
      <c r="HA140">
        <v>0</v>
      </c>
      <c r="HB140">
        <v>0</v>
      </c>
      <c r="HC140">
        <f t="shared" si="132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18</v>
      </c>
      <c r="B141" s="2">
        <v>1</v>
      </c>
      <c r="C141" s="2">
        <v>128</v>
      </c>
      <c r="D141" s="2"/>
      <c r="E141" s="2" t="s">
        <v>253</v>
      </c>
      <c r="F141" s="2" t="s">
        <v>254</v>
      </c>
      <c r="G141" s="2" t="s">
        <v>255</v>
      </c>
      <c r="H141" s="2" t="s">
        <v>256</v>
      </c>
      <c r="I141" s="2">
        <f>I139*J141</f>
        <v>0.29580000000000001</v>
      </c>
      <c r="J141" s="2">
        <v>0.10200000000000001</v>
      </c>
      <c r="K141" s="2">
        <v>0.10199999999999999</v>
      </c>
      <c r="L141" s="2"/>
      <c r="M141" s="2"/>
      <c r="N141" s="2"/>
      <c r="O141" s="2">
        <f t="shared" si="102"/>
        <v>1727.18</v>
      </c>
      <c r="P141" s="2">
        <f t="shared" si="103"/>
        <v>1727.18</v>
      </c>
      <c r="Q141" s="2">
        <f>(ROUND((ROUND(((ET141)*AV141*I141),2)*BB141),2)+ROUND((ROUND(((AE141-(EU141))*AV141*I141),2)*BS141),2))</f>
        <v>0</v>
      </c>
      <c r="R141" s="2">
        <f t="shared" si="104"/>
        <v>0</v>
      </c>
      <c r="S141" s="2">
        <f t="shared" si="105"/>
        <v>0</v>
      </c>
      <c r="T141" s="2">
        <f t="shared" si="106"/>
        <v>0</v>
      </c>
      <c r="U141" s="2">
        <f t="shared" si="107"/>
        <v>0</v>
      </c>
      <c r="V141" s="2">
        <f t="shared" si="108"/>
        <v>0</v>
      </c>
      <c r="W141" s="2">
        <f t="shared" si="109"/>
        <v>0</v>
      </c>
      <c r="X141" s="2">
        <f t="shared" si="110"/>
        <v>0</v>
      </c>
      <c r="Y141" s="2">
        <f t="shared" si="111"/>
        <v>0</v>
      </c>
      <c r="Z141" s="2"/>
      <c r="AA141" s="2">
        <v>59213216</v>
      </c>
      <c r="AB141" s="2">
        <f t="shared" si="112"/>
        <v>5839.02</v>
      </c>
      <c r="AC141" s="2">
        <f>ROUND((ES141),6)</f>
        <v>5839.02</v>
      </c>
      <c r="AD141" s="2">
        <f>ROUND((((ET141)-(EU141))+AE141),6)</f>
        <v>0</v>
      </c>
      <c r="AE141" s="2">
        <f>ROUND((EU141),6)</f>
        <v>0</v>
      </c>
      <c r="AF141" s="2">
        <f>ROUND((EV141),6)</f>
        <v>0</v>
      </c>
      <c r="AG141" s="2">
        <f t="shared" si="113"/>
        <v>0</v>
      </c>
      <c r="AH141" s="2">
        <f>(EW141)</f>
        <v>0</v>
      </c>
      <c r="AI141" s="2">
        <f>(EX141)</f>
        <v>0</v>
      </c>
      <c r="AJ141" s="2">
        <f t="shared" si="114"/>
        <v>0</v>
      </c>
      <c r="AK141" s="2">
        <v>5839.0199999999995</v>
      </c>
      <c r="AL141" s="2">
        <v>5839.0199999999995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97</v>
      </c>
      <c r="AU141" s="2">
        <v>51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2</v>
      </c>
      <c r="BJ141" s="2" t="s">
        <v>3</v>
      </c>
      <c r="BK141" s="2"/>
      <c r="BL141" s="2"/>
      <c r="BM141" s="2">
        <v>67</v>
      </c>
      <c r="BN141" s="2">
        <v>0</v>
      </c>
      <c r="BO141" s="2" t="s">
        <v>3</v>
      </c>
      <c r="BP141" s="2">
        <v>0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97</v>
      </c>
      <c r="CA141" s="2">
        <v>51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3</v>
      </c>
      <c r="CO141" s="2">
        <v>0</v>
      </c>
      <c r="CP141" s="2">
        <f t="shared" si="115"/>
        <v>1727.18</v>
      </c>
      <c r="CQ141" s="2">
        <f t="shared" si="116"/>
        <v>5839.02</v>
      </c>
      <c r="CR141" s="2">
        <f>(ROUND((ROUND(((ET141)*AV141*1),2)*BB141),2)+ROUND((ROUND(((AE141-(EU141))*AV141*1),2)*BS141),2))</f>
        <v>0</v>
      </c>
      <c r="CS141" s="2">
        <f t="shared" si="117"/>
        <v>0</v>
      </c>
      <c r="CT141" s="2">
        <f t="shared" si="118"/>
        <v>0</v>
      </c>
      <c r="CU141" s="2">
        <f t="shared" si="119"/>
        <v>0</v>
      </c>
      <c r="CV141" s="2">
        <f t="shared" si="120"/>
        <v>0</v>
      </c>
      <c r="CW141" s="2">
        <f t="shared" si="121"/>
        <v>0</v>
      </c>
      <c r="CX141" s="2">
        <f t="shared" si="122"/>
        <v>0</v>
      </c>
      <c r="CY141" s="2">
        <f t="shared" si="123"/>
        <v>0</v>
      </c>
      <c r="CZ141" s="2">
        <f t="shared" si="124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1003</v>
      </c>
      <c r="DV141" s="2" t="s">
        <v>256</v>
      </c>
      <c r="DW141" s="2" t="s">
        <v>256</v>
      </c>
      <c r="DX141" s="2">
        <v>1000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58808177</v>
      </c>
      <c r="EF141" s="2">
        <v>40</v>
      </c>
      <c r="EG141" s="2" t="s">
        <v>27</v>
      </c>
      <c r="EH141" s="2">
        <v>0</v>
      </c>
      <c r="EI141" s="2" t="s">
        <v>3</v>
      </c>
      <c r="EJ141" s="2">
        <v>2</v>
      </c>
      <c r="EK141" s="2">
        <v>67</v>
      </c>
      <c r="EL141" s="2" t="s">
        <v>217</v>
      </c>
      <c r="EM141" s="2" t="s">
        <v>218</v>
      </c>
      <c r="EN141" s="2"/>
      <c r="EO141" s="2" t="s">
        <v>3</v>
      </c>
      <c r="EP141" s="2"/>
      <c r="EQ141" s="2">
        <v>0</v>
      </c>
      <c r="ER141" s="2">
        <v>0</v>
      </c>
      <c r="ES141" s="2">
        <v>5839.0199999999995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97</v>
      </c>
      <c r="FY141" s="2">
        <v>51</v>
      </c>
      <c r="FZ141" s="2"/>
      <c r="GA141" s="2" t="s">
        <v>257</v>
      </c>
      <c r="GB141" s="2"/>
      <c r="GC141" s="2"/>
      <c r="GD141" s="2">
        <v>1</v>
      </c>
      <c r="GE141" s="2"/>
      <c r="GF141" s="2">
        <v>2122597888</v>
      </c>
      <c r="GG141" s="2">
        <v>2</v>
      </c>
      <c r="GH141" s="2">
        <v>4</v>
      </c>
      <c r="GI141" s="2">
        <v>0</v>
      </c>
      <c r="GJ141" s="2">
        <v>0</v>
      </c>
      <c r="GK141" s="2">
        <v>0</v>
      </c>
      <c r="GL141" s="2">
        <f t="shared" si="125"/>
        <v>0</v>
      </c>
      <c r="GM141" s="2">
        <f t="shared" si="126"/>
        <v>1727.18</v>
      </c>
      <c r="GN141" s="2">
        <f t="shared" si="127"/>
        <v>0</v>
      </c>
      <c r="GO141" s="2">
        <f t="shared" si="128"/>
        <v>1727.18</v>
      </c>
      <c r="GP141" s="2">
        <f t="shared" si="129"/>
        <v>0</v>
      </c>
      <c r="GQ141" s="2"/>
      <c r="GR141" s="2">
        <v>0</v>
      </c>
      <c r="GS141" s="2">
        <v>2</v>
      </c>
      <c r="GT141" s="2">
        <v>0</v>
      </c>
      <c r="GU141" s="2" t="s">
        <v>3</v>
      </c>
      <c r="GV141" s="2">
        <f t="shared" si="130"/>
        <v>0</v>
      </c>
      <c r="GW141" s="2">
        <v>1</v>
      </c>
      <c r="GX141" s="2">
        <f t="shared" si="131"/>
        <v>0</v>
      </c>
      <c r="GY141" s="2"/>
      <c r="GZ141" s="2"/>
      <c r="HA141" s="2">
        <v>0</v>
      </c>
      <c r="HB141" s="2">
        <v>0</v>
      </c>
      <c r="HC141" s="2">
        <f t="shared" si="132"/>
        <v>0</v>
      </c>
      <c r="HD141" s="2"/>
      <c r="HE141" s="2" t="s">
        <v>93</v>
      </c>
      <c r="HF141" s="2" t="s">
        <v>31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18</v>
      </c>
      <c r="B142">
        <v>1</v>
      </c>
      <c r="C142">
        <v>138</v>
      </c>
      <c r="E142" t="s">
        <v>253</v>
      </c>
      <c r="F142" t="s">
        <v>254</v>
      </c>
      <c r="G142" t="s">
        <v>255</v>
      </c>
      <c r="H142" t="s">
        <v>256</v>
      </c>
      <c r="I142">
        <f>I140*J142</f>
        <v>0.29580000000000001</v>
      </c>
      <c r="J142">
        <v>0.10200000000000001</v>
      </c>
      <c r="K142">
        <v>0.10199999999999999</v>
      </c>
      <c r="O142">
        <f t="shared" si="102"/>
        <v>17064.54</v>
      </c>
      <c r="P142">
        <f t="shared" si="103"/>
        <v>17064.54</v>
      </c>
      <c r="Q142">
        <f>(ROUND((ROUND(((ET142)*AV142*I142),2)*BB142),2)+ROUND((ROUND(((AE142-(EU142))*AV142*I142),2)*BS142),2))</f>
        <v>0</v>
      </c>
      <c r="R142">
        <f t="shared" si="104"/>
        <v>0</v>
      </c>
      <c r="S142">
        <f t="shared" si="105"/>
        <v>0</v>
      </c>
      <c r="T142">
        <f t="shared" si="106"/>
        <v>0</v>
      </c>
      <c r="U142">
        <f t="shared" si="107"/>
        <v>0</v>
      </c>
      <c r="V142">
        <f t="shared" si="108"/>
        <v>0</v>
      </c>
      <c r="W142">
        <f t="shared" si="109"/>
        <v>0</v>
      </c>
      <c r="X142">
        <f t="shared" si="110"/>
        <v>0</v>
      </c>
      <c r="Y142">
        <f t="shared" si="111"/>
        <v>0</v>
      </c>
      <c r="AA142">
        <v>59213213</v>
      </c>
      <c r="AB142">
        <f t="shared" si="112"/>
        <v>5839.02</v>
      </c>
      <c r="AC142">
        <f>ROUND((ES142),6)</f>
        <v>5839.02</v>
      </c>
      <c r="AD142">
        <f>ROUND((((ET142)-(EU142))+AE142),6)</f>
        <v>0</v>
      </c>
      <c r="AE142">
        <f>ROUND((EU142),6)</f>
        <v>0</v>
      </c>
      <c r="AF142">
        <f>ROUND((EV142),6)</f>
        <v>0</v>
      </c>
      <c r="AG142">
        <f t="shared" si="113"/>
        <v>0</v>
      </c>
      <c r="AH142">
        <f>(EW142)</f>
        <v>0</v>
      </c>
      <c r="AI142">
        <f>(EX142)</f>
        <v>0</v>
      </c>
      <c r="AJ142">
        <f t="shared" si="114"/>
        <v>0</v>
      </c>
      <c r="AK142">
        <v>5839.0199999999995</v>
      </c>
      <c r="AL142">
        <v>5839.0199999999995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97</v>
      </c>
      <c r="AU142">
        <v>51</v>
      </c>
      <c r="AV142">
        <v>1</v>
      </c>
      <c r="AW142">
        <v>1</v>
      </c>
      <c r="AZ142">
        <v>1</v>
      </c>
      <c r="BA142">
        <v>1</v>
      </c>
      <c r="BB142">
        <v>1</v>
      </c>
      <c r="BC142">
        <v>9.8800000000000008</v>
      </c>
      <c r="BD142" t="s">
        <v>3</v>
      </c>
      <c r="BE142" t="s">
        <v>3</v>
      </c>
      <c r="BF142" t="s">
        <v>3</v>
      </c>
      <c r="BG142" t="s">
        <v>3</v>
      </c>
      <c r="BH142">
        <v>3</v>
      </c>
      <c r="BI142">
        <v>2</v>
      </c>
      <c r="BJ142" t="s">
        <v>3</v>
      </c>
      <c r="BM142">
        <v>67</v>
      </c>
      <c r="BN142">
        <v>0</v>
      </c>
      <c r="BO142" t="s">
        <v>3</v>
      </c>
      <c r="BP142">
        <v>0</v>
      </c>
      <c r="BQ142">
        <v>40</v>
      </c>
      <c r="BR142">
        <v>0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97</v>
      </c>
      <c r="CA142">
        <v>51</v>
      </c>
      <c r="CB142" t="s">
        <v>3</v>
      </c>
      <c r="CE142">
        <v>30</v>
      </c>
      <c r="CF142">
        <v>0</v>
      </c>
      <c r="CG142">
        <v>0</v>
      </c>
      <c r="CM142">
        <v>0</v>
      </c>
      <c r="CN142" t="s">
        <v>3</v>
      </c>
      <c r="CO142">
        <v>0</v>
      </c>
      <c r="CP142">
        <f t="shared" si="115"/>
        <v>17064.54</v>
      </c>
      <c r="CQ142">
        <f t="shared" si="116"/>
        <v>57689.52</v>
      </c>
      <c r="CR142">
        <f>(ROUND((ROUND(((ET142)*AV142*1),2)*BB142),2)+ROUND((ROUND(((AE142-(EU142))*AV142*1),2)*BS142),2))</f>
        <v>0</v>
      </c>
      <c r="CS142">
        <f t="shared" si="117"/>
        <v>0</v>
      </c>
      <c r="CT142">
        <f t="shared" si="118"/>
        <v>0</v>
      </c>
      <c r="CU142">
        <f t="shared" si="119"/>
        <v>0</v>
      </c>
      <c r="CV142">
        <f t="shared" si="120"/>
        <v>0</v>
      </c>
      <c r="CW142">
        <f t="shared" si="121"/>
        <v>0</v>
      </c>
      <c r="CX142">
        <f t="shared" si="122"/>
        <v>0</v>
      </c>
      <c r="CY142">
        <f t="shared" si="123"/>
        <v>0</v>
      </c>
      <c r="CZ142">
        <f t="shared" si="124"/>
        <v>0</v>
      </c>
      <c r="DC142" t="s">
        <v>3</v>
      </c>
      <c r="DD142" t="s">
        <v>3</v>
      </c>
      <c r="DE142" t="s">
        <v>3</v>
      </c>
      <c r="DF142" t="s">
        <v>3</v>
      </c>
      <c r="DG142" t="s">
        <v>3</v>
      </c>
      <c r="DH142" t="s">
        <v>3</v>
      </c>
      <c r="DI142" t="s">
        <v>3</v>
      </c>
      <c r="DJ142" t="s">
        <v>3</v>
      </c>
      <c r="DK142" t="s">
        <v>3</v>
      </c>
      <c r="DL142" t="s">
        <v>3</v>
      </c>
      <c r="DM142" t="s">
        <v>3</v>
      </c>
      <c r="DN142">
        <v>0</v>
      </c>
      <c r="DO142">
        <v>0</v>
      </c>
      <c r="DP142">
        <v>1</v>
      </c>
      <c r="DQ142">
        <v>1</v>
      </c>
      <c r="DU142">
        <v>1003</v>
      </c>
      <c r="DV142" t="s">
        <v>256</v>
      </c>
      <c r="DW142" t="s">
        <v>256</v>
      </c>
      <c r="DX142">
        <v>1000</v>
      </c>
      <c r="DZ142" t="s">
        <v>3</v>
      </c>
      <c r="EA142" t="s">
        <v>3</v>
      </c>
      <c r="EB142" t="s">
        <v>3</v>
      </c>
      <c r="EC142" t="s">
        <v>3</v>
      </c>
      <c r="EE142">
        <v>58808177</v>
      </c>
      <c r="EF142">
        <v>40</v>
      </c>
      <c r="EG142" t="s">
        <v>27</v>
      </c>
      <c r="EH142">
        <v>0</v>
      </c>
      <c r="EI142" t="s">
        <v>3</v>
      </c>
      <c r="EJ142">
        <v>2</v>
      </c>
      <c r="EK142">
        <v>67</v>
      </c>
      <c r="EL142" t="s">
        <v>217</v>
      </c>
      <c r="EM142" t="s">
        <v>218</v>
      </c>
      <c r="EO142" t="s">
        <v>3</v>
      </c>
      <c r="EQ142">
        <v>0</v>
      </c>
      <c r="ER142">
        <v>5839019.9999999991</v>
      </c>
      <c r="ES142">
        <v>5839.0199999999995</v>
      </c>
      <c r="ET142">
        <v>0</v>
      </c>
      <c r="EU142">
        <v>0</v>
      </c>
      <c r="EV142">
        <v>0</v>
      </c>
      <c r="EW142">
        <v>0</v>
      </c>
      <c r="EX142">
        <v>0</v>
      </c>
      <c r="EZ142">
        <v>5</v>
      </c>
      <c r="FC142">
        <v>1</v>
      </c>
      <c r="FD142">
        <v>18</v>
      </c>
      <c r="FF142">
        <v>67870</v>
      </c>
      <c r="FQ142">
        <v>0</v>
      </c>
      <c r="FR142">
        <v>0</v>
      </c>
      <c r="FS142">
        <v>0</v>
      </c>
      <c r="FX142">
        <v>97</v>
      </c>
      <c r="FY142">
        <v>51</v>
      </c>
      <c r="GA142" t="s">
        <v>257</v>
      </c>
      <c r="GD142">
        <v>1</v>
      </c>
      <c r="GF142">
        <v>2122597888</v>
      </c>
      <c r="GG142">
        <v>2</v>
      </c>
      <c r="GH142">
        <v>3</v>
      </c>
      <c r="GI142">
        <v>5</v>
      </c>
      <c r="GJ142">
        <v>0</v>
      </c>
      <c r="GK142">
        <v>0</v>
      </c>
      <c r="GL142">
        <f t="shared" si="125"/>
        <v>0</v>
      </c>
      <c r="GM142">
        <f t="shared" si="126"/>
        <v>17064.54</v>
      </c>
      <c r="GN142">
        <f t="shared" si="127"/>
        <v>0</v>
      </c>
      <c r="GO142">
        <f t="shared" si="128"/>
        <v>17064.54</v>
      </c>
      <c r="GP142">
        <f t="shared" si="129"/>
        <v>0</v>
      </c>
      <c r="GR142">
        <v>1</v>
      </c>
      <c r="GS142">
        <v>1</v>
      </c>
      <c r="GT142">
        <v>0</v>
      </c>
      <c r="GU142" t="s">
        <v>3</v>
      </c>
      <c r="GV142">
        <f t="shared" si="130"/>
        <v>0</v>
      </c>
      <c r="GW142">
        <v>1</v>
      </c>
      <c r="GX142">
        <f t="shared" si="131"/>
        <v>0</v>
      </c>
      <c r="HA142">
        <v>0</v>
      </c>
      <c r="HB142">
        <v>0</v>
      </c>
      <c r="HC142">
        <f t="shared" si="132"/>
        <v>0</v>
      </c>
      <c r="HE142" t="s">
        <v>93</v>
      </c>
      <c r="HF142" t="s">
        <v>31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>
        <f>ROW(SmtRes!A148)</f>
        <v>148</v>
      </c>
      <c r="D143" s="2">
        <f>ROW(EtalonRes!A168)</f>
        <v>168</v>
      </c>
      <c r="E143" s="2" t="s">
        <v>258</v>
      </c>
      <c r="F143" s="2" t="s">
        <v>250</v>
      </c>
      <c r="G143" s="2" t="s">
        <v>251</v>
      </c>
      <c r="H143" s="2" t="s">
        <v>215</v>
      </c>
      <c r="I143" s="2">
        <f>ROUND(ROUND(80/100,4),9)</f>
        <v>0.8</v>
      </c>
      <c r="J143" s="2">
        <v>0</v>
      </c>
      <c r="K143" s="2">
        <f>ROUND(ROUND(80/100,4),9)</f>
        <v>0.8</v>
      </c>
      <c r="L143" s="2"/>
      <c r="M143" s="2"/>
      <c r="N143" s="2"/>
      <c r="O143" s="2">
        <f t="shared" si="102"/>
        <v>99.82</v>
      </c>
      <c r="P143" s="2">
        <f t="shared" si="103"/>
        <v>46.52</v>
      </c>
      <c r="Q143" s="2">
        <f>(ROUND((ROUND((((ET143*1.1))*AV143*I143),2)*BB143),2)+ROUND((ROUND(((AE143-((EU143*1.1)))*AV143*I143),2)*BS143),2))</f>
        <v>2.41</v>
      </c>
      <c r="R143" s="2">
        <f t="shared" si="104"/>
        <v>0.28000000000000003</v>
      </c>
      <c r="S143" s="2">
        <f t="shared" si="105"/>
        <v>50.89</v>
      </c>
      <c r="T143" s="2">
        <f t="shared" si="106"/>
        <v>0</v>
      </c>
      <c r="U143" s="2">
        <f t="shared" si="107"/>
        <v>4.1369064000000009</v>
      </c>
      <c r="V143" s="2">
        <f t="shared" si="108"/>
        <v>0</v>
      </c>
      <c r="W143" s="2">
        <f t="shared" si="109"/>
        <v>0</v>
      </c>
      <c r="X143" s="2">
        <f t="shared" si="110"/>
        <v>49.63</v>
      </c>
      <c r="Y143" s="2">
        <f t="shared" si="111"/>
        <v>26.1</v>
      </c>
      <c r="Z143" s="2"/>
      <c r="AA143" s="2">
        <v>59213216</v>
      </c>
      <c r="AB143" s="2">
        <f t="shared" si="112"/>
        <v>121.785</v>
      </c>
      <c r="AC143" s="2">
        <f>ROUND(((ES143*1)),6)</f>
        <v>58.15</v>
      </c>
      <c r="AD143" s="2">
        <f>ROUND(((((ET143*1.1))-((EU143*1.1)))+AE143),6)</f>
        <v>2.8820000000000001</v>
      </c>
      <c r="AE143" s="2">
        <f>ROUND(((EU143*1.1)),6)</f>
        <v>0.33</v>
      </c>
      <c r="AF143" s="2">
        <f>ROUND(((EV143*1.1)),6)</f>
        <v>60.753</v>
      </c>
      <c r="AG143" s="2">
        <f t="shared" si="113"/>
        <v>0</v>
      </c>
      <c r="AH143" s="2">
        <f>((EW143*1.1))</f>
        <v>4.9390000000000009</v>
      </c>
      <c r="AI143" s="2">
        <f>((EX143*1.1))</f>
        <v>0</v>
      </c>
      <c r="AJ143" s="2">
        <f t="shared" si="114"/>
        <v>0</v>
      </c>
      <c r="AK143" s="2">
        <v>116</v>
      </c>
      <c r="AL143" s="2">
        <v>58.15</v>
      </c>
      <c r="AM143" s="2">
        <v>2.62</v>
      </c>
      <c r="AN143" s="2">
        <v>0.3</v>
      </c>
      <c r="AO143" s="2">
        <v>55.23</v>
      </c>
      <c r="AP143" s="2">
        <v>0</v>
      </c>
      <c r="AQ143" s="2">
        <v>4.49</v>
      </c>
      <c r="AR143" s="2">
        <v>0</v>
      </c>
      <c r="AS143" s="2">
        <v>0</v>
      </c>
      <c r="AT143" s="2">
        <v>97</v>
      </c>
      <c r="AU143" s="2">
        <v>51</v>
      </c>
      <c r="AV143" s="2">
        <v>1.0469999999999999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252</v>
      </c>
      <c r="BK143" s="2"/>
      <c r="BL143" s="2"/>
      <c r="BM143" s="2">
        <v>67</v>
      </c>
      <c r="BN143" s="2">
        <v>58808062</v>
      </c>
      <c r="BO143" s="2" t="s">
        <v>250</v>
      </c>
      <c r="BP143" s="2">
        <v>1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97</v>
      </c>
      <c r="CA143" s="2">
        <v>51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492</v>
      </c>
      <c r="CO143" s="2">
        <v>0</v>
      </c>
      <c r="CP143" s="2">
        <f t="shared" si="115"/>
        <v>99.820000000000007</v>
      </c>
      <c r="CQ143" s="2">
        <f t="shared" si="116"/>
        <v>58.15</v>
      </c>
      <c r="CR143" s="2">
        <f>(ROUND((ROUND((((ET143*1.1))*AV143*1),2)*BB143),2)+ROUND((ROUND(((AE143-((EU143*1.1)))*AV143*1),2)*BS143),2))</f>
        <v>3.02</v>
      </c>
      <c r="CS143" s="2">
        <f t="shared" si="117"/>
        <v>0.35</v>
      </c>
      <c r="CT143" s="2">
        <f t="shared" si="118"/>
        <v>63.61</v>
      </c>
      <c r="CU143" s="2">
        <f t="shared" si="119"/>
        <v>0</v>
      </c>
      <c r="CV143" s="2">
        <f t="shared" si="120"/>
        <v>5.1711330000000011</v>
      </c>
      <c r="CW143" s="2">
        <f t="shared" si="121"/>
        <v>0</v>
      </c>
      <c r="CX143" s="2">
        <f t="shared" si="122"/>
        <v>0</v>
      </c>
      <c r="CY143" s="2">
        <f t="shared" si="123"/>
        <v>49.634899999999995</v>
      </c>
      <c r="CZ143" s="2">
        <f t="shared" si="124"/>
        <v>26.096700000000002</v>
      </c>
      <c r="DA143" s="2"/>
      <c r="DB143" s="2">
        <v>37</v>
      </c>
      <c r="DC143" s="2" t="s">
        <v>3</v>
      </c>
      <c r="DD143" s="2" t="s">
        <v>25</v>
      </c>
      <c r="DE143" s="2" t="s">
        <v>26</v>
      </c>
      <c r="DF143" s="2" t="s">
        <v>26</v>
      </c>
      <c r="DG143" s="2" t="s">
        <v>26</v>
      </c>
      <c r="DH143" s="2" t="s">
        <v>3</v>
      </c>
      <c r="DI143" s="2" t="s">
        <v>26</v>
      </c>
      <c r="DJ143" s="2" t="s">
        <v>26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1003</v>
      </c>
      <c r="DV143" s="2" t="s">
        <v>215</v>
      </c>
      <c r="DW143" s="2" t="s">
        <v>215</v>
      </c>
      <c r="DX143" s="2">
        <v>100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58808177</v>
      </c>
      <c r="EF143" s="2">
        <v>40</v>
      </c>
      <c r="EG143" s="2" t="s">
        <v>27</v>
      </c>
      <c r="EH143" s="2">
        <v>0</v>
      </c>
      <c r="EI143" s="2" t="s">
        <v>3</v>
      </c>
      <c r="EJ143" s="2">
        <v>2</v>
      </c>
      <c r="EK143" s="2">
        <v>67</v>
      </c>
      <c r="EL143" s="2" t="s">
        <v>217</v>
      </c>
      <c r="EM143" s="2" t="s">
        <v>218</v>
      </c>
      <c r="EN143" s="2"/>
      <c r="EO143" s="2" t="s">
        <v>30</v>
      </c>
      <c r="EP143" s="2"/>
      <c r="EQ143" s="2">
        <v>0</v>
      </c>
      <c r="ER143" s="2">
        <v>116</v>
      </c>
      <c r="ES143" s="2">
        <v>58.15</v>
      </c>
      <c r="ET143" s="2">
        <v>2.62</v>
      </c>
      <c r="EU143" s="2">
        <v>0.3</v>
      </c>
      <c r="EV143" s="2">
        <v>55.23</v>
      </c>
      <c r="EW143" s="2">
        <v>4.49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97</v>
      </c>
      <c r="FY143" s="2">
        <v>51</v>
      </c>
      <c r="FZ143" s="2"/>
      <c r="GA143" s="2" t="s">
        <v>3</v>
      </c>
      <c r="GB143" s="2"/>
      <c r="GC143" s="2"/>
      <c r="GD143" s="2">
        <v>1</v>
      </c>
      <c r="GE143" s="2"/>
      <c r="GF143" s="2">
        <v>770559996</v>
      </c>
      <c r="GG143" s="2">
        <v>2</v>
      </c>
      <c r="GH143" s="2">
        <v>1</v>
      </c>
      <c r="GI143" s="2">
        <v>2</v>
      </c>
      <c r="GJ143" s="2">
        <v>0</v>
      </c>
      <c r="GK143" s="2">
        <v>0</v>
      </c>
      <c r="GL143" s="2">
        <f t="shared" si="125"/>
        <v>0</v>
      </c>
      <c r="GM143" s="2">
        <f t="shared" si="126"/>
        <v>175.55</v>
      </c>
      <c r="GN143" s="2">
        <f t="shared" si="127"/>
        <v>0</v>
      </c>
      <c r="GO143" s="2">
        <f t="shared" si="128"/>
        <v>175.55</v>
      </c>
      <c r="GP143" s="2">
        <f t="shared" si="129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30"/>
        <v>0</v>
      </c>
      <c r="GW143" s="2">
        <v>1</v>
      </c>
      <c r="GX143" s="2">
        <f t="shared" si="131"/>
        <v>0</v>
      </c>
      <c r="GY143" s="2"/>
      <c r="GZ143" s="2"/>
      <c r="HA143" s="2">
        <v>0</v>
      </c>
      <c r="HB143" s="2">
        <v>0</v>
      </c>
      <c r="HC143" s="2">
        <f t="shared" si="132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C144">
        <f>ROW(SmtRes!A158)</f>
        <v>158</v>
      </c>
      <c r="D144">
        <f>ROW(EtalonRes!A178)</f>
        <v>178</v>
      </c>
      <c r="E144" t="s">
        <v>258</v>
      </c>
      <c r="F144" t="s">
        <v>250</v>
      </c>
      <c r="G144" t="s">
        <v>251</v>
      </c>
      <c r="H144" t="s">
        <v>215</v>
      </c>
      <c r="I144">
        <f>ROUND(ROUND(80/100,4),9)</f>
        <v>0.8</v>
      </c>
      <c r="J144">
        <v>0</v>
      </c>
      <c r="K144">
        <f>ROUND(ROUND(80/100,4),9)</f>
        <v>0.8</v>
      </c>
      <c r="O144">
        <f t="shared" si="102"/>
        <v>3005.67</v>
      </c>
      <c r="P144">
        <f t="shared" si="103"/>
        <v>172.12</v>
      </c>
      <c r="Q144">
        <f>(ROUND((ROUND((((ET144*1.1))*AV144*I144),2)*BB144),2)+ROUND((ROUND(((AE144-((EU144*1.1)))*AV144*I144),2)*BS144),2))</f>
        <v>35.11</v>
      </c>
      <c r="R144">
        <f t="shared" si="104"/>
        <v>15.4</v>
      </c>
      <c r="S144">
        <f t="shared" si="105"/>
        <v>2798.44</v>
      </c>
      <c r="T144">
        <f t="shared" si="106"/>
        <v>0</v>
      </c>
      <c r="U144">
        <f t="shared" si="107"/>
        <v>4.1369064000000009</v>
      </c>
      <c r="V144">
        <f t="shared" si="108"/>
        <v>0</v>
      </c>
      <c r="W144">
        <f t="shared" si="109"/>
        <v>0</v>
      </c>
      <c r="X144">
        <f t="shared" si="110"/>
        <v>2729.42</v>
      </c>
      <c r="Y144">
        <f t="shared" si="111"/>
        <v>1435.06</v>
      </c>
      <c r="AA144">
        <v>59213213</v>
      </c>
      <c r="AB144">
        <f t="shared" si="112"/>
        <v>121.785</v>
      </c>
      <c r="AC144">
        <f>ROUND(((ES144*1)),6)</f>
        <v>58.15</v>
      </c>
      <c r="AD144">
        <f>ROUND(((((ET144*1.1))-((EU144*1.1)))+AE144),6)</f>
        <v>2.8820000000000001</v>
      </c>
      <c r="AE144">
        <f>ROUND(((EU144*1.1)),6)</f>
        <v>0.33</v>
      </c>
      <c r="AF144">
        <f>ROUND(((EV144*1.1)),6)</f>
        <v>60.753</v>
      </c>
      <c r="AG144">
        <f t="shared" si="113"/>
        <v>0</v>
      </c>
      <c r="AH144">
        <f>((EW144*1.1))</f>
        <v>4.9390000000000009</v>
      </c>
      <c r="AI144">
        <f>((EX144*1.1))</f>
        <v>0</v>
      </c>
      <c r="AJ144">
        <f t="shared" si="114"/>
        <v>0</v>
      </c>
      <c r="AK144">
        <v>116</v>
      </c>
      <c r="AL144">
        <v>58.15</v>
      </c>
      <c r="AM144">
        <v>2.62</v>
      </c>
      <c r="AN144">
        <v>0.3</v>
      </c>
      <c r="AO144">
        <v>55.23</v>
      </c>
      <c r="AP144">
        <v>0</v>
      </c>
      <c r="AQ144">
        <v>4.49</v>
      </c>
      <c r="AR144">
        <v>0</v>
      </c>
      <c r="AS144">
        <v>0</v>
      </c>
      <c r="AT144">
        <v>97</v>
      </c>
      <c r="AU144">
        <v>51</v>
      </c>
      <c r="AV144">
        <v>1.0469999999999999</v>
      </c>
      <c r="AW144">
        <v>1</v>
      </c>
      <c r="AZ144">
        <v>1</v>
      </c>
      <c r="BA144">
        <v>54.99</v>
      </c>
      <c r="BB144">
        <v>14.57</v>
      </c>
      <c r="BC144">
        <v>3.7</v>
      </c>
      <c r="BD144" t="s">
        <v>3</v>
      </c>
      <c r="BE144" t="s">
        <v>3</v>
      </c>
      <c r="BF144" t="s">
        <v>3</v>
      </c>
      <c r="BG144" t="s">
        <v>3</v>
      </c>
      <c r="BH144">
        <v>0</v>
      </c>
      <c r="BI144">
        <v>2</v>
      </c>
      <c r="BJ144" t="s">
        <v>252</v>
      </c>
      <c r="BM144">
        <v>67</v>
      </c>
      <c r="BN144">
        <v>58808062</v>
      </c>
      <c r="BO144" t="s">
        <v>250</v>
      </c>
      <c r="BP144">
        <v>1</v>
      </c>
      <c r="BQ144">
        <v>40</v>
      </c>
      <c r="BR144">
        <v>0</v>
      </c>
      <c r="BS144">
        <v>54.99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97</v>
      </c>
      <c r="CA144">
        <v>51</v>
      </c>
      <c r="CB144" t="s">
        <v>3</v>
      </c>
      <c r="CE144">
        <v>30</v>
      </c>
      <c r="CF144">
        <v>0</v>
      </c>
      <c r="CG144">
        <v>0</v>
      </c>
      <c r="CM144">
        <v>0</v>
      </c>
      <c r="CN144" t="s">
        <v>492</v>
      </c>
      <c r="CO144">
        <v>0</v>
      </c>
      <c r="CP144">
        <f t="shared" si="115"/>
        <v>3005.67</v>
      </c>
      <c r="CQ144">
        <f t="shared" si="116"/>
        <v>215.16</v>
      </c>
      <c r="CR144">
        <f>(ROUND((ROUND((((ET144*1.1))*AV144*1),2)*BB144),2)+ROUND((ROUND(((AE144-((EU144*1.1)))*AV144*1),2)*BS144),2))</f>
        <v>44</v>
      </c>
      <c r="CS144">
        <f t="shared" si="117"/>
        <v>19.25</v>
      </c>
      <c r="CT144">
        <f t="shared" si="118"/>
        <v>3497.91</v>
      </c>
      <c r="CU144">
        <f t="shared" si="119"/>
        <v>0</v>
      </c>
      <c r="CV144">
        <f t="shared" si="120"/>
        <v>5.1711330000000011</v>
      </c>
      <c r="CW144">
        <f t="shared" si="121"/>
        <v>0</v>
      </c>
      <c r="CX144">
        <f t="shared" si="122"/>
        <v>0</v>
      </c>
      <c r="CY144">
        <f t="shared" si="123"/>
        <v>2729.4248000000002</v>
      </c>
      <c r="CZ144">
        <f t="shared" si="124"/>
        <v>1435.0583999999999</v>
      </c>
      <c r="DB144">
        <v>38</v>
      </c>
      <c r="DC144" t="s">
        <v>3</v>
      </c>
      <c r="DD144" t="s">
        <v>25</v>
      </c>
      <c r="DE144" t="s">
        <v>26</v>
      </c>
      <c r="DF144" t="s">
        <v>26</v>
      </c>
      <c r="DG144" t="s">
        <v>26</v>
      </c>
      <c r="DH144" t="s">
        <v>3</v>
      </c>
      <c r="DI144" t="s">
        <v>26</v>
      </c>
      <c r="DJ144" t="s">
        <v>26</v>
      </c>
      <c r="DK144" t="s">
        <v>3</v>
      </c>
      <c r="DL144" t="s">
        <v>3</v>
      </c>
      <c r="DM144" t="s">
        <v>3</v>
      </c>
      <c r="DN144">
        <v>0</v>
      </c>
      <c r="DO144">
        <v>0</v>
      </c>
      <c r="DP144">
        <v>1</v>
      </c>
      <c r="DQ144">
        <v>1</v>
      </c>
      <c r="DU144">
        <v>1003</v>
      </c>
      <c r="DV144" t="s">
        <v>215</v>
      </c>
      <c r="DW144" t="s">
        <v>215</v>
      </c>
      <c r="DX144">
        <v>100</v>
      </c>
      <c r="DZ144" t="s">
        <v>3</v>
      </c>
      <c r="EA144" t="s">
        <v>3</v>
      </c>
      <c r="EB144" t="s">
        <v>3</v>
      </c>
      <c r="EC144" t="s">
        <v>3</v>
      </c>
      <c r="EE144">
        <v>58808177</v>
      </c>
      <c r="EF144">
        <v>40</v>
      </c>
      <c r="EG144" t="s">
        <v>27</v>
      </c>
      <c r="EH144">
        <v>0</v>
      </c>
      <c r="EI144" t="s">
        <v>3</v>
      </c>
      <c r="EJ144">
        <v>2</v>
      </c>
      <c r="EK144">
        <v>67</v>
      </c>
      <c r="EL144" t="s">
        <v>217</v>
      </c>
      <c r="EM144" t="s">
        <v>218</v>
      </c>
      <c r="EO144" t="s">
        <v>30</v>
      </c>
      <c r="EQ144">
        <v>0</v>
      </c>
      <c r="ER144">
        <v>116</v>
      </c>
      <c r="ES144">
        <v>58.15</v>
      </c>
      <c r="ET144">
        <v>2.62</v>
      </c>
      <c r="EU144">
        <v>0.3</v>
      </c>
      <c r="EV144">
        <v>55.23</v>
      </c>
      <c r="EW144">
        <v>4.49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97</v>
      </c>
      <c r="FY144">
        <v>51</v>
      </c>
      <c r="GA144" t="s">
        <v>3</v>
      </c>
      <c r="GD144">
        <v>1</v>
      </c>
      <c r="GF144">
        <v>770559996</v>
      </c>
      <c r="GG144">
        <v>2</v>
      </c>
      <c r="GH144">
        <v>1</v>
      </c>
      <c r="GI144">
        <v>2</v>
      </c>
      <c r="GJ144">
        <v>0</v>
      </c>
      <c r="GK144">
        <v>0</v>
      </c>
      <c r="GL144">
        <f t="shared" si="125"/>
        <v>0</v>
      </c>
      <c r="GM144">
        <f t="shared" si="126"/>
        <v>7170.15</v>
      </c>
      <c r="GN144">
        <f t="shared" si="127"/>
        <v>0</v>
      </c>
      <c r="GO144">
        <f t="shared" si="128"/>
        <v>7170.15</v>
      </c>
      <c r="GP144">
        <f t="shared" si="129"/>
        <v>0</v>
      </c>
      <c r="GR144">
        <v>0</v>
      </c>
      <c r="GS144">
        <v>3</v>
      </c>
      <c r="GT144">
        <v>0</v>
      </c>
      <c r="GU144" t="s">
        <v>3</v>
      </c>
      <c r="GV144">
        <f t="shared" si="130"/>
        <v>0</v>
      </c>
      <c r="GW144">
        <v>1</v>
      </c>
      <c r="GX144">
        <f t="shared" si="131"/>
        <v>0</v>
      </c>
      <c r="HA144">
        <v>0</v>
      </c>
      <c r="HB144">
        <v>0</v>
      </c>
      <c r="HC144">
        <f t="shared" si="132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18</v>
      </c>
      <c r="B145" s="2">
        <v>1</v>
      </c>
      <c r="C145" s="2">
        <v>148</v>
      </c>
      <c r="D145" s="2"/>
      <c r="E145" s="2" t="s">
        <v>259</v>
      </c>
      <c r="F145" s="2" t="s">
        <v>260</v>
      </c>
      <c r="G145" s="2" t="s">
        <v>261</v>
      </c>
      <c r="H145" s="2" t="s">
        <v>256</v>
      </c>
      <c r="I145" s="2">
        <f>I143*J145</f>
        <v>8.1600000000000006E-2</v>
      </c>
      <c r="J145" s="2">
        <v>0.10200000000000001</v>
      </c>
      <c r="K145" s="2">
        <v>0.10199999999999999</v>
      </c>
      <c r="L145" s="2"/>
      <c r="M145" s="2"/>
      <c r="N145" s="2"/>
      <c r="O145" s="2">
        <f t="shared" si="102"/>
        <v>581.70000000000005</v>
      </c>
      <c r="P145" s="2">
        <f t="shared" si="103"/>
        <v>581.70000000000005</v>
      </c>
      <c r="Q145" s="2">
        <f>(ROUND((ROUND(((ET145)*AV145*I145),2)*BB145),2)+ROUND((ROUND(((AE145-(EU145))*AV145*I145),2)*BS145),2))</f>
        <v>0</v>
      </c>
      <c r="R145" s="2">
        <f t="shared" si="104"/>
        <v>0</v>
      </c>
      <c r="S145" s="2">
        <f t="shared" si="105"/>
        <v>0</v>
      </c>
      <c r="T145" s="2">
        <f t="shared" si="106"/>
        <v>0</v>
      </c>
      <c r="U145" s="2">
        <f t="shared" si="107"/>
        <v>0</v>
      </c>
      <c r="V145" s="2">
        <f t="shared" si="108"/>
        <v>0</v>
      </c>
      <c r="W145" s="2">
        <f t="shared" si="109"/>
        <v>0</v>
      </c>
      <c r="X145" s="2">
        <f t="shared" si="110"/>
        <v>0</v>
      </c>
      <c r="Y145" s="2">
        <f t="shared" si="111"/>
        <v>0</v>
      </c>
      <c r="Z145" s="2"/>
      <c r="AA145" s="2">
        <v>59213216</v>
      </c>
      <c r="AB145" s="2">
        <f t="shared" si="112"/>
        <v>7128.65</v>
      </c>
      <c r="AC145" s="2">
        <f>ROUND((ES145),6)</f>
        <v>7128.65</v>
      </c>
      <c r="AD145" s="2">
        <f>ROUND((((ET145)-(EU145))+AE145),6)</f>
        <v>0</v>
      </c>
      <c r="AE145" s="2">
        <f>ROUND((EU145),6)</f>
        <v>0</v>
      </c>
      <c r="AF145" s="2">
        <f>ROUND((EV145),6)</f>
        <v>0</v>
      </c>
      <c r="AG145" s="2">
        <f t="shared" si="113"/>
        <v>0</v>
      </c>
      <c r="AH145" s="2">
        <f>(EW145)</f>
        <v>0</v>
      </c>
      <c r="AI145" s="2">
        <f>(EX145)</f>
        <v>0</v>
      </c>
      <c r="AJ145" s="2">
        <f t="shared" si="114"/>
        <v>0</v>
      </c>
      <c r="AK145" s="2">
        <v>7128.65</v>
      </c>
      <c r="AL145" s="2">
        <v>7128.65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97</v>
      </c>
      <c r="AU145" s="2">
        <v>51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2</v>
      </c>
      <c r="BJ145" s="2" t="s">
        <v>3</v>
      </c>
      <c r="BK145" s="2"/>
      <c r="BL145" s="2"/>
      <c r="BM145" s="2">
        <v>67</v>
      </c>
      <c r="BN145" s="2">
        <v>0</v>
      </c>
      <c r="BO145" s="2" t="s">
        <v>3</v>
      </c>
      <c r="BP145" s="2">
        <v>0</v>
      </c>
      <c r="BQ145" s="2">
        <v>40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97</v>
      </c>
      <c r="CA145" s="2">
        <v>51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15"/>
        <v>581.70000000000005</v>
      </c>
      <c r="CQ145" s="2">
        <f t="shared" si="116"/>
        <v>7128.65</v>
      </c>
      <c r="CR145" s="2">
        <f>(ROUND((ROUND(((ET145)*AV145*1),2)*BB145),2)+ROUND((ROUND(((AE145-(EU145))*AV145*1),2)*BS145),2))</f>
        <v>0</v>
      </c>
      <c r="CS145" s="2">
        <f t="shared" si="117"/>
        <v>0</v>
      </c>
      <c r="CT145" s="2">
        <f t="shared" si="118"/>
        <v>0</v>
      </c>
      <c r="CU145" s="2">
        <f t="shared" si="119"/>
        <v>0</v>
      </c>
      <c r="CV145" s="2">
        <f t="shared" si="120"/>
        <v>0</v>
      </c>
      <c r="CW145" s="2">
        <f t="shared" si="121"/>
        <v>0</v>
      </c>
      <c r="CX145" s="2">
        <f t="shared" si="122"/>
        <v>0</v>
      </c>
      <c r="CY145" s="2">
        <f t="shared" si="123"/>
        <v>0</v>
      </c>
      <c r="CZ145" s="2">
        <f t="shared" si="124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1003</v>
      </c>
      <c r="DV145" s="2" t="s">
        <v>256</v>
      </c>
      <c r="DW145" s="2" t="s">
        <v>256</v>
      </c>
      <c r="DX145" s="2">
        <v>1000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58808177</v>
      </c>
      <c r="EF145" s="2">
        <v>40</v>
      </c>
      <c r="EG145" s="2" t="s">
        <v>27</v>
      </c>
      <c r="EH145" s="2">
        <v>0</v>
      </c>
      <c r="EI145" s="2" t="s">
        <v>3</v>
      </c>
      <c r="EJ145" s="2">
        <v>2</v>
      </c>
      <c r="EK145" s="2">
        <v>67</v>
      </c>
      <c r="EL145" s="2" t="s">
        <v>217</v>
      </c>
      <c r="EM145" s="2" t="s">
        <v>218</v>
      </c>
      <c r="EN145" s="2"/>
      <c r="EO145" s="2" t="s">
        <v>3</v>
      </c>
      <c r="EP145" s="2"/>
      <c r="EQ145" s="2">
        <v>0</v>
      </c>
      <c r="ER145" s="2">
        <v>0</v>
      </c>
      <c r="ES145" s="2">
        <v>7128.65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97</v>
      </c>
      <c r="FY145" s="2">
        <v>51</v>
      </c>
      <c r="FZ145" s="2"/>
      <c r="GA145" s="2" t="s">
        <v>262</v>
      </c>
      <c r="GB145" s="2"/>
      <c r="GC145" s="2"/>
      <c r="GD145" s="2">
        <v>1</v>
      </c>
      <c r="GE145" s="2"/>
      <c r="GF145" s="2">
        <v>1725654272</v>
      </c>
      <c r="GG145" s="2">
        <v>2</v>
      </c>
      <c r="GH145" s="2">
        <v>4</v>
      </c>
      <c r="GI145" s="2">
        <v>0</v>
      </c>
      <c r="GJ145" s="2">
        <v>0</v>
      </c>
      <c r="GK145" s="2">
        <v>0</v>
      </c>
      <c r="GL145" s="2">
        <f t="shared" si="125"/>
        <v>0</v>
      </c>
      <c r="GM145" s="2">
        <f t="shared" si="126"/>
        <v>581.70000000000005</v>
      </c>
      <c r="GN145" s="2">
        <f t="shared" si="127"/>
        <v>0</v>
      </c>
      <c r="GO145" s="2">
        <f t="shared" si="128"/>
        <v>581.70000000000005</v>
      </c>
      <c r="GP145" s="2">
        <f t="shared" si="129"/>
        <v>0</v>
      </c>
      <c r="GQ145" s="2"/>
      <c r="GR145" s="2">
        <v>0</v>
      </c>
      <c r="GS145" s="2">
        <v>2</v>
      </c>
      <c r="GT145" s="2">
        <v>0</v>
      </c>
      <c r="GU145" s="2" t="s">
        <v>3</v>
      </c>
      <c r="GV145" s="2">
        <f t="shared" si="130"/>
        <v>0</v>
      </c>
      <c r="GW145" s="2">
        <v>1</v>
      </c>
      <c r="GX145" s="2">
        <f t="shared" si="131"/>
        <v>0</v>
      </c>
      <c r="GY145" s="2"/>
      <c r="GZ145" s="2"/>
      <c r="HA145" s="2">
        <v>0</v>
      </c>
      <c r="HB145" s="2">
        <v>0</v>
      </c>
      <c r="HC145" s="2">
        <f t="shared" si="132"/>
        <v>0</v>
      </c>
      <c r="HD145" s="2"/>
      <c r="HE145" s="2" t="s">
        <v>93</v>
      </c>
      <c r="HF145" s="2" t="s">
        <v>31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18</v>
      </c>
      <c r="B146">
        <v>1</v>
      </c>
      <c r="C146">
        <v>158</v>
      </c>
      <c r="E146" t="s">
        <v>259</v>
      </c>
      <c r="F146" t="s">
        <v>260</v>
      </c>
      <c r="G146" t="s">
        <v>261</v>
      </c>
      <c r="H146" t="s">
        <v>256</v>
      </c>
      <c r="I146">
        <f>I144*J146</f>
        <v>8.1600000000000006E-2</v>
      </c>
      <c r="J146">
        <v>0.10200000000000001</v>
      </c>
      <c r="K146">
        <v>0.10199999999999999</v>
      </c>
      <c r="O146">
        <f t="shared" si="102"/>
        <v>5747.2</v>
      </c>
      <c r="P146">
        <f t="shared" si="103"/>
        <v>5747.2</v>
      </c>
      <c r="Q146">
        <f>(ROUND((ROUND(((ET146)*AV146*I146),2)*BB146),2)+ROUND((ROUND(((AE146-(EU146))*AV146*I146),2)*BS146),2))</f>
        <v>0</v>
      </c>
      <c r="R146">
        <f t="shared" si="104"/>
        <v>0</v>
      </c>
      <c r="S146">
        <f t="shared" si="105"/>
        <v>0</v>
      </c>
      <c r="T146">
        <f t="shared" si="106"/>
        <v>0</v>
      </c>
      <c r="U146">
        <f t="shared" si="107"/>
        <v>0</v>
      </c>
      <c r="V146">
        <f t="shared" si="108"/>
        <v>0</v>
      </c>
      <c r="W146">
        <f t="shared" si="109"/>
        <v>0</v>
      </c>
      <c r="X146">
        <f t="shared" si="110"/>
        <v>0</v>
      </c>
      <c r="Y146">
        <f t="shared" si="111"/>
        <v>0</v>
      </c>
      <c r="AA146">
        <v>59213213</v>
      </c>
      <c r="AB146">
        <f t="shared" si="112"/>
        <v>7128.65</v>
      </c>
      <c r="AC146">
        <f>ROUND((ES146),6)</f>
        <v>7128.65</v>
      </c>
      <c r="AD146">
        <f>ROUND((((ET146)-(EU146))+AE146),6)</f>
        <v>0</v>
      </c>
      <c r="AE146">
        <f>ROUND((EU146),6)</f>
        <v>0</v>
      </c>
      <c r="AF146">
        <f>ROUND((EV146),6)</f>
        <v>0</v>
      </c>
      <c r="AG146">
        <f t="shared" si="113"/>
        <v>0</v>
      </c>
      <c r="AH146">
        <f>(EW146)</f>
        <v>0</v>
      </c>
      <c r="AI146">
        <f>(EX146)</f>
        <v>0</v>
      </c>
      <c r="AJ146">
        <f t="shared" si="114"/>
        <v>0</v>
      </c>
      <c r="AK146">
        <v>7128.65</v>
      </c>
      <c r="AL146">
        <v>7128.65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97</v>
      </c>
      <c r="AU146">
        <v>51</v>
      </c>
      <c r="AV146">
        <v>1</v>
      </c>
      <c r="AW146">
        <v>1</v>
      </c>
      <c r="AZ146">
        <v>1</v>
      </c>
      <c r="BA146">
        <v>1</v>
      </c>
      <c r="BB146">
        <v>1</v>
      </c>
      <c r="BC146">
        <v>9.8800000000000008</v>
      </c>
      <c r="BD146" t="s">
        <v>3</v>
      </c>
      <c r="BE146" t="s">
        <v>3</v>
      </c>
      <c r="BF146" t="s">
        <v>3</v>
      </c>
      <c r="BG146" t="s">
        <v>3</v>
      </c>
      <c r="BH146">
        <v>3</v>
      </c>
      <c r="BI146">
        <v>2</v>
      </c>
      <c r="BJ146" t="s">
        <v>3</v>
      </c>
      <c r="BM146">
        <v>67</v>
      </c>
      <c r="BN146">
        <v>0</v>
      </c>
      <c r="BO146" t="s">
        <v>3</v>
      </c>
      <c r="BP146">
        <v>0</v>
      </c>
      <c r="BQ146">
        <v>40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97</v>
      </c>
      <c r="CA146">
        <v>51</v>
      </c>
      <c r="CB146" t="s">
        <v>3</v>
      </c>
      <c r="CE146">
        <v>30</v>
      </c>
      <c r="CF146">
        <v>0</v>
      </c>
      <c r="CG146">
        <v>0</v>
      </c>
      <c r="CM146">
        <v>0</v>
      </c>
      <c r="CN146" t="s">
        <v>3</v>
      </c>
      <c r="CO146">
        <v>0</v>
      </c>
      <c r="CP146">
        <f t="shared" si="115"/>
        <v>5747.2</v>
      </c>
      <c r="CQ146">
        <f t="shared" si="116"/>
        <v>70431.06</v>
      </c>
      <c r="CR146">
        <f>(ROUND((ROUND(((ET146)*AV146*1),2)*BB146),2)+ROUND((ROUND(((AE146-(EU146))*AV146*1),2)*BS146),2))</f>
        <v>0</v>
      </c>
      <c r="CS146">
        <f t="shared" si="117"/>
        <v>0</v>
      </c>
      <c r="CT146">
        <f t="shared" si="118"/>
        <v>0</v>
      </c>
      <c r="CU146">
        <f t="shared" si="119"/>
        <v>0</v>
      </c>
      <c r="CV146">
        <f t="shared" si="120"/>
        <v>0</v>
      </c>
      <c r="CW146">
        <f t="shared" si="121"/>
        <v>0</v>
      </c>
      <c r="CX146">
        <f t="shared" si="122"/>
        <v>0</v>
      </c>
      <c r="CY146">
        <f t="shared" si="123"/>
        <v>0</v>
      </c>
      <c r="CZ146">
        <f t="shared" si="124"/>
        <v>0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>
        <v>0</v>
      </c>
      <c r="DO146">
        <v>0</v>
      </c>
      <c r="DP146">
        <v>1</v>
      </c>
      <c r="DQ146">
        <v>1</v>
      </c>
      <c r="DU146">
        <v>1003</v>
      </c>
      <c r="DV146" t="s">
        <v>256</v>
      </c>
      <c r="DW146" t="s">
        <v>256</v>
      </c>
      <c r="DX146">
        <v>1000</v>
      </c>
      <c r="DZ146" t="s">
        <v>3</v>
      </c>
      <c r="EA146" t="s">
        <v>3</v>
      </c>
      <c r="EB146" t="s">
        <v>3</v>
      </c>
      <c r="EC146" t="s">
        <v>3</v>
      </c>
      <c r="EE146">
        <v>58808177</v>
      </c>
      <c r="EF146">
        <v>40</v>
      </c>
      <c r="EG146" t="s">
        <v>27</v>
      </c>
      <c r="EH146">
        <v>0</v>
      </c>
      <c r="EI146" t="s">
        <v>3</v>
      </c>
      <c r="EJ146">
        <v>2</v>
      </c>
      <c r="EK146">
        <v>67</v>
      </c>
      <c r="EL146" t="s">
        <v>217</v>
      </c>
      <c r="EM146" t="s">
        <v>218</v>
      </c>
      <c r="EO146" t="s">
        <v>3</v>
      </c>
      <c r="EQ146">
        <v>0</v>
      </c>
      <c r="ER146">
        <v>7128649.9999999991</v>
      </c>
      <c r="ES146">
        <v>7128.65</v>
      </c>
      <c r="ET146">
        <v>0</v>
      </c>
      <c r="EU146">
        <v>0</v>
      </c>
      <c r="EV146">
        <v>0</v>
      </c>
      <c r="EW146">
        <v>0</v>
      </c>
      <c r="EX146">
        <v>0</v>
      </c>
      <c r="EZ146">
        <v>5</v>
      </c>
      <c r="FC146">
        <v>1</v>
      </c>
      <c r="FD146">
        <v>18</v>
      </c>
      <c r="FF146">
        <v>82860</v>
      </c>
      <c r="FQ146">
        <v>0</v>
      </c>
      <c r="FR146">
        <v>0</v>
      </c>
      <c r="FS146">
        <v>0</v>
      </c>
      <c r="FX146">
        <v>97</v>
      </c>
      <c r="FY146">
        <v>51</v>
      </c>
      <c r="GA146" t="s">
        <v>262</v>
      </c>
      <c r="GD146">
        <v>1</v>
      </c>
      <c r="GF146">
        <v>1725654272</v>
      </c>
      <c r="GG146">
        <v>2</v>
      </c>
      <c r="GH146">
        <v>3</v>
      </c>
      <c r="GI146">
        <v>5</v>
      </c>
      <c r="GJ146">
        <v>0</v>
      </c>
      <c r="GK146">
        <v>0</v>
      </c>
      <c r="GL146">
        <f t="shared" si="125"/>
        <v>0</v>
      </c>
      <c r="GM146">
        <f t="shared" si="126"/>
        <v>5747.2</v>
      </c>
      <c r="GN146">
        <f t="shared" si="127"/>
        <v>0</v>
      </c>
      <c r="GO146">
        <f t="shared" si="128"/>
        <v>5747.2</v>
      </c>
      <c r="GP146">
        <f t="shared" si="129"/>
        <v>0</v>
      </c>
      <c r="GR146">
        <v>1</v>
      </c>
      <c r="GS146">
        <v>1</v>
      </c>
      <c r="GT146">
        <v>0</v>
      </c>
      <c r="GU146" t="s">
        <v>3</v>
      </c>
      <c r="GV146">
        <f t="shared" si="130"/>
        <v>0</v>
      </c>
      <c r="GW146">
        <v>1</v>
      </c>
      <c r="GX146">
        <f t="shared" si="131"/>
        <v>0</v>
      </c>
      <c r="HA146">
        <v>0</v>
      </c>
      <c r="HB146">
        <v>0</v>
      </c>
      <c r="HC146">
        <f t="shared" si="132"/>
        <v>0</v>
      </c>
      <c r="HE146" t="s">
        <v>93</v>
      </c>
      <c r="HF146" t="s">
        <v>31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>
        <f>ROW(SmtRes!A168)</f>
        <v>168</v>
      </c>
      <c r="D147" s="2">
        <f>ROW(EtalonRes!A188)</f>
        <v>188</v>
      </c>
      <c r="E147" s="2" t="s">
        <v>263</v>
      </c>
      <c r="F147" s="2" t="s">
        <v>250</v>
      </c>
      <c r="G147" s="2" t="s">
        <v>251</v>
      </c>
      <c r="H147" s="2" t="s">
        <v>215</v>
      </c>
      <c r="I147" s="2">
        <f>ROUND(ROUND(100/100,4),9)</f>
        <v>1</v>
      </c>
      <c r="J147" s="2">
        <v>0</v>
      </c>
      <c r="K147" s="2">
        <f>ROUND(ROUND(100/100,4),9)</f>
        <v>1</v>
      </c>
      <c r="L147" s="2"/>
      <c r="M147" s="2"/>
      <c r="N147" s="2"/>
      <c r="O147" s="2">
        <f t="shared" si="102"/>
        <v>124.78</v>
      </c>
      <c r="P147" s="2">
        <f t="shared" si="103"/>
        <v>58.15</v>
      </c>
      <c r="Q147" s="2">
        <f>(ROUND((ROUND((((ET147*1.1))*AV147*I147),2)*BB147),2)+ROUND((ROUND(((AE147-((EU147*1.1)))*AV147*I147),2)*BS147),2))</f>
        <v>3.02</v>
      </c>
      <c r="R147" s="2">
        <f t="shared" si="104"/>
        <v>0.35</v>
      </c>
      <c r="S147" s="2">
        <f t="shared" si="105"/>
        <v>63.61</v>
      </c>
      <c r="T147" s="2">
        <f t="shared" si="106"/>
        <v>0</v>
      </c>
      <c r="U147" s="2">
        <f t="shared" si="107"/>
        <v>5.1711330000000011</v>
      </c>
      <c r="V147" s="2">
        <f t="shared" si="108"/>
        <v>0</v>
      </c>
      <c r="W147" s="2">
        <f t="shared" si="109"/>
        <v>0</v>
      </c>
      <c r="X147" s="2">
        <f t="shared" si="110"/>
        <v>62.04</v>
      </c>
      <c r="Y147" s="2">
        <f t="shared" si="111"/>
        <v>32.619999999999997</v>
      </c>
      <c r="Z147" s="2"/>
      <c r="AA147" s="2">
        <v>59213216</v>
      </c>
      <c r="AB147" s="2">
        <f t="shared" si="112"/>
        <v>121.785</v>
      </c>
      <c r="AC147" s="2">
        <f>ROUND(((ES147*1)),6)</f>
        <v>58.15</v>
      </c>
      <c r="AD147" s="2">
        <f>ROUND(((((ET147*1.1))-((EU147*1.1)))+AE147),6)</f>
        <v>2.8820000000000001</v>
      </c>
      <c r="AE147" s="2">
        <f>ROUND(((EU147*1.1)),6)</f>
        <v>0.33</v>
      </c>
      <c r="AF147" s="2">
        <f>ROUND(((EV147*1.1)),6)</f>
        <v>60.753</v>
      </c>
      <c r="AG147" s="2">
        <f t="shared" si="113"/>
        <v>0</v>
      </c>
      <c r="AH147" s="2">
        <f>((EW147*1.1))</f>
        <v>4.9390000000000009</v>
      </c>
      <c r="AI147" s="2">
        <f>((EX147*1.1))</f>
        <v>0</v>
      </c>
      <c r="AJ147" s="2">
        <f t="shared" si="114"/>
        <v>0</v>
      </c>
      <c r="AK147" s="2">
        <v>116</v>
      </c>
      <c r="AL147" s="2">
        <v>58.15</v>
      </c>
      <c r="AM147" s="2">
        <v>2.62</v>
      </c>
      <c r="AN147" s="2">
        <v>0.3</v>
      </c>
      <c r="AO147" s="2">
        <v>55.23</v>
      </c>
      <c r="AP147" s="2">
        <v>0</v>
      </c>
      <c r="AQ147" s="2">
        <v>4.49</v>
      </c>
      <c r="AR147" s="2">
        <v>0</v>
      </c>
      <c r="AS147" s="2">
        <v>0</v>
      </c>
      <c r="AT147" s="2">
        <v>97</v>
      </c>
      <c r="AU147" s="2">
        <v>51</v>
      </c>
      <c r="AV147" s="2">
        <v>1.0469999999999999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252</v>
      </c>
      <c r="BK147" s="2"/>
      <c r="BL147" s="2"/>
      <c r="BM147" s="2">
        <v>67</v>
      </c>
      <c r="BN147" s="2">
        <v>58808062</v>
      </c>
      <c r="BO147" s="2" t="s">
        <v>250</v>
      </c>
      <c r="BP147" s="2">
        <v>1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97</v>
      </c>
      <c r="CA147" s="2">
        <v>51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492</v>
      </c>
      <c r="CO147" s="2">
        <v>0</v>
      </c>
      <c r="CP147" s="2">
        <f t="shared" si="115"/>
        <v>124.78</v>
      </c>
      <c r="CQ147" s="2">
        <f t="shared" si="116"/>
        <v>58.15</v>
      </c>
      <c r="CR147" s="2">
        <f>(ROUND((ROUND((((ET147*1.1))*AV147*1),2)*BB147),2)+ROUND((ROUND(((AE147-((EU147*1.1)))*AV147*1),2)*BS147),2))</f>
        <v>3.02</v>
      </c>
      <c r="CS147" s="2">
        <f t="shared" si="117"/>
        <v>0.35</v>
      </c>
      <c r="CT147" s="2">
        <f t="shared" si="118"/>
        <v>63.61</v>
      </c>
      <c r="CU147" s="2">
        <f t="shared" si="119"/>
        <v>0</v>
      </c>
      <c r="CV147" s="2">
        <f t="shared" si="120"/>
        <v>5.1711330000000011</v>
      </c>
      <c r="CW147" s="2">
        <f t="shared" si="121"/>
        <v>0</v>
      </c>
      <c r="CX147" s="2">
        <f t="shared" si="122"/>
        <v>0</v>
      </c>
      <c r="CY147" s="2">
        <f t="shared" si="123"/>
        <v>62.041199999999996</v>
      </c>
      <c r="CZ147" s="2">
        <f t="shared" si="124"/>
        <v>32.619599999999998</v>
      </c>
      <c r="DA147" s="2"/>
      <c r="DB147" s="2">
        <v>39</v>
      </c>
      <c r="DC147" s="2" t="s">
        <v>3</v>
      </c>
      <c r="DD147" s="2" t="s">
        <v>25</v>
      </c>
      <c r="DE147" s="2" t="s">
        <v>26</v>
      </c>
      <c r="DF147" s="2" t="s">
        <v>26</v>
      </c>
      <c r="DG147" s="2" t="s">
        <v>26</v>
      </c>
      <c r="DH147" s="2" t="s">
        <v>3</v>
      </c>
      <c r="DI147" s="2" t="s">
        <v>26</v>
      </c>
      <c r="DJ147" s="2" t="s">
        <v>26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1003</v>
      </c>
      <c r="DV147" s="2" t="s">
        <v>215</v>
      </c>
      <c r="DW147" s="2" t="s">
        <v>215</v>
      </c>
      <c r="DX147" s="2">
        <v>100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58808177</v>
      </c>
      <c r="EF147" s="2">
        <v>40</v>
      </c>
      <c r="EG147" s="2" t="s">
        <v>27</v>
      </c>
      <c r="EH147" s="2">
        <v>0</v>
      </c>
      <c r="EI147" s="2" t="s">
        <v>3</v>
      </c>
      <c r="EJ147" s="2">
        <v>2</v>
      </c>
      <c r="EK147" s="2">
        <v>67</v>
      </c>
      <c r="EL147" s="2" t="s">
        <v>217</v>
      </c>
      <c r="EM147" s="2" t="s">
        <v>218</v>
      </c>
      <c r="EN147" s="2"/>
      <c r="EO147" s="2" t="s">
        <v>30</v>
      </c>
      <c r="EP147" s="2"/>
      <c r="EQ147" s="2">
        <v>0</v>
      </c>
      <c r="ER147" s="2">
        <v>116</v>
      </c>
      <c r="ES147" s="2">
        <v>58.15</v>
      </c>
      <c r="ET147" s="2">
        <v>2.62</v>
      </c>
      <c r="EU147" s="2">
        <v>0.3</v>
      </c>
      <c r="EV147" s="2">
        <v>55.23</v>
      </c>
      <c r="EW147" s="2">
        <v>4.49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97</v>
      </c>
      <c r="FY147" s="2">
        <v>51</v>
      </c>
      <c r="FZ147" s="2"/>
      <c r="GA147" s="2" t="s">
        <v>3</v>
      </c>
      <c r="GB147" s="2"/>
      <c r="GC147" s="2"/>
      <c r="GD147" s="2">
        <v>1</v>
      </c>
      <c r="GE147" s="2"/>
      <c r="GF147" s="2">
        <v>770559996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si="125"/>
        <v>0</v>
      </c>
      <c r="GM147" s="2">
        <f t="shared" si="126"/>
        <v>219.44</v>
      </c>
      <c r="GN147" s="2">
        <f t="shared" si="127"/>
        <v>0</v>
      </c>
      <c r="GO147" s="2">
        <f t="shared" si="128"/>
        <v>219.44</v>
      </c>
      <c r="GP147" s="2">
        <f t="shared" si="129"/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si="130"/>
        <v>0</v>
      </c>
      <c r="GW147" s="2">
        <v>1</v>
      </c>
      <c r="GX147" s="2">
        <f t="shared" si="131"/>
        <v>0</v>
      </c>
      <c r="GY147" s="2"/>
      <c r="GZ147" s="2"/>
      <c r="HA147" s="2">
        <v>0</v>
      </c>
      <c r="HB147" s="2">
        <v>0</v>
      </c>
      <c r="HC147" s="2">
        <f t="shared" si="132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C148">
        <f>ROW(SmtRes!A178)</f>
        <v>178</v>
      </c>
      <c r="D148">
        <f>ROW(EtalonRes!A198)</f>
        <v>198</v>
      </c>
      <c r="E148" t="s">
        <v>263</v>
      </c>
      <c r="F148" t="s">
        <v>250</v>
      </c>
      <c r="G148" t="s">
        <v>251</v>
      </c>
      <c r="H148" t="s">
        <v>215</v>
      </c>
      <c r="I148">
        <f>ROUND(ROUND(100/100,4),9)</f>
        <v>1</v>
      </c>
      <c r="J148">
        <v>0</v>
      </c>
      <c r="K148">
        <f>ROUND(ROUND(100/100,4),9)</f>
        <v>1</v>
      </c>
      <c r="O148">
        <f t="shared" si="102"/>
        <v>3757.07</v>
      </c>
      <c r="P148">
        <f t="shared" si="103"/>
        <v>215.16</v>
      </c>
      <c r="Q148">
        <f>(ROUND((ROUND((((ET148*1.1))*AV148*I148),2)*BB148),2)+ROUND((ROUND(((AE148-((EU148*1.1)))*AV148*I148),2)*BS148),2))</f>
        <v>44</v>
      </c>
      <c r="R148">
        <f t="shared" si="104"/>
        <v>19.25</v>
      </c>
      <c r="S148">
        <f t="shared" si="105"/>
        <v>3497.91</v>
      </c>
      <c r="T148">
        <f t="shared" si="106"/>
        <v>0</v>
      </c>
      <c r="U148">
        <f t="shared" si="107"/>
        <v>5.1711330000000011</v>
      </c>
      <c r="V148">
        <f t="shared" si="108"/>
        <v>0</v>
      </c>
      <c r="W148">
        <f t="shared" si="109"/>
        <v>0</v>
      </c>
      <c r="X148">
        <f t="shared" si="110"/>
        <v>3411.65</v>
      </c>
      <c r="Y148">
        <f t="shared" si="111"/>
        <v>1793.75</v>
      </c>
      <c r="AA148">
        <v>59213213</v>
      </c>
      <c r="AB148">
        <f t="shared" si="112"/>
        <v>121.785</v>
      </c>
      <c r="AC148">
        <f>ROUND(((ES148*1)),6)</f>
        <v>58.15</v>
      </c>
      <c r="AD148">
        <f>ROUND(((((ET148*1.1))-((EU148*1.1)))+AE148),6)</f>
        <v>2.8820000000000001</v>
      </c>
      <c r="AE148">
        <f>ROUND(((EU148*1.1)),6)</f>
        <v>0.33</v>
      </c>
      <c r="AF148">
        <f>ROUND(((EV148*1.1)),6)</f>
        <v>60.753</v>
      </c>
      <c r="AG148">
        <f t="shared" si="113"/>
        <v>0</v>
      </c>
      <c r="AH148">
        <f>((EW148*1.1))</f>
        <v>4.9390000000000009</v>
      </c>
      <c r="AI148">
        <f>((EX148*1.1))</f>
        <v>0</v>
      </c>
      <c r="AJ148">
        <f t="shared" si="114"/>
        <v>0</v>
      </c>
      <c r="AK148">
        <v>116</v>
      </c>
      <c r="AL148">
        <v>58.15</v>
      </c>
      <c r="AM148">
        <v>2.62</v>
      </c>
      <c r="AN148">
        <v>0.3</v>
      </c>
      <c r="AO148">
        <v>55.23</v>
      </c>
      <c r="AP148">
        <v>0</v>
      </c>
      <c r="AQ148">
        <v>4.49</v>
      </c>
      <c r="AR148">
        <v>0</v>
      </c>
      <c r="AS148">
        <v>0</v>
      </c>
      <c r="AT148">
        <v>97</v>
      </c>
      <c r="AU148">
        <v>51</v>
      </c>
      <c r="AV148">
        <v>1.0469999999999999</v>
      </c>
      <c r="AW148">
        <v>1</v>
      </c>
      <c r="AZ148">
        <v>1</v>
      </c>
      <c r="BA148">
        <v>54.99</v>
      </c>
      <c r="BB148">
        <v>14.57</v>
      </c>
      <c r="BC148">
        <v>3.7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2</v>
      </c>
      <c r="BJ148" t="s">
        <v>252</v>
      </c>
      <c r="BM148">
        <v>67</v>
      </c>
      <c r="BN148">
        <v>58808062</v>
      </c>
      <c r="BO148" t="s">
        <v>250</v>
      </c>
      <c r="BP148">
        <v>1</v>
      </c>
      <c r="BQ148">
        <v>40</v>
      </c>
      <c r="BR148">
        <v>0</v>
      </c>
      <c r="BS148">
        <v>54.99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97</v>
      </c>
      <c r="CA148">
        <v>51</v>
      </c>
      <c r="CB148" t="s">
        <v>3</v>
      </c>
      <c r="CE148">
        <v>30</v>
      </c>
      <c r="CF148">
        <v>0</v>
      </c>
      <c r="CG148">
        <v>0</v>
      </c>
      <c r="CM148">
        <v>0</v>
      </c>
      <c r="CN148" t="s">
        <v>492</v>
      </c>
      <c r="CO148">
        <v>0</v>
      </c>
      <c r="CP148">
        <f t="shared" si="115"/>
        <v>3757.0699999999997</v>
      </c>
      <c r="CQ148">
        <f t="shared" si="116"/>
        <v>215.16</v>
      </c>
      <c r="CR148">
        <f>(ROUND((ROUND((((ET148*1.1))*AV148*1),2)*BB148),2)+ROUND((ROUND(((AE148-((EU148*1.1)))*AV148*1),2)*BS148),2))</f>
        <v>44</v>
      </c>
      <c r="CS148">
        <f t="shared" si="117"/>
        <v>19.25</v>
      </c>
      <c r="CT148">
        <f t="shared" si="118"/>
        <v>3497.91</v>
      </c>
      <c r="CU148">
        <f t="shared" si="119"/>
        <v>0</v>
      </c>
      <c r="CV148">
        <f t="shared" si="120"/>
        <v>5.1711330000000011</v>
      </c>
      <c r="CW148">
        <f t="shared" si="121"/>
        <v>0</v>
      </c>
      <c r="CX148">
        <f t="shared" si="122"/>
        <v>0</v>
      </c>
      <c r="CY148">
        <f t="shared" si="123"/>
        <v>3411.6451999999995</v>
      </c>
      <c r="CZ148">
        <f t="shared" si="124"/>
        <v>1793.7516000000001</v>
      </c>
      <c r="DB148">
        <v>40</v>
      </c>
      <c r="DC148" t="s">
        <v>3</v>
      </c>
      <c r="DD148" t="s">
        <v>25</v>
      </c>
      <c r="DE148" t="s">
        <v>26</v>
      </c>
      <c r="DF148" t="s">
        <v>26</v>
      </c>
      <c r="DG148" t="s">
        <v>26</v>
      </c>
      <c r="DH148" t="s">
        <v>3</v>
      </c>
      <c r="DI148" t="s">
        <v>26</v>
      </c>
      <c r="DJ148" t="s">
        <v>26</v>
      </c>
      <c r="DK148" t="s">
        <v>3</v>
      </c>
      <c r="DL148" t="s">
        <v>3</v>
      </c>
      <c r="DM148" t="s">
        <v>3</v>
      </c>
      <c r="DN148">
        <v>0</v>
      </c>
      <c r="DO148">
        <v>0</v>
      </c>
      <c r="DP148">
        <v>1</v>
      </c>
      <c r="DQ148">
        <v>1</v>
      </c>
      <c r="DU148">
        <v>1003</v>
      </c>
      <c r="DV148" t="s">
        <v>215</v>
      </c>
      <c r="DW148" t="s">
        <v>215</v>
      </c>
      <c r="DX148">
        <v>100</v>
      </c>
      <c r="DZ148" t="s">
        <v>3</v>
      </c>
      <c r="EA148" t="s">
        <v>3</v>
      </c>
      <c r="EB148" t="s">
        <v>3</v>
      </c>
      <c r="EC148" t="s">
        <v>3</v>
      </c>
      <c r="EE148">
        <v>58808177</v>
      </c>
      <c r="EF148">
        <v>40</v>
      </c>
      <c r="EG148" t="s">
        <v>27</v>
      </c>
      <c r="EH148">
        <v>0</v>
      </c>
      <c r="EI148" t="s">
        <v>3</v>
      </c>
      <c r="EJ148">
        <v>2</v>
      </c>
      <c r="EK148">
        <v>67</v>
      </c>
      <c r="EL148" t="s">
        <v>217</v>
      </c>
      <c r="EM148" t="s">
        <v>218</v>
      </c>
      <c r="EO148" t="s">
        <v>30</v>
      </c>
      <c r="EQ148">
        <v>0</v>
      </c>
      <c r="ER148">
        <v>116</v>
      </c>
      <c r="ES148">
        <v>58.15</v>
      </c>
      <c r="ET148">
        <v>2.62</v>
      </c>
      <c r="EU148">
        <v>0.3</v>
      </c>
      <c r="EV148">
        <v>55.23</v>
      </c>
      <c r="EW148">
        <v>4.49</v>
      </c>
      <c r="EX148">
        <v>0</v>
      </c>
      <c r="EY148">
        <v>0</v>
      </c>
      <c r="FQ148">
        <v>0</v>
      </c>
      <c r="FR148">
        <v>0</v>
      </c>
      <c r="FS148">
        <v>0</v>
      </c>
      <c r="FX148">
        <v>97</v>
      </c>
      <c r="FY148">
        <v>51</v>
      </c>
      <c r="GA148" t="s">
        <v>3</v>
      </c>
      <c r="GD148">
        <v>1</v>
      </c>
      <c r="GF148">
        <v>770559996</v>
      </c>
      <c r="GG148">
        <v>2</v>
      </c>
      <c r="GH148">
        <v>1</v>
      </c>
      <c r="GI148">
        <v>2</v>
      </c>
      <c r="GJ148">
        <v>0</v>
      </c>
      <c r="GK148">
        <v>0</v>
      </c>
      <c r="GL148">
        <f t="shared" si="125"/>
        <v>0</v>
      </c>
      <c r="GM148">
        <f t="shared" si="126"/>
        <v>8962.4699999999993</v>
      </c>
      <c r="GN148">
        <f t="shared" si="127"/>
        <v>0</v>
      </c>
      <c r="GO148">
        <f t="shared" si="128"/>
        <v>8962.4699999999993</v>
      </c>
      <c r="GP148">
        <f t="shared" si="129"/>
        <v>0</v>
      </c>
      <c r="GR148">
        <v>0</v>
      </c>
      <c r="GS148">
        <v>3</v>
      </c>
      <c r="GT148">
        <v>0</v>
      </c>
      <c r="GU148" t="s">
        <v>3</v>
      </c>
      <c r="GV148">
        <f t="shared" si="130"/>
        <v>0</v>
      </c>
      <c r="GW148">
        <v>1</v>
      </c>
      <c r="GX148">
        <f t="shared" si="131"/>
        <v>0</v>
      </c>
      <c r="HA148">
        <v>0</v>
      </c>
      <c r="HB148">
        <v>0</v>
      </c>
      <c r="HC148">
        <f t="shared" si="132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18</v>
      </c>
      <c r="B149" s="2">
        <v>1</v>
      </c>
      <c r="C149" s="2">
        <v>168</v>
      </c>
      <c r="D149" s="2"/>
      <c r="E149" s="2" t="s">
        <v>264</v>
      </c>
      <c r="F149" s="2" t="s">
        <v>265</v>
      </c>
      <c r="G149" s="2" t="s">
        <v>266</v>
      </c>
      <c r="H149" s="2" t="s">
        <v>256</v>
      </c>
      <c r="I149" s="2">
        <f>I147*J149</f>
        <v>0.10199999999999999</v>
      </c>
      <c r="J149" s="2">
        <v>0.10199999999999999</v>
      </c>
      <c r="K149" s="2">
        <v>0.10199999999999999</v>
      </c>
      <c r="L149" s="2"/>
      <c r="M149" s="2"/>
      <c r="N149" s="2"/>
      <c r="O149" s="2">
        <f t="shared" si="102"/>
        <v>720.28</v>
      </c>
      <c r="P149" s="2">
        <f t="shared" si="103"/>
        <v>720.28</v>
      </c>
      <c r="Q149" s="2">
        <f>(ROUND((ROUND(((ET149)*AV149*I149),2)*BB149),2)+ROUND((ROUND(((AE149-(EU149))*AV149*I149),2)*BS149),2))</f>
        <v>0</v>
      </c>
      <c r="R149" s="2">
        <f t="shared" si="104"/>
        <v>0</v>
      </c>
      <c r="S149" s="2">
        <f t="shared" si="105"/>
        <v>0</v>
      </c>
      <c r="T149" s="2">
        <f t="shared" si="106"/>
        <v>0</v>
      </c>
      <c r="U149" s="2">
        <f t="shared" si="107"/>
        <v>0</v>
      </c>
      <c r="V149" s="2">
        <f t="shared" si="108"/>
        <v>0</v>
      </c>
      <c r="W149" s="2">
        <f t="shared" si="109"/>
        <v>0</v>
      </c>
      <c r="X149" s="2">
        <f t="shared" si="110"/>
        <v>0</v>
      </c>
      <c r="Y149" s="2">
        <f t="shared" si="111"/>
        <v>0</v>
      </c>
      <c r="Z149" s="2"/>
      <c r="AA149" s="2">
        <v>59213216</v>
      </c>
      <c r="AB149" s="2">
        <f t="shared" si="112"/>
        <v>7061.54</v>
      </c>
      <c r="AC149" s="2">
        <f>ROUND((ES149),6)</f>
        <v>7061.54</v>
      </c>
      <c r="AD149" s="2">
        <f>ROUND((((ET149)-(EU149))+AE149),6)</f>
        <v>0</v>
      </c>
      <c r="AE149" s="2">
        <f>ROUND((EU149),6)</f>
        <v>0</v>
      </c>
      <c r="AF149" s="2">
        <f>ROUND((EV149),6)</f>
        <v>0</v>
      </c>
      <c r="AG149" s="2">
        <f t="shared" si="113"/>
        <v>0</v>
      </c>
      <c r="AH149" s="2">
        <f>(EW149)</f>
        <v>0</v>
      </c>
      <c r="AI149" s="2">
        <f>(EX149)</f>
        <v>0</v>
      </c>
      <c r="AJ149" s="2">
        <f t="shared" si="114"/>
        <v>0</v>
      </c>
      <c r="AK149" s="2">
        <v>7061.54</v>
      </c>
      <c r="AL149" s="2">
        <v>7061.54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97</v>
      </c>
      <c r="AU149" s="2">
        <v>51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2</v>
      </c>
      <c r="BJ149" s="2" t="s">
        <v>3</v>
      </c>
      <c r="BK149" s="2"/>
      <c r="BL149" s="2"/>
      <c r="BM149" s="2">
        <v>67</v>
      </c>
      <c r="BN149" s="2">
        <v>0</v>
      </c>
      <c r="BO149" s="2" t="s">
        <v>3</v>
      </c>
      <c r="BP149" s="2">
        <v>0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97</v>
      </c>
      <c r="CA149" s="2">
        <v>51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15"/>
        <v>720.28</v>
      </c>
      <c r="CQ149" s="2">
        <f t="shared" si="116"/>
        <v>7061.54</v>
      </c>
      <c r="CR149" s="2">
        <f>(ROUND((ROUND(((ET149)*AV149*1),2)*BB149),2)+ROUND((ROUND(((AE149-(EU149))*AV149*1),2)*BS149),2))</f>
        <v>0</v>
      </c>
      <c r="CS149" s="2">
        <f t="shared" si="117"/>
        <v>0</v>
      </c>
      <c r="CT149" s="2">
        <f t="shared" si="118"/>
        <v>0</v>
      </c>
      <c r="CU149" s="2">
        <f t="shared" si="119"/>
        <v>0</v>
      </c>
      <c r="CV149" s="2">
        <f t="shared" si="120"/>
        <v>0</v>
      </c>
      <c r="CW149" s="2">
        <f t="shared" si="121"/>
        <v>0</v>
      </c>
      <c r="CX149" s="2">
        <f t="shared" si="122"/>
        <v>0</v>
      </c>
      <c r="CY149" s="2">
        <f t="shared" si="123"/>
        <v>0</v>
      </c>
      <c r="CZ149" s="2">
        <f t="shared" si="124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1003</v>
      </c>
      <c r="DV149" s="2" t="s">
        <v>256</v>
      </c>
      <c r="DW149" s="2" t="s">
        <v>256</v>
      </c>
      <c r="DX149" s="2">
        <v>1000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58808177</v>
      </c>
      <c r="EF149" s="2">
        <v>40</v>
      </c>
      <c r="EG149" s="2" t="s">
        <v>27</v>
      </c>
      <c r="EH149" s="2">
        <v>0</v>
      </c>
      <c r="EI149" s="2" t="s">
        <v>3</v>
      </c>
      <c r="EJ149" s="2">
        <v>2</v>
      </c>
      <c r="EK149" s="2">
        <v>67</v>
      </c>
      <c r="EL149" s="2" t="s">
        <v>217</v>
      </c>
      <c r="EM149" s="2" t="s">
        <v>218</v>
      </c>
      <c r="EN149" s="2"/>
      <c r="EO149" s="2" t="s">
        <v>3</v>
      </c>
      <c r="EP149" s="2"/>
      <c r="EQ149" s="2">
        <v>0</v>
      </c>
      <c r="ER149" s="2">
        <v>0</v>
      </c>
      <c r="ES149" s="2">
        <v>7061.54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97</v>
      </c>
      <c r="FY149" s="2">
        <v>51</v>
      </c>
      <c r="FZ149" s="2"/>
      <c r="GA149" s="2" t="s">
        <v>267</v>
      </c>
      <c r="GB149" s="2"/>
      <c r="GC149" s="2"/>
      <c r="GD149" s="2">
        <v>1</v>
      </c>
      <c r="GE149" s="2"/>
      <c r="GF149" s="2">
        <v>-1425931855</v>
      </c>
      <c r="GG149" s="2">
        <v>2</v>
      </c>
      <c r="GH149" s="2">
        <v>4</v>
      </c>
      <c r="GI149" s="2">
        <v>0</v>
      </c>
      <c r="GJ149" s="2">
        <v>0</v>
      </c>
      <c r="GK149" s="2">
        <v>0</v>
      </c>
      <c r="GL149" s="2">
        <f t="shared" si="125"/>
        <v>0</v>
      </c>
      <c r="GM149" s="2">
        <f t="shared" si="126"/>
        <v>720.28</v>
      </c>
      <c r="GN149" s="2">
        <f t="shared" si="127"/>
        <v>0</v>
      </c>
      <c r="GO149" s="2">
        <f t="shared" si="128"/>
        <v>720.28</v>
      </c>
      <c r="GP149" s="2">
        <f t="shared" si="129"/>
        <v>0</v>
      </c>
      <c r="GQ149" s="2"/>
      <c r="GR149" s="2">
        <v>0</v>
      </c>
      <c r="GS149" s="2">
        <v>2</v>
      </c>
      <c r="GT149" s="2">
        <v>0</v>
      </c>
      <c r="GU149" s="2" t="s">
        <v>3</v>
      </c>
      <c r="GV149" s="2">
        <f t="shared" si="130"/>
        <v>0</v>
      </c>
      <c r="GW149" s="2">
        <v>1</v>
      </c>
      <c r="GX149" s="2">
        <f t="shared" si="131"/>
        <v>0</v>
      </c>
      <c r="GY149" s="2"/>
      <c r="GZ149" s="2"/>
      <c r="HA149" s="2">
        <v>0</v>
      </c>
      <c r="HB149" s="2">
        <v>0</v>
      </c>
      <c r="HC149" s="2">
        <f t="shared" si="132"/>
        <v>0</v>
      </c>
      <c r="HD149" s="2"/>
      <c r="HE149" s="2" t="s">
        <v>93</v>
      </c>
      <c r="HF149" s="2" t="s">
        <v>31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18</v>
      </c>
      <c r="B150">
        <v>1</v>
      </c>
      <c r="C150">
        <v>178</v>
      </c>
      <c r="E150" t="s">
        <v>264</v>
      </c>
      <c r="F150" t="s">
        <v>265</v>
      </c>
      <c r="G150" t="s">
        <v>266</v>
      </c>
      <c r="H150" t="s">
        <v>256</v>
      </c>
      <c r="I150">
        <f>I148*J150</f>
        <v>0.10199999999999999</v>
      </c>
      <c r="J150">
        <v>0.10199999999999999</v>
      </c>
      <c r="K150">
        <v>0.10199999999999999</v>
      </c>
      <c r="O150">
        <f t="shared" si="102"/>
        <v>7116.37</v>
      </c>
      <c r="P150">
        <f t="shared" si="103"/>
        <v>7116.37</v>
      </c>
      <c r="Q150">
        <f>(ROUND((ROUND(((ET150)*AV150*I150),2)*BB150),2)+ROUND((ROUND(((AE150-(EU150))*AV150*I150),2)*BS150),2))</f>
        <v>0</v>
      </c>
      <c r="R150">
        <f t="shared" si="104"/>
        <v>0</v>
      </c>
      <c r="S150">
        <f t="shared" si="105"/>
        <v>0</v>
      </c>
      <c r="T150">
        <f t="shared" si="106"/>
        <v>0</v>
      </c>
      <c r="U150">
        <f t="shared" si="107"/>
        <v>0</v>
      </c>
      <c r="V150">
        <f t="shared" si="108"/>
        <v>0</v>
      </c>
      <c r="W150">
        <f t="shared" si="109"/>
        <v>0</v>
      </c>
      <c r="X150">
        <f t="shared" si="110"/>
        <v>0</v>
      </c>
      <c r="Y150">
        <f t="shared" si="111"/>
        <v>0</v>
      </c>
      <c r="AA150">
        <v>59213213</v>
      </c>
      <c r="AB150">
        <f t="shared" si="112"/>
        <v>7061.54</v>
      </c>
      <c r="AC150">
        <f>ROUND((ES150),6)</f>
        <v>7061.54</v>
      </c>
      <c r="AD150">
        <f>ROUND((((ET150)-(EU150))+AE150),6)</f>
        <v>0</v>
      </c>
      <c r="AE150">
        <f>ROUND((EU150),6)</f>
        <v>0</v>
      </c>
      <c r="AF150">
        <f>ROUND((EV150),6)</f>
        <v>0</v>
      </c>
      <c r="AG150">
        <f t="shared" si="113"/>
        <v>0</v>
      </c>
      <c r="AH150">
        <f>(EW150)</f>
        <v>0</v>
      </c>
      <c r="AI150">
        <f>(EX150)</f>
        <v>0</v>
      </c>
      <c r="AJ150">
        <f t="shared" si="114"/>
        <v>0</v>
      </c>
      <c r="AK150">
        <v>7061.54</v>
      </c>
      <c r="AL150">
        <v>7061.54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97</v>
      </c>
      <c r="AU150">
        <v>51</v>
      </c>
      <c r="AV150">
        <v>1</v>
      </c>
      <c r="AW150">
        <v>1</v>
      </c>
      <c r="AZ150">
        <v>1</v>
      </c>
      <c r="BA150">
        <v>1</v>
      </c>
      <c r="BB150">
        <v>1</v>
      </c>
      <c r="BC150">
        <v>9.8800000000000008</v>
      </c>
      <c r="BD150" t="s">
        <v>3</v>
      </c>
      <c r="BE150" t="s">
        <v>3</v>
      </c>
      <c r="BF150" t="s">
        <v>3</v>
      </c>
      <c r="BG150" t="s">
        <v>3</v>
      </c>
      <c r="BH150">
        <v>3</v>
      </c>
      <c r="BI150">
        <v>2</v>
      </c>
      <c r="BJ150" t="s">
        <v>3</v>
      </c>
      <c r="BM150">
        <v>67</v>
      </c>
      <c r="BN150">
        <v>0</v>
      </c>
      <c r="BO150" t="s">
        <v>3</v>
      </c>
      <c r="BP150">
        <v>0</v>
      </c>
      <c r="BQ150">
        <v>40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97</v>
      </c>
      <c r="CA150">
        <v>51</v>
      </c>
      <c r="CB150" t="s">
        <v>3</v>
      </c>
      <c r="CE150">
        <v>30</v>
      </c>
      <c r="CF150">
        <v>0</v>
      </c>
      <c r="CG150">
        <v>0</v>
      </c>
      <c r="CM150">
        <v>0</v>
      </c>
      <c r="CN150" t="s">
        <v>3</v>
      </c>
      <c r="CO150">
        <v>0</v>
      </c>
      <c r="CP150">
        <f t="shared" si="115"/>
        <v>7116.37</v>
      </c>
      <c r="CQ150">
        <f t="shared" si="116"/>
        <v>69768.02</v>
      </c>
      <c r="CR150">
        <f>(ROUND((ROUND(((ET150)*AV150*1),2)*BB150),2)+ROUND((ROUND(((AE150-(EU150))*AV150*1),2)*BS150),2))</f>
        <v>0</v>
      </c>
      <c r="CS150">
        <f t="shared" si="117"/>
        <v>0</v>
      </c>
      <c r="CT150">
        <f t="shared" si="118"/>
        <v>0</v>
      </c>
      <c r="CU150">
        <f t="shared" si="119"/>
        <v>0</v>
      </c>
      <c r="CV150">
        <f t="shared" si="120"/>
        <v>0</v>
      </c>
      <c r="CW150">
        <f t="shared" si="121"/>
        <v>0</v>
      </c>
      <c r="CX150">
        <f t="shared" si="122"/>
        <v>0</v>
      </c>
      <c r="CY150">
        <f t="shared" si="123"/>
        <v>0</v>
      </c>
      <c r="CZ150">
        <f t="shared" si="124"/>
        <v>0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>
        <v>0</v>
      </c>
      <c r="DO150">
        <v>0</v>
      </c>
      <c r="DP150">
        <v>1</v>
      </c>
      <c r="DQ150">
        <v>1</v>
      </c>
      <c r="DU150">
        <v>1003</v>
      </c>
      <c r="DV150" t="s">
        <v>256</v>
      </c>
      <c r="DW150" t="s">
        <v>256</v>
      </c>
      <c r="DX150">
        <v>1000</v>
      </c>
      <c r="DZ150" t="s">
        <v>3</v>
      </c>
      <c r="EA150" t="s">
        <v>3</v>
      </c>
      <c r="EB150" t="s">
        <v>3</v>
      </c>
      <c r="EC150" t="s">
        <v>3</v>
      </c>
      <c r="EE150">
        <v>58808177</v>
      </c>
      <c r="EF150">
        <v>40</v>
      </c>
      <c r="EG150" t="s">
        <v>27</v>
      </c>
      <c r="EH150">
        <v>0</v>
      </c>
      <c r="EI150" t="s">
        <v>3</v>
      </c>
      <c r="EJ150">
        <v>2</v>
      </c>
      <c r="EK150">
        <v>67</v>
      </c>
      <c r="EL150" t="s">
        <v>217</v>
      </c>
      <c r="EM150" t="s">
        <v>218</v>
      </c>
      <c r="EO150" t="s">
        <v>3</v>
      </c>
      <c r="EQ150">
        <v>0</v>
      </c>
      <c r="ER150">
        <v>7061540</v>
      </c>
      <c r="ES150">
        <v>7061.54</v>
      </c>
      <c r="ET150">
        <v>0</v>
      </c>
      <c r="EU150">
        <v>0</v>
      </c>
      <c r="EV150">
        <v>0</v>
      </c>
      <c r="EW150">
        <v>0</v>
      </c>
      <c r="EX150">
        <v>0</v>
      </c>
      <c r="EZ150">
        <v>5</v>
      </c>
      <c r="FC150">
        <v>1</v>
      </c>
      <c r="FD150">
        <v>18</v>
      </c>
      <c r="FF150">
        <v>82080</v>
      </c>
      <c r="FQ150">
        <v>0</v>
      </c>
      <c r="FR150">
        <v>0</v>
      </c>
      <c r="FS150">
        <v>0</v>
      </c>
      <c r="FX150">
        <v>97</v>
      </c>
      <c r="FY150">
        <v>51</v>
      </c>
      <c r="GA150" t="s">
        <v>267</v>
      </c>
      <c r="GD150">
        <v>1</v>
      </c>
      <c r="GF150">
        <v>-1425931855</v>
      </c>
      <c r="GG150">
        <v>2</v>
      </c>
      <c r="GH150">
        <v>3</v>
      </c>
      <c r="GI150">
        <v>5</v>
      </c>
      <c r="GJ150">
        <v>0</v>
      </c>
      <c r="GK150">
        <v>0</v>
      </c>
      <c r="GL150">
        <f t="shared" si="125"/>
        <v>0</v>
      </c>
      <c r="GM150">
        <f t="shared" si="126"/>
        <v>7116.37</v>
      </c>
      <c r="GN150">
        <f t="shared" si="127"/>
        <v>0</v>
      </c>
      <c r="GO150">
        <f t="shared" si="128"/>
        <v>7116.37</v>
      </c>
      <c r="GP150">
        <f t="shared" si="129"/>
        <v>0</v>
      </c>
      <c r="GR150">
        <v>1</v>
      </c>
      <c r="GS150">
        <v>1</v>
      </c>
      <c r="GT150">
        <v>0</v>
      </c>
      <c r="GU150" t="s">
        <v>3</v>
      </c>
      <c r="GV150">
        <f t="shared" si="130"/>
        <v>0</v>
      </c>
      <c r="GW150">
        <v>1</v>
      </c>
      <c r="GX150">
        <f t="shared" si="131"/>
        <v>0</v>
      </c>
      <c r="HA150">
        <v>0</v>
      </c>
      <c r="HB150">
        <v>0</v>
      </c>
      <c r="HC150">
        <f t="shared" si="132"/>
        <v>0</v>
      </c>
      <c r="HE150" t="s">
        <v>93</v>
      </c>
      <c r="HF150" t="s">
        <v>31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2">
      <c r="A151" s="2">
        <v>17</v>
      </c>
      <c r="B151" s="2">
        <v>1</v>
      </c>
      <c r="C151" s="2">
        <f>ROW(SmtRes!A188)</f>
        <v>188</v>
      </c>
      <c r="D151" s="2">
        <f>ROW(EtalonRes!A208)</f>
        <v>208</v>
      </c>
      <c r="E151" s="2" t="s">
        <v>268</v>
      </c>
      <c r="F151" s="2" t="s">
        <v>269</v>
      </c>
      <c r="G151" s="2" t="s">
        <v>270</v>
      </c>
      <c r="H151" s="2" t="s">
        <v>215</v>
      </c>
      <c r="I151" s="2">
        <f>ROUND(ROUND(870/100,4),9)</f>
        <v>8.6999999999999993</v>
      </c>
      <c r="J151" s="2">
        <v>0</v>
      </c>
      <c r="K151" s="2">
        <f>ROUND(ROUND(870/100,4),9)</f>
        <v>8.6999999999999993</v>
      </c>
      <c r="L151" s="2"/>
      <c r="M151" s="2"/>
      <c r="N151" s="2"/>
      <c r="O151" s="2">
        <f t="shared" si="102"/>
        <v>1256.1400000000001</v>
      </c>
      <c r="P151" s="2">
        <f t="shared" si="103"/>
        <v>539.23</v>
      </c>
      <c r="Q151" s="2">
        <f>(ROUND((ROUND((((ET151*1.1))*AV151*I151),2)*BB151),2)+ROUND((ROUND(((AE151-((EU151*1.1)))*AV151*I151),2)*BS151),2))</f>
        <v>52.6</v>
      </c>
      <c r="R151" s="2">
        <f t="shared" si="104"/>
        <v>5.91</v>
      </c>
      <c r="S151" s="2">
        <f t="shared" si="105"/>
        <v>664.31</v>
      </c>
      <c r="T151" s="2">
        <f t="shared" si="106"/>
        <v>0</v>
      </c>
      <c r="U151" s="2">
        <f t="shared" si="107"/>
        <v>54.006668099999999</v>
      </c>
      <c r="V151" s="2">
        <f t="shared" si="108"/>
        <v>0</v>
      </c>
      <c r="W151" s="2">
        <f t="shared" si="109"/>
        <v>0</v>
      </c>
      <c r="X151" s="2">
        <f t="shared" si="110"/>
        <v>650.11</v>
      </c>
      <c r="Y151" s="2">
        <f t="shared" si="111"/>
        <v>341.81</v>
      </c>
      <c r="Z151" s="2"/>
      <c r="AA151" s="2">
        <v>59213216</v>
      </c>
      <c r="AB151" s="2">
        <f t="shared" si="112"/>
        <v>140.685</v>
      </c>
      <c r="AC151" s="2">
        <f>ROUND(((ES151*1)),6)</f>
        <v>61.98</v>
      </c>
      <c r="AD151" s="2">
        <f>ROUND(((((ET151*1.1))-((EU151*1.1)))+AE151),6)</f>
        <v>5.7750000000000004</v>
      </c>
      <c r="AE151" s="2">
        <f>ROUND(((EU151*1.1)),6)</f>
        <v>0.64900000000000002</v>
      </c>
      <c r="AF151" s="2">
        <f>ROUND(((EV151*1.1)),6)</f>
        <v>72.930000000000007</v>
      </c>
      <c r="AG151" s="2">
        <f t="shared" si="113"/>
        <v>0</v>
      </c>
      <c r="AH151" s="2">
        <f>((EW151*1.1))</f>
        <v>5.9290000000000003</v>
      </c>
      <c r="AI151" s="2">
        <f>((EX151*1.1))</f>
        <v>0</v>
      </c>
      <c r="AJ151" s="2">
        <f t="shared" si="114"/>
        <v>0</v>
      </c>
      <c r="AK151" s="2">
        <v>133.53</v>
      </c>
      <c r="AL151" s="2">
        <v>61.98</v>
      </c>
      <c r="AM151" s="2">
        <v>5.25</v>
      </c>
      <c r="AN151" s="2">
        <v>0.59</v>
      </c>
      <c r="AO151" s="2">
        <v>66.3</v>
      </c>
      <c r="AP151" s="2">
        <v>0</v>
      </c>
      <c r="AQ151" s="2">
        <v>5.39</v>
      </c>
      <c r="AR151" s="2">
        <v>0</v>
      </c>
      <c r="AS151" s="2">
        <v>0</v>
      </c>
      <c r="AT151" s="2">
        <v>97</v>
      </c>
      <c r="AU151" s="2">
        <v>51</v>
      </c>
      <c r="AV151" s="2">
        <v>1.0469999999999999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2</v>
      </c>
      <c r="BJ151" s="2" t="s">
        <v>271</v>
      </c>
      <c r="BK151" s="2"/>
      <c r="BL151" s="2"/>
      <c r="BM151" s="2">
        <v>67</v>
      </c>
      <c r="BN151" s="2">
        <v>58808062</v>
      </c>
      <c r="BO151" s="2" t="s">
        <v>269</v>
      </c>
      <c r="BP151" s="2">
        <v>1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97</v>
      </c>
      <c r="CA151" s="2">
        <v>51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492</v>
      </c>
      <c r="CO151" s="2">
        <v>0</v>
      </c>
      <c r="CP151" s="2">
        <f t="shared" si="115"/>
        <v>1256.1399999999999</v>
      </c>
      <c r="CQ151" s="2">
        <f t="shared" si="116"/>
        <v>61.98</v>
      </c>
      <c r="CR151" s="2">
        <f>(ROUND((ROUND((((ET151*1.1))*AV151*1),2)*BB151),2)+ROUND((ROUND(((AE151-((EU151*1.1)))*AV151*1),2)*BS151),2))</f>
        <v>6.05</v>
      </c>
      <c r="CS151" s="2">
        <f t="shared" si="117"/>
        <v>0.68</v>
      </c>
      <c r="CT151" s="2">
        <f t="shared" si="118"/>
        <v>76.36</v>
      </c>
      <c r="CU151" s="2">
        <f t="shared" si="119"/>
        <v>0</v>
      </c>
      <c r="CV151" s="2">
        <f t="shared" si="120"/>
        <v>6.2076630000000002</v>
      </c>
      <c r="CW151" s="2">
        <f t="shared" si="121"/>
        <v>0</v>
      </c>
      <c r="CX151" s="2">
        <f t="shared" si="122"/>
        <v>0</v>
      </c>
      <c r="CY151" s="2">
        <f t="shared" si="123"/>
        <v>650.11339999999984</v>
      </c>
      <c r="CZ151" s="2">
        <f t="shared" si="124"/>
        <v>341.81219999999996</v>
      </c>
      <c r="DA151" s="2"/>
      <c r="DB151" s="2">
        <v>41</v>
      </c>
      <c r="DC151" s="2" t="s">
        <v>3</v>
      </c>
      <c r="DD151" s="2" t="s">
        <v>25</v>
      </c>
      <c r="DE151" s="2" t="s">
        <v>26</v>
      </c>
      <c r="DF151" s="2" t="s">
        <v>26</v>
      </c>
      <c r="DG151" s="2" t="s">
        <v>26</v>
      </c>
      <c r="DH151" s="2" t="s">
        <v>3</v>
      </c>
      <c r="DI151" s="2" t="s">
        <v>26</v>
      </c>
      <c r="DJ151" s="2" t="s">
        <v>26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1003</v>
      </c>
      <c r="DV151" s="2" t="s">
        <v>215</v>
      </c>
      <c r="DW151" s="2" t="s">
        <v>215</v>
      </c>
      <c r="DX151" s="2">
        <v>100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58808177</v>
      </c>
      <c r="EF151" s="2">
        <v>40</v>
      </c>
      <c r="EG151" s="2" t="s">
        <v>27</v>
      </c>
      <c r="EH151" s="2">
        <v>0</v>
      </c>
      <c r="EI151" s="2" t="s">
        <v>3</v>
      </c>
      <c r="EJ151" s="2">
        <v>2</v>
      </c>
      <c r="EK151" s="2">
        <v>67</v>
      </c>
      <c r="EL151" s="2" t="s">
        <v>217</v>
      </c>
      <c r="EM151" s="2" t="s">
        <v>218</v>
      </c>
      <c r="EN151" s="2"/>
      <c r="EO151" s="2" t="s">
        <v>30</v>
      </c>
      <c r="EP151" s="2"/>
      <c r="EQ151" s="2">
        <v>0</v>
      </c>
      <c r="ER151" s="2">
        <v>133.53</v>
      </c>
      <c r="ES151" s="2">
        <v>61.98</v>
      </c>
      <c r="ET151" s="2">
        <v>5.25</v>
      </c>
      <c r="EU151" s="2">
        <v>0.59</v>
      </c>
      <c r="EV151" s="2">
        <v>66.3</v>
      </c>
      <c r="EW151" s="2">
        <v>5.39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97</v>
      </c>
      <c r="FY151" s="2">
        <v>51</v>
      </c>
      <c r="FZ151" s="2"/>
      <c r="GA151" s="2" t="s">
        <v>3</v>
      </c>
      <c r="GB151" s="2"/>
      <c r="GC151" s="2"/>
      <c r="GD151" s="2">
        <v>1</v>
      </c>
      <c r="GE151" s="2"/>
      <c r="GF151" s="2">
        <v>-1822715932</v>
      </c>
      <c r="GG151" s="2">
        <v>2</v>
      </c>
      <c r="GH151" s="2">
        <v>1</v>
      </c>
      <c r="GI151" s="2">
        <v>2</v>
      </c>
      <c r="GJ151" s="2">
        <v>0</v>
      </c>
      <c r="GK151" s="2">
        <v>0</v>
      </c>
      <c r="GL151" s="2">
        <f t="shared" si="125"/>
        <v>0</v>
      </c>
      <c r="GM151" s="2">
        <f t="shared" si="126"/>
        <v>2248.06</v>
      </c>
      <c r="GN151" s="2">
        <f t="shared" si="127"/>
        <v>0</v>
      </c>
      <c r="GO151" s="2">
        <f t="shared" si="128"/>
        <v>2248.06</v>
      </c>
      <c r="GP151" s="2">
        <f t="shared" si="129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30"/>
        <v>0</v>
      </c>
      <c r="GW151" s="2">
        <v>1</v>
      </c>
      <c r="GX151" s="2">
        <f t="shared" si="131"/>
        <v>0</v>
      </c>
      <c r="GY151" s="2"/>
      <c r="GZ151" s="2"/>
      <c r="HA151" s="2">
        <v>0</v>
      </c>
      <c r="HB151" s="2">
        <v>0</v>
      </c>
      <c r="HC151" s="2">
        <f t="shared" si="132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C152">
        <f>ROW(SmtRes!A198)</f>
        <v>198</v>
      </c>
      <c r="D152">
        <f>ROW(EtalonRes!A218)</f>
        <v>218</v>
      </c>
      <c r="E152" t="s">
        <v>268</v>
      </c>
      <c r="F152" t="s">
        <v>269</v>
      </c>
      <c r="G152" t="s">
        <v>270</v>
      </c>
      <c r="H152" t="s">
        <v>215</v>
      </c>
      <c r="I152">
        <f>ROUND(ROUND(870/100,4),9)</f>
        <v>8.6999999999999993</v>
      </c>
      <c r="J152">
        <v>0</v>
      </c>
      <c r="K152">
        <f>ROUND(ROUND(870/100,4),9)</f>
        <v>8.6999999999999993</v>
      </c>
      <c r="O152">
        <f t="shared" si="102"/>
        <v>39737.919999999998</v>
      </c>
      <c r="P152">
        <f t="shared" si="103"/>
        <v>2442.71</v>
      </c>
      <c r="Q152">
        <f>(ROUND((ROUND((((ET152*1.1))*AV152*I152),2)*BB152),2)+ROUND((ROUND(((AE152-((EU152*1.1)))*AV152*I152),2)*BS152),2))</f>
        <v>764.8</v>
      </c>
      <c r="R152">
        <f t="shared" si="104"/>
        <v>324.99</v>
      </c>
      <c r="S152">
        <f t="shared" si="105"/>
        <v>36530.410000000003</v>
      </c>
      <c r="T152">
        <f t="shared" si="106"/>
        <v>0</v>
      </c>
      <c r="U152">
        <f t="shared" si="107"/>
        <v>54.006668099999999</v>
      </c>
      <c r="V152">
        <f t="shared" si="108"/>
        <v>0</v>
      </c>
      <c r="W152">
        <f t="shared" si="109"/>
        <v>0</v>
      </c>
      <c r="X152">
        <f t="shared" si="110"/>
        <v>35749.74</v>
      </c>
      <c r="Y152">
        <f t="shared" si="111"/>
        <v>18796.25</v>
      </c>
      <c r="AA152">
        <v>59213213</v>
      </c>
      <c r="AB152">
        <f t="shared" si="112"/>
        <v>140.685</v>
      </c>
      <c r="AC152">
        <f>ROUND(((ES152*1)),6)</f>
        <v>61.98</v>
      </c>
      <c r="AD152">
        <f>ROUND(((((ET152*1.1))-((EU152*1.1)))+AE152),6)</f>
        <v>5.7750000000000004</v>
      </c>
      <c r="AE152">
        <f>ROUND(((EU152*1.1)),6)</f>
        <v>0.64900000000000002</v>
      </c>
      <c r="AF152">
        <f>ROUND(((EV152*1.1)),6)</f>
        <v>72.930000000000007</v>
      </c>
      <c r="AG152">
        <f t="shared" si="113"/>
        <v>0</v>
      </c>
      <c r="AH152">
        <f>((EW152*1.1))</f>
        <v>5.9290000000000003</v>
      </c>
      <c r="AI152">
        <f>((EX152*1.1))</f>
        <v>0</v>
      </c>
      <c r="AJ152">
        <f t="shared" si="114"/>
        <v>0</v>
      </c>
      <c r="AK152">
        <v>133.53</v>
      </c>
      <c r="AL152">
        <v>61.98</v>
      </c>
      <c r="AM152">
        <v>5.25</v>
      </c>
      <c r="AN152">
        <v>0.59</v>
      </c>
      <c r="AO152">
        <v>66.3</v>
      </c>
      <c r="AP152">
        <v>0</v>
      </c>
      <c r="AQ152">
        <v>5.39</v>
      </c>
      <c r="AR152">
        <v>0</v>
      </c>
      <c r="AS152">
        <v>0</v>
      </c>
      <c r="AT152">
        <v>97</v>
      </c>
      <c r="AU152">
        <v>51</v>
      </c>
      <c r="AV152">
        <v>1.0469999999999999</v>
      </c>
      <c r="AW152">
        <v>1</v>
      </c>
      <c r="AZ152">
        <v>1</v>
      </c>
      <c r="BA152">
        <v>54.99</v>
      </c>
      <c r="BB152">
        <v>14.54</v>
      </c>
      <c r="BC152">
        <v>4.53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2</v>
      </c>
      <c r="BJ152" t="s">
        <v>271</v>
      </c>
      <c r="BM152">
        <v>67</v>
      </c>
      <c r="BN152">
        <v>58808062</v>
      </c>
      <c r="BO152" t="s">
        <v>269</v>
      </c>
      <c r="BP152">
        <v>1</v>
      </c>
      <c r="BQ152">
        <v>40</v>
      </c>
      <c r="BR152">
        <v>0</v>
      </c>
      <c r="BS152">
        <v>54.99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97</v>
      </c>
      <c r="CA152">
        <v>51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492</v>
      </c>
      <c r="CO152">
        <v>0</v>
      </c>
      <c r="CP152">
        <f t="shared" si="115"/>
        <v>39737.920000000006</v>
      </c>
      <c r="CQ152">
        <f t="shared" si="116"/>
        <v>280.77</v>
      </c>
      <c r="CR152">
        <f>(ROUND((ROUND((((ET152*1.1))*AV152*1),2)*BB152),2)+ROUND((ROUND(((AE152-((EU152*1.1)))*AV152*1),2)*BS152),2))</f>
        <v>87.97</v>
      </c>
      <c r="CS152">
        <f t="shared" si="117"/>
        <v>37.39</v>
      </c>
      <c r="CT152">
        <f t="shared" si="118"/>
        <v>4199.04</v>
      </c>
      <c r="CU152">
        <f t="shared" si="119"/>
        <v>0</v>
      </c>
      <c r="CV152">
        <f t="shared" si="120"/>
        <v>6.2076630000000002</v>
      </c>
      <c r="CW152">
        <f t="shared" si="121"/>
        <v>0</v>
      </c>
      <c r="CX152">
        <f t="shared" si="122"/>
        <v>0</v>
      </c>
      <c r="CY152">
        <f t="shared" si="123"/>
        <v>35749.738000000005</v>
      </c>
      <c r="CZ152">
        <f t="shared" si="124"/>
        <v>18796.254000000001</v>
      </c>
      <c r="DB152">
        <v>42</v>
      </c>
      <c r="DC152" t="s">
        <v>3</v>
      </c>
      <c r="DD152" t="s">
        <v>25</v>
      </c>
      <c r="DE152" t="s">
        <v>26</v>
      </c>
      <c r="DF152" t="s">
        <v>26</v>
      </c>
      <c r="DG152" t="s">
        <v>26</v>
      </c>
      <c r="DH152" t="s">
        <v>3</v>
      </c>
      <c r="DI152" t="s">
        <v>26</v>
      </c>
      <c r="DJ152" t="s">
        <v>26</v>
      </c>
      <c r="DK152" t="s">
        <v>3</v>
      </c>
      <c r="DL152" t="s">
        <v>3</v>
      </c>
      <c r="DM152" t="s">
        <v>3</v>
      </c>
      <c r="DN152">
        <v>0</v>
      </c>
      <c r="DO152">
        <v>0</v>
      </c>
      <c r="DP152">
        <v>1</v>
      </c>
      <c r="DQ152">
        <v>1</v>
      </c>
      <c r="DU152">
        <v>1003</v>
      </c>
      <c r="DV152" t="s">
        <v>215</v>
      </c>
      <c r="DW152" t="s">
        <v>215</v>
      </c>
      <c r="DX152">
        <v>100</v>
      </c>
      <c r="DZ152" t="s">
        <v>3</v>
      </c>
      <c r="EA152" t="s">
        <v>3</v>
      </c>
      <c r="EB152" t="s">
        <v>3</v>
      </c>
      <c r="EC152" t="s">
        <v>3</v>
      </c>
      <c r="EE152">
        <v>58808177</v>
      </c>
      <c r="EF152">
        <v>40</v>
      </c>
      <c r="EG152" t="s">
        <v>27</v>
      </c>
      <c r="EH152">
        <v>0</v>
      </c>
      <c r="EI152" t="s">
        <v>3</v>
      </c>
      <c r="EJ152">
        <v>2</v>
      </c>
      <c r="EK152">
        <v>67</v>
      </c>
      <c r="EL152" t="s">
        <v>217</v>
      </c>
      <c r="EM152" t="s">
        <v>218</v>
      </c>
      <c r="EO152" t="s">
        <v>30</v>
      </c>
      <c r="EQ152">
        <v>0</v>
      </c>
      <c r="ER152">
        <v>133.53</v>
      </c>
      <c r="ES152">
        <v>61.98</v>
      </c>
      <c r="ET152">
        <v>5.25</v>
      </c>
      <c r="EU152">
        <v>0.59</v>
      </c>
      <c r="EV152">
        <v>66.3</v>
      </c>
      <c r="EW152">
        <v>5.39</v>
      </c>
      <c r="EX152">
        <v>0</v>
      </c>
      <c r="EY152">
        <v>0</v>
      </c>
      <c r="FQ152">
        <v>0</v>
      </c>
      <c r="FR152">
        <v>0</v>
      </c>
      <c r="FS152">
        <v>0</v>
      </c>
      <c r="FX152">
        <v>97</v>
      </c>
      <c r="FY152">
        <v>51</v>
      </c>
      <c r="GA152" t="s">
        <v>3</v>
      </c>
      <c r="GD152">
        <v>1</v>
      </c>
      <c r="GF152">
        <v>-1822715932</v>
      </c>
      <c r="GG152">
        <v>2</v>
      </c>
      <c r="GH152">
        <v>1</v>
      </c>
      <c r="GI152">
        <v>2</v>
      </c>
      <c r="GJ152">
        <v>0</v>
      </c>
      <c r="GK152">
        <v>0</v>
      </c>
      <c r="GL152">
        <f t="shared" si="125"/>
        <v>0</v>
      </c>
      <c r="GM152">
        <f t="shared" si="126"/>
        <v>94283.91</v>
      </c>
      <c r="GN152">
        <f t="shared" si="127"/>
        <v>0</v>
      </c>
      <c r="GO152">
        <f t="shared" si="128"/>
        <v>94283.91</v>
      </c>
      <c r="GP152">
        <f t="shared" si="129"/>
        <v>0</v>
      </c>
      <c r="GR152">
        <v>0</v>
      </c>
      <c r="GS152">
        <v>3</v>
      </c>
      <c r="GT152">
        <v>0</v>
      </c>
      <c r="GU152" t="s">
        <v>3</v>
      </c>
      <c r="GV152">
        <f t="shared" si="130"/>
        <v>0</v>
      </c>
      <c r="GW152">
        <v>1</v>
      </c>
      <c r="GX152">
        <f t="shared" si="131"/>
        <v>0</v>
      </c>
      <c r="HA152">
        <v>0</v>
      </c>
      <c r="HB152">
        <v>0</v>
      </c>
      <c r="HC152">
        <f t="shared" si="132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2">
      <c r="A153" s="2">
        <v>18</v>
      </c>
      <c r="B153" s="2">
        <v>1</v>
      </c>
      <c r="C153" s="2">
        <v>188</v>
      </c>
      <c r="D153" s="2"/>
      <c r="E153" s="2" t="s">
        <v>272</v>
      </c>
      <c r="F153" s="2" t="s">
        <v>273</v>
      </c>
      <c r="G153" s="2" t="s">
        <v>274</v>
      </c>
      <c r="H153" s="2" t="s">
        <v>256</v>
      </c>
      <c r="I153" s="2">
        <f>I151*J153</f>
        <v>0.88739999999999997</v>
      </c>
      <c r="J153" s="2">
        <v>0.10200000000000001</v>
      </c>
      <c r="K153" s="2">
        <v>0.10199999999999999</v>
      </c>
      <c r="L153" s="2"/>
      <c r="M153" s="2"/>
      <c r="N153" s="2"/>
      <c r="O153" s="2">
        <f t="shared" si="102"/>
        <v>1425.74</v>
      </c>
      <c r="P153" s="2">
        <f t="shared" si="103"/>
        <v>1425.74</v>
      </c>
      <c r="Q153" s="2">
        <f>(ROUND((ROUND(((ET153)*AV153*I153),2)*BB153),2)+ROUND((ROUND(((AE153-(EU153))*AV153*I153),2)*BS153),2))</f>
        <v>0</v>
      </c>
      <c r="R153" s="2">
        <f t="shared" si="104"/>
        <v>0</v>
      </c>
      <c r="S153" s="2">
        <f t="shared" si="105"/>
        <v>0</v>
      </c>
      <c r="T153" s="2">
        <f t="shared" si="106"/>
        <v>0</v>
      </c>
      <c r="U153" s="2">
        <f t="shared" si="107"/>
        <v>0</v>
      </c>
      <c r="V153" s="2">
        <f t="shared" si="108"/>
        <v>0</v>
      </c>
      <c r="W153" s="2">
        <f t="shared" si="109"/>
        <v>0</v>
      </c>
      <c r="X153" s="2">
        <f t="shared" si="110"/>
        <v>0</v>
      </c>
      <c r="Y153" s="2">
        <f t="shared" si="111"/>
        <v>0</v>
      </c>
      <c r="Z153" s="2"/>
      <c r="AA153" s="2">
        <v>59213216</v>
      </c>
      <c r="AB153" s="2">
        <f t="shared" si="112"/>
        <v>1606.65</v>
      </c>
      <c r="AC153" s="2">
        <f>ROUND((ES153),6)</f>
        <v>1606.65</v>
      </c>
      <c r="AD153" s="2">
        <f>ROUND((((ET153)-(EU153))+AE153),6)</f>
        <v>0</v>
      </c>
      <c r="AE153" s="2">
        <f>ROUND((EU153),6)</f>
        <v>0</v>
      </c>
      <c r="AF153" s="2">
        <f>ROUND((EV153),6)</f>
        <v>0</v>
      </c>
      <c r="AG153" s="2">
        <f t="shared" si="113"/>
        <v>0</v>
      </c>
      <c r="AH153" s="2">
        <f>(EW153)</f>
        <v>0</v>
      </c>
      <c r="AI153" s="2">
        <f>(EX153)</f>
        <v>0</v>
      </c>
      <c r="AJ153" s="2">
        <f t="shared" si="114"/>
        <v>0</v>
      </c>
      <c r="AK153" s="2">
        <v>1606.65</v>
      </c>
      <c r="AL153" s="2">
        <v>1606.65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97</v>
      </c>
      <c r="AU153" s="2">
        <v>51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2</v>
      </c>
      <c r="BJ153" s="2" t="s">
        <v>3</v>
      </c>
      <c r="BK153" s="2"/>
      <c r="BL153" s="2"/>
      <c r="BM153" s="2">
        <v>67</v>
      </c>
      <c r="BN153" s="2">
        <v>0</v>
      </c>
      <c r="BO153" s="2" t="s">
        <v>3</v>
      </c>
      <c r="BP153" s="2">
        <v>0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97</v>
      </c>
      <c r="CA153" s="2">
        <v>51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15"/>
        <v>1425.74</v>
      </c>
      <c r="CQ153" s="2">
        <f t="shared" si="116"/>
        <v>1606.65</v>
      </c>
      <c r="CR153" s="2">
        <f>(ROUND((ROUND(((ET153)*AV153*1),2)*BB153),2)+ROUND((ROUND(((AE153-(EU153))*AV153*1),2)*BS153),2))</f>
        <v>0</v>
      </c>
      <c r="CS153" s="2">
        <f t="shared" si="117"/>
        <v>0</v>
      </c>
      <c r="CT153" s="2">
        <f t="shared" si="118"/>
        <v>0</v>
      </c>
      <c r="CU153" s="2">
        <f t="shared" si="119"/>
        <v>0</v>
      </c>
      <c r="CV153" s="2">
        <f t="shared" si="120"/>
        <v>0</v>
      </c>
      <c r="CW153" s="2">
        <f t="shared" si="121"/>
        <v>0</v>
      </c>
      <c r="CX153" s="2">
        <f t="shared" si="122"/>
        <v>0</v>
      </c>
      <c r="CY153" s="2">
        <f t="shared" si="123"/>
        <v>0</v>
      </c>
      <c r="CZ153" s="2">
        <f t="shared" si="124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1003</v>
      </c>
      <c r="DV153" s="2" t="s">
        <v>256</v>
      </c>
      <c r="DW153" s="2" t="s">
        <v>256</v>
      </c>
      <c r="DX153" s="2">
        <v>1000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58808177</v>
      </c>
      <c r="EF153" s="2">
        <v>40</v>
      </c>
      <c r="EG153" s="2" t="s">
        <v>27</v>
      </c>
      <c r="EH153" s="2">
        <v>0</v>
      </c>
      <c r="EI153" s="2" t="s">
        <v>3</v>
      </c>
      <c r="EJ153" s="2">
        <v>2</v>
      </c>
      <c r="EK153" s="2">
        <v>67</v>
      </c>
      <c r="EL153" s="2" t="s">
        <v>217</v>
      </c>
      <c r="EM153" s="2" t="s">
        <v>218</v>
      </c>
      <c r="EN153" s="2"/>
      <c r="EO153" s="2" t="s">
        <v>3</v>
      </c>
      <c r="EP153" s="2"/>
      <c r="EQ153" s="2">
        <v>0</v>
      </c>
      <c r="ER153" s="2">
        <v>0</v>
      </c>
      <c r="ES153" s="2">
        <v>1606.65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97</v>
      </c>
      <c r="FY153" s="2">
        <v>51</v>
      </c>
      <c r="FZ153" s="2"/>
      <c r="GA153" s="2" t="s">
        <v>275</v>
      </c>
      <c r="GB153" s="2"/>
      <c r="GC153" s="2"/>
      <c r="GD153" s="2">
        <v>1</v>
      </c>
      <c r="GE153" s="2"/>
      <c r="GF153" s="2">
        <v>494778067</v>
      </c>
      <c r="GG153" s="2">
        <v>2</v>
      </c>
      <c r="GH153" s="2">
        <v>4</v>
      </c>
      <c r="GI153" s="2">
        <v>0</v>
      </c>
      <c r="GJ153" s="2">
        <v>0</v>
      </c>
      <c r="GK153" s="2">
        <v>0</v>
      </c>
      <c r="GL153" s="2">
        <f t="shared" si="125"/>
        <v>0</v>
      </c>
      <c r="GM153" s="2">
        <f t="shared" si="126"/>
        <v>1425.74</v>
      </c>
      <c r="GN153" s="2">
        <f t="shared" si="127"/>
        <v>0</v>
      </c>
      <c r="GO153" s="2">
        <f t="shared" si="128"/>
        <v>1425.74</v>
      </c>
      <c r="GP153" s="2">
        <f t="shared" si="129"/>
        <v>0</v>
      </c>
      <c r="GQ153" s="2"/>
      <c r="GR153" s="2">
        <v>2</v>
      </c>
      <c r="GS153" s="2">
        <v>2</v>
      </c>
      <c r="GT153" s="2">
        <v>0</v>
      </c>
      <c r="GU153" s="2" t="s">
        <v>3</v>
      </c>
      <c r="GV153" s="2">
        <f t="shared" si="130"/>
        <v>0</v>
      </c>
      <c r="GW153" s="2">
        <v>1</v>
      </c>
      <c r="GX153" s="2">
        <f t="shared" si="131"/>
        <v>0</v>
      </c>
      <c r="GY153" s="2"/>
      <c r="GZ153" s="2"/>
      <c r="HA153" s="2">
        <v>0</v>
      </c>
      <c r="HB153" s="2">
        <v>0</v>
      </c>
      <c r="HC153" s="2">
        <f t="shared" si="132"/>
        <v>0</v>
      </c>
      <c r="HD153" s="2"/>
      <c r="HE153" s="2" t="s">
        <v>93</v>
      </c>
      <c r="HF153" s="2" t="s">
        <v>31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>
        <v>18</v>
      </c>
      <c r="B154">
        <v>1</v>
      </c>
      <c r="C154">
        <v>198</v>
      </c>
      <c r="E154" t="s">
        <v>272</v>
      </c>
      <c r="F154" t="s">
        <v>273</v>
      </c>
      <c r="G154" t="s">
        <v>274</v>
      </c>
      <c r="H154" t="s">
        <v>256</v>
      </c>
      <c r="I154">
        <f>I152*J154</f>
        <v>0.88739999999999997</v>
      </c>
      <c r="J154">
        <v>0.10200000000000001</v>
      </c>
      <c r="K154">
        <v>0.10199999999999999</v>
      </c>
      <c r="O154">
        <f t="shared" si="102"/>
        <v>14086.31</v>
      </c>
      <c r="P154">
        <f t="shared" si="103"/>
        <v>14086.31</v>
      </c>
      <c r="Q154">
        <f>(ROUND((ROUND(((ET154)*AV154*I154),2)*BB154),2)+ROUND((ROUND(((AE154-(EU154))*AV154*I154),2)*BS154),2))</f>
        <v>0</v>
      </c>
      <c r="R154">
        <f t="shared" si="104"/>
        <v>0</v>
      </c>
      <c r="S154">
        <f t="shared" si="105"/>
        <v>0</v>
      </c>
      <c r="T154">
        <f t="shared" si="106"/>
        <v>0</v>
      </c>
      <c r="U154">
        <f t="shared" si="107"/>
        <v>0</v>
      </c>
      <c r="V154">
        <f t="shared" si="108"/>
        <v>0</v>
      </c>
      <c r="W154">
        <f t="shared" si="109"/>
        <v>0</v>
      </c>
      <c r="X154">
        <f t="shared" si="110"/>
        <v>0</v>
      </c>
      <c r="Y154">
        <f t="shared" si="111"/>
        <v>0</v>
      </c>
      <c r="AA154">
        <v>59213213</v>
      </c>
      <c r="AB154">
        <f t="shared" si="112"/>
        <v>1606.65</v>
      </c>
      <c r="AC154">
        <f>ROUND((ES154),6)</f>
        <v>1606.65</v>
      </c>
      <c r="AD154">
        <f>ROUND((((ET154)-(EU154))+AE154),6)</f>
        <v>0</v>
      </c>
      <c r="AE154">
        <f>ROUND((EU154),6)</f>
        <v>0</v>
      </c>
      <c r="AF154">
        <f>ROUND((EV154),6)</f>
        <v>0</v>
      </c>
      <c r="AG154">
        <f t="shared" si="113"/>
        <v>0</v>
      </c>
      <c r="AH154">
        <f>(EW154)</f>
        <v>0</v>
      </c>
      <c r="AI154">
        <f>(EX154)</f>
        <v>0</v>
      </c>
      <c r="AJ154">
        <f t="shared" si="114"/>
        <v>0</v>
      </c>
      <c r="AK154">
        <v>1606.65</v>
      </c>
      <c r="AL154">
        <v>1606.65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97</v>
      </c>
      <c r="AU154">
        <v>51</v>
      </c>
      <c r="AV154">
        <v>1</v>
      </c>
      <c r="AW154">
        <v>1</v>
      </c>
      <c r="AZ154">
        <v>1</v>
      </c>
      <c r="BA154">
        <v>1</v>
      </c>
      <c r="BB154">
        <v>1</v>
      </c>
      <c r="BC154">
        <v>9.8800000000000008</v>
      </c>
      <c r="BD154" t="s">
        <v>3</v>
      </c>
      <c r="BE154" t="s">
        <v>3</v>
      </c>
      <c r="BF154" t="s">
        <v>3</v>
      </c>
      <c r="BG154" t="s">
        <v>3</v>
      </c>
      <c r="BH154">
        <v>3</v>
      </c>
      <c r="BI154">
        <v>2</v>
      </c>
      <c r="BJ154" t="s">
        <v>3</v>
      </c>
      <c r="BM154">
        <v>67</v>
      </c>
      <c r="BN154">
        <v>0</v>
      </c>
      <c r="BO154" t="s">
        <v>3</v>
      </c>
      <c r="BP154">
        <v>0</v>
      </c>
      <c r="BQ154">
        <v>40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97</v>
      </c>
      <c r="CA154">
        <v>51</v>
      </c>
      <c r="CB154" t="s">
        <v>3</v>
      </c>
      <c r="CE154">
        <v>30</v>
      </c>
      <c r="CF154">
        <v>0</v>
      </c>
      <c r="CG154">
        <v>0</v>
      </c>
      <c r="CM154">
        <v>0</v>
      </c>
      <c r="CN154" t="s">
        <v>3</v>
      </c>
      <c r="CO154">
        <v>0</v>
      </c>
      <c r="CP154">
        <f t="shared" si="115"/>
        <v>14086.31</v>
      </c>
      <c r="CQ154">
        <f t="shared" si="116"/>
        <v>15873.7</v>
      </c>
      <c r="CR154">
        <f>(ROUND((ROUND(((ET154)*AV154*1),2)*BB154),2)+ROUND((ROUND(((AE154-(EU154))*AV154*1),2)*BS154),2))</f>
        <v>0</v>
      </c>
      <c r="CS154">
        <f t="shared" si="117"/>
        <v>0</v>
      </c>
      <c r="CT154">
        <f t="shared" si="118"/>
        <v>0</v>
      </c>
      <c r="CU154">
        <f t="shared" si="119"/>
        <v>0</v>
      </c>
      <c r="CV154">
        <f t="shared" si="120"/>
        <v>0</v>
      </c>
      <c r="CW154">
        <f t="shared" si="121"/>
        <v>0</v>
      </c>
      <c r="CX154">
        <f t="shared" si="122"/>
        <v>0</v>
      </c>
      <c r="CY154">
        <f t="shared" si="123"/>
        <v>0</v>
      </c>
      <c r="CZ154">
        <f t="shared" si="124"/>
        <v>0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>
        <v>0</v>
      </c>
      <c r="DO154">
        <v>0</v>
      </c>
      <c r="DP154">
        <v>1</v>
      </c>
      <c r="DQ154">
        <v>1</v>
      </c>
      <c r="DU154">
        <v>1003</v>
      </c>
      <c r="DV154" t="s">
        <v>256</v>
      </c>
      <c r="DW154" t="s">
        <v>256</v>
      </c>
      <c r="DX154">
        <v>1000</v>
      </c>
      <c r="DZ154" t="s">
        <v>3</v>
      </c>
      <c r="EA154" t="s">
        <v>3</v>
      </c>
      <c r="EB154" t="s">
        <v>3</v>
      </c>
      <c r="EC154" t="s">
        <v>3</v>
      </c>
      <c r="EE154">
        <v>58808177</v>
      </c>
      <c r="EF154">
        <v>40</v>
      </c>
      <c r="EG154" t="s">
        <v>27</v>
      </c>
      <c r="EH154">
        <v>0</v>
      </c>
      <c r="EI154" t="s">
        <v>3</v>
      </c>
      <c r="EJ154">
        <v>2</v>
      </c>
      <c r="EK154">
        <v>67</v>
      </c>
      <c r="EL154" t="s">
        <v>217</v>
      </c>
      <c r="EM154" t="s">
        <v>218</v>
      </c>
      <c r="EO154" t="s">
        <v>3</v>
      </c>
      <c r="EQ154">
        <v>0</v>
      </c>
      <c r="ER154">
        <v>0</v>
      </c>
      <c r="ES154">
        <v>1606.65</v>
      </c>
      <c r="ET154">
        <v>0</v>
      </c>
      <c r="EU154">
        <v>0</v>
      </c>
      <c r="EV154">
        <v>0</v>
      </c>
      <c r="EW154">
        <v>0</v>
      </c>
      <c r="EX154">
        <v>0</v>
      </c>
      <c r="EZ154">
        <v>5</v>
      </c>
      <c r="FC154">
        <v>1</v>
      </c>
      <c r="FD154">
        <v>18</v>
      </c>
      <c r="FF154">
        <v>18675</v>
      </c>
      <c r="FQ154">
        <v>0</v>
      </c>
      <c r="FR154">
        <v>0</v>
      </c>
      <c r="FS154">
        <v>0</v>
      </c>
      <c r="FX154">
        <v>97</v>
      </c>
      <c r="FY154">
        <v>51</v>
      </c>
      <c r="GA154" t="s">
        <v>275</v>
      </c>
      <c r="GD154">
        <v>1</v>
      </c>
      <c r="GF154">
        <v>494778067</v>
      </c>
      <c r="GG154">
        <v>2</v>
      </c>
      <c r="GH154">
        <v>2</v>
      </c>
      <c r="GI154">
        <v>5</v>
      </c>
      <c r="GJ154">
        <v>0</v>
      </c>
      <c r="GK154">
        <v>0</v>
      </c>
      <c r="GL154">
        <f t="shared" si="125"/>
        <v>0</v>
      </c>
      <c r="GM154">
        <f t="shared" si="126"/>
        <v>14086.31</v>
      </c>
      <c r="GN154">
        <f t="shared" si="127"/>
        <v>0</v>
      </c>
      <c r="GO154">
        <f t="shared" si="128"/>
        <v>14086.31</v>
      </c>
      <c r="GP154">
        <f t="shared" si="129"/>
        <v>0</v>
      </c>
      <c r="GR154">
        <v>2</v>
      </c>
      <c r="GS154">
        <v>1</v>
      </c>
      <c r="GT154">
        <v>0</v>
      </c>
      <c r="GU154" t="s">
        <v>3</v>
      </c>
      <c r="GV154">
        <f t="shared" si="130"/>
        <v>0</v>
      </c>
      <c r="GW154">
        <v>1</v>
      </c>
      <c r="GX154">
        <f t="shared" si="131"/>
        <v>0</v>
      </c>
      <c r="HA154">
        <v>0</v>
      </c>
      <c r="HB154">
        <v>0</v>
      </c>
      <c r="HC154">
        <f t="shared" si="132"/>
        <v>0</v>
      </c>
      <c r="HE154" t="s">
        <v>93</v>
      </c>
      <c r="HF154" t="s">
        <v>31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2">
      <c r="A155" s="2">
        <v>17</v>
      </c>
      <c r="B155" s="2">
        <v>1</v>
      </c>
      <c r="C155" s="2">
        <f>ROW(SmtRes!A207)</f>
        <v>207</v>
      </c>
      <c r="D155" s="2">
        <f>ROW(EtalonRes!A227)</f>
        <v>227</v>
      </c>
      <c r="E155" s="2" t="s">
        <v>276</v>
      </c>
      <c r="F155" s="2" t="s">
        <v>277</v>
      </c>
      <c r="G155" s="2" t="s">
        <v>278</v>
      </c>
      <c r="H155" s="2" t="s">
        <v>215</v>
      </c>
      <c r="I155" s="2">
        <f>ROUND(ROUND(30/100,4),9)</f>
        <v>0.3</v>
      </c>
      <c r="J155" s="2">
        <v>0</v>
      </c>
      <c r="K155" s="2">
        <f>ROUND(ROUND(30/100,4),9)</f>
        <v>0.3</v>
      </c>
      <c r="L155" s="2"/>
      <c r="M155" s="2"/>
      <c r="N155" s="2"/>
      <c r="O155" s="2">
        <f t="shared" si="102"/>
        <v>25.33</v>
      </c>
      <c r="P155" s="2">
        <f t="shared" si="103"/>
        <v>16.64</v>
      </c>
      <c r="Q155" s="2">
        <f>(ROUND((ROUND((((ET155*1.1))*AV155*I155),2)*BB155),2)+ROUND((ROUND(((AE155-((EU155*1.1)))*AV155*I155),2)*BS155),2))</f>
        <v>0.91</v>
      </c>
      <c r="R155" s="2">
        <f t="shared" si="104"/>
        <v>0.1</v>
      </c>
      <c r="S155" s="2">
        <f t="shared" si="105"/>
        <v>7.78</v>
      </c>
      <c r="T155" s="2">
        <f t="shared" si="106"/>
        <v>0</v>
      </c>
      <c r="U155" s="2">
        <f t="shared" si="107"/>
        <v>0.6322833000000001</v>
      </c>
      <c r="V155" s="2">
        <f t="shared" si="108"/>
        <v>0</v>
      </c>
      <c r="W155" s="2">
        <f t="shared" si="109"/>
        <v>0</v>
      </c>
      <c r="X155" s="2">
        <f t="shared" si="110"/>
        <v>7.64</v>
      </c>
      <c r="Y155" s="2">
        <f t="shared" si="111"/>
        <v>4.0199999999999996</v>
      </c>
      <c r="Z155" s="2"/>
      <c r="AA155" s="2">
        <v>59213216</v>
      </c>
      <c r="AB155" s="2">
        <f t="shared" si="112"/>
        <v>83.113</v>
      </c>
      <c r="AC155" s="2">
        <f>ROUND(((ES155*1)),6)</f>
        <v>55.47</v>
      </c>
      <c r="AD155" s="2">
        <f>ROUND(((((ET155*1.1))-((EU155*1.1)))+AE155),6)</f>
        <v>2.8820000000000001</v>
      </c>
      <c r="AE155" s="2">
        <f>ROUND(((EU155*1.1)),6)</f>
        <v>0.33</v>
      </c>
      <c r="AF155" s="2">
        <f>ROUND(((EV155*1.1)),6)</f>
        <v>24.760999999999999</v>
      </c>
      <c r="AG155" s="2">
        <f t="shared" si="113"/>
        <v>0</v>
      </c>
      <c r="AH155" s="2">
        <f>((EW155*1.1))</f>
        <v>2.0130000000000003</v>
      </c>
      <c r="AI155" s="2">
        <f>((EX155*1.1))</f>
        <v>0</v>
      </c>
      <c r="AJ155" s="2">
        <f t="shared" si="114"/>
        <v>0</v>
      </c>
      <c r="AK155" s="2">
        <v>80.599999999999994</v>
      </c>
      <c r="AL155" s="2">
        <v>55.47</v>
      </c>
      <c r="AM155" s="2">
        <v>2.62</v>
      </c>
      <c r="AN155" s="2">
        <v>0.3</v>
      </c>
      <c r="AO155" s="2">
        <v>22.51</v>
      </c>
      <c r="AP155" s="2">
        <v>0</v>
      </c>
      <c r="AQ155" s="2">
        <v>1.83</v>
      </c>
      <c r="AR155" s="2">
        <v>0</v>
      </c>
      <c r="AS155" s="2">
        <v>0</v>
      </c>
      <c r="AT155" s="2">
        <v>97</v>
      </c>
      <c r="AU155" s="2">
        <v>51</v>
      </c>
      <c r="AV155" s="2">
        <v>1.0469999999999999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2</v>
      </c>
      <c r="BJ155" s="2" t="s">
        <v>279</v>
      </c>
      <c r="BK155" s="2"/>
      <c r="BL155" s="2"/>
      <c r="BM155" s="2">
        <v>67</v>
      </c>
      <c r="BN155" s="2">
        <v>58808062</v>
      </c>
      <c r="BO155" s="2" t="s">
        <v>277</v>
      </c>
      <c r="BP155" s="2">
        <v>1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97</v>
      </c>
      <c r="CA155" s="2">
        <v>51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492</v>
      </c>
      <c r="CO155" s="2">
        <v>0</v>
      </c>
      <c r="CP155" s="2">
        <f t="shared" si="115"/>
        <v>25.330000000000002</v>
      </c>
      <c r="CQ155" s="2">
        <f t="shared" si="116"/>
        <v>55.47</v>
      </c>
      <c r="CR155" s="2">
        <f>(ROUND((ROUND((((ET155*1.1))*AV155*1),2)*BB155),2)+ROUND((ROUND(((AE155-((EU155*1.1)))*AV155*1),2)*BS155),2))</f>
        <v>3.02</v>
      </c>
      <c r="CS155" s="2">
        <f t="shared" si="117"/>
        <v>0.35</v>
      </c>
      <c r="CT155" s="2">
        <f t="shared" si="118"/>
        <v>25.92</v>
      </c>
      <c r="CU155" s="2">
        <f t="shared" si="119"/>
        <v>0</v>
      </c>
      <c r="CV155" s="2">
        <f t="shared" si="120"/>
        <v>2.1076110000000003</v>
      </c>
      <c r="CW155" s="2">
        <f t="shared" si="121"/>
        <v>0</v>
      </c>
      <c r="CX155" s="2">
        <f t="shared" si="122"/>
        <v>0</v>
      </c>
      <c r="CY155" s="2">
        <f t="shared" si="123"/>
        <v>7.6436000000000002</v>
      </c>
      <c r="CZ155" s="2">
        <f t="shared" si="124"/>
        <v>4.0187999999999997</v>
      </c>
      <c r="DA155" s="2"/>
      <c r="DB155" s="2">
        <v>43</v>
      </c>
      <c r="DC155" s="2" t="s">
        <v>3</v>
      </c>
      <c r="DD155" s="2" t="s">
        <v>25</v>
      </c>
      <c r="DE155" s="2" t="s">
        <v>26</v>
      </c>
      <c r="DF155" s="2" t="s">
        <v>26</v>
      </c>
      <c r="DG155" s="2" t="s">
        <v>26</v>
      </c>
      <c r="DH155" s="2" t="s">
        <v>3</v>
      </c>
      <c r="DI155" s="2" t="s">
        <v>26</v>
      </c>
      <c r="DJ155" s="2" t="s">
        <v>26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1003</v>
      </c>
      <c r="DV155" s="2" t="s">
        <v>215</v>
      </c>
      <c r="DW155" s="2" t="s">
        <v>215</v>
      </c>
      <c r="DX155" s="2">
        <v>100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58808177</v>
      </c>
      <c r="EF155" s="2">
        <v>40</v>
      </c>
      <c r="EG155" s="2" t="s">
        <v>27</v>
      </c>
      <c r="EH155" s="2">
        <v>0</v>
      </c>
      <c r="EI155" s="2" t="s">
        <v>3</v>
      </c>
      <c r="EJ155" s="2">
        <v>2</v>
      </c>
      <c r="EK155" s="2">
        <v>67</v>
      </c>
      <c r="EL155" s="2" t="s">
        <v>217</v>
      </c>
      <c r="EM155" s="2" t="s">
        <v>218</v>
      </c>
      <c r="EN155" s="2"/>
      <c r="EO155" s="2" t="s">
        <v>30</v>
      </c>
      <c r="EP155" s="2"/>
      <c r="EQ155" s="2">
        <v>0</v>
      </c>
      <c r="ER155" s="2">
        <v>80.599999999999994</v>
      </c>
      <c r="ES155" s="2">
        <v>55.47</v>
      </c>
      <c r="ET155" s="2">
        <v>2.62</v>
      </c>
      <c r="EU155" s="2">
        <v>0.3</v>
      </c>
      <c r="EV155" s="2">
        <v>22.51</v>
      </c>
      <c r="EW155" s="2">
        <v>1.83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97</v>
      </c>
      <c r="FY155" s="2">
        <v>51</v>
      </c>
      <c r="FZ155" s="2"/>
      <c r="GA155" s="2" t="s">
        <v>3</v>
      </c>
      <c r="GB155" s="2"/>
      <c r="GC155" s="2"/>
      <c r="GD155" s="2">
        <v>1</v>
      </c>
      <c r="GE155" s="2"/>
      <c r="GF155" s="2">
        <v>1118340632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25"/>
        <v>0</v>
      </c>
      <c r="GM155" s="2">
        <f t="shared" si="126"/>
        <v>36.99</v>
      </c>
      <c r="GN155" s="2">
        <f t="shared" si="127"/>
        <v>0</v>
      </c>
      <c r="GO155" s="2">
        <f t="shared" si="128"/>
        <v>36.99</v>
      </c>
      <c r="GP155" s="2">
        <f t="shared" si="129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130"/>
        <v>0</v>
      </c>
      <c r="GW155" s="2">
        <v>1</v>
      </c>
      <c r="GX155" s="2">
        <f t="shared" si="131"/>
        <v>0</v>
      </c>
      <c r="GY155" s="2"/>
      <c r="GZ155" s="2"/>
      <c r="HA155" s="2">
        <v>0</v>
      </c>
      <c r="HB155" s="2">
        <v>0</v>
      </c>
      <c r="HC155" s="2">
        <f t="shared" si="132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>
        <v>17</v>
      </c>
      <c r="B156">
        <v>1</v>
      </c>
      <c r="C156">
        <f>ROW(SmtRes!A216)</f>
        <v>216</v>
      </c>
      <c r="D156">
        <f>ROW(EtalonRes!A236)</f>
        <v>236</v>
      </c>
      <c r="E156" t="s">
        <v>276</v>
      </c>
      <c r="F156" t="s">
        <v>277</v>
      </c>
      <c r="G156" t="s">
        <v>278</v>
      </c>
      <c r="H156" t="s">
        <v>215</v>
      </c>
      <c r="I156">
        <f>ROUND(ROUND(30/100,4),9)</f>
        <v>0.3</v>
      </c>
      <c r="J156">
        <v>0</v>
      </c>
      <c r="K156">
        <f>ROUND(ROUND(30/100,4),9)</f>
        <v>0.3</v>
      </c>
      <c r="O156">
        <f t="shared" si="102"/>
        <v>492.5</v>
      </c>
      <c r="P156">
        <f t="shared" si="103"/>
        <v>51.42</v>
      </c>
      <c r="Q156">
        <f>(ROUND((ROUND((((ET156*1.1))*AV156*I156),2)*BB156),2)+ROUND((ROUND(((AE156-((EU156*1.1)))*AV156*I156),2)*BS156),2))</f>
        <v>13.26</v>
      </c>
      <c r="R156">
        <f t="shared" si="104"/>
        <v>5.5</v>
      </c>
      <c r="S156">
        <f t="shared" si="105"/>
        <v>427.82</v>
      </c>
      <c r="T156">
        <f t="shared" si="106"/>
        <v>0</v>
      </c>
      <c r="U156">
        <f t="shared" si="107"/>
        <v>0.6322833000000001</v>
      </c>
      <c r="V156">
        <f t="shared" si="108"/>
        <v>0</v>
      </c>
      <c r="W156">
        <f t="shared" si="109"/>
        <v>0</v>
      </c>
      <c r="X156">
        <f t="shared" si="110"/>
        <v>420.32</v>
      </c>
      <c r="Y156">
        <f t="shared" si="111"/>
        <v>220.99</v>
      </c>
      <c r="AA156">
        <v>59213213</v>
      </c>
      <c r="AB156">
        <f t="shared" si="112"/>
        <v>83.113</v>
      </c>
      <c r="AC156">
        <f>ROUND(((ES156*1)),6)</f>
        <v>55.47</v>
      </c>
      <c r="AD156">
        <f>ROUND(((((ET156*1.1))-((EU156*1.1)))+AE156),6)</f>
        <v>2.8820000000000001</v>
      </c>
      <c r="AE156">
        <f>ROUND(((EU156*1.1)),6)</f>
        <v>0.33</v>
      </c>
      <c r="AF156">
        <f>ROUND(((EV156*1.1)),6)</f>
        <v>24.760999999999999</v>
      </c>
      <c r="AG156">
        <f t="shared" si="113"/>
        <v>0</v>
      </c>
      <c r="AH156">
        <f>((EW156*1.1))</f>
        <v>2.0130000000000003</v>
      </c>
      <c r="AI156">
        <f>((EX156*1.1))</f>
        <v>0</v>
      </c>
      <c r="AJ156">
        <f t="shared" si="114"/>
        <v>0</v>
      </c>
      <c r="AK156">
        <v>80.599999999999994</v>
      </c>
      <c r="AL156">
        <v>55.47</v>
      </c>
      <c r="AM156">
        <v>2.62</v>
      </c>
      <c r="AN156">
        <v>0.3</v>
      </c>
      <c r="AO156">
        <v>22.51</v>
      </c>
      <c r="AP156">
        <v>0</v>
      </c>
      <c r="AQ156">
        <v>1.83</v>
      </c>
      <c r="AR156">
        <v>0</v>
      </c>
      <c r="AS156">
        <v>0</v>
      </c>
      <c r="AT156">
        <v>97</v>
      </c>
      <c r="AU156">
        <v>51</v>
      </c>
      <c r="AV156">
        <v>1.0469999999999999</v>
      </c>
      <c r="AW156">
        <v>1</v>
      </c>
      <c r="AZ156">
        <v>1</v>
      </c>
      <c r="BA156">
        <v>54.99</v>
      </c>
      <c r="BB156">
        <v>14.57</v>
      </c>
      <c r="BC156">
        <v>3.09</v>
      </c>
      <c r="BD156" t="s">
        <v>3</v>
      </c>
      <c r="BE156" t="s">
        <v>3</v>
      </c>
      <c r="BF156" t="s">
        <v>3</v>
      </c>
      <c r="BG156" t="s">
        <v>3</v>
      </c>
      <c r="BH156">
        <v>0</v>
      </c>
      <c r="BI156">
        <v>2</v>
      </c>
      <c r="BJ156" t="s">
        <v>279</v>
      </c>
      <c r="BM156">
        <v>67</v>
      </c>
      <c r="BN156">
        <v>58808062</v>
      </c>
      <c r="BO156" t="s">
        <v>277</v>
      </c>
      <c r="BP156">
        <v>1</v>
      </c>
      <c r="BQ156">
        <v>40</v>
      </c>
      <c r="BR156">
        <v>0</v>
      </c>
      <c r="BS156">
        <v>54.99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97</v>
      </c>
      <c r="CA156">
        <v>51</v>
      </c>
      <c r="CB156" t="s">
        <v>3</v>
      </c>
      <c r="CE156">
        <v>30</v>
      </c>
      <c r="CF156">
        <v>0</v>
      </c>
      <c r="CG156">
        <v>0</v>
      </c>
      <c r="CM156">
        <v>0</v>
      </c>
      <c r="CN156" t="s">
        <v>492</v>
      </c>
      <c r="CO156">
        <v>0</v>
      </c>
      <c r="CP156">
        <f t="shared" si="115"/>
        <v>492.5</v>
      </c>
      <c r="CQ156">
        <f t="shared" si="116"/>
        <v>171.4</v>
      </c>
      <c r="CR156">
        <f>(ROUND((ROUND((((ET156*1.1))*AV156*1),2)*BB156),2)+ROUND((ROUND(((AE156-((EU156*1.1)))*AV156*1),2)*BS156),2))</f>
        <v>44</v>
      </c>
      <c r="CS156">
        <f t="shared" si="117"/>
        <v>19.25</v>
      </c>
      <c r="CT156">
        <f t="shared" si="118"/>
        <v>1425.34</v>
      </c>
      <c r="CU156">
        <f t="shared" si="119"/>
        <v>0</v>
      </c>
      <c r="CV156">
        <f t="shared" si="120"/>
        <v>2.1076110000000003</v>
      </c>
      <c r="CW156">
        <f t="shared" si="121"/>
        <v>0</v>
      </c>
      <c r="CX156">
        <f t="shared" si="122"/>
        <v>0</v>
      </c>
      <c r="CY156">
        <f t="shared" si="123"/>
        <v>420.32040000000001</v>
      </c>
      <c r="CZ156">
        <f t="shared" si="124"/>
        <v>220.9932</v>
      </c>
      <c r="DB156">
        <v>44</v>
      </c>
      <c r="DC156" t="s">
        <v>3</v>
      </c>
      <c r="DD156" t="s">
        <v>25</v>
      </c>
      <c r="DE156" t="s">
        <v>26</v>
      </c>
      <c r="DF156" t="s">
        <v>26</v>
      </c>
      <c r="DG156" t="s">
        <v>26</v>
      </c>
      <c r="DH156" t="s">
        <v>3</v>
      </c>
      <c r="DI156" t="s">
        <v>26</v>
      </c>
      <c r="DJ156" t="s">
        <v>26</v>
      </c>
      <c r="DK156" t="s">
        <v>3</v>
      </c>
      <c r="DL156" t="s">
        <v>3</v>
      </c>
      <c r="DM156" t="s">
        <v>3</v>
      </c>
      <c r="DN156">
        <v>0</v>
      </c>
      <c r="DO156">
        <v>0</v>
      </c>
      <c r="DP156">
        <v>1</v>
      </c>
      <c r="DQ156">
        <v>1</v>
      </c>
      <c r="DU156">
        <v>1003</v>
      </c>
      <c r="DV156" t="s">
        <v>215</v>
      </c>
      <c r="DW156" t="s">
        <v>215</v>
      </c>
      <c r="DX156">
        <v>100</v>
      </c>
      <c r="DZ156" t="s">
        <v>3</v>
      </c>
      <c r="EA156" t="s">
        <v>3</v>
      </c>
      <c r="EB156" t="s">
        <v>3</v>
      </c>
      <c r="EC156" t="s">
        <v>3</v>
      </c>
      <c r="EE156">
        <v>58808177</v>
      </c>
      <c r="EF156">
        <v>40</v>
      </c>
      <c r="EG156" t="s">
        <v>27</v>
      </c>
      <c r="EH156">
        <v>0</v>
      </c>
      <c r="EI156" t="s">
        <v>3</v>
      </c>
      <c r="EJ156">
        <v>2</v>
      </c>
      <c r="EK156">
        <v>67</v>
      </c>
      <c r="EL156" t="s">
        <v>217</v>
      </c>
      <c r="EM156" t="s">
        <v>218</v>
      </c>
      <c r="EO156" t="s">
        <v>30</v>
      </c>
      <c r="EQ156">
        <v>0</v>
      </c>
      <c r="ER156">
        <v>80.599999999999994</v>
      </c>
      <c r="ES156">
        <v>55.47</v>
      </c>
      <c r="ET156">
        <v>2.62</v>
      </c>
      <c r="EU156">
        <v>0.3</v>
      </c>
      <c r="EV156">
        <v>22.51</v>
      </c>
      <c r="EW156">
        <v>1.83</v>
      </c>
      <c r="EX156">
        <v>0</v>
      </c>
      <c r="EY156">
        <v>0</v>
      </c>
      <c r="FQ156">
        <v>0</v>
      </c>
      <c r="FR156">
        <v>0</v>
      </c>
      <c r="FS156">
        <v>0</v>
      </c>
      <c r="FX156">
        <v>97</v>
      </c>
      <c r="FY156">
        <v>51</v>
      </c>
      <c r="GA156" t="s">
        <v>3</v>
      </c>
      <c r="GD156">
        <v>1</v>
      </c>
      <c r="GF156">
        <v>1118340632</v>
      </c>
      <c r="GG156">
        <v>2</v>
      </c>
      <c r="GH156">
        <v>1</v>
      </c>
      <c r="GI156">
        <v>2</v>
      </c>
      <c r="GJ156">
        <v>0</v>
      </c>
      <c r="GK156">
        <v>0</v>
      </c>
      <c r="GL156">
        <f t="shared" si="125"/>
        <v>0</v>
      </c>
      <c r="GM156">
        <f t="shared" si="126"/>
        <v>1133.81</v>
      </c>
      <c r="GN156">
        <f t="shared" si="127"/>
        <v>0</v>
      </c>
      <c r="GO156">
        <f t="shared" si="128"/>
        <v>1133.81</v>
      </c>
      <c r="GP156">
        <f t="shared" si="129"/>
        <v>0</v>
      </c>
      <c r="GR156">
        <v>0</v>
      </c>
      <c r="GS156">
        <v>3</v>
      </c>
      <c r="GT156">
        <v>0</v>
      </c>
      <c r="GU156" t="s">
        <v>3</v>
      </c>
      <c r="GV156">
        <f t="shared" si="130"/>
        <v>0</v>
      </c>
      <c r="GW156">
        <v>1</v>
      </c>
      <c r="GX156">
        <f t="shared" si="131"/>
        <v>0</v>
      </c>
      <c r="HA156">
        <v>0</v>
      </c>
      <c r="HB156">
        <v>0</v>
      </c>
      <c r="HC156">
        <f t="shared" si="132"/>
        <v>0</v>
      </c>
      <c r="HE156" t="s">
        <v>3</v>
      </c>
      <c r="HF156" t="s">
        <v>3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2">
      <c r="A157" s="2">
        <v>18</v>
      </c>
      <c r="B157" s="2">
        <v>1</v>
      </c>
      <c r="C157" s="2">
        <v>207</v>
      </c>
      <c r="D157" s="2"/>
      <c r="E157" s="2" t="s">
        <v>280</v>
      </c>
      <c r="F157" s="2" t="s">
        <v>273</v>
      </c>
      <c r="G157" s="2" t="s">
        <v>274</v>
      </c>
      <c r="H157" s="2" t="s">
        <v>256</v>
      </c>
      <c r="I157" s="2">
        <f>I155*J157</f>
        <v>3.0599999999999995E-2</v>
      </c>
      <c r="J157" s="2">
        <v>0.10199999999999999</v>
      </c>
      <c r="K157" s="2">
        <v>0.10199999999999999</v>
      </c>
      <c r="L157" s="2"/>
      <c r="M157" s="2"/>
      <c r="N157" s="2"/>
      <c r="O157" s="2">
        <f t="shared" si="102"/>
        <v>49.16</v>
      </c>
      <c r="P157" s="2">
        <f t="shared" si="103"/>
        <v>49.16</v>
      </c>
      <c r="Q157" s="2">
        <f>(ROUND((ROUND(((ET157)*AV157*I157),2)*BB157),2)+ROUND((ROUND(((AE157-(EU157))*AV157*I157),2)*BS157),2))</f>
        <v>0</v>
      </c>
      <c r="R157" s="2">
        <f t="shared" si="104"/>
        <v>0</v>
      </c>
      <c r="S157" s="2">
        <f t="shared" si="105"/>
        <v>0</v>
      </c>
      <c r="T157" s="2">
        <f t="shared" si="106"/>
        <v>0</v>
      </c>
      <c r="U157" s="2">
        <f t="shared" si="107"/>
        <v>0</v>
      </c>
      <c r="V157" s="2">
        <f t="shared" si="108"/>
        <v>0</v>
      </c>
      <c r="W157" s="2">
        <f t="shared" si="109"/>
        <v>0</v>
      </c>
      <c r="X157" s="2">
        <f t="shared" si="110"/>
        <v>0</v>
      </c>
      <c r="Y157" s="2">
        <f t="shared" si="111"/>
        <v>0</v>
      </c>
      <c r="Z157" s="2"/>
      <c r="AA157" s="2">
        <v>59213216</v>
      </c>
      <c r="AB157" s="2">
        <f t="shared" si="112"/>
        <v>1606.65</v>
      </c>
      <c r="AC157" s="2">
        <f>ROUND((ES157),6)</f>
        <v>1606.65</v>
      </c>
      <c r="AD157" s="2">
        <f>ROUND((((ET157)-(EU157))+AE157),6)</f>
        <v>0</v>
      </c>
      <c r="AE157" s="2">
        <f>ROUND((EU157),6)</f>
        <v>0</v>
      </c>
      <c r="AF157" s="2">
        <f>ROUND((EV157),6)</f>
        <v>0</v>
      </c>
      <c r="AG157" s="2">
        <f t="shared" si="113"/>
        <v>0</v>
      </c>
      <c r="AH157" s="2">
        <f>(EW157)</f>
        <v>0</v>
      </c>
      <c r="AI157" s="2">
        <f>(EX157)</f>
        <v>0</v>
      </c>
      <c r="AJ157" s="2">
        <f t="shared" si="114"/>
        <v>0</v>
      </c>
      <c r="AK157" s="2">
        <v>1606.65</v>
      </c>
      <c r="AL157" s="2">
        <v>1606.65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97</v>
      </c>
      <c r="AU157" s="2">
        <v>51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2</v>
      </c>
      <c r="BJ157" s="2" t="s">
        <v>3</v>
      </c>
      <c r="BK157" s="2"/>
      <c r="BL157" s="2"/>
      <c r="BM157" s="2">
        <v>67</v>
      </c>
      <c r="BN157" s="2">
        <v>0</v>
      </c>
      <c r="BO157" s="2" t="s">
        <v>3</v>
      </c>
      <c r="BP157" s="2">
        <v>0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97</v>
      </c>
      <c r="CA157" s="2">
        <v>51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15"/>
        <v>49.16</v>
      </c>
      <c r="CQ157" s="2">
        <f t="shared" si="116"/>
        <v>1606.65</v>
      </c>
      <c r="CR157" s="2">
        <f>(ROUND((ROUND(((ET157)*AV157*1),2)*BB157),2)+ROUND((ROUND(((AE157-(EU157))*AV157*1),2)*BS157),2))</f>
        <v>0</v>
      </c>
      <c r="CS157" s="2">
        <f t="shared" si="117"/>
        <v>0</v>
      </c>
      <c r="CT157" s="2">
        <f t="shared" si="118"/>
        <v>0</v>
      </c>
      <c r="CU157" s="2">
        <f t="shared" si="119"/>
        <v>0</v>
      </c>
      <c r="CV157" s="2">
        <f t="shared" si="120"/>
        <v>0</v>
      </c>
      <c r="CW157" s="2">
        <f t="shared" si="121"/>
        <v>0</v>
      </c>
      <c r="CX157" s="2">
        <f t="shared" si="122"/>
        <v>0</v>
      </c>
      <c r="CY157" s="2">
        <f t="shared" si="123"/>
        <v>0</v>
      </c>
      <c r="CZ157" s="2">
        <f t="shared" si="124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1003</v>
      </c>
      <c r="DV157" s="2" t="s">
        <v>256</v>
      </c>
      <c r="DW157" s="2" t="s">
        <v>256</v>
      </c>
      <c r="DX157" s="2">
        <v>1000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58808177</v>
      </c>
      <c r="EF157" s="2">
        <v>40</v>
      </c>
      <c r="EG157" s="2" t="s">
        <v>27</v>
      </c>
      <c r="EH157" s="2">
        <v>0</v>
      </c>
      <c r="EI157" s="2" t="s">
        <v>3</v>
      </c>
      <c r="EJ157" s="2">
        <v>2</v>
      </c>
      <c r="EK157" s="2">
        <v>67</v>
      </c>
      <c r="EL157" s="2" t="s">
        <v>217</v>
      </c>
      <c r="EM157" s="2" t="s">
        <v>218</v>
      </c>
      <c r="EN157" s="2"/>
      <c r="EO157" s="2" t="s">
        <v>3</v>
      </c>
      <c r="EP157" s="2"/>
      <c r="EQ157" s="2">
        <v>0</v>
      </c>
      <c r="ER157" s="2">
        <v>0</v>
      </c>
      <c r="ES157" s="2">
        <v>1606.65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97</v>
      </c>
      <c r="FY157" s="2">
        <v>51</v>
      </c>
      <c r="FZ157" s="2"/>
      <c r="GA157" s="2" t="s">
        <v>275</v>
      </c>
      <c r="GB157" s="2"/>
      <c r="GC157" s="2"/>
      <c r="GD157" s="2">
        <v>1</v>
      </c>
      <c r="GE157" s="2"/>
      <c r="GF157" s="2">
        <v>494778067</v>
      </c>
      <c r="GG157" s="2">
        <v>2</v>
      </c>
      <c r="GH157" s="2">
        <v>4</v>
      </c>
      <c r="GI157" s="2">
        <v>0</v>
      </c>
      <c r="GJ157" s="2">
        <v>0</v>
      </c>
      <c r="GK157" s="2">
        <v>0</v>
      </c>
      <c r="GL157" s="2">
        <f t="shared" si="125"/>
        <v>0</v>
      </c>
      <c r="GM157" s="2">
        <f t="shared" si="126"/>
        <v>49.16</v>
      </c>
      <c r="GN157" s="2">
        <f t="shared" si="127"/>
        <v>0</v>
      </c>
      <c r="GO157" s="2">
        <f t="shared" si="128"/>
        <v>49.16</v>
      </c>
      <c r="GP157" s="2">
        <f t="shared" si="129"/>
        <v>0</v>
      </c>
      <c r="GQ157" s="2"/>
      <c r="GR157" s="2">
        <v>2</v>
      </c>
      <c r="GS157" s="2">
        <v>2</v>
      </c>
      <c r="GT157" s="2">
        <v>0</v>
      </c>
      <c r="GU157" s="2" t="s">
        <v>3</v>
      </c>
      <c r="GV157" s="2">
        <f t="shared" si="130"/>
        <v>0</v>
      </c>
      <c r="GW157" s="2">
        <v>1</v>
      </c>
      <c r="GX157" s="2">
        <f t="shared" si="131"/>
        <v>0</v>
      </c>
      <c r="GY157" s="2"/>
      <c r="GZ157" s="2"/>
      <c r="HA157" s="2">
        <v>0</v>
      </c>
      <c r="HB157" s="2">
        <v>0</v>
      </c>
      <c r="HC157" s="2">
        <f t="shared" si="132"/>
        <v>0</v>
      </c>
      <c r="HD157" s="2"/>
      <c r="HE157" s="2" t="s">
        <v>93</v>
      </c>
      <c r="HF157" s="2" t="s">
        <v>31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>
        <v>18</v>
      </c>
      <c r="B158">
        <v>1</v>
      </c>
      <c r="C158">
        <v>216</v>
      </c>
      <c r="E158" t="s">
        <v>280</v>
      </c>
      <c r="F158" t="s">
        <v>273</v>
      </c>
      <c r="G158" t="s">
        <v>274</v>
      </c>
      <c r="H158" t="s">
        <v>256</v>
      </c>
      <c r="I158">
        <f>I156*J158</f>
        <v>3.0599999999999995E-2</v>
      </c>
      <c r="J158">
        <v>0.10199999999999999</v>
      </c>
      <c r="K158">
        <v>0.10199999999999999</v>
      </c>
      <c r="O158">
        <f t="shared" si="102"/>
        <v>485.7</v>
      </c>
      <c r="P158">
        <f t="shared" si="103"/>
        <v>485.7</v>
      </c>
      <c r="Q158">
        <f>(ROUND((ROUND(((ET158)*AV158*I158),2)*BB158),2)+ROUND((ROUND(((AE158-(EU158))*AV158*I158),2)*BS158),2))</f>
        <v>0</v>
      </c>
      <c r="R158">
        <f t="shared" si="104"/>
        <v>0</v>
      </c>
      <c r="S158">
        <f t="shared" si="105"/>
        <v>0</v>
      </c>
      <c r="T158">
        <f t="shared" si="106"/>
        <v>0</v>
      </c>
      <c r="U158">
        <f t="shared" si="107"/>
        <v>0</v>
      </c>
      <c r="V158">
        <f t="shared" si="108"/>
        <v>0</v>
      </c>
      <c r="W158">
        <f t="shared" si="109"/>
        <v>0</v>
      </c>
      <c r="X158">
        <f t="shared" si="110"/>
        <v>0</v>
      </c>
      <c r="Y158">
        <f t="shared" si="111"/>
        <v>0</v>
      </c>
      <c r="AA158">
        <v>59213213</v>
      </c>
      <c r="AB158">
        <f t="shared" si="112"/>
        <v>1606.65</v>
      </c>
      <c r="AC158">
        <f>ROUND((ES158),6)</f>
        <v>1606.65</v>
      </c>
      <c r="AD158">
        <f>ROUND((((ET158)-(EU158))+AE158),6)</f>
        <v>0</v>
      </c>
      <c r="AE158">
        <f>ROUND((EU158),6)</f>
        <v>0</v>
      </c>
      <c r="AF158">
        <f>ROUND((EV158),6)</f>
        <v>0</v>
      </c>
      <c r="AG158">
        <f t="shared" si="113"/>
        <v>0</v>
      </c>
      <c r="AH158">
        <f>(EW158)</f>
        <v>0</v>
      </c>
      <c r="AI158">
        <f>(EX158)</f>
        <v>0</v>
      </c>
      <c r="AJ158">
        <f t="shared" si="114"/>
        <v>0</v>
      </c>
      <c r="AK158">
        <v>1606.65</v>
      </c>
      <c r="AL158">
        <v>1606.65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97</v>
      </c>
      <c r="AU158">
        <v>51</v>
      </c>
      <c r="AV158">
        <v>1</v>
      </c>
      <c r="AW158">
        <v>1</v>
      </c>
      <c r="AZ158">
        <v>1</v>
      </c>
      <c r="BA158">
        <v>1</v>
      </c>
      <c r="BB158">
        <v>1</v>
      </c>
      <c r="BC158">
        <v>9.8800000000000008</v>
      </c>
      <c r="BD158" t="s">
        <v>3</v>
      </c>
      <c r="BE158" t="s">
        <v>3</v>
      </c>
      <c r="BF158" t="s">
        <v>3</v>
      </c>
      <c r="BG158" t="s">
        <v>3</v>
      </c>
      <c r="BH158">
        <v>3</v>
      </c>
      <c r="BI158">
        <v>2</v>
      </c>
      <c r="BJ158" t="s">
        <v>3</v>
      </c>
      <c r="BM158">
        <v>67</v>
      </c>
      <c r="BN158">
        <v>0</v>
      </c>
      <c r="BO158" t="s">
        <v>3</v>
      </c>
      <c r="BP158">
        <v>0</v>
      </c>
      <c r="BQ158">
        <v>40</v>
      </c>
      <c r="BR158">
        <v>0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97</v>
      </c>
      <c r="CA158">
        <v>51</v>
      </c>
      <c r="CB158" t="s">
        <v>3</v>
      </c>
      <c r="CE158">
        <v>30</v>
      </c>
      <c r="CF158">
        <v>0</v>
      </c>
      <c r="CG158">
        <v>0</v>
      </c>
      <c r="CM158">
        <v>0</v>
      </c>
      <c r="CN158" t="s">
        <v>3</v>
      </c>
      <c r="CO158">
        <v>0</v>
      </c>
      <c r="CP158">
        <f t="shared" si="115"/>
        <v>485.7</v>
      </c>
      <c r="CQ158">
        <f t="shared" si="116"/>
        <v>15873.7</v>
      </c>
      <c r="CR158">
        <f>(ROUND((ROUND(((ET158)*AV158*1),2)*BB158),2)+ROUND((ROUND(((AE158-(EU158))*AV158*1),2)*BS158),2))</f>
        <v>0</v>
      </c>
      <c r="CS158">
        <f t="shared" si="117"/>
        <v>0</v>
      </c>
      <c r="CT158">
        <f t="shared" si="118"/>
        <v>0</v>
      </c>
      <c r="CU158">
        <f t="shared" si="119"/>
        <v>0</v>
      </c>
      <c r="CV158">
        <f t="shared" si="120"/>
        <v>0</v>
      </c>
      <c r="CW158">
        <f t="shared" si="121"/>
        <v>0</v>
      </c>
      <c r="CX158">
        <f t="shared" si="122"/>
        <v>0</v>
      </c>
      <c r="CY158">
        <f t="shared" si="123"/>
        <v>0</v>
      </c>
      <c r="CZ158">
        <f t="shared" si="124"/>
        <v>0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>
        <v>0</v>
      </c>
      <c r="DO158">
        <v>0</v>
      </c>
      <c r="DP158">
        <v>1</v>
      </c>
      <c r="DQ158">
        <v>1</v>
      </c>
      <c r="DU158">
        <v>1003</v>
      </c>
      <c r="DV158" t="s">
        <v>256</v>
      </c>
      <c r="DW158" t="s">
        <v>256</v>
      </c>
      <c r="DX158">
        <v>1000</v>
      </c>
      <c r="DZ158" t="s">
        <v>3</v>
      </c>
      <c r="EA158" t="s">
        <v>3</v>
      </c>
      <c r="EB158" t="s">
        <v>3</v>
      </c>
      <c r="EC158" t="s">
        <v>3</v>
      </c>
      <c r="EE158">
        <v>58808177</v>
      </c>
      <c r="EF158">
        <v>40</v>
      </c>
      <c r="EG158" t="s">
        <v>27</v>
      </c>
      <c r="EH158">
        <v>0</v>
      </c>
      <c r="EI158" t="s">
        <v>3</v>
      </c>
      <c r="EJ158">
        <v>2</v>
      </c>
      <c r="EK158">
        <v>67</v>
      </c>
      <c r="EL158" t="s">
        <v>217</v>
      </c>
      <c r="EM158" t="s">
        <v>218</v>
      </c>
      <c r="EO158" t="s">
        <v>3</v>
      </c>
      <c r="EQ158">
        <v>0</v>
      </c>
      <c r="ER158">
        <v>0</v>
      </c>
      <c r="ES158">
        <v>1606.65</v>
      </c>
      <c r="ET158">
        <v>0</v>
      </c>
      <c r="EU158">
        <v>0</v>
      </c>
      <c r="EV158">
        <v>0</v>
      </c>
      <c r="EW158">
        <v>0</v>
      </c>
      <c r="EX158">
        <v>0</v>
      </c>
      <c r="EZ158">
        <v>5</v>
      </c>
      <c r="FC158">
        <v>1</v>
      </c>
      <c r="FD158">
        <v>18</v>
      </c>
      <c r="FF158">
        <v>18675</v>
      </c>
      <c r="FQ158">
        <v>0</v>
      </c>
      <c r="FR158">
        <v>0</v>
      </c>
      <c r="FS158">
        <v>0</v>
      </c>
      <c r="FX158">
        <v>97</v>
      </c>
      <c r="FY158">
        <v>51</v>
      </c>
      <c r="GA158" t="s">
        <v>275</v>
      </c>
      <c r="GD158">
        <v>1</v>
      </c>
      <c r="GF158">
        <v>494778067</v>
      </c>
      <c r="GG158">
        <v>2</v>
      </c>
      <c r="GH158">
        <v>2</v>
      </c>
      <c r="GI158">
        <v>5</v>
      </c>
      <c r="GJ158">
        <v>0</v>
      </c>
      <c r="GK158">
        <v>0</v>
      </c>
      <c r="GL158">
        <f t="shared" si="125"/>
        <v>0</v>
      </c>
      <c r="GM158">
        <f t="shared" si="126"/>
        <v>485.7</v>
      </c>
      <c r="GN158">
        <f t="shared" si="127"/>
        <v>0</v>
      </c>
      <c r="GO158">
        <f t="shared" si="128"/>
        <v>485.7</v>
      </c>
      <c r="GP158">
        <f t="shared" si="129"/>
        <v>0</v>
      </c>
      <c r="GR158">
        <v>2</v>
      </c>
      <c r="GS158">
        <v>1</v>
      </c>
      <c r="GT158">
        <v>0</v>
      </c>
      <c r="GU158" t="s">
        <v>3</v>
      </c>
      <c r="GV158">
        <f t="shared" si="130"/>
        <v>0</v>
      </c>
      <c r="GW158">
        <v>1</v>
      </c>
      <c r="GX158">
        <f t="shared" si="131"/>
        <v>0</v>
      </c>
      <c r="HA158">
        <v>0</v>
      </c>
      <c r="HB158">
        <v>0</v>
      </c>
      <c r="HC158">
        <f t="shared" si="132"/>
        <v>0</v>
      </c>
      <c r="HE158" t="s">
        <v>93</v>
      </c>
      <c r="HF158" t="s">
        <v>31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2">
      <c r="A159" s="2">
        <v>17</v>
      </c>
      <c r="B159" s="2">
        <v>1</v>
      </c>
      <c r="C159" s="2">
        <f>ROW(SmtRes!A225)</f>
        <v>225</v>
      </c>
      <c r="D159" s="2">
        <f>ROW(EtalonRes!A245)</f>
        <v>245</v>
      </c>
      <c r="E159" s="2" t="s">
        <v>281</v>
      </c>
      <c r="F159" s="2" t="s">
        <v>277</v>
      </c>
      <c r="G159" s="2" t="s">
        <v>278</v>
      </c>
      <c r="H159" s="2" t="s">
        <v>215</v>
      </c>
      <c r="I159" s="2">
        <f>ROUND(ROUND(450/100,4),9)</f>
        <v>4.5</v>
      </c>
      <c r="J159" s="2">
        <v>0</v>
      </c>
      <c r="K159" s="2">
        <f>ROUND(ROUND(450/100,4),9)</f>
        <v>4.5</v>
      </c>
      <c r="L159" s="2"/>
      <c r="M159" s="2"/>
      <c r="N159" s="2"/>
      <c r="O159" s="2">
        <f t="shared" si="102"/>
        <v>379.86</v>
      </c>
      <c r="P159" s="2">
        <f t="shared" si="103"/>
        <v>249.62</v>
      </c>
      <c r="Q159" s="2">
        <f>(ROUND((ROUND((((ET159*1.1))*AV159*I159),2)*BB159),2)+ROUND((ROUND(((AE159-((EU159*1.1)))*AV159*I159),2)*BS159),2))</f>
        <v>13.58</v>
      </c>
      <c r="R159" s="2">
        <f t="shared" si="104"/>
        <v>1.55</v>
      </c>
      <c r="S159" s="2">
        <f t="shared" si="105"/>
        <v>116.66</v>
      </c>
      <c r="T159" s="2">
        <f t="shared" si="106"/>
        <v>0</v>
      </c>
      <c r="U159" s="2">
        <f t="shared" si="107"/>
        <v>9.4842495000000007</v>
      </c>
      <c r="V159" s="2">
        <f t="shared" si="108"/>
        <v>0</v>
      </c>
      <c r="W159" s="2">
        <f t="shared" si="109"/>
        <v>0</v>
      </c>
      <c r="X159" s="2">
        <f t="shared" si="110"/>
        <v>114.66</v>
      </c>
      <c r="Y159" s="2">
        <f t="shared" si="111"/>
        <v>60.29</v>
      </c>
      <c r="Z159" s="2"/>
      <c r="AA159" s="2">
        <v>59213216</v>
      </c>
      <c r="AB159" s="2">
        <f t="shared" si="112"/>
        <v>83.113</v>
      </c>
      <c r="AC159" s="2">
        <f>ROUND(((ES159*1)),6)</f>
        <v>55.47</v>
      </c>
      <c r="AD159" s="2">
        <f>ROUND(((((ET159*1.1))-((EU159*1.1)))+AE159),6)</f>
        <v>2.8820000000000001</v>
      </c>
      <c r="AE159" s="2">
        <f>ROUND(((EU159*1.1)),6)</f>
        <v>0.33</v>
      </c>
      <c r="AF159" s="2">
        <f>ROUND(((EV159*1.1)),6)</f>
        <v>24.760999999999999</v>
      </c>
      <c r="AG159" s="2">
        <f t="shared" si="113"/>
        <v>0</v>
      </c>
      <c r="AH159" s="2">
        <f>((EW159*1.1))</f>
        <v>2.0130000000000003</v>
      </c>
      <c r="AI159" s="2">
        <f>((EX159*1.1))</f>
        <v>0</v>
      </c>
      <c r="AJ159" s="2">
        <f t="shared" si="114"/>
        <v>0</v>
      </c>
      <c r="AK159" s="2">
        <v>80.599999999999994</v>
      </c>
      <c r="AL159" s="2">
        <v>55.47</v>
      </c>
      <c r="AM159" s="2">
        <v>2.62</v>
      </c>
      <c r="AN159" s="2">
        <v>0.3</v>
      </c>
      <c r="AO159" s="2">
        <v>22.51</v>
      </c>
      <c r="AP159" s="2">
        <v>0</v>
      </c>
      <c r="AQ159" s="2">
        <v>1.83</v>
      </c>
      <c r="AR159" s="2">
        <v>0</v>
      </c>
      <c r="AS159" s="2">
        <v>0</v>
      </c>
      <c r="AT159" s="2">
        <v>97</v>
      </c>
      <c r="AU159" s="2">
        <v>51</v>
      </c>
      <c r="AV159" s="2">
        <v>1.0469999999999999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279</v>
      </c>
      <c r="BK159" s="2"/>
      <c r="BL159" s="2"/>
      <c r="BM159" s="2">
        <v>67</v>
      </c>
      <c r="BN159" s="2">
        <v>58808062</v>
      </c>
      <c r="BO159" s="2" t="s">
        <v>277</v>
      </c>
      <c r="BP159" s="2">
        <v>1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97</v>
      </c>
      <c r="CA159" s="2">
        <v>51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492</v>
      </c>
      <c r="CO159" s="2">
        <v>0</v>
      </c>
      <c r="CP159" s="2">
        <f t="shared" si="115"/>
        <v>379.86</v>
      </c>
      <c r="CQ159" s="2">
        <f t="shared" si="116"/>
        <v>55.47</v>
      </c>
      <c r="CR159" s="2">
        <f>(ROUND((ROUND((((ET159*1.1))*AV159*1),2)*BB159),2)+ROUND((ROUND(((AE159-((EU159*1.1)))*AV159*1),2)*BS159),2))</f>
        <v>3.02</v>
      </c>
      <c r="CS159" s="2">
        <f t="shared" si="117"/>
        <v>0.35</v>
      </c>
      <c r="CT159" s="2">
        <f t="shared" si="118"/>
        <v>25.92</v>
      </c>
      <c r="CU159" s="2">
        <f t="shared" si="119"/>
        <v>0</v>
      </c>
      <c r="CV159" s="2">
        <f t="shared" si="120"/>
        <v>2.1076110000000003</v>
      </c>
      <c r="CW159" s="2">
        <f t="shared" si="121"/>
        <v>0</v>
      </c>
      <c r="CX159" s="2">
        <f t="shared" si="122"/>
        <v>0</v>
      </c>
      <c r="CY159" s="2">
        <f t="shared" si="123"/>
        <v>114.66369999999999</v>
      </c>
      <c r="CZ159" s="2">
        <f t="shared" si="124"/>
        <v>60.287100000000002</v>
      </c>
      <c r="DA159" s="2"/>
      <c r="DB159" s="2">
        <v>45</v>
      </c>
      <c r="DC159" s="2" t="s">
        <v>3</v>
      </c>
      <c r="DD159" s="2" t="s">
        <v>25</v>
      </c>
      <c r="DE159" s="2" t="s">
        <v>26</v>
      </c>
      <c r="DF159" s="2" t="s">
        <v>26</v>
      </c>
      <c r="DG159" s="2" t="s">
        <v>26</v>
      </c>
      <c r="DH159" s="2" t="s">
        <v>3</v>
      </c>
      <c r="DI159" s="2" t="s">
        <v>26</v>
      </c>
      <c r="DJ159" s="2" t="s">
        <v>26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1003</v>
      </c>
      <c r="DV159" s="2" t="s">
        <v>215</v>
      </c>
      <c r="DW159" s="2" t="s">
        <v>215</v>
      </c>
      <c r="DX159" s="2">
        <v>100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58808177</v>
      </c>
      <c r="EF159" s="2">
        <v>40</v>
      </c>
      <c r="EG159" s="2" t="s">
        <v>27</v>
      </c>
      <c r="EH159" s="2">
        <v>0</v>
      </c>
      <c r="EI159" s="2" t="s">
        <v>3</v>
      </c>
      <c r="EJ159" s="2">
        <v>2</v>
      </c>
      <c r="EK159" s="2">
        <v>67</v>
      </c>
      <c r="EL159" s="2" t="s">
        <v>217</v>
      </c>
      <c r="EM159" s="2" t="s">
        <v>218</v>
      </c>
      <c r="EN159" s="2"/>
      <c r="EO159" s="2" t="s">
        <v>30</v>
      </c>
      <c r="EP159" s="2"/>
      <c r="EQ159" s="2">
        <v>0</v>
      </c>
      <c r="ER159" s="2">
        <v>80.599999999999994</v>
      </c>
      <c r="ES159" s="2">
        <v>55.47</v>
      </c>
      <c r="ET159" s="2">
        <v>2.62</v>
      </c>
      <c r="EU159" s="2">
        <v>0.3</v>
      </c>
      <c r="EV159" s="2">
        <v>22.51</v>
      </c>
      <c r="EW159" s="2">
        <v>1.83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97</v>
      </c>
      <c r="FY159" s="2">
        <v>51</v>
      </c>
      <c r="FZ159" s="2"/>
      <c r="GA159" s="2" t="s">
        <v>3</v>
      </c>
      <c r="GB159" s="2"/>
      <c r="GC159" s="2"/>
      <c r="GD159" s="2">
        <v>1</v>
      </c>
      <c r="GE159" s="2"/>
      <c r="GF159" s="2">
        <v>1118340632</v>
      </c>
      <c r="GG159" s="2">
        <v>2</v>
      </c>
      <c r="GH159" s="2">
        <v>1</v>
      </c>
      <c r="GI159" s="2">
        <v>2</v>
      </c>
      <c r="GJ159" s="2">
        <v>0</v>
      </c>
      <c r="GK159" s="2">
        <v>0</v>
      </c>
      <c r="GL159" s="2">
        <f t="shared" si="125"/>
        <v>0</v>
      </c>
      <c r="GM159" s="2">
        <f t="shared" si="126"/>
        <v>554.80999999999995</v>
      </c>
      <c r="GN159" s="2">
        <f t="shared" si="127"/>
        <v>0</v>
      </c>
      <c r="GO159" s="2">
        <f t="shared" si="128"/>
        <v>554.80999999999995</v>
      </c>
      <c r="GP159" s="2">
        <f t="shared" si="129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30"/>
        <v>0</v>
      </c>
      <c r="GW159" s="2">
        <v>1</v>
      </c>
      <c r="GX159" s="2">
        <f t="shared" si="131"/>
        <v>0</v>
      </c>
      <c r="GY159" s="2"/>
      <c r="GZ159" s="2"/>
      <c r="HA159" s="2">
        <v>0</v>
      </c>
      <c r="HB159" s="2">
        <v>0</v>
      </c>
      <c r="HC159" s="2">
        <f t="shared" si="132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>
        <v>17</v>
      </c>
      <c r="B160">
        <v>1</v>
      </c>
      <c r="C160">
        <f>ROW(SmtRes!A234)</f>
        <v>234</v>
      </c>
      <c r="D160">
        <f>ROW(EtalonRes!A254)</f>
        <v>254</v>
      </c>
      <c r="E160" t="s">
        <v>281</v>
      </c>
      <c r="F160" t="s">
        <v>277</v>
      </c>
      <c r="G160" t="s">
        <v>278</v>
      </c>
      <c r="H160" t="s">
        <v>215</v>
      </c>
      <c r="I160">
        <f>ROUND(ROUND(450/100,4),9)</f>
        <v>4.5</v>
      </c>
      <c r="J160">
        <v>0</v>
      </c>
      <c r="K160">
        <f>ROUND(ROUND(450/100,4),9)</f>
        <v>4.5</v>
      </c>
      <c r="O160">
        <f t="shared" si="102"/>
        <v>7384.32</v>
      </c>
      <c r="P160">
        <f t="shared" si="103"/>
        <v>771.33</v>
      </c>
      <c r="Q160">
        <f>(ROUND((ROUND((((ET160*1.1))*AV160*I160),2)*BB160),2)+ROUND((ROUND(((AE160-((EU160*1.1)))*AV160*I160),2)*BS160),2))</f>
        <v>197.86</v>
      </c>
      <c r="R160">
        <f t="shared" si="104"/>
        <v>85.23</v>
      </c>
      <c r="S160">
        <f t="shared" si="105"/>
        <v>6415.13</v>
      </c>
      <c r="T160">
        <f t="shared" si="106"/>
        <v>0</v>
      </c>
      <c r="U160">
        <f t="shared" si="107"/>
        <v>9.4842495000000007</v>
      </c>
      <c r="V160">
        <f t="shared" si="108"/>
        <v>0</v>
      </c>
      <c r="W160">
        <f t="shared" si="109"/>
        <v>0</v>
      </c>
      <c r="X160">
        <f t="shared" si="110"/>
        <v>6305.35</v>
      </c>
      <c r="Y160">
        <f t="shared" si="111"/>
        <v>3315.18</v>
      </c>
      <c r="AA160">
        <v>59213213</v>
      </c>
      <c r="AB160">
        <f t="shared" si="112"/>
        <v>83.113</v>
      </c>
      <c r="AC160">
        <f>ROUND(((ES160*1)),6)</f>
        <v>55.47</v>
      </c>
      <c r="AD160">
        <f>ROUND(((((ET160*1.1))-((EU160*1.1)))+AE160),6)</f>
        <v>2.8820000000000001</v>
      </c>
      <c r="AE160">
        <f>ROUND(((EU160*1.1)),6)</f>
        <v>0.33</v>
      </c>
      <c r="AF160">
        <f>ROUND(((EV160*1.1)),6)</f>
        <v>24.760999999999999</v>
      </c>
      <c r="AG160">
        <f t="shared" si="113"/>
        <v>0</v>
      </c>
      <c r="AH160">
        <f>((EW160*1.1))</f>
        <v>2.0130000000000003</v>
      </c>
      <c r="AI160">
        <f>((EX160*1.1))</f>
        <v>0</v>
      </c>
      <c r="AJ160">
        <f t="shared" si="114"/>
        <v>0</v>
      </c>
      <c r="AK160">
        <v>80.599999999999994</v>
      </c>
      <c r="AL160">
        <v>55.47</v>
      </c>
      <c r="AM160">
        <v>2.62</v>
      </c>
      <c r="AN160">
        <v>0.3</v>
      </c>
      <c r="AO160">
        <v>22.51</v>
      </c>
      <c r="AP160">
        <v>0</v>
      </c>
      <c r="AQ160">
        <v>1.83</v>
      </c>
      <c r="AR160">
        <v>0</v>
      </c>
      <c r="AS160">
        <v>0</v>
      </c>
      <c r="AT160">
        <v>97</v>
      </c>
      <c r="AU160">
        <v>51</v>
      </c>
      <c r="AV160">
        <v>1.0469999999999999</v>
      </c>
      <c r="AW160">
        <v>1</v>
      </c>
      <c r="AZ160">
        <v>1</v>
      </c>
      <c r="BA160">
        <v>54.99</v>
      </c>
      <c r="BB160">
        <v>14.57</v>
      </c>
      <c r="BC160">
        <v>3.09</v>
      </c>
      <c r="BD160" t="s">
        <v>3</v>
      </c>
      <c r="BE160" t="s">
        <v>3</v>
      </c>
      <c r="BF160" t="s">
        <v>3</v>
      </c>
      <c r="BG160" t="s">
        <v>3</v>
      </c>
      <c r="BH160">
        <v>0</v>
      </c>
      <c r="BI160">
        <v>2</v>
      </c>
      <c r="BJ160" t="s">
        <v>279</v>
      </c>
      <c r="BM160">
        <v>67</v>
      </c>
      <c r="BN160">
        <v>58808062</v>
      </c>
      <c r="BO160" t="s">
        <v>277</v>
      </c>
      <c r="BP160">
        <v>1</v>
      </c>
      <c r="BQ160">
        <v>40</v>
      </c>
      <c r="BR160">
        <v>0</v>
      </c>
      <c r="BS160">
        <v>54.99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97</v>
      </c>
      <c r="CA160">
        <v>51</v>
      </c>
      <c r="CB160" t="s">
        <v>3</v>
      </c>
      <c r="CE160">
        <v>30</v>
      </c>
      <c r="CF160">
        <v>0</v>
      </c>
      <c r="CG160">
        <v>0</v>
      </c>
      <c r="CM160">
        <v>0</v>
      </c>
      <c r="CN160" t="s">
        <v>492</v>
      </c>
      <c r="CO160">
        <v>0</v>
      </c>
      <c r="CP160">
        <f t="shared" si="115"/>
        <v>7384.32</v>
      </c>
      <c r="CQ160">
        <f t="shared" si="116"/>
        <v>171.4</v>
      </c>
      <c r="CR160">
        <f>(ROUND((ROUND((((ET160*1.1))*AV160*1),2)*BB160),2)+ROUND((ROUND(((AE160-((EU160*1.1)))*AV160*1),2)*BS160),2))</f>
        <v>44</v>
      </c>
      <c r="CS160">
        <f t="shared" si="117"/>
        <v>19.25</v>
      </c>
      <c r="CT160">
        <f t="shared" si="118"/>
        <v>1425.34</v>
      </c>
      <c r="CU160">
        <f t="shared" si="119"/>
        <v>0</v>
      </c>
      <c r="CV160">
        <f t="shared" si="120"/>
        <v>2.1076110000000003</v>
      </c>
      <c r="CW160">
        <f t="shared" si="121"/>
        <v>0</v>
      </c>
      <c r="CX160">
        <f t="shared" si="122"/>
        <v>0</v>
      </c>
      <c r="CY160">
        <f t="shared" si="123"/>
        <v>6305.3491999999997</v>
      </c>
      <c r="CZ160">
        <f t="shared" si="124"/>
        <v>3315.1835999999998</v>
      </c>
      <c r="DB160">
        <v>46</v>
      </c>
      <c r="DC160" t="s">
        <v>3</v>
      </c>
      <c r="DD160" t="s">
        <v>25</v>
      </c>
      <c r="DE160" t="s">
        <v>26</v>
      </c>
      <c r="DF160" t="s">
        <v>26</v>
      </c>
      <c r="DG160" t="s">
        <v>26</v>
      </c>
      <c r="DH160" t="s">
        <v>3</v>
      </c>
      <c r="DI160" t="s">
        <v>26</v>
      </c>
      <c r="DJ160" t="s">
        <v>26</v>
      </c>
      <c r="DK160" t="s">
        <v>3</v>
      </c>
      <c r="DL160" t="s">
        <v>3</v>
      </c>
      <c r="DM160" t="s">
        <v>3</v>
      </c>
      <c r="DN160">
        <v>0</v>
      </c>
      <c r="DO160">
        <v>0</v>
      </c>
      <c r="DP160">
        <v>1</v>
      </c>
      <c r="DQ160">
        <v>1</v>
      </c>
      <c r="DU160">
        <v>1003</v>
      </c>
      <c r="DV160" t="s">
        <v>215</v>
      </c>
      <c r="DW160" t="s">
        <v>215</v>
      </c>
      <c r="DX160">
        <v>100</v>
      </c>
      <c r="DZ160" t="s">
        <v>3</v>
      </c>
      <c r="EA160" t="s">
        <v>3</v>
      </c>
      <c r="EB160" t="s">
        <v>3</v>
      </c>
      <c r="EC160" t="s">
        <v>3</v>
      </c>
      <c r="EE160">
        <v>58808177</v>
      </c>
      <c r="EF160">
        <v>40</v>
      </c>
      <c r="EG160" t="s">
        <v>27</v>
      </c>
      <c r="EH160">
        <v>0</v>
      </c>
      <c r="EI160" t="s">
        <v>3</v>
      </c>
      <c r="EJ160">
        <v>2</v>
      </c>
      <c r="EK160">
        <v>67</v>
      </c>
      <c r="EL160" t="s">
        <v>217</v>
      </c>
      <c r="EM160" t="s">
        <v>218</v>
      </c>
      <c r="EO160" t="s">
        <v>30</v>
      </c>
      <c r="EQ160">
        <v>0</v>
      </c>
      <c r="ER160">
        <v>80.599999999999994</v>
      </c>
      <c r="ES160">
        <v>55.47</v>
      </c>
      <c r="ET160">
        <v>2.62</v>
      </c>
      <c r="EU160">
        <v>0.3</v>
      </c>
      <c r="EV160">
        <v>22.51</v>
      </c>
      <c r="EW160">
        <v>1.83</v>
      </c>
      <c r="EX160">
        <v>0</v>
      </c>
      <c r="EY160">
        <v>0</v>
      </c>
      <c r="FQ160">
        <v>0</v>
      </c>
      <c r="FR160">
        <v>0</v>
      </c>
      <c r="FS160">
        <v>0</v>
      </c>
      <c r="FX160">
        <v>97</v>
      </c>
      <c r="FY160">
        <v>51</v>
      </c>
      <c r="GA160" t="s">
        <v>3</v>
      </c>
      <c r="GD160">
        <v>1</v>
      </c>
      <c r="GF160">
        <v>1118340632</v>
      </c>
      <c r="GG160">
        <v>2</v>
      </c>
      <c r="GH160">
        <v>1</v>
      </c>
      <c r="GI160">
        <v>2</v>
      </c>
      <c r="GJ160">
        <v>0</v>
      </c>
      <c r="GK160">
        <v>0</v>
      </c>
      <c r="GL160">
        <f t="shared" si="125"/>
        <v>0</v>
      </c>
      <c r="GM160">
        <f t="shared" si="126"/>
        <v>17004.849999999999</v>
      </c>
      <c r="GN160">
        <f t="shared" si="127"/>
        <v>0</v>
      </c>
      <c r="GO160">
        <f t="shared" si="128"/>
        <v>17004.849999999999</v>
      </c>
      <c r="GP160">
        <f t="shared" si="129"/>
        <v>0</v>
      </c>
      <c r="GR160">
        <v>0</v>
      </c>
      <c r="GS160">
        <v>3</v>
      </c>
      <c r="GT160">
        <v>0</v>
      </c>
      <c r="GU160" t="s">
        <v>3</v>
      </c>
      <c r="GV160">
        <f t="shared" si="130"/>
        <v>0</v>
      </c>
      <c r="GW160">
        <v>1</v>
      </c>
      <c r="GX160">
        <f t="shared" si="131"/>
        <v>0</v>
      </c>
      <c r="HA160">
        <v>0</v>
      </c>
      <c r="HB160">
        <v>0</v>
      </c>
      <c r="HC160">
        <f t="shared" si="132"/>
        <v>0</v>
      </c>
      <c r="HE160" t="s">
        <v>3</v>
      </c>
      <c r="HF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2">
      <c r="A161" s="2">
        <v>18</v>
      </c>
      <c r="B161" s="2">
        <v>1</v>
      </c>
      <c r="C161" s="2">
        <v>225</v>
      </c>
      <c r="D161" s="2"/>
      <c r="E161" s="2" t="s">
        <v>282</v>
      </c>
      <c r="F161" s="2" t="s">
        <v>283</v>
      </c>
      <c r="G161" s="2" t="s">
        <v>284</v>
      </c>
      <c r="H161" s="2" t="s">
        <v>222</v>
      </c>
      <c r="I161" s="2">
        <f>I159*J161</f>
        <v>459</v>
      </c>
      <c r="J161" s="2">
        <v>102</v>
      </c>
      <c r="K161" s="2">
        <v>102</v>
      </c>
      <c r="L161" s="2"/>
      <c r="M161" s="2"/>
      <c r="N161" s="2"/>
      <c r="O161" s="2">
        <f t="shared" si="102"/>
        <v>2322.54</v>
      </c>
      <c r="P161" s="2">
        <f t="shared" si="103"/>
        <v>2322.54</v>
      </c>
      <c r="Q161" s="2">
        <f>(ROUND((ROUND(((ET161)*AV161*I161),2)*BB161),2)+ROUND((ROUND(((AE161-(EU161))*AV161*I161),2)*BS161),2))</f>
        <v>0</v>
      </c>
      <c r="R161" s="2">
        <f t="shared" si="104"/>
        <v>0</v>
      </c>
      <c r="S161" s="2">
        <f t="shared" si="105"/>
        <v>0</v>
      </c>
      <c r="T161" s="2">
        <f t="shared" si="106"/>
        <v>0</v>
      </c>
      <c r="U161" s="2">
        <f t="shared" si="107"/>
        <v>0</v>
      </c>
      <c r="V161" s="2">
        <f t="shared" si="108"/>
        <v>0</v>
      </c>
      <c r="W161" s="2">
        <f t="shared" si="109"/>
        <v>0</v>
      </c>
      <c r="X161" s="2">
        <f t="shared" si="110"/>
        <v>0</v>
      </c>
      <c r="Y161" s="2">
        <f t="shared" si="111"/>
        <v>0</v>
      </c>
      <c r="Z161" s="2"/>
      <c r="AA161" s="2">
        <v>59213216</v>
      </c>
      <c r="AB161" s="2">
        <f t="shared" si="112"/>
        <v>5.0599999999999996</v>
      </c>
      <c r="AC161" s="2">
        <f>ROUND((ES161),6)</f>
        <v>5.0599999999999996</v>
      </c>
      <c r="AD161" s="2">
        <f>ROUND((((ET161)-(EU161))+AE161),6)</f>
        <v>0</v>
      </c>
      <c r="AE161" s="2">
        <f>ROUND((EU161),6)</f>
        <v>0</v>
      </c>
      <c r="AF161" s="2">
        <f>ROUND((EV161),6)</f>
        <v>0</v>
      </c>
      <c r="AG161" s="2">
        <f t="shared" si="113"/>
        <v>0</v>
      </c>
      <c r="AH161" s="2">
        <f>(EW161)</f>
        <v>0</v>
      </c>
      <c r="AI161" s="2">
        <f>(EX161)</f>
        <v>0</v>
      </c>
      <c r="AJ161" s="2">
        <f t="shared" si="114"/>
        <v>0</v>
      </c>
      <c r="AK161" s="2">
        <v>5.0599999999999996</v>
      </c>
      <c r="AL161" s="2">
        <v>5.0599999999999996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97</v>
      </c>
      <c r="AU161" s="2">
        <v>51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2</v>
      </c>
      <c r="BJ161" s="2" t="s">
        <v>3</v>
      </c>
      <c r="BK161" s="2"/>
      <c r="BL161" s="2"/>
      <c r="BM161" s="2">
        <v>67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97</v>
      </c>
      <c r="CA161" s="2">
        <v>51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15"/>
        <v>2322.54</v>
      </c>
      <c r="CQ161" s="2">
        <f t="shared" si="116"/>
        <v>5.0599999999999996</v>
      </c>
      <c r="CR161" s="2">
        <f>(ROUND((ROUND(((ET161)*AV161*1),2)*BB161),2)+ROUND((ROUND(((AE161-(EU161))*AV161*1),2)*BS161),2))</f>
        <v>0</v>
      </c>
      <c r="CS161" s="2">
        <f t="shared" si="117"/>
        <v>0</v>
      </c>
      <c r="CT161" s="2">
        <f t="shared" si="118"/>
        <v>0</v>
      </c>
      <c r="CU161" s="2">
        <f t="shared" si="119"/>
        <v>0</v>
      </c>
      <c r="CV161" s="2">
        <f t="shared" si="120"/>
        <v>0</v>
      </c>
      <c r="CW161" s="2">
        <f t="shared" si="121"/>
        <v>0</v>
      </c>
      <c r="CX161" s="2">
        <f t="shared" si="122"/>
        <v>0</v>
      </c>
      <c r="CY161" s="2">
        <f t="shared" si="123"/>
        <v>0</v>
      </c>
      <c r="CZ161" s="2">
        <f t="shared" si="124"/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1003</v>
      </c>
      <c r="DV161" s="2" t="s">
        <v>222</v>
      </c>
      <c r="DW161" s="2" t="s">
        <v>222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58808177</v>
      </c>
      <c r="EF161" s="2">
        <v>40</v>
      </c>
      <c r="EG161" s="2" t="s">
        <v>27</v>
      </c>
      <c r="EH161" s="2">
        <v>0</v>
      </c>
      <c r="EI161" s="2" t="s">
        <v>3</v>
      </c>
      <c r="EJ161" s="2">
        <v>2</v>
      </c>
      <c r="EK161" s="2">
        <v>67</v>
      </c>
      <c r="EL161" s="2" t="s">
        <v>217</v>
      </c>
      <c r="EM161" s="2" t="s">
        <v>218</v>
      </c>
      <c r="EN161" s="2"/>
      <c r="EO161" s="2" t="s">
        <v>3</v>
      </c>
      <c r="EP161" s="2"/>
      <c r="EQ161" s="2">
        <v>0</v>
      </c>
      <c r="ER161" s="2">
        <v>0</v>
      </c>
      <c r="ES161" s="2">
        <v>5.0599999999999996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97</v>
      </c>
      <c r="FY161" s="2">
        <v>51</v>
      </c>
      <c r="FZ161" s="2"/>
      <c r="GA161" s="2" t="s">
        <v>285</v>
      </c>
      <c r="GB161" s="2"/>
      <c r="GC161" s="2"/>
      <c r="GD161" s="2">
        <v>1</v>
      </c>
      <c r="GE161" s="2"/>
      <c r="GF161" s="2">
        <v>-76986313</v>
      </c>
      <c r="GG161" s="2">
        <v>2</v>
      </c>
      <c r="GH161" s="2">
        <v>4</v>
      </c>
      <c r="GI161" s="2">
        <v>0</v>
      </c>
      <c r="GJ161" s="2">
        <v>0</v>
      </c>
      <c r="GK161" s="2">
        <v>0</v>
      </c>
      <c r="GL161" s="2">
        <f t="shared" si="125"/>
        <v>0</v>
      </c>
      <c r="GM161" s="2">
        <f t="shared" si="126"/>
        <v>2322.54</v>
      </c>
      <c r="GN161" s="2">
        <f t="shared" si="127"/>
        <v>0</v>
      </c>
      <c r="GO161" s="2">
        <f t="shared" si="128"/>
        <v>2322.54</v>
      </c>
      <c r="GP161" s="2">
        <f t="shared" si="129"/>
        <v>0</v>
      </c>
      <c r="GQ161" s="2"/>
      <c r="GR161" s="2">
        <v>2</v>
      </c>
      <c r="GS161" s="2">
        <v>2</v>
      </c>
      <c r="GT161" s="2">
        <v>0</v>
      </c>
      <c r="GU161" s="2" t="s">
        <v>3</v>
      </c>
      <c r="GV161" s="2">
        <f t="shared" si="130"/>
        <v>0</v>
      </c>
      <c r="GW161" s="2">
        <v>1</v>
      </c>
      <c r="GX161" s="2">
        <f t="shared" si="131"/>
        <v>0</v>
      </c>
      <c r="GY161" s="2"/>
      <c r="GZ161" s="2"/>
      <c r="HA161" s="2">
        <v>0</v>
      </c>
      <c r="HB161" s="2">
        <v>0</v>
      </c>
      <c r="HC161" s="2">
        <f t="shared" si="132"/>
        <v>0</v>
      </c>
      <c r="HD161" s="2"/>
      <c r="HE161" s="2" t="s">
        <v>93</v>
      </c>
      <c r="HF161" s="2" t="s">
        <v>31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>
        <v>18</v>
      </c>
      <c r="B162">
        <v>1</v>
      </c>
      <c r="C162">
        <v>234</v>
      </c>
      <c r="E162" t="s">
        <v>282</v>
      </c>
      <c r="F162" t="s">
        <v>283</v>
      </c>
      <c r="G162" t="s">
        <v>284</v>
      </c>
      <c r="H162" t="s">
        <v>222</v>
      </c>
      <c r="I162">
        <f>I160*J162</f>
        <v>459</v>
      </c>
      <c r="J162">
        <v>102</v>
      </c>
      <c r="K162">
        <v>102</v>
      </c>
      <c r="O162">
        <f t="shared" si="102"/>
        <v>22946.7</v>
      </c>
      <c r="P162">
        <f t="shared" si="103"/>
        <v>22946.7</v>
      </c>
      <c r="Q162">
        <f>(ROUND((ROUND(((ET162)*AV162*I162),2)*BB162),2)+ROUND((ROUND(((AE162-(EU162))*AV162*I162),2)*BS162),2))</f>
        <v>0</v>
      </c>
      <c r="R162">
        <f t="shared" si="104"/>
        <v>0</v>
      </c>
      <c r="S162">
        <f t="shared" si="105"/>
        <v>0</v>
      </c>
      <c r="T162">
        <f t="shared" si="106"/>
        <v>0</v>
      </c>
      <c r="U162">
        <f t="shared" si="107"/>
        <v>0</v>
      </c>
      <c r="V162">
        <f t="shared" si="108"/>
        <v>0</v>
      </c>
      <c r="W162">
        <f t="shared" si="109"/>
        <v>0</v>
      </c>
      <c r="X162">
        <f t="shared" si="110"/>
        <v>0</v>
      </c>
      <c r="Y162">
        <f t="shared" si="111"/>
        <v>0</v>
      </c>
      <c r="AA162">
        <v>59213213</v>
      </c>
      <c r="AB162">
        <f t="shared" si="112"/>
        <v>5.0599999999999996</v>
      </c>
      <c r="AC162">
        <f>ROUND((ES162),6)</f>
        <v>5.0599999999999996</v>
      </c>
      <c r="AD162">
        <f>ROUND((((ET162)-(EU162))+AE162),6)</f>
        <v>0</v>
      </c>
      <c r="AE162">
        <f>ROUND((EU162),6)</f>
        <v>0</v>
      </c>
      <c r="AF162">
        <f>ROUND((EV162),6)</f>
        <v>0</v>
      </c>
      <c r="AG162">
        <f t="shared" si="113"/>
        <v>0</v>
      </c>
      <c r="AH162">
        <f>(EW162)</f>
        <v>0</v>
      </c>
      <c r="AI162">
        <f>(EX162)</f>
        <v>0</v>
      </c>
      <c r="AJ162">
        <f t="shared" si="114"/>
        <v>0</v>
      </c>
      <c r="AK162">
        <v>5.0599999999999996</v>
      </c>
      <c r="AL162">
        <v>5.0599999999999996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97</v>
      </c>
      <c r="AU162">
        <v>51</v>
      </c>
      <c r="AV162">
        <v>1</v>
      </c>
      <c r="AW162">
        <v>1</v>
      </c>
      <c r="AZ162">
        <v>1</v>
      </c>
      <c r="BA162">
        <v>1</v>
      </c>
      <c r="BB162">
        <v>1</v>
      </c>
      <c r="BC162">
        <v>9.8800000000000008</v>
      </c>
      <c r="BD162" t="s">
        <v>3</v>
      </c>
      <c r="BE162" t="s">
        <v>3</v>
      </c>
      <c r="BF162" t="s">
        <v>3</v>
      </c>
      <c r="BG162" t="s">
        <v>3</v>
      </c>
      <c r="BH162">
        <v>3</v>
      </c>
      <c r="BI162">
        <v>2</v>
      </c>
      <c r="BJ162" t="s">
        <v>3</v>
      </c>
      <c r="BM162">
        <v>67</v>
      </c>
      <c r="BN162">
        <v>0</v>
      </c>
      <c r="BO162" t="s">
        <v>3</v>
      </c>
      <c r="BP162">
        <v>0</v>
      </c>
      <c r="BQ162">
        <v>40</v>
      </c>
      <c r="BR162">
        <v>0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 t="s">
        <v>3</v>
      </c>
      <c r="BZ162">
        <v>97</v>
      </c>
      <c r="CA162">
        <v>51</v>
      </c>
      <c r="CB162" t="s">
        <v>3</v>
      </c>
      <c r="CE162">
        <v>30</v>
      </c>
      <c r="CF162">
        <v>0</v>
      </c>
      <c r="CG162">
        <v>0</v>
      </c>
      <c r="CM162">
        <v>0</v>
      </c>
      <c r="CN162" t="s">
        <v>3</v>
      </c>
      <c r="CO162">
        <v>0</v>
      </c>
      <c r="CP162">
        <f t="shared" si="115"/>
        <v>22946.7</v>
      </c>
      <c r="CQ162">
        <f t="shared" si="116"/>
        <v>49.99</v>
      </c>
      <c r="CR162">
        <f>(ROUND((ROUND(((ET162)*AV162*1),2)*BB162),2)+ROUND((ROUND(((AE162-(EU162))*AV162*1),2)*BS162),2))</f>
        <v>0</v>
      </c>
      <c r="CS162">
        <f t="shared" si="117"/>
        <v>0</v>
      </c>
      <c r="CT162">
        <f t="shared" si="118"/>
        <v>0</v>
      </c>
      <c r="CU162">
        <f t="shared" si="119"/>
        <v>0</v>
      </c>
      <c r="CV162">
        <f t="shared" si="120"/>
        <v>0</v>
      </c>
      <c r="CW162">
        <f t="shared" si="121"/>
        <v>0</v>
      </c>
      <c r="CX162">
        <f t="shared" si="122"/>
        <v>0</v>
      </c>
      <c r="CY162">
        <f t="shared" si="123"/>
        <v>0</v>
      </c>
      <c r="CZ162">
        <f t="shared" si="124"/>
        <v>0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>
        <v>0</v>
      </c>
      <c r="DO162">
        <v>0</v>
      </c>
      <c r="DP162">
        <v>1</v>
      </c>
      <c r="DQ162">
        <v>1</v>
      </c>
      <c r="DU162">
        <v>1003</v>
      </c>
      <c r="DV162" t="s">
        <v>222</v>
      </c>
      <c r="DW162" t="s">
        <v>222</v>
      </c>
      <c r="DX162">
        <v>1</v>
      </c>
      <c r="DZ162" t="s">
        <v>3</v>
      </c>
      <c r="EA162" t="s">
        <v>3</v>
      </c>
      <c r="EB162" t="s">
        <v>3</v>
      </c>
      <c r="EC162" t="s">
        <v>3</v>
      </c>
      <c r="EE162">
        <v>58808177</v>
      </c>
      <c r="EF162">
        <v>40</v>
      </c>
      <c r="EG162" t="s">
        <v>27</v>
      </c>
      <c r="EH162">
        <v>0</v>
      </c>
      <c r="EI162" t="s">
        <v>3</v>
      </c>
      <c r="EJ162">
        <v>2</v>
      </c>
      <c r="EK162">
        <v>67</v>
      </c>
      <c r="EL162" t="s">
        <v>217</v>
      </c>
      <c r="EM162" t="s">
        <v>218</v>
      </c>
      <c r="EO162" t="s">
        <v>3</v>
      </c>
      <c r="EQ162">
        <v>0</v>
      </c>
      <c r="ER162">
        <v>0</v>
      </c>
      <c r="ES162">
        <v>5.0599999999999996</v>
      </c>
      <c r="ET162">
        <v>0</v>
      </c>
      <c r="EU162">
        <v>0</v>
      </c>
      <c r="EV162">
        <v>0</v>
      </c>
      <c r="EW162">
        <v>0</v>
      </c>
      <c r="EX162">
        <v>0</v>
      </c>
      <c r="EZ162">
        <v>5</v>
      </c>
      <c r="FC162">
        <v>1</v>
      </c>
      <c r="FD162">
        <v>18</v>
      </c>
      <c r="FF162">
        <v>58.82</v>
      </c>
      <c r="FQ162">
        <v>0</v>
      </c>
      <c r="FR162">
        <v>0</v>
      </c>
      <c r="FS162">
        <v>0</v>
      </c>
      <c r="FX162">
        <v>97</v>
      </c>
      <c r="FY162">
        <v>51</v>
      </c>
      <c r="GA162" t="s">
        <v>285</v>
      </c>
      <c r="GD162">
        <v>1</v>
      </c>
      <c r="GF162">
        <v>-76986313</v>
      </c>
      <c r="GG162">
        <v>2</v>
      </c>
      <c r="GH162">
        <v>2</v>
      </c>
      <c r="GI162">
        <v>5</v>
      </c>
      <c r="GJ162">
        <v>0</v>
      </c>
      <c r="GK162">
        <v>0</v>
      </c>
      <c r="GL162">
        <f t="shared" si="125"/>
        <v>0</v>
      </c>
      <c r="GM162">
        <f t="shared" si="126"/>
        <v>22946.7</v>
      </c>
      <c r="GN162">
        <f t="shared" si="127"/>
        <v>0</v>
      </c>
      <c r="GO162">
        <f t="shared" si="128"/>
        <v>22946.7</v>
      </c>
      <c r="GP162">
        <f t="shared" si="129"/>
        <v>0</v>
      </c>
      <c r="GR162">
        <v>2</v>
      </c>
      <c r="GS162">
        <v>1</v>
      </c>
      <c r="GT162">
        <v>0</v>
      </c>
      <c r="GU162" t="s">
        <v>3</v>
      </c>
      <c r="GV162">
        <f t="shared" si="130"/>
        <v>0</v>
      </c>
      <c r="GW162">
        <v>1</v>
      </c>
      <c r="GX162">
        <f t="shared" si="131"/>
        <v>0</v>
      </c>
      <c r="HA162">
        <v>0</v>
      </c>
      <c r="HB162">
        <v>0</v>
      </c>
      <c r="HC162">
        <f t="shared" si="132"/>
        <v>0</v>
      </c>
      <c r="HE162" t="s">
        <v>93</v>
      </c>
      <c r="HF162" t="s">
        <v>31</v>
      </c>
      <c r="HM162" t="s">
        <v>3</v>
      </c>
      <c r="HN162" t="s">
        <v>3</v>
      </c>
      <c r="HO162" t="s">
        <v>3</v>
      </c>
      <c r="HP162" t="s">
        <v>3</v>
      </c>
      <c r="HQ162" t="s">
        <v>3</v>
      </c>
      <c r="HS162">
        <v>0</v>
      </c>
      <c r="IK162">
        <v>0</v>
      </c>
    </row>
    <row r="164" spans="1:255" x14ac:dyDescent="0.2">
      <c r="A164" s="3">
        <v>51</v>
      </c>
      <c r="B164" s="3">
        <f>B121</f>
        <v>1</v>
      </c>
      <c r="C164" s="3">
        <f>A121</f>
        <v>4</v>
      </c>
      <c r="D164" s="3">
        <f>ROW(A121)</f>
        <v>121</v>
      </c>
      <c r="E164" s="3"/>
      <c r="F164" s="3" t="str">
        <f>IF(F121&lt;&gt;"",F121,"")</f>
        <v>Новый раздел</v>
      </c>
      <c r="G164" s="3" t="str">
        <f>IF(G121&lt;&gt;"",G121,"")</f>
        <v>Кабельные изделия и материалы</v>
      </c>
      <c r="H164" s="3">
        <v>0</v>
      </c>
      <c r="I164" s="3"/>
      <c r="J164" s="3"/>
      <c r="K164" s="3"/>
      <c r="L164" s="3"/>
      <c r="M164" s="3"/>
      <c r="N164" s="3"/>
      <c r="O164" s="3">
        <f t="shared" ref="O164:T164" si="139">ROUND(AB164,2)</f>
        <v>25071.14</v>
      </c>
      <c r="P164" s="3">
        <f t="shared" si="139"/>
        <v>20467.3</v>
      </c>
      <c r="Q164" s="3">
        <f t="shared" si="139"/>
        <v>587.84</v>
      </c>
      <c r="R164" s="3">
        <f t="shared" si="139"/>
        <v>95.95</v>
      </c>
      <c r="S164" s="3">
        <f t="shared" si="139"/>
        <v>4016</v>
      </c>
      <c r="T164" s="3">
        <f t="shared" si="139"/>
        <v>0</v>
      </c>
      <c r="U164" s="3">
        <f>AH164</f>
        <v>316.50904229999998</v>
      </c>
      <c r="V164" s="3">
        <f>AI164</f>
        <v>0</v>
      </c>
      <c r="W164" s="3">
        <f>ROUND(AJ164,2)</f>
        <v>0</v>
      </c>
      <c r="X164" s="3">
        <f>ROUND(AK164,2)</f>
        <v>3988.58</v>
      </c>
      <c r="Y164" s="3">
        <f>ROUND(AL164,2)</f>
        <v>2097.09</v>
      </c>
      <c r="Z164" s="3"/>
      <c r="AA164" s="3"/>
      <c r="AB164" s="3">
        <f>ROUND(SUMIF(AA125:AA162,"=59213216",O125:O162),2)</f>
        <v>25071.14</v>
      </c>
      <c r="AC164" s="3">
        <f>ROUND(SUMIF(AA125:AA162,"=59213216",P125:P162),2)</f>
        <v>20467.3</v>
      </c>
      <c r="AD164" s="3">
        <f>ROUND(SUMIF(AA125:AA162,"=59213216",Q125:Q162),2)</f>
        <v>587.84</v>
      </c>
      <c r="AE164" s="3">
        <f>ROUND(SUMIF(AA125:AA162,"=59213216",R125:R162),2)</f>
        <v>95.95</v>
      </c>
      <c r="AF164" s="3">
        <f>ROUND(SUMIF(AA125:AA162,"=59213216",S125:S162),2)</f>
        <v>4016</v>
      </c>
      <c r="AG164" s="3">
        <f>ROUND(SUMIF(AA125:AA162,"=59213216",T125:T162),2)</f>
        <v>0</v>
      </c>
      <c r="AH164" s="3">
        <f>SUMIF(AA125:AA162,"=59213216",U125:U162)</f>
        <v>316.50904229999998</v>
      </c>
      <c r="AI164" s="3">
        <f>SUMIF(AA125:AA162,"=59213216",V125:V162)</f>
        <v>0</v>
      </c>
      <c r="AJ164" s="3">
        <f>ROUND(SUMIF(AA125:AA162,"=59213216",W125:W162),2)</f>
        <v>0</v>
      </c>
      <c r="AK164" s="3">
        <f>ROUND(SUMIF(AA125:AA162,"=59213216",X125:X162),2)</f>
        <v>3988.58</v>
      </c>
      <c r="AL164" s="3">
        <f>ROUND(SUMIF(AA125:AA162,"=59213216",Y125:Y162),2)</f>
        <v>2097.09</v>
      </c>
      <c r="AM164" s="3"/>
      <c r="AN164" s="3"/>
      <c r="AO164" s="3">
        <f t="shared" ref="AO164:BD164" si="140">ROUND(BX164,2)</f>
        <v>0</v>
      </c>
      <c r="AP164" s="3">
        <f t="shared" si="140"/>
        <v>0</v>
      </c>
      <c r="AQ164" s="3">
        <f t="shared" si="140"/>
        <v>0</v>
      </c>
      <c r="AR164" s="3">
        <f t="shared" si="140"/>
        <v>31156.81</v>
      </c>
      <c r="AS164" s="3">
        <f t="shared" si="140"/>
        <v>42.53</v>
      </c>
      <c r="AT164" s="3">
        <f t="shared" si="140"/>
        <v>31114.28</v>
      </c>
      <c r="AU164" s="3">
        <f t="shared" si="140"/>
        <v>0</v>
      </c>
      <c r="AV164" s="3">
        <f t="shared" si="140"/>
        <v>20467.3</v>
      </c>
      <c r="AW164" s="3">
        <f t="shared" si="140"/>
        <v>20467.3</v>
      </c>
      <c r="AX164" s="3">
        <f t="shared" si="140"/>
        <v>0</v>
      </c>
      <c r="AY164" s="3">
        <f t="shared" si="140"/>
        <v>20467.3</v>
      </c>
      <c r="AZ164" s="3">
        <f t="shared" si="140"/>
        <v>0</v>
      </c>
      <c r="BA164" s="3">
        <f t="shared" si="140"/>
        <v>0</v>
      </c>
      <c r="BB164" s="3">
        <f t="shared" si="140"/>
        <v>0</v>
      </c>
      <c r="BC164" s="3">
        <f t="shared" si="140"/>
        <v>0</v>
      </c>
      <c r="BD164" s="3">
        <f t="shared" si="140"/>
        <v>0</v>
      </c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>
        <f>ROUND(SUMIF(AA125:AA162,"=59213216",FQ125:FQ162),2)</f>
        <v>0</v>
      </c>
      <c r="BY164" s="3">
        <f>ROUND(SUMIF(AA125:AA162,"=59213216",FR125:FR162),2)</f>
        <v>0</v>
      </c>
      <c r="BZ164" s="3">
        <f>ROUND(SUMIF(AA125:AA162,"=59213216",GL125:GL162),2)</f>
        <v>0</v>
      </c>
      <c r="CA164" s="3">
        <f>ROUND(SUMIF(AA125:AA162,"=59213216",GM125:GM162),2)</f>
        <v>31156.81</v>
      </c>
      <c r="CB164" s="3">
        <f>ROUND(SUMIF(AA125:AA162,"=59213216",GN125:GN162),2)</f>
        <v>42.53</v>
      </c>
      <c r="CC164" s="3">
        <f>ROUND(SUMIF(AA125:AA162,"=59213216",GO125:GO162),2)</f>
        <v>31114.28</v>
      </c>
      <c r="CD164" s="3">
        <f>ROUND(SUMIF(AA125:AA162,"=59213216",GP125:GP162),2)</f>
        <v>0</v>
      </c>
      <c r="CE164" s="3">
        <f>AC164-BX164</f>
        <v>20467.3</v>
      </c>
      <c r="CF164" s="3">
        <f>AC164-BY164</f>
        <v>20467.3</v>
      </c>
      <c r="CG164" s="3">
        <f>BX164-BZ164</f>
        <v>0</v>
      </c>
      <c r="CH164" s="3">
        <f>AC164-BX164-BY164+BZ164</f>
        <v>20467.3</v>
      </c>
      <c r="CI164" s="3">
        <f>BY164-BZ164</f>
        <v>0</v>
      </c>
      <c r="CJ164" s="3">
        <f>ROUND(SUMIF(AA125:AA162,"=59213216",GX125:GX162),2)</f>
        <v>0</v>
      </c>
      <c r="CK164" s="3">
        <f>ROUND(SUMIF(AA125:AA162,"=59213216",GY125:GY162),2)</f>
        <v>0</v>
      </c>
      <c r="CL164" s="3">
        <f>ROUND(SUMIF(AA125:AA162,"=59213216",GZ125:GZ162),2)</f>
        <v>0</v>
      </c>
      <c r="CM164" s="3">
        <f>ROUND(SUMIF(AA125:AA162,"=59213216",HD125:HD162),2)</f>
        <v>0</v>
      </c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4">
        <f t="shared" ref="DG164:DL164" si="141">ROUND(DT164,2)</f>
        <v>370293.04</v>
      </c>
      <c r="DH164" s="4">
        <f t="shared" si="141"/>
        <v>139283.34</v>
      </c>
      <c r="DI164" s="4">
        <f t="shared" si="141"/>
        <v>10169.86</v>
      </c>
      <c r="DJ164" s="4">
        <f t="shared" si="141"/>
        <v>5276.29</v>
      </c>
      <c r="DK164" s="4">
        <f t="shared" si="141"/>
        <v>220839.84</v>
      </c>
      <c r="DL164" s="4">
        <f t="shared" si="141"/>
        <v>0</v>
      </c>
      <c r="DM164" s="4">
        <f>DZ164</f>
        <v>316.50904229999998</v>
      </c>
      <c r="DN164" s="4">
        <f>EA164</f>
        <v>0</v>
      </c>
      <c r="DO164" s="4">
        <f>ROUND(EB164,2)</f>
        <v>0</v>
      </c>
      <c r="DP164" s="4">
        <f>ROUND(EC164,2)</f>
        <v>219332.65</v>
      </c>
      <c r="DQ164" s="4">
        <f>ROUND(ED164,2)</f>
        <v>115319.22</v>
      </c>
      <c r="DR164" s="4"/>
      <c r="DS164" s="4"/>
      <c r="DT164" s="4">
        <f>ROUND(SUMIF(AA125:AA162,"=59213213",O125:O162),2)</f>
        <v>370293.04</v>
      </c>
      <c r="DU164" s="4">
        <f>ROUND(SUMIF(AA125:AA162,"=59213213",P125:P162),2)</f>
        <v>139283.34</v>
      </c>
      <c r="DV164" s="4">
        <f>ROUND(SUMIF(AA125:AA162,"=59213213",Q125:Q162),2)</f>
        <v>10169.86</v>
      </c>
      <c r="DW164" s="4">
        <f>ROUND(SUMIF(AA125:AA162,"=59213213",R125:R162),2)</f>
        <v>5276.29</v>
      </c>
      <c r="DX164" s="4">
        <f>ROUND(SUMIF(AA125:AA162,"=59213213",S125:S162),2)</f>
        <v>220839.84</v>
      </c>
      <c r="DY164" s="4">
        <f>ROUND(SUMIF(AA125:AA162,"=59213213",T125:T162),2)</f>
        <v>0</v>
      </c>
      <c r="DZ164" s="4">
        <f>SUMIF(AA125:AA162,"=59213213",U125:U162)</f>
        <v>316.50904229999998</v>
      </c>
      <c r="EA164" s="4">
        <f>SUMIF(AA125:AA162,"=59213213",V125:V162)</f>
        <v>0</v>
      </c>
      <c r="EB164" s="4">
        <f>ROUND(SUMIF(AA125:AA162,"=59213213",W125:W162),2)</f>
        <v>0</v>
      </c>
      <c r="EC164" s="4">
        <f>ROUND(SUMIF(AA125:AA162,"=59213213",X125:X162),2)</f>
        <v>219332.65</v>
      </c>
      <c r="ED164" s="4">
        <f>ROUND(SUMIF(AA125:AA162,"=59213213",Y125:Y162),2)</f>
        <v>115319.22</v>
      </c>
      <c r="EE164" s="4"/>
      <c r="EF164" s="4"/>
      <c r="EG164" s="4">
        <f t="shared" ref="EG164:EV164" si="142">ROUND(FP164,2)</f>
        <v>0</v>
      </c>
      <c r="EH164" s="4">
        <f t="shared" si="142"/>
        <v>0</v>
      </c>
      <c r="EI164" s="4">
        <f t="shared" si="142"/>
        <v>0</v>
      </c>
      <c r="EJ164" s="4">
        <f t="shared" si="142"/>
        <v>704944.91</v>
      </c>
      <c r="EK164" s="4">
        <f t="shared" si="142"/>
        <v>179.48</v>
      </c>
      <c r="EL164" s="4">
        <f t="shared" si="142"/>
        <v>704765.43</v>
      </c>
      <c r="EM164" s="4">
        <f t="shared" si="142"/>
        <v>0</v>
      </c>
      <c r="EN164" s="4">
        <f t="shared" si="142"/>
        <v>139283.34</v>
      </c>
      <c r="EO164" s="4">
        <f t="shared" si="142"/>
        <v>139283.34</v>
      </c>
      <c r="EP164" s="4">
        <f t="shared" si="142"/>
        <v>0</v>
      </c>
      <c r="EQ164" s="4">
        <f t="shared" si="142"/>
        <v>139283.34</v>
      </c>
      <c r="ER164" s="4">
        <f t="shared" si="142"/>
        <v>0</v>
      </c>
      <c r="ES164" s="4">
        <f t="shared" si="142"/>
        <v>0</v>
      </c>
      <c r="ET164" s="4">
        <f t="shared" si="142"/>
        <v>0</v>
      </c>
      <c r="EU164" s="4">
        <f t="shared" si="142"/>
        <v>0</v>
      </c>
      <c r="EV164" s="4">
        <f t="shared" si="142"/>
        <v>0</v>
      </c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>
        <f>ROUND(SUMIF(AA125:AA162,"=59213213",FQ125:FQ162),2)</f>
        <v>0</v>
      </c>
      <c r="FQ164" s="4">
        <f>ROUND(SUMIF(AA125:AA162,"=59213213",FR125:FR162),2)</f>
        <v>0</v>
      </c>
      <c r="FR164" s="4">
        <f>ROUND(SUMIF(AA125:AA162,"=59213213",GL125:GL162),2)</f>
        <v>0</v>
      </c>
      <c r="FS164" s="4">
        <f>ROUND(SUMIF(AA125:AA162,"=59213213",GM125:GM162),2)</f>
        <v>704944.91</v>
      </c>
      <c r="FT164" s="4">
        <f>ROUND(SUMIF(AA125:AA162,"=59213213",GN125:GN162),2)</f>
        <v>179.48</v>
      </c>
      <c r="FU164" s="4">
        <f>ROUND(SUMIF(AA125:AA162,"=59213213",GO125:GO162),2)</f>
        <v>704765.43</v>
      </c>
      <c r="FV164" s="4">
        <f>ROUND(SUMIF(AA125:AA162,"=59213213",GP125:GP162),2)</f>
        <v>0</v>
      </c>
      <c r="FW164" s="4">
        <f>DU164-FP164</f>
        <v>139283.34</v>
      </c>
      <c r="FX164" s="4">
        <f>DU164-FQ164</f>
        <v>139283.34</v>
      </c>
      <c r="FY164" s="4">
        <f>FP164-FR164</f>
        <v>0</v>
      </c>
      <c r="FZ164" s="4">
        <f>DU164-FP164-FQ164+FR164</f>
        <v>139283.34</v>
      </c>
      <c r="GA164" s="4">
        <f>FQ164-FR164</f>
        <v>0</v>
      </c>
      <c r="GB164" s="4">
        <f>ROUND(SUMIF(AA125:AA162,"=59213213",GX125:GX162),2)</f>
        <v>0</v>
      </c>
      <c r="GC164" s="4">
        <f>ROUND(SUMIF(AA125:AA162,"=59213213",GY125:GY162),2)</f>
        <v>0</v>
      </c>
      <c r="GD164" s="4">
        <f>ROUND(SUMIF(AA125:AA162,"=59213213",GZ125:GZ162),2)</f>
        <v>0</v>
      </c>
      <c r="GE164" s="4">
        <f>ROUND(SUMIF(AA125:AA162,"=59213213",HD125:HD162),2)</f>
        <v>0</v>
      </c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>
        <v>0</v>
      </c>
    </row>
    <row r="166" spans="1:255" x14ac:dyDescent="0.2">
      <c r="A166" s="5">
        <v>50</v>
      </c>
      <c r="B166" s="5">
        <v>0</v>
      </c>
      <c r="C166" s="5">
        <v>0</v>
      </c>
      <c r="D166" s="5">
        <v>1</v>
      </c>
      <c r="E166" s="5">
        <v>201</v>
      </c>
      <c r="F166" s="5">
        <f>ROUND(Source!O164,O166)</f>
        <v>25071.14</v>
      </c>
      <c r="G166" s="5" t="s">
        <v>157</v>
      </c>
      <c r="H166" s="5" t="s">
        <v>158</v>
      </c>
      <c r="I166" s="5"/>
      <c r="J166" s="5"/>
      <c r="K166" s="5">
        <v>201</v>
      </c>
      <c r="L166" s="5">
        <v>1</v>
      </c>
      <c r="M166" s="5">
        <v>3</v>
      </c>
      <c r="N166" s="5" t="s">
        <v>3</v>
      </c>
      <c r="O166" s="5">
        <v>2</v>
      </c>
      <c r="P166" s="5">
        <f>ROUND(Source!DG164,O166)</f>
        <v>370293.04</v>
      </c>
      <c r="Q166" s="5"/>
      <c r="R166" s="5"/>
      <c r="S166" s="5"/>
      <c r="T166" s="5"/>
      <c r="U166" s="5"/>
      <c r="V166" s="5"/>
      <c r="W166" s="5">
        <v>25071.14</v>
      </c>
      <c r="X166" s="5">
        <v>1</v>
      </c>
      <c r="Y166" s="5">
        <v>25071.14</v>
      </c>
      <c r="Z166" s="5">
        <v>370293.04</v>
      </c>
      <c r="AA166" s="5">
        <v>1</v>
      </c>
      <c r="AB166" s="5">
        <v>370293.04</v>
      </c>
    </row>
    <row r="167" spans="1:255" x14ac:dyDescent="0.2">
      <c r="A167" s="5">
        <v>50</v>
      </c>
      <c r="B167" s="5">
        <v>0</v>
      </c>
      <c r="C167" s="5">
        <v>0</v>
      </c>
      <c r="D167" s="5">
        <v>1</v>
      </c>
      <c r="E167" s="5">
        <v>202</v>
      </c>
      <c r="F167" s="5">
        <f>ROUND(Source!P164,O167)</f>
        <v>20467.3</v>
      </c>
      <c r="G167" s="5" t="s">
        <v>159</v>
      </c>
      <c r="H167" s="5" t="s">
        <v>160</v>
      </c>
      <c r="I167" s="5"/>
      <c r="J167" s="5"/>
      <c r="K167" s="5">
        <v>202</v>
      </c>
      <c r="L167" s="5">
        <v>2</v>
      </c>
      <c r="M167" s="5">
        <v>3</v>
      </c>
      <c r="N167" s="5" t="s">
        <v>3</v>
      </c>
      <c r="O167" s="5">
        <v>2</v>
      </c>
      <c r="P167" s="5">
        <f>ROUND(Source!DH164,O167)</f>
        <v>139283.34</v>
      </c>
      <c r="Q167" s="5"/>
      <c r="R167" s="5"/>
      <c r="S167" s="5"/>
      <c r="T167" s="5"/>
      <c r="U167" s="5"/>
      <c r="V167" s="5"/>
      <c r="W167" s="5">
        <v>20467.3</v>
      </c>
      <c r="X167" s="5">
        <v>1</v>
      </c>
      <c r="Y167" s="5">
        <v>20467.3</v>
      </c>
      <c r="Z167" s="5">
        <v>139283.34</v>
      </c>
      <c r="AA167" s="5">
        <v>1</v>
      </c>
      <c r="AB167" s="5">
        <v>139283.34</v>
      </c>
    </row>
    <row r="168" spans="1:255" x14ac:dyDescent="0.2">
      <c r="A168" s="5">
        <v>50</v>
      </c>
      <c r="B168" s="5">
        <v>0</v>
      </c>
      <c r="C168" s="5">
        <v>0</v>
      </c>
      <c r="D168" s="5">
        <v>1</v>
      </c>
      <c r="E168" s="5">
        <v>222</v>
      </c>
      <c r="F168" s="5">
        <f>ROUND(Source!AO164,O168)</f>
        <v>0</v>
      </c>
      <c r="G168" s="5" t="s">
        <v>161</v>
      </c>
      <c r="H168" s="5" t="s">
        <v>162</v>
      </c>
      <c r="I168" s="5"/>
      <c r="J168" s="5"/>
      <c r="K168" s="5">
        <v>222</v>
      </c>
      <c r="L168" s="5">
        <v>3</v>
      </c>
      <c r="M168" s="5">
        <v>3</v>
      </c>
      <c r="N168" s="5" t="s">
        <v>3</v>
      </c>
      <c r="O168" s="5">
        <v>2</v>
      </c>
      <c r="P168" s="5">
        <f>ROUND(Source!EG164,O168)</f>
        <v>0</v>
      </c>
      <c r="Q168" s="5"/>
      <c r="R168" s="5"/>
      <c r="S168" s="5"/>
      <c r="T168" s="5"/>
      <c r="U168" s="5"/>
      <c r="V168" s="5"/>
      <c r="W168" s="5">
        <v>0</v>
      </c>
      <c r="X168" s="5">
        <v>1</v>
      </c>
      <c r="Y168" s="5">
        <v>0</v>
      </c>
      <c r="Z168" s="5">
        <v>0</v>
      </c>
      <c r="AA168" s="5">
        <v>1</v>
      </c>
      <c r="AB168" s="5">
        <v>0</v>
      </c>
    </row>
    <row r="169" spans="1:255" x14ac:dyDescent="0.2">
      <c r="A169" s="5">
        <v>50</v>
      </c>
      <c r="B169" s="5">
        <v>0</v>
      </c>
      <c r="C169" s="5">
        <v>0</v>
      </c>
      <c r="D169" s="5">
        <v>1</v>
      </c>
      <c r="E169" s="5">
        <v>225</v>
      </c>
      <c r="F169" s="5">
        <f>ROUND(Source!AV164,O169)</f>
        <v>20467.3</v>
      </c>
      <c r="G169" s="5" t="s">
        <v>163</v>
      </c>
      <c r="H169" s="5" t="s">
        <v>164</v>
      </c>
      <c r="I169" s="5"/>
      <c r="J169" s="5"/>
      <c r="K169" s="5">
        <v>225</v>
      </c>
      <c r="L169" s="5">
        <v>4</v>
      </c>
      <c r="M169" s="5">
        <v>3</v>
      </c>
      <c r="N169" s="5" t="s">
        <v>3</v>
      </c>
      <c r="O169" s="5">
        <v>2</v>
      </c>
      <c r="P169" s="5">
        <f>ROUND(Source!EN164,O169)</f>
        <v>139283.34</v>
      </c>
      <c r="Q169" s="5"/>
      <c r="R169" s="5"/>
      <c r="S169" s="5"/>
      <c r="T169" s="5"/>
      <c r="U169" s="5"/>
      <c r="V169" s="5"/>
      <c r="W169" s="5">
        <v>20467.3</v>
      </c>
      <c r="X169" s="5">
        <v>1</v>
      </c>
      <c r="Y169" s="5">
        <v>20467.3</v>
      </c>
      <c r="Z169" s="5">
        <v>139283.34</v>
      </c>
      <c r="AA169" s="5">
        <v>1</v>
      </c>
      <c r="AB169" s="5">
        <v>139283.34</v>
      </c>
    </row>
    <row r="170" spans="1:255" x14ac:dyDescent="0.2">
      <c r="A170" s="5">
        <v>50</v>
      </c>
      <c r="B170" s="5">
        <v>0</v>
      </c>
      <c r="C170" s="5">
        <v>0</v>
      </c>
      <c r="D170" s="5">
        <v>1</v>
      </c>
      <c r="E170" s="5">
        <v>226</v>
      </c>
      <c r="F170" s="5">
        <f>ROUND(Source!AW164,O170)</f>
        <v>20467.3</v>
      </c>
      <c r="G170" s="5" t="s">
        <v>165</v>
      </c>
      <c r="H170" s="5" t="s">
        <v>166</v>
      </c>
      <c r="I170" s="5"/>
      <c r="J170" s="5"/>
      <c r="K170" s="5">
        <v>226</v>
      </c>
      <c r="L170" s="5">
        <v>5</v>
      </c>
      <c r="M170" s="5">
        <v>3</v>
      </c>
      <c r="N170" s="5" t="s">
        <v>3</v>
      </c>
      <c r="O170" s="5">
        <v>2</v>
      </c>
      <c r="P170" s="5">
        <f>ROUND(Source!EO164,O170)</f>
        <v>139283.34</v>
      </c>
      <c r="Q170" s="5"/>
      <c r="R170" s="5"/>
      <c r="S170" s="5"/>
      <c r="T170" s="5"/>
      <c r="U170" s="5"/>
      <c r="V170" s="5"/>
      <c r="W170" s="5">
        <v>20467.3</v>
      </c>
      <c r="X170" s="5">
        <v>1</v>
      </c>
      <c r="Y170" s="5">
        <v>20467.3</v>
      </c>
      <c r="Z170" s="5">
        <v>139283.34</v>
      </c>
      <c r="AA170" s="5">
        <v>1</v>
      </c>
      <c r="AB170" s="5">
        <v>139283.34</v>
      </c>
    </row>
    <row r="171" spans="1:255" x14ac:dyDescent="0.2">
      <c r="A171" s="5">
        <v>50</v>
      </c>
      <c r="B171" s="5">
        <v>0</v>
      </c>
      <c r="C171" s="5">
        <v>0</v>
      </c>
      <c r="D171" s="5">
        <v>1</v>
      </c>
      <c r="E171" s="5">
        <v>227</v>
      </c>
      <c r="F171" s="5">
        <f>ROUND(Source!AX164,O171)</f>
        <v>0</v>
      </c>
      <c r="G171" s="5" t="s">
        <v>167</v>
      </c>
      <c r="H171" s="5" t="s">
        <v>168</v>
      </c>
      <c r="I171" s="5"/>
      <c r="J171" s="5"/>
      <c r="K171" s="5">
        <v>227</v>
      </c>
      <c r="L171" s="5">
        <v>6</v>
      </c>
      <c r="M171" s="5">
        <v>3</v>
      </c>
      <c r="N171" s="5" t="s">
        <v>3</v>
      </c>
      <c r="O171" s="5">
        <v>2</v>
      </c>
      <c r="P171" s="5">
        <f>ROUND(Source!EP164,O171)</f>
        <v>0</v>
      </c>
      <c r="Q171" s="5"/>
      <c r="R171" s="5"/>
      <c r="S171" s="5"/>
      <c r="T171" s="5"/>
      <c r="U171" s="5"/>
      <c r="V171" s="5"/>
      <c r="W171" s="5">
        <v>0</v>
      </c>
      <c r="X171" s="5">
        <v>1</v>
      </c>
      <c r="Y171" s="5">
        <v>0</v>
      </c>
      <c r="Z171" s="5">
        <v>0</v>
      </c>
      <c r="AA171" s="5">
        <v>1</v>
      </c>
      <c r="AB171" s="5">
        <v>0</v>
      </c>
    </row>
    <row r="172" spans="1:255" x14ac:dyDescent="0.2">
      <c r="A172" s="5">
        <v>50</v>
      </c>
      <c r="B172" s="5">
        <v>0</v>
      </c>
      <c r="C172" s="5">
        <v>0</v>
      </c>
      <c r="D172" s="5">
        <v>1</v>
      </c>
      <c r="E172" s="5">
        <v>228</v>
      </c>
      <c r="F172" s="5">
        <f>ROUND(Source!AY164,O172)</f>
        <v>20467.3</v>
      </c>
      <c r="G172" s="5" t="s">
        <v>169</v>
      </c>
      <c r="H172" s="5" t="s">
        <v>170</v>
      </c>
      <c r="I172" s="5"/>
      <c r="J172" s="5"/>
      <c r="K172" s="5">
        <v>228</v>
      </c>
      <c r="L172" s="5">
        <v>7</v>
      </c>
      <c r="M172" s="5">
        <v>3</v>
      </c>
      <c r="N172" s="5" t="s">
        <v>3</v>
      </c>
      <c r="O172" s="5">
        <v>2</v>
      </c>
      <c r="P172" s="5">
        <f>ROUND(Source!EQ164,O172)</f>
        <v>139283.34</v>
      </c>
      <c r="Q172" s="5"/>
      <c r="R172" s="5"/>
      <c r="S172" s="5"/>
      <c r="T172" s="5"/>
      <c r="U172" s="5"/>
      <c r="V172" s="5"/>
      <c r="W172" s="5">
        <v>20467.3</v>
      </c>
      <c r="X172" s="5">
        <v>1</v>
      </c>
      <c r="Y172" s="5">
        <v>20467.3</v>
      </c>
      <c r="Z172" s="5">
        <v>139283.34</v>
      </c>
      <c r="AA172" s="5">
        <v>1</v>
      </c>
      <c r="AB172" s="5">
        <v>139283.34</v>
      </c>
    </row>
    <row r="173" spans="1:255" x14ac:dyDescent="0.2">
      <c r="A173" s="5">
        <v>50</v>
      </c>
      <c r="B173" s="5">
        <v>0</v>
      </c>
      <c r="C173" s="5">
        <v>0</v>
      </c>
      <c r="D173" s="5">
        <v>1</v>
      </c>
      <c r="E173" s="5">
        <v>216</v>
      </c>
      <c r="F173" s="5">
        <f>ROUND(Source!AP164,O173)</f>
        <v>0</v>
      </c>
      <c r="G173" s="5" t="s">
        <v>171</v>
      </c>
      <c r="H173" s="5" t="s">
        <v>172</v>
      </c>
      <c r="I173" s="5"/>
      <c r="J173" s="5"/>
      <c r="K173" s="5">
        <v>216</v>
      </c>
      <c r="L173" s="5">
        <v>8</v>
      </c>
      <c r="M173" s="5">
        <v>3</v>
      </c>
      <c r="N173" s="5" t="s">
        <v>3</v>
      </c>
      <c r="O173" s="5">
        <v>2</v>
      </c>
      <c r="P173" s="5">
        <f>ROUND(Source!EH164,O173)</f>
        <v>0</v>
      </c>
      <c r="Q173" s="5"/>
      <c r="R173" s="5"/>
      <c r="S173" s="5"/>
      <c r="T173" s="5"/>
      <c r="U173" s="5"/>
      <c r="V173" s="5"/>
      <c r="W173" s="5">
        <v>0</v>
      </c>
      <c r="X173" s="5">
        <v>1</v>
      </c>
      <c r="Y173" s="5">
        <v>0</v>
      </c>
      <c r="Z173" s="5">
        <v>0</v>
      </c>
      <c r="AA173" s="5">
        <v>1</v>
      </c>
      <c r="AB173" s="5">
        <v>0</v>
      </c>
    </row>
    <row r="174" spans="1:255" x14ac:dyDescent="0.2">
      <c r="A174" s="5">
        <v>50</v>
      </c>
      <c r="B174" s="5">
        <v>0</v>
      </c>
      <c r="C174" s="5">
        <v>0</v>
      </c>
      <c r="D174" s="5">
        <v>1</v>
      </c>
      <c r="E174" s="5">
        <v>223</v>
      </c>
      <c r="F174" s="5">
        <f>ROUND(Source!AQ164,O174)</f>
        <v>0</v>
      </c>
      <c r="G174" s="5" t="s">
        <v>173</v>
      </c>
      <c r="H174" s="5" t="s">
        <v>174</v>
      </c>
      <c r="I174" s="5"/>
      <c r="J174" s="5"/>
      <c r="K174" s="5">
        <v>223</v>
      </c>
      <c r="L174" s="5">
        <v>9</v>
      </c>
      <c r="M174" s="5">
        <v>3</v>
      </c>
      <c r="N174" s="5" t="s">
        <v>3</v>
      </c>
      <c r="O174" s="5">
        <v>2</v>
      </c>
      <c r="P174" s="5">
        <f>ROUND(Source!EI164,O174)</f>
        <v>0</v>
      </c>
      <c r="Q174" s="5"/>
      <c r="R174" s="5"/>
      <c r="S174" s="5"/>
      <c r="T174" s="5"/>
      <c r="U174" s="5"/>
      <c r="V174" s="5"/>
      <c r="W174" s="5">
        <v>0</v>
      </c>
      <c r="X174" s="5">
        <v>1</v>
      </c>
      <c r="Y174" s="5">
        <v>0</v>
      </c>
      <c r="Z174" s="5">
        <v>0</v>
      </c>
      <c r="AA174" s="5">
        <v>1</v>
      </c>
      <c r="AB174" s="5">
        <v>0</v>
      </c>
    </row>
    <row r="175" spans="1:255" x14ac:dyDescent="0.2">
      <c r="A175" s="5">
        <v>50</v>
      </c>
      <c r="B175" s="5">
        <v>0</v>
      </c>
      <c r="C175" s="5">
        <v>0</v>
      </c>
      <c r="D175" s="5">
        <v>1</v>
      </c>
      <c r="E175" s="5">
        <v>229</v>
      </c>
      <c r="F175" s="5">
        <f>ROUND(Source!AZ164,O175)</f>
        <v>0</v>
      </c>
      <c r="G175" s="5" t="s">
        <v>175</v>
      </c>
      <c r="H175" s="5" t="s">
        <v>176</v>
      </c>
      <c r="I175" s="5"/>
      <c r="J175" s="5"/>
      <c r="K175" s="5">
        <v>229</v>
      </c>
      <c r="L175" s="5">
        <v>10</v>
      </c>
      <c r="M175" s="5">
        <v>3</v>
      </c>
      <c r="N175" s="5" t="s">
        <v>3</v>
      </c>
      <c r="O175" s="5">
        <v>2</v>
      </c>
      <c r="P175" s="5">
        <f>ROUND(Source!ER164,O175)</f>
        <v>0</v>
      </c>
      <c r="Q175" s="5"/>
      <c r="R175" s="5"/>
      <c r="S175" s="5"/>
      <c r="T175" s="5"/>
      <c r="U175" s="5"/>
      <c r="V175" s="5"/>
      <c r="W175" s="5">
        <v>0</v>
      </c>
      <c r="X175" s="5">
        <v>1</v>
      </c>
      <c r="Y175" s="5">
        <v>0</v>
      </c>
      <c r="Z175" s="5">
        <v>0</v>
      </c>
      <c r="AA175" s="5">
        <v>1</v>
      </c>
      <c r="AB175" s="5">
        <v>0</v>
      </c>
    </row>
    <row r="176" spans="1:255" x14ac:dyDescent="0.2">
      <c r="A176" s="5">
        <v>50</v>
      </c>
      <c r="B176" s="5">
        <v>0</v>
      </c>
      <c r="C176" s="5">
        <v>0</v>
      </c>
      <c r="D176" s="5">
        <v>1</v>
      </c>
      <c r="E176" s="5">
        <v>203</v>
      </c>
      <c r="F176" s="5">
        <f>ROUND(Source!Q164,O176)</f>
        <v>587.84</v>
      </c>
      <c r="G176" s="5" t="s">
        <v>177</v>
      </c>
      <c r="H176" s="5" t="s">
        <v>178</v>
      </c>
      <c r="I176" s="5"/>
      <c r="J176" s="5"/>
      <c r="K176" s="5">
        <v>203</v>
      </c>
      <c r="L176" s="5">
        <v>11</v>
      </c>
      <c r="M176" s="5">
        <v>3</v>
      </c>
      <c r="N176" s="5" t="s">
        <v>3</v>
      </c>
      <c r="O176" s="5">
        <v>2</v>
      </c>
      <c r="P176" s="5">
        <f>ROUND(Source!DI164,O176)</f>
        <v>10169.86</v>
      </c>
      <c r="Q176" s="5"/>
      <c r="R176" s="5"/>
      <c r="S176" s="5"/>
      <c r="T176" s="5"/>
      <c r="U176" s="5"/>
      <c r="V176" s="5"/>
      <c r="W176" s="5">
        <v>587.84</v>
      </c>
      <c r="X176" s="5">
        <v>1</v>
      </c>
      <c r="Y176" s="5">
        <v>587.84</v>
      </c>
      <c r="Z176" s="5">
        <v>10169.86</v>
      </c>
      <c r="AA176" s="5">
        <v>1</v>
      </c>
      <c r="AB176" s="5">
        <v>10169.86</v>
      </c>
    </row>
    <row r="177" spans="1:28" x14ac:dyDescent="0.2">
      <c r="A177" s="5">
        <v>50</v>
      </c>
      <c r="B177" s="5">
        <v>0</v>
      </c>
      <c r="C177" s="5">
        <v>0</v>
      </c>
      <c r="D177" s="5">
        <v>1</v>
      </c>
      <c r="E177" s="5">
        <v>231</v>
      </c>
      <c r="F177" s="5">
        <f>ROUND(Source!BB164,O177)</f>
        <v>0</v>
      </c>
      <c r="G177" s="5" t="s">
        <v>179</v>
      </c>
      <c r="H177" s="5" t="s">
        <v>180</v>
      </c>
      <c r="I177" s="5"/>
      <c r="J177" s="5"/>
      <c r="K177" s="5">
        <v>231</v>
      </c>
      <c r="L177" s="5">
        <v>12</v>
      </c>
      <c r="M177" s="5">
        <v>3</v>
      </c>
      <c r="N177" s="5" t="s">
        <v>3</v>
      </c>
      <c r="O177" s="5">
        <v>2</v>
      </c>
      <c r="P177" s="5">
        <f>ROUND(Source!ET164,O177)</f>
        <v>0</v>
      </c>
      <c r="Q177" s="5"/>
      <c r="R177" s="5"/>
      <c r="S177" s="5"/>
      <c r="T177" s="5"/>
      <c r="U177" s="5"/>
      <c r="V177" s="5"/>
      <c r="W177" s="5">
        <v>0</v>
      </c>
      <c r="X177" s="5">
        <v>1</v>
      </c>
      <c r="Y177" s="5">
        <v>0</v>
      </c>
      <c r="Z177" s="5">
        <v>0</v>
      </c>
      <c r="AA177" s="5">
        <v>1</v>
      </c>
      <c r="AB177" s="5">
        <v>0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204</v>
      </c>
      <c r="F178" s="5">
        <f>ROUND(Source!R164,O178)</f>
        <v>95.95</v>
      </c>
      <c r="G178" s="5" t="s">
        <v>181</v>
      </c>
      <c r="H178" s="5" t="s">
        <v>182</v>
      </c>
      <c r="I178" s="5"/>
      <c r="J178" s="5"/>
      <c r="K178" s="5">
        <v>204</v>
      </c>
      <c r="L178" s="5">
        <v>13</v>
      </c>
      <c r="M178" s="5">
        <v>3</v>
      </c>
      <c r="N178" s="5" t="s">
        <v>3</v>
      </c>
      <c r="O178" s="5">
        <v>2</v>
      </c>
      <c r="P178" s="5">
        <f>ROUND(Source!DJ164,O178)</f>
        <v>5276.29</v>
      </c>
      <c r="Q178" s="5"/>
      <c r="R178" s="5"/>
      <c r="S178" s="5"/>
      <c r="T178" s="5"/>
      <c r="U178" s="5"/>
      <c r="V178" s="5"/>
      <c r="W178" s="5">
        <v>95.95</v>
      </c>
      <c r="X178" s="5">
        <v>1</v>
      </c>
      <c r="Y178" s="5">
        <v>95.95</v>
      </c>
      <c r="Z178" s="5">
        <v>5276.29</v>
      </c>
      <c r="AA178" s="5">
        <v>1</v>
      </c>
      <c r="AB178" s="5">
        <v>5276.29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205</v>
      </c>
      <c r="F179" s="5">
        <f>ROUND(Source!S164,O179)</f>
        <v>4016</v>
      </c>
      <c r="G179" s="5" t="s">
        <v>183</v>
      </c>
      <c r="H179" s="5" t="s">
        <v>184</v>
      </c>
      <c r="I179" s="5"/>
      <c r="J179" s="5"/>
      <c r="K179" s="5">
        <v>205</v>
      </c>
      <c r="L179" s="5">
        <v>14</v>
      </c>
      <c r="M179" s="5">
        <v>3</v>
      </c>
      <c r="N179" s="5" t="s">
        <v>3</v>
      </c>
      <c r="O179" s="5">
        <v>2</v>
      </c>
      <c r="P179" s="5">
        <f>ROUND(Source!DK164,O179)</f>
        <v>220839.84</v>
      </c>
      <c r="Q179" s="5"/>
      <c r="R179" s="5"/>
      <c r="S179" s="5"/>
      <c r="T179" s="5"/>
      <c r="U179" s="5"/>
      <c r="V179" s="5"/>
      <c r="W179" s="5">
        <v>4016</v>
      </c>
      <c r="X179" s="5">
        <v>1</v>
      </c>
      <c r="Y179" s="5">
        <v>4016</v>
      </c>
      <c r="Z179" s="5">
        <v>220839.84</v>
      </c>
      <c r="AA179" s="5">
        <v>1</v>
      </c>
      <c r="AB179" s="5">
        <v>220839.84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232</v>
      </c>
      <c r="F180" s="5">
        <f>ROUND(Source!BC164,O180)</f>
        <v>0</v>
      </c>
      <c r="G180" s="5" t="s">
        <v>185</v>
      </c>
      <c r="H180" s="5" t="s">
        <v>186</v>
      </c>
      <c r="I180" s="5"/>
      <c r="J180" s="5"/>
      <c r="K180" s="5">
        <v>232</v>
      </c>
      <c r="L180" s="5">
        <v>15</v>
      </c>
      <c r="M180" s="5">
        <v>3</v>
      </c>
      <c r="N180" s="5" t="s">
        <v>3</v>
      </c>
      <c r="O180" s="5">
        <v>2</v>
      </c>
      <c r="P180" s="5">
        <f>ROUND(Source!EU164,O180)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214</v>
      </c>
      <c r="F181" s="5">
        <f>ROUND(Source!AS164,O181)</f>
        <v>42.53</v>
      </c>
      <c r="G181" s="5" t="s">
        <v>187</v>
      </c>
      <c r="H181" s="5" t="s">
        <v>188</v>
      </c>
      <c r="I181" s="5"/>
      <c r="J181" s="5"/>
      <c r="K181" s="5">
        <v>214</v>
      </c>
      <c r="L181" s="5">
        <v>16</v>
      </c>
      <c r="M181" s="5">
        <v>3</v>
      </c>
      <c r="N181" s="5" t="s">
        <v>3</v>
      </c>
      <c r="O181" s="5">
        <v>2</v>
      </c>
      <c r="P181" s="5">
        <f>ROUND(Source!EK164,O181)</f>
        <v>179.48</v>
      </c>
      <c r="Q181" s="5"/>
      <c r="R181" s="5"/>
      <c r="S181" s="5"/>
      <c r="T181" s="5"/>
      <c r="U181" s="5"/>
      <c r="V181" s="5"/>
      <c r="W181" s="5">
        <v>42.53</v>
      </c>
      <c r="X181" s="5">
        <v>1</v>
      </c>
      <c r="Y181" s="5">
        <v>42.53</v>
      </c>
      <c r="Z181" s="5">
        <v>179.48</v>
      </c>
      <c r="AA181" s="5">
        <v>1</v>
      </c>
      <c r="AB181" s="5">
        <v>179.48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215</v>
      </c>
      <c r="F182" s="5">
        <f>ROUND(Source!AT164,O182)</f>
        <v>31114.28</v>
      </c>
      <c r="G182" s="5" t="s">
        <v>189</v>
      </c>
      <c r="H182" s="5" t="s">
        <v>190</v>
      </c>
      <c r="I182" s="5"/>
      <c r="J182" s="5"/>
      <c r="K182" s="5">
        <v>215</v>
      </c>
      <c r="L182" s="5">
        <v>17</v>
      </c>
      <c r="M182" s="5">
        <v>3</v>
      </c>
      <c r="N182" s="5" t="s">
        <v>3</v>
      </c>
      <c r="O182" s="5">
        <v>2</v>
      </c>
      <c r="P182" s="5">
        <f>ROUND(Source!EL164,O182)</f>
        <v>704765.43</v>
      </c>
      <c r="Q182" s="5"/>
      <c r="R182" s="5"/>
      <c r="S182" s="5"/>
      <c r="T182" s="5"/>
      <c r="U182" s="5"/>
      <c r="V182" s="5"/>
      <c r="W182" s="5">
        <v>31114.28</v>
      </c>
      <c r="X182" s="5">
        <v>1</v>
      </c>
      <c r="Y182" s="5">
        <v>31114.28</v>
      </c>
      <c r="Z182" s="5">
        <v>704765.43</v>
      </c>
      <c r="AA182" s="5">
        <v>1</v>
      </c>
      <c r="AB182" s="5">
        <v>704765.43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217</v>
      </c>
      <c r="F183" s="5">
        <f>ROUND(Source!AU164,O183)</f>
        <v>0</v>
      </c>
      <c r="G183" s="5" t="s">
        <v>191</v>
      </c>
      <c r="H183" s="5" t="s">
        <v>192</v>
      </c>
      <c r="I183" s="5"/>
      <c r="J183" s="5"/>
      <c r="K183" s="5">
        <v>217</v>
      </c>
      <c r="L183" s="5">
        <v>18</v>
      </c>
      <c r="M183" s="5">
        <v>3</v>
      </c>
      <c r="N183" s="5" t="s">
        <v>3</v>
      </c>
      <c r="O183" s="5">
        <v>2</v>
      </c>
      <c r="P183" s="5">
        <f>ROUND(Source!EM164,O183)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230</v>
      </c>
      <c r="F184" s="5">
        <f>ROUND(Source!BA164,O184)</f>
        <v>0</v>
      </c>
      <c r="G184" s="5" t="s">
        <v>193</v>
      </c>
      <c r="H184" s="5" t="s">
        <v>194</v>
      </c>
      <c r="I184" s="5"/>
      <c r="J184" s="5"/>
      <c r="K184" s="5">
        <v>230</v>
      </c>
      <c r="L184" s="5">
        <v>19</v>
      </c>
      <c r="M184" s="5">
        <v>3</v>
      </c>
      <c r="N184" s="5" t="s">
        <v>3</v>
      </c>
      <c r="O184" s="5">
        <v>2</v>
      </c>
      <c r="P184" s="5">
        <f>ROUND(Source!ES164,O184)</f>
        <v>0</v>
      </c>
      <c r="Q184" s="5"/>
      <c r="R184" s="5"/>
      <c r="S184" s="5"/>
      <c r="T184" s="5"/>
      <c r="U184" s="5"/>
      <c r="V184" s="5"/>
      <c r="W184" s="5">
        <v>0</v>
      </c>
      <c r="X184" s="5">
        <v>1</v>
      </c>
      <c r="Y184" s="5">
        <v>0</v>
      </c>
      <c r="Z184" s="5">
        <v>0</v>
      </c>
      <c r="AA184" s="5">
        <v>1</v>
      </c>
      <c r="AB184" s="5">
        <v>0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206</v>
      </c>
      <c r="F185" s="5">
        <f>ROUND(Source!T164,O185)</f>
        <v>0</v>
      </c>
      <c r="G185" s="5" t="s">
        <v>195</v>
      </c>
      <c r="H185" s="5" t="s">
        <v>196</v>
      </c>
      <c r="I185" s="5"/>
      <c r="J185" s="5"/>
      <c r="K185" s="5">
        <v>206</v>
      </c>
      <c r="L185" s="5">
        <v>20</v>
      </c>
      <c r="M185" s="5">
        <v>3</v>
      </c>
      <c r="N185" s="5" t="s">
        <v>3</v>
      </c>
      <c r="O185" s="5">
        <v>2</v>
      </c>
      <c r="P185" s="5">
        <f>ROUND(Source!DL164,O185)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207</v>
      </c>
      <c r="F186" s="5">
        <f>Source!U164</f>
        <v>316.50904229999998</v>
      </c>
      <c r="G186" s="5" t="s">
        <v>197</v>
      </c>
      <c r="H186" s="5" t="s">
        <v>198</v>
      </c>
      <c r="I186" s="5"/>
      <c r="J186" s="5"/>
      <c r="K186" s="5">
        <v>207</v>
      </c>
      <c r="L186" s="5">
        <v>21</v>
      </c>
      <c r="M186" s="5">
        <v>3</v>
      </c>
      <c r="N186" s="5" t="s">
        <v>3</v>
      </c>
      <c r="O186" s="5">
        <v>-1</v>
      </c>
      <c r="P186" s="5">
        <f>Source!DM164</f>
        <v>316.50904229999998</v>
      </c>
      <c r="Q186" s="5"/>
      <c r="R186" s="5"/>
      <c r="S186" s="5"/>
      <c r="T186" s="5"/>
      <c r="U186" s="5"/>
      <c r="V186" s="5"/>
      <c r="W186" s="5">
        <v>316.50904229999992</v>
      </c>
      <c r="X186" s="5">
        <v>1</v>
      </c>
      <c r="Y186" s="5">
        <v>316.50904229999992</v>
      </c>
      <c r="Z186" s="5">
        <v>316.50904229999992</v>
      </c>
      <c r="AA186" s="5">
        <v>1</v>
      </c>
      <c r="AB186" s="5">
        <v>316.50904229999992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208</v>
      </c>
      <c r="F187" s="5">
        <f>Source!V164</f>
        <v>0</v>
      </c>
      <c r="G187" s="5" t="s">
        <v>199</v>
      </c>
      <c r="H187" s="5" t="s">
        <v>200</v>
      </c>
      <c r="I187" s="5"/>
      <c r="J187" s="5"/>
      <c r="K187" s="5">
        <v>208</v>
      </c>
      <c r="L187" s="5">
        <v>22</v>
      </c>
      <c r="M187" s="5">
        <v>3</v>
      </c>
      <c r="N187" s="5" t="s">
        <v>3</v>
      </c>
      <c r="O187" s="5">
        <v>-1</v>
      </c>
      <c r="P187" s="5">
        <f>Source!DN164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209</v>
      </c>
      <c r="F188" s="5">
        <f>ROUND(Source!W164,O188)</f>
        <v>0</v>
      </c>
      <c r="G188" s="5" t="s">
        <v>201</v>
      </c>
      <c r="H188" s="5" t="s">
        <v>202</v>
      </c>
      <c r="I188" s="5"/>
      <c r="J188" s="5"/>
      <c r="K188" s="5">
        <v>209</v>
      </c>
      <c r="L188" s="5">
        <v>23</v>
      </c>
      <c r="M188" s="5">
        <v>3</v>
      </c>
      <c r="N188" s="5" t="s">
        <v>3</v>
      </c>
      <c r="O188" s="5">
        <v>2</v>
      </c>
      <c r="P188" s="5">
        <f>ROUND(Source!DO164,O188)</f>
        <v>0</v>
      </c>
      <c r="Q188" s="5"/>
      <c r="R188" s="5"/>
      <c r="S188" s="5"/>
      <c r="T188" s="5"/>
      <c r="U188" s="5"/>
      <c r="V188" s="5"/>
      <c r="W188" s="5">
        <v>0</v>
      </c>
      <c r="X188" s="5">
        <v>1</v>
      </c>
      <c r="Y188" s="5">
        <v>0</v>
      </c>
      <c r="Z188" s="5">
        <v>0</v>
      </c>
      <c r="AA188" s="5">
        <v>1</v>
      </c>
      <c r="AB188" s="5">
        <v>0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233</v>
      </c>
      <c r="F189" s="5">
        <f>ROUND(Source!BD164,O189)</f>
        <v>0</v>
      </c>
      <c r="G189" s="5" t="s">
        <v>203</v>
      </c>
      <c r="H189" s="5" t="s">
        <v>204</v>
      </c>
      <c r="I189" s="5"/>
      <c r="J189" s="5"/>
      <c r="K189" s="5">
        <v>233</v>
      </c>
      <c r="L189" s="5">
        <v>24</v>
      </c>
      <c r="M189" s="5">
        <v>3</v>
      </c>
      <c r="N189" s="5" t="s">
        <v>3</v>
      </c>
      <c r="O189" s="5">
        <v>2</v>
      </c>
      <c r="P189" s="5">
        <f>ROUND(Source!EV164,O189)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210</v>
      </c>
      <c r="F190" s="5">
        <f>ROUND(Source!X164,O190)</f>
        <v>3988.58</v>
      </c>
      <c r="G190" s="5" t="s">
        <v>205</v>
      </c>
      <c r="H190" s="5" t="s">
        <v>206</v>
      </c>
      <c r="I190" s="5"/>
      <c r="J190" s="5"/>
      <c r="K190" s="5">
        <v>210</v>
      </c>
      <c r="L190" s="5">
        <v>25</v>
      </c>
      <c r="M190" s="5">
        <v>3</v>
      </c>
      <c r="N190" s="5" t="s">
        <v>3</v>
      </c>
      <c r="O190" s="5">
        <v>2</v>
      </c>
      <c r="P190" s="5">
        <f>ROUND(Source!DP164,O190)</f>
        <v>219332.65</v>
      </c>
      <c r="Q190" s="5"/>
      <c r="R190" s="5"/>
      <c r="S190" s="5"/>
      <c r="T190" s="5"/>
      <c r="U190" s="5"/>
      <c r="V190" s="5"/>
      <c r="W190" s="5">
        <v>3988.58</v>
      </c>
      <c r="X190" s="5">
        <v>1</v>
      </c>
      <c r="Y190" s="5">
        <v>3988.58</v>
      </c>
      <c r="Z190" s="5">
        <v>219332.65</v>
      </c>
      <c r="AA190" s="5">
        <v>1</v>
      </c>
      <c r="AB190" s="5">
        <v>219332.65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211</v>
      </c>
      <c r="F191" s="5">
        <f>ROUND(Source!Y164,O191)</f>
        <v>2097.09</v>
      </c>
      <c r="G191" s="5" t="s">
        <v>207</v>
      </c>
      <c r="H191" s="5" t="s">
        <v>208</v>
      </c>
      <c r="I191" s="5"/>
      <c r="J191" s="5"/>
      <c r="K191" s="5">
        <v>211</v>
      </c>
      <c r="L191" s="5">
        <v>26</v>
      </c>
      <c r="M191" s="5">
        <v>3</v>
      </c>
      <c r="N191" s="5" t="s">
        <v>3</v>
      </c>
      <c r="O191" s="5">
        <v>2</v>
      </c>
      <c r="P191" s="5">
        <f>ROUND(Source!DQ164,O191)</f>
        <v>115319.22</v>
      </c>
      <c r="Q191" s="5"/>
      <c r="R191" s="5"/>
      <c r="S191" s="5"/>
      <c r="T191" s="5"/>
      <c r="U191" s="5"/>
      <c r="V191" s="5"/>
      <c r="W191" s="5">
        <v>2097.09</v>
      </c>
      <c r="X191" s="5">
        <v>1</v>
      </c>
      <c r="Y191" s="5">
        <v>2097.09</v>
      </c>
      <c r="Z191" s="5">
        <v>115319.22</v>
      </c>
      <c r="AA191" s="5">
        <v>1</v>
      </c>
      <c r="AB191" s="5">
        <v>115319.22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224</v>
      </c>
      <c r="F192" s="5">
        <f>ROUND(Source!AR164,O192)</f>
        <v>31156.81</v>
      </c>
      <c r="G192" s="5" t="s">
        <v>209</v>
      </c>
      <c r="H192" s="5" t="s">
        <v>210</v>
      </c>
      <c r="I192" s="5"/>
      <c r="J192" s="5"/>
      <c r="K192" s="5">
        <v>224</v>
      </c>
      <c r="L192" s="5">
        <v>27</v>
      </c>
      <c r="M192" s="5">
        <v>3</v>
      </c>
      <c r="N192" s="5" t="s">
        <v>3</v>
      </c>
      <c r="O192" s="5">
        <v>2</v>
      </c>
      <c r="P192" s="5">
        <f>ROUND(Source!EJ164,O192)</f>
        <v>704944.91</v>
      </c>
      <c r="Q192" s="5"/>
      <c r="R192" s="5"/>
      <c r="S192" s="5"/>
      <c r="T192" s="5"/>
      <c r="U192" s="5"/>
      <c r="V192" s="5"/>
      <c r="W192" s="5">
        <v>31156.81</v>
      </c>
      <c r="X192" s="5">
        <v>1</v>
      </c>
      <c r="Y192" s="5">
        <v>31156.81</v>
      </c>
      <c r="Z192" s="5">
        <v>704944.91</v>
      </c>
      <c r="AA192" s="5">
        <v>1</v>
      </c>
      <c r="AB192" s="5">
        <v>704944.91</v>
      </c>
    </row>
    <row r="194" spans="1:255" x14ac:dyDescent="0.2">
      <c r="A194" s="1">
        <v>4</v>
      </c>
      <c r="B194" s="1">
        <v>1</v>
      </c>
      <c r="C194" s="1"/>
      <c r="D194" s="1">
        <f>ROW(A223)</f>
        <v>223</v>
      </c>
      <c r="E194" s="1"/>
      <c r="F194" s="1" t="s">
        <v>18</v>
      </c>
      <c r="G194" s="1" t="s">
        <v>286</v>
      </c>
      <c r="H194" s="1" t="s">
        <v>3</v>
      </c>
      <c r="I194" s="1">
        <v>0</v>
      </c>
      <c r="J194" s="1"/>
      <c r="K194" s="1">
        <v>0</v>
      </c>
      <c r="L194" s="1"/>
      <c r="M194" s="1" t="s">
        <v>3</v>
      </c>
      <c r="N194" s="1"/>
      <c r="O194" s="1"/>
      <c r="P194" s="1"/>
      <c r="Q194" s="1"/>
      <c r="R194" s="1"/>
      <c r="S194" s="1">
        <v>0</v>
      </c>
      <c r="T194" s="1">
        <v>0</v>
      </c>
      <c r="U194" s="1" t="s">
        <v>3</v>
      </c>
      <c r="V194" s="1">
        <v>2</v>
      </c>
      <c r="W194" s="1"/>
      <c r="X194" s="1"/>
      <c r="Y194" s="1"/>
      <c r="Z194" s="1"/>
      <c r="AA194" s="1"/>
      <c r="AB194" s="1" t="s">
        <v>3</v>
      </c>
      <c r="AC194" s="1" t="s">
        <v>3</v>
      </c>
      <c r="AD194" s="1" t="s">
        <v>3</v>
      </c>
      <c r="AE194" s="1" t="s">
        <v>3</v>
      </c>
      <c r="AF194" s="1" t="s">
        <v>3</v>
      </c>
      <c r="AG194" s="1" t="s">
        <v>3</v>
      </c>
      <c r="AH194" s="1"/>
      <c r="AI194" s="1"/>
      <c r="AJ194" s="1"/>
      <c r="AK194" s="1"/>
      <c r="AL194" s="1"/>
      <c r="AM194" s="1"/>
      <c r="AN194" s="1"/>
      <c r="AO194" s="1"/>
      <c r="AP194" s="1" t="s">
        <v>3</v>
      </c>
      <c r="AQ194" s="1" t="s">
        <v>3</v>
      </c>
      <c r="AR194" s="1" t="s">
        <v>3</v>
      </c>
      <c r="AS194" s="1"/>
      <c r="AT194" s="1"/>
      <c r="AU194" s="1"/>
      <c r="AV194" s="1"/>
      <c r="AW194" s="1"/>
      <c r="AX194" s="1"/>
      <c r="AY194" s="1"/>
      <c r="AZ194" s="1" t="s">
        <v>3</v>
      </c>
      <c r="BA194" s="1"/>
      <c r="BB194" s="1" t="s">
        <v>3</v>
      </c>
      <c r="BC194" s="1" t="s">
        <v>3</v>
      </c>
      <c r="BD194" s="1" t="s">
        <v>3</v>
      </c>
      <c r="BE194" s="1" t="s">
        <v>3</v>
      </c>
      <c r="BF194" s="1" t="s">
        <v>3</v>
      </c>
      <c r="BG194" s="1" t="s">
        <v>3</v>
      </c>
      <c r="BH194" s="1" t="s">
        <v>3</v>
      </c>
      <c r="BI194" s="1" t="s">
        <v>3</v>
      </c>
      <c r="BJ194" s="1" t="s">
        <v>3</v>
      </c>
      <c r="BK194" s="1" t="s">
        <v>3</v>
      </c>
      <c r="BL194" s="1" t="s">
        <v>3</v>
      </c>
      <c r="BM194" s="1" t="s">
        <v>3</v>
      </c>
      <c r="BN194" s="1" t="s">
        <v>3</v>
      </c>
      <c r="BO194" s="1" t="s">
        <v>3</v>
      </c>
      <c r="BP194" s="1" t="s">
        <v>3</v>
      </c>
      <c r="BQ194" s="1"/>
      <c r="BR194" s="1"/>
      <c r="BS194" s="1"/>
      <c r="BT194" s="1"/>
      <c r="BU194" s="1"/>
      <c r="BV194" s="1"/>
      <c r="BW194" s="1"/>
      <c r="BX194" s="1">
        <v>0</v>
      </c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>
        <v>0</v>
      </c>
    </row>
    <row r="196" spans="1:255" x14ac:dyDescent="0.2">
      <c r="A196" s="3">
        <v>52</v>
      </c>
      <c r="B196" s="3">
        <f t="shared" ref="B196:G196" si="143">B223</f>
        <v>1</v>
      </c>
      <c r="C196" s="3">
        <f t="shared" si="143"/>
        <v>4</v>
      </c>
      <c r="D196" s="3">
        <f t="shared" si="143"/>
        <v>194</v>
      </c>
      <c r="E196" s="3">
        <f t="shared" si="143"/>
        <v>0</v>
      </c>
      <c r="F196" s="3" t="str">
        <f t="shared" si="143"/>
        <v>Новый раздел</v>
      </c>
      <c r="G196" s="3" t="str">
        <f t="shared" si="143"/>
        <v>Видеодомофон</v>
      </c>
      <c r="H196" s="3"/>
      <c r="I196" s="3"/>
      <c r="J196" s="3"/>
      <c r="K196" s="3"/>
      <c r="L196" s="3"/>
      <c r="M196" s="3"/>
      <c r="N196" s="3"/>
      <c r="O196" s="3">
        <f t="shared" ref="O196:AT196" si="144">O223</f>
        <v>32360.58</v>
      </c>
      <c r="P196" s="3">
        <f t="shared" si="144"/>
        <v>30661.61</v>
      </c>
      <c r="Q196" s="3">
        <f t="shared" si="144"/>
        <v>197.45</v>
      </c>
      <c r="R196" s="3">
        <f t="shared" si="144"/>
        <v>32.47</v>
      </c>
      <c r="S196" s="3">
        <f t="shared" si="144"/>
        <v>1501.52</v>
      </c>
      <c r="T196" s="3">
        <f t="shared" si="144"/>
        <v>0</v>
      </c>
      <c r="U196" s="3">
        <f t="shared" si="144"/>
        <v>115.75045679999999</v>
      </c>
      <c r="V196" s="3">
        <f t="shared" si="144"/>
        <v>0</v>
      </c>
      <c r="W196" s="3">
        <f t="shared" si="144"/>
        <v>0</v>
      </c>
      <c r="X196" s="3">
        <f t="shared" si="144"/>
        <v>1474.35</v>
      </c>
      <c r="Y196" s="3">
        <f t="shared" si="144"/>
        <v>772.62</v>
      </c>
      <c r="Z196" s="3">
        <f t="shared" si="144"/>
        <v>0</v>
      </c>
      <c r="AA196" s="3">
        <f t="shared" si="144"/>
        <v>0</v>
      </c>
      <c r="AB196" s="3">
        <f t="shared" si="144"/>
        <v>32360.58</v>
      </c>
      <c r="AC196" s="3">
        <f t="shared" si="144"/>
        <v>30661.61</v>
      </c>
      <c r="AD196" s="3">
        <f t="shared" si="144"/>
        <v>197.45</v>
      </c>
      <c r="AE196" s="3">
        <f t="shared" si="144"/>
        <v>32.47</v>
      </c>
      <c r="AF196" s="3">
        <f t="shared" si="144"/>
        <v>1501.52</v>
      </c>
      <c r="AG196" s="3">
        <f t="shared" si="144"/>
        <v>0</v>
      </c>
      <c r="AH196" s="3">
        <f t="shared" si="144"/>
        <v>115.75045679999999</v>
      </c>
      <c r="AI196" s="3">
        <f t="shared" si="144"/>
        <v>0</v>
      </c>
      <c r="AJ196" s="3">
        <f t="shared" si="144"/>
        <v>0</v>
      </c>
      <c r="AK196" s="3">
        <f t="shared" si="144"/>
        <v>1474.35</v>
      </c>
      <c r="AL196" s="3">
        <f t="shared" si="144"/>
        <v>772.62</v>
      </c>
      <c r="AM196" s="3">
        <f t="shared" si="144"/>
        <v>0</v>
      </c>
      <c r="AN196" s="3">
        <f t="shared" si="144"/>
        <v>0</v>
      </c>
      <c r="AO196" s="3">
        <f t="shared" si="144"/>
        <v>0</v>
      </c>
      <c r="AP196" s="3">
        <f t="shared" si="144"/>
        <v>18245.66</v>
      </c>
      <c r="AQ196" s="3">
        <f t="shared" si="144"/>
        <v>0</v>
      </c>
      <c r="AR196" s="3">
        <f t="shared" si="144"/>
        <v>34607.550000000003</v>
      </c>
      <c r="AS196" s="3">
        <f t="shared" si="144"/>
        <v>0</v>
      </c>
      <c r="AT196" s="3">
        <f t="shared" si="144"/>
        <v>16361.89</v>
      </c>
      <c r="AU196" s="3">
        <f t="shared" ref="AU196:BZ196" si="145">AU223</f>
        <v>0</v>
      </c>
      <c r="AV196" s="3">
        <f t="shared" si="145"/>
        <v>30661.61</v>
      </c>
      <c r="AW196" s="3">
        <f t="shared" si="145"/>
        <v>12415.95</v>
      </c>
      <c r="AX196" s="3">
        <f t="shared" si="145"/>
        <v>0</v>
      </c>
      <c r="AY196" s="3">
        <f t="shared" si="145"/>
        <v>12415.95</v>
      </c>
      <c r="AZ196" s="3">
        <f t="shared" si="145"/>
        <v>18245.66</v>
      </c>
      <c r="BA196" s="3">
        <f t="shared" si="145"/>
        <v>0</v>
      </c>
      <c r="BB196" s="3">
        <f t="shared" si="145"/>
        <v>0</v>
      </c>
      <c r="BC196" s="3">
        <f t="shared" si="145"/>
        <v>0</v>
      </c>
      <c r="BD196" s="3">
        <f t="shared" si="145"/>
        <v>0</v>
      </c>
      <c r="BE196" s="3">
        <f t="shared" si="145"/>
        <v>0</v>
      </c>
      <c r="BF196" s="3">
        <f t="shared" si="145"/>
        <v>0</v>
      </c>
      <c r="BG196" s="3">
        <f t="shared" si="145"/>
        <v>0</v>
      </c>
      <c r="BH196" s="3">
        <f t="shared" si="145"/>
        <v>0</v>
      </c>
      <c r="BI196" s="3">
        <f t="shared" si="145"/>
        <v>0</v>
      </c>
      <c r="BJ196" s="3">
        <f t="shared" si="145"/>
        <v>0</v>
      </c>
      <c r="BK196" s="3">
        <f t="shared" si="145"/>
        <v>0</v>
      </c>
      <c r="BL196" s="3">
        <f t="shared" si="145"/>
        <v>0</v>
      </c>
      <c r="BM196" s="3">
        <f t="shared" si="145"/>
        <v>0</v>
      </c>
      <c r="BN196" s="3">
        <f t="shared" si="145"/>
        <v>0</v>
      </c>
      <c r="BO196" s="3">
        <f t="shared" si="145"/>
        <v>0</v>
      </c>
      <c r="BP196" s="3">
        <f t="shared" si="145"/>
        <v>0</v>
      </c>
      <c r="BQ196" s="3">
        <f t="shared" si="145"/>
        <v>0</v>
      </c>
      <c r="BR196" s="3">
        <f t="shared" si="145"/>
        <v>0</v>
      </c>
      <c r="BS196" s="3">
        <f t="shared" si="145"/>
        <v>0</v>
      </c>
      <c r="BT196" s="3">
        <f t="shared" si="145"/>
        <v>0</v>
      </c>
      <c r="BU196" s="3">
        <f t="shared" si="145"/>
        <v>0</v>
      </c>
      <c r="BV196" s="3">
        <f t="shared" si="145"/>
        <v>0</v>
      </c>
      <c r="BW196" s="3">
        <f t="shared" si="145"/>
        <v>0</v>
      </c>
      <c r="BX196" s="3">
        <f t="shared" si="145"/>
        <v>0</v>
      </c>
      <c r="BY196" s="3">
        <f t="shared" si="145"/>
        <v>18245.66</v>
      </c>
      <c r="BZ196" s="3">
        <f t="shared" si="145"/>
        <v>0</v>
      </c>
      <c r="CA196" s="3">
        <f t="shared" ref="CA196:DF196" si="146">CA223</f>
        <v>34607.550000000003</v>
      </c>
      <c r="CB196" s="3">
        <f t="shared" si="146"/>
        <v>0</v>
      </c>
      <c r="CC196" s="3">
        <f t="shared" si="146"/>
        <v>16361.89</v>
      </c>
      <c r="CD196" s="3">
        <f t="shared" si="146"/>
        <v>0</v>
      </c>
      <c r="CE196" s="3">
        <f t="shared" si="146"/>
        <v>30661.61</v>
      </c>
      <c r="CF196" s="3">
        <f t="shared" si="146"/>
        <v>12415.95</v>
      </c>
      <c r="CG196" s="3">
        <f t="shared" si="146"/>
        <v>0</v>
      </c>
      <c r="CH196" s="3">
        <f t="shared" si="146"/>
        <v>12415.95</v>
      </c>
      <c r="CI196" s="3">
        <f t="shared" si="146"/>
        <v>18245.66</v>
      </c>
      <c r="CJ196" s="3">
        <f t="shared" si="146"/>
        <v>0</v>
      </c>
      <c r="CK196" s="3">
        <f t="shared" si="146"/>
        <v>0</v>
      </c>
      <c r="CL196" s="3">
        <f t="shared" si="146"/>
        <v>0</v>
      </c>
      <c r="CM196" s="3">
        <f t="shared" si="146"/>
        <v>0</v>
      </c>
      <c r="CN196" s="3">
        <f t="shared" si="146"/>
        <v>0</v>
      </c>
      <c r="CO196" s="3">
        <f t="shared" si="146"/>
        <v>0</v>
      </c>
      <c r="CP196" s="3">
        <f t="shared" si="146"/>
        <v>0</v>
      </c>
      <c r="CQ196" s="3">
        <f t="shared" si="146"/>
        <v>0</v>
      </c>
      <c r="CR196" s="3">
        <f t="shared" si="146"/>
        <v>0</v>
      </c>
      <c r="CS196" s="3">
        <f t="shared" si="146"/>
        <v>0</v>
      </c>
      <c r="CT196" s="3">
        <f t="shared" si="146"/>
        <v>0</v>
      </c>
      <c r="CU196" s="3">
        <f t="shared" si="146"/>
        <v>0</v>
      </c>
      <c r="CV196" s="3">
        <f t="shared" si="146"/>
        <v>0</v>
      </c>
      <c r="CW196" s="3">
        <f t="shared" si="146"/>
        <v>0</v>
      </c>
      <c r="CX196" s="3">
        <f t="shared" si="146"/>
        <v>0</v>
      </c>
      <c r="CY196" s="3">
        <f t="shared" si="146"/>
        <v>0</v>
      </c>
      <c r="CZ196" s="3">
        <f t="shared" si="146"/>
        <v>0</v>
      </c>
      <c r="DA196" s="3">
        <f t="shared" si="146"/>
        <v>0</v>
      </c>
      <c r="DB196" s="3">
        <f t="shared" si="146"/>
        <v>0</v>
      </c>
      <c r="DC196" s="3">
        <f t="shared" si="146"/>
        <v>0</v>
      </c>
      <c r="DD196" s="3">
        <f t="shared" si="146"/>
        <v>0</v>
      </c>
      <c r="DE196" s="3">
        <f t="shared" si="146"/>
        <v>0</v>
      </c>
      <c r="DF196" s="3">
        <f t="shared" si="146"/>
        <v>0</v>
      </c>
      <c r="DG196" s="4">
        <f t="shared" ref="DG196:EL196" si="147">DG223</f>
        <v>327557</v>
      </c>
      <c r="DH196" s="4">
        <f t="shared" si="147"/>
        <v>241564.17</v>
      </c>
      <c r="DI196" s="4">
        <f t="shared" si="147"/>
        <v>3424.24</v>
      </c>
      <c r="DJ196" s="4">
        <f t="shared" si="147"/>
        <v>1785.52</v>
      </c>
      <c r="DK196" s="4">
        <f t="shared" si="147"/>
        <v>82568.59</v>
      </c>
      <c r="DL196" s="4">
        <f t="shared" si="147"/>
        <v>0</v>
      </c>
      <c r="DM196" s="4">
        <f t="shared" si="147"/>
        <v>115.75045679999999</v>
      </c>
      <c r="DN196" s="4">
        <f t="shared" si="147"/>
        <v>0</v>
      </c>
      <c r="DO196" s="4">
        <f t="shared" si="147"/>
        <v>0</v>
      </c>
      <c r="DP196" s="4">
        <f t="shared" si="147"/>
        <v>81075.03</v>
      </c>
      <c r="DQ196" s="4">
        <f t="shared" si="147"/>
        <v>42485.99</v>
      </c>
      <c r="DR196" s="4">
        <f t="shared" si="147"/>
        <v>0</v>
      </c>
      <c r="DS196" s="4">
        <f t="shared" si="147"/>
        <v>0</v>
      </c>
      <c r="DT196" s="4">
        <f t="shared" si="147"/>
        <v>327557</v>
      </c>
      <c r="DU196" s="4">
        <f t="shared" si="147"/>
        <v>241564.17</v>
      </c>
      <c r="DV196" s="4">
        <f t="shared" si="147"/>
        <v>3424.24</v>
      </c>
      <c r="DW196" s="4">
        <f t="shared" si="147"/>
        <v>1785.52</v>
      </c>
      <c r="DX196" s="4">
        <f t="shared" si="147"/>
        <v>82568.59</v>
      </c>
      <c r="DY196" s="4">
        <f t="shared" si="147"/>
        <v>0</v>
      </c>
      <c r="DZ196" s="4">
        <f t="shared" si="147"/>
        <v>115.75045679999999</v>
      </c>
      <c r="EA196" s="4">
        <f t="shared" si="147"/>
        <v>0</v>
      </c>
      <c r="EB196" s="4">
        <f t="shared" si="147"/>
        <v>0</v>
      </c>
      <c r="EC196" s="4">
        <f t="shared" si="147"/>
        <v>81075.03</v>
      </c>
      <c r="ED196" s="4">
        <f t="shared" si="147"/>
        <v>42485.99</v>
      </c>
      <c r="EE196" s="4">
        <f t="shared" si="147"/>
        <v>0</v>
      </c>
      <c r="EF196" s="4">
        <f t="shared" si="147"/>
        <v>0</v>
      </c>
      <c r="EG196" s="4">
        <f t="shared" si="147"/>
        <v>0</v>
      </c>
      <c r="EH196" s="4">
        <f t="shared" si="147"/>
        <v>139830.68</v>
      </c>
      <c r="EI196" s="4">
        <f t="shared" si="147"/>
        <v>0</v>
      </c>
      <c r="EJ196" s="4">
        <f t="shared" si="147"/>
        <v>451118.02</v>
      </c>
      <c r="EK196" s="4">
        <f t="shared" si="147"/>
        <v>0</v>
      </c>
      <c r="EL196" s="4">
        <f t="shared" si="147"/>
        <v>311287.34000000003</v>
      </c>
      <c r="EM196" s="4">
        <f t="shared" ref="EM196:FR196" si="148">EM223</f>
        <v>0</v>
      </c>
      <c r="EN196" s="4">
        <f t="shared" si="148"/>
        <v>241564.17</v>
      </c>
      <c r="EO196" s="4">
        <f t="shared" si="148"/>
        <v>101733.49</v>
      </c>
      <c r="EP196" s="4">
        <f t="shared" si="148"/>
        <v>0</v>
      </c>
      <c r="EQ196" s="4">
        <f t="shared" si="148"/>
        <v>101733.49</v>
      </c>
      <c r="ER196" s="4">
        <f t="shared" si="148"/>
        <v>139830.68</v>
      </c>
      <c r="ES196" s="4">
        <f t="shared" si="148"/>
        <v>0</v>
      </c>
      <c r="ET196" s="4">
        <f t="shared" si="148"/>
        <v>0</v>
      </c>
      <c r="EU196" s="4">
        <f t="shared" si="148"/>
        <v>0</v>
      </c>
      <c r="EV196" s="4">
        <f t="shared" si="148"/>
        <v>0</v>
      </c>
      <c r="EW196" s="4">
        <f t="shared" si="148"/>
        <v>0</v>
      </c>
      <c r="EX196" s="4">
        <f t="shared" si="148"/>
        <v>0</v>
      </c>
      <c r="EY196" s="4">
        <f t="shared" si="148"/>
        <v>0</v>
      </c>
      <c r="EZ196" s="4">
        <f t="shared" si="148"/>
        <v>0</v>
      </c>
      <c r="FA196" s="4">
        <f t="shared" si="148"/>
        <v>0</v>
      </c>
      <c r="FB196" s="4">
        <f t="shared" si="148"/>
        <v>0</v>
      </c>
      <c r="FC196" s="4">
        <f t="shared" si="148"/>
        <v>0</v>
      </c>
      <c r="FD196" s="4">
        <f t="shared" si="148"/>
        <v>0</v>
      </c>
      <c r="FE196" s="4">
        <f t="shared" si="148"/>
        <v>0</v>
      </c>
      <c r="FF196" s="4">
        <f t="shared" si="148"/>
        <v>0</v>
      </c>
      <c r="FG196" s="4">
        <f t="shared" si="148"/>
        <v>0</v>
      </c>
      <c r="FH196" s="4">
        <f t="shared" si="148"/>
        <v>0</v>
      </c>
      <c r="FI196" s="4">
        <f t="shared" si="148"/>
        <v>0</v>
      </c>
      <c r="FJ196" s="4">
        <f t="shared" si="148"/>
        <v>0</v>
      </c>
      <c r="FK196" s="4">
        <f t="shared" si="148"/>
        <v>0</v>
      </c>
      <c r="FL196" s="4">
        <f t="shared" si="148"/>
        <v>0</v>
      </c>
      <c r="FM196" s="4">
        <f t="shared" si="148"/>
        <v>0</v>
      </c>
      <c r="FN196" s="4">
        <f t="shared" si="148"/>
        <v>0</v>
      </c>
      <c r="FO196" s="4">
        <f t="shared" si="148"/>
        <v>0</v>
      </c>
      <c r="FP196" s="4">
        <f t="shared" si="148"/>
        <v>0</v>
      </c>
      <c r="FQ196" s="4">
        <f t="shared" si="148"/>
        <v>139830.68</v>
      </c>
      <c r="FR196" s="4">
        <f t="shared" si="148"/>
        <v>0</v>
      </c>
      <c r="FS196" s="4">
        <f t="shared" ref="FS196:GX196" si="149">FS223</f>
        <v>451118.02</v>
      </c>
      <c r="FT196" s="4">
        <f t="shared" si="149"/>
        <v>0</v>
      </c>
      <c r="FU196" s="4">
        <f t="shared" si="149"/>
        <v>311287.34000000003</v>
      </c>
      <c r="FV196" s="4">
        <f t="shared" si="149"/>
        <v>0</v>
      </c>
      <c r="FW196" s="4">
        <f t="shared" si="149"/>
        <v>241564.17</v>
      </c>
      <c r="FX196" s="4">
        <f t="shared" si="149"/>
        <v>101733.49000000002</v>
      </c>
      <c r="FY196" s="4">
        <f t="shared" si="149"/>
        <v>0</v>
      </c>
      <c r="FZ196" s="4">
        <f t="shared" si="149"/>
        <v>101733.49000000002</v>
      </c>
      <c r="GA196" s="4">
        <f t="shared" si="149"/>
        <v>139830.68</v>
      </c>
      <c r="GB196" s="4">
        <f t="shared" si="149"/>
        <v>0</v>
      </c>
      <c r="GC196" s="4">
        <f t="shared" si="149"/>
        <v>0</v>
      </c>
      <c r="GD196" s="4">
        <f t="shared" si="149"/>
        <v>0</v>
      </c>
      <c r="GE196" s="4">
        <f t="shared" si="149"/>
        <v>0</v>
      </c>
      <c r="GF196" s="4">
        <f t="shared" si="149"/>
        <v>0</v>
      </c>
      <c r="GG196" s="4">
        <f t="shared" si="149"/>
        <v>0</v>
      </c>
      <c r="GH196" s="4">
        <f t="shared" si="149"/>
        <v>0</v>
      </c>
      <c r="GI196" s="4">
        <f t="shared" si="149"/>
        <v>0</v>
      </c>
      <c r="GJ196" s="4">
        <f t="shared" si="149"/>
        <v>0</v>
      </c>
      <c r="GK196" s="4">
        <f t="shared" si="149"/>
        <v>0</v>
      </c>
      <c r="GL196" s="4">
        <f t="shared" si="149"/>
        <v>0</v>
      </c>
      <c r="GM196" s="4">
        <f t="shared" si="149"/>
        <v>0</v>
      </c>
      <c r="GN196" s="4">
        <f t="shared" si="149"/>
        <v>0</v>
      </c>
      <c r="GO196" s="4">
        <f t="shared" si="149"/>
        <v>0</v>
      </c>
      <c r="GP196" s="4">
        <f t="shared" si="149"/>
        <v>0</v>
      </c>
      <c r="GQ196" s="4">
        <f t="shared" si="149"/>
        <v>0</v>
      </c>
      <c r="GR196" s="4">
        <f t="shared" si="149"/>
        <v>0</v>
      </c>
      <c r="GS196" s="4">
        <f t="shared" si="149"/>
        <v>0</v>
      </c>
      <c r="GT196" s="4">
        <f t="shared" si="149"/>
        <v>0</v>
      </c>
      <c r="GU196" s="4">
        <f t="shared" si="149"/>
        <v>0</v>
      </c>
      <c r="GV196" s="4">
        <f t="shared" si="149"/>
        <v>0</v>
      </c>
      <c r="GW196" s="4">
        <f t="shared" si="149"/>
        <v>0</v>
      </c>
      <c r="GX196" s="4">
        <f t="shared" si="149"/>
        <v>0</v>
      </c>
    </row>
    <row r="198" spans="1:255" x14ac:dyDescent="0.2">
      <c r="A198" s="2">
        <v>17</v>
      </c>
      <c r="B198" s="2">
        <v>1</v>
      </c>
      <c r="C198" s="2">
        <f>ROW(SmtRes!A243)</f>
        <v>243</v>
      </c>
      <c r="D198" s="2">
        <f>ROW(EtalonRes!A264)</f>
        <v>264</v>
      </c>
      <c r="E198" s="2" t="s">
        <v>287</v>
      </c>
      <c r="F198" s="2" t="s">
        <v>288</v>
      </c>
      <c r="G198" s="2" t="s">
        <v>289</v>
      </c>
      <c r="H198" s="2" t="s">
        <v>43</v>
      </c>
      <c r="I198" s="2">
        <f>ROUND(ROUND(1,4),9)</f>
        <v>1</v>
      </c>
      <c r="J198" s="2">
        <v>0</v>
      </c>
      <c r="K198" s="2">
        <f>ROUND(ROUND(1,4),9)</f>
        <v>1</v>
      </c>
      <c r="L198" s="2"/>
      <c r="M198" s="2"/>
      <c r="N198" s="2"/>
      <c r="O198" s="2">
        <f t="shared" ref="O198:O221" si="150">ROUND(CP198,2)</f>
        <v>33.07</v>
      </c>
      <c r="P198" s="2">
        <f>ROUND((ROUND((AC198*AW198*I198),2)*BC198),2)</f>
        <v>22.6</v>
      </c>
      <c r="Q198" s="2">
        <f>(ROUND((ROUND((((ET198*1.1))*AV198*I198),2)*BB198),2)+ROUND((ROUND(((AE198-((EU198*1.1)))*AV198*I198),2)*BS198),2))</f>
        <v>0</v>
      </c>
      <c r="R198" s="2">
        <f t="shared" ref="R198:R221" si="151">ROUND((ROUND((AE198*AV198*I198),2)*BS198),2)</f>
        <v>0</v>
      </c>
      <c r="S198" s="2">
        <f t="shared" ref="S198:S221" si="152">ROUND((ROUND((AF198*AV198*I198),2)*BA198),2)</f>
        <v>10.47</v>
      </c>
      <c r="T198" s="2">
        <f t="shared" ref="T198:T221" si="153">ROUND(CU198*I198,2)</f>
        <v>0</v>
      </c>
      <c r="U198" s="2">
        <f t="shared" ref="U198:U221" si="154">CV198*I198</f>
        <v>0.82922399999999996</v>
      </c>
      <c r="V198" s="2">
        <f t="shared" ref="V198:V221" si="155">CW198*I198</f>
        <v>0</v>
      </c>
      <c r="W198" s="2">
        <f t="shared" ref="W198:W221" si="156">ROUND(CX198*I198,2)</f>
        <v>0</v>
      </c>
      <c r="X198" s="2">
        <f t="shared" ref="X198:X221" si="157">ROUND(CY198,2)</f>
        <v>9.42</v>
      </c>
      <c r="Y198" s="2">
        <f t="shared" ref="Y198:Y221" si="158">ROUND(CZ198,2)</f>
        <v>4.82</v>
      </c>
      <c r="Z198" s="2"/>
      <c r="AA198" s="2">
        <v>59213216</v>
      </c>
      <c r="AB198" s="2">
        <f t="shared" ref="AB198:AB221" si="159">ROUND((AC198+AD198+AF198),6)</f>
        <v>32.598999999999997</v>
      </c>
      <c r="AC198" s="2">
        <f>ROUND(((ES198*1)),6)</f>
        <v>22.6</v>
      </c>
      <c r="AD198" s="2">
        <f>ROUND(((((ET198*1.1))-((EU198*1.1)))+AE198),6)</f>
        <v>0</v>
      </c>
      <c r="AE198" s="2">
        <f>ROUND(((EU198*1.1)),6)</f>
        <v>0</v>
      </c>
      <c r="AF198" s="2">
        <f>ROUND(((EV198*1.1)),6)</f>
        <v>9.9990000000000006</v>
      </c>
      <c r="AG198" s="2">
        <f t="shared" ref="AG198:AG221" si="160">ROUND((AP198),6)</f>
        <v>0</v>
      </c>
      <c r="AH198" s="2">
        <f>((EW198*1.1))</f>
        <v>0.79200000000000004</v>
      </c>
      <c r="AI198" s="2">
        <f>((EX198*1.1))</f>
        <v>0</v>
      </c>
      <c r="AJ198" s="2">
        <f t="shared" ref="AJ198:AJ221" si="161">(AS198)</f>
        <v>0</v>
      </c>
      <c r="AK198" s="2">
        <v>31.69</v>
      </c>
      <c r="AL198" s="2">
        <v>22.6</v>
      </c>
      <c r="AM198" s="2">
        <v>0</v>
      </c>
      <c r="AN198" s="2">
        <v>0</v>
      </c>
      <c r="AO198" s="2">
        <v>9.09</v>
      </c>
      <c r="AP198" s="2">
        <v>0</v>
      </c>
      <c r="AQ198" s="2">
        <v>0.72</v>
      </c>
      <c r="AR198" s="2">
        <v>0</v>
      </c>
      <c r="AS198" s="2">
        <v>0</v>
      </c>
      <c r="AT198" s="2">
        <v>90</v>
      </c>
      <c r="AU198" s="2">
        <v>46</v>
      </c>
      <c r="AV198" s="2">
        <v>1.0469999999999999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0</v>
      </c>
      <c r="BI198" s="2">
        <v>2</v>
      </c>
      <c r="BJ198" s="2" t="s">
        <v>290</v>
      </c>
      <c r="BK198" s="2"/>
      <c r="BL198" s="2"/>
      <c r="BM198" s="2">
        <v>68</v>
      </c>
      <c r="BN198" s="2">
        <v>58808062</v>
      </c>
      <c r="BO198" s="2" t="s">
        <v>288</v>
      </c>
      <c r="BP198" s="2">
        <v>1</v>
      </c>
      <c r="BQ198" s="2">
        <v>40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90</v>
      </c>
      <c r="CA198" s="2">
        <v>46</v>
      </c>
      <c r="CB198" s="2" t="s">
        <v>3</v>
      </c>
      <c r="CC198" s="2"/>
      <c r="CD198" s="2"/>
      <c r="CE198" s="2">
        <v>30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492</v>
      </c>
      <c r="CO198" s="2">
        <v>0</v>
      </c>
      <c r="CP198" s="2">
        <f t="shared" ref="CP198:CP221" si="162">(P198+Q198+S198)</f>
        <v>33.07</v>
      </c>
      <c r="CQ198" s="2">
        <f>ROUND((ROUND((AC198*AW198*1),2)*BC198),2)</f>
        <v>22.6</v>
      </c>
      <c r="CR198" s="2">
        <f>(ROUND((ROUND((((ET198*1.1))*AV198*1),2)*BB198),2)+ROUND((ROUND(((AE198-((EU198*1.1)))*AV198*1),2)*BS198),2))</f>
        <v>0</v>
      </c>
      <c r="CS198" s="2">
        <f t="shared" ref="CS198:CS221" si="163">ROUND((ROUND((AE198*AV198*1),2)*BS198),2)</f>
        <v>0</v>
      </c>
      <c r="CT198" s="2">
        <f t="shared" ref="CT198:CT221" si="164">ROUND((ROUND((AF198*AV198*1),2)*BA198),2)</f>
        <v>10.47</v>
      </c>
      <c r="CU198" s="2">
        <f t="shared" ref="CU198:CU221" si="165">AG198</f>
        <v>0</v>
      </c>
      <c r="CV198" s="2">
        <f t="shared" ref="CV198:CV221" si="166">(AH198*AV198)</f>
        <v>0.82922399999999996</v>
      </c>
      <c r="CW198" s="2">
        <f t="shared" ref="CW198:CW221" si="167">AI198</f>
        <v>0</v>
      </c>
      <c r="CX198" s="2">
        <f t="shared" ref="CX198:CX221" si="168">AJ198</f>
        <v>0</v>
      </c>
      <c r="CY198" s="2">
        <f t="shared" ref="CY198:CY221" si="169">(((S198+R198)*AT198)/100)</f>
        <v>9.423</v>
      </c>
      <c r="CZ198" s="2">
        <f t="shared" ref="CZ198:CZ221" si="170">(((S198+R198)*AU198)/100)</f>
        <v>4.8162000000000003</v>
      </c>
      <c r="DA198" s="2"/>
      <c r="DB198" s="2">
        <v>47</v>
      </c>
      <c r="DC198" s="2" t="s">
        <v>3</v>
      </c>
      <c r="DD198" s="2" t="s">
        <v>25</v>
      </c>
      <c r="DE198" s="2" t="s">
        <v>26</v>
      </c>
      <c r="DF198" s="2" t="s">
        <v>26</v>
      </c>
      <c r="DG198" s="2" t="s">
        <v>26</v>
      </c>
      <c r="DH198" s="2" t="s">
        <v>3</v>
      </c>
      <c r="DI198" s="2" t="s">
        <v>26</v>
      </c>
      <c r="DJ198" s="2" t="s">
        <v>26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1013</v>
      </c>
      <c r="DV198" s="2" t="s">
        <v>43</v>
      </c>
      <c r="DW198" s="2" t="s">
        <v>43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58808178</v>
      </c>
      <c r="EF198" s="2">
        <v>40</v>
      </c>
      <c r="EG198" s="2" t="s">
        <v>27</v>
      </c>
      <c r="EH198" s="2">
        <v>0</v>
      </c>
      <c r="EI198" s="2" t="s">
        <v>3</v>
      </c>
      <c r="EJ198" s="2">
        <v>2</v>
      </c>
      <c r="EK198" s="2">
        <v>68</v>
      </c>
      <c r="EL198" s="2" t="s">
        <v>28</v>
      </c>
      <c r="EM198" s="2" t="s">
        <v>29</v>
      </c>
      <c r="EN198" s="2"/>
      <c r="EO198" s="2" t="s">
        <v>30</v>
      </c>
      <c r="EP198" s="2"/>
      <c r="EQ198" s="2">
        <v>0</v>
      </c>
      <c r="ER198" s="2">
        <v>31.69</v>
      </c>
      <c r="ES198" s="2">
        <v>22.6</v>
      </c>
      <c r="ET198" s="2">
        <v>0</v>
      </c>
      <c r="EU198" s="2">
        <v>0</v>
      </c>
      <c r="EV198" s="2">
        <v>9.09</v>
      </c>
      <c r="EW198" s="2">
        <v>0.72</v>
      </c>
      <c r="EX198" s="2">
        <v>0</v>
      </c>
      <c r="EY198" s="2">
        <v>0</v>
      </c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90</v>
      </c>
      <c r="FY198" s="2">
        <v>46</v>
      </c>
      <c r="FZ198" s="2"/>
      <c r="GA198" s="2" t="s">
        <v>3</v>
      </c>
      <c r="GB198" s="2"/>
      <c r="GC198" s="2"/>
      <c r="GD198" s="2">
        <v>1</v>
      </c>
      <c r="GE198" s="2"/>
      <c r="GF198" s="2">
        <v>931195524</v>
      </c>
      <c r="GG198" s="2">
        <v>2</v>
      </c>
      <c r="GH198" s="2">
        <v>1</v>
      </c>
      <c r="GI198" s="2">
        <v>2</v>
      </c>
      <c r="GJ198" s="2">
        <v>0</v>
      </c>
      <c r="GK198" s="2">
        <v>0</v>
      </c>
      <c r="GL198" s="2">
        <f t="shared" ref="GL198:GL221" si="171">ROUND(IF(AND(BH198=3,BI198=3,FS198&lt;&gt;0),P198,0),2)</f>
        <v>0</v>
      </c>
      <c r="GM198" s="2">
        <f t="shared" ref="GM198:GM221" si="172">ROUND(O198+X198+Y198,2)+GX198</f>
        <v>47.31</v>
      </c>
      <c r="GN198" s="2">
        <f t="shared" ref="GN198:GN221" si="173">IF(OR(BI198=0,BI198=1),GM198-GX198,0)</f>
        <v>0</v>
      </c>
      <c r="GO198" s="2">
        <f t="shared" ref="GO198:GO221" si="174">IF(BI198=2,GM198-GX198,0)</f>
        <v>47.31</v>
      </c>
      <c r="GP198" s="2">
        <f t="shared" ref="GP198:GP221" si="175">IF(BI198=4,GM198-GX198,0)</f>
        <v>0</v>
      </c>
      <c r="GQ198" s="2"/>
      <c r="GR198" s="2">
        <v>0</v>
      </c>
      <c r="GS198" s="2">
        <v>3</v>
      </c>
      <c r="GT198" s="2">
        <v>0</v>
      </c>
      <c r="GU198" s="2" t="s">
        <v>3</v>
      </c>
      <c r="GV198" s="2">
        <f t="shared" ref="GV198:GV221" si="176">ROUND((GT198),6)</f>
        <v>0</v>
      </c>
      <c r="GW198" s="2">
        <v>1</v>
      </c>
      <c r="GX198" s="2">
        <f t="shared" ref="GX198:GX221" si="177">ROUND(HC198*I198,2)</f>
        <v>0</v>
      </c>
      <c r="GY198" s="2"/>
      <c r="GZ198" s="2"/>
      <c r="HA198" s="2">
        <v>0</v>
      </c>
      <c r="HB198" s="2">
        <v>0</v>
      </c>
      <c r="HC198" s="2">
        <f t="shared" ref="HC198:HC221" si="178">GV198*GW198</f>
        <v>0</v>
      </c>
      <c r="HD198" s="2"/>
      <c r="HE198" s="2" t="s">
        <v>3</v>
      </c>
      <c r="HF198" s="2" t="s">
        <v>3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">
      <c r="A199">
        <v>17</v>
      </c>
      <c r="B199">
        <v>1</v>
      </c>
      <c r="C199">
        <f>ROW(SmtRes!A252)</f>
        <v>252</v>
      </c>
      <c r="D199">
        <f>ROW(EtalonRes!A274)</f>
        <v>274</v>
      </c>
      <c r="E199" t="s">
        <v>287</v>
      </c>
      <c r="F199" t="s">
        <v>288</v>
      </c>
      <c r="G199" t="s">
        <v>289</v>
      </c>
      <c r="H199" t="s">
        <v>43</v>
      </c>
      <c r="I199">
        <f>ROUND(ROUND(1,4),9)</f>
        <v>1</v>
      </c>
      <c r="J199">
        <v>0</v>
      </c>
      <c r="K199">
        <f>ROUND(ROUND(1,4),9)</f>
        <v>1</v>
      </c>
      <c r="O199">
        <f t="shared" si="150"/>
        <v>678.13</v>
      </c>
      <c r="P199">
        <f>ROUND((ROUND((AC199*AW199*I199),2)*BC199),2)</f>
        <v>102.38</v>
      </c>
      <c r="Q199">
        <f>(ROUND((ROUND((((ET199*1.1))*AV199*I199),2)*BB199),2)+ROUND((ROUND(((AE199-((EU199*1.1)))*AV199*I199),2)*BS199),2))</f>
        <v>0</v>
      </c>
      <c r="R199">
        <f t="shared" si="151"/>
        <v>0</v>
      </c>
      <c r="S199">
        <f t="shared" si="152"/>
        <v>575.75</v>
      </c>
      <c r="T199">
        <f t="shared" si="153"/>
        <v>0</v>
      </c>
      <c r="U199">
        <f t="shared" si="154"/>
        <v>0.82922399999999996</v>
      </c>
      <c r="V199">
        <f t="shared" si="155"/>
        <v>0</v>
      </c>
      <c r="W199">
        <f t="shared" si="156"/>
        <v>0</v>
      </c>
      <c r="X199">
        <f t="shared" si="157"/>
        <v>518.17999999999995</v>
      </c>
      <c r="Y199">
        <f t="shared" si="158"/>
        <v>264.85000000000002</v>
      </c>
      <c r="AA199">
        <v>59213213</v>
      </c>
      <c r="AB199">
        <f t="shared" si="159"/>
        <v>32.598999999999997</v>
      </c>
      <c r="AC199">
        <f>ROUND(((ES199*1)),6)</f>
        <v>22.6</v>
      </c>
      <c r="AD199">
        <f>ROUND(((((ET199*1.1))-((EU199*1.1)))+AE199),6)</f>
        <v>0</v>
      </c>
      <c r="AE199">
        <f>ROUND(((EU199*1.1)),6)</f>
        <v>0</v>
      </c>
      <c r="AF199">
        <f>ROUND(((EV199*1.1)),6)</f>
        <v>9.9990000000000006</v>
      </c>
      <c r="AG199">
        <f t="shared" si="160"/>
        <v>0</v>
      </c>
      <c r="AH199">
        <f>((EW199*1.1))</f>
        <v>0.79200000000000004</v>
      </c>
      <c r="AI199">
        <f>((EX199*1.1))</f>
        <v>0</v>
      </c>
      <c r="AJ199">
        <f t="shared" si="161"/>
        <v>0</v>
      </c>
      <c r="AK199">
        <v>31.69</v>
      </c>
      <c r="AL199">
        <v>22.6</v>
      </c>
      <c r="AM199">
        <v>0</v>
      </c>
      <c r="AN199">
        <v>0</v>
      </c>
      <c r="AO199">
        <v>9.09</v>
      </c>
      <c r="AP199">
        <v>0</v>
      </c>
      <c r="AQ199">
        <v>0.72</v>
      </c>
      <c r="AR199">
        <v>0</v>
      </c>
      <c r="AS199">
        <v>0</v>
      </c>
      <c r="AT199">
        <v>90</v>
      </c>
      <c r="AU199">
        <v>46</v>
      </c>
      <c r="AV199">
        <v>1.0469999999999999</v>
      </c>
      <c r="AW199">
        <v>1</v>
      </c>
      <c r="AZ199">
        <v>1</v>
      </c>
      <c r="BA199">
        <v>54.99</v>
      </c>
      <c r="BB199">
        <v>1</v>
      </c>
      <c r="BC199">
        <v>4.53</v>
      </c>
      <c r="BD199" t="s">
        <v>3</v>
      </c>
      <c r="BE199" t="s">
        <v>3</v>
      </c>
      <c r="BF199" t="s">
        <v>3</v>
      </c>
      <c r="BG199" t="s">
        <v>3</v>
      </c>
      <c r="BH199">
        <v>0</v>
      </c>
      <c r="BI199">
        <v>2</v>
      </c>
      <c r="BJ199" t="s">
        <v>290</v>
      </c>
      <c r="BM199">
        <v>68</v>
      </c>
      <c r="BN199">
        <v>58808062</v>
      </c>
      <c r="BO199" t="s">
        <v>288</v>
      </c>
      <c r="BP199">
        <v>1</v>
      </c>
      <c r="BQ199">
        <v>40</v>
      </c>
      <c r="BR199">
        <v>0</v>
      </c>
      <c r="BS199">
        <v>54.99</v>
      </c>
      <c r="BT199">
        <v>1</v>
      </c>
      <c r="BU199">
        <v>1</v>
      </c>
      <c r="BV199">
        <v>1</v>
      </c>
      <c r="BW199">
        <v>1</v>
      </c>
      <c r="BX199">
        <v>1</v>
      </c>
      <c r="BY199" t="s">
        <v>3</v>
      </c>
      <c r="BZ199">
        <v>90</v>
      </c>
      <c r="CA199">
        <v>46</v>
      </c>
      <c r="CB199" t="s">
        <v>3</v>
      </c>
      <c r="CE199">
        <v>30</v>
      </c>
      <c r="CF199">
        <v>0</v>
      </c>
      <c r="CG199">
        <v>0</v>
      </c>
      <c r="CM199">
        <v>0</v>
      </c>
      <c r="CN199" t="s">
        <v>492</v>
      </c>
      <c r="CO199">
        <v>0</v>
      </c>
      <c r="CP199">
        <f t="shared" si="162"/>
        <v>678.13</v>
      </c>
      <c r="CQ199">
        <f>ROUND((ROUND((AC199*AW199*1),2)*BC199),2)</f>
        <v>102.38</v>
      </c>
      <c r="CR199">
        <f>(ROUND((ROUND((((ET199*1.1))*AV199*1),2)*BB199),2)+ROUND((ROUND(((AE199-((EU199*1.1)))*AV199*1),2)*BS199),2))</f>
        <v>0</v>
      </c>
      <c r="CS199">
        <f t="shared" si="163"/>
        <v>0</v>
      </c>
      <c r="CT199">
        <f t="shared" si="164"/>
        <v>575.75</v>
      </c>
      <c r="CU199">
        <f t="shared" si="165"/>
        <v>0</v>
      </c>
      <c r="CV199">
        <f t="shared" si="166"/>
        <v>0.82922399999999996</v>
      </c>
      <c r="CW199">
        <f t="shared" si="167"/>
        <v>0</v>
      </c>
      <c r="CX199">
        <f t="shared" si="168"/>
        <v>0</v>
      </c>
      <c r="CY199">
        <f t="shared" si="169"/>
        <v>518.17499999999995</v>
      </c>
      <c r="CZ199">
        <f t="shared" si="170"/>
        <v>264.84500000000003</v>
      </c>
      <c r="DB199">
        <v>48</v>
      </c>
      <c r="DC199" t="s">
        <v>3</v>
      </c>
      <c r="DD199" t="s">
        <v>25</v>
      </c>
      <c r="DE199" t="s">
        <v>26</v>
      </c>
      <c r="DF199" t="s">
        <v>26</v>
      </c>
      <c r="DG199" t="s">
        <v>26</v>
      </c>
      <c r="DH199" t="s">
        <v>3</v>
      </c>
      <c r="DI199" t="s">
        <v>26</v>
      </c>
      <c r="DJ199" t="s">
        <v>26</v>
      </c>
      <c r="DK199" t="s">
        <v>3</v>
      </c>
      <c r="DL199" t="s">
        <v>3</v>
      </c>
      <c r="DM199" t="s">
        <v>3</v>
      </c>
      <c r="DN199">
        <v>0</v>
      </c>
      <c r="DO199">
        <v>0</v>
      </c>
      <c r="DP199">
        <v>1</v>
      </c>
      <c r="DQ199">
        <v>1</v>
      </c>
      <c r="DU199">
        <v>1013</v>
      </c>
      <c r="DV199" t="s">
        <v>43</v>
      </c>
      <c r="DW199" t="s">
        <v>43</v>
      </c>
      <c r="DX199">
        <v>1</v>
      </c>
      <c r="DZ199" t="s">
        <v>3</v>
      </c>
      <c r="EA199" t="s">
        <v>3</v>
      </c>
      <c r="EB199" t="s">
        <v>3</v>
      </c>
      <c r="EC199" t="s">
        <v>3</v>
      </c>
      <c r="EE199">
        <v>58808178</v>
      </c>
      <c r="EF199">
        <v>40</v>
      </c>
      <c r="EG199" t="s">
        <v>27</v>
      </c>
      <c r="EH199">
        <v>0</v>
      </c>
      <c r="EI199" t="s">
        <v>3</v>
      </c>
      <c r="EJ199">
        <v>2</v>
      </c>
      <c r="EK199">
        <v>68</v>
      </c>
      <c r="EL199" t="s">
        <v>28</v>
      </c>
      <c r="EM199" t="s">
        <v>29</v>
      </c>
      <c r="EO199" t="s">
        <v>30</v>
      </c>
      <c r="EQ199">
        <v>0</v>
      </c>
      <c r="ER199">
        <v>31.69</v>
      </c>
      <c r="ES199">
        <v>22.6</v>
      </c>
      <c r="ET199">
        <v>0</v>
      </c>
      <c r="EU199">
        <v>0</v>
      </c>
      <c r="EV199">
        <v>9.09</v>
      </c>
      <c r="EW199">
        <v>0.72</v>
      </c>
      <c r="EX199">
        <v>0</v>
      </c>
      <c r="EY199">
        <v>0</v>
      </c>
      <c r="FQ199">
        <v>0</v>
      </c>
      <c r="FR199">
        <v>0</v>
      </c>
      <c r="FS199">
        <v>0</v>
      </c>
      <c r="FX199">
        <v>90</v>
      </c>
      <c r="FY199">
        <v>46</v>
      </c>
      <c r="GA199" t="s">
        <v>3</v>
      </c>
      <c r="GD199">
        <v>1</v>
      </c>
      <c r="GF199">
        <v>931195524</v>
      </c>
      <c r="GG199">
        <v>2</v>
      </c>
      <c r="GH199">
        <v>1</v>
      </c>
      <c r="GI199">
        <v>2</v>
      </c>
      <c r="GJ199">
        <v>0</v>
      </c>
      <c r="GK199">
        <v>0</v>
      </c>
      <c r="GL199">
        <f t="shared" si="171"/>
        <v>0</v>
      </c>
      <c r="GM199">
        <f t="shared" si="172"/>
        <v>1461.16</v>
      </c>
      <c r="GN199">
        <f t="shared" si="173"/>
        <v>0</v>
      </c>
      <c r="GO199">
        <f t="shared" si="174"/>
        <v>1461.16</v>
      </c>
      <c r="GP199">
        <f t="shared" si="175"/>
        <v>0</v>
      </c>
      <c r="GR199">
        <v>0</v>
      </c>
      <c r="GS199">
        <v>3</v>
      </c>
      <c r="GT199">
        <v>0</v>
      </c>
      <c r="GU199" t="s">
        <v>3</v>
      </c>
      <c r="GV199">
        <f t="shared" si="176"/>
        <v>0</v>
      </c>
      <c r="GW199">
        <v>1</v>
      </c>
      <c r="GX199">
        <f t="shared" si="177"/>
        <v>0</v>
      </c>
      <c r="HA199">
        <v>0</v>
      </c>
      <c r="HB199">
        <v>0</v>
      </c>
      <c r="HC199">
        <f t="shared" si="178"/>
        <v>0</v>
      </c>
      <c r="HE199" t="s">
        <v>3</v>
      </c>
      <c r="HF199" t="s">
        <v>3</v>
      </c>
      <c r="HM199" t="s">
        <v>3</v>
      </c>
      <c r="HN199" t="s">
        <v>3</v>
      </c>
      <c r="HO199" t="s">
        <v>3</v>
      </c>
      <c r="HP199" t="s">
        <v>3</v>
      </c>
      <c r="HQ199" t="s">
        <v>3</v>
      </c>
      <c r="HS199">
        <v>0</v>
      </c>
      <c r="IK199">
        <v>0</v>
      </c>
    </row>
    <row r="200" spans="1:255" x14ac:dyDescent="0.2">
      <c r="A200" s="2">
        <v>17</v>
      </c>
      <c r="B200" s="2">
        <v>1</v>
      </c>
      <c r="C200" s="2"/>
      <c r="D200" s="2"/>
      <c r="E200" s="2" t="s">
        <v>291</v>
      </c>
      <c r="F200" s="2" t="s">
        <v>292</v>
      </c>
      <c r="G200" s="2" t="s">
        <v>293</v>
      </c>
      <c r="H200" s="2" t="s">
        <v>34</v>
      </c>
      <c r="I200" s="2">
        <f>ROUND(ROUND(1,4),9)</f>
        <v>1</v>
      </c>
      <c r="J200" s="2">
        <v>0</v>
      </c>
      <c r="K200" s="2">
        <f>ROUND(ROUND(1,4),9)</f>
        <v>1</v>
      </c>
      <c r="L200" s="2"/>
      <c r="M200" s="2"/>
      <c r="N200" s="2"/>
      <c r="O200" s="2">
        <f t="shared" si="150"/>
        <v>1451.51</v>
      </c>
      <c r="P200" s="2">
        <f>ROUND((ROUND((AC200*I200),2)*BC200),2)</f>
        <v>1451.51</v>
      </c>
      <c r="Q200" s="2">
        <f>(ROUND((ROUND(((ET200)*AV200*I200),2)*BB200),2)+ROUND((ROUND(((AE200-(EU200))*AV200*I200),2)*BS200),2))</f>
        <v>0</v>
      </c>
      <c r="R200" s="2">
        <f t="shared" si="151"/>
        <v>0</v>
      </c>
      <c r="S200" s="2">
        <f t="shared" si="152"/>
        <v>0</v>
      </c>
      <c r="T200" s="2">
        <f t="shared" si="153"/>
        <v>0</v>
      </c>
      <c r="U200" s="2">
        <f t="shared" si="154"/>
        <v>0</v>
      </c>
      <c r="V200" s="2">
        <f t="shared" si="155"/>
        <v>0</v>
      </c>
      <c r="W200" s="2">
        <f t="shared" si="156"/>
        <v>0</v>
      </c>
      <c r="X200" s="2">
        <f t="shared" si="157"/>
        <v>0</v>
      </c>
      <c r="Y200" s="2">
        <f t="shared" si="158"/>
        <v>0</v>
      </c>
      <c r="Z200" s="2"/>
      <c r="AA200" s="2">
        <v>59213216</v>
      </c>
      <c r="AB200" s="2">
        <f t="shared" si="159"/>
        <v>1451.51</v>
      </c>
      <c r="AC200" s="2">
        <f>ROUND((ES200),6)</f>
        <v>1451.51</v>
      </c>
      <c r="AD200" s="2">
        <f>ROUND((((ET200)-(EU200))+AE200),6)</f>
        <v>0</v>
      </c>
      <c r="AE200" s="2">
        <f>ROUND((EU200),6)</f>
        <v>0</v>
      </c>
      <c r="AF200" s="2">
        <f>ROUND((EV200),6)</f>
        <v>0</v>
      </c>
      <c r="AG200" s="2">
        <f t="shared" si="160"/>
        <v>0</v>
      </c>
      <c r="AH200" s="2">
        <f>(EW200)</f>
        <v>0</v>
      </c>
      <c r="AI200" s="2">
        <f>(EX200)</f>
        <v>0</v>
      </c>
      <c r="AJ200" s="2">
        <f t="shared" si="161"/>
        <v>0</v>
      </c>
      <c r="AK200" s="2">
        <v>1451.51</v>
      </c>
      <c r="AL200" s="2">
        <v>1451.51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3</v>
      </c>
      <c r="BJ200" s="2" t="s">
        <v>3</v>
      </c>
      <c r="BK200" s="2"/>
      <c r="BL200" s="2"/>
      <c r="BM200" s="2">
        <v>746</v>
      </c>
      <c r="BN200" s="2">
        <v>0</v>
      </c>
      <c r="BO200" s="2" t="s">
        <v>3</v>
      </c>
      <c r="BP200" s="2">
        <v>0</v>
      </c>
      <c r="BQ200" s="2">
        <v>130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0</v>
      </c>
      <c r="CA200" s="2">
        <v>0</v>
      </c>
      <c r="CB200" s="2" t="s">
        <v>3</v>
      </c>
      <c r="CC200" s="2"/>
      <c r="CD200" s="2"/>
      <c r="CE200" s="2">
        <v>30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62"/>
        <v>1451.51</v>
      </c>
      <c r="CQ200" s="2">
        <f>ROUND((ROUND((AC200*1),2)*BC200),2)</f>
        <v>1451.51</v>
      </c>
      <c r="CR200" s="2">
        <f>(ROUND((ROUND(((ET200)*AV200*1),2)*BB200),2)+ROUND((ROUND(((AE200-(EU200))*AV200*1),2)*BS200),2))</f>
        <v>0</v>
      </c>
      <c r="CS200" s="2">
        <f t="shared" si="163"/>
        <v>0</v>
      </c>
      <c r="CT200" s="2">
        <f t="shared" si="164"/>
        <v>0</v>
      </c>
      <c r="CU200" s="2">
        <f t="shared" si="165"/>
        <v>0</v>
      </c>
      <c r="CV200" s="2">
        <f t="shared" si="166"/>
        <v>0</v>
      </c>
      <c r="CW200" s="2">
        <f t="shared" si="167"/>
        <v>0</v>
      </c>
      <c r="CX200" s="2">
        <f t="shared" si="168"/>
        <v>0</v>
      </c>
      <c r="CY200" s="2">
        <f t="shared" si="169"/>
        <v>0</v>
      </c>
      <c r="CZ200" s="2">
        <f t="shared" si="170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1010</v>
      </c>
      <c r="DV200" s="2" t="s">
        <v>34</v>
      </c>
      <c r="DW200" s="2" t="s">
        <v>34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58808284</v>
      </c>
      <c r="EF200" s="2">
        <v>130</v>
      </c>
      <c r="EG200" s="2" t="s">
        <v>35</v>
      </c>
      <c r="EH200" s="2">
        <v>0</v>
      </c>
      <c r="EI200" s="2" t="s">
        <v>3</v>
      </c>
      <c r="EJ200" s="2">
        <v>3</v>
      </c>
      <c r="EK200" s="2">
        <v>746</v>
      </c>
      <c r="EL200" s="2" t="s">
        <v>36</v>
      </c>
      <c r="EM200" s="2" t="s">
        <v>37</v>
      </c>
      <c r="EN200" s="2"/>
      <c r="EO200" s="2" t="s">
        <v>3</v>
      </c>
      <c r="EP200" s="2"/>
      <c r="EQ200" s="2">
        <v>0</v>
      </c>
      <c r="ER200" s="2">
        <v>0</v>
      </c>
      <c r="ES200" s="2">
        <v>1451.51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f>P200</f>
        <v>1451.51</v>
      </c>
      <c r="FS200" s="2">
        <v>0</v>
      </c>
      <c r="FT200" s="2"/>
      <c r="FU200" s="2"/>
      <c r="FV200" s="2"/>
      <c r="FW200" s="2"/>
      <c r="FX200" s="2">
        <v>0</v>
      </c>
      <c r="FY200" s="2">
        <v>0</v>
      </c>
      <c r="FZ200" s="2"/>
      <c r="GA200" s="2" t="s">
        <v>294</v>
      </c>
      <c r="GB200" s="2"/>
      <c r="GC200" s="2"/>
      <c r="GD200" s="2">
        <v>1</v>
      </c>
      <c r="GE200" s="2"/>
      <c r="GF200" s="2">
        <v>939583834</v>
      </c>
      <c r="GG200" s="2">
        <v>2</v>
      </c>
      <c r="GH200" s="2">
        <v>4</v>
      </c>
      <c r="GI200" s="2">
        <v>0</v>
      </c>
      <c r="GJ200" s="2">
        <v>0</v>
      </c>
      <c r="GK200" s="2">
        <v>0</v>
      </c>
      <c r="GL200" s="2">
        <f t="shared" si="171"/>
        <v>0</v>
      </c>
      <c r="GM200" s="2">
        <f t="shared" si="172"/>
        <v>1451.51</v>
      </c>
      <c r="GN200" s="2">
        <f t="shared" si="173"/>
        <v>0</v>
      </c>
      <c r="GO200" s="2">
        <f t="shared" si="174"/>
        <v>0</v>
      </c>
      <c r="GP200" s="2">
        <f t="shared" si="175"/>
        <v>0</v>
      </c>
      <c r="GQ200" s="2"/>
      <c r="GR200" s="2">
        <v>2</v>
      </c>
      <c r="GS200" s="2">
        <v>2</v>
      </c>
      <c r="GT200" s="2">
        <v>0</v>
      </c>
      <c r="GU200" s="2" t="s">
        <v>3</v>
      </c>
      <c r="GV200" s="2">
        <f t="shared" si="176"/>
        <v>0</v>
      </c>
      <c r="GW200" s="2">
        <v>1</v>
      </c>
      <c r="GX200" s="2">
        <f t="shared" si="177"/>
        <v>0</v>
      </c>
      <c r="GY200" s="2"/>
      <c r="GZ200" s="2"/>
      <c r="HA200" s="2">
        <v>0</v>
      </c>
      <c r="HB200" s="2">
        <v>0</v>
      </c>
      <c r="HC200" s="2">
        <f t="shared" si="178"/>
        <v>0</v>
      </c>
      <c r="HD200" s="2"/>
      <c r="HE200" s="2" t="s">
        <v>39</v>
      </c>
      <c r="HF200" s="2" t="s">
        <v>40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">
      <c r="A201">
        <v>17</v>
      </c>
      <c r="B201">
        <v>1</v>
      </c>
      <c r="E201" t="s">
        <v>291</v>
      </c>
      <c r="F201" t="s">
        <v>292</v>
      </c>
      <c r="G201" t="s">
        <v>293</v>
      </c>
      <c r="H201" t="s">
        <v>34</v>
      </c>
      <c r="I201">
        <f>ROUND(ROUND(1,4),9)</f>
        <v>1</v>
      </c>
      <c r="J201">
        <v>0</v>
      </c>
      <c r="K201">
        <f>ROUND(ROUND(1,4),9)</f>
        <v>1</v>
      </c>
      <c r="O201">
        <f t="shared" si="150"/>
        <v>11118.57</v>
      </c>
      <c r="P201">
        <f>ROUND((ROUND((AC201*I201),2)*BC201),2)</f>
        <v>11118.57</v>
      </c>
      <c r="Q201">
        <f>(ROUND((ROUND(((ET201)*AV201*I201),2)*BB201),2)+ROUND((ROUND(((AE201-(EU201))*AV201*I201),2)*BS201),2))</f>
        <v>0</v>
      </c>
      <c r="R201">
        <f t="shared" si="151"/>
        <v>0</v>
      </c>
      <c r="S201">
        <f t="shared" si="152"/>
        <v>0</v>
      </c>
      <c r="T201">
        <f t="shared" si="153"/>
        <v>0</v>
      </c>
      <c r="U201">
        <f t="shared" si="154"/>
        <v>0</v>
      </c>
      <c r="V201">
        <f t="shared" si="155"/>
        <v>0</v>
      </c>
      <c r="W201">
        <f t="shared" si="156"/>
        <v>0</v>
      </c>
      <c r="X201">
        <f t="shared" si="157"/>
        <v>0</v>
      </c>
      <c r="Y201">
        <f t="shared" si="158"/>
        <v>0</v>
      </c>
      <c r="AA201">
        <v>59213213</v>
      </c>
      <c r="AB201">
        <f t="shared" si="159"/>
        <v>1451.51</v>
      </c>
      <c r="AC201">
        <f>ROUND((ES201),6)</f>
        <v>1451.51</v>
      </c>
      <c r="AD201">
        <f>ROUND((((ET201)-(EU201))+AE201),6)</f>
        <v>0</v>
      </c>
      <c r="AE201">
        <f>ROUND((EU201),6)</f>
        <v>0</v>
      </c>
      <c r="AF201">
        <f>ROUND((EV201),6)</f>
        <v>0</v>
      </c>
      <c r="AG201">
        <f t="shared" si="160"/>
        <v>0</v>
      </c>
      <c r="AH201">
        <f>(EW201)</f>
        <v>0</v>
      </c>
      <c r="AI201">
        <f>(EX201)</f>
        <v>0</v>
      </c>
      <c r="AJ201">
        <f t="shared" si="161"/>
        <v>0</v>
      </c>
      <c r="AK201">
        <v>1451.51</v>
      </c>
      <c r="AL201">
        <v>1451.51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Z201">
        <v>1</v>
      </c>
      <c r="BA201">
        <v>1</v>
      </c>
      <c r="BB201">
        <v>1</v>
      </c>
      <c r="BC201">
        <v>7.66</v>
      </c>
      <c r="BD201" t="s">
        <v>3</v>
      </c>
      <c r="BE201" t="s">
        <v>3</v>
      </c>
      <c r="BF201" t="s">
        <v>3</v>
      </c>
      <c r="BG201" t="s">
        <v>3</v>
      </c>
      <c r="BH201">
        <v>3</v>
      </c>
      <c r="BI201">
        <v>3</v>
      </c>
      <c r="BJ201" t="s">
        <v>3</v>
      </c>
      <c r="BM201">
        <v>746</v>
      </c>
      <c r="BN201">
        <v>0</v>
      </c>
      <c r="BO201" t="s">
        <v>3</v>
      </c>
      <c r="BP201">
        <v>0</v>
      </c>
      <c r="BQ201">
        <v>130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 t="s">
        <v>3</v>
      </c>
      <c r="BZ201">
        <v>0</v>
      </c>
      <c r="CA201">
        <v>0</v>
      </c>
      <c r="CB201" t="s">
        <v>3</v>
      </c>
      <c r="CE201">
        <v>30</v>
      </c>
      <c r="CF201">
        <v>0</v>
      </c>
      <c r="CG201">
        <v>0</v>
      </c>
      <c r="CM201">
        <v>0</v>
      </c>
      <c r="CN201" t="s">
        <v>3</v>
      </c>
      <c r="CO201">
        <v>0</v>
      </c>
      <c r="CP201">
        <f t="shared" si="162"/>
        <v>11118.57</v>
      </c>
      <c r="CQ201">
        <f>ROUND((ROUND((AC201*1),2)*BC201),2)</f>
        <v>11118.57</v>
      </c>
      <c r="CR201">
        <f>(ROUND((ROUND(((ET201)*AV201*1),2)*BB201),2)+ROUND((ROUND(((AE201-(EU201))*AV201*1),2)*BS201),2))</f>
        <v>0</v>
      </c>
      <c r="CS201">
        <f t="shared" si="163"/>
        <v>0</v>
      </c>
      <c r="CT201">
        <f t="shared" si="164"/>
        <v>0</v>
      </c>
      <c r="CU201">
        <f t="shared" si="165"/>
        <v>0</v>
      </c>
      <c r="CV201">
        <f t="shared" si="166"/>
        <v>0</v>
      </c>
      <c r="CW201">
        <f t="shared" si="167"/>
        <v>0</v>
      </c>
      <c r="CX201">
        <f t="shared" si="168"/>
        <v>0</v>
      </c>
      <c r="CY201">
        <f t="shared" si="169"/>
        <v>0</v>
      </c>
      <c r="CZ201">
        <f t="shared" si="170"/>
        <v>0</v>
      </c>
      <c r="DC201" t="s">
        <v>3</v>
      </c>
      <c r="DD201" t="s">
        <v>3</v>
      </c>
      <c r="DE201" t="s">
        <v>3</v>
      </c>
      <c r="DF201" t="s">
        <v>3</v>
      </c>
      <c r="DG201" t="s">
        <v>3</v>
      </c>
      <c r="DH201" t="s">
        <v>3</v>
      </c>
      <c r="DI201" t="s">
        <v>3</v>
      </c>
      <c r="DJ201" t="s">
        <v>3</v>
      </c>
      <c r="DK201" t="s">
        <v>3</v>
      </c>
      <c r="DL201" t="s">
        <v>3</v>
      </c>
      <c r="DM201" t="s">
        <v>3</v>
      </c>
      <c r="DN201">
        <v>0</v>
      </c>
      <c r="DO201">
        <v>0</v>
      </c>
      <c r="DP201">
        <v>1</v>
      </c>
      <c r="DQ201">
        <v>1</v>
      </c>
      <c r="DU201">
        <v>1010</v>
      </c>
      <c r="DV201" t="s">
        <v>34</v>
      </c>
      <c r="DW201" t="s">
        <v>34</v>
      </c>
      <c r="DX201">
        <v>1</v>
      </c>
      <c r="DZ201" t="s">
        <v>3</v>
      </c>
      <c r="EA201" t="s">
        <v>3</v>
      </c>
      <c r="EB201" t="s">
        <v>3</v>
      </c>
      <c r="EC201" t="s">
        <v>3</v>
      </c>
      <c r="EE201">
        <v>58808284</v>
      </c>
      <c r="EF201">
        <v>130</v>
      </c>
      <c r="EG201" t="s">
        <v>35</v>
      </c>
      <c r="EH201">
        <v>0</v>
      </c>
      <c r="EI201" t="s">
        <v>3</v>
      </c>
      <c r="EJ201">
        <v>3</v>
      </c>
      <c r="EK201">
        <v>746</v>
      </c>
      <c r="EL201" t="s">
        <v>36</v>
      </c>
      <c r="EM201" t="s">
        <v>37</v>
      </c>
      <c r="EO201" t="s">
        <v>3</v>
      </c>
      <c r="EQ201">
        <v>0</v>
      </c>
      <c r="ER201">
        <v>0</v>
      </c>
      <c r="ES201">
        <v>1451.51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5</v>
      </c>
      <c r="FC201">
        <v>1</v>
      </c>
      <c r="FD201">
        <v>18</v>
      </c>
      <c r="FF201">
        <v>12800</v>
      </c>
      <c r="FQ201">
        <v>0</v>
      </c>
      <c r="FR201">
        <f>P201</f>
        <v>11118.57</v>
      </c>
      <c r="FS201">
        <v>0</v>
      </c>
      <c r="FX201">
        <v>0</v>
      </c>
      <c r="FY201">
        <v>0</v>
      </c>
      <c r="GA201" t="s">
        <v>294</v>
      </c>
      <c r="GD201">
        <v>1</v>
      </c>
      <c r="GF201">
        <v>939583834</v>
      </c>
      <c r="GG201">
        <v>2</v>
      </c>
      <c r="GH201">
        <v>2</v>
      </c>
      <c r="GI201">
        <v>5</v>
      </c>
      <c r="GJ201">
        <v>0</v>
      </c>
      <c r="GK201">
        <v>0</v>
      </c>
      <c r="GL201">
        <f t="shared" si="171"/>
        <v>0</v>
      </c>
      <c r="GM201">
        <f t="shared" si="172"/>
        <v>11118.57</v>
      </c>
      <c r="GN201">
        <f t="shared" si="173"/>
        <v>0</v>
      </c>
      <c r="GO201">
        <f t="shared" si="174"/>
        <v>0</v>
      </c>
      <c r="GP201">
        <f t="shared" si="175"/>
        <v>0</v>
      </c>
      <c r="GR201">
        <v>2</v>
      </c>
      <c r="GS201">
        <v>1</v>
      </c>
      <c r="GT201">
        <v>0</v>
      </c>
      <c r="GU201" t="s">
        <v>3</v>
      </c>
      <c r="GV201">
        <f t="shared" si="176"/>
        <v>0</v>
      </c>
      <c r="GW201">
        <v>1</v>
      </c>
      <c r="GX201">
        <f t="shared" si="177"/>
        <v>0</v>
      </c>
      <c r="HA201">
        <v>0</v>
      </c>
      <c r="HB201">
        <v>0</v>
      </c>
      <c r="HC201">
        <f t="shared" si="178"/>
        <v>0</v>
      </c>
      <c r="HE201" t="s">
        <v>39</v>
      </c>
      <c r="HF201" t="s">
        <v>40</v>
      </c>
      <c r="HM201" t="s">
        <v>3</v>
      </c>
      <c r="HN201" t="s">
        <v>3</v>
      </c>
      <c r="HO201" t="s">
        <v>3</v>
      </c>
      <c r="HP201" t="s">
        <v>3</v>
      </c>
      <c r="HQ201" t="s">
        <v>3</v>
      </c>
      <c r="HS201">
        <v>0</v>
      </c>
      <c r="IK201">
        <v>0</v>
      </c>
    </row>
    <row r="202" spans="1:255" x14ac:dyDescent="0.2">
      <c r="A202" s="2">
        <v>17</v>
      </c>
      <c r="B202" s="2">
        <v>1</v>
      </c>
      <c r="C202" s="2">
        <f>ROW(SmtRes!A257)</f>
        <v>257</v>
      </c>
      <c r="D202" s="2">
        <f>ROW(EtalonRes!A280)</f>
        <v>280</v>
      </c>
      <c r="E202" s="2" t="s">
        <v>295</v>
      </c>
      <c r="F202" s="2" t="s">
        <v>77</v>
      </c>
      <c r="G202" s="2" t="s">
        <v>78</v>
      </c>
      <c r="H202" s="2" t="s">
        <v>23</v>
      </c>
      <c r="I202" s="2">
        <f>ROUND(ROUND(7/10,4),9)</f>
        <v>0.7</v>
      </c>
      <c r="J202" s="2">
        <v>0</v>
      </c>
      <c r="K202" s="2">
        <f>ROUND(ROUND(7/10,4),9)</f>
        <v>0.7</v>
      </c>
      <c r="L202" s="2"/>
      <c r="M202" s="2"/>
      <c r="N202" s="2"/>
      <c r="O202" s="2">
        <f t="shared" si="150"/>
        <v>189.96</v>
      </c>
      <c r="P202" s="2">
        <f>ROUND((ROUND((AC202*AW202*I202),2)*BC202),2)</f>
        <v>1.71</v>
      </c>
      <c r="Q202" s="2">
        <f>(ROUND((ROUND((((ET202*1.1))*AV202*I202),2)*BB202),2)+ROUND((ROUND(((AE202-((EU202*1.1)))*AV202*I202),2)*BS202),2))</f>
        <v>4.8899999999999997</v>
      </c>
      <c r="R202" s="2">
        <f t="shared" si="151"/>
        <v>0.61</v>
      </c>
      <c r="S202" s="2">
        <f t="shared" si="152"/>
        <v>183.36</v>
      </c>
      <c r="T202" s="2">
        <f t="shared" si="153"/>
        <v>0</v>
      </c>
      <c r="U202" s="2">
        <f t="shared" si="154"/>
        <v>11.802621600000002</v>
      </c>
      <c r="V202" s="2">
        <f t="shared" si="155"/>
        <v>0</v>
      </c>
      <c r="W202" s="2">
        <f t="shared" si="156"/>
        <v>0</v>
      </c>
      <c r="X202" s="2">
        <f t="shared" si="157"/>
        <v>165.57</v>
      </c>
      <c r="Y202" s="2">
        <f t="shared" si="158"/>
        <v>84.63</v>
      </c>
      <c r="Z202" s="2"/>
      <c r="AA202" s="2">
        <v>59213216</v>
      </c>
      <c r="AB202" s="2">
        <f t="shared" si="159"/>
        <v>259.30099999999999</v>
      </c>
      <c r="AC202" s="2">
        <f>ROUND(((ES202*1)),6)</f>
        <v>2.44</v>
      </c>
      <c r="AD202" s="2">
        <f>ROUND(((((ET202*1.1))-((EU202*1.1)))+AE202),6)</f>
        <v>6.6769999999999996</v>
      </c>
      <c r="AE202" s="2">
        <f>ROUND(((EU202*1.1)),6)</f>
        <v>0.83599999999999997</v>
      </c>
      <c r="AF202" s="2">
        <f>ROUND(((EV202*1.1)),6)</f>
        <v>250.184</v>
      </c>
      <c r="AG202" s="2">
        <f t="shared" si="160"/>
        <v>0</v>
      </c>
      <c r="AH202" s="2">
        <f>((EW202*1.1))</f>
        <v>16.104000000000003</v>
      </c>
      <c r="AI202" s="2">
        <f>((EX202*1.1))</f>
        <v>0</v>
      </c>
      <c r="AJ202" s="2">
        <f t="shared" si="161"/>
        <v>0</v>
      </c>
      <c r="AK202" s="2">
        <v>235.95</v>
      </c>
      <c r="AL202" s="2">
        <v>2.44</v>
      </c>
      <c r="AM202" s="2">
        <v>6.07</v>
      </c>
      <c r="AN202" s="2">
        <v>0.76</v>
      </c>
      <c r="AO202" s="2">
        <v>227.44</v>
      </c>
      <c r="AP202" s="2">
        <v>0</v>
      </c>
      <c r="AQ202" s="2">
        <v>14.64</v>
      </c>
      <c r="AR202" s="2">
        <v>0</v>
      </c>
      <c r="AS202" s="2">
        <v>0</v>
      </c>
      <c r="AT202" s="2">
        <v>90</v>
      </c>
      <c r="AU202" s="2">
        <v>46</v>
      </c>
      <c r="AV202" s="2">
        <v>1.0469999999999999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0</v>
      </c>
      <c r="BI202" s="2">
        <v>2</v>
      </c>
      <c r="BJ202" s="2" t="s">
        <v>79</v>
      </c>
      <c r="BK202" s="2"/>
      <c r="BL202" s="2"/>
      <c r="BM202" s="2">
        <v>68</v>
      </c>
      <c r="BN202" s="2">
        <v>58808062</v>
      </c>
      <c r="BO202" s="2" t="s">
        <v>77</v>
      </c>
      <c r="BP202" s="2">
        <v>1</v>
      </c>
      <c r="BQ202" s="2">
        <v>40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90</v>
      </c>
      <c r="CA202" s="2">
        <v>46</v>
      </c>
      <c r="CB202" s="2" t="s">
        <v>3</v>
      </c>
      <c r="CC202" s="2"/>
      <c r="CD202" s="2"/>
      <c r="CE202" s="2">
        <v>30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492</v>
      </c>
      <c r="CO202" s="2">
        <v>0</v>
      </c>
      <c r="CP202" s="2">
        <f t="shared" si="162"/>
        <v>189.96</v>
      </c>
      <c r="CQ202" s="2">
        <f>ROUND((ROUND((AC202*AW202*1),2)*BC202),2)</f>
        <v>2.44</v>
      </c>
      <c r="CR202" s="2">
        <f>(ROUND((ROUND((((ET202*1.1))*AV202*1),2)*BB202),2)+ROUND((ROUND(((AE202-((EU202*1.1)))*AV202*1),2)*BS202),2))</f>
        <v>6.99</v>
      </c>
      <c r="CS202" s="2">
        <f t="shared" si="163"/>
        <v>0.88</v>
      </c>
      <c r="CT202" s="2">
        <f t="shared" si="164"/>
        <v>261.94</v>
      </c>
      <c r="CU202" s="2">
        <f t="shared" si="165"/>
        <v>0</v>
      </c>
      <c r="CV202" s="2">
        <f t="shared" si="166"/>
        <v>16.860888000000003</v>
      </c>
      <c r="CW202" s="2">
        <f t="shared" si="167"/>
        <v>0</v>
      </c>
      <c r="CX202" s="2">
        <f t="shared" si="168"/>
        <v>0</v>
      </c>
      <c r="CY202" s="2">
        <f t="shared" si="169"/>
        <v>165.57300000000004</v>
      </c>
      <c r="CZ202" s="2">
        <f t="shared" si="170"/>
        <v>84.626200000000011</v>
      </c>
      <c r="DA202" s="2"/>
      <c r="DB202" s="2">
        <v>49</v>
      </c>
      <c r="DC202" s="2" t="s">
        <v>3</v>
      </c>
      <c r="DD202" s="2" t="s">
        <v>25</v>
      </c>
      <c r="DE202" s="2" t="s">
        <v>26</v>
      </c>
      <c r="DF202" s="2" t="s">
        <v>26</v>
      </c>
      <c r="DG202" s="2" t="s">
        <v>26</v>
      </c>
      <c r="DH202" s="2" t="s">
        <v>3</v>
      </c>
      <c r="DI202" s="2" t="s">
        <v>26</v>
      </c>
      <c r="DJ202" s="2" t="s">
        <v>26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23</v>
      </c>
      <c r="DW202" s="2" t="s">
        <v>23</v>
      </c>
      <c r="DX202" s="2">
        <v>10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58808178</v>
      </c>
      <c r="EF202" s="2">
        <v>40</v>
      </c>
      <c r="EG202" s="2" t="s">
        <v>27</v>
      </c>
      <c r="EH202" s="2">
        <v>0</v>
      </c>
      <c r="EI202" s="2" t="s">
        <v>3</v>
      </c>
      <c r="EJ202" s="2">
        <v>2</v>
      </c>
      <c r="EK202" s="2">
        <v>68</v>
      </c>
      <c r="EL202" s="2" t="s">
        <v>28</v>
      </c>
      <c r="EM202" s="2" t="s">
        <v>29</v>
      </c>
      <c r="EN202" s="2"/>
      <c r="EO202" s="2" t="s">
        <v>30</v>
      </c>
      <c r="EP202" s="2"/>
      <c r="EQ202" s="2">
        <v>0</v>
      </c>
      <c r="ER202" s="2">
        <v>235.95</v>
      </c>
      <c r="ES202" s="2">
        <v>2.44</v>
      </c>
      <c r="ET202" s="2">
        <v>6.07</v>
      </c>
      <c r="EU202" s="2">
        <v>0.76</v>
      </c>
      <c r="EV202" s="2">
        <v>227.44</v>
      </c>
      <c r="EW202" s="2">
        <v>14.64</v>
      </c>
      <c r="EX202" s="2">
        <v>0</v>
      </c>
      <c r="EY202" s="2">
        <v>0</v>
      </c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90</v>
      </c>
      <c r="FY202" s="2">
        <v>46</v>
      </c>
      <c r="FZ202" s="2"/>
      <c r="GA202" s="2" t="s">
        <v>3</v>
      </c>
      <c r="GB202" s="2"/>
      <c r="GC202" s="2"/>
      <c r="GD202" s="2">
        <v>1</v>
      </c>
      <c r="GE202" s="2"/>
      <c r="GF202" s="2">
        <v>-1147212458</v>
      </c>
      <c r="GG202" s="2">
        <v>2</v>
      </c>
      <c r="GH202" s="2">
        <v>1</v>
      </c>
      <c r="GI202" s="2">
        <v>2</v>
      </c>
      <c r="GJ202" s="2">
        <v>0</v>
      </c>
      <c r="GK202" s="2">
        <v>0</v>
      </c>
      <c r="GL202" s="2">
        <f t="shared" si="171"/>
        <v>0</v>
      </c>
      <c r="GM202" s="2">
        <f t="shared" si="172"/>
        <v>440.16</v>
      </c>
      <c r="GN202" s="2">
        <f t="shared" si="173"/>
        <v>0</v>
      </c>
      <c r="GO202" s="2">
        <f t="shared" si="174"/>
        <v>440.16</v>
      </c>
      <c r="GP202" s="2">
        <f t="shared" si="175"/>
        <v>0</v>
      </c>
      <c r="GQ202" s="2"/>
      <c r="GR202" s="2">
        <v>0</v>
      </c>
      <c r="GS202" s="2">
        <v>3</v>
      </c>
      <c r="GT202" s="2">
        <v>0</v>
      </c>
      <c r="GU202" s="2" t="s">
        <v>3</v>
      </c>
      <c r="GV202" s="2">
        <f t="shared" si="176"/>
        <v>0</v>
      </c>
      <c r="GW202" s="2">
        <v>1</v>
      </c>
      <c r="GX202" s="2">
        <f t="shared" si="177"/>
        <v>0</v>
      </c>
      <c r="GY202" s="2"/>
      <c r="GZ202" s="2"/>
      <c r="HA202" s="2">
        <v>0</v>
      </c>
      <c r="HB202" s="2">
        <v>0</v>
      </c>
      <c r="HC202" s="2">
        <f t="shared" si="178"/>
        <v>0</v>
      </c>
      <c r="HD202" s="2"/>
      <c r="HE202" s="2" t="s">
        <v>3</v>
      </c>
      <c r="HF202" s="2" t="s">
        <v>3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">
      <c r="A203">
        <v>17</v>
      </c>
      <c r="B203">
        <v>1</v>
      </c>
      <c r="C203">
        <f>ROW(SmtRes!A262)</f>
        <v>262</v>
      </c>
      <c r="D203">
        <f>ROW(EtalonRes!A286)</f>
        <v>286</v>
      </c>
      <c r="E203" t="s">
        <v>295</v>
      </c>
      <c r="F203" t="s">
        <v>77</v>
      </c>
      <c r="G203" t="s">
        <v>78</v>
      </c>
      <c r="H203" t="s">
        <v>23</v>
      </c>
      <c r="I203">
        <f>ROUND(ROUND(7/10,4),9)</f>
        <v>0.7</v>
      </c>
      <c r="J203">
        <v>0</v>
      </c>
      <c r="K203">
        <f>ROUND(ROUND(7/10,4),9)</f>
        <v>0.7</v>
      </c>
      <c r="O203">
        <f t="shared" si="150"/>
        <v>10168.39</v>
      </c>
      <c r="P203">
        <f>ROUND((ROUND((AC203*AW203*I203),2)*BC203),2)</f>
        <v>12.36</v>
      </c>
      <c r="Q203">
        <f>(ROUND((ROUND((((ET203*1.1))*AV203*I203),2)*BB203),2)+ROUND((ROUND(((AE203-((EU203*1.1)))*AV203*I203),2)*BS203),2))</f>
        <v>73.06</v>
      </c>
      <c r="R203">
        <f t="shared" si="151"/>
        <v>33.54</v>
      </c>
      <c r="S203">
        <f t="shared" si="152"/>
        <v>10082.969999999999</v>
      </c>
      <c r="T203">
        <f t="shared" si="153"/>
        <v>0</v>
      </c>
      <c r="U203">
        <f t="shared" si="154"/>
        <v>11.802621600000002</v>
      </c>
      <c r="V203">
        <f t="shared" si="155"/>
        <v>0</v>
      </c>
      <c r="W203">
        <f t="shared" si="156"/>
        <v>0</v>
      </c>
      <c r="X203">
        <f t="shared" si="157"/>
        <v>9104.86</v>
      </c>
      <c r="Y203">
        <f t="shared" si="158"/>
        <v>4653.59</v>
      </c>
      <c r="AA203">
        <v>59213213</v>
      </c>
      <c r="AB203">
        <f t="shared" si="159"/>
        <v>259.30099999999999</v>
      </c>
      <c r="AC203">
        <f>ROUND(((ES203*1)),6)</f>
        <v>2.44</v>
      </c>
      <c r="AD203">
        <f>ROUND(((((ET203*1.1))-((EU203*1.1)))+AE203),6)</f>
        <v>6.6769999999999996</v>
      </c>
      <c r="AE203">
        <f>ROUND(((EU203*1.1)),6)</f>
        <v>0.83599999999999997</v>
      </c>
      <c r="AF203">
        <f>ROUND(((EV203*1.1)),6)</f>
        <v>250.184</v>
      </c>
      <c r="AG203">
        <f t="shared" si="160"/>
        <v>0</v>
      </c>
      <c r="AH203">
        <f>((EW203*1.1))</f>
        <v>16.104000000000003</v>
      </c>
      <c r="AI203">
        <f>((EX203*1.1))</f>
        <v>0</v>
      </c>
      <c r="AJ203">
        <f t="shared" si="161"/>
        <v>0</v>
      </c>
      <c r="AK203">
        <v>235.95</v>
      </c>
      <c r="AL203">
        <v>2.44</v>
      </c>
      <c r="AM203">
        <v>6.07</v>
      </c>
      <c r="AN203">
        <v>0.76</v>
      </c>
      <c r="AO203">
        <v>227.44</v>
      </c>
      <c r="AP203">
        <v>0</v>
      </c>
      <c r="AQ203">
        <v>14.64</v>
      </c>
      <c r="AR203">
        <v>0</v>
      </c>
      <c r="AS203">
        <v>0</v>
      </c>
      <c r="AT203">
        <v>90</v>
      </c>
      <c r="AU203">
        <v>46</v>
      </c>
      <c r="AV203">
        <v>1.0469999999999999</v>
      </c>
      <c r="AW203">
        <v>1</v>
      </c>
      <c r="AZ203">
        <v>1</v>
      </c>
      <c r="BA203">
        <v>54.99</v>
      </c>
      <c r="BB203">
        <v>14.94</v>
      </c>
      <c r="BC203">
        <v>7.23</v>
      </c>
      <c r="BD203" t="s">
        <v>3</v>
      </c>
      <c r="BE203" t="s">
        <v>3</v>
      </c>
      <c r="BF203" t="s">
        <v>3</v>
      </c>
      <c r="BG203" t="s">
        <v>3</v>
      </c>
      <c r="BH203">
        <v>0</v>
      </c>
      <c r="BI203">
        <v>2</v>
      </c>
      <c r="BJ203" t="s">
        <v>79</v>
      </c>
      <c r="BM203">
        <v>68</v>
      </c>
      <c r="BN203">
        <v>58808062</v>
      </c>
      <c r="BO203" t="s">
        <v>77</v>
      </c>
      <c r="BP203">
        <v>1</v>
      </c>
      <c r="BQ203">
        <v>40</v>
      </c>
      <c r="BR203">
        <v>0</v>
      </c>
      <c r="BS203">
        <v>54.99</v>
      </c>
      <c r="BT203">
        <v>1</v>
      </c>
      <c r="BU203">
        <v>1</v>
      </c>
      <c r="BV203">
        <v>1</v>
      </c>
      <c r="BW203">
        <v>1</v>
      </c>
      <c r="BX203">
        <v>1</v>
      </c>
      <c r="BY203" t="s">
        <v>3</v>
      </c>
      <c r="BZ203">
        <v>90</v>
      </c>
      <c r="CA203">
        <v>46</v>
      </c>
      <c r="CB203" t="s">
        <v>3</v>
      </c>
      <c r="CE203">
        <v>30</v>
      </c>
      <c r="CF203">
        <v>0</v>
      </c>
      <c r="CG203">
        <v>0</v>
      </c>
      <c r="CM203">
        <v>0</v>
      </c>
      <c r="CN203" t="s">
        <v>492</v>
      </c>
      <c r="CO203">
        <v>0</v>
      </c>
      <c r="CP203">
        <f t="shared" si="162"/>
        <v>10168.39</v>
      </c>
      <c r="CQ203">
        <f>ROUND((ROUND((AC203*AW203*1),2)*BC203),2)</f>
        <v>17.64</v>
      </c>
      <c r="CR203">
        <f>(ROUND((ROUND((((ET203*1.1))*AV203*1),2)*BB203),2)+ROUND((ROUND(((AE203-((EU203*1.1)))*AV203*1),2)*BS203),2))</f>
        <v>104.43</v>
      </c>
      <c r="CS203">
        <f t="shared" si="163"/>
        <v>48.39</v>
      </c>
      <c r="CT203">
        <f t="shared" si="164"/>
        <v>14404.08</v>
      </c>
      <c r="CU203">
        <f t="shared" si="165"/>
        <v>0</v>
      </c>
      <c r="CV203">
        <f t="shared" si="166"/>
        <v>16.860888000000003</v>
      </c>
      <c r="CW203">
        <f t="shared" si="167"/>
        <v>0</v>
      </c>
      <c r="CX203">
        <f t="shared" si="168"/>
        <v>0</v>
      </c>
      <c r="CY203">
        <f t="shared" si="169"/>
        <v>9104.8590000000004</v>
      </c>
      <c r="CZ203">
        <f t="shared" si="170"/>
        <v>4653.5946000000004</v>
      </c>
      <c r="DB203">
        <v>50</v>
      </c>
      <c r="DC203" t="s">
        <v>3</v>
      </c>
      <c r="DD203" t="s">
        <v>25</v>
      </c>
      <c r="DE203" t="s">
        <v>26</v>
      </c>
      <c r="DF203" t="s">
        <v>26</v>
      </c>
      <c r="DG203" t="s">
        <v>26</v>
      </c>
      <c r="DH203" t="s">
        <v>3</v>
      </c>
      <c r="DI203" t="s">
        <v>26</v>
      </c>
      <c r="DJ203" t="s">
        <v>26</v>
      </c>
      <c r="DK203" t="s">
        <v>3</v>
      </c>
      <c r="DL203" t="s">
        <v>3</v>
      </c>
      <c r="DM203" t="s">
        <v>3</v>
      </c>
      <c r="DN203">
        <v>0</v>
      </c>
      <c r="DO203">
        <v>0</v>
      </c>
      <c r="DP203">
        <v>1</v>
      </c>
      <c r="DQ203">
        <v>1</v>
      </c>
      <c r="DU203">
        <v>1010</v>
      </c>
      <c r="DV203" t="s">
        <v>23</v>
      </c>
      <c r="DW203" t="s">
        <v>23</v>
      </c>
      <c r="DX203">
        <v>10</v>
      </c>
      <c r="DZ203" t="s">
        <v>3</v>
      </c>
      <c r="EA203" t="s">
        <v>3</v>
      </c>
      <c r="EB203" t="s">
        <v>3</v>
      </c>
      <c r="EC203" t="s">
        <v>3</v>
      </c>
      <c r="EE203">
        <v>58808178</v>
      </c>
      <c r="EF203">
        <v>40</v>
      </c>
      <c r="EG203" t="s">
        <v>27</v>
      </c>
      <c r="EH203">
        <v>0</v>
      </c>
      <c r="EI203" t="s">
        <v>3</v>
      </c>
      <c r="EJ203">
        <v>2</v>
      </c>
      <c r="EK203">
        <v>68</v>
      </c>
      <c r="EL203" t="s">
        <v>28</v>
      </c>
      <c r="EM203" t="s">
        <v>29</v>
      </c>
      <c r="EO203" t="s">
        <v>30</v>
      </c>
      <c r="EQ203">
        <v>0</v>
      </c>
      <c r="ER203">
        <v>235.95</v>
      </c>
      <c r="ES203">
        <v>2.44</v>
      </c>
      <c r="ET203">
        <v>6.07</v>
      </c>
      <c r="EU203">
        <v>0.76</v>
      </c>
      <c r="EV203">
        <v>227.44</v>
      </c>
      <c r="EW203">
        <v>14.64</v>
      </c>
      <c r="EX203">
        <v>0</v>
      </c>
      <c r="EY203">
        <v>0</v>
      </c>
      <c r="FQ203">
        <v>0</v>
      </c>
      <c r="FR203">
        <v>0</v>
      </c>
      <c r="FS203">
        <v>0</v>
      </c>
      <c r="FX203">
        <v>90</v>
      </c>
      <c r="FY203">
        <v>46</v>
      </c>
      <c r="GA203" t="s">
        <v>3</v>
      </c>
      <c r="GD203">
        <v>1</v>
      </c>
      <c r="GF203">
        <v>-1147212458</v>
      </c>
      <c r="GG203">
        <v>2</v>
      </c>
      <c r="GH203">
        <v>1</v>
      </c>
      <c r="GI203">
        <v>2</v>
      </c>
      <c r="GJ203">
        <v>0</v>
      </c>
      <c r="GK203">
        <v>0</v>
      </c>
      <c r="GL203">
        <f t="shared" si="171"/>
        <v>0</v>
      </c>
      <c r="GM203">
        <f t="shared" si="172"/>
        <v>23926.84</v>
      </c>
      <c r="GN203">
        <f t="shared" si="173"/>
        <v>0</v>
      </c>
      <c r="GO203">
        <f t="shared" si="174"/>
        <v>23926.84</v>
      </c>
      <c r="GP203">
        <f t="shared" si="175"/>
        <v>0</v>
      </c>
      <c r="GR203">
        <v>0</v>
      </c>
      <c r="GS203">
        <v>3</v>
      </c>
      <c r="GT203">
        <v>0</v>
      </c>
      <c r="GU203" t="s">
        <v>3</v>
      </c>
      <c r="GV203">
        <f t="shared" si="176"/>
        <v>0</v>
      </c>
      <c r="GW203">
        <v>1</v>
      </c>
      <c r="GX203">
        <f t="shared" si="177"/>
        <v>0</v>
      </c>
      <c r="HA203">
        <v>0</v>
      </c>
      <c r="HB203">
        <v>0</v>
      </c>
      <c r="HC203">
        <f t="shared" si="178"/>
        <v>0</v>
      </c>
      <c r="HE203" t="s">
        <v>3</v>
      </c>
      <c r="HF203" t="s">
        <v>3</v>
      </c>
      <c r="HM203" t="s">
        <v>3</v>
      </c>
      <c r="HN203" t="s">
        <v>3</v>
      </c>
      <c r="HO203" t="s">
        <v>3</v>
      </c>
      <c r="HP203" t="s">
        <v>3</v>
      </c>
      <c r="HQ203" t="s">
        <v>3</v>
      </c>
      <c r="HS203">
        <v>0</v>
      </c>
      <c r="IK203">
        <v>0</v>
      </c>
    </row>
    <row r="204" spans="1:255" x14ac:dyDescent="0.2">
      <c r="A204" s="2">
        <v>17</v>
      </c>
      <c r="B204" s="2">
        <v>1</v>
      </c>
      <c r="C204" s="2"/>
      <c r="D204" s="2"/>
      <c r="E204" s="2" t="s">
        <v>296</v>
      </c>
      <c r="F204" s="2" t="s">
        <v>297</v>
      </c>
      <c r="G204" s="2" t="s">
        <v>298</v>
      </c>
      <c r="H204" s="2" t="s">
        <v>34</v>
      </c>
      <c r="I204" s="2">
        <f>ROUND(ROUND(7,4),9)</f>
        <v>7</v>
      </c>
      <c r="J204" s="2">
        <v>0</v>
      </c>
      <c r="K204" s="2">
        <f>ROUND(ROUND(7,4),9)</f>
        <v>7</v>
      </c>
      <c r="L204" s="2"/>
      <c r="M204" s="2"/>
      <c r="N204" s="2"/>
      <c r="O204" s="2">
        <f t="shared" si="150"/>
        <v>16431.45</v>
      </c>
      <c r="P204" s="2">
        <f>ROUND((ROUND((AC204*I204),2)*BC204),2)</f>
        <v>16431.45</v>
      </c>
      <c r="Q204" s="2">
        <f>(ROUND((ROUND(((ET204)*AV204*I204),2)*BB204),2)+ROUND((ROUND(((AE204-(EU204))*AV204*I204),2)*BS204),2))</f>
        <v>0</v>
      </c>
      <c r="R204" s="2">
        <f t="shared" si="151"/>
        <v>0</v>
      </c>
      <c r="S204" s="2">
        <f t="shared" si="152"/>
        <v>0</v>
      </c>
      <c r="T204" s="2">
        <f t="shared" si="153"/>
        <v>0</v>
      </c>
      <c r="U204" s="2">
        <f t="shared" si="154"/>
        <v>0</v>
      </c>
      <c r="V204" s="2">
        <f t="shared" si="155"/>
        <v>0</v>
      </c>
      <c r="W204" s="2">
        <f t="shared" si="156"/>
        <v>0</v>
      </c>
      <c r="X204" s="2">
        <f t="shared" si="157"/>
        <v>0</v>
      </c>
      <c r="Y204" s="2">
        <f t="shared" si="158"/>
        <v>0</v>
      </c>
      <c r="Z204" s="2"/>
      <c r="AA204" s="2">
        <v>59213216</v>
      </c>
      <c r="AB204" s="2">
        <f t="shared" si="159"/>
        <v>2347.35</v>
      </c>
      <c r="AC204" s="2">
        <f>ROUND((ES204),6)</f>
        <v>2347.35</v>
      </c>
      <c r="AD204" s="2">
        <f>ROUND((((ET204)-(EU204))+AE204),6)</f>
        <v>0</v>
      </c>
      <c r="AE204" s="2">
        <f>ROUND((EU204),6)</f>
        <v>0</v>
      </c>
      <c r="AF204" s="2">
        <f>ROUND((EV204),6)</f>
        <v>0</v>
      </c>
      <c r="AG204" s="2">
        <f t="shared" si="160"/>
        <v>0</v>
      </c>
      <c r="AH204" s="2">
        <f>(EW204)</f>
        <v>0</v>
      </c>
      <c r="AI204" s="2">
        <f>(EX204)</f>
        <v>0</v>
      </c>
      <c r="AJ204" s="2">
        <f t="shared" si="161"/>
        <v>0</v>
      </c>
      <c r="AK204" s="2">
        <v>2347.35</v>
      </c>
      <c r="AL204" s="2">
        <v>2347.35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3</v>
      </c>
      <c r="BJ204" s="2" t="s">
        <v>3</v>
      </c>
      <c r="BK204" s="2"/>
      <c r="BL204" s="2"/>
      <c r="BM204" s="2">
        <v>746</v>
      </c>
      <c r="BN204" s="2">
        <v>0</v>
      </c>
      <c r="BO204" s="2" t="s">
        <v>3</v>
      </c>
      <c r="BP204" s="2">
        <v>0</v>
      </c>
      <c r="BQ204" s="2">
        <v>130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30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62"/>
        <v>16431.45</v>
      </c>
      <c r="CQ204" s="2">
        <f>ROUND((ROUND((AC204*1),2)*BC204),2)</f>
        <v>2347.35</v>
      </c>
      <c r="CR204" s="2">
        <f>(ROUND((ROUND(((ET204)*AV204*1),2)*BB204),2)+ROUND((ROUND(((AE204-(EU204))*AV204*1),2)*BS204),2))</f>
        <v>0</v>
      </c>
      <c r="CS204" s="2">
        <f t="shared" si="163"/>
        <v>0</v>
      </c>
      <c r="CT204" s="2">
        <f t="shared" si="164"/>
        <v>0</v>
      </c>
      <c r="CU204" s="2">
        <f t="shared" si="165"/>
        <v>0</v>
      </c>
      <c r="CV204" s="2">
        <f t="shared" si="166"/>
        <v>0</v>
      </c>
      <c r="CW204" s="2">
        <f t="shared" si="167"/>
        <v>0</v>
      </c>
      <c r="CX204" s="2">
        <f t="shared" si="168"/>
        <v>0</v>
      </c>
      <c r="CY204" s="2">
        <f t="shared" si="169"/>
        <v>0</v>
      </c>
      <c r="CZ204" s="2">
        <f t="shared" si="170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1010</v>
      </c>
      <c r="DV204" s="2" t="s">
        <v>34</v>
      </c>
      <c r="DW204" s="2" t="s">
        <v>34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58808284</v>
      </c>
      <c r="EF204" s="2">
        <v>130</v>
      </c>
      <c r="EG204" s="2" t="s">
        <v>35</v>
      </c>
      <c r="EH204" s="2">
        <v>0</v>
      </c>
      <c r="EI204" s="2" t="s">
        <v>3</v>
      </c>
      <c r="EJ204" s="2">
        <v>3</v>
      </c>
      <c r="EK204" s="2">
        <v>746</v>
      </c>
      <c r="EL204" s="2" t="s">
        <v>36</v>
      </c>
      <c r="EM204" s="2" t="s">
        <v>37</v>
      </c>
      <c r="EN204" s="2"/>
      <c r="EO204" s="2" t="s">
        <v>3</v>
      </c>
      <c r="EP204" s="2"/>
      <c r="EQ204" s="2">
        <v>0</v>
      </c>
      <c r="ER204" s="2">
        <v>0</v>
      </c>
      <c r="ES204" s="2">
        <v>2347.35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f>P204</f>
        <v>16431.45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299</v>
      </c>
      <c r="GB204" s="2"/>
      <c r="GC204" s="2"/>
      <c r="GD204" s="2">
        <v>1</v>
      </c>
      <c r="GE204" s="2"/>
      <c r="GF204" s="2">
        <v>-62399715</v>
      </c>
      <c r="GG204" s="2">
        <v>2</v>
      </c>
      <c r="GH204" s="2">
        <v>4</v>
      </c>
      <c r="GI204" s="2">
        <v>0</v>
      </c>
      <c r="GJ204" s="2">
        <v>0</v>
      </c>
      <c r="GK204" s="2">
        <v>0</v>
      </c>
      <c r="GL204" s="2">
        <f t="shared" si="171"/>
        <v>0</v>
      </c>
      <c r="GM204" s="2">
        <f t="shared" si="172"/>
        <v>16431.45</v>
      </c>
      <c r="GN204" s="2">
        <f t="shared" si="173"/>
        <v>0</v>
      </c>
      <c r="GO204" s="2">
        <f t="shared" si="174"/>
        <v>0</v>
      </c>
      <c r="GP204" s="2">
        <f t="shared" si="175"/>
        <v>0</v>
      </c>
      <c r="GQ204" s="2"/>
      <c r="GR204" s="2">
        <v>2</v>
      </c>
      <c r="GS204" s="2">
        <v>2</v>
      </c>
      <c r="GT204" s="2">
        <v>0</v>
      </c>
      <c r="GU204" s="2" t="s">
        <v>3</v>
      </c>
      <c r="GV204" s="2">
        <f t="shared" si="176"/>
        <v>0</v>
      </c>
      <c r="GW204" s="2">
        <v>1</v>
      </c>
      <c r="GX204" s="2">
        <f t="shared" si="177"/>
        <v>0</v>
      </c>
      <c r="GY204" s="2"/>
      <c r="GZ204" s="2"/>
      <c r="HA204" s="2">
        <v>0</v>
      </c>
      <c r="HB204" s="2">
        <v>0</v>
      </c>
      <c r="HC204" s="2">
        <f t="shared" si="178"/>
        <v>0</v>
      </c>
      <c r="HD204" s="2"/>
      <c r="HE204" s="2" t="s">
        <v>39</v>
      </c>
      <c r="HF204" s="2" t="s">
        <v>40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">
      <c r="A205">
        <v>17</v>
      </c>
      <c r="B205">
        <v>1</v>
      </c>
      <c r="E205" t="s">
        <v>296</v>
      </c>
      <c r="F205" t="s">
        <v>297</v>
      </c>
      <c r="G205" t="s">
        <v>298</v>
      </c>
      <c r="H205" t="s">
        <v>34</v>
      </c>
      <c r="I205">
        <f>ROUND(ROUND(7,4),9)</f>
        <v>7</v>
      </c>
      <c r="J205">
        <v>0</v>
      </c>
      <c r="K205">
        <f>ROUND(ROUND(7,4),9)</f>
        <v>7</v>
      </c>
      <c r="O205">
        <f t="shared" si="150"/>
        <v>125864.91</v>
      </c>
      <c r="P205">
        <f>ROUND((ROUND((AC205*I205),2)*BC205),2)</f>
        <v>125864.91</v>
      </c>
      <c r="Q205">
        <f>(ROUND((ROUND(((ET205)*AV205*I205),2)*BB205),2)+ROUND((ROUND(((AE205-(EU205))*AV205*I205),2)*BS205),2))</f>
        <v>0</v>
      </c>
      <c r="R205">
        <f t="shared" si="151"/>
        <v>0</v>
      </c>
      <c r="S205">
        <f t="shared" si="152"/>
        <v>0</v>
      </c>
      <c r="T205">
        <f t="shared" si="153"/>
        <v>0</v>
      </c>
      <c r="U205">
        <f t="shared" si="154"/>
        <v>0</v>
      </c>
      <c r="V205">
        <f t="shared" si="155"/>
        <v>0</v>
      </c>
      <c r="W205">
        <f t="shared" si="156"/>
        <v>0</v>
      </c>
      <c r="X205">
        <f t="shared" si="157"/>
        <v>0</v>
      </c>
      <c r="Y205">
        <f t="shared" si="158"/>
        <v>0</v>
      </c>
      <c r="AA205">
        <v>59213213</v>
      </c>
      <c r="AB205">
        <f t="shared" si="159"/>
        <v>2347.35</v>
      </c>
      <c r="AC205">
        <f>ROUND((ES205),6)</f>
        <v>2347.35</v>
      </c>
      <c r="AD205">
        <f>ROUND((((ET205)-(EU205))+AE205),6)</f>
        <v>0</v>
      </c>
      <c r="AE205">
        <f>ROUND((EU205),6)</f>
        <v>0</v>
      </c>
      <c r="AF205">
        <f>ROUND((EV205),6)</f>
        <v>0</v>
      </c>
      <c r="AG205">
        <f t="shared" si="160"/>
        <v>0</v>
      </c>
      <c r="AH205">
        <f>(EW205)</f>
        <v>0</v>
      </c>
      <c r="AI205">
        <f>(EX205)</f>
        <v>0</v>
      </c>
      <c r="AJ205">
        <f t="shared" si="161"/>
        <v>0</v>
      </c>
      <c r="AK205">
        <v>2347.35</v>
      </c>
      <c r="AL205">
        <v>2347.35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1</v>
      </c>
      <c r="AZ205">
        <v>1</v>
      </c>
      <c r="BA205">
        <v>1</v>
      </c>
      <c r="BB205">
        <v>1</v>
      </c>
      <c r="BC205">
        <v>7.66</v>
      </c>
      <c r="BD205" t="s">
        <v>3</v>
      </c>
      <c r="BE205" t="s">
        <v>3</v>
      </c>
      <c r="BF205" t="s">
        <v>3</v>
      </c>
      <c r="BG205" t="s">
        <v>3</v>
      </c>
      <c r="BH205">
        <v>3</v>
      </c>
      <c r="BI205">
        <v>3</v>
      </c>
      <c r="BJ205" t="s">
        <v>3</v>
      </c>
      <c r="BM205">
        <v>746</v>
      </c>
      <c r="BN205">
        <v>0</v>
      </c>
      <c r="BO205" t="s">
        <v>3</v>
      </c>
      <c r="BP205">
        <v>0</v>
      </c>
      <c r="BQ205">
        <v>130</v>
      </c>
      <c r="BR205">
        <v>0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 t="s">
        <v>3</v>
      </c>
      <c r="BZ205">
        <v>0</v>
      </c>
      <c r="CA205">
        <v>0</v>
      </c>
      <c r="CB205" t="s">
        <v>3</v>
      </c>
      <c r="CE205">
        <v>30</v>
      </c>
      <c r="CF205">
        <v>0</v>
      </c>
      <c r="CG205">
        <v>0</v>
      </c>
      <c r="CM205">
        <v>0</v>
      </c>
      <c r="CN205" t="s">
        <v>3</v>
      </c>
      <c r="CO205">
        <v>0</v>
      </c>
      <c r="CP205">
        <f t="shared" si="162"/>
        <v>125864.91</v>
      </c>
      <c r="CQ205">
        <f>ROUND((ROUND((AC205*1),2)*BC205),2)</f>
        <v>17980.7</v>
      </c>
      <c r="CR205">
        <f>(ROUND((ROUND(((ET205)*AV205*1),2)*BB205),2)+ROUND((ROUND(((AE205-(EU205))*AV205*1),2)*BS205),2))</f>
        <v>0</v>
      </c>
      <c r="CS205">
        <f t="shared" si="163"/>
        <v>0</v>
      </c>
      <c r="CT205">
        <f t="shared" si="164"/>
        <v>0</v>
      </c>
      <c r="CU205">
        <f t="shared" si="165"/>
        <v>0</v>
      </c>
      <c r="CV205">
        <f t="shared" si="166"/>
        <v>0</v>
      </c>
      <c r="CW205">
        <f t="shared" si="167"/>
        <v>0</v>
      </c>
      <c r="CX205">
        <f t="shared" si="168"/>
        <v>0</v>
      </c>
      <c r="CY205">
        <f t="shared" si="169"/>
        <v>0</v>
      </c>
      <c r="CZ205">
        <f t="shared" si="170"/>
        <v>0</v>
      </c>
      <c r="DC205" t="s">
        <v>3</v>
      </c>
      <c r="DD205" t="s">
        <v>3</v>
      </c>
      <c r="DE205" t="s">
        <v>3</v>
      </c>
      <c r="DF205" t="s">
        <v>3</v>
      </c>
      <c r="DG205" t="s">
        <v>3</v>
      </c>
      <c r="DH205" t="s">
        <v>3</v>
      </c>
      <c r="DI205" t="s">
        <v>3</v>
      </c>
      <c r="DJ205" t="s">
        <v>3</v>
      </c>
      <c r="DK205" t="s">
        <v>3</v>
      </c>
      <c r="DL205" t="s">
        <v>3</v>
      </c>
      <c r="DM205" t="s">
        <v>3</v>
      </c>
      <c r="DN205">
        <v>0</v>
      </c>
      <c r="DO205">
        <v>0</v>
      </c>
      <c r="DP205">
        <v>1</v>
      </c>
      <c r="DQ205">
        <v>1</v>
      </c>
      <c r="DU205">
        <v>1010</v>
      </c>
      <c r="DV205" t="s">
        <v>34</v>
      </c>
      <c r="DW205" t="s">
        <v>34</v>
      </c>
      <c r="DX205">
        <v>1</v>
      </c>
      <c r="DZ205" t="s">
        <v>3</v>
      </c>
      <c r="EA205" t="s">
        <v>3</v>
      </c>
      <c r="EB205" t="s">
        <v>3</v>
      </c>
      <c r="EC205" t="s">
        <v>3</v>
      </c>
      <c r="EE205">
        <v>58808284</v>
      </c>
      <c r="EF205">
        <v>130</v>
      </c>
      <c r="EG205" t="s">
        <v>35</v>
      </c>
      <c r="EH205">
        <v>0</v>
      </c>
      <c r="EI205" t="s">
        <v>3</v>
      </c>
      <c r="EJ205">
        <v>3</v>
      </c>
      <c r="EK205">
        <v>746</v>
      </c>
      <c r="EL205" t="s">
        <v>36</v>
      </c>
      <c r="EM205" t="s">
        <v>37</v>
      </c>
      <c r="EO205" t="s">
        <v>3</v>
      </c>
      <c r="EQ205">
        <v>0</v>
      </c>
      <c r="ER205">
        <v>0</v>
      </c>
      <c r="ES205">
        <v>2347.35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5</v>
      </c>
      <c r="FC205">
        <v>1</v>
      </c>
      <c r="FD205">
        <v>18</v>
      </c>
      <c r="FF205">
        <v>20700</v>
      </c>
      <c r="FQ205">
        <v>0</v>
      </c>
      <c r="FR205">
        <f>P205</f>
        <v>125864.91</v>
      </c>
      <c r="FS205">
        <v>0</v>
      </c>
      <c r="FX205">
        <v>0</v>
      </c>
      <c r="FY205">
        <v>0</v>
      </c>
      <c r="GA205" t="s">
        <v>299</v>
      </c>
      <c r="GD205">
        <v>1</v>
      </c>
      <c r="GF205">
        <v>-62399715</v>
      </c>
      <c r="GG205">
        <v>2</v>
      </c>
      <c r="GH205">
        <v>2</v>
      </c>
      <c r="GI205">
        <v>5</v>
      </c>
      <c r="GJ205">
        <v>0</v>
      </c>
      <c r="GK205">
        <v>0</v>
      </c>
      <c r="GL205">
        <f t="shared" si="171"/>
        <v>0</v>
      </c>
      <c r="GM205">
        <f t="shared" si="172"/>
        <v>125864.91</v>
      </c>
      <c r="GN205">
        <f t="shared" si="173"/>
        <v>0</v>
      </c>
      <c r="GO205">
        <f t="shared" si="174"/>
        <v>0</v>
      </c>
      <c r="GP205">
        <f t="shared" si="175"/>
        <v>0</v>
      </c>
      <c r="GR205">
        <v>2</v>
      </c>
      <c r="GS205">
        <v>1</v>
      </c>
      <c r="GT205">
        <v>0</v>
      </c>
      <c r="GU205" t="s">
        <v>3</v>
      </c>
      <c r="GV205">
        <f t="shared" si="176"/>
        <v>0</v>
      </c>
      <c r="GW205">
        <v>1</v>
      </c>
      <c r="GX205">
        <f t="shared" si="177"/>
        <v>0</v>
      </c>
      <c r="HA205">
        <v>0</v>
      </c>
      <c r="HB205">
        <v>0</v>
      </c>
      <c r="HC205">
        <f t="shared" si="178"/>
        <v>0</v>
      </c>
      <c r="HE205" t="s">
        <v>39</v>
      </c>
      <c r="HF205" t="s">
        <v>40</v>
      </c>
      <c r="HM205" t="s">
        <v>3</v>
      </c>
      <c r="HN205" t="s">
        <v>3</v>
      </c>
      <c r="HO205" t="s">
        <v>3</v>
      </c>
      <c r="HP205" t="s">
        <v>3</v>
      </c>
      <c r="HQ205" t="s">
        <v>3</v>
      </c>
      <c r="HS205">
        <v>0</v>
      </c>
      <c r="IK205">
        <v>0</v>
      </c>
    </row>
    <row r="206" spans="1:255" x14ac:dyDescent="0.2">
      <c r="A206" s="2">
        <v>17</v>
      </c>
      <c r="B206" s="2">
        <v>1</v>
      </c>
      <c r="C206" s="2">
        <f>ROW(SmtRes!A265)</f>
        <v>265</v>
      </c>
      <c r="D206" s="2">
        <f>ROW(EtalonRes!A290)</f>
        <v>290</v>
      </c>
      <c r="E206" s="2" t="s">
        <v>300</v>
      </c>
      <c r="F206" s="2" t="s">
        <v>213</v>
      </c>
      <c r="G206" s="2" t="s">
        <v>214</v>
      </c>
      <c r="H206" s="2" t="s">
        <v>215</v>
      </c>
      <c r="I206" s="2">
        <f>ROUND(ROUND(440/100,4),9)</f>
        <v>4.4000000000000004</v>
      </c>
      <c r="J206" s="2">
        <v>0</v>
      </c>
      <c r="K206" s="2">
        <f>ROUND(ROUND(440/100,4),9)</f>
        <v>4.4000000000000004</v>
      </c>
      <c r="L206" s="2"/>
      <c r="M206" s="2"/>
      <c r="N206" s="2"/>
      <c r="O206" s="2">
        <f t="shared" si="150"/>
        <v>2523.7199999999998</v>
      </c>
      <c r="P206" s="2">
        <f t="shared" ref="P206:P219" si="179">ROUND((ROUND((AC206*AW206*I206),2)*BC206),2)</f>
        <v>1382.88</v>
      </c>
      <c r="Q206" s="2">
        <f>(ROUND((ROUND((((ET206*1.1))*AV206*I206),2)*BB206),2)+ROUND((ROUND(((AE206-((EU206*1.1)))*AV206*I206),2)*BS206),2))</f>
        <v>166.57</v>
      </c>
      <c r="R206" s="2">
        <f t="shared" si="151"/>
        <v>28.94</v>
      </c>
      <c r="S206" s="2">
        <f t="shared" si="152"/>
        <v>974.27</v>
      </c>
      <c r="T206" s="2">
        <f t="shared" si="153"/>
        <v>0</v>
      </c>
      <c r="U206" s="2">
        <f t="shared" si="154"/>
        <v>76.012199999999993</v>
      </c>
      <c r="V206" s="2">
        <f t="shared" si="155"/>
        <v>0</v>
      </c>
      <c r="W206" s="2">
        <f t="shared" si="156"/>
        <v>0</v>
      </c>
      <c r="X206" s="2">
        <f t="shared" si="157"/>
        <v>973.11</v>
      </c>
      <c r="Y206" s="2">
        <f t="shared" si="158"/>
        <v>511.64</v>
      </c>
      <c r="Z206" s="2"/>
      <c r="AA206" s="2">
        <v>59213216</v>
      </c>
      <c r="AB206" s="2">
        <f t="shared" si="159"/>
        <v>561.93299999999999</v>
      </c>
      <c r="AC206" s="2">
        <f>ROUND(((ES206*1)),6)</f>
        <v>314.29000000000002</v>
      </c>
      <c r="AD206" s="2">
        <f>ROUND(((((ET206*1.1))-((EU206*1.1)))+AE206),6)</f>
        <v>36.156999999999996</v>
      </c>
      <c r="AE206" s="2">
        <f>ROUND(((EU206*1.1)),6)</f>
        <v>6.2809999999999997</v>
      </c>
      <c r="AF206" s="2">
        <f>ROUND(((EV206*1.1)),6)</f>
        <v>211.48599999999999</v>
      </c>
      <c r="AG206" s="2">
        <f t="shared" si="160"/>
        <v>0</v>
      </c>
      <c r="AH206" s="2">
        <f>((EW206*1.1))</f>
        <v>16.5</v>
      </c>
      <c r="AI206" s="2">
        <f>((EX206*1.1))</f>
        <v>0</v>
      </c>
      <c r="AJ206" s="2">
        <f t="shared" si="161"/>
        <v>0</v>
      </c>
      <c r="AK206" s="2">
        <v>539.41999999999996</v>
      </c>
      <c r="AL206" s="2">
        <v>314.29000000000002</v>
      </c>
      <c r="AM206" s="2">
        <v>32.869999999999997</v>
      </c>
      <c r="AN206" s="2">
        <v>5.71</v>
      </c>
      <c r="AO206" s="2">
        <v>192.26</v>
      </c>
      <c r="AP206" s="2">
        <v>0</v>
      </c>
      <c r="AQ206" s="2">
        <v>15</v>
      </c>
      <c r="AR206" s="2">
        <v>0</v>
      </c>
      <c r="AS206" s="2">
        <v>0</v>
      </c>
      <c r="AT206" s="2">
        <v>97</v>
      </c>
      <c r="AU206" s="2">
        <v>51</v>
      </c>
      <c r="AV206" s="2">
        <v>1.0469999999999999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0</v>
      </c>
      <c r="BI206" s="2">
        <v>2</v>
      </c>
      <c r="BJ206" s="2" t="s">
        <v>216</v>
      </c>
      <c r="BK206" s="2"/>
      <c r="BL206" s="2"/>
      <c r="BM206" s="2">
        <v>67</v>
      </c>
      <c r="BN206" s="2">
        <v>58808062</v>
      </c>
      <c r="BO206" s="2" t="s">
        <v>213</v>
      </c>
      <c r="BP206" s="2">
        <v>1</v>
      </c>
      <c r="BQ206" s="2">
        <v>40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97</v>
      </c>
      <c r="CA206" s="2">
        <v>51</v>
      </c>
      <c r="CB206" s="2" t="s">
        <v>3</v>
      </c>
      <c r="CC206" s="2"/>
      <c r="CD206" s="2"/>
      <c r="CE206" s="2">
        <v>30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492</v>
      </c>
      <c r="CO206" s="2">
        <v>0</v>
      </c>
      <c r="CP206" s="2">
        <f t="shared" si="162"/>
        <v>2523.7200000000003</v>
      </c>
      <c r="CQ206" s="2">
        <f t="shared" ref="CQ206:CQ219" si="180">ROUND((ROUND((AC206*AW206*1),2)*BC206),2)</f>
        <v>314.29000000000002</v>
      </c>
      <c r="CR206" s="2">
        <f>(ROUND((ROUND((((ET206*1.1))*AV206*1),2)*BB206),2)+ROUND((ROUND(((AE206-((EU206*1.1)))*AV206*1),2)*BS206),2))</f>
        <v>37.86</v>
      </c>
      <c r="CS206" s="2">
        <f t="shared" si="163"/>
        <v>6.58</v>
      </c>
      <c r="CT206" s="2">
        <f t="shared" si="164"/>
        <v>221.43</v>
      </c>
      <c r="CU206" s="2">
        <f t="shared" si="165"/>
        <v>0</v>
      </c>
      <c r="CV206" s="2">
        <f t="shared" si="166"/>
        <v>17.275499999999997</v>
      </c>
      <c r="CW206" s="2">
        <f t="shared" si="167"/>
        <v>0</v>
      </c>
      <c r="CX206" s="2">
        <f t="shared" si="168"/>
        <v>0</v>
      </c>
      <c r="CY206" s="2">
        <f t="shared" si="169"/>
        <v>973.11370000000011</v>
      </c>
      <c r="CZ206" s="2">
        <f t="shared" si="170"/>
        <v>511.63709999999998</v>
      </c>
      <c r="DA206" s="2"/>
      <c r="DB206" s="2">
        <v>51</v>
      </c>
      <c r="DC206" s="2" t="s">
        <v>3</v>
      </c>
      <c r="DD206" s="2" t="s">
        <v>25</v>
      </c>
      <c r="DE206" s="2" t="s">
        <v>26</v>
      </c>
      <c r="DF206" s="2" t="s">
        <v>26</v>
      </c>
      <c r="DG206" s="2" t="s">
        <v>26</v>
      </c>
      <c r="DH206" s="2" t="s">
        <v>3</v>
      </c>
      <c r="DI206" s="2" t="s">
        <v>26</v>
      </c>
      <c r="DJ206" s="2" t="s">
        <v>26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1003</v>
      </c>
      <c r="DV206" s="2" t="s">
        <v>215</v>
      </c>
      <c r="DW206" s="2" t="s">
        <v>215</v>
      </c>
      <c r="DX206" s="2">
        <v>100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58808177</v>
      </c>
      <c r="EF206" s="2">
        <v>40</v>
      </c>
      <c r="EG206" s="2" t="s">
        <v>27</v>
      </c>
      <c r="EH206" s="2">
        <v>0</v>
      </c>
      <c r="EI206" s="2" t="s">
        <v>3</v>
      </c>
      <c r="EJ206" s="2">
        <v>2</v>
      </c>
      <c r="EK206" s="2">
        <v>67</v>
      </c>
      <c r="EL206" s="2" t="s">
        <v>217</v>
      </c>
      <c r="EM206" s="2" t="s">
        <v>218</v>
      </c>
      <c r="EN206" s="2"/>
      <c r="EO206" s="2" t="s">
        <v>30</v>
      </c>
      <c r="EP206" s="2"/>
      <c r="EQ206" s="2">
        <v>0</v>
      </c>
      <c r="ER206" s="2">
        <v>539.41999999999996</v>
      </c>
      <c r="ES206" s="2">
        <v>314.29000000000002</v>
      </c>
      <c r="ET206" s="2">
        <v>32.869999999999997</v>
      </c>
      <c r="EU206" s="2">
        <v>5.71</v>
      </c>
      <c r="EV206" s="2">
        <v>192.26</v>
      </c>
      <c r="EW206" s="2">
        <v>15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97</v>
      </c>
      <c r="FY206" s="2">
        <v>51</v>
      </c>
      <c r="FZ206" s="2"/>
      <c r="GA206" s="2" t="s">
        <v>3</v>
      </c>
      <c r="GB206" s="2"/>
      <c r="GC206" s="2"/>
      <c r="GD206" s="2">
        <v>1</v>
      </c>
      <c r="GE206" s="2"/>
      <c r="GF206" s="2">
        <v>1705749599</v>
      </c>
      <c r="GG206" s="2">
        <v>2</v>
      </c>
      <c r="GH206" s="2">
        <v>1</v>
      </c>
      <c r="GI206" s="2">
        <v>2</v>
      </c>
      <c r="GJ206" s="2">
        <v>0</v>
      </c>
      <c r="GK206" s="2">
        <v>0</v>
      </c>
      <c r="GL206" s="2">
        <f t="shared" si="171"/>
        <v>0</v>
      </c>
      <c r="GM206" s="2">
        <f t="shared" si="172"/>
        <v>4008.47</v>
      </c>
      <c r="GN206" s="2">
        <f t="shared" si="173"/>
        <v>0</v>
      </c>
      <c r="GO206" s="2">
        <f t="shared" si="174"/>
        <v>4008.47</v>
      </c>
      <c r="GP206" s="2">
        <f t="shared" si="175"/>
        <v>0</v>
      </c>
      <c r="GQ206" s="2"/>
      <c r="GR206" s="2">
        <v>0</v>
      </c>
      <c r="GS206" s="2">
        <v>3</v>
      </c>
      <c r="GT206" s="2">
        <v>0</v>
      </c>
      <c r="GU206" s="2" t="s">
        <v>3</v>
      </c>
      <c r="GV206" s="2">
        <f t="shared" si="176"/>
        <v>0</v>
      </c>
      <c r="GW206" s="2">
        <v>1</v>
      </c>
      <c r="GX206" s="2">
        <f t="shared" si="177"/>
        <v>0</v>
      </c>
      <c r="GY206" s="2"/>
      <c r="GZ206" s="2"/>
      <c r="HA206" s="2">
        <v>0</v>
      </c>
      <c r="HB206" s="2">
        <v>0</v>
      </c>
      <c r="HC206" s="2">
        <f t="shared" si="178"/>
        <v>0</v>
      </c>
      <c r="HD206" s="2"/>
      <c r="HE206" s="2" t="s">
        <v>3</v>
      </c>
      <c r="HF206" s="2" t="s">
        <v>3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">
      <c r="A207">
        <v>17</v>
      </c>
      <c r="B207">
        <v>1</v>
      </c>
      <c r="C207">
        <f>ROW(SmtRes!A268)</f>
        <v>268</v>
      </c>
      <c r="D207">
        <f>ROW(EtalonRes!A294)</f>
        <v>294</v>
      </c>
      <c r="E207" t="s">
        <v>300</v>
      </c>
      <c r="F207" t="s">
        <v>213</v>
      </c>
      <c r="G207" t="s">
        <v>214</v>
      </c>
      <c r="H207" t="s">
        <v>215</v>
      </c>
      <c r="I207">
        <f>ROUND(ROUND(440/100,4),9)</f>
        <v>4.4000000000000004</v>
      </c>
      <c r="J207">
        <v>0</v>
      </c>
      <c r="K207">
        <f>ROUND(ROUND(440/100,4),9)</f>
        <v>4.4000000000000004</v>
      </c>
      <c r="O207">
        <f t="shared" si="150"/>
        <v>70225.06</v>
      </c>
      <c r="P207">
        <f t="shared" si="179"/>
        <v>13676.68</v>
      </c>
      <c r="Q207">
        <f>(ROUND((ROUND((((ET207*1.1))*AV207*I207),2)*BB207),2)+ROUND((ROUND(((AE207-((EU207*1.1)))*AV207*I207),2)*BS207),2))</f>
        <v>2973.27</v>
      </c>
      <c r="R207">
        <f t="shared" si="151"/>
        <v>1591.41</v>
      </c>
      <c r="S207">
        <f t="shared" si="152"/>
        <v>53575.11</v>
      </c>
      <c r="T207">
        <f t="shared" si="153"/>
        <v>0</v>
      </c>
      <c r="U207">
        <f t="shared" si="154"/>
        <v>76.012199999999993</v>
      </c>
      <c r="V207">
        <f t="shared" si="155"/>
        <v>0</v>
      </c>
      <c r="W207">
        <f t="shared" si="156"/>
        <v>0</v>
      </c>
      <c r="X207">
        <f t="shared" si="157"/>
        <v>53511.519999999997</v>
      </c>
      <c r="Y207">
        <f t="shared" si="158"/>
        <v>28134.93</v>
      </c>
      <c r="AA207">
        <v>59213213</v>
      </c>
      <c r="AB207">
        <f t="shared" si="159"/>
        <v>561.93299999999999</v>
      </c>
      <c r="AC207">
        <f>ROUND(((ES207*1)),6)</f>
        <v>314.29000000000002</v>
      </c>
      <c r="AD207">
        <f>ROUND(((((ET207*1.1))-((EU207*1.1)))+AE207),6)</f>
        <v>36.156999999999996</v>
      </c>
      <c r="AE207">
        <f>ROUND(((EU207*1.1)),6)</f>
        <v>6.2809999999999997</v>
      </c>
      <c r="AF207">
        <f>ROUND(((EV207*1.1)),6)</f>
        <v>211.48599999999999</v>
      </c>
      <c r="AG207">
        <f t="shared" si="160"/>
        <v>0</v>
      </c>
      <c r="AH207">
        <f>((EW207*1.1))</f>
        <v>16.5</v>
      </c>
      <c r="AI207">
        <f>((EX207*1.1))</f>
        <v>0</v>
      </c>
      <c r="AJ207">
        <f t="shared" si="161"/>
        <v>0</v>
      </c>
      <c r="AK207">
        <v>539.41999999999996</v>
      </c>
      <c r="AL207">
        <v>314.29000000000002</v>
      </c>
      <c r="AM207">
        <v>32.869999999999997</v>
      </c>
      <c r="AN207">
        <v>5.71</v>
      </c>
      <c r="AO207">
        <v>192.26</v>
      </c>
      <c r="AP207">
        <v>0</v>
      </c>
      <c r="AQ207">
        <v>15</v>
      </c>
      <c r="AR207">
        <v>0</v>
      </c>
      <c r="AS207">
        <v>0</v>
      </c>
      <c r="AT207">
        <v>97</v>
      </c>
      <c r="AU207">
        <v>51</v>
      </c>
      <c r="AV207">
        <v>1.0469999999999999</v>
      </c>
      <c r="AW207">
        <v>1</v>
      </c>
      <c r="AZ207">
        <v>1</v>
      </c>
      <c r="BA207">
        <v>54.99</v>
      </c>
      <c r="BB207">
        <v>17.850000000000001</v>
      </c>
      <c r="BC207">
        <v>9.89</v>
      </c>
      <c r="BD207" t="s">
        <v>3</v>
      </c>
      <c r="BE207" t="s">
        <v>3</v>
      </c>
      <c r="BF207" t="s">
        <v>3</v>
      </c>
      <c r="BG207" t="s">
        <v>3</v>
      </c>
      <c r="BH207">
        <v>0</v>
      </c>
      <c r="BI207">
        <v>2</v>
      </c>
      <c r="BJ207" t="s">
        <v>216</v>
      </c>
      <c r="BM207">
        <v>67</v>
      </c>
      <c r="BN207">
        <v>58808062</v>
      </c>
      <c r="BO207" t="s">
        <v>213</v>
      </c>
      <c r="BP207">
        <v>1</v>
      </c>
      <c r="BQ207">
        <v>40</v>
      </c>
      <c r="BR207">
        <v>0</v>
      </c>
      <c r="BS207">
        <v>54.99</v>
      </c>
      <c r="BT207">
        <v>1</v>
      </c>
      <c r="BU207">
        <v>1</v>
      </c>
      <c r="BV207">
        <v>1</v>
      </c>
      <c r="BW207">
        <v>1</v>
      </c>
      <c r="BX207">
        <v>1</v>
      </c>
      <c r="BY207" t="s">
        <v>3</v>
      </c>
      <c r="BZ207">
        <v>97</v>
      </c>
      <c r="CA207">
        <v>51</v>
      </c>
      <c r="CB207" t="s">
        <v>3</v>
      </c>
      <c r="CE207">
        <v>30</v>
      </c>
      <c r="CF207">
        <v>0</v>
      </c>
      <c r="CG207">
        <v>0</v>
      </c>
      <c r="CM207">
        <v>0</v>
      </c>
      <c r="CN207" t="s">
        <v>492</v>
      </c>
      <c r="CO207">
        <v>0</v>
      </c>
      <c r="CP207">
        <f t="shared" si="162"/>
        <v>70225.06</v>
      </c>
      <c r="CQ207">
        <f t="shared" si="180"/>
        <v>3108.33</v>
      </c>
      <c r="CR207">
        <f>(ROUND((ROUND((((ET207*1.1))*AV207*1),2)*BB207),2)+ROUND((ROUND(((AE207-((EU207*1.1)))*AV207*1),2)*BS207),2))</f>
        <v>675.8</v>
      </c>
      <c r="CS207">
        <f t="shared" si="163"/>
        <v>361.83</v>
      </c>
      <c r="CT207">
        <f t="shared" si="164"/>
        <v>12176.44</v>
      </c>
      <c r="CU207">
        <f t="shared" si="165"/>
        <v>0</v>
      </c>
      <c r="CV207">
        <f t="shared" si="166"/>
        <v>17.275499999999997</v>
      </c>
      <c r="CW207">
        <f t="shared" si="167"/>
        <v>0</v>
      </c>
      <c r="CX207">
        <f t="shared" si="168"/>
        <v>0</v>
      </c>
      <c r="CY207">
        <f t="shared" si="169"/>
        <v>53511.524400000002</v>
      </c>
      <c r="CZ207">
        <f t="shared" si="170"/>
        <v>28134.925200000001</v>
      </c>
      <c r="DB207">
        <v>52</v>
      </c>
      <c r="DC207" t="s">
        <v>3</v>
      </c>
      <c r="DD207" t="s">
        <v>25</v>
      </c>
      <c r="DE207" t="s">
        <v>26</v>
      </c>
      <c r="DF207" t="s">
        <v>26</v>
      </c>
      <c r="DG207" t="s">
        <v>26</v>
      </c>
      <c r="DH207" t="s">
        <v>3</v>
      </c>
      <c r="DI207" t="s">
        <v>26</v>
      </c>
      <c r="DJ207" t="s">
        <v>26</v>
      </c>
      <c r="DK207" t="s">
        <v>3</v>
      </c>
      <c r="DL207" t="s">
        <v>3</v>
      </c>
      <c r="DM207" t="s">
        <v>3</v>
      </c>
      <c r="DN207">
        <v>0</v>
      </c>
      <c r="DO207">
        <v>0</v>
      </c>
      <c r="DP207">
        <v>1</v>
      </c>
      <c r="DQ207">
        <v>1</v>
      </c>
      <c r="DU207">
        <v>1003</v>
      </c>
      <c r="DV207" t="s">
        <v>215</v>
      </c>
      <c r="DW207" t="s">
        <v>215</v>
      </c>
      <c r="DX207">
        <v>100</v>
      </c>
      <c r="DZ207" t="s">
        <v>3</v>
      </c>
      <c r="EA207" t="s">
        <v>3</v>
      </c>
      <c r="EB207" t="s">
        <v>3</v>
      </c>
      <c r="EC207" t="s">
        <v>3</v>
      </c>
      <c r="EE207">
        <v>58808177</v>
      </c>
      <c r="EF207">
        <v>40</v>
      </c>
      <c r="EG207" t="s">
        <v>27</v>
      </c>
      <c r="EH207">
        <v>0</v>
      </c>
      <c r="EI207" t="s">
        <v>3</v>
      </c>
      <c r="EJ207">
        <v>2</v>
      </c>
      <c r="EK207">
        <v>67</v>
      </c>
      <c r="EL207" t="s">
        <v>217</v>
      </c>
      <c r="EM207" t="s">
        <v>218</v>
      </c>
      <c r="EO207" t="s">
        <v>30</v>
      </c>
      <c r="EQ207">
        <v>0</v>
      </c>
      <c r="ER207">
        <v>539.41999999999996</v>
      </c>
      <c r="ES207">
        <v>314.29000000000002</v>
      </c>
      <c r="ET207">
        <v>32.869999999999997</v>
      </c>
      <c r="EU207">
        <v>5.71</v>
      </c>
      <c r="EV207">
        <v>192.26</v>
      </c>
      <c r="EW207">
        <v>15</v>
      </c>
      <c r="EX207">
        <v>0</v>
      </c>
      <c r="EY207">
        <v>0</v>
      </c>
      <c r="FQ207">
        <v>0</v>
      </c>
      <c r="FR207">
        <v>0</v>
      </c>
      <c r="FS207">
        <v>0</v>
      </c>
      <c r="FX207">
        <v>97</v>
      </c>
      <c r="FY207">
        <v>51</v>
      </c>
      <c r="GA207" t="s">
        <v>3</v>
      </c>
      <c r="GD207">
        <v>1</v>
      </c>
      <c r="GF207">
        <v>1705749599</v>
      </c>
      <c r="GG207">
        <v>2</v>
      </c>
      <c r="GH207">
        <v>1</v>
      </c>
      <c r="GI207">
        <v>2</v>
      </c>
      <c r="GJ207">
        <v>0</v>
      </c>
      <c r="GK207">
        <v>0</v>
      </c>
      <c r="GL207">
        <f t="shared" si="171"/>
        <v>0</v>
      </c>
      <c r="GM207">
        <f t="shared" si="172"/>
        <v>151871.51</v>
      </c>
      <c r="GN207">
        <f t="shared" si="173"/>
        <v>0</v>
      </c>
      <c r="GO207">
        <f t="shared" si="174"/>
        <v>151871.51</v>
      </c>
      <c r="GP207">
        <f t="shared" si="175"/>
        <v>0</v>
      </c>
      <c r="GR207">
        <v>0</v>
      </c>
      <c r="GS207">
        <v>3</v>
      </c>
      <c r="GT207">
        <v>0</v>
      </c>
      <c r="GU207" t="s">
        <v>3</v>
      </c>
      <c r="GV207">
        <f t="shared" si="176"/>
        <v>0</v>
      </c>
      <c r="GW207">
        <v>1</v>
      </c>
      <c r="GX207">
        <f t="shared" si="177"/>
        <v>0</v>
      </c>
      <c r="HA207">
        <v>0</v>
      </c>
      <c r="HB207">
        <v>0</v>
      </c>
      <c r="HC207">
        <f t="shared" si="178"/>
        <v>0</v>
      </c>
      <c r="HE207" t="s">
        <v>3</v>
      </c>
      <c r="HF207" t="s">
        <v>3</v>
      </c>
      <c r="HM207" t="s">
        <v>3</v>
      </c>
      <c r="HN207" t="s">
        <v>3</v>
      </c>
      <c r="HO207" t="s">
        <v>3</v>
      </c>
      <c r="HP207" t="s">
        <v>3</v>
      </c>
      <c r="HQ207" t="s">
        <v>3</v>
      </c>
      <c r="HS207">
        <v>0</v>
      </c>
      <c r="IK207">
        <v>0</v>
      </c>
    </row>
    <row r="208" spans="1:255" x14ac:dyDescent="0.2">
      <c r="A208" s="2">
        <v>18</v>
      </c>
      <c r="B208" s="2">
        <v>1</v>
      </c>
      <c r="C208" s="2">
        <v>264</v>
      </c>
      <c r="D208" s="2"/>
      <c r="E208" s="2" t="s">
        <v>301</v>
      </c>
      <c r="F208" s="2" t="s">
        <v>220</v>
      </c>
      <c r="G208" s="2" t="s">
        <v>221</v>
      </c>
      <c r="H208" s="2" t="s">
        <v>222</v>
      </c>
      <c r="I208" s="2">
        <f>I206*J208</f>
        <v>448.8</v>
      </c>
      <c r="J208" s="2">
        <v>102</v>
      </c>
      <c r="K208" s="2">
        <v>102</v>
      </c>
      <c r="L208" s="2"/>
      <c r="M208" s="2"/>
      <c r="N208" s="2"/>
      <c r="O208" s="2">
        <f t="shared" si="150"/>
        <v>1548.36</v>
      </c>
      <c r="P208" s="2">
        <f t="shared" si="179"/>
        <v>1548.36</v>
      </c>
      <c r="Q208" s="2">
        <f>(ROUND((ROUND(((ET208)*AV208*I208),2)*BB208),2)+ROUND((ROUND(((AE208-(EU208))*AV208*I208),2)*BS208),2))</f>
        <v>0</v>
      </c>
      <c r="R208" s="2">
        <f t="shared" si="151"/>
        <v>0</v>
      </c>
      <c r="S208" s="2">
        <f t="shared" si="152"/>
        <v>0</v>
      </c>
      <c r="T208" s="2">
        <f t="shared" si="153"/>
        <v>0</v>
      </c>
      <c r="U208" s="2">
        <f t="shared" si="154"/>
        <v>0</v>
      </c>
      <c r="V208" s="2">
        <f t="shared" si="155"/>
        <v>0</v>
      </c>
      <c r="W208" s="2">
        <f t="shared" si="156"/>
        <v>0</v>
      </c>
      <c r="X208" s="2">
        <f t="shared" si="157"/>
        <v>0</v>
      </c>
      <c r="Y208" s="2">
        <f t="shared" si="158"/>
        <v>0</v>
      </c>
      <c r="Z208" s="2"/>
      <c r="AA208" s="2">
        <v>59213216</v>
      </c>
      <c r="AB208" s="2">
        <f t="shared" si="159"/>
        <v>3.45</v>
      </c>
      <c r="AC208" s="2">
        <f>ROUND((ES208),6)</f>
        <v>3.45</v>
      </c>
      <c r="AD208" s="2">
        <f>ROUND((((ET208)-(EU208))+AE208),6)</f>
        <v>0</v>
      </c>
      <c r="AE208" s="2">
        <f t="shared" ref="AE208:AF211" si="181">ROUND((EU208),6)</f>
        <v>0</v>
      </c>
      <c r="AF208" s="2">
        <f t="shared" si="181"/>
        <v>0</v>
      </c>
      <c r="AG208" s="2">
        <f t="shared" si="160"/>
        <v>0</v>
      </c>
      <c r="AH208" s="2">
        <f t="shared" ref="AH208:AI211" si="182">(EW208)</f>
        <v>0</v>
      </c>
      <c r="AI208" s="2">
        <f t="shared" si="182"/>
        <v>0</v>
      </c>
      <c r="AJ208" s="2">
        <f t="shared" si="161"/>
        <v>0</v>
      </c>
      <c r="AK208" s="2">
        <v>3.45</v>
      </c>
      <c r="AL208" s="2">
        <v>3.45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97</v>
      </c>
      <c r="AU208" s="2">
        <v>51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2</v>
      </c>
      <c r="BJ208" s="2" t="s">
        <v>223</v>
      </c>
      <c r="BK208" s="2"/>
      <c r="BL208" s="2"/>
      <c r="BM208" s="2">
        <v>67</v>
      </c>
      <c r="BN208" s="2">
        <v>58808062</v>
      </c>
      <c r="BO208" s="2" t="s">
        <v>3</v>
      </c>
      <c r="BP208" s="2">
        <v>0</v>
      </c>
      <c r="BQ208" s="2">
        <v>40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97</v>
      </c>
      <c r="CA208" s="2">
        <v>51</v>
      </c>
      <c r="CB208" s="2" t="s">
        <v>3</v>
      </c>
      <c r="CC208" s="2"/>
      <c r="CD208" s="2"/>
      <c r="CE208" s="2">
        <v>30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492</v>
      </c>
      <c r="CO208" s="2">
        <v>0</v>
      </c>
      <c r="CP208" s="2">
        <f t="shared" si="162"/>
        <v>1548.36</v>
      </c>
      <c r="CQ208" s="2">
        <f t="shared" si="180"/>
        <v>3.45</v>
      </c>
      <c r="CR208" s="2">
        <f>(ROUND((ROUND(((ET208)*AV208*1),2)*BB208),2)+ROUND((ROUND(((AE208-(EU208))*AV208*1),2)*BS208),2))</f>
        <v>0</v>
      </c>
      <c r="CS208" s="2">
        <f t="shared" si="163"/>
        <v>0</v>
      </c>
      <c r="CT208" s="2">
        <f t="shared" si="164"/>
        <v>0</v>
      </c>
      <c r="CU208" s="2">
        <f t="shared" si="165"/>
        <v>0</v>
      </c>
      <c r="CV208" s="2">
        <f t="shared" si="166"/>
        <v>0</v>
      </c>
      <c r="CW208" s="2">
        <f t="shared" si="167"/>
        <v>0</v>
      </c>
      <c r="CX208" s="2">
        <f t="shared" si="168"/>
        <v>0</v>
      </c>
      <c r="CY208" s="2">
        <f t="shared" si="169"/>
        <v>0</v>
      </c>
      <c r="CZ208" s="2">
        <f t="shared" si="170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1003</v>
      </c>
      <c r="DV208" s="2" t="s">
        <v>222</v>
      </c>
      <c r="DW208" s="2" t="s">
        <v>222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58808177</v>
      </c>
      <c r="EF208" s="2">
        <v>40</v>
      </c>
      <c r="EG208" s="2" t="s">
        <v>27</v>
      </c>
      <c r="EH208" s="2">
        <v>0</v>
      </c>
      <c r="EI208" s="2" t="s">
        <v>3</v>
      </c>
      <c r="EJ208" s="2">
        <v>2</v>
      </c>
      <c r="EK208" s="2">
        <v>67</v>
      </c>
      <c r="EL208" s="2" t="s">
        <v>217</v>
      </c>
      <c r="EM208" s="2" t="s">
        <v>218</v>
      </c>
      <c r="EN208" s="2"/>
      <c r="EO208" s="2" t="s">
        <v>30</v>
      </c>
      <c r="EP208" s="2"/>
      <c r="EQ208" s="2">
        <v>0</v>
      </c>
      <c r="ER208" s="2">
        <v>3.45</v>
      </c>
      <c r="ES208" s="2">
        <v>3.45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97</v>
      </c>
      <c r="FY208" s="2">
        <v>51</v>
      </c>
      <c r="FZ208" s="2"/>
      <c r="GA208" s="2" t="s">
        <v>3</v>
      </c>
      <c r="GB208" s="2"/>
      <c r="GC208" s="2"/>
      <c r="GD208" s="2">
        <v>1</v>
      </c>
      <c r="GE208" s="2"/>
      <c r="GF208" s="2">
        <v>-1305428159</v>
      </c>
      <c r="GG208" s="2">
        <v>2</v>
      </c>
      <c r="GH208" s="2">
        <v>1</v>
      </c>
      <c r="GI208" s="2">
        <v>-2</v>
      </c>
      <c r="GJ208" s="2">
        <v>0</v>
      </c>
      <c r="GK208" s="2">
        <v>0</v>
      </c>
      <c r="GL208" s="2">
        <f t="shared" si="171"/>
        <v>0</v>
      </c>
      <c r="GM208" s="2">
        <f t="shared" si="172"/>
        <v>1548.36</v>
      </c>
      <c r="GN208" s="2">
        <f t="shared" si="173"/>
        <v>0</v>
      </c>
      <c r="GO208" s="2">
        <f t="shared" si="174"/>
        <v>1548.36</v>
      </c>
      <c r="GP208" s="2">
        <f t="shared" si="175"/>
        <v>0</v>
      </c>
      <c r="GQ208" s="2"/>
      <c r="GR208" s="2">
        <v>0</v>
      </c>
      <c r="GS208" s="2">
        <v>3</v>
      </c>
      <c r="GT208" s="2">
        <v>0</v>
      </c>
      <c r="GU208" s="2" t="s">
        <v>3</v>
      </c>
      <c r="GV208" s="2">
        <f t="shared" si="176"/>
        <v>0</v>
      </c>
      <c r="GW208" s="2">
        <v>1</v>
      </c>
      <c r="GX208" s="2">
        <f t="shared" si="177"/>
        <v>0</v>
      </c>
      <c r="GY208" s="2"/>
      <c r="GZ208" s="2"/>
      <c r="HA208" s="2">
        <v>0</v>
      </c>
      <c r="HB208" s="2">
        <v>0</v>
      </c>
      <c r="HC208" s="2">
        <f t="shared" si="178"/>
        <v>0</v>
      </c>
      <c r="HD208" s="2"/>
      <c r="HE208" s="2" t="s">
        <v>3</v>
      </c>
      <c r="HF208" s="2" t="s">
        <v>3</v>
      </c>
      <c r="HG208" s="2"/>
      <c r="HH208" s="2"/>
      <c r="HI208" s="2"/>
      <c r="HJ208" s="2"/>
      <c r="HK208" s="2"/>
      <c r="HL208" s="2"/>
      <c r="HM208" s="2" t="s">
        <v>25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>
        <v>18</v>
      </c>
      <c r="B209">
        <v>1</v>
      </c>
      <c r="C209">
        <v>267</v>
      </c>
      <c r="E209" t="s">
        <v>301</v>
      </c>
      <c r="F209" t="s">
        <v>220</v>
      </c>
      <c r="G209" t="s">
        <v>221</v>
      </c>
      <c r="H209" t="s">
        <v>222</v>
      </c>
      <c r="I209">
        <f>I207*J209</f>
        <v>448.8</v>
      </c>
      <c r="J209">
        <v>102</v>
      </c>
      <c r="K209">
        <v>102</v>
      </c>
      <c r="O209">
        <f t="shared" si="150"/>
        <v>6085.05</v>
      </c>
      <c r="P209">
        <f t="shared" si="179"/>
        <v>6085.05</v>
      </c>
      <c r="Q209">
        <f>(ROUND((ROUND(((ET209)*AV209*I209),2)*BB209),2)+ROUND((ROUND(((AE209-(EU209))*AV209*I209),2)*BS209),2))</f>
        <v>0</v>
      </c>
      <c r="R209">
        <f t="shared" si="151"/>
        <v>0</v>
      </c>
      <c r="S209">
        <f t="shared" si="152"/>
        <v>0</v>
      </c>
      <c r="T209">
        <f t="shared" si="153"/>
        <v>0</v>
      </c>
      <c r="U209">
        <f t="shared" si="154"/>
        <v>0</v>
      </c>
      <c r="V209">
        <f t="shared" si="155"/>
        <v>0</v>
      </c>
      <c r="W209">
        <f t="shared" si="156"/>
        <v>0</v>
      </c>
      <c r="X209">
        <f t="shared" si="157"/>
        <v>0</v>
      </c>
      <c r="Y209">
        <f t="shared" si="158"/>
        <v>0</v>
      </c>
      <c r="AA209">
        <v>59213213</v>
      </c>
      <c r="AB209">
        <f t="shared" si="159"/>
        <v>3.45</v>
      </c>
      <c r="AC209">
        <f>ROUND((ES209),6)</f>
        <v>3.45</v>
      </c>
      <c r="AD209">
        <f>ROUND((((ET209)-(EU209))+AE209),6)</f>
        <v>0</v>
      </c>
      <c r="AE209">
        <f t="shared" si="181"/>
        <v>0</v>
      </c>
      <c r="AF209">
        <f t="shared" si="181"/>
        <v>0</v>
      </c>
      <c r="AG209">
        <f t="shared" si="160"/>
        <v>0</v>
      </c>
      <c r="AH209">
        <f t="shared" si="182"/>
        <v>0</v>
      </c>
      <c r="AI209">
        <f t="shared" si="182"/>
        <v>0</v>
      </c>
      <c r="AJ209">
        <f t="shared" si="161"/>
        <v>0</v>
      </c>
      <c r="AK209">
        <v>3.45</v>
      </c>
      <c r="AL209">
        <v>3.45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97</v>
      </c>
      <c r="AU209">
        <v>51</v>
      </c>
      <c r="AV209">
        <v>1</v>
      </c>
      <c r="AW209">
        <v>1</v>
      </c>
      <c r="AZ209">
        <v>1</v>
      </c>
      <c r="BA209">
        <v>1</v>
      </c>
      <c r="BB209">
        <v>1</v>
      </c>
      <c r="BC209">
        <v>3.93</v>
      </c>
      <c r="BD209" t="s">
        <v>3</v>
      </c>
      <c r="BE209" t="s">
        <v>3</v>
      </c>
      <c r="BF209" t="s">
        <v>3</v>
      </c>
      <c r="BG209" t="s">
        <v>3</v>
      </c>
      <c r="BH209">
        <v>3</v>
      </c>
      <c r="BI209">
        <v>2</v>
      </c>
      <c r="BJ209" t="s">
        <v>223</v>
      </c>
      <c r="BM209">
        <v>67</v>
      </c>
      <c r="BN209">
        <v>58808062</v>
      </c>
      <c r="BO209" t="s">
        <v>220</v>
      </c>
      <c r="BP209">
        <v>1</v>
      </c>
      <c r="BQ209">
        <v>40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 t="s">
        <v>3</v>
      </c>
      <c r="BZ209">
        <v>97</v>
      </c>
      <c r="CA209">
        <v>51</v>
      </c>
      <c r="CB209" t="s">
        <v>3</v>
      </c>
      <c r="CE209">
        <v>30</v>
      </c>
      <c r="CF209">
        <v>0</v>
      </c>
      <c r="CG209">
        <v>0</v>
      </c>
      <c r="CM209">
        <v>0</v>
      </c>
      <c r="CN209" t="s">
        <v>492</v>
      </c>
      <c r="CO209">
        <v>0</v>
      </c>
      <c r="CP209">
        <f t="shared" si="162"/>
        <v>6085.05</v>
      </c>
      <c r="CQ209">
        <f t="shared" si="180"/>
        <v>13.56</v>
      </c>
      <c r="CR209">
        <f>(ROUND((ROUND(((ET209)*AV209*1),2)*BB209),2)+ROUND((ROUND(((AE209-(EU209))*AV209*1),2)*BS209),2))</f>
        <v>0</v>
      </c>
      <c r="CS209">
        <f t="shared" si="163"/>
        <v>0</v>
      </c>
      <c r="CT209">
        <f t="shared" si="164"/>
        <v>0</v>
      </c>
      <c r="CU209">
        <f t="shared" si="165"/>
        <v>0</v>
      </c>
      <c r="CV209">
        <f t="shared" si="166"/>
        <v>0</v>
      </c>
      <c r="CW209">
        <f t="shared" si="167"/>
        <v>0</v>
      </c>
      <c r="CX209">
        <f t="shared" si="168"/>
        <v>0</v>
      </c>
      <c r="CY209">
        <f t="shared" si="169"/>
        <v>0</v>
      </c>
      <c r="CZ209">
        <f t="shared" si="170"/>
        <v>0</v>
      </c>
      <c r="DC209" t="s">
        <v>3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3</v>
      </c>
      <c r="DK209" t="s">
        <v>3</v>
      </c>
      <c r="DL209" t="s">
        <v>3</v>
      </c>
      <c r="DM209" t="s">
        <v>3</v>
      </c>
      <c r="DN209">
        <v>0</v>
      </c>
      <c r="DO209">
        <v>0</v>
      </c>
      <c r="DP209">
        <v>1</v>
      </c>
      <c r="DQ209">
        <v>1</v>
      </c>
      <c r="DU209">
        <v>1003</v>
      </c>
      <c r="DV209" t="s">
        <v>222</v>
      </c>
      <c r="DW209" t="s">
        <v>222</v>
      </c>
      <c r="DX209">
        <v>1</v>
      </c>
      <c r="DZ209" t="s">
        <v>3</v>
      </c>
      <c r="EA209" t="s">
        <v>3</v>
      </c>
      <c r="EB209" t="s">
        <v>3</v>
      </c>
      <c r="EC209" t="s">
        <v>3</v>
      </c>
      <c r="EE209">
        <v>58808177</v>
      </c>
      <c r="EF209">
        <v>40</v>
      </c>
      <c r="EG209" t="s">
        <v>27</v>
      </c>
      <c r="EH209">
        <v>0</v>
      </c>
      <c r="EI209" t="s">
        <v>3</v>
      </c>
      <c r="EJ209">
        <v>2</v>
      </c>
      <c r="EK209">
        <v>67</v>
      </c>
      <c r="EL209" t="s">
        <v>217</v>
      </c>
      <c r="EM209" t="s">
        <v>218</v>
      </c>
      <c r="EO209" t="s">
        <v>30</v>
      </c>
      <c r="EQ209">
        <v>0</v>
      </c>
      <c r="ER209">
        <v>3.45</v>
      </c>
      <c r="ES209">
        <v>3.45</v>
      </c>
      <c r="ET209">
        <v>0</v>
      </c>
      <c r="EU209">
        <v>0</v>
      </c>
      <c r="EV209">
        <v>0</v>
      </c>
      <c r="EW209">
        <v>0</v>
      </c>
      <c r="EX209">
        <v>0</v>
      </c>
      <c r="FQ209">
        <v>0</v>
      </c>
      <c r="FR209">
        <v>0</v>
      </c>
      <c r="FS209">
        <v>0</v>
      </c>
      <c r="FX209">
        <v>97</v>
      </c>
      <c r="FY209">
        <v>51</v>
      </c>
      <c r="GA209" t="s">
        <v>3</v>
      </c>
      <c r="GD209">
        <v>1</v>
      </c>
      <c r="GF209">
        <v>-1305428159</v>
      </c>
      <c r="GG209">
        <v>2</v>
      </c>
      <c r="GH209">
        <v>1</v>
      </c>
      <c r="GI209">
        <v>2</v>
      </c>
      <c r="GJ209">
        <v>0</v>
      </c>
      <c r="GK209">
        <v>0</v>
      </c>
      <c r="GL209">
        <f t="shared" si="171"/>
        <v>0</v>
      </c>
      <c r="GM209">
        <f t="shared" si="172"/>
        <v>6085.05</v>
      </c>
      <c r="GN209">
        <f t="shared" si="173"/>
        <v>0</v>
      </c>
      <c r="GO209">
        <f t="shared" si="174"/>
        <v>6085.05</v>
      </c>
      <c r="GP209">
        <f t="shared" si="175"/>
        <v>0</v>
      </c>
      <c r="GR209">
        <v>0</v>
      </c>
      <c r="GS209">
        <v>3</v>
      </c>
      <c r="GT209">
        <v>0</v>
      </c>
      <c r="GU209" t="s">
        <v>3</v>
      </c>
      <c r="GV209">
        <f t="shared" si="176"/>
        <v>0</v>
      </c>
      <c r="GW209">
        <v>1</v>
      </c>
      <c r="GX209">
        <f t="shared" si="177"/>
        <v>0</v>
      </c>
      <c r="HA209">
        <v>0</v>
      </c>
      <c r="HB209">
        <v>0</v>
      </c>
      <c r="HC209">
        <f t="shared" si="178"/>
        <v>0</v>
      </c>
      <c r="HE209" t="s">
        <v>3</v>
      </c>
      <c r="HF209" t="s">
        <v>3</v>
      </c>
      <c r="HM209" t="s">
        <v>25</v>
      </c>
      <c r="HN209" t="s">
        <v>3</v>
      </c>
      <c r="HO209" t="s">
        <v>3</v>
      </c>
      <c r="HP209" t="s">
        <v>3</v>
      </c>
      <c r="HQ209" t="s">
        <v>3</v>
      </c>
      <c r="HS209">
        <v>0</v>
      </c>
      <c r="IK209">
        <v>0</v>
      </c>
    </row>
    <row r="210" spans="1:255" x14ac:dyDescent="0.2">
      <c r="A210" s="2">
        <v>18</v>
      </c>
      <c r="B210" s="2">
        <v>1</v>
      </c>
      <c r="C210" s="2">
        <v>265</v>
      </c>
      <c r="D210" s="2"/>
      <c r="E210" s="2" t="s">
        <v>302</v>
      </c>
      <c r="F210" s="2" t="s">
        <v>225</v>
      </c>
      <c r="G210" s="2" t="s">
        <v>226</v>
      </c>
      <c r="H210" s="2" t="s">
        <v>227</v>
      </c>
      <c r="I210" s="2">
        <f>I206*J210</f>
        <v>8.8000000000000007</v>
      </c>
      <c r="J210" s="2">
        <v>2</v>
      </c>
      <c r="K210" s="2">
        <v>2</v>
      </c>
      <c r="L210" s="2"/>
      <c r="M210" s="2"/>
      <c r="N210" s="2"/>
      <c r="O210" s="2">
        <f t="shared" si="150"/>
        <v>1292.6300000000001</v>
      </c>
      <c r="P210" s="2">
        <f t="shared" si="179"/>
        <v>1292.6300000000001</v>
      </c>
      <c r="Q210" s="2">
        <f>(ROUND((ROUND(((ET210)*AV210*I210),2)*BB210),2)+ROUND((ROUND(((AE210-(EU210))*AV210*I210),2)*BS210),2))</f>
        <v>0</v>
      </c>
      <c r="R210" s="2">
        <f t="shared" si="151"/>
        <v>0</v>
      </c>
      <c r="S210" s="2">
        <f t="shared" si="152"/>
        <v>0</v>
      </c>
      <c r="T210" s="2">
        <f t="shared" si="153"/>
        <v>0</v>
      </c>
      <c r="U210" s="2">
        <f t="shared" si="154"/>
        <v>0</v>
      </c>
      <c r="V210" s="2">
        <f t="shared" si="155"/>
        <v>0</v>
      </c>
      <c r="W210" s="2">
        <f t="shared" si="156"/>
        <v>0</v>
      </c>
      <c r="X210" s="2">
        <f t="shared" si="157"/>
        <v>0</v>
      </c>
      <c r="Y210" s="2">
        <f t="shared" si="158"/>
        <v>0</v>
      </c>
      <c r="Z210" s="2"/>
      <c r="AA210" s="2">
        <v>59213216</v>
      </c>
      <c r="AB210" s="2">
        <f t="shared" si="159"/>
        <v>146.88999999999999</v>
      </c>
      <c r="AC210" s="2">
        <f>ROUND((ES210),6)</f>
        <v>146.88999999999999</v>
      </c>
      <c r="AD210" s="2">
        <f>ROUND((((ET210)-(EU210))+AE210),6)</f>
        <v>0</v>
      </c>
      <c r="AE210" s="2">
        <f t="shared" si="181"/>
        <v>0</v>
      </c>
      <c r="AF210" s="2">
        <f t="shared" si="181"/>
        <v>0</v>
      </c>
      <c r="AG210" s="2">
        <f t="shared" si="160"/>
        <v>0</v>
      </c>
      <c r="AH210" s="2">
        <f t="shared" si="182"/>
        <v>0</v>
      </c>
      <c r="AI210" s="2">
        <f t="shared" si="182"/>
        <v>0</v>
      </c>
      <c r="AJ210" s="2">
        <f t="shared" si="161"/>
        <v>0</v>
      </c>
      <c r="AK210" s="2">
        <v>146.88999999999999</v>
      </c>
      <c r="AL210" s="2">
        <v>146.88999999999999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97</v>
      </c>
      <c r="AU210" s="2">
        <v>51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2</v>
      </c>
      <c r="BJ210" s="2" t="s">
        <v>228</v>
      </c>
      <c r="BK210" s="2"/>
      <c r="BL210" s="2"/>
      <c r="BM210" s="2">
        <v>67</v>
      </c>
      <c r="BN210" s="2">
        <v>58808062</v>
      </c>
      <c r="BO210" s="2" t="s">
        <v>3</v>
      </c>
      <c r="BP210" s="2">
        <v>0</v>
      </c>
      <c r="BQ210" s="2">
        <v>40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97</v>
      </c>
      <c r="CA210" s="2">
        <v>51</v>
      </c>
      <c r="CB210" s="2" t="s">
        <v>3</v>
      </c>
      <c r="CC210" s="2"/>
      <c r="CD210" s="2"/>
      <c r="CE210" s="2">
        <v>30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492</v>
      </c>
      <c r="CO210" s="2">
        <v>0</v>
      </c>
      <c r="CP210" s="2">
        <f t="shared" si="162"/>
        <v>1292.6300000000001</v>
      </c>
      <c r="CQ210" s="2">
        <f t="shared" si="180"/>
        <v>146.88999999999999</v>
      </c>
      <c r="CR210" s="2">
        <f>(ROUND((ROUND(((ET210)*AV210*1),2)*BB210),2)+ROUND((ROUND(((AE210-(EU210))*AV210*1),2)*BS210),2))</f>
        <v>0</v>
      </c>
      <c r="CS210" s="2">
        <f t="shared" si="163"/>
        <v>0</v>
      </c>
      <c r="CT210" s="2">
        <f t="shared" si="164"/>
        <v>0</v>
      </c>
      <c r="CU210" s="2">
        <f t="shared" si="165"/>
        <v>0</v>
      </c>
      <c r="CV210" s="2">
        <f t="shared" si="166"/>
        <v>0</v>
      </c>
      <c r="CW210" s="2">
        <f t="shared" si="167"/>
        <v>0</v>
      </c>
      <c r="CX210" s="2">
        <f t="shared" si="168"/>
        <v>0</v>
      </c>
      <c r="CY210" s="2">
        <f t="shared" si="169"/>
        <v>0</v>
      </c>
      <c r="CZ210" s="2">
        <f t="shared" si="170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1010</v>
      </c>
      <c r="DV210" s="2" t="s">
        <v>227</v>
      </c>
      <c r="DW210" s="2" t="s">
        <v>227</v>
      </c>
      <c r="DX210" s="2">
        <v>100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58808177</v>
      </c>
      <c r="EF210" s="2">
        <v>40</v>
      </c>
      <c r="EG210" s="2" t="s">
        <v>27</v>
      </c>
      <c r="EH210" s="2">
        <v>0</v>
      </c>
      <c r="EI210" s="2" t="s">
        <v>3</v>
      </c>
      <c r="EJ210" s="2">
        <v>2</v>
      </c>
      <c r="EK210" s="2">
        <v>67</v>
      </c>
      <c r="EL210" s="2" t="s">
        <v>217</v>
      </c>
      <c r="EM210" s="2" t="s">
        <v>218</v>
      </c>
      <c r="EN210" s="2"/>
      <c r="EO210" s="2" t="s">
        <v>30</v>
      </c>
      <c r="EP210" s="2"/>
      <c r="EQ210" s="2">
        <v>0</v>
      </c>
      <c r="ER210" s="2">
        <v>146.88999999999999</v>
      </c>
      <c r="ES210" s="2">
        <v>146.88999999999999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97</v>
      </c>
      <c r="FY210" s="2">
        <v>51</v>
      </c>
      <c r="FZ210" s="2"/>
      <c r="GA210" s="2" t="s">
        <v>3</v>
      </c>
      <c r="GB210" s="2"/>
      <c r="GC210" s="2"/>
      <c r="GD210" s="2">
        <v>1</v>
      </c>
      <c r="GE210" s="2"/>
      <c r="GF210" s="2">
        <v>-1171050213</v>
      </c>
      <c r="GG210" s="2">
        <v>2</v>
      </c>
      <c r="GH210" s="2">
        <v>1</v>
      </c>
      <c r="GI210" s="2">
        <v>-2</v>
      </c>
      <c r="GJ210" s="2">
        <v>0</v>
      </c>
      <c r="GK210" s="2">
        <v>0</v>
      </c>
      <c r="GL210" s="2">
        <f t="shared" si="171"/>
        <v>0</v>
      </c>
      <c r="GM210" s="2">
        <f t="shared" si="172"/>
        <v>1292.6300000000001</v>
      </c>
      <c r="GN210" s="2">
        <f t="shared" si="173"/>
        <v>0</v>
      </c>
      <c r="GO210" s="2">
        <f t="shared" si="174"/>
        <v>1292.6300000000001</v>
      </c>
      <c r="GP210" s="2">
        <f t="shared" si="175"/>
        <v>0</v>
      </c>
      <c r="GQ210" s="2"/>
      <c r="GR210" s="2">
        <v>0</v>
      </c>
      <c r="GS210" s="2">
        <v>3</v>
      </c>
      <c r="GT210" s="2">
        <v>0</v>
      </c>
      <c r="GU210" s="2" t="s">
        <v>3</v>
      </c>
      <c r="GV210" s="2">
        <f t="shared" si="176"/>
        <v>0</v>
      </c>
      <c r="GW210" s="2">
        <v>1</v>
      </c>
      <c r="GX210" s="2">
        <f t="shared" si="177"/>
        <v>0</v>
      </c>
      <c r="GY210" s="2"/>
      <c r="GZ210" s="2"/>
      <c r="HA210" s="2">
        <v>0</v>
      </c>
      <c r="HB210" s="2">
        <v>0</v>
      </c>
      <c r="HC210" s="2">
        <f t="shared" si="178"/>
        <v>0</v>
      </c>
      <c r="HD210" s="2"/>
      <c r="HE210" s="2" t="s">
        <v>3</v>
      </c>
      <c r="HF210" s="2" t="s">
        <v>3</v>
      </c>
      <c r="HG210" s="2"/>
      <c r="HH210" s="2"/>
      <c r="HI210" s="2"/>
      <c r="HJ210" s="2"/>
      <c r="HK210" s="2"/>
      <c r="HL210" s="2"/>
      <c r="HM210" s="2" t="s">
        <v>25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>
        <v>18</v>
      </c>
      <c r="B211">
        <v>1</v>
      </c>
      <c r="C211">
        <v>268</v>
      </c>
      <c r="E211" t="s">
        <v>302</v>
      </c>
      <c r="F211" t="s">
        <v>225</v>
      </c>
      <c r="G211" t="s">
        <v>226</v>
      </c>
      <c r="H211" t="s">
        <v>227</v>
      </c>
      <c r="I211">
        <f>I207*J211</f>
        <v>8.8000000000000007</v>
      </c>
      <c r="J211">
        <v>2</v>
      </c>
      <c r="K211">
        <v>2</v>
      </c>
      <c r="O211">
        <f t="shared" si="150"/>
        <v>2624.04</v>
      </c>
      <c r="P211">
        <f t="shared" si="179"/>
        <v>2624.04</v>
      </c>
      <c r="Q211">
        <f>(ROUND((ROUND(((ET211)*AV211*I211),2)*BB211),2)+ROUND((ROUND(((AE211-(EU211))*AV211*I211),2)*BS211),2))</f>
        <v>0</v>
      </c>
      <c r="R211">
        <f t="shared" si="151"/>
        <v>0</v>
      </c>
      <c r="S211">
        <f t="shared" si="152"/>
        <v>0</v>
      </c>
      <c r="T211">
        <f t="shared" si="153"/>
        <v>0</v>
      </c>
      <c r="U211">
        <f t="shared" si="154"/>
        <v>0</v>
      </c>
      <c r="V211">
        <f t="shared" si="155"/>
        <v>0</v>
      </c>
      <c r="W211">
        <f t="shared" si="156"/>
        <v>0</v>
      </c>
      <c r="X211">
        <f t="shared" si="157"/>
        <v>0</v>
      </c>
      <c r="Y211">
        <f t="shared" si="158"/>
        <v>0</v>
      </c>
      <c r="AA211">
        <v>59213213</v>
      </c>
      <c r="AB211">
        <f t="shared" si="159"/>
        <v>146.88999999999999</v>
      </c>
      <c r="AC211">
        <f>ROUND((ES211),6)</f>
        <v>146.88999999999999</v>
      </c>
      <c r="AD211">
        <f>ROUND((((ET211)-(EU211))+AE211),6)</f>
        <v>0</v>
      </c>
      <c r="AE211">
        <f t="shared" si="181"/>
        <v>0</v>
      </c>
      <c r="AF211">
        <f t="shared" si="181"/>
        <v>0</v>
      </c>
      <c r="AG211">
        <f t="shared" si="160"/>
        <v>0</v>
      </c>
      <c r="AH211">
        <f t="shared" si="182"/>
        <v>0</v>
      </c>
      <c r="AI211">
        <f t="shared" si="182"/>
        <v>0</v>
      </c>
      <c r="AJ211">
        <f t="shared" si="161"/>
        <v>0</v>
      </c>
      <c r="AK211">
        <v>146.88999999999999</v>
      </c>
      <c r="AL211">
        <v>146.88999999999999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97</v>
      </c>
      <c r="AU211">
        <v>51</v>
      </c>
      <c r="AV211">
        <v>1</v>
      </c>
      <c r="AW211">
        <v>1</v>
      </c>
      <c r="AZ211">
        <v>1</v>
      </c>
      <c r="BA211">
        <v>1</v>
      </c>
      <c r="BB211">
        <v>1</v>
      </c>
      <c r="BC211">
        <v>2.0299999999999998</v>
      </c>
      <c r="BD211" t="s">
        <v>3</v>
      </c>
      <c r="BE211" t="s">
        <v>3</v>
      </c>
      <c r="BF211" t="s">
        <v>3</v>
      </c>
      <c r="BG211" t="s">
        <v>3</v>
      </c>
      <c r="BH211">
        <v>3</v>
      </c>
      <c r="BI211">
        <v>2</v>
      </c>
      <c r="BJ211" t="s">
        <v>228</v>
      </c>
      <c r="BM211">
        <v>67</v>
      </c>
      <c r="BN211">
        <v>58808062</v>
      </c>
      <c r="BO211" t="s">
        <v>225</v>
      </c>
      <c r="BP211">
        <v>1</v>
      </c>
      <c r="BQ211">
        <v>40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 t="s">
        <v>3</v>
      </c>
      <c r="BZ211">
        <v>97</v>
      </c>
      <c r="CA211">
        <v>51</v>
      </c>
      <c r="CB211" t="s">
        <v>3</v>
      </c>
      <c r="CE211">
        <v>30</v>
      </c>
      <c r="CF211">
        <v>0</v>
      </c>
      <c r="CG211">
        <v>0</v>
      </c>
      <c r="CM211">
        <v>0</v>
      </c>
      <c r="CN211" t="s">
        <v>492</v>
      </c>
      <c r="CO211">
        <v>0</v>
      </c>
      <c r="CP211">
        <f t="shared" si="162"/>
        <v>2624.04</v>
      </c>
      <c r="CQ211">
        <f t="shared" si="180"/>
        <v>298.19</v>
      </c>
      <c r="CR211">
        <f>(ROUND((ROUND(((ET211)*AV211*1),2)*BB211),2)+ROUND((ROUND(((AE211-(EU211))*AV211*1),2)*BS211),2))</f>
        <v>0</v>
      </c>
      <c r="CS211">
        <f t="shared" si="163"/>
        <v>0</v>
      </c>
      <c r="CT211">
        <f t="shared" si="164"/>
        <v>0</v>
      </c>
      <c r="CU211">
        <f t="shared" si="165"/>
        <v>0</v>
      </c>
      <c r="CV211">
        <f t="shared" si="166"/>
        <v>0</v>
      </c>
      <c r="CW211">
        <f t="shared" si="167"/>
        <v>0</v>
      </c>
      <c r="CX211">
        <f t="shared" si="168"/>
        <v>0</v>
      </c>
      <c r="CY211">
        <f t="shared" si="169"/>
        <v>0</v>
      </c>
      <c r="CZ211">
        <f t="shared" si="170"/>
        <v>0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3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  <c r="DN211">
        <v>0</v>
      </c>
      <c r="DO211">
        <v>0</v>
      </c>
      <c r="DP211">
        <v>1</v>
      </c>
      <c r="DQ211">
        <v>1</v>
      </c>
      <c r="DU211">
        <v>1010</v>
      </c>
      <c r="DV211" t="s">
        <v>227</v>
      </c>
      <c r="DW211" t="s">
        <v>227</v>
      </c>
      <c r="DX211">
        <v>100</v>
      </c>
      <c r="DZ211" t="s">
        <v>3</v>
      </c>
      <c r="EA211" t="s">
        <v>3</v>
      </c>
      <c r="EB211" t="s">
        <v>3</v>
      </c>
      <c r="EC211" t="s">
        <v>3</v>
      </c>
      <c r="EE211">
        <v>58808177</v>
      </c>
      <c r="EF211">
        <v>40</v>
      </c>
      <c r="EG211" t="s">
        <v>27</v>
      </c>
      <c r="EH211">
        <v>0</v>
      </c>
      <c r="EI211" t="s">
        <v>3</v>
      </c>
      <c r="EJ211">
        <v>2</v>
      </c>
      <c r="EK211">
        <v>67</v>
      </c>
      <c r="EL211" t="s">
        <v>217</v>
      </c>
      <c r="EM211" t="s">
        <v>218</v>
      </c>
      <c r="EO211" t="s">
        <v>30</v>
      </c>
      <c r="EQ211">
        <v>0</v>
      </c>
      <c r="ER211">
        <v>146.88999999999999</v>
      </c>
      <c r="ES211">
        <v>146.88999999999999</v>
      </c>
      <c r="ET211">
        <v>0</v>
      </c>
      <c r="EU211">
        <v>0</v>
      </c>
      <c r="EV211">
        <v>0</v>
      </c>
      <c r="EW211">
        <v>0</v>
      </c>
      <c r="EX211">
        <v>0</v>
      </c>
      <c r="FQ211">
        <v>0</v>
      </c>
      <c r="FR211">
        <v>0</v>
      </c>
      <c r="FS211">
        <v>0</v>
      </c>
      <c r="FX211">
        <v>97</v>
      </c>
      <c r="FY211">
        <v>51</v>
      </c>
      <c r="GA211" t="s">
        <v>3</v>
      </c>
      <c r="GD211">
        <v>1</v>
      </c>
      <c r="GF211">
        <v>-1171050213</v>
      </c>
      <c r="GG211">
        <v>2</v>
      </c>
      <c r="GH211">
        <v>1</v>
      </c>
      <c r="GI211">
        <v>2</v>
      </c>
      <c r="GJ211">
        <v>0</v>
      </c>
      <c r="GK211">
        <v>0</v>
      </c>
      <c r="GL211">
        <f t="shared" si="171"/>
        <v>0</v>
      </c>
      <c r="GM211">
        <f t="shared" si="172"/>
        <v>2624.04</v>
      </c>
      <c r="GN211">
        <f t="shared" si="173"/>
        <v>0</v>
      </c>
      <c r="GO211">
        <f t="shared" si="174"/>
        <v>2624.04</v>
      </c>
      <c r="GP211">
        <f t="shared" si="175"/>
        <v>0</v>
      </c>
      <c r="GR211">
        <v>0</v>
      </c>
      <c r="GS211">
        <v>3</v>
      </c>
      <c r="GT211">
        <v>0</v>
      </c>
      <c r="GU211" t="s">
        <v>3</v>
      </c>
      <c r="GV211">
        <f t="shared" si="176"/>
        <v>0</v>
      </c>
      <c r="GW211">
        <v>1</v>
      </c>
      <c r="GX211">
        <f t="shared" si="177"/>
        <v>0</v>
      </c>
      <c r="HA211">
        <v>0</v>
      </c>
      <c r="HB211">
        <v>0</v>
      </c>
      <c r="HC211">
        <f t="shared" si="178"/>
        <v>0</v>
      </c>
      <c r="HE211" t="s">
        <v>3</v>
      </c>
      <c r="HF211" t="s">
        <v>3</v>
      </c>
      <c r="HM211" t="s">
        <v>25</v>
      </c>
      <c r="HN211" t="s">
        <v>3</v>
      </c>
      <c r="HO211" t="s">
        <v>3</v>
      </c>
      <c r="HP211" t="s">
        <v>3</v>
      </c>
      <c r="HQ211" t="s">
        <v>3</v>
      </c>
      <c r="HS211">
        <v>0</v>
      </c>
      <c r="IK211">
        <v>0</v>
      </c>
    </row>
    <row r="212" spans="1:255" x14ac:dyDescent="0.2">
      <c r="A212" s="2">
        <v>17</v>
      </c>
      <c r="B212" s="2">
        <v>1</v>
      </c>
      <c r="C212" s="2">
        <f>ROW(SmtRes!A278)</f>
        <v>278</v>
      </c>
      <c r="D212" s="2">
        <f>ROW(EtalonRes!A304)</f>
        <v>304</v>
      </c>
      <c r="E212" s="2" t="s">
        <v>303</v>
      </c>
      <c r="F212" s="2" t="s">
        <v>250</v>
      </c>
      <c r="G212" s="2" t="s">
        <v>251</v>
      </c>
      <c r="H212" s="2" t="s">
        <v>215</v>
      </c>
      <c r="I212" s="2">
        <f>ROUND(ROUND(20/100,4),9)</f>
        <v>0.2</v>
      </c>
      <c r="J212" s="2">
        <v>0</v>
      </c>
      <c r="K212" s="2">
        <f>ROUND(ROUND(20/100,4),9)</f>
        <v>0.2</v>
      </c>
      <c r="L212" s="2"/>
      <c r="M212" s="2"/>
      <c r="N212" s="2"/>
      <c r="O212" s="2">
        <f t="shared" si="150"/>
        <v>24.95</v>
      </c>
      <c r="P212" s="2">
        <f t="shared" si="179"/>
        <v>11.63</v>
      </c>
      <c r="Q212" s="2">
        <f>(ROUND((ROUND((((ET212*1.1))*AV212*I212),2)*BB212),2)+ROUND((ROUND(((AE212-((EU212*1.1)))*AV212*I212),2)*BS212),2))</f>
        <v>0.6</v>
      </c>
      <c r="R212" s="2">
        <f t="shared" si="151"/>
        <v>7.0000000000000007E-2</v>
      </c>
      <c r="S212" s="2">
        <f t="shared" si="152"/>
        <v>12.72</v>
      </c>
      <c r="T212" s="2">
        <f t="shared" si="153"/>
        <v>0</v>
      </c>
      <c r="U212" s="2">
        <f t="shared" si="154"/>
        <v>1.0342266000000002</v>
      </c>
      <c r="V212" s="2">
        <f t="shared" si="155"/>
        <v>0</v>
      </c>
      <c r="W212" s="2">
        <f t="shared" si="156"/>
        <v>0</v>
      </c>
      <c r="X212" s="2">
        <f t="shared" si="157"/>
        <v>12.41</v>
      </c>
      <c r="Y212" s="2">
        <f t="shared" si="158"/>
        <v>6.52</v>
      </c>
      <c r="Z212" s="2"/>
      <c r="AA212" s="2">
        <v>59213216</v>
      </c>
      <c r="AB212" s="2">
        <f t="shared" si="159"/>
        <v>121.785</v>
      </c>
      <c r="AC212" s="2">
        <f>ROUND(((ES212*1)),6)</f>
        <v>58.15</v>
      </c>
      <c r="AD212" s="2">
        <f>ROUND(((((ET212*1.1))-((EU212*1.1)))+AE212),6)</f>
        <v>2.8820000000000001</v>
      </c>
      <c r="AE212" s="2">
        <f>ROUND(((EU212*1.1)),6)</f>
        <v>0.33</v>
      </c>
      <c r="AF212" s="2">
        <f>ROUND(((EV212*1.1)),6)</f>
        <v>60.753</v>
      </c>
      <c r="AG212" s="2">
        <f t="shared" si="160"/>
        <v>0</v>
      </c>
      <c r="AH212" s="2">
        <f>((EW212*1.1))</f>
        <v>4.9390000000000009</v>
      </c>
      <c r="AI212" s="2">
        <f>((EX212*1.1))</f>
        <v>0</v>
      </c>
      <c r="AJ212" s="2">
        <f t="shared" si="161"/>
        <v>0</v>
      </c>
      <c r="AK212" s="2">
        <v>116</v>
      </c>
      <c r="AL212" s="2">
        <v>58.15</v>
      </c>
      <c r="AM212" s="2">
        <v>2.62</v>
      </c>
      <c r="AN212" s="2">
        <v>0.3</v>
      </c>
      <c r="AO212" s="2">
        <v>55.23</v>
      </c>
      <c r="AP212" s="2">
        <v>0</v>
      </c>
      <c r="AQ212" s="2">
        <v>4.49</v>
      </c>
      <c r="AR212" s="2">
        <v>0</v>
      </c>
      <c r="AS212" s="2">
        <v>0</v>
      </c>
      <c r="AT212" s="2">
        <v>97</v>
      </c>
      <c r="AU212" s="2">
        <v>51</v>
      </c>
      <c r="AV212" s="2">
        <v>1.0469999999999999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0</v>
      </c>
      <c r="BI212" s="2">
        <v>2</v>
      </c>
      <c r="BJ212" s="2" t="s">
        <v>252</v>
      </c>
      <c r="BK212" s="2"/>
      <c r="BL212" s="2"/>
      <c r="BM212" s="2">
        <v>67</v>
      </c>
      <c r="BN212" s="2">
        <v>58808062</v>
      </c>
      <c r="BO212" s="2" t="s">
        <v>250</v>
      </c>
      <c r="BP212" s="2">
        <v>1</v>
      </c>
      <c r="BQ212" s="2">
        <v>40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97</v>
      </c>
      <c r="CA212" s="2">
        <v>51</v>
      </c>
      <c r="CB212" s="2" t="s">
        <v>3</v>
      </c>
      <c r="CC212" s="2"/>
      <c r="CD212" s="2"/>
      <c r="CE212" s="2">
        <v>30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492</v>
      </c>
      <c r="CO212" s="2">
        <v>0</v>
      </c>
      <c r="CP212" s="2">
        <f t="shared" si="162"/>
        <v>24.950000000000003</v>
      </c>
      <c r="CQ212" s="2">
        <f t="shared" si="180"/>
        <v>58.15</v>
      </c>
      <c r="CR212" s="2">
        <f>(ROUND((ROUND((((ET212*1.1))*AV212*1),2)*BB212),2)+ROUND((ROUND(((AE212-((EU212*1.1)))*AV212*1),2)*BS212),2))</f>
        <v>3.02</v>
      </c>
      <c r="CS212" s="2">
        <f t="shared" si="163"/>
        <v>0.35</v>
      </c>
      <c r="CT212" s="2">
        <f t="shared" si="164"/>
        <v>63.61</v>
      </c>
      <c r="CU212" s="2">
        <f t="shared" si="165"/>
        <v>0</v>
      </c>
      <c r="CV212" s="2">
        <f t="shared" si="166"/>
        <v>5.1711330000000011</v>
      </c>
      <c r="CW212" s="2">
        <f t="shared" si="167"/>
        <v>0</v>
      </c>
      <c r="CX212" s="2">
        <f t="shared" si="168"/>
        <v>0</v>
      </c>
      <c r="CY212" s="2">
        <f t="shared" si="169"/>
        <v>12.406300000000002</v>
      </c>
      <c r="CZ212" s="2">
        <f t="shared" si="170"/>
        <v>6.5229000000000008</v>
      </c>
      <c r="DA212" s="2"/>
      <c r="DB212" s="2">
        <v>53</v>
      </c>
      <c r="DC212" s="2" t="s">
        <v>3</v>
      </c>
      <c r="DD212" s="2" t="s">
        <v>25</v>
      </c>
      <c r="DE212" s="2" t="s">
        <v>26</v>
      </c>
      <c r="DF212" s="2" t="s">
        <v>26</v>
      </c>
      <c r="DG212" s="2" t="s">
        <v>26</v>
      </c>
      <c r="DH212" s="2" t="s">
        <v>3</v>
      </c>
      <c r="DI212" s="2" t="s">
        <v>26</v>
      </c>
      <c r="DJ212" s="2" t="s">
        <v>26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1003</v>
      </c>
      <c r="DV212" s="2" t="s">
        <v>215</v>
      </c>
      <c r="DW212" s="2" t="s">
        <v>215</v>
      </c>
      <c r="DX212" s="2">
        <v>100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58808177</v>
      </c>
      <c r="EF212" s="2">
        <v>40</v>
      </c>
      <c r="EG212" s="2" t="s">
        <v>27</v>
      </c>
      <c r="EH212" s="2">
        <v>0</v>
      </c>
      <c r="EI212" s="2" t="s">
        <v>3</v>
      </c>
      <c r="EJ212" s="2">
        <v>2</v>
      </c>
      <c r="EK212" s="2">
        <v>67</v>
      </c>
      <c r="EL212" s="2" t="s">
        <v>217</v>
      </c>
      <c r="EM212" s="2" t="s">
        <v>218</v>
      </c>
      <c r="EN212" s="2"/>
      <c r="EO212" s="2" t="s">
        <v>30</v>
      </c>
      <c r="EP212" s="2"/>
      <c r="EQ212" s="2">
        <v>0</v>
      </c>
      <c r="ER212" s="2">
        <v>116</v>
      </c>
      <c r="ES212" s="2">
        <v>58.15</v>
      </c>
      <c r="ET212" s="2">
        <v>2.62</v>
      </c>
      <c r="EU212" s="2">
        <v>0.3</v>
      </c>
      <c r="EV212" s="2">
        <v>55.23</v>
      </c>
      <c r="EW212" s="2">
        <v>4.49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97</v>
      </c>
      <c r="FY212" s="2">
        <v>51</v>
      </c>
      <c r="FZ212" s="2"/>
      <c r="GA212" s="2" t="s">
        <v>3</v>
      </c>
      <c r="GB212" s="2"/>
      <c r="GC212" s="2"/>
      <c r="GD212" s="2">
        <v>1</v>
      </c>
      <c r="GE212" s="2"/>
      <c r="GF212" s="2">
        <v>770559996</v>
      </c>
      <c r="GG212" s="2">
        <v>2</v>
      </c>
      <c r="GH212" s="2">
        <v>1</v>
      </c>
      <c r="GI212" s="2">
        <v>2</v>
      </c>
      <c r="GJ212" s="2">
        <v>0</v>
      </c>
      <c r="GK212" s="2">
        <v>0</v>
      </c>
      <c r="GL212" s="2">
        <f t="shared" si="171"/>
        <v>0</v>
      </c>
      <c r="GM212" s="2">
        <f t="shared" si="172"/>
        <v>43.88</v>
      </c>
      <c r="GN212" s="2">
        <f t="shared" si="173"/>
        <v>0</v>
      </c>
      <c r="GO212" s="2">
        <f t="shared" si="174"/>
        <v>43.88</v>
      </c>
      <c r="GP212" s="2">
        <f t="shared" si="175"/>
        <v>0</v>
      </c>
      <c r="GQ212" s="2"/>
      <c r="GR212" s="2">
        <v>0</v>
      </c>
      <c r="GS212" s="2">
        <v>3</v>
      </c>
      <c r="GT212" s="2">
        <v>0</v>
      </c>
      <c r="GU212" s="2" t="s">
        <v>3</v>
      </c>
      <c r="GV212" s="2">
        <f t="shared" si="176"/>
        <v>0</v>
      </c>
      <c r="GW212" s="2">
        <v>1</v>
      </c>
      <c r="GX212" s="2">
        <f t="shared" si="177"/>
        <v>0</v>
      </c>
      <c r="GY212" s="2"/>
      <c r="GZ212" s="2"/>
      <c r="HA212" s="2">
        <v>0</v>
      </c>
      <c r="HB212" s="2">
        <v>0</v>
      </c>
      <c r="HC212" s="2">
        <f t="shared" si="178"/>
        <v>0</v>
      </c>
      <c r="HD212" s="2"/>
      <c r="HE212" s="2" t="s">
        <v>3</v>
      </c>
      <c r="HF212" s="2" t="s">
        <v>3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>
        <v>17</v>
      </c>
      <c r="B213">
        <v>1</v>
      </c>
      <c r="C213">
        <f>ROW(SmtRes!A288)</f>
        <v>288</v>
      </c>
      <c r="D213">
        <f>ROW(EtalonRes!A314)</f>
        <v>314</v>
      </c>
      <c r="E213" t="s">
        <v>303</v>
      </c>
      <c r="F213" t="s">
        <v>250</v>
      </c>
      <c r="G213" t="s">
        <v>251</v>
      </c>
      <c r="H213" t="s">
        <v>215</v>
      </c>
      <c r="I213">
        <f>ROUND(ROUND(20/100,4),9)</f>
        <v>0.2</v>
      </c>
      <c r="J213">
        <v>0</v>
      </c>
      <c r="K213">
        <f>ROUND(ROUND(20/100,4),9)</f>
        <v>0.2</v>
      </c>
      <c r="O213">
        <f t="shared" si="150"/>
        <v>751.24</v>
      </c>
      <c r="P213">
        <f t="shared" si="179"/>
        <v>43.03</v>
      </c>
      <c r="Q213">
        <f>(ROUND((ROUND((((ET213*1.1))*AV213*I213),2)*BB213),2)+ROUND((ROUND(((AE213-((EU213*1.1)))*AV213*I213),2)*BS213),2))</f>
        <v>8.74</v>
      </c>
      <c r="R213">
        <f t="shared" si="151"/>
        <v>3.85</v>
      </c>
      <c r="S213">
        <f t="shared" si="152"/>
        <v>699.47</v>
      </c>
      <c r="T213">
        <f t="shared" si="153"/>
        <v>0</v>
      </c>
      <c r="U213">
        <f t="shared" si="154"/>
        <v>1.0342266000000002</v>
      </c>
      <c r="V213">
        <f t="shared" si="155"/>
        <v>0</v>
      </c>
      <c r="W213">
        <f t="shared" si="156"/>
        <v>0</v>
      </c>
      <c r="X213">
        <f t="shared" si="157"/>
        <v>682.22</v>
      </c>
      <c r="Y213">
        <f t="shared" si="158"/>
        <v>358.69</v>
      </c>
      <c r="AA213">
        <v>59213213</v>
      </c>
      <c r="AB213">
        <f t="shared" si="159"/>
        <v>121.785</v>
      </c>
      <c r="AC213">
        <f>ROUND(((ES213*1)),6)</f>
        <v>58.15</v>
      </c>
      <c r="AD213">
        <f>ROUND(((((ET213*1.1))-((EU213*1.1)))+AE213),6)</f>
        <v>2.8820000000000001</v>
      </c>
      <c r="AE213">
        <f>ROUND(((EU213*1.1)),6)</f>
        <v>0.33</v>
      </c>
      <c r="AF213">
        <f>ROUND(((EV213*1.1)),6)</f>
        <v>60.753</v>
      </c>
      <c r="AG213">
        <f t="shared" si="160"/>
        <v>0</v>
      </c>
      <c r="AH213">
        <f>((EW213*1.1))</f>
        <v>4.9390000000000009</v>
      </c>
      <c r="AI213">
        <f>((EX213*1.1))</f>
        <v>0</v>
      </c>
      <c r="AJ213">
        <f t="shared" si="161"/>
        <v>0</v>
      </c>
      <c r="AK213">
        <v>116</v>
      </c>
      <c r="AL213">
        <v>58.15</v>
      </c>
      <c r="AM213">
        <v>2.62</v>
      </c>
      <c r="AN213">
        <v>0.3</v>
      </c>
      <c r="AO213">
        <v>55.23</v>
      </c>
      <c r="AP213">
        <v>0</v>
      </c>
      <c r="AQ213">
        <v>4.49</v>
      </c>
      <c r="AR213">
        <v>0</v>
      </c>
      <c r="AS213">
        <v>0</v>
      </c>
      <c r="AT213">
        <v>97</v>
      </c>
      <c r="AU213">
        <v>51</v>
      </c>
      <c r="AV213">
        <v>1.0469999999999999</v>
      </c>
      <c r="AW213">
        <v>1</v>
      </c>
      <c r="AZ213">
        <v>1</v>
      </c>
      <c r="BA213">
        <v>54.99</v>
      </c>
      <c r="BB213">
        <v>14.57</v>
      </c>
      <c r="BC213">
        <v>3.7</v>
      </c>
      <c r="BD213" t="s">
        <v>3</v>
      </c>
      <c r="BE213" t="s">
        <v>3</v>
      </c>
      <c r="BF213" t="s">
        <v>3</v>
      </c>
      <c r="BG213" t="s">
        <v>3</v>
      </c>
      <c r="BH213">
        <v>0</v>
      </c>
      <c r="BI213">
        <v>2</v>
      </c>
      <c r="BJ213" t="s">
        <v>252</v>
      </c>
      <c r="BM213">
        <v>67</v>
      </c>
      <c r="BN213">
        <v>58808062</v>
      </c>
      <c r="BO213" t="s">
        <v>250</v>
      </c>
      <c r="BP213">
        <v>1</v>
      </c>
      <c r="BQ213">
        <v>40</v>
      </c>
      <c r="BR213">
        <v>0</v>
      </c>
      <c r="BS213">
        <v>54.99</v>
      </c>
      <c r="BT213">
        <v>1</v>
      </c>
      <c r="BU213">
        <v>1</v>
      </c>
      <c r="BV213">
        <v>1</v>
      </c>
      <c r="BW213">
        <v>1</v>
      </c>
      <c r="BX213">
        <v>1</v>
      </c>
      <c r="BY213" t="s">
        <v>3</v>
      </c>
      <c r="BZ213">
        <v>97</v>
      </c>
      <c r="CA213">
        <v>51</v>
      </c>
      <c r="CB213" t="s">
        <v>3</v>
      </c>
      <c r="CE213">
        <v>30</v>
      </c>
      <c r="CF213">
        <v>0</v>
      </c>
      <c r="CG213">
        <v>0</v>
      </c>
      <c r="CM213">
        <v>0</v>
      </c>
      <c r="CN213" t="s">
        <v>492</v>
      </c>
      <c r="CO213">
        <v>0</v>
      </c>
      <c r="CP213">
        <f t="shared" si="162"/>
        <v>751.24</v>
      </c>
      <c r="CQ213">
        <f t="shared" si="180"/>
        <v>215.16</v>
      </c>
      <c r="CR213">
        <f>(ROUND((ROUND((((ET213*1.1))*AV213*1),2)*BB213),2)+ROUND((ROUND(((AE213-((EU213*1.1)))*AV213*1),2)*BS213),2))</f>
        <v>44</v>
      </c>
      <c r="CS213">
        <f t="shared" si="163"/>
        <v>19.25</v>
      </c>
      <c r="CT213">
        <f t="shared" si="164"/>
        <v>3497.91</v>
      </c>
      <c r="CU213">
        <f t="shared" si="165"/>
        <v>0</v>
      </c>
      <c r="CV213">
        <f t="shared" si="166"/>
        <v>5.1711330000000011</v>
      </c>
      <c r="CW213">
        <f t="shared" si="167"/>
        <v>0</v>
      </c>
      <c r="CX213">
        <f t="shared" si="168"/>
        <v>0</v>
      </c>
      <c r="CY213">
        <f t="shared" si="169"/>
        <v>682.22040000000004</v>
      </c>
      <c r="CZ213">
        <f t="shared" si="170"/>
        <v>358.69319999999999</v>
      </c>
      <c r="DB213">
        <v>54</v>
      </c>
      <c r="DC213" t="s">
        <v>3</v>
      </c>
      <c r="DD213" t="s">
        <v>25</v>
      </c>
      <c r="DE213" t="s">
        <v>26</v>
      </c>
      <c r="DF213" t="s">
        <v>26</v>
      </c>
      <c r="DG213" t="s">
        <v>26</v>
      </c>
      <c r="DH213" t="s">
        <v>3</v>
      </c>
      <c r="DI213" t="s">
        <v>26</v>
      </c>
      <c r="DJ213" t="s">
        <v>26</v>
      </c>
      <c r="DK213" t="s">
        <v>3</v>
      </c>
      <c r="DL213" t="s">
        <v>3</v>
      </c>
      <c r="DM213" t="s">
        <v>3</v>
      </c>
      <c r="DN213">
        <v>0</v>
      </c>
      <c r="DO213">
        <v>0</v>
      </c>
      <c r="DP213">
        <v>1</v>
      </c>
      <c r="DQ213">
        <v>1</v>
      </c>
      <c r="DU213">
        <v>1003</v>
      </c>
      <c r="DV213" t="s">
        <v>215</v>
      </c>
      <c r="DW213" t="s">
        <v>215</v>
      </c>
      <c r="DX213">
        <v>100</v>
      </c>
      <c r="DZ213" t="s">
        <v>3</v>
      </c>
      <c r="EA213" t="s">
        <v>3</v>
      </c>
      <c r="EB213" t="s">
        <v>3</v>
      </c>
      <c r="EC213" t="s">
        <v>3</v>
      </c>
      <c r="EE213">
        <v>58808177</v>
      </c>
      <c r="EF213">
        <v>40</v>
      </c>
      <c r="EG213" t="s">
        <v>27</v>
      </c>
      <c r="EH213">
        <v>0</v>
      </c>
      <c r="EI213" t="s">
        <v>3</v>
      </c>
      <c r="EJ213">
        <v>2</v>
      </c>
      <c r="EK213">
        <v>67</v>
      </c>
      <c r="EL213" t="s">
        <v>217</v>
      </c>
      <c r="EM213" t="s">
        <v>218</v>
      </c>
      <c r="EO213" t="s">
        <v>30</v>
      </c>
      <c r="EQ213">
        <v>0</v>
      </c>
      <c r="ER213">
        <v>116</v>
      </c>
      <c r="ES213">
        <v>58.15</v>
      </c>
      <c r="ET213">
        <v>2.62</v>
      </c>
      <c r="EU213">
        <v>0.3</v>
      </c>
      <c r="EV213">
        <v>55.23</v>
      </c>
      <c r="EW213">
        <v>4.49</v>
      </c>
      <c r="EX213">
        <v>0</v>
      </c>
      <c r="EY213">
        <v>0</v>
      </c>
      <c r="FQ213">
        <v>0</v>
      </c>
      <c r="FR213">
        <v>0</v>
      </c>
      <c r="FS213">
        <v>0</v>
      </c>
      <c r="FX213">
        <v>97</v>
      </c>
      <c r="FY213">
        <v>51</v>
      </c>
      <c r="GA213" t="s">
        <v>3</v>
      </c>
      <c r="GD213">
        <v>1</v>
      </c>
      <c r="GF213">
        <v>770559996</v>
      </c>
      <c r="GG213">
        <v>2</v>
      </c>
      <c r="GH213">
        <v>1</v>
      </c>
      <c r="GI213">
        <v>2</v>
      </c>
      <c r="GJ213">
        <v>0</v>
      </c>
      <c r="GK213">
        <v>0</v>
      </c>
      <c r="GL213">
        <f t="shared" si="171"/>
        <v>0</v>
      </c>
      <c r="GM213">
        <f t="shared" si="172"/>
        <v>1792.15</v>
      </c>
      <c r="GN213">
        <f t="shared" si="173"/>
        <v>0</v>
      </c>
      <c r="GO213">
        <f t="shared" si="174"/>
        <v>1792.15</v>
      </c>
      <c r="GP213">
        <f t="shared" si="175"/>
        <v>0</v>
      </c>
      <c r="GR213">
        <v>0</v>
      </c>
      <c r="GS213">
        <v>3</v>
      </c>
      <c r="GT213">
        <v>0</v>
      </c>
      <c r="GU213" t="s">
        <v>3</v>
      </c>
      <c r="GV213">
        <f t="shared" si="176"/>
        <v>0</v>
      </c>
      <c r="GW213">
        <v>1</v>
      </c>
      <c r="GX213">
        <f t="shared" si="177"/>
        <v>0</v>
      </c>
      <c r="HA213">
        <v>0</v>
      </c>
      <c r="HB213">
        <v>0</v>
      </c>
      <c r="HC213">
        <f t="shared" si="178"/>
        <v>0</v>
      </c>
      <c r="HE213" t="s">
        <v>3</v>
      </c>
      <c r="HF213" t="s">
        <v>3</v>
      </c>
      <c r="HM213" t="s">
        <v>3</v>
      </c>
      <c r="HN213" t="s">
        <v>3</v>
      </c>
      <c r="HO213" t="s">
        <v>3</v>
      </c>
      <c r="HP213" t="s">
        <v>3</v>
      </c>
      <c r="HQ213" t="s">
        <v>3</v>
      </c>
      <c r="HS213">
        <v>0</v>
      </c>
      <c r="IK213">
        <v>0</v>
      </c>
    </row>
    <row r="214" spans="1:255" x14ac:dyDescent="0.2">
      <c r="A214" s="2">
        <v>18</v>
      </c>
      <c r="B214" s="2">
        <v>1</v>
      </c>
      <c r="C214" s="2">
        <v>278</v>
      </c>
      <c r="D214" s="2"/>
      <c r="E214" s="2" t="s">
        <v>304</v>
      </c>
      <c r="F214" s="2" t="s">
        <v>283</v>
      </c>
      <c r="G214" s="2" t="s">
        <v>284</v>
      </c>
      <c r="H214" s="2" t="s">
        <v>222</v>
      </c>
      <c r="I214" s="2">
        <f>I212*J214</f>
        <v>20.399999999999999</v>
      </c>
      <c r="J214" s="2">
        <v>101.99999999999999</v>
      </c>
      <c r="K214" s="2">
        <v>102</v>
      </c>
      <c r="L214" s="2"/>
      <c r="M214" s="2"/>
      <c r="N214" s="2"/>
      <c r="O214" s="2">
        <f t="shared" si="150"/>
        <v>103.22</v>
      </c>
      <c r="P214" s="2">
        <f t="shared" si="179"/>
        <v>103.22</v>
      </c>
      <c r="Q214" s="2">
        <f>(ROUND((ROUND(((ET214)*AV214*I214),2)*BB214),2)+ROUND((ROUND(((AE214-(EU214))*AV214*I214),2)*BS214),2))</f>
        <v>0</v>
      </c>
      <c r="R214" s="2">
        <f t="shared" si="151"/>
        <v>0</v>
      </c>
      <c r="S214" s="2">
        <f t="shared" si="152"/>
        <v>0</v>
      </c>
      <c r="T214" s="2">
        <f t="shared" si="153"/>
        <v>0</v>
      </c>
      <c r="U214" s="2">
        <f t="shared" si="154"/>
        <v>0</v>
      </c>
      <c r="V214" s="2">
        <f t="shared" si="155"/>
        <v>0</v>
      </c>
      <c r="W214" s="2">
        <f t="shared" si="156"/>
        <v>0</v>
      </c>
      <c r="X214" s="2">
        <f t="shared" si="157"/>
        <v>0</v>
      </c>
      <c r="Y214" s="2">
        <f t="shared" si="158"/>
        <v>0</v>
      </c>
      <c r="Z214" s="2"/>
      <c r="AA214" s="2">
        <v>59213216</v>
      </c>
      <c r="AB214" s="2">
        <f t="shared" si="159"/>
        <v>5.0599999999999996</v>
      </c>
      <c r="AC214" s="2">
        <f>ROUND((ES214),6)</f>
        <v>5.0599999999999996</v>
      </c>
      <c r="AD214" s="2">
        <f>ROUND((((ET214)-(EU214))+AE214),6)</f>
        <v>0</v>
      </c>
      <c r="AE214" s="2">
        <f>ROUND((EU214),6)</f>
        <v>0</v>
      </c>
      <c r="AF214" s="2">
        <f>ROUND((EV214),6)</f>
        <v>0</v>
      </c>
      <c r="AG214" s="2">
        <f t="shared" si="160"/>
        <v>0</v>
      </c>
      <c r="AH214" s="2">
        <f>(EW214)</f>
        <v>0</v>
      </c>
      <c r="AI214" s="2">
        <f>(EX214)</f>
        <v>0</v>
      </c>
      <c r="AJ214" s="2">
        <f t="shared" si="161"/>
        <v>0</v>
      </c>
      <c r="AK214" s="2">
        <v>5.0599999999999996</v>
      </c>
      <c r="AL214" s="2">
        <v>5.0599999999999996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97</v>
      </c>
      <c r="AU214" s="2">
        <v>51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2</v>
      </c>
      <c r="BJ214" s="2" t="s">
        <v>3</v>
      </c>
      <c r="BK214" s="2"/>
      <c r="BL214" s="2"/>
      <c r="BM214" s="2">
        <v>67</v>
      </c>
      <c r="BN214" s="2">
        <v>0</v>
      </c>
      <c r="BO214" s="2" t="s">
        <v>3</v>
      </c>
      <c r="BP214" s="2">
        <v>0</v>
      </c>
      <c r="BQ214" s="2">
        <v>40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97</v>
      </c>
      <c r="CA214" s="2">
        <v>51</v>
      </c>
      <c r="CB214" s="2" t="s">
        <v>3</v>
      </c>
      <c r="CC214" s="2"/>
      <c r="CD214" s="2"/>
      <c r="CE214" s="2">
        <v>30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162"/>
        <v>103.22</v>
      </c>
      <c r="CQ214" s="2">
        <f t="shared" si="180"/>
        <v>5.0599999999999996</v>
      </c>
      <c r="CR214" s="2">
        <f>(ROUND((ROUND(((ET214)*AV214*1),2)*BB214),2)+ROUND((ROUND(((AE214-(EU214))*AV214*1),2)*BS214),2))</f>
        <v>0</v>
      </c>
      <c r="CS214" s="2">
        <f t="shared" si="163"/>
        <v>0</v>
      </c>
      <c r="CT214" s="2">
        <f t="shared" si="164"/>
        <v>0</v>
      </c>
      <c r="CU214" s="2">
        <f t="shared" si="165"/>
        <v>0</v>
      </c>
      <c r="CV214" s="2">
        <f t="shared" si="166"/>
        <v>0</v>
      </c>
      <c r="CW214" s="2">
        <f t="shared" si="167"/>
        <v>0</v>
      </c>
      <c r="CX214" s="2">
        <f t="shared" si="168"/>
        <v>0</v>
      </c>
      <c r="CY214" s="2">
        <f t="shared" si="169"/>
        <v>0</v>
      </c>
      <c r="CZ214" s="2">
        <f t="shared" si="170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1003</v>
      </c>
      <c r="DV214" s="2" t="s">
        <v>222</v>
      </c>
      <c r="DW214" s="2" t="s">
        <v>222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58808177</v>
      </c>
      <c r="EF214" s="2">
        <v>40</v>
      </c>
      <c r="EG214" s="2" t="s">
        <v>27</v>
      </c>
      <c r="EH214" s="2">
        <v>0</v>
      </c>
      <c r="EI214" s="2" t="s">
        <v>3</v>
      </c>
      <c r="EJ214" s="2">
        <v>2</v>
      </c>
      <c r="EK214" s="2">
        <v>67</v>
      </c>
      <c r="EL214" s="2" t="s">
        <v>217</v>
      </c>
      <c r="EM214" s="2" t="s">
        <v>218</v>
      </c>
      <c r="EN214" s="2"/>
      <c r="EO214" s="2" t="s">
        <v>3</v>
      </c>
      <c r="EP214" s="2"/>
      <c r="EQ214" s="2">
        <v>0</v>
      </c>
      <c r="ER214" s="2">
        <v>0</v>
      </c>
      <c r="ES214" s="2">
        <v>5.0599999999999996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97</v>
      </c>
      <c r="FY214" s="2">
        <v>51</v>
      </c>
      <c r="FZ214" s="2"/>
      <c r="GA214" s="2" t="s">
        <v>285</v>
      </c>
      <c r="GB214" s="2"/>
      <c r="GC214" s="2"/>
      <c r="GD214" s="2">
        <v>1</v>
      </c>
      <c r="GE214" s="2"/>
      <c r="GF214" s="2">
        <v>-76986313</v>
      </c>
      <c r="GG214" s="2">
        <v>2</v>
      </c>
      <c r="GH214" s="2">
        <v>4</v>
      </c>
      <c r="GI214" s="2">
        <v>0</v>
      </c>
      <c r="GJ214" s="2">
        <v>0</v>
      </c>
      <c r="GK214" s="2">
        <v>0</v>
      </c>
      <c r="GL214" s="2">
        <f t="shared" si="171"/>
        <v>0</v>
      </c>
      <c r="GM214" s="2">
        <f t="shared" si="172"/>
        <v>103.22</v>
      </c>
      <c r="GN214" s="2">
        <f t="shared" si="173"/>
        <v>0</v>
      </c>
      <c r="GO214" s="2">
        <f t="shared" si="174"/>
        <v>103.22</v>
      </c>
      <c r="GP214" s="2">
        <f t="shared" si="175"/>
        <v>0</v>
      </c>
      <c r="GQ214" s="2"/>
      <c r="GR214" s="2">
        <v>2</v>
      </c>
      <c r="GS214" s="2">
        <v>2</v>
      </c>
      <c r="GT214" s="2">
        <v>0</v>
      </c>
      <c r="GU214" s="2" t="s">
        <v>3</v>
      </c>
      <c r="GV214" s="2">
        <f t="shared" si="176"/>
        <v>0</v>
      </c>
      <c r="GW214" s="2">
        <v>1</v>
      </c>
      <c r="GX214" s="2">
        <f t="shared" si="177"/>
        <v>0</v>
      </c>
      <c r="GY214" s="2"/>
      <c r="GZ214" s="2"/>
      <c r="HA214" s="2">
        <v>0</v>
      </c>
      <c r="HB214" s="2">
        <v>0</v>
      </c>
      <c r="HC214" s="2">
        <f t="shared" si="178"/>
        <v>0</v>
      </c>
      <c r="HD214" s="2"/>
      <c r="HE214" s="2" t="s">
        <v>93</v>
      </c>
      <c r="HF214" s="2" t="s">
        <v>31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>
        <v>18</v>
      </c>
      <c r="B215">
        <v>1</v>
      </c>
      <c r="C215">
        <v>288</v>
      </c>
      <c r="E215" t="s">
        <v>304</v>
      </c>
      <c r="F215" t="s">
        <v>283</v>
      </c>
      <c r="G215" t="s">
        <v>284</v>
      </c>
      <c r="H215" t="s">
        <v>222</v>
      </c>
      <c r="I215">
        <f>I213*J215</f>
        <v>20.399999999999999</v>
      </c>
      <c r="J215">
        <v>101.99999999999999</v>
      </c>
      <c r="K215">
        <v>102</v>
      </c>
      <c r="O215">
        <f t="shared" si="150"/>
        <v>1019.81</v>
      </c>
      <c r="P215">
        <f t="shared" si="179"/>
        <v>1019.81</v>
      </c>
      <c r="Q215">
        <f>(ROUND((ROUND(((ET215)*AV215*I215),2)*BB215),2)+ROUND((ROUND(((AE215-(EU215))*AV215*I215),2)*BS215),2))</f>
        <v>0</v>
      </c>
      <c r="R215">
        <f t="shared" si="151"/>
        <v>0</v>
      </c>
      <c r="S215">
        <f t="shared" si="152"/>
        <v>0</v>
      </c>
      <c r="T215">
        <f t="shared" si="153"/>
        <v>0</v>
      </c>
      <c r="U215">
        <f t="shared" si="154"/>
        <v>0</v>
      </c>
      <c r="V215">
        <f t="shared" si="155"/>
        <v>0</v>
      </c>
      <c r="W215">
        <f t="shared" si="156"/>
        <v>0</v>
      </c>
      <c r="X215">
        <f t="shared" si="157"/>
        <v>0</v>
      </c>
      <c r="Y215">
        <f t="shared" si="158"/>
        <v>0</v>
      </c>
      <c r="AA215">
        <v>59213213</v>
      </c>
      <c r="AB215">
        <f t="shared" si="159"/>
        <v>5.0599999999999996</v>
      </c>
      <c r="AC215">
        <f>ROUND((ES215),6)</f>
        <v>5.0599999999999996</v>
      </c>
      <c r="AD215">
        <f>ROUND((((ET215)-(EU215))+AE215),6)</f>
        <v>0</v>
      </c>
      <c r="AE215">
        <f>ROUND((EU215),6)</f>
        <v>0</v>
      </c>
      <c r="AF215">
        <f>ROUND((EV215),6)</f>
        <v>0</v>
      </c>
      <c r="AG215">
        <f t="shared" si="160"/>
        <v>0</v>
      </c>
      <c r="AH215">
        <f>(EW215)</f>
        <v>0</v>
      </c>
      <c r="AI215">
        <f>(EX215)</f>
        <v>0</v>
      </c>
      <c r="AJ215">
        <f t="shared" si="161"/>
        <v>0</v>
      </c>
      <c r="AK215">
        <v>5.0599999999999996</v>
      </c>
      <c r="AL215">
        <v>5.0599999999999996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97</v>
      </c>
      <c r="AU215">
        <v>51</v>
      </c>
      <c r="AV215">
        <v>1</v>
      </c>
      <c r="AW215">
        <v>1</v>
      </c>
      <c r="AZ215">
        <v>1</v>
      </c>
      <c r="BA215">
        <v>1</v>
      </c>
      <c r="BB215">
        <v>1</v>
      </c>
      <c r="BC215">
        <v>9.8800000000000008</v>
      </c>
      <c r="BD215" t="s">
        <v>3</v>
      </c>
      <c r="BE215" t="s">
        <v>3</v>
      </c>
      <c r="BF215" t="s">
        <v>3</v>
      </c>
      <c r="BG215" t="s">
        <v>3</v>
      </c>
      <c r="BH215">
        <v>3</v>
      </c>
      <c r="BI215">
        <v>2</v>
      </c>
      <c r="BJ215" t="s">
        <v>3</v>
      </c>
      <c r="BM215">
        <v>67</v>
      </c>
      <c r="BN215">
        <v>0</v>
      </c>
      <c r="BO215" t="s">
        <v>3</v>
      </c>
      <c r="BP215">
        <v>0</v>
      </c>
      <c r="BQ215">
        <v>40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 t="s">
        <v>3</v>
      </c>
      <c r="BZ215">
        <v>97</v>
      </c>
      <c r="CA215">
        <v>51</v>
      </c>
      <c r="CB215" t="s">
        <v>3</v>
      </c>
      <c r="CE215">
        <v>30</v>
      </c>
      <c r="CF215">
        <v>0</v>
      </c>
      <c r="CG215">
        <v>0</v>
      </c>
      <c r="CM215">
        <v>0</v>
      </c>
      <c r="CN215" t="s">
        <v>3</v>
      </c>
      <c r="CO215">
        <v>0</v>
      </c>
      <c r="CP215">
        <f t="shared" si="162"/>
        <v>1019.81</v>
      </c>
      <c r="CQ215">
        <f t="shared" si="180"/>
        <v>49.99</v>
      </c>
      <c r="CR215">
        <f>(ROUND((ROUND(((ET215)*AV215*1),2)*BB215),2)+ROUND((ROUND(((AE215-(EU215))*AV215*1),2)*BS215),2))</f>
        <v>0</v>
      </c>
      <c r="CS215">
        <f t="shared" si="163"/>
        <v>0</v>
      </c>
      <c r="CT215">
        <f t="shared" si="164"/>
        <v>0</v>
      </c>
      <c r="CU215">
        <f t="shared" si="165"/>
        <v>0</v>
      </c>
      <c r="CV215">
        <f t="shared" si="166"/>
        <v>0</v>
      </c>
      <c r="CW215">
        <f t="shared" si="167"/>
        <v>0</v>
      </c>
      <c r="CX215">
        <f t="shared" si="168"/>
        <v>0</v>
      </c>
      <c r="CY215">
        <f t="shared" si="169"/>
        <v>0</v>
      </c>
      <c r="CZ215">
        <f t="shared" si="170"/>
        <v>0</v>
      </c>
      <c r="DC215" t="s">
        <v>3</v>
      </c>
      <c r="DD215" t="s">
        <v>3</v>
      </c>
      <c r="DE215" t="s">
        <v>3</v>
      </c>
      <c r="DF215" t="s">
        <v>3</v>
      </c>
      <c r="DG215" t="s">
        <v>3</v>
      </c>
      <c r="DH215" t="s">
        <v>3</v>
      </c>
      <c r="DI215" t="s">
        <v>3</v>
      </c>
      <c r="DJ215" t="s">
        <v>3</v>
      </c>
      <c r="DK215" t="s">
        <v>3</v>
      </c>
      <c r="DL215" t="s">
        <v>3</v>
      </c>
      <c r="DM215" t="s">
        <v>3</v>
      </c>
      <c r="DN215">
        <v>0</v>
      </c>
      <c r="DO215">
        <v>0</v>
      </c>
      <c r="DP215">
        <v>1</v>
      </c>
      <c r="DQ215">
        <v>1</v>
      </c>
      <c r="DU215">
        <v>1003</v>
      </c>
      <c r="DV215" t="s">
        <v>222</v>
      </c>
      <c r="DW215" t="s">
        <v>222</v>
      </c>
      <c r="DX215">
        <v>1</v>
      </c>
      <c r="DZ215" t="s">
        <v>3</v>
      </c>
      <c r="EA215" t="s">
        <v>3</v>
      </c>
      <c r="EB215" t="s">
        <v>3</v>
      </c>
      <c r="EC215" t="s">
        <v>3</v>
      </c>
      <c r="EE215">
        <v>58808177</v>
      </c>
      <c r="EF215">
        <v>40</v>
      </c>
      <c r="EG215" t="s">
        <v>27</v>
      </c>
      <c r="EH215">
        <v>0</v>
      </c>
      <c r="EI215" t="s">
        <v>3</v>
      </c>
      <c r="EJ215">
        <v>2</v>
      </c>
      <c r="EK215">
        <v>67</v>
      </c>
      <c r="EL215" t="s">
        <v>217</v>
      </c>
      <c r="EM215" t="s">
        <v>218</v>
      </c>
      <c r="EO215" t="s">
        <v>3</v>
      </c>
      <c r="EQ215">
        <v>0</v>
      </c>
      <c r="ER215">
        <v>0</v>
      </c>
      <c r="ES215">
        <v>5.0599999999999996</v>
      </c>
      <c r="ET215">
        <v>0</v>
      </c>
      <c r="EU215">
        <v>0</v>
      </c>
      <c r="EV215">
        <v>0</v>
      </c>
      <c r="EW215">
        <v>0</v>
      </c>
      <c r="EX215">
        <v>0</v>
      </c>
      <c r="EZ215">
        <v>5</v>
      </c>
      <c r="FC215">
        <v>1</v>
      </c>
      <c r="FD215">
        <v>18</v>
      </c>
      <c r="FF215">
        <v>58.82</v>
      </c>
      <c r="FQ215">
        <v>0</v>
      </c>
      <c r="FR215">
        <v>0</v>
      </c>
      <c r="FS215">
        <v>0</v>
      </c>
      <c r="FX215">
        <v>97</v>
      </c>
      <c r="FY215">
        <v>51</v>
      </c>
      <c r="GA215" t="s">
        <v>285</v>
      </c>
      <c r="GD215">
        <v>1</v>
      </c>
      <c r="GF215">
        <v>-76986313</v>
      </c>
      <c r="GG215">
        <v>2</v>
      </c>
      <c r="GH215">
        <v>2</v>
      </c>
      <c r="GI215">
        <v>5</v>
      </c>
      <c r="GJ215">
        <v>0</v>
      </c>
      <c r="GK215">
        <v>0</v>
      </c>
      <c r="GL215">
        <f t="shared" si="171"/>
        <v>0</v>
      </c>
      <c r="GM215">
        <f t="shared" si="172"/>
        <v>1019.81</v>
      </c>
      <c r="GN215">
        <f t="shared" si="173"/>
        <v>0</v>
      </c>
      <c r="GO215">
        <f t="shared" si="174"/>
        <v>1019.81</v>
      </c>
      <c r="GP215">
        <f t="shared" si="175"/>
        <v>0</v>
      </c>
      <c r="GR215">
        <v>2</v>
      </c>
      <c r="GS215">
        <v>1</v>
      </c>
      <c r="GT215">
        <v>0</v>
      </c>
      <c r="GU215" t="s">
        <v>3</v>
      </c>
      <c r="GV215">
        <f t="shared" si="176"/>
        <v>0</v>
      </c>
      <c r="GW215">
        <v>1</v>
      </c>
      <c r="GX215">
        <f t="shared" si="177"/>
        <v>0</v>
      </c>
      <c r="HA215">
        <v>0</v>
      </c>
      <c r="HB215">
        <v>0</v>
      </c>
      <c r="HC215">
        <f t="shared" si="178"/>
        <v>0</v>
      </c>
      <c r="HE215" t="s">
        <v>93</v>
      </c>
      <c r="HF215" t="s">
        <v>31</v>
      </c>
      <c r="HM215" t="s">
        <v>3</v>
      </c>
      <c r="HN215" t="s">
        <v>3</v>
      </c>
      <c r="HO215" t="s">
        <v>3</v>
      </c>
      <c r="HP215" t="s">
        <v>3</v>
      </c>
      <c r="HQ215" t="s">
        <v>3</v>
      </c>
      <c r="HS215">
        <v>0</v>
      </c>
      <c r="IK215">
        <v>0</v>
      </c>
    </row>
    <row r="216" spans="1:255" x14ac:dyDescent="0.2">
      <c r="A216" s="2">
        <v>17</v>
      </c>
      <c r="B216" s="2">
        <v>1</v>
      </c>
      <c r="C216" s="2">
        <f>ROW(SmtRes!A298)</f>
        <v>298</v>
      </c>
      <c r="D216" s="2">
        <f>ROW(EtalonRes!A324)</f>
        <v>324</v>
      </c>
      <c r="E216" s="2" t="s">
        <v>305</v>
      </c>
      <c r="F216" s="2" t="s">
        <v>269</v>
      </c>
      <c r="G216" s="2" t="s">
        <v>270</v>
      </c>
      <c r="H216" s="2" t="s">
        <v>215</v>
      </c>
      <c r="I216" s="2">
        <f>ROUND(ROUND(420/100,4),9)</f>
        <v>4.2</v>
      </c>
      <c r="J216" s="2">
        <v>0</v>
      </c>
      <c r="K216" s="2">
        <f>ROUND(ROUND(420/100,4),9)</f>
        <v>4.2</v>
      </c>
      <c r="L216" s="2"/>
      <c r="M216" s="2"/>
      <c r="N216" s="2"/>
      <c r="O216" s="2">
        <f t="shared" si="150"/>
        <v>606.41</v>
      </c>
      <c r="P216" s="2">
        <f t="shared" si="179"/>
        <v>260.32</v>
      </c>
      <c r="Q216" s="2">
        <f>(ROUND((ROUND((((ET216*1.1))*AV216*I216),2)*BB216),2)+ROUND((ROUND(((AE216-((EU216*1.1)))*AV216*I216),2)*BS216),2))</f>
        <v>25.39</v>
      </c>
      <c r="R216" s="2">
        <f t="shared" si="151"/>
        <v>2.85</v>
      </c>
      <c r="S216" s="2">
        <f t="shared" si="152"/>
        <v>320.7</v>
      </c>
      <c r="T216" s="2">
        <f t="shared" si="153"/>
        <v>0</v>
      </c>
      <c r="U216" s="2">
        <f t="shared" si="154"/>
        <v>26.072184600000003</v>
      </c>
      <c r="V216" s="2">
        <f t="shared" si="155"/>
        <v>0</v>
      </c>
      <c r="W216" s="2">
        <f t="shared" si="156"/>
        <v>0</v>
      </c>
      <c r="X216" s="2">
        <f t="shared" si="157"/>
        <v>313.83999999999997</v>
      </c>
      <c r="Y216" s="2">
        <f t="shared" si="158"/>
        <v>165.01</v>
      </c>
      <c r="Z216" s="2"/>
      <c r="AA216" s="2">
        <v>59213216</v>
      </c>
      <c r="AB216" s="2">
        <f t="shared" si="159"/>
        <v>140.685</v>
      </c>
      <c r="AC216" s="2">
        <f>ROUND(((ES216*1)),6)</f>
        <v>61.98</v>
      </c>
      <c r="AD216" s="2">
        <f>ROUND(((((ET216*1.1))-((EU216*1.1)))+AE216),6)</f>
        <v>5.7750000000000004</v>
      </c>
      <c r="AE216" s="2">
        <f>ROUND(((EU216*1.1)),6)</f>
        <v>0.64900000000000002</v>
      </c>
      <c r="AF216" s="2">
        <f>ROUND(((EV216*1.1)),6)</f>
        <v>72.930000000000007</v>
      </c>
      <c r="AG216" s="2">
        <f t="shared" si="160"/>
        <v>0</v>
      </c>
      <c r="AH216" s="2">
        <f>((EW216*1.1))</f>
        <v>5.9290000000000003</v>
      </c>
      <c r="AI216" s="2">
        <f>((EX216*1.1))</f>
        <v>0</v>
      </c>
      <c r="AJ216" s="2">
        <f t="shared" si="161"/>
        <v>0</v>
      </c>
      <c r="AK216" s="2">
        <v>133.53</v>
      </c>
      <c r="AL216" s="2">
        <v>61.98</v>
      </c>
      <c r="AM216" s="2">
        <v>5.25</v>
      </c>
      <c r="AN216" s="2">
        <v>0.59</v>
      </c>
      <c r="AO216" s="2">
        <v>66.3</v>
      </c>
      <c r="AP216" s="2">
        <v>0</v>
      </c>
      <c r="AQ216" s="2">
        <v>5.39</v>
      </c>
      <c r="AR216" s="2">
        <v>0</v>
      </c>
      <c r="AS216" s="2">
        <v>0</v>
      </c>
      <c r="AT216" s="2">
        <v>97</v>
      </c>
      <c r="AU216" s="2">
        <v>51</v>
      </c>
      <c r="AV216" s="2">
        <v>1.0469999999999999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0</v>
      </c>
      <c r="BI216" s="2">
        <v>2</v>
      </c>
      <c r="BJ216" s="2" t="s">
        <v>271</v>
      </c>
      <c r="BK216" s="2"/>
      <c r="BL216" s="2"/>
      <c r="BM216" s="2">
        <v>67</v>
      </c>
      <c r="BN216" s="2">
        <v>58808062</v>
      </c>
      <c r="BO216" s="2" t="s">
        <v>269</v>
      </c>
      <c r="BP216" s="2">
        <v>1</v>
      </c>
      <c r="BQ216" s="2">
        <v>40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97</v>
      </c>
      <c r="CA216" s="2">
        <v>51</v>
      </c>
      <c r="CB216" s="2" t="s">
        <v>3</v>
      </c>
      <c r="CC216" s="2"/>
      <c r="CD216" s="2"/>
      <c r="CE216" s="2">
        <v>30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492</v>
      </c>
      <c r="CO216" s="2">
        <v>0</v>
      </c>
      <c r="CP216" s="2">
        <f t="shared" si="162"/>
        <v>606.41</v>
      </c>
      <c r="CQ216" s="2">
        <f t="shared" si="180"/>
        <v>61.98</v>
      </c>
      <c r="CR216" s="2">
        <f>(ROUND((ROUND((((ET216*1.1))*AV216*1),2)*BB216),2)+ROUND((ROUND(((AE216-((EU216*1.1)))*AV216*1),2)*BS216),2))</f>
        <v>6.05</v>
      </c>
      <c r="CS216" s="2">
        <f t="shared" si="163"/>
        <v>0.68</v>
      </c>
      <c r="CT216" s="2">
        <f t="shared" si="164"/>
        <v>76.36</v>
      </c>
      <c r="CU216" s="2">
        <f t="shared" si="165"/>
        <v>0</v>
      </c>
      <c r="CV216" s="2">
        <f t="shared" si="166"/>
        <v>6.2076630000000002</v>
      </c>
      <c r="CW216" s="2">
        <f t="shared" si="167"/>
        <v>0</v>
      </c>
      <c r="CX216" s="2">
        <f t="shared" si="168"/>
        <v>0</v>
      </c>
      <c r="CY216" s="2">
        <f t="shared" si="169"/>
        <v>313.84350000000001</v>
      </c>
      <c r="CZ216" s="2">
        <f t="shared" si="170"/>
        <v>165.01049999999998</v>
      </c>
      <c r="DA216" s="2"/>
      <c r="DB216" s="2">
        <v>55</v>
      </c>
      <c r="DC216" s="2" t="s">
        <v>3</v>
      </c>
      <c r="DD216" s="2" t="s">
        <v>25</v>
      </c>
      <c r="DE216" s="2" t="s">
        <v>26</v>
      </c>
      <c r="DF216" s="2" t="s">
        <v>26</v>
      </c>
      <c r="DG216" s="2" t="s">
        <v>26</v>
      </c>
      <c r="DH216" s="2" t="s">
        <v>3</v>
      </c>
      <c r="DI216" s="2" t="s">
        <v>26</v>
      </c>
      <c r="DJ216" s="2" t="s">
        <v>26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1003</v>
      </c>
      <c r="DV216" s="2" t="s">
        <v>215</v>
      </c>
      <c r="DW216" s="2" t="s">
        <v>215</v>
      </c>
      <c r="DX216" s="2">
        <v>100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58808177</v>
      </c>
      <c r="EF216" s="2">
        <v>40</v>
      </c>
      <c r="EG216" s="2" t="s">
        <v>27</v>
      </c>
      <c r="EH216" s="2">
        <v>0</v>
      </c>
      <c r="EI216" s="2" t="s">
        <v>3</v>
      </c>
      <c r="EJ216" s="2">
        <v>2</v>
      </c>
      <c r="EK216" s="2">
        <v>67</v>
      </c>
      <c r="EL216" s="2" t="s">
        <v>217</v>
      </c>
      <c r="EM216" s="2" t="s">
        <v>218</v>
      </c>
      <c r="EN216" s="2"/>
      <c r="EO216" s="2" t="s">
        <v>30</v>
      </c>
      <c r="EP216" s="2"/>
      <c r="EQ216" s="2">
        <v>0</v>
      </c>
      <c r="ER216" s="2">
        <v>133.53</v>
      </c>
      <c r="ES216" s="2">
        <v>61.98</v>
      </c>
      <c r="ET216" s="2">
        <v>5.25</v>
      </c>
      <c r="EU216" s="2">
        <v>0.59</v>
      </c>
      <c r="EV216" s="2">
        <v>66.3</v>
      </c>
      <c r="EW216" s="2">
        <v>5.39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97</v>
      </c>
      <c r="FY216" s="2">
        <v>51</v>
      </c>
      <c r="FZ216" s="2"/>
      <c r="GA216" s="2" t="s">
        <v>3</v>
      </c>
      <c r="GB216" s="2"/>
      <c r="GC216" s="2"/>
      <c r="GD216" s="2">
        <v>1</v>
      </c>
      <c r="GE216" s="2"/>
      <c r="GF216" s="2">
        <v>-1822715932</v>
      </c>
      <c r="GG216" s="2">
        <v>2</v>
      </c>
      <c r="GH216" s="2">
        <v>1</v>
      </c>
      <c r="GI216" s="2">
        <v>2</v>
      </c>
      <c r="GJ216" s="2">
        <v>0</v>
      </c>
      <c r="GK216" s="2">
        <v>0</v>
      </c>
      <c r="GL216" s="2">
        <f t="shared" si="171"/>
        <v>0</v>
      </c>
      <c r="GM216" s="2">
        <f t="shared" si="172"/>
        <v>1085.26</v>
      </c>
      <c r="GN216" s="2">
        <f t="shared" si="173"/>
        <v>0</v>
      </c>
      <c r="GO216" s="2">
        <f t="shared" si="174"/>
        <v>1085.26</v>
      </c>
      <c r="GP216" s="2">
        <f t="shared" si="175"/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si="176"/>
        <v>0</v>
      </c>
      <c r="GW216" s="2">
        <v>1</v>
      </c>
      <c r="GX216" s="2">
        <f t="shared" si="177"/>
        <v>0</v>
      </c>
      <c r="GY216" s="2"/>
      <c r="GZ216" s="2"/>
      <c r="HA216" s="2">
        <v>0</v>
      </c>
      <c r="HB216" s="2">
        <v>0</v>
      </c>
      <c r="HC216" s="2">
        <f t="shared" si="178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>
        <v>17</v>
      </c>
      <c r="B217">
        <v>1</v>
      </c>
      <c r="C217">
        <f>ROW(SmtRes!A308)</f>
        <v>308</v>
      </c>
      <c r="D217">
        <f>ROW(EtalonRes!A334)</f>
        <v>334</v>
      </c>
      <c r="E217" t="s">
        <v>305</v>
      </c>
      <c r="F217" t="s">
        <v>269</v>
      </c>
      <c r="G217" t="s">
        <v>270</v>
      </c>
      <c r="H217" t="s">
        <v>215</v>
      </c>
      <c r="I217">
        <f>ROUND(ROUND(420/100,4),9)</f>
        <v>4.2</v>
      </c>
      <c r="J217">
        <v>0</v>
      </c>
      <c r="K217">
        <f>ROUND(ROUND(420/100,4),9)</f>
        <v>4.2</v>
      </c>
      <c r="O217">
        <f t="shared" si="150"/>
        <v>19183.71</v>
      </c>
      <c r="P217">
        <f t="shared" si="179"/>
        <v>1179.25</v>
      </c>
      <c r="Q217">
        <f>(ROUND((ROUND((((ET217*1.1))*AV217*I217),2)*BB217),2)+ROUND((ROUND(((AE217-((EU217*1.1)))*AV217*I217),2)*BS217),2))</f>
        <v>369.17</v>
      </c>
      <c r="R217">
        <f t="shared" si="151"/>
        <v>156.72</v>
      </c>
      <c r="S217">
        <f t="shared" si="152"/>
        <v>17635.29</v>
      </c>
      <c r="T217">
        <f t="shared" si="153"/>
        <v>0</v>
      </c>
      <c r="U217">
        <f t="shared" si="154"/>
        <v>26.072184600000003</v>
      </c>
      <c r="V217">
        <f t="shared" si="155"/>
        <v>0</v>
      </c>
      <c r="W217">
        <f t="shared" si="156"/>
        <v>0</v>
      </c>
      <c r="X217">
        <f t="shared" si="157"/>
        <v>17258.25</v>
      </c>
      <c r="Y217">
        <f t="shared" si="158"/>
        <v>9073.93</v>
      </c>
      <c r="AA217">
        <v>59213213</v>
      </c>
      <c r="AB217">
        <f t="shared" si="159"/>
        <v>140.685</v>
      </c>
      <c r="AC217">
        <f>ROUND(((ES217*1)),6)</f>
        <v>61.98</v>
      </c>
      <c r="AD217">
        <f>ROUND(((((ET217*1.1))-((EU217*1.1)))+AE217),6)</f>
        <v>5.7750000000000004</v>
      </c>
      <c r="AE217">
        <f>ROUND(((EU217*1.1)),6)</f>
        <v>0.64900000000000002</v>
      </c>
      <c r="AF217">
        <f>ROUND(((EV217*1.1)),6)</f>
        <v>72.930000000000007</v>
      </c>
      <c r="AG217">
        <f t="shared" si="160"/>
        <v>0</v>
      </c>
      <c r="AH217">
        <f>((EW217*1.1))</f>
        <v>5.9290000000000003</v>
      </c>
      <c r="AI217">
        <f>((EX217*1.1))</f>
        <v>0</v>
      </c>
      <c r="AJ217">
        <f t="shared" si="161"/>
        <v>0</v>
      </c>
      <c r="AK217">
        <v>133.53</v>
      </c>
      <c r="AL217">
        <v>61.98</v>
      </c>
      <c r="AM217">
        <v>5.25</v>
      </c>
      <c r="AN217">
        <v>0.59</v>
      </c>
      <c r="AO217">
        <v>66.3</v>
      </c>
      <c r="AP217">
        <v>0</v>
      </c>
      <c r="AQ217">
        <v>5.39</v>
      </c>
      <c r="AR217">
        <v>0</v>
      </c>
      <c r="AS217">
        <v>0</v>
      </c>
      <c r="AT217">
        <v>97</v>
      </c>
      <c r="AU217">
        <v>51</v>
      </c>
      <c r="AV217">
        <v>1.0469999999999999</v>
      </c>
      <c r="AW217">
        <v>1</v>
      </c>
      <c r="AZ217">
        <v>1</v>
      </c>
      <c r="BA217">
        <v>54.99</v>
      </c>
      <c r="BB217">
        <v>14.54</v>
      </c>
      <c r="BC217">
        <v>4.53</v>
      </c>
      <c r="BD217" t="s">
        <v>3</v>
      </c>
      <c r="BE217" t="s">
        <v>3</v>
      </c>
      <c r="BF217" t="s">
        <v>3</v>
      </c>
      <c r="BG217" t="s">
        <v>3</v>
      </c>
      <c r="BH217">
        <v>0</v>
      </c>
      <c r="BI217">
        <v>2</v>
      </c>
      <c r="BJ217" t="s">
        <v>271</v>
      </c>
      <c r="BM217">
        <v>67</v>
      </c>
      <c r="BN217">
        <v>58808062</v>
      </c>
      <c r="BO217" t="s">
        <v>269</v>
      </c>
      <c r="BP217">
        <v>1</v>
      </c>
      <c r="BQ217">
        <v>40</v>
      </c>
      <c r="BR217">
        <v>0</v>
      </c>
      <c r="BS217">
        <v>54.99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97</v>
      </c>
      <c r="CA217">
        <v>51</v>
      </c>
      <c r="CB217" t="s">
        <v>3</v>
      </c>
      <c r="CE217">
        <v>30</v>
      </c>
      <c r="CF217">
        <v>0</v>
      </c>
      <c r="CG217">
        <v>0</v>
      </c>
      <c r="CM217">
        <v>0</v>
      </c>
      <c r="CN217" t="s">
        <v>492</v>
      </c>
      <c r="CO217">
        <v>0</v>
      </c>
      <c r="CP217">
        <f t="shared" si="162"/>
        <v>19183.71</v>
      </c>
      <c r="CQ217">
        <f t="shared" si="180"/>
        <v>280.77</v>
      </c>
      <c r="CR217">
        <f>(ROUND((ROUND((((ET217*1.1))*AV217*1),2)*BB217),2)+ROUND((ROUND(((AE217-((EU217*1.1)))*AV217*1),2)*BS217),2))</f>
        <v>87.97</v>
      </c>
      <c r="CS217">
        <f t="shared" si="163"/>
        <v>37.39</v>
      </c>
      <c r="CT217">
        <f t="shared" si="164"/>
        <v>4199.04</v>
      </c>
      <c r="CU217">
        <f t="shared" si="165"/>
        <v>0</v>
      </c>
      <c r="CV217">
        <f t="shared" si="166"/>
        <v>6.2076630000000002</v>
      </c>
      <c r="CW217">
        <f t="shared" si="167"/>
        <v>0</v>
      </c>
      <c r="CX217">
        <f t="shared" si="168"/>
        <v>0</v>
      </c>
      <c r="CY217">
        <f t="shared" si="169"/>
        <v>17258.2497</v>
      </c>
      <c r="CZ217">
        <f t="shared" si="170"/>
        <v>9073.9251000000004</v>
      </c>
      <c r="DB217">
        <v>56</v>
      </c>
      <c r="DC217" t="s">
        <v>3</v>
      </c>
      <c r="DD217" t="s">
        <v>25</v>
      </c>
      <c r="DE217" t="s">
        <v>26</v>
      </c>
      <c r="DF217" t="s">
        <v>26</v>
      </c>
      <c r="DG217" t="s">
        <v>26</v>
      </c>
      <c r="DH217" t="s">
        <v>3</v>
      </c>
      <c r="DI217" t="s">
        <v>26</v>
      </c>
      <c r="DJ217" t="s">
        <v>26</v>
      </c>
      <c r="DK217" t="s">
        <v>3</v>
      </c>
      <c r="DL217" t="s">
        <v>3</v>
      </c>
      <c r="DM217" t="s">
        <v>3</v>
      </c>
      <c r="DN217">
        <v>0</v>
      </c>
      <c r="DO217">
        <v>0</v>
      </c>
      <c r="DP217">
        <v>1</v>
      </c>
      <c r="DQ217">
        <v>1</v>
      </c>
      <c r="DU217">
        <v>1003</v>
      </c>
      <c r="DV217" t="s">
        <v>215</v>
      </c>
      <c r="DW217" t="s">
        <v>215</v>
      </c>
      <c r="DX217">
        <v>100</v>
      </c>
      <c r="DZ217" t="s">
        <v>3</v>
      </c>
      <c r="EA217" t="s">
        <v>3</v>
      </c>
      <c r="EB217" t="s">
        <v>3</v>
      </c>
      <c r="EC217" t="s">
        <v>3</v>
      </c>
      <c r="EE217">
        <v>58808177</v>
      </c>
      <c r="EF217">
        <v>40</v>
      </c>
      <c r="EG217" t="s">
        <v>27</v>
      </c>
      <c r="EH217">
        <v>0</v>
      </c>
      <c r="EI217" t="s">
        <v>3</v>
      </c>
      <c r="EJ217">
        <v>2</v>
      </c>
      <c r="EK217">
        <v>67</v>
      </c>
      <c r="EL217" t="s">
        <v>217</v>
      </c>
      <c r="EM217" t="s">
        <v>218</v>
      </c>
      <c r="EO217" t="s">
        <v>30</v>
      </c>
      <c r="EQ217">
        <v>0</v>
      </c>
      <c r="ER217">
        <v>133.53</v>
      </c>
      <c r="ES217">
        <v>61.98</v>
      </c>
      <c r="ET217">
        <v>5.25</v>
      </c>
      <c r="EU217">
        <v>0.59</v>
      </c>
      <c r="EV217">
        <v>66.3</v>
      </c>
      <c r="EW217">
        <v>5.39</v>
      </c>
      <c r="EX217">
        <v>0</v>
      </c>
      <c r="EY217">
        <v>0</v>
      </c>
      <c r="FQ217">
        <v>0</v>
      </c>
      <c r="FR217">
        <v>0</v>
      </c>
      <c r="FS217">
        <v>0</v>
      </c>
      <c r="FX217">
        <v>97</v>
      </c>
      <c r="FY217">
        <v>51</v>
      </c>
      <c r="GA217" t="s">
        <v>3</v>
      </c>
      <c r="GD217">
        <v>1</v>
      </c>
      <c r="GF217">
        <v>-1822715932</v>
      </c>
      <c r="GG217">
        <v>2</v>
      </c>
      <c r="GH217">
        <v>1</v>
      </c>
      <c r="GI217">
        <v>2</v>
      </c>
      <c r="GJ217">
        <v>0</v>
      </c>
      <c r="GK217">
        <v>0</v>
      </c>
      <c r="GL217">
        <f t="shared" si="171"/>
        <v>0</v>
      </c>
      <c r="GM217">
        <f t="shared" si="172"/>
        <v>45515.89</v>
      </c>
      <c r="GN217">
        <f t="shared" si="173"/>
        <v>0</v>
      </c>
      <c r="GO217">
        <f t="shared" si="174"/>
        <v>45515.89</v>
      </c>
      <c r="GP217">
        <f t="shared" si="175"/>
        <v>0</v>
      </c>
      <c r="GR217">
        <v>0</v>
      </c>
      <c r="GS217">
        <v>3</v>
      </c>
      <c r="GT217">
        <v>0</v>
      </c>
      <c r="GU217" t="s">
        <v>3</v>
      </c>
      <c r="GV217">
        <f t="shared" si="176"/>
        <v>0</v>
      </c>
      <c r="GW217">
        <v>1</v>
      </c>
      <c r="GX217">
        <f t="shared" si="177"/>
        <v>0</v>
      </c>
      <c r="HA217">
        <v>0</v>
      </c>
      <c r="HB217">
        <v>0</v>
      </c>
      <c r="HC217">
        <f t="shared" si="178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2">
      <c r="A218" s="2">
        <v>18</v>
      </c>
      <c r="B218" s="2">
        <v>1</v>
      </c>
      <c r="C218" s="2">
        <v>298</v>
      </c>
      <c r="D218" s="2"/>
      <c r="E218" s="2" t="s">
        <v>306</v>
      </c>
      <c r="F218" s="2" t="s">
        <v>307</v>
      </c>
      <c r="G218" s="2" t="s">
        <v>308</v>
      </c>
      <c r="H218" s="2" t="s">
        <v>222</v>
      </c>
      <c r="I218" s="2">
        <f>I216*J218</f>
        <v>428.4</v>
      </c>
      <c r="J218" s="2">
        <v>101.99999999999999</v>
      </c>
      <c r="K218" s="2">
        <v>102</v>
      </c>
      <c r="L218" s="2"/>
      <c r="M218" s="2"/>
      <c r="N218" s="2"/>
      <c r="O218" s="2">
        <f t="shared" si="150"/>
        <v>7792.6</v>
      </c>
      <c r="P218" s="2">
        <f t="shared" si="179"/>
        <v>7792.6</v>
      </c>
      <c r="Q218" s="2">
        <f>(ROUND((ROUND(((ET218)*AV218*I218),2)*BB218),2)+ROUND((ROUND(((AE218-(EU218))*AV218*I218),2)*BS218),2))</f>
        <v>0</v>
      </c>
      <c r="R218" s="2">
        <f t="shared" si="151"/>
        <v>0</v>
      </c>
      <c r="S218" s="2">
        <f t="shared" si="152"/>
        <v>0</v>
      </c>
      <c r="T218" s="2">
        <f t="shared" si="153"/>
        <v>0</v>
      </c>
      <c r="U218" s="2">
        <f t="shared" si="154"/>
        <v>0</v>
      </c>
      <c r="V218" s="2">
        <f t="shared" si="155"/>
        <v>0</v>
      </c>
      <c r="W218" s="2">
        <f t="shared" si="156"/>
        <v>0</v>
      </c>
      <c r="X218" s="2">
        <f t="shared" si="157"/>
        <v>0</v>
      </c>
      <c r="Y218" s="2">
        <f t="shared" si="158"/>
        <v>0</v>
      </c>
      <c r="Z218" s="2"/>
      <c r="AA218" s="2">
        <v>59213216</v>
      </c>
      <c r="AB218" s="2">
        <f t="shared" si="159"/>
        <v>18.190000000000001</v>
      </c>
      <c r="AC218" s="2">
        <f>ROUND((ES218),6)</f>
        <v>18.190000000000001</v>
      </c>
      <c r="AD218" s="2">
        <f>ROUND((((ET218)-(EU218))+AE218),6)</f>
        <v>0</v>
      </c>
      <c r="AE218" s="2">
        <f t="shared" ref="AE218:AF221" si="183">ROUND((EU218),6)</f>
        <v>0</v>
      </c>
      <c r="AF218" s="2">
        <f t="shared" si="183"/>
        <v>0</v>
      </c>
      <c r="AG218" s="2">
        <f t="shared" si="160"/>
        <v>0</v>
      </c>
      <c r="AH218" s="2">
        <f t="shared" ref="AH218:AI221" si="184">(EW218)</f>
        <v>0</v>
      </c>
      <c r="AI218" s="2">
        <f t="shared" si="184"/>
        <v>0</v>
      </c>
      <c r="AJ218" s="2">
        <f t="shared" si="161"/>
        <v>0</v>
      </c>
      <c r="AK218" s="2">
        <v>18.189999999999998</v>
      </c>
      <c r="AL218" s="2">
        <v>18.189999999999998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97</v>
      </c>
      <c r="AU218" s="2">
        <v>51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3</v>
      </c>
      <c r="BK218" s="2"/>
      <c r="BL218" s="2"/>
      <c r="BM218" s="2">
        <v>67</v>
      </c>
      <c r="BN218" s="2">
        <v>0</v>
      </c>
      <c r="BO218" s="2" t="s">
        <v>3</v>
      </c>
      <c r="BP218" s="2">
        <v>0</v>
      </c>
      <c r="BQ218" s="2">
        <v>40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97</v>
      </c>
      <c r="CA218" s="2">
        <v>51</v>
      </c>
      <c r="CB218" s="2" t="s">
        <v>3</v>
      </c>
      <c r="CC218" s="2"/>
      <c r="CD218" s="2"/>
      <c r="CE218" s="2">
        <v>30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62"/>
        <v>7792.6</v>
      </c>
      <c r="CQ218" s="2">
        <f t="shared" si="180"/>
        <v>18.190000000000001</v>
      </c>
      <c r="CR218" s="2">
        <f>(ROUND((ROUND(((ET218)*AV218*1),2)*BB218),2)+ROUND((ROUND(((AE218-(EU218))*AV218*1),2)*BS218),2))</f>
        <v>0</v>
      </c>
      <c r="CS218" s="2">
        <f t="shared" si="163"/>
        <v>0</v>
      </c>
      <c r="CT218" s="2">
        <f t="shared" si="164"/>
        <v>0</v>
      </c>
      <c r="CU218" s="2">
        <f t="shared" si="165"/>
        <v>0</v>
      </c>
      <c r="CV218" s="2">
        <f t="shared" si="166"/>
        <v>0</v>
      </c>
      <c r="CW218" s="2">
        <f t="shared" si="167"/>
        <v>0</v>
      </c>
      <c r="CX218" s="2">
        <f t="shared" si="168"/>
        <v>0</v>
      </c>
      <c r="CY218" s="2">
        <f t="shared" si="169"/>
        <v>0</v>
      </c>
      <c r="CZ218" s="2">
        <f t="shared" si="170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1003</v>
      </c>
      <c r="DV218" s="2" t="s">
        <v>222</v>
      </c>
      <c r="DW218" s="2" t="s">
        <v>222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58808177</v>
      </c>
      <c r="EF218" s="2">
        <v>40</v>
      </c>
      <c r="EG218" s="2" t="s">
        <v>27</v>
      </c>
      <c r="EH218" s="2">
        <v>0</v>
      </c>
      <c r="EI218" s="2" t="s">
        <v>3</v>
      </c>
      <c r="EJ218" s="2">
        <v>2</v>
      </c>
      <c r="EK218" s="2">
        <v>67</v>
      </c>
      <c r="EL218" s="2" t="s">
        <v>217</v>
      </c>
      <c r="EM218" s="2" t="s">
        <v>218</v>
      </c>
      <c r="EN218" s="2"/>
      <c r="EO218" s="2" t="s">
        <v>3</v>
      </c>
      <c r="EP218" s="2"/>
      <c r="EQ218" s="2">
        <v>0</v>
      </c>
      <c r="ER218" s="2">
        <v>0</v>
      </c>
      <c r="ES218" s="2">
        <v>18.189999999999998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97</v>
      </c>
      <c r="FY218" s="2">
        <v>51</v>
      </c>
      <c r="FZ218" s="2"/>
      <c r="GA218" s="2" t="s">
        <v>309</v>
      </c>
      <c r="GB218" s="2"/>
      <c r="GC218" s="2"/>
      <c r="GD218" s="2">
        <v>1</v>
      </c>
      <c r="GE218" s="2"/>
      <c r="GF218" s="2">
        <v>-1715869231</v>
      </c>
      <c r="GG218" s="2">
        <v>2</v>
      </c>
      <c r="GH218" s="2">
        <v>4</v>
      </c>
      <c r="GI218" s="2">
        <v>0</v>
      </c>
      <c r="GJ218" s="2">
        <v>0</v>
      </c>
      <c r="GK218" s="2">
        <v>0</v>
      </c>
      <c r="GL218" s="2">
        <f t="shared" si="171"/>
        <v>0</v>
      </c>
      <c r="GM218" s="2">
        <f t="shared" si="172"/>
        <v>7792.6</v>
      </c>
      <c r="GN218" s="2">
        <f t="shared" si="173"/>
        <v>0</v>
      </c>
      <c r="GO218" s="2">
        <f t="shared" si="174"/>
        <v>7792.6</v>
      </c>
      <c r="GP218" s="2">
        <f t="shared" si="175"/>
        <v>0</v>
      </c>
      <c r="GQ218" s="2"/>
      <c r="GR218" s="2">
        <v>0</v>
      </c>
      <c r="GS218" s="2">
        <v>2</v>
      </c>
      <c r="GT218" s="2">
        <v>0</v>
      </c>
      <c r="GU218" s="2" t="s">
        <v>3</v>
      </c>
      <c r="GV218" s="2">
        <f t="shared" si="176"/>
        <v>0</v>
      </c>
      <c r="GW218" s="2">
        <v>1</v>
      </c>
      <c r="GX218" s="2">
        <f t="shared" si="177"/>
        <v>0</v>
      </c>
      <c r="GY218" s="2"/>
      <c r="GZ218" s="2"/>
      <c r="HA218" s="2">
        <v>0</v>
      </c>
      <c r="HB218" s="2">
        <v>0</v>
      </c>
      <c r="HC218" s="2">
        <f t="shared" si="178"/>
        <v>0</v>
      </c>
      <c r="HD218" s="2"/>
      <c r="HE218" s="2" t="s">
        <v>93</v>
      </c>
      <c r="HF218" s="2" t="s">
        <v>31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>
        <v>18</v>
      </c>
      <c r="B219">
        <v>1</v>
      </c>
      <c r="C219">
        <v>308</v>
      </c>
      <c r="E219" t="s">
        <v>306</v>
      </c>
      <c r="F219" t="s">
        <v>307</v>
      </c>
      <c r="G219" t="s">
        <v>308</v>
      </c>
      <c r="H219" t="s">
        <v>222</v>
      </c>
      <c r="I219">
        <f>I217*J219</f>
        <v>428.4</v>
      </c>
      <c r="J219">
        <v>101.99999999999999</v>
      </c>
      <c r="K219">
        <v>102</v>
      </c>
      <c r="O219">
        <f t="shared" si="150"/>
        <v>76990.89</v>
      </c>
      <c r="P219">
        <f t="shared" si="179"/>
        <v>76990.89</v>
      </c>
      <c r="Q219">
        <f>(ROUND((ROUND(((ET219)*AV219*I219),2)*BB219),2)+ROUND((ROUND(((AE219-(EU219))*AV219*I219),2)*BS219),2))</f>
        <v>0</v>
      </c>
      <c r="R219">
        <f t="shared" si="151"/>
        <v>0</v>
      </c>
      <c r="S219">
        <f t="shared" si="152"/>
        <v>0</v>
      </c>
      <c r="T219">
        <f t="shared" si="153"/>
        <v>0</v>
      </c>
      <c r="U219">
        <f t="shared" si="154"/>
        <v>0</v>
      </c>
      <c r="V219">
        <f t="shared" si="155"/>
        <v>0</v>
      </c>
      <c r="W219">
        <f t="shared" si="156"/>
        <v>0</v>
      </c>
      <c r="X219">
        <f t="shared" si="157"/>
        <v>0</v>
      </c>
      <c r="Y219">
        <f t="shared" si="158"/>
        <v>0</v>
      </c>
      <c r="AA219">
        <v>59213213</v>
      </c>
      <c r="AB219">
        <f t="shared" si="159"/>
        <v>18.190000000000001</v>
      </c>
      <c r="AC219">
        <f>ROUND((ES219),6)</f>
        <v>18.190000000000001</v>
      </c>
      <c r="AD219">
        <f>ROUND((((ET219)-(EU219))+AE219),6)</f>
        <v>0</v>
      </c>
      <c r="AE219">
        <f t="shared" si="183"/>
        <v>0</v>
      </c>
      <c r="AF219">
        <f t="shared" si="183"/>
        <v>0</v>
      </c>
      <c r="AG219">
        <f t="shared" si="160"/>
        <v>0</v>
      </c>
      <c r="AH219">
        <f t="shared" si="184"/>
        <v>0</v>
      </c>
      <c r="AI219">
        <f t="shared" si="184"/>
        <v>0</v>
      </c>
      <c r="AJ219">
        <f t="shared" si="161"/>
        <v>0</v>
      </c>
      <c r="AK219">
        <v>18.189999999999998</v>
      </c>
      <c r="AL219">
        <v>18.189999999999998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97</v>
      </c>
      <c r="AU219">
        <v>51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9.8800000000000008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2</v>
      </c>
      <c r="BJ219" t="s">
        <v>3</v>
      </c>
      <c r="BM219">
        <v>67</v>
      </c>
      <c r="BN219">
        <v>0</v>
      </c>
      <c r="BO219" t="s">
        <v>3</v>
      </c>
      <c r="BP219">
        <v>0</v>
      </c>
      <c r="BQ219">
        <v>40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97</v>
      </c>
      <c r="CA219">
        <v>51</v>
      </c>
      <c r="CB219" t="s">
        <v>3</v>
      </c>
      <c r="CE219">
        <v>30</v>
      </c>
      <c r="CF219">
        <v>0</v>
      </c>
      <c r="CG219">
        <v>0</v>
      </c>
      <c r="CM219">
        <v>0</v>
      </c>
      <c r="CN219" t="s">
        <v>3</v>
      </c>
      <c r="CO219">
        <v>0</v>
      </c>
      <c r="CP219">
        <f t="shared" si="162"/>
        <v>76990.89</v>
      </c>
      <c r="CQ219">
        <f t="shared" si="180"/>
        <v>179.72</v>
      </c>
      <c r="CR219">
        <f>(ROUND((ROUND(((ET219)*AV219*1),2)*BB219),2)+ROUND((ROUND(((AE219-(EU219))*AV219*1),2)*BS219),2))</f>
        <v>0</v>
      </c>
      <c r="CS219">
        <f t="shared" si="163"/>
        <v>0</v>
      </c>
      <c r="CT219">
        <f t="shared" si="164"/>
        <v>0</v>
      </c>
      <c r="CU219">
        <f t="shared" si="165"/>
        <v>0</v>
      </c>
      <c r="CV219">
        <f t="shared" si="166"/>
        <v>0</v>
      </c>
      <c r="CW219">
        <f t="shared" si="167"/>
        <v>0</v>
      </c>
      <c r="CX219">
        <f t="shared" si="168"/>
        <v>0</v>
      </c>
      <c r="CY219">
        <f t="shared" si="169"/>
        <v>0</v>
      </c>
      <c r="CZ219">
        <f t="shared" si="170"/>
        <v>0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  <c r="DN219">
        <v>0</v>
      </c>
      <c r="DO219">
        <v>0</v>
      </c>
      <c r="DP219">
        <v>1</v>
      </c>
      <c r="DQ219">
        <v>1</v>
      </c>
      <c r="DU219">
        <v>1003</v>
      </c>
      <c r="DV219" t="s">
        <v>222</v>
      </c>
      <c r="DW219" t="s">
        <v>222</v>
      </c>
      <c r="DX219">
        <v>1</v>
      </c>
      <c r="DZ219" t="s">
        <v>3</v>
      </c>
      <c r="EA219" t="s">
        <v>3</v>
      </c>
      <c r="EB219" t="s">
        <v>3</v>
      </c>
      <c r="EC219" t="s">
        <v>3</v>
      </c>
      <c r="EE219">
        <v>58808177</v>
      </c>
      <c r="EF219">
        <v>40</v>
      </c>
      <c r="EG219" t="s">
        <v>27</v>
      </c>
      <c r="EH219">
        <v>0</v>
      </c>
      <c r="EI219" t="s">
        <v>3</v>
      </c>
      <c r="EJ219">
        <v>2</v>
      </c>
      <c r="EK219">
        <v>67</v>
      </c>
      <c r="EL219" t="s">
        <v>217</v>
      </c>
      <c r="EM219" t="s">
        <v>218</v>
      </c>
      <c r="EO219" t="s">
        <v>3</v>
      </c>
      <c r="EQ219">
        <v>0</v>
      </c>
      <c r="ER219">
        <v>18.189999999999998</v>
      </c>
      <c r="ES219">
        <v>18.189999999999998</v>
      </c>
      <c r="ET219">
        <v>0</v>
      </c>
      <c r="EU219">
        <v>0</v>
      </c>
      <c r="EV219">
        <v>0</v>
      </c>
      <c r="EW219">
        <v>0</v>
      </c>
      <c r="EX219">
        <v>0</v>
      </c>
      <c r="EZ219">
        <v>5</v>
      </c>
      <c r="FC219">
        <v>1</v>
      </c>
      <c r="FD219">
        <v>18</v>
      </c>
      <c r="FF219">
        <v>211.39</v>
      </c>
      <c r="FQ219">
        <v>0</v>
      </c>
      <c r="FR219">
        <v>0</v>
      </c>
      <c r="FS219">
        <v>0</v>
      </c>
      <c r="FX219">
        <v>97</v>
      </c>
      <c r="FY219">
        <v>51</v>
      </c>
      <c r="GA219" t="s">
        <v>309</v>
      </c>
      <c r="GD219">
        <v>1</v>
      </c>
      <c r="GF219">
        <v>-1715869231</v>
      </c>
      <c r="GG219">
        <v>2</v>
      </c>
      <c r="GH219">
        <v>3</v>
      </c>
      <c r="GI219">
        <v>5</v>
      </c>
      <c r="GJ219">
        <v>0</v>
      </c>
      <c r="GK219">
        <v>0</v>
      </c>
      <c r="GL219">
        <f t="shared" si="171"/>
        <v>0</v>
      </c>
      <c r="GM219">
        <f t="shared" si="172"/>
        <v>76990.89</v>
      </c>
      <c r="GN219">
        <f t="shared" si="173"/>
        <v>0</v>
      </c>
      <c r="GO219">
        <f t="shared" si="174"/>
        <v>76990.89</v>
      </c>
      <c r="GP219">
        <f t="shared" si="175"/>
        <v>0</v>
      </c>
      <c r="GR219">
        <v>1</v>
      </c>
      <c r="GS219">
        <v>1</v>
      </c>
      <c r="GT219">
        <v>0</v>
      </c>
      <c r="GU219" t="s">
        <v>3</v>
      </c>
      <c r="GV219">
        <f t="shared" si="176"/>
        <v>0</v>
      </c>
      <c r="GW219">
        <v>1</v>
      </c>
      <c r="GX219">
        <f t="shared" si="177"/>
        <v>0</v>
      </c>
      <c r="HA219">
        <v>0</v>
      </c>
      <c r="HB219">
        <v>0</v>
      </c>
      <c r="HC219">
        <f t="shared" si="178"/>
        <v>0</v>
      </c>
      <c r="HE219" t="s">
        <v>93</v>
      </c>
      <c r="HF219" t="s">
        <v>31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310</v>
      </c>
      <c r="F220" s="2" t="s">
        <v>311</v>
      </c>
      <c r="G220" s="2" t="s">
        <v>312</v>
      </c>
      <c r="H220" s="2" t="s">
        <v>34</v>
      </c>
      <c r="I220" s="2">
        <f>ROUND(ROUND(9,4),9)</f>
        <v>9</v>
      </c>
      <c r="J220" s="2">
        <v>0</v>
      </c>
      <c r="K220" s="2">
        <f>ROUND(ROUND(9,4),9)</f>
        <v>9</v>
      </c>
      <c r="L220" s="2"/>
      <c r="M220" s="2"/>
      <c r="N220" s="2"/>
      <c r="O220" s="2">
        <f t="shared" si="150"/>
        <v>362.7</v>
      </c>
      <c r="P220" s="2">
        <f>ROUND((ROUND((AC220*I220),2)*BC220),2)</f>
        <v>362.7</v>
      </c>
      <c r="Q220" s="2">
        <f>(ROUND((ROUND(((ET220)*AV220*I220),2)*BB220),2)+ROUND((ROUND(((AE220-(EU220))*AV220*I220),2)*BS220),2))</f>
        <v>0</v>
      </c>
      <c r="R220" s="2">
        <f t="shared" si="151"/>
        <v>0</v>
      </c>
      <c r="S220" s="2">
        <f t="shared" si="152"/>
        <v>0</v>
      </c>
      <c r="T220" s="2">
        <f t="shared" si="153"/>
        <v>0</v>
      </c>
      <c r="U220" s="2">
        <f t="shared" si="154"/>
        <v>0</v>
      </c>
      <c r="V220" s="2">
        <f t="shared" si="155"/>
        <v>0</v>
      </c>
      <c r="W220" s="2">
        <f t="shared" si="156"/>
        <v>0</v>
      </c>
      <c r="X220" s="2">
        <f t="shared" si="157"/>
        <v>0</v>
      </c>
      <c r="Y220" s="2">
        <f t="shared" si="158"/>
        <v>0</v>
      </c>
      <c r="Z220" s="2"/>
      <c r="AA220" s="2">
        <v>59213216</v>
      </c>
      <c r="AB220" s="2">
        <f t="shared" si="159"/>
        <v>40.299999999999997</v>
      </c>
      <c r="AC220" s="2">
        <f>ROUND((ES220),6)</f>
        <v>40.299999999999997</v>
      </c>
      <c r="AD220" s="2">
        <f>ROUND((((ET220)-(EU220))+AE220),6)</f>
        <v>0</v>
      </c>
      <c r="AE220" s="2">
        <f t="shared" si="183"/>
        <v>0</v>
      </c>
      <c r="AF220" s="2">
        <f t="shared" si="183"/>
        <v>0</v>
      </c>
      <c r="AG220" s="2">
        <f t="shared" si="160"/>
        <v>0</v>
      </c>
      <c r="AH220" s="2">
        <f t="shared" si="184"/>
        <v>0</v>
      </c>
      <c r="AI220" s="2">
        <f t="shared" si="184"/>
        <v>0</v>
      </c>
      <c r="AJ220" s="2">
        <f t="shared" si="161"/>
        <v>0</v>
      </c>
      <c r="AK220" s="2">
        <v>40.299999999999997</v>
      </c>
      <c r="AL220" s="2">
        <v>40.299999999999997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3</v>
      </c>
      <c r="BJ220" s="2" t="s">
        <v>3</v>
      </c>
      <c r="BK220" s="2"/>
      <c r="BL220" s="2"/>
      <c r="BM220" s="2">
        <v>746</v>
      </c>
      <c r="BN220" s="2">
        <v>58808062</v>
      </c>
      <c r="BO220" s="2" t="s">
        <v>3</v>
      </c>
      <c r="BP220" s="2">
        <v>0</v>
      </c>
      <c r="BQ220" s="2">
        <v>130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30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162"/>
        <v>362.7</v>
      </c>
      <c r="CQ220" s="2">
        <f>ROUND((ROUND((AC220*1),2)*BC220),2)</f>
        <v>40.299999999999997</v>
      </c>
      <c r="CR220" s="2">
        <f>(ROUND((ROUND(((ET220)*AV220*1),2)*BB220),2)+ROUND((ROUND(((AE220-(EU220))*AV220*1),2)*BS220),2))</f>
        <v>0</v>
      </c>
      <c r="CS220" s="2">
        <f t="shared" si="163"/>
        <v>0</v>
      </c>
      <c r="CT220" s="2">
        <f t="shared" si="164"/>
        <v>0</v>
      </c>
      <c r="CU220" s="2">
        <f t="shared" si="165"/>
        <v>0</v>
      </c>
      <c r="CV220" s="2">
        <f t="shared" si="166"/>
        <v>0</v>
      </c>
      <c r="CW220" s="2">
        <f t="shared" si="167"/>
        <v>0</v>
      </c>
      <c r="CX220" s="2">
        <f t="shared" si="168"/>
        <v>0</v>
      </c>
      <c r="CY220" s="2">
        <f t="shared" si="169"/>
        <v>0</v>
      </c>
      <c r="CZ220" s="2">
        <f t="shared" si="170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34</v>
      </c>
      <c r="DW220" s="2" t="s">
        <v>34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58808284</v>
      </c>
      <c r="EF220" s="2">
        <v>130</v>
      </c>
      <c r="EG220" s="2" t="s">
        <v>35</v>
      </c>
      <c r="EH220" s="2">
        <v>0</v>
      </c>
      <c r="EI220" s="2" t="s">
        <v>3</v>
      </c>
      <c r="EJ220" s="2">
        <v>3</v>
      </c>
      <c r="EK220" s="2">
        <v>746</v>
      </c>
      <c r="EL220" s="2" t="s">
        <v>36</v>
      </c>
      <c r="EM220" s="2" t="s">
        <v>37</v>
      </c>
      <c r="EN220" s="2"/>
      <c r="EO220" s="2" t="s">
        <v>3</v>
      </c>
      <c r="EP220" s="2"/>
      <c r="EQ220" s="2">
        <v>0</v>
      </c>
      <c r="ER220" s="2">
        <v>40.299999999999997</v>
      </c>
      <c r="ES220" s="2">
        <v>40.299999999999997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f>P220</f>
        <v>362.7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1</v>
      </c>
      <c r="GE220" s="2"/>
      <c r="GF220" s="2">
        <v>191091125</v>
      </c>
      <c r="GG220" s="2">
        <v>2</v>
      </c>
      <c r="GH220" s="2">
        <v>1</v>
      </c>
      <c r="GI220" s="2">
        <v>-2</v>
      </c>
      <c r="GJ220" s="2">
        <v>0</v>
      </c>
      <c r="GK220" s="2">
        <v>0</v>
      </c>
      <c r="GL220" s="2">
        <f t="shared" si="171"/>
        <v>0</v>
      </c>
      <c r="GM220" s="2">
        <f t="shared" si="172"/>
        <v>362.7</v>
      </c>
      <c r="GN220" s="2">
        <f t="shared" si="173"/>
        <v>0</v>
      </c>
      <c r="GO220" s="2">
        <f t="shared" si="174"/>
        <v>0</v>
      </c>
      <c r="GP220" s="2">
        <f t="shared" si="175"/>
        <v>0</v>
      </c>
      <c r="GQ220" s="2"/>
      <c r="GR220" s="2">
        <v>0</v>
      </c>
      <c r="GS220" s="2">
        <v>3</v>
      </c>
      <c r="GT220" s="2">
        <v>0</v>
      </c>
      <c r="GU220" s="2" t="s">
        <v>3</v>
      </c>
      <c r="GV220" s="2">
        <f t="shared" si="176"/>
        <v>0</v>
      </c>
      <c r="GW220" s="2">
        <v>1</v>
      </c>
      <c r="GX220" s="2">
        <f t="shared" si="177"/>
        <v>0</v>
      </c>
      <c r="GY220" s="2"/>
      <c r="GZ220" s="2"/>
      <c r="HA220" s="2">
        <v>0</v>
      </c>
      <c r="HB220" s="2">
        <v>0</v>
      </c>
      <c r="HC220" s="2">
        <f t="shared" si="178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>
        <v>17</v>
      </c>
      <c r="B221">
        <v>1</v>
      </c>
      <c r="E221" t="s">
        <v>310</v>
      </c>
      <c r="F221" t="s">
        <v>311</v>
      </c>
      <c r="G221" t="s">
        <v>312</v>
      </c>
      <c r="H221" t="s">
        <v>34</v>
      </c>
      <c r="I221">
        <f>ROUND(ROUND(9,4),9)</f>
        <v>9</v>
      </c>
      <c r="J221">
        <v>0</v>
      </c>
      <c r="K221">
        <f>ROUND(ROUND(9,4),9)</f>
        <v>9</v>
      </c>
      <c r="O221">
        <f t="shared" si="150"/>
        <v>2847.2</v>
      </c>
      <c r="P221">
        <f>ROUND((ROUND((AC221*I221),2)*BC221),2)</f>
        <v>2847.2</v>
      </c>
      <c r="Q221">
        <f>(ROUND((ROUND(((ET221)*AV221*I221),2)*BB221),2)+ROUND((ROUND(((AE221-(EU221))*AV221*I221),2)*BS221),2))</f>
        <v>0</v>
      </c>
      <c r="R221">
        <f t="shared" si="151"/>
        <v>0</v>
      </c>
      <c r="S221">
        <f t="shared" si="152"/>
        <v>0</v>
      </c>
      <c r="T221">
        <f t="shared" si="153"/>
        <v>0</v>
      </c>
      <c r="U221">
        <f t="shared" si="154"/>
        <v>0</v>
      </c>
      <c r="V221">
        <f t="shared" si="155"/>
        <v>0</v>
      </c>
      <c r="W221">
        <f t="shared" si="156"/>
        <v>0</v>
      </c>
      <c r="X221">
        <f t="shared" si="157"/>
        <v>0</v>
      </c>
      <c r="Y221">
        <f t="shared" si="158"/>
        <v>0</v>
      </c>
      <c r="AA221">
        <v>59213213</v>
      </c>
      <c r="AB221">
        <f t="shared" si="159"/>
        <v>40.299999999999997</v>
      </c>
      <c r="AC221">
        <f>ROUND((ES221),6)</f>
        <v>40.299999999999997</v>
      </c>
      <c r="AD221">
        <f>ROUND((((ET221)-(EU221))+AE221),6)</f>
        <v>0</v>
      </c>
      <c r="AE221">
        <f t="shared" si="183"/>
        <v>0</v>
      </c>
      <c r="AF221">
        <f t="shared" si="183"/>
        <v>0</v>
      </c>
      <c r="AG221">
        <f t="shared" si="160"/>
        <v>0</v>
      </c>
      <c r="AH221">
        <f t="shared" si="184"/>
        <v>0</v>
      </c>
      <c r="AI221">
        <f t="shared" si="184"/>
        <v>0</v>
      </c>
      <c r="AJ221">
        <f t="shared" si="161"/>
        <v>0</v>
      </c>
      <c r="AK221">
        <v>40.299999999999997</v>
      </c>
      <c r="AL221">
        <v>40.299999999999997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Z221">
        <v>1</v>
      </c>
      <c r="BA221">
        <v>1</v>
      </c>
      <c r="BB221">
        <v>1</v>
      </c>
      <c r="BC221">
        <v>7.85</v>
      </c>
      <c r="BD221" t="s">
        <v>3</v>
      </c>
      <c r="BE221" t="s">
        <v>3</v>
      </c>
      <c r="BF221" t="s">
        <v>3</v>
      </c>
      <c r="BG221" t="s">
        <v>3</v>
      </c>
      <c r="BH221">
        <v>3</v>
      </c>
      <c r="BI221">
        <v>3</v>
      </c>
      <c r="BJ221" t="s">
        <v>3</v>
      </c>
      <c r="BM221">
        <v>746</v>
      </c>
      <c r="BN221">
        <v>58808062</v>
      </c>
      <c r="BO221" t="s">
        <v>3</v>
      </c>
      <c r="BP221">
        <v>0</v>
      </c>
      <c r="BQ221">
        <v>130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 t="s">
        <v>3</v>
      </c>
      <c r="BZ221">
        <v>0</v>
      </c>
      <c r="CA221">
        <v>0</v>
      </c>
      <c r="CB221" t="s">
        <v>3</v>
      </c>
      <c r="CE221">
        <v>30</v>
      </c>
      <c r="CF221">
        <v>0</v>
      </c>
      <c r="CG221">
        <v>0</v>
      </c>
      <c r="CM221">
        <v>0</v>
      </c>
      <c r="CN221" t="s">
        <v>3</v>
      </c>
      <c r="CO221">
        <v>0</v>
      </c>
      <c r="CP221">
        <f t="shared" si="162"/>
        <v>2847.2</v>
      </c>
      <c r="CQ221">
        <f>ROUND((ROUND((AC221*1),2)*BC221),2)</f>
        <v>316.36</v>
      </c>
      <c r="CR221">
        <f>(ROUND((ROUND(((ET221)*AV221*1),2)*BB221),2)+ROUND((ROUND(((AE221-(EU221))*AV221*1),2)*BS221),2))</f>
        <v>0</v>
      </c>
      <c r="CS221">
        <f t="shared" si="163"/>
        <v>0</v>
      </c>
      <c r="CT221">
        <f t="shared" si="164"/>
        <v>0</v>
      </c>
      <c r="CU221">
        <f t="shared" si="165"/>
        <v>0</v>
      </c>
      <c r="CV221">
        <f t="shared" si="166"/>
        <v>0</v>
      </c>
      <c r="CW221">
        <f t="shared" si="167"/>
        <v>0</v>
      </c>
      <c r="CX221">
        <f t="shared" si="168"/>
        <v>0</v>
      </c>
      <c r="CY221">
        <f t="shared" si="169"/>
        <v>0</v>
      </c>
      <c r="CZ221">
        <f t="shared" si="170"/>
        <v>0</v>
      </c>
      <c r="DC221" t="s">
        <v>3</v>
      </c>
      <c r="DD221" t="s">
        <v>3</v>
      </c>
      <c r="DE221" t="s">
        <v>3</v>
      </c>
      <c r="DF221" t="s">
        <v>3</v>
      </c>
      <c r="DG221" t="s">
        <v>3</v>
      </c>
      <c r="DH221" t="s">
        <v>3</v>
      </c>
      <c r="DI221" t="s">
        <v>3</v>
      </c>
      <c r="DJ221" t="s">
        <v>3</v>
      </c>
      <c r="DK221" t="s">
        <v>3</v>
      </c>
      <c r="DL221" t="s">
        <v>3</v>
      </c>
      <c r="DM221" t="s">
        <v>3</v>
      </c>
      <c r="DN221">
        <v>0</v>
      </c>
      <c r="DO221">
        <v>0</v>
      </c>
      <c r="DP221">
        <v>1</v>
      </c>
      <c r="DQ221">
        <v>1</v>
      </c>
      <c r="DU221">
        <v>1010</v>
      </c>
      <c r="DV221" t="s">
        <v>34</v>
      </c>
      <c r="DW221" t="s">
        <v>34</v>
      </c>
      <c r="DX221">
        <v>1</v>
      </c>
      <c r="DZ221" t="s">
        <v>3</v>
      </c>
      <c r="EA221" t="s">
        <v>3</v>
      </c>
      <c r="EB221" t="s">
        <v>3</v>
      </c>
      <c r="EC221" t="s">
        <v>3</v>
      </c>
      <c r="EE221">
        <v>58808284</v>
      </c>
      <c r="EF221">
        <v>130</v>
      </c>
      <c r="EG221" t="s">
        <v>35</v>
      </c>
      <c r="EH221">
        <v>0</v>
      </c>
      <c r="EI221" t="s">
        <v>3</v>
      </c>
      <c r="EJ221">
        <v>3</v>
      </c>
      <c r="EK221">
        <v>746</v>
      </c>
      <c r="EL221" t="s">
        <v>36</v>
      </c>
      <c r="EM221" t="s">
        <v>37</v>
      </c>
      <c r="EO221" t="s">
        <v>3</v>
      </c>
      <c r="EQ221">
        <v>0</v>
      </c>
      <c r="ER221">
        <v>40.299999999999997</v>
      </c>
      <c r="ES221">
        <v>40.299999999999997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FQ221">
        <v>0</v>
      </c>
      <c r="FR221">
        <f>P221</f>
        <v>2847.2</v>
      </c>
      <c r="FS221">
        <v>0</v>
      </c>
      <c r="FX221">
        <v>0</v>
      </c>
      <c r="FY221">
        <v>0</v>
      </c>
      <c r="GA221" t="s">
        <v>3</v>
      </c>
      <c r="GD221">
        <v>1</v>
      </c>
      <c r="GF221">
        <v>191091125</v>
      </c>
      <c r="GG221">
        <v>2</v>
      </c>
      <c r="GH221">
        <v>1</v>
      </c>
      <c r="GI221">
        <v>2</v>
      </c>
      <c r="GJ221">
        <v>0</v>
      </c>
      <c r="GK221">
        <v>0</v>
      </c>
      <c r="GL221">
        <f t="shared" si="171"/>
        <v>0</v>
      </c>
      <c r="GM221">
        <f t="shared" si="172"/>
        <v>2847.2</v>
      </c>
      <c r="GN221">
        <f t="shared" si="173"/>
        <v>0</v>
      </c>
      <c r="GO221">
        <f t="shared" si="174"/>
        <v>0</v>
      </c>
      <c r="GP221">
        <f t="shared" si="175"/>
        <v>0</v>
      </c>
      <c r="GR221">
        <v>0</v>
      </c>
      <c r="GS221">
        <v>3</v>
      </c>
      <c r="GT221">
        <v>0</v>
      </c>
      <c r="GU221" t="s">
        <v>3</v>
      </c>
      <c r="GV221">
        <f t="shared" si="176"/>
        <v>0</v>
      </c>
      <c r="GW221">
        <v>1</v>
      </c>
      <c r="GX221">
        <f t="shared" si="177"/>
        <v>0</v>
      </c>
      <c r="HA221">
        <v>0</v>
      </c>
      <c r="HB221">
        <v>0</v>
      </c>
      <c r="HC221">
        <f t="shared" si="178"/>
        <v>0</v>
      </c>
      <c r="HE221" t="s">
        <v>3</v>
      </c>
      <c r="HF221" t="s">
        <v>3</v>
      </c>
      <c r="HM221" t="s">
        <v>3</v>
      </c>
      <c r="HN221" t="s">
        <v>3</v>
      </c>
      <c r="HO221" t="s">
        <v>3</v>
      </c>
      <c r="HP221" t="s">
        <v>3</v>
      </c>
      <c r="HQ221" t="s">
        <v>3</v>
      </c>
      <c r="HS221">
        <v>0</v>
      </c>
      <c r="IK221">
        <v>0</v>
      </c>
    </row>
    <row r="223" spans="1:255" x14ac:dyDescent="0.2">
      <c r="A223" s="3">
        <v>51</v>
      </c>
      <c r="B223" s="3">
        <f>B194</f>
        <v>1</v>
      </c>
      <c r="C223" s="3">
        <f>A194</f>
        <v>4</v>
      </c>
      <c r="D223" s="3">
        <f>ROW(A194)</f>
        <v>194</v>
      </c>
      <c r="E223" s="3"/>
      <c r="F223" s="3" t="str">
        <f>IF(F194&lt;&gt;"",F194,"")</f>
        <v>Новый раздел</v>
      </c>
      <c r="G223" s="3" t="str">
        <f>IF(G194&lt;&gt;"",G194,"")</f>
        <v>Видеодомофон</v>
      </c>
      <c r="H223" s="3">
        <v>0</v>
      </c>
      <c r="I223" s="3"/>
      <c r="J223" s="3"/>
      <c r="K223" s="3"/>
      <c r="L223" s="3"/>
      <c r="M223" s="3"/>
      <c r="N223" s="3"/>
      <c r="O223" s="3">
        <f t="shared" ref="O223:T223" si="185">ROUND(AB223,2)</f>
        <v>32360.58</v>
      </c>
      <c r="P223" s="3">
        <f t="shared" si="185"/>
        <v>30661.61</v>
      </c>
      <c r="Q223" s="3">
        <f t="shared" si="185"/>
        <v>197.45</v>
      </c>
      <c r="R223" s="3">
        <f t="shared" si="185"/>
        <v>32.47</v>
      </c>
      <c r="S223" s="3">
        <f t="shared" si="185"/>
        <v>1501.52</v>
      </c>
      <c r="T223" s="3">
        <f t="shared" si="185"/>
        <v>0</v>
      </c>
      <c r="U223" s="3">
        <f>AH223</f>
        <v>115.75045679999999</v>
      </c>
      <c r="V223" s="3">
        <f>AI223</f>
        <v>0</v>
      </c>
      <c r="W223" s="3">
        <f>ROUND(AJ223,2)</f>
        <v>0</v>
      </c>
      <c r="X223" s="3">
        <f>ROUND(AK223,2)</f>
        <v>1474.35</v>
      </c>
      <c r="Y223" s="3">
        <f>ROUND(AL223,2)</f>
        <v>772.62</v>
      </c>
      <c r="Z223" s="3"/>
      <c r="AA223" s="3"/>
      <c r="AB223" s="3">
        <f>ROUND(SUMIF(AA198:AA221,"=59213216",O198:O221),2)</f>
        <v>32360.58</v>
      </c>
      <c r="AC223" s="3">
        <f>ROUND(SUMIF(AA198:AA221,"=59213216",P198:P221),2)</f>
        <v>30661.61</v>
      </c>
      <c r="AD223" s="3">
        <f>ROUND(SUMIF(AA198:AA221,"=59213216",Q198:Q221),2)</f>
        <v>197.45</v>
      </c>
      <c r="AE223" s="3">
        <f>ROUND(SUMIF(AA198:AA221,"=59213216",R198:R221),2)</f>
        <v>32.47</v>
      </c>
      <c r="AF223" s="3">
        <f>ROUND(SUMIF(AA198:AA221,"=59213216",S198:S221),2)</f>
        <v>1501.52</v>
      </c>
      <c r="AG223" s="3">
        <f>ROUND(SUMIF(AA198:AA221,"=59213216",T198:T221),2)</f>
        <v>0</v>
      </c>
      <c r="AH223" s="3">
        <f>SUMIF(AA198:AA221,"=59213216",U198:U221)</f>
        <v>115.75045679999999</v>
      </c>
      <c r="AI223" s="3">
        <f>SUMIF(AA198:AA221,"=59213216",V198:V221)</f>
        <v>0</v>
      </c>
      <c r="AJ223" s="3">
        <f>ROUND(SUMIF(AA198:AA221,"=59213216",W198:W221),2)</f>
        <v>0</v>
      </c>
      <c r="AK223" s="3">
        <f>ROUND(SUMIF(AA198:AA221,"=59213216",X198:X221),2)</f>
        <v>1474.35</v>
      </c>
      <c r="AL223" s="3">
        <f>ROUND(SUMIF(AA198:AA221,"=59213216",Y198:Y221),2)</f>
        <v>772.62</v>
      </c>
      <c r="AM223" s="3"/>
      <c r="AN223" s="3"/>
      <c r="AO223" s="3">
        <f t="shared" ref="AO223:BD223" si="186">ROUND(BX223,2)</f>
        <v>0</v>
      </c>
      <c r="AP223" s="3">
        <f t="shared" si="186"/>
        <v>18245.66</v>
      </c>
      <c r="AQ223" s="3">
        <f t="shared" si="186"/>
        <v>0</v>
      </c>
      <c r="AR223" s="3">
        <f t="shared" si="186"/>
        <v>34607.550000000003</v>
      </c>
      <c r="AS223" s="3">
        <f t="shared" si="186"/>
        <v>0</v>
      </c>
      <c r="AT223" s="3">
        <f t="shared" si="186"/>
        <v>16361.89</v>
      </c>
      <c r="AU223" s="3">
        <f t="shared" si="186"/>
        <v>0</v>
      </c>
      <c r="AV223" s="3">
        <f t="shared" si="186"/>
        <v>30661.61</v>
      </c>
      <c r="AW223" s="3">
        <f t="shared" si="186"/>
        <v>12415.95</v>
      </c>
      <c r="AX223" s="3">
        <f t="shared" si="186"/>
        <v>0</v>
      </c>
      <c r="AY223" s="3">
        <f t="shared" si="186"/>
        <v>12415.95</v>
      </c>
      <c r="AZ223" s="3">
        <f t="shared" si="186"/>
        <v>18245.66</v>
      </c>
      <c r="BA223" s="3">
        <f t="shared" si="186"/>
        <v>0</v>
      </c>
      <c r="BB223" s="3">
        <f t="shared" si="186"/>
        <v>0</v>
      </c>
      <c r="BC223" s="3">
        <f t="shared" si="186"/>
        <v>0</v>
      </c>
      <c r="BD223" s="3">
        <f t="shared" si="186"/>
        <v>0</v>
      </c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>
        <f>ROUND(SUMIF(AA198:AA221,"=59213216",FQ198:FQ221),2)</f>
        <v>0</v>
      </c>
      <c r="BY223" s="3">
        <f>ROUND(SUMIF(AA198:AA221,"=59213216",FR198:FR221),2)</f>
        <v>18245.66</v>
      </c>
      <c r="BZ223" s="3">
        <f>ROUND(SUMIF(AA198:AA221,"=59213216",GL198:GL221),2)</f>
        <v>0</v>
      </c>
      <c r="CA223" s="3">
        <f>ROUND(SUMIF(AA198:AA221,"=59213216",GM198:GM221),2)</f>
        <v>34607.550000000003</v>
      </c>
      <c r="CB223" s="3">
        <f>ROUND(SUMIF(AA198:AA221,"=59213216",GN198:GN221),2)</f>
        <v>0</v>
      </c>
      <c r="CC223" s="3">
        <f>ROUND(SUMIF(AA198:AA221,"=59213216",GO198:GO221),2)</f>
        <v>16361.89</v>
      </c>
      <c r="CD223" s="3">
        <f>ROUND(SUMIF(AA198:AA221,"=59213216",GP198:GP221),2)</f>
        <v>0</v>
      </c>
      <c r="CE223" s="3">
        <f>AC223-BX223</f>
        <v>30661.61</v>
      </c>
      <c r="CF223" s="3">
        <f>AC223-BY223</f>
        <v>12415.95</v>
      </c>
      <c r="CG223" s="3">
        <f>BX223-BZ223</f>
        <v>0</v>
      </c>
      <c r="CH223" s="3">
        <f>AC223-BX223-BY223+BZ223</f>
        <v>12415.95</v>
      </c>
      <c r="CI223" s="3">
        <f>BY223-BZ223</f>
        <v>18245.66</v>
      </c>
      <c r="CJ223" s="3">
        <f>ROUND(SUMIF(AA198:AA221,"=59213216",GX198:GX221),2)</f>
        <v>0</v>
      </c>
      <c r="CK223" s="3">
        <f>ROUND(SUMIF(AA198:AA221,"=59213216",GY198:GY221),2)</f>
        <v>0</v>
      </c>
      <c r="CL223" s="3">
        <f>ROUND(SUMIF(AA198:AA221,"=59213216",GZ198:GZ221),2)</f>
        <v>0</v>
      </c>
      <c r="CM223" s="3">
        <f>ROUND(SUMIF(AA198:AA221,"=59213216",HD198:HD221),2)</f>
        <v>0</v>
      </c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4">
        <f t="shared" ref="DG223:DL223" si="187">ROUND(DT223,2)</f>
        <v>327557</v>
      </c>
      <c r="DH223" s="4">
        <f t="shared" si="187"/>
        <v>241564.17</v>
      </c>
      <c r="DI223" s="4">
        <f t="shared" si="187"/>
        <v>3424.24</v>
      </c>
      <c r="DJ223" s="4">
        <f t="shared" si="187"/>
        <v>1785.52</v>
      </c>
      <c r="DK223" s="4">
        <f t="shared" si="187"/>
        <v>82568.59</v>
      </c>
      <c r="DL223" s="4">
        <f t="shared" si="187"/>
        <v>0</v>
      </c>
      <c r="DM223" s="4">
        <f>DZ223</f>
        <v>115.75045679999999</v>
      </c>
      <c r="DN223" s="4">
        <f>EA223</f>
        <v>0</v>
      </c>
      <c r="DO223" s="4">
        <f>ROUND(EB223,2)</f>
        <v>0</v>
      </c>
      <c r="DP223" s="4">
        <f>ROUND(EC223,2)</f>
        <v>81075.03</v>
      </c>
      <c r="DQ223" s="4">
        <f>ROUND(ED223,2)</f>
        <v>42485.99</v>
      </c>
      <c r="DR223" s="4"/>
      <c r="DS223" s="4"/>
      <c r="DT223" s="4">
        <f>ROUND(SUMIF(AA198:AA221,"=59213213",O198:O221),2)</f>
        <v>327557</v>
      </c>
      <c r="DU223" s="4">
        <f>ROUND(SUMIF(AA198:AA221,"=59213213",P198:P221),2)</f>
        <v>241564.17</v>
      </c>
      <c r="DV223" s="4">
        <f>ROUND(SUMIF(AA198:AA221,"=59213213",Q198:Q221),2)</f>
        <v>3424.24</v>
      </c>
      <c r="DW223" s="4">
        <f>ROUND(SUMIF(AA198:AA221,"=59213213",R198:R221),2)</f>
        <v>1785.52</v>
      </c>
      <c r="DX223" s="4">
        <f>ROUND(SUMIF(AA198:AA221,"=59213213",S198:S221),2)</f>
        <v>82568.59</v>
      </c>
      <c r="DY223" s="4">
        <f>ROUND(SUMIF(AA198:AA221,"=59213213",T198:T221),2)</f>
        <v>0</v>
      </c>
      <c r="DZ223" s="4">
        <f>SUMIF(AA198:AA221,"=59213213",U198:U221)</f>
        <v>115.75045679999999</v>
      </c>
      <c r="EA223" s="4">
        <f>SUMIF(AA198:AA221,"=59213213",V198:V221)</f>
        <v>0</v>
      </c>
      <c r="EB223" s="4">
        <f>ROUND(SUMIF(AA198:AA221,"=59213213",W198:W221),2)</f>
        <v>0</v>
      </c>
      <c r="EC223" s="4">
        <f>ROUND(SUMIF(AA198:AA221,"=59213213",X198:X221),2)</f>
        <v>81075.03</v>
      </c>
      <c r="ED223" s="4">
        <f>ROUND(SUMIF(AA198:AA221,"=59213213",Y198:Y221),2)</f>
        <v>42485.99</v>
      </c>
      <c r="EE223" s="4"/>
      <c r="EF223" s="4"/>
      <c r="EG223" s="4">
        <f t="shared" ref="EG223:EV223" si="188">ROUND(FP223,2)</f>
        <v>0</v>
      </c>
      <c r="EH223" s="4">
        <f t="shared" si="188"/>
        <v>139830.68</v>
      </c>
      <c r="EI223" s="4">
        <f t="shared" si="188"/>
        <v>0</v>
      </c>
      <c r="EJ223" s="4">
        <f t="shared" si="188"/>
        <v>451118.02</v>
      </c>
      <c r="EK223" s="4">
        <f t="shared" si="188"/>
        <v>0</v>
      </c>
      <c r="EL223" s="4">
        <f t="shared" si="188"/>
        <v>311287.34000000003</v>
      </c>
      <c r="EM223" s="4">
        <f t="shared" si="188"/>
        <v>0</v>
      </c>
      <c r="EN223" s="4">
        <f t="shared" si="188"/>
        <v>241564.17</v>
      </c>
      <c r="EO223" s="4">
        <f t="shared" si="188"/>
        <v>101733.49</v>
      </c>
      <c r="EP223" s="4">
        <f t="shared" si="188"/>
        <v>0</v>
      </c>
      <c r="EQ223" s="4">
        <f t="shared" si="188"/>
        <v>101733.49</v>
      </c>
      <c r="ER223" s="4">
        <f t="shared" si="188"/>
        <v>139830.68</v>
      </c>
      <c r="ES223" s="4">
        <f t="shared" si="188"/>
        <v>0</v>
      </c>
      <c r="ET223" s="4">
        <f t="shared" si="188"/>
        <v>0</v>
      </c>
      <c r="EU223" s="4">
        <f t="shared" si="188"/>
        <v>0</v>
      </c>
      <c r="EV223" s="4">
        <f t="shared" si="188"/>
        <v>0</v>
      </c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>
        <f>ROUND(SUMIF(AA198:AA221,"=59213213",FQ198:FQ221),2)</f>
        <v>0</v>
      </c>
      <c r="FQ223" s="4">
        <f>ROUND(SUMIF(AA198:AA221,"=59213213",FR198:FR221),2)</f>
        <v>139830.68</v>
      </c>
      <c r="FR223" s="4">
        <f>ROUND(SUMIF(AA198:AA221,"=59213213",GL198:GL221),2)</f>
        <v>0</v>
      </c>
      <c r="FS223" s="4">
        <f>ROUND(SUMIF(AA198:AA221,"=59213213",GM198:GM221),2)</f>
        <v>451118.02</v>
      </c>
      <c r="FT223" s="4">
        <f>ROUND(SUMIF(AA198:AA221,"=59213213",GN198:GN221),2)</f>
        <v>0</v>
      </c>
      <c r="FU223" s="4">
        <f>ROUND(SUMIF(AA198:AA221,"=59213213",GO198:GO221),2)</f>
        <v>311287.34000000003</v>
      </c>
      <c r="FV223" s="4">
        <f>ROUND(SUMIF(AA198:AA221,"=59213213",GP198:GP221),2)</f>
        <v>0</v>
      </c>
      <c r="FW223" s="4">
        <f>DU223-FP223</f>
        <v>241564.17</v>
      </c>
      <c r="FX223" s="4">
        <f>DU223-FQ223</f>
        <v>101733.49000000002</v>
      </c>
      <c r="FY223" s="4">
        <f>FP223-FR223</f>
        <v>0</v>
      </c>
      <c r="FZ223" s="4">
        <f>DU223-FP223-FQ223+FR223</f>
        <v>101733.49000000002</v>
      </c>
      <c r="GA223" s="4">
        <f>FQ223-FR223</f>
        <v>139830.68</v>
      </c>
      <c r="GB223" s="4">
        <f>ROUND(SUMIF(AA198:AA221,"=59213213",GX198:GX221),2)</f>
        <v>0</v>
      </c>
      <c r="GC223" s="4">
        <f>ROUND(SUMIF(AA198:AA221,"=59213213",GY198:GY221),2)</f>
        <v>0</v>
      </c>
      <c r="GD223" s="4">
        <f>ROUND(SUMIF(AA198:AA221,"=59213213",GZ198:GZ221),2)</f>
        <v>0</v>
      </c>
      <c r="GE223" s="4">
        <f>ROUND(SUMIF(AA198:AA221,"=59213213",HD198:HD221),2)</f>
        <v>0</v>
      </c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>
        <v>0</v>
      </c>
    </row>
    <row r="225" spans="1:28" x14ac:dyDescent="0.2">
      <c r="A225" s="5">
        <v>50</v>
      </c>
      <c r="B225" s="5">
        <v>0</v>
      </c>
      <c r="C225" s="5">
        <v>0</v>
      </c>
      <c r="D225" s="5">
        <v>1</v>
      </c>
      <c r="E225" s="5">
        <v>201</v>
      </c>
      <c r="F225" s="5">
        <f>ROUND(Source!O223,O225)</f>
        <v>32360.58</v>
      </c>
      <c r="G225" s="5" t="s">
        <v>157</v>
      </c>
      <c r="H225" s="5" t="s">
        <v>158</v>
      </c>
      <c r="I225" s="5"/>
      <c r="J225" s="5"/>
      <c r="K225" s="5">
        <v>201</v>
      </c>
      <c r="L225" s="5">
        <v>1</v>
      </c>
      <c r="M225" s="5">
        <v>3</v>
      </c>
      <c r="N225" s="5" t="s">
        <v>3</v>
      </c>
      <c r="O225" s="5">
        <v>2</v>
      </c>
      <c r="P225" s="5">
        <f>ROUND(Source!DG223,O225)</f>
        <v>327557</v>
      </c>
      <c r="Q225" s="5"/>
      <c r="R225" s="5"/>
      <c r="S225" s="5"/>
      <c r="T225" s="5"/>
      <c r="U225" s="5"/>
      <c r="V225" s="5"/>
      <c r="W225" s="5">
        <v>32360.58</v>
      </c>
      <c r="X225" s="5">
        <v>1</v>
      </c>
      <c r="Y225" s="5">
        <v>32360.58</v>
      </c>
      <c r="Z225" s="5">
        <v>327557</v>
      </c>
      <c r="AA225" s="5">
        <v>1</v>
      </c>
      <c r="AB225" s="5">
        <v>327557</v>
      </c>
    </row>
    <row r="226" spans="1:28" x14ac:dyDescent="0.2">
      <c r="A226" s="5">
        <v>50</v>
      </c>
      <c r="B226" s="5">
        <v>0</v>
      </c>
      <c r="C226" s="5">
        <v>0</v>
      </c>
      <c r="D226" s="5">
        <v>1</v>
      </c>
      <c r="E226" s="5">
        <v>202</v>
      </c>
      <c r="F226" s="5">
        <f>ROUND(Source!P223,O226)</f>
        <v>30661.61</v>
      </c>
      <c r="G226" s="5" t="s">
        <v>159</v>
      </c>
      <c r="H226" s="5" t="s">
        <v>160</v>
      </c>
      <c r="I226" s="5"/>
      <c r="J226" s="5"/>
      <c r="K226" s="5">
        <v>202</v>
      </c>
      <c r="L226" s="5">
        <v>2</v>
      </c>
      <c r="M226" s="5">
        <v>3</v>
      </c>
      <c r="N226" s="5" t="s">
        <v>3</v>
      </c>
      <c r="O226" s="5">
        <v>2</v>
      </c>
      <c r="P226" s="5">
        <f>ROUND(Source!DH223,O226)</f>
        <v>241564.17</v>
      </c>
      <c r="Q226" s="5"/>
      <c r="R226" s="5"/>
      <c r="S226" s="5"/>
      <c r="T226" s="5"/>
      <c r="U226" s="5"/>
      <c r="V226" s="5"/>
      <c r="W226" s="5">
        <v>30661.61</v>
      </c>
      <c r="X226" s="5">
        <v>1</v>
      </c>
      <c r="Y226" s="5">
        <v>30661.61</v>
      </c>
      <c r="Z226" s="5">
        <v>241564.17</v>
      </c>
      <c r="AA226" s="5">
        <v>1</v>
      </c>
      <c r="AB226" s="5">
        <v>241564.17</v>
      </c>
    </row>
    <row r="227" spans="1:28" x14ac:dyDescent="0.2">
      <c r="A227" s="5">
        <v>50</v>
      </c>
      <c r="B227" s="5">
        <v>0</v>
      </c>
      <c r="C227" s="5">
        <v>0</v>
      </c>
      <c r="D227" s="5">
        <v>1</v>
      </c>
      <c r="E227" s="5">
        <v>222</v>
      </c>
      <c r="F227" s="5">
        <f>ROUND(Source!AO223,O227)</f>
        <v>0</v>
      </c>
      <c r="G227" s="5" t="s">
        <v>161</v>
      </c>
      <c r="H227" s="5" t="s">
        <v>162</v>
      </c>
      <c r="I227" s="5"/>
      <c r="J227" s="5"/>
      <c r="K227" s="5">
        <v>222</v>
      </c>
      <c r="L227" s="5">
        <v>3</v>
      </c>
      <c r="M227" s="5">
        <v>3</v>
      </c>
      <c r="N227" s="5" t="s">
        <v>3</v>
      </c>
      <c r="O227" s="5">
        <v>2</v>
      </c>
      <c r="P227" s="5">
        <f>ROUND(Source!EG223,O227)</f>
        <v>0</v>
      </c>
      <c r="Q227" s="5"/>
      <c r="R227" s="5"/>
      <c r="S227" s="5"/>
      <c r="T227" s="5"/>
      <c r="U227" s="5"/>
      <c r="V227" s="5"/>
      <c r="W227" s="5">
        <v>0</v>
      </c>
      <c r="X227" s="5">
        <v>1</v>
      </c>
      <c r="Y227" s="5">
        <v>0</v>
      </c>
      <c r="Z227" s="5">
        <v>0</v>
      </c>
      <c r="AA227" s="5">
        <v>1</v>
      </c>
      <c r="AB227" s="5">
        <v>0</v>
      </c>
    </row>
    <row r="228" spans="1:28" x14ac:dyDescent="0.2">
      <c r="A228" s="5">
        <v>50</v>
      </c>
      <c r="B228" s="5">
        <v>0</v>
      </c>
      <c r="C228" s="5">
        <v>0</v>
      </c>
      <c r="D228" s="5">
        <v>1</v>
      </c>
      <c r="E228" s="5">
        <v>225</v>
      </c>
      <c r="F228" s="5">
        <f>ROUND(Source!AV223,O228)</f>
        <v>30661.61</v>
      </c>
      <c r="G228" s="5" t="s">
        <v>163</v>
      </c>
      <c r="H228" s="5" t="s">
        <v>164</v>
      </c>
      <c r="I228" s="5"/>
      <c r="J228" s="5"/>
      <c r="K228" s="5">
        <v>225</v>
      </c>
      <c r="L228" s="5">
        <v>4</v>
      </c>
      <c r="M228" s="5">
        <v>3</v>
      </c>
      <c r="N228" s="5" t="s">
        <v>3</v>
      </c>
      <c r="O228" s="5">
        <v>2</v>
      </c>
      <c r="P228" s="5">
        <f>ROUND(Source!EN223,O228)</f>
        <v>241564.17</v>
      </c>
      <c r="Q228" s="5"/>
      <c r="R228" s="5"/>
      <c r="S228" s="5"/>
      <c r="T228" s="5"/>
      <c r="U228" s="5"/>
      <c r="V228" s="5"/>
      <c r="W228" s="5">
        <v>30661.61</v>
      </c>
      <c r="X228" s="5">
        <v>1</v>
      </c>
      <c r="Y228" s="5">
        <v>30661.61</v>
      </c>
      <c r="Z228" s="5">
        <v>241564.17</v>
      </c>
      <c r="AA228" s="5">
        <v>1</v>
      </c>
      <c r="AB228" s="5">
        <v>241564.17</v>
      </c>
    </row>
    <row r="229" spans="1:28" x14ac:dyDescent="0.2">
      <c r="A229" s="5">
        <v>50</v>
      </c>
      <c r="B229" s="5">
        <v>0</v>
      </c>
      <c r="C229" s="5">
        <v>0</v>
      </c>
      <c r="D229" s="5">
        <v>1</v>
      </c>
      <c r="E229" s="5">
        <v>226</v>
      </c>
      <c r="F229" s="5">
        <f>ROUND(Source!AW223,O229)</f>
        <v>12415.95</v>
      </c>
      <c r="G229" s="5" t="s">
        <v>165</v>
      </c>
      <c r="H229" s="5" t="s">
        <v>166</v>
      </c>
      <c r="I229" s="5"/>
      <c r="J229" s="5"/>
      <c r="K229" s="5">
        <v>226</v>
      </c>
      <c r="L229" s="5">
        <v>5</v>
      </c>
      <c r="M229" s="5">
        <v>3</v>
      </c>
      <c r="N229" s="5" t="s">
        <v>3</v>
      </c>
      <c r="O229" s="5">
        <v>2</v>
      </c>
      <c r="P229" s="5">
        <f>ROUND(Source!EO223,O229)</f>
        <v>101733.49</v>
      </c>
      <c r="Q229" s="5"/>
      <c r="R229" s="5"/>
      <c r="S229" s="5"/>
      <c r="T229" s="5"/>
      <c r="U229" s="5"/>
      <c r="V229" s="5"/>
      <c r="W229" s="5">
        <v>12415.95</v>
      </c>
      <c r="X229" s="5">
        <v>1</v>
      </c>
      <c r="Y229" s="5">
        <v>12415.95</v>
      </c>
      <c r="Z229" s="5">
        <v>101733.49</v>
      </c>
      <c r="AA229" s="5">
        <v>1</v>
      </c>
      <c r="AB229" s="5">
        <v>101733.49</v>
      </c>
    </row>
    <row r="230" spans="1:28" x14ac:dyDescent="0.2">
      <c r="A230" s="5">
        <v>50</v>
      </c>
      <c r="B230" s="5">
        <v>0</v>
      </c>
      <c r="C230" s="5">
        <v>0</v>
      </c>
      <c r="D230" s="5">
        <v>1</v>
      </c>
      <c r="E230" s="5">
        <v>227</v>
      </c>
      <c r="F230" s="5">
        <f>ROUND(Source!AX223,O230)</f>
        <v>0</v>
      </c>
      <c r="G230" s="5" t="s">
        <v>167</v>
      </c>
      <c r="H230" s="5" t="s">
        <v>168</v>
      </c>
      <c r="I230" s="5"/>
      <c r="J230" s="5"/>
      <c r="K230" s="5">
        <v>227</v>
      </c>
      <c r="L230" s="5">
        <v>6</v>
      </c>
      <c r="M230" s="5">
        <v>3</v>
      </c>
      <c r="N230" s="5" t="s">
        <v>3</v>
      </c>
      <c r="O230" s="5">
        <v>2</v>
      </c>
      <c r="P230" s="5">
        <f>ROUND(Source!EP223,O230)</f>
        <v>0</v>
      </c>
      <c r="Q230" s="5"/>
      <c r="R230" s="5"/>
      <c r="S230" s="5"/>
      <c r="T230" s="5"/>
      <c r="U230" s="5"/>
      <c r="V230" s="5"/>
      <c r="W230" s="5">
        <v>0</v>
      </c>
      <c r="X230" s="5">
        <v>1</v>
      </c>
      <c r="Y230" s="5">
        <v>0</v>
      </c>
      <c r="Z230" s="5">
        <v>0</v>
      </c>
      <c r="AA230" s="5">
        <v>1</v>
      </c>
      <c r="AB230" s="5">
        <v>0</v>
      </c>
    </row>
    <row r="231" spans="1:28" x14ac:dyDescent="0.2">
      <c r="A231" s="5">
        <v>50</v>
      </c>
      <c r="B231" s="5">
        <v>0</v>
      </c>
      <c r="C231" s="5">
        <v>0</v>
      </c>
      <c r="D231" s="5">
        <v>1</v>
      </c>
      <c r="E231" s="5">
        <v>228</v>
      </c>
      <c r="F231" s="5">
        <f>ROUND(Source!AY223,O231)</f>
        <v>12415.95</v>
      </c>
      <c r="G231" s="5" t="s">
        <v>169</v>
      </c>
      <c r="H231" s="5" t="s">
        <v>170</v>
      </c>
      <c r="I231" s="5"/>
      <c r="J231" s="5"/>
      <c r="K231" s="5">
        <v>228</v>
      </c>
      <c r="L231" s="5">
        <v>7</v>
      </c>
      <c r="M231" s="5">
        <v>3</v>
      </c>
      <c r="N231" s="5" t="s">
        <v>3</v>
      </c>
      <c r="O231" s="5">
        <v>2</v>
      </c>
      <c r="P231" s="5">
        <f>ROUND(Source!EQ223,O231)</f>
        <v>101733.49</v>
      </c>
      <c r="Q231" s="5"/>
      <c r="R231" s="5"/>
      <c r="S231" s="5"/>
      <c r="T231" s="5"/>
      <c r="U231" s="5"/>
      <c r="V231" s="5"/>
      <c r="W231" s="5">
        <v>12415.95</v>
      </c>
      <c r="X231" s="5">
        <v>1</v>
      </c>
      <c r="Y231" s="5">
        <v>12415.95</v>
      </c>
      <c r="Z231" s="5">
        <v>101733.49</v>
      </c>
      <c r="AA231" s="5">
        <v>1</v>
      </c>
      <c r="AB231" s="5">
        <v>101733.49</v>
      </c>
    </row>
    <row r="232" spans="1:28" x14ac:dyDescent="0.2">
      <c r="A232" s="5">
        <v>50</v>
      </c>
      <c r="B232" s="5">
        <v>0</v>
      </c>
      <c r="C232" s="5">
        <v>0</v>
      </c>
      <c r="D232" s="5">
        <v>1</v>
      </c>
      <c r="E232" s="5">
        <v>216</v>
      </c>
      <c r="F232" s="5">
        <f>ROUND(Source!AP223,O232)</f>
        <v>18245.66</v>
      </c>
      <c r="G232" s="5" t="s">
        <v>171</v>
      </c>
      <c r="H232" s="5" t="s">
        <v>172</v>
      </c>
      <c r="I232" s="5"/>
      <c r="J232" s="5"/>
      <c r="K232" s="5">
        <v>216</v>
      </c>
      <c r="L232" s="5">
        <v>8</v>
      </c>
      <c r="M232" s="5">
        <v>3</v>
      </c>
      <c r="N232" s="5" t="s">
        <v>3</v>
      </c>
      <c r="O232" s="5">
        <v>2</v>
      </c>
      <c r="P232" s="5">
        <f>ROUND(Source!EH223,O232)</f>
        <v>139830.68</v>
      </c>
      <c r="Q232" s="5"/>
      <c r="R232" s="5"/>
      <c r="S232" s="5"/>
      <c r="T232" s="5"/>
      <c r="U232" s="5"/>
      <c r="V232" s="5"/>
      <c r="W232" s="5">
        <v>18245.66</v>
      </c>
      <c r="X232" s="5">
        <v>1</v>
      </c>
      <c r="Y232" s="5">
        <v>18245.66</v>
      </c>
      <c r="Z232" s="5">
        <v>139830.68</v>
      </c>
      <c r="AA232" s="5">
        <v>1</v>
      </c>
      <c r="AB232" s="5">
        <v>139830.68</v>
      </c>
    </row>
    <row r="233" spans="1:28" x14ac:dyDescent="0.2">
      <c r="A233" s="5">
        <v>50</v>
      </c>
      <c r="B233" s="5">
        <v>0</v>
      </c>
      <c r="C233" s="5">
        <v>0</v>
      </c>
      <c r="D233" s="5">
        <v>1</v>
      </c>
      <c r="E233" s="5">
        <v>223</v>
      </c>
      <c r="F233" s="5">
        <f>ROUND(Source!AQ223,O233)</f>
        <v>0</v>
      </c>
      <c r="G233" s="5" t="s">
        <v>173</v>
      </c>
      <c r="H233" s="5" t="s">
        <v>174</v>
      </c>
      <c r="I233" s="5"/>
      <c r="J233" s="5"/>
      <c r="K233" s="5">
        <v>223</v>
      </c>
      <c r="L233" s="5">
        <v>9</v>
      </c>
      <c r="M233" s="5">
        <v>3</v>
      </c>
      <c r="N233" s="5" t="s">
        <v>3</v>
      </c>
      <c r="O233" s="5">
        <v>2</v>
      </c>
      <c r="P233" s="5">
        <f>ROUND(Source!EI223,O233)</f>
        <v>0</v>
      </c>
      <c r="Q233" s="5"/>
      <c r="R233" s="5"/>
      <c r="S233" s="5"/>
      <c r="T233" s="5"/>
      <c r="U233" s="5"/>
      <c r="V233" s="5"/>
      <c r="W233" s="5">
        <v>0</v>
      </c>
      <c r="X233" s="5">
        <v>1</v>
      </c>
      <c r="Y233" s="5">
        <v>0</v>
      </c>
      <c r="Z233" s="5">
        <v>0</v>
      </c>
      <c r="AA233" s="5">
        <v>1</v>
      </c>
      <c r="AB233" s="5">
        <v>0</v>
      </c>
    </row>
    <row r="234" spans="1:28" x14ac:dyDescent="0.2">
      <c r="A234" s="5">
        <v>50</v>
      </c>
      <c r="B234" s="5">
        <v>0</v>
      </c>
      <c r="C234" s="5">
        <v>0</v>
      </c>
      <c r="D234" s="5">
        <v>1</v>
      </c>
      <c r="E234" s="5">
        <v>229</v>
      </c>
      <c r="F234" s="5">
        <f>ROUND(Source!AZ223,O234)</f>
        <v>18245.66</v>
      </c>
      <c r="G234" s="5" t="s">
        <v>175</v>
      </c>
      <c r="H234" s="5" t="s">
        <v>176</v>
      </c>
      <c r="I234" s="5"/>
      <c r="J234" s="5"/>
      <c r="K234" s="5">
        <v>229</v>
      </c>
      <c r="L234" s="5">
        <v>10</v>
      </c>
      <c r="M234" s="5">
        <v>3</v>
      </c>
      <c r="N234" s="5" t="s">
        <v>3</v>
      </c>
      <c r="O234" s="5">
        <v>2</v>
      </c>
      <c r="P234" s="5">
        <f>ROUND(Source!ER223,O234)</f>
        <v>139830.68</v>
      </c>
      <c r="Q234" s="5"/>
      <c r="R234" s="5"/>
      <c r="S234" s="5"/>
      <c r="T234" s="5"/>
      <c r="U234" s="5"/>
      <c r="V234" s="5"/>
      <c r="W234" s="5">
        <v>18245.66</v>
      </c>
      <c r="X234" s="5">
        <v>1</v>
      </c>
      <c r="Y234" s="5">
        <v>18245.66</v>
      </c>
      <c r="Z234" s="5">
        <v>139830.68</v>
      </c>
      <c r="AA234" s="5">
        <v>1</v>
      </c>
      <c r="AB234" s="5">
        <v>139830.68</v>
      </c>
    </row>
    <row r="235" spans="1:28" x14ac:dyDescent="0.2">
      <c r="A235" s="5">
        <v>50</v>
      </c>
      <c r="B235" s="5">
        <v>0</v>
      </c>
      <c r="C235" s="5">
        <v>0</v>
      </c>
      <c r="D235" s="5">
        <v>1</v>
      </c>
      <c r="E235" s="5">
        <v>203</v>
      </c>
      <c r="F235" s="5">
        <f>ROUND(Source!Q223,O235)</f>
        <v>197.45</v>
      </c>
      <c r="G235" s="5" t="s">
        <v>177</v>
      </c>
      <c r="H235" s="5" t="s">
        <v>178</v>
      </c>
      <c r="I235" s="5"/>
      <c r="J235" s="5"/>
      <c r="K235" s="5">
        <v>203</v>
      </c>
      <c r="L235" s="5">
        <v>11</v>
      </c>
      <c r="M235" s="5">
        <v>3</v>
      </c>
      <c r="N235" s="5" t="s">
        <v>3</v>
      </c>
      <c r="O235" s="5">
        <v>2</v>
      </c>
      <c r="P235" s="5">
        <f>ROUND(Source!DI223,O235)</f>
        <v>3424.24</v>
      </c>
      <c r="Q235" s="5"/>
      <c r="R235" s="5"/>
      <c r="S235" s="5"/>
      <c r="T235" s="5"/>
      <c r="U235" s="5"/>
      <c r="V235" s="5"/>
      <c r="W235" s="5">
        <v>197.45</v>
      </c>
      <c r="X235" s="5">
        <v>1</v>
      </c>
      <c r="Y235" s="5">
        <v>197.45</v>
      </c>
      <c r="Z235" s="5">
        <v>3424.24</v>
      </c>
      <c r="AA235" s="5">
        <v>1</v>
      </c>
      <c r="AB235" s="5">
        <v>3424.24</v>
      </c>
    </row>
    <row r="236" spans="1:28" x14ac:dyDescent="0.2">
      <c r="A236" s="5">
        <v>50</v>
      </c>
      <c r="B236" s="5">
        <v>0</v>
      </c>
      <c r="C236" s="5">
        <v>0</v>
      </c>
      <c r="D236" s="5">
        <v>1</v>
      </c>
      <c r="E236" s="5">
        <v>231</v>
      </c>
      <c r="F236" s="5">
        <f>ROUND(Source!BB223,O236)</f>
        <v>0</v>
      </c>
      <c r="G236" s="5" t="s">
        <v>179</v>
      </c>
      <c r="H236" s="5" t="s">
        <v>180</v>
      </c>
      <c r="I236" s="5"/>
      <c r="J236" s="5"/>
      <c r="K236" s="5">
        <v>231</v>
      </c>
      <c r="L236" s="5">
        <v>12</v>
      </c>
      <c r="M236" s="5">
        <v>3</v>
      </c>
      <c r="N236" s="5" t="s">
        <v>3</v>
      </c>
      <c r="O236" s="5">
        <v>2</v>
      </c>
      <c r="P236" s="5">
        <f>ROUND(Source!ET223,O236)</f>
        <v>0</v>
      </c>
      <c r="Q236" s="5"/>
      <c r="R236" s="5"/>
      <c r="S236" s="5"/>
      <c r="T236" s="5"/>
      <c r="U236" s="5"/>
      <c r="V236" s="5"/>
      <c r="W236" s="5">
        <v>0</v>
      </c>
      <c r="X236" s="5">
        <v>1</v>
      </c>
      <c r="Y236" s="5">
        <v>0</v>
      </c>
      <c r="Z236" s="5">
        <v>0</v>
      </c>
      <c r="AA236" s="5">
        <v>1</v>
      </c>
      <c r="AB236" s="5">
        <v>0</v>
      </c>
    </row>
    <row r="237" spans="1:28" x14ac:dyDescent="0.2">
      <c r="A237" s="5">
        <v>50</v>
      </c>
      <c r="B237" s="5">
        <v>0</v>
      </c>
      <c r="C237" s="5">
        <v>0</v>
      </c>
      <c r="D237" s="5">
        <v>1</v>
      </c>
      <c r="E237" s="5">
        <v>204</v>
      </c>
      <c r="F237" s="5">
        <f>ROUND(Source!R223,O237)</f>
        <v>32.47</v>
      </c>
      <c r="G237" s="5" t="s">
        <v>181</v>
      </c>
      <c r="H237" s="5" t="s">
        <v>182</v>
      </c>
      <c r="I237" s="5"/>
      <c r="J237" s="5"/>
      <c r="K237" s="5">
        <v>204</v>
      </c>
      <c r="L237" s="5">
        <v>13</v>
      </c>
      <c r="M237" s="5">
        <v>3</v>
      </c>
      <c r="N237" s="5" t="s">
        <v>3</v>
      </c>
      <c r="O237" s="5">
        <v>2</v>
      </c>
      <c r="P237" s="5">
        <f>ROUND(Source!DJ223,O237)</f>
        <v>1785.52</v>
      </c>
      <c r="Q237" s="5"/>
      <c r="R237" s="5"/>
      <c r="S237" s="5"/>
      <c r="T237" s="5"/>
      <c r="U237" s="5"/>
      <c r="V237" s="5"/>
      <c r="W237" s="5">
        <v>32.47</v>
      </c>
      <c r="X237" s="5">
        <v>1</v>
      </c>
      <c r="Y237" s="5">
        <v>32.47</v>
      </c>
      <c r="Z237" s="5">
        <v>1785.52</v>
      </c>
      <c r="AA237" s="5">
        <v>1</v>
      </c>
      <c r="AB237" s="5">
        <v>1785.52</v>
      </c>
    </row>
    <row r="238" spans="1:28" x14ac:dyDescent="0.2">
      <c r="A238" s="5">
        <v>50</v>
      </c>
      <c r="B238" s="5">
        <v>0</v>
      </c>
      <c r="C238" s="5">
        <v>0</v>
      </c>
      <c r="D238" s="5">
        <v>1</v>
      </c>
      <c r="E238" s="5">
        <v>205</v>
      </c>
      <c r="F238" s="5">
        <f>ROUND(Source!S223,O238)</f>
        <v>1501.52</v>
      </c>
      <c r="G238" s="5" t="s">
        <v>183</v>
      </c>
      <c r="H238" s="5" t="s">
        <v>184</v>
      </c>
      <c r="I238" s="5"/>
      <c r="J238" s="5"/>
      <c r="K238" s="5">
        <v>205</v>
      </c>
      <c r="L238" s="5">
        <v>14</v>
      </c>
      <c r="M238" s="5">
        <v>3</v>
      </c>
      <c r="N238" s="5" t="s">
        <v>3</v>
      </c>
      <c r="O238" s="5">
        <v>2</v>
      </c>
      <c r="P238" s="5">
        <f>ROUND(Source!DK223,O238)</f>
        <v>82568.59</v>
      </c>
      <c r="Q238" s="5"/>
      <c r="R238" s="5"/>
      <c r="S238" s="5"/>
      <c r="T238" s="5"/>
      <c r="U238" s="5"/>
      <c r="V238" s="5"/>
      <c r="W238" s="5">
        <v>1501.52</v>
      </c>
      <c r="X238" s="5">
        <v>1</v>
      </c>
      <c r="Y238" s="5">
        <v>1501.52</v>
      </c>
      <c r="Z238" s="5">
        <v>82568.59</v>
      </c>
      <c r="AA238" s="5">
        <v>1</v>
      </c>
      <c r="AB238" s="5">
        <v>82568.59</v>
      </c>
    </row>
    <row r="239" spans="1:28" x14ac:dyDescent="0.2">
      <c r="A239" s="5">
        <v>50</v>
      </c>
      <c r="B239" s="5">
        <v>0</v>
      </c>
      <c r="C239" s="5">
        <v>0</v>
      </c>
      <c r="D239" s="5">
        <v>1</v>
      </c>
      <c r="E239" s="5">
        <v>232</v>
      </c>
      <c r="F239" s="5">
        <f>ROUND(Source!BC223,O239)</f>
        <v>0</v>
      </c>
      <c r="G239" s="5" t="s">
        <v>185</v>
      </c>
      <c r="H239" s="5" t="s">
        <v>186</v>
      </c>
      <c r="I239" s="5"/>
      <c r="J239" s="5"/>
      <c r="K239" s="5">
        <v>232</v>
      </c>
      <c r="L239" s="5">
        <v>15</v>
      </c>
      <c r="M239" s="5">
        <v>3</v>
      </c>
      <c r="N239" s="5" t="s">
        <v>3</v>
      </c>
      <c r="O239" s="5">
        <v>2</v>
      </c>
      <c r="P239" s="5">
        <f>ROUND(Source!EU223,O239)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8" x14ac:dyDescent="0.2">
      <c r="A240" s="5">
        <v>50</v>
      </c>
      <c r="B240" s="5">
        <v>0</v>
      </c>
      <c r="C240" s="5">
        <v>0</v>
      </c>
      <c r="D240" s="5">
        <v>1</v>
      </c>
      <c r="E240" s="5">
        <v>214</v>
      </c>
      <c r="F240" s="5">
        <f>ROUND(Source!AS223,O240)</f>
        <v>0</v>
      </c>
      <c r="G240" s="5" t="s">
        <v>187</v>
      </c>
      <c r="H240" s="5" t="s">
        <v>188</v>
      </c>
      <c r="I240" s="5"/>
      <c r="J240" s="5"/>
      <c r="K240" s="5">
        <v>214</v>
      </c>
      <c r="L240" s="5">
        <v>16</v>
      </c>
      <c r="M240" s="5">
        <v>3</v>
      </c>
      <c r="N240" s="5" t="s">
        <v>3</v>
      </c>
      <c r="O240" s="5">
        <v>2</v>
      </c>
      <c r="P240" s="5">
        <f>ROUND(Source!EK223,O240)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206" x14ac:dyDescent="0.2">
      <c r="A241" s="5">
        <v>50</v>
      </c>
      <c r="B241" s="5">
        <v>0</v>
      </c>
      <c r="C241" s="5">
        <v>0</v>
      </c>
      <c r="D241" s="5">
        <v>1</v>
      </c>
      <c r="E241" s="5">
        <v>215</v>
      </c>
      <c r="F241" s="5">
        <f>ROUND(Source!AT223,O241)</f>
        <v>16361.89</v>
      </c>
      <c r="G241" s="5" t="s">
        <v>189</v>
      </c>
      <c r="H241" s="5" t="s">
        <v>190</v>
      </c>
      <c r="I241" s="5"/>
      <c r="J241" s="5"/>
      <c r="K241" s="5">
        <v>215</v>
      </c>
      <c r="L241" s="5">
        <v>17</v>
      </c>
      <c r="M241" s="5">
        <v>3</v>
      </c>
      <c r="N241" s="5" t="s">
        <v>3</v>
      </c>
      <c r="O241" s="5">
        <v>2</v>
      </c>
      <c r="P241" s="5">
        <f>ROUND(Source!EL223,O241)</f>
        <v>311287.34000000003</v>
      </c>
      <c r="Q241" s="5"/>
      <c r="R241" s="5"/>
      <c r="S241" s="5"/>
      <c r="T241" s="5"/>
      <c r="U241" s="5"/>
      <c r="V241" s="5"/>
      <c r="W241" s="5">
        <v>16361.89</v>
      </c>
      <c r="X241" s="5">
        <v>1</v>
      </c>
      <c r="Y241" s="5">
        <v>16361.89</v>
      </c>
      <c r="Z241" s="5">
        <v>311287.34000000003</v>
      </c>
      <c r="AA241" s="5">
        <v>1</v>
      </c>
      <c r="AB241" s="5">
        <v>311287.34000000003</v>
      </c>
    </row>
    <row r="242" spans="1:206" x14ac:dyDescent="0.2">
      <c r="A242" s="5">
        <v>50</v>
      </c>
      <c r="B242" s="5">
        <v>0</v>
      </c>
      <c r="C242" s="5">
        <v>0</v>
      </c>
      <c r="D242" s="5">
        <v>1</v>
      </c>
      <c r="E242" s="5">
        <v>217</v>
      </c>
      <c r="F242" s="5">
        <f>ROUND(Source!AU223,O242)</f>
        <v>0</v>
      </c>
      <c r="G242" s="5" t="s">
        <v>191</v>
      </c>
      <c r="H242" s="5" t="s">
        <v>192</v>
      </c>
      <c r="I242" s="5"/>
      <c r="J242" s="5"/>
      <c r="K242" s="5">
        <v>217</v>
      </c>
      <c r="L242" s="5">
        <v>18</v>
      </c>
      <c r="M242" s="5">
        <v>3</v>
      </c>
      <c r="N242" s="5" t="s">
        <v>3</v>
      </c>
      <c r="O242" s="5">
        <v>2</v>
      </c>
      <c r="P242" s="5">
        <f>ROUND(Source!EM223,O242)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06" x14ac:dyDescent="0.2">
      <c r="A243" s="5">
        <v>50</v>
      </c>
      <c r="B243" s="5">
        <v>0</v>
      </c>
      <c r="C243" s="5">
        <v>0</v>
      </c>
      <c r="D243" s="5">
        <v>1</v>
      </c>
      <c r="E243" s="5">
        <v>230</v>
      </c>
      <c r="F243" s="5">
        <f>ROUND(Source!BA223,O243)</f>
        <v>0</v>
      </c>
      <c r="G243" s="5" t="s">
        <v>193</v>
      </c>
      <c r="H243" s="5" t="s">
        <v>194</v>
      </c>
      <c r="I243" s="5"/>
      <c r="J243" s="5"/>
      <c r="K243" s="5">
        <v>230</v>
      </c>
      <c r="L243" s="5">
        <v>19</v>
      </c>
      <c r="M243" s="5">
        <v>3</v>
      </c>
      <c r="N243" s="5" t="s">
        <v>3</v>
      </c>
      <c r="O243" s="5">
        <v>2</v>
      </c>
      <c r="P243" s="5">
        <f>ROUND(Source!ES223,O243)</f>
        <v>0</v>
      </c>
      <c r="Q243" s="5"/>
      <c r="R243" s="5"/>
      <c r="S243" s="5"/>
      <c r="T243" s="5"/>
      <c r="U243" s="5"/>
      <c r="V243" s="5"/>
      <c r="W243" s="5">
        <v>0</v>
      </c>
      <c r="X243" s="5">
        <v>1</v>
      </c>
      <c r="Y243" s="5">
        <v>0</v>
      </c>
      <c r="Z243" s="5">
        <v>0</v>
      </c>
      <c r="AA243" s="5">
        <v>1</v>
      </c>
      <c r="AB243" s="5">
        <v>0</v>
      </c>
    </row>
    <row r="244" spans="1:206" x14ac:dyDescent="0.2">
      <c r="A244" s="5">
        <v>50</v>
      </c>
      <c r="B244" s="5">
        <v>0</v>
      </c>
      <c r="C244" s="5">
        <v>0</v>
      </c>
      <c r="D244" s="5">
        <v>1</v>
      </c>
      <c r="E244" s="5">
        <v>206</v>
      </c>
      <c r="F244" s="5">
        <f>ROUND(Source!T223,O244)</f>
        <v>0</v>
      </c>
      <c r="G244" s="5" t="s">
        <v>195</v>
      </c>
      <c r="H244" s="5" t="s">
        <v>196</v>
      </c>
      <c r="I244" s="5"/>
      <c r="J244" s="5"/>
      <c r="K244" s="5">
        <v>206</v>
      </c>
      <c r="L244" s="5">
        <v>20</v>
      </c>
      <c r="M244" s="5">
        <v>3</v>
      </c>
      <c r="N244" s="5" t="s">
        <v>3</v>
      </c>
      <c r="O244" s="5">
        <v>2</v>
      </c>
      <c r="P244" s="5">
        <f>ROUND(Source!DL223,O244)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06" x14ac:dyDescent="0.2">
      <c r="A245" s="5">
        <v>50</v>
      </c>
      <c r="B245" s="5">
        <v>0</v>
      </c>
      <c r="C245" s="5">
        <v>0</v>
      </c>
      <c r="D245" s="5">
        <v>1</v>
      </c>
      <c r="E245" s="5">
        <v>207</v>
      </c>
      <c r="F245" s="5">
        <f>Source!U223</f>
        <v>115.75045679999999</v>
      </c>
      <c r="G245" s="5" t="s">
        <v>197</v>
      </c>
      <c r="H245" s="5" t="s">
        <v>198</v>
      </c>
      <c r="I245" s="5"/>
      <c r="J245" s="5"/>
      <c r="K245" s="5">
        <v>207</v>
      </c>
      <c r="L245" s="5">
        <v>21</v>
      </c>
      <c r="M245" s="5">
        <v>3</v>
      </c>
      <c r="N245" s="5" t="s">
        <v>3</v>
      </c>
      <c r="O245" s="5">
        <v>-1</v>
      </c>
      <c r="P245" s="5">
        <f>Source!DM223</f>
        <v>115.75045679999999</v>
      </c>
      <c r="Q245" s="5"/>
      <c r="R245" s="5"/>
      <c r="S245" s="5"/>
      <c r="T245" s="5"/>
      <c r="U245" s="5"/>
      <c r="V245" s="5"/>
      <c r="W245" s="5">
        <v>115.75045680000001</v>
      </c>
      <c r="X245" s="5">
        <v>1</v>
      </c>
      <c r="Y245" s="5">
        <v>115.75045680000001</v>
      </c>
      <c r="Z245" s="5">
        <v>115.75045680000001</v>
      </c>
      <c r="AA245" s="5">
        <v>1</v>
      </c>
      <c r="AB245" s="5">
        <v>115.75045680000001</v>
      </c>
    </row>
    <row r="246" spans="1:206" x14ac:dyDescent="0.2">
      <c r="A246" s="5">
        <v>50</v>
      </c>
      <c r="B246" s="5">
        <v>0</v>
      </c>
      <c r="C246" s="5">
        <v>0</v>
      </c>
      <c r="D246" s="5">
        <v>1</v>
      </c>
      <c r="E246" s="5">
        <v>208</v>
      </c>
      <c r="F246" s="5">
        <f>Source!V223</f>
        <v>0</v>
      </c>
      <c r="G246" s="5" t="s">
        <v>199</v>
      </c>
      <c r="H246" s="5" t="s">
        <v>200</v>
      </c>
      <c r="I246" s="5"/>
      <c r="J246" s="5"/>
      <c r="K246" s="5">
        <v>208</v>
      </c>
      <c r="L246" s="5">
        <v>22</v>
      </c>
      <c r="M246" s="5">
        <v>3</v>
      </c>
      <c r="N246" s="5" t="s">
        <v>3</v>
      </c>
      <c r="O246" s="5">
        <v>-1</v>
      </c>
      <c r="P246" s="5">
        <f>Source!DN223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206" x14ac:dyDescent="0.2">
      <c r="A247" s="5">
        <v>50</v>
      </c>
      <c r="B247" s="5">
        <v>0</v>
      </c>
      <c r="C247" s="5">
        <v>0</v>
      </c>
      <c r="D247" s="5">
        <v>1</v>
      </c>
      <c r="E247" s="5">
        <v>209</v>
      </c>
      <c r="F247" s="5">
        <f>ROUND(Source!W223,O247)</f>
        <v>0</v>
      </c>
      <c r="G247" s="5" t="s">
        <v>201</v>
      </c>
      <c r="H247" s="5" t="s">
        <v>202</v>
      </c>
      <c r="I247" s="5"/>
      <c r="J247" s="5"/>
      <c r="K247" s="5">
        <v>209</v>
      </c>
      <c r="L247" s="5">
        <v>23</v>
      </c>
      <c r="M247" s="5">
        <v>3</v>
      </c>
      <c r="N247" s="5" t="s">
        <v>3</v>
      </c>
      <c r="O247" s="5">
        <v>2</v>
      </c>
      <c r="P247" s="5">
        <f>ROUND(Source!DO223,O247)</f>
        <v>0</v>
      </c>
      <c r="Q247" s="5"/>
      <c r="R247" s="5"/>
      <c r="S247" s="5"/>
      <c r="T247" s="5"/>
      <c r="U247" s="5"/>
      <c r="V247" s="5"/>
      <c r="W247" s="5">
        <v>0</v>
      </c>
      <c r="X247" s="5">
        <v>1</v>
      </c>
      <c r="Y247" s="5">
        <v>0</v>
      </c>
      <c r="Z247" s="5">
        <v>0</v>
      </c>
      <c r="AA247" s="5">
        <v>1</v>
      </c>
      <c r="AB247" s="5">
        <v>0</v>
      </c>
    </row>
    <row r="248" spans="1:206" x14ac:dyDescent="0.2">
      <c r="A248" s="5">
        <v>50</v>
      </c>
      <c r="B248" s="5">
        <v>0</v>
      </c>
      <c r="C248" s="5">
        <v>0</v>
      </c>
      <c r="D248" s="5">
        <v>1</v>
      </c>
      <c r="E248" s="5">
        <v>233</v>
      </c>
      <c r="F248" s="5">
        <f>ROUND(Source!BD223,O248)</f>
        <v>0</v>
      </c>
      <c r="G248" s="5" t="s">
        <v>203</v>
      </c>
      <c r="H248" s="5" t="s">
        <v>204</v>
      </c>
      <c r="I248" s="5"/>
      <c r="J248" s="5"/>
      <c r="K248" s="5">
        <v>233</v>
      </c>
      <c r="L248" s="5">
        <v>24</v>
      </c>
      <c r="M248" s="5">
        <v>3</v>
      </c>
      <c r="N248" s="5" t="s">
        <v>3</v>
      </c>
      <c r="O248" s="5">
        <v>2</v>
      </c>
      <c r="P248" s="5">
        <f>ROUND(Source!EV223,O248)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06" x14ac:dyDescent="0.2">
      <c r="A249" s="5">
        <v>50</v>
      </c>
      <c r="B249" s="5">
        <v>0</v>
      </c>
      <c r="C249" s="5">
        <v>0</v>
      </c>
      <c r="D249" s="5">
        <v>1</v>
      </c>
      <c r="E249" s="5">
        <v>210</v>
      </c>
      <c r="F249" s="5">
        <f>ROUND(Source!X223,O249)</f>
        <v>1474.35</v>
      </c>
      <c r="G249" s="5" t="s">
        <v>205</v>
      </c>
      <c r="H249" s="5" t="s">
        <v>206</v>
      </c>
      <c r="I249" s="5"/>
      <c r="J249" s="5"/>
      <c r="K249" s="5">
        <v>210</v>
      </c>
      <c r="L249" s="5">
        <v>25</v>
      </c>
      <c r="M249" s="5">
        <v>3</v>
      </c>
      <c r="N249" s="5" t="s">
        <v>3</v>
      </c>
      <c r="O249" s="5">
        <v>2</v>
      </c>
      <c r="P249" s="5">
        <f>ROUND(Source!DP223,O249)</f>
        <v>81075.03</v>
      </c>
      <c r="Q249" s="5"/>
      <c r="R249" s="5"/>
      <c r="S249" s="5"/>
      <c r="T249" s="5"/>
      <c r="U249" s="5"/>
      <c r="V249" s="5"/>
      <c r="W249" s="5">
        <v>1474.35</v>
      </c>
      <c r="X249" s="5">
        <v>1</v>
      </c>
      <c r="Y249" s="5">
        <v>1474.35</v>
      </c>
      <c r="Z249" s="5">
        <v>81075.03</v>
      </c>
      <c r="AA249" s="5">
        <v>1</v>
      </c>
      <c r="AB249" s="5">
        <v>81075.03</v>
      </c>
    </row>
    <row r="250" spans="1:206" x14ac:dyDescent="0.2">
      <c r="A250" s="5">
        <v>50</v>
      </c>
      <c r="B250" s="5">
        <v>0</v>
      </c>
      <c r="C250" s="5">
        <v>0</v>
      </c>
      <c r="D250" s="5">
        <v>1</v>
      </c>
      <c r="E250" s="5">
        <v>211</v>
      </c>
      <c r="F250" s="5">
        <f>ROUND(Source!Y223,O250)</f>
        <v>772.62</v>
      </c>
      <c r="G250" s="5" t="s">
        <v>207</v>
      </c>
      <c r="H250" s="5" t="s">
        <v>208</v>
      </c>
      <c r="I250" s="5"/>
      <c r="J250" s="5"/>
      <c r="K250" s="5">
        <v>211</v>
      </c>
      <c r="L250" s="5">
        <v>26</v>
      </c>
      <c r="M250" s="5">
        <v>3</v>
      </c>
      <c r="N250" s="5" t="s">
        <v>3</v>
      </c>
      <c r="O250" s="5">
        <v>2</v>
      </c>
      <c r="P250" s="5">
        <f>ROUND(Source!DQ223,O250)</f>
        <v>42485.99</v>
      </c>
      <c r="Q250" s="5"/>
      <c r="R250" s="5"/>
      <c r="S250" s="5"/>
      <c r="T250" s="5"/>
      <c r="U250" s="5"/>
      <c r="V250" s="5"/>
      <c r="W250" s="5">
        <v>772.62</v>
      </c>
      <c r="X250" s="5">
        <v>1</v>
      </c>
      <c r="Y250" s="5">
        <v>772.62</v>
      </c>
      <c r="Z250" s="5">
        <v>42485.99</v>
      </c>
      <c r="AA250" s="5">
        <v>1</v>
      </c>
      <c r="AB250" s="5">
        <v>42485.99</v>
      </c>
    </row>
    <row r="251" spans="1:206" x14ac:dyDescent="0.2">
      <c r="A251" s="5">
        <v>50</v>
      </c>
      <c r="B251" s="5">
        <v>0</v>
      </c>
      <c r="C251" s="5">
        <v>0</v>
      </c>
      <c r="D251" s="5">
        <v>1</v>
      </c>
      <c r="E251" s="5">
        <v>224</v>
      </c>
      <c r="F251" s="5">
        <f>ROUND(Source!AR223,O251)</f>
        <v>34607.550000000003</v>
      </c>
      <c r="G251" s="5" t="s">
        <v>209</v>
      </c>
      <c r="H251" s="5" t="s">
        <v>210</v>
      </c>
      <c r="I251" s="5"/>
      <c r="J251" s="5"/>
      <c r="K251" s="5">
        <v>224</v>
      </c>
      <c r="L251" s="5">
        <v>27</v>
      </c>
      <c r="M251" s="5">
        <v>3</v>
      </c>
      <c r="N251" s="5" t="s">
        <v>3</v>
      </c>
      <c r="O251" s="5">
        <v>2</v>
      </c>
      <c r="P251" s="5">
        <f>ROUND(Source!EJ223,O251)</f>
        <v>451118.02</v>
      </c>
      <c r="Q251" s="5"/>
      <c r="R251" s="5"/>
      <c r="S251" s="5"/>
      <c r="T251" s="5"/>
      <c r="U251" s="5"/>
      <c r="V251" s="5"/>
      <c r="W251" s="5">
        <v>34607.550000000003</v>
      </c>
      <c r="X251" s="5">
        <v>1</v>
      </c>
      <c r="Y251" s="5">
        <v>34607.550000000003</v>
      </c>
      <c r="Z251" s="5">
        <v>451118.02</v>
      </c>
      <c r="AA251" s="5">
        <v>1</v>
      </c>
      <c r="AB251" s="5">
        <v>451118.02</v>
      </c>
    </row>
    <row r="253" spans="1:206" x14ac:dyDescent="0.2">
      <c r="A253" s="3">
        <v>51</v>
      </c>
      <c r="B253" s="3">
        <f>B20</f>
        <v>1</v>
      </c>
      <c r="C253" s="3">
        <f>A20</f>
        <v>3</v>
      </c>
      <c r="D253" s="3">
        <f>ROW(A20)</f>
        <v>20</v>
      </c>
      <c r="E253" s="3"/>
      <c r="F253" s="3" t="str">
        <f>IF(F20&lt;&gt;"",F20,"")</f>
        <v>02-01-15</v>
      </c>
      <c r="G253" s="3" t="str">
        <f>IF(G20&lt;&gt;"",G20,"")</f>
        <v>Система контроля и управления доступом</v>
      </c>
      <c r="H253" s="3">
        <v>0</v>
      </c>
      <c r="I253" s="3"/>
      <c r="J253" s="3"/>
      <c r="K253" s="3"/>
      <c r="L253" s="3"/>
      <c r="M253" s="3"/>
      <c r="N253" s="3"/>
      <c r="O253" s="3">
        <f t="shared" ref="O253:T253" si="189">ROUND(O91+O164+O223+AB253,2)</f>
        <v>557859.14</v>
      </c>
      <c r="P253" s="3">
        <f t="shared" si="189"/>
        <v>546496.67000000004</v>
      </c>
      <c r="Q253" s="3">
        <f t="shared" si="189"/>
        <v>1139.47</v>
      </c>
      <c r="R253" s="3">
        <f t="shared" si="189"/>
        <v>174.72</v>
      </c>
      <c r="S253" s="3">
        <f t="shared" si="189"/>
        <v>10223</v>
      </c>
      <c r="T253" s="3">
        <f t="shared" si="189"/>
        <v>0</v>
      </c>
      <c r="U253" s="3">
        <f>U91+U164+U223+AH253</f>
        <v>787.70867010000006</v>
      </c>
      <c r="V253" s="3">
        <f>V91+V164+V223+AI253</f>
        <v>0</v>
      </c>
      <c r="W253" s="3">
        <f>ROUND(W91+W164+W223+AJ253,2)</f>
        <v>0</v>
      </c>
      <c r="X253" s="3">
        <f>ROUND(X91+X164+X223+AK253,2)</f>
        <v>9764.39</v>
      </c>
      <c r="Y253" s="3">
        <f>ROUND(Y91+Y164+Y223+AL253,2)</f>
        <v>5090.3100000000004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>
        <f t="shared" ref="AO253:BD253" si="190">ROUND(AO91+AO164+AO223+BX253,2)</f>
        <v>0</v>
      </c>
      <c r="AP253" s="3">
        <f t="shared" si="190"/>
        <v>499374.71</v>
      </c>
      <c r="AQ253" s="3">
        <f t="shared" si="190"/>
        <v>0</v>
      </c>
      <c r="AR253" s="3">
        <f t="shared" si="190"/>
        <v>572713.84</v>
      </c>
      <c r="AS253" s="3">
        <f t="shared" si="190"/>
        <v>128.53</v>
      </c>
      <c r="AT253" s="3">
        <f t="shared" si="190"/>
        <v>73210.600000000006</v>
      </c>
      <c r="AU253" s="3">
        <f t="shared" si="190"/>
        <v>0</v>
      </c>
      <c r="AV253" s="3">
        <f t="shared" si="190"/>
        <v>546496.67000000004</v>
      </c>
      <c r="AW253" s="3">
        <f t="shared" si="190"/>
        <v>47121.96</v>
      </c>
      <c r="AX253" s="3">
        <f t="shared" si="190"/>
        <v>0</v>
      </c>
      <c r="AY253" s="3">
        <f t="shared" si="190"/>
        <v>47121.96</v>
      </c>
      <c r="AZ253" s="3">
        <f t="shared" si="190"/>
        <v>499374.71</v>
      </c>
      <c r="BA253" s="3">
        <f t="shared" si="190"/>
        <v>0</v>
      </c>
      <c r="BB253" s="3">
        <f t="shared" si="190"/>
        <v>0</v>
      </c>
      <c r="BC253" s="3">
        <f t="shared" si="190"/>
        <v>0</v>
      </c>
      <c r="BD253" s="3">
        <f t="shared" si="190"/>
        <v>0</v>
      </c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4">
        <f t="shared" ref="DG253:DL253" si="191">ROUND(DG91+DG164+DG223+DT253,2)</f>
        <v>4790298.58</v>
      </c>
      <c r="DH253" s="4">
        <f t="shared" si="191"/>
        <v>4208778.26</v>
      </c>
      <c r="DI253" s="4">
        <f t="shared" si="191"/>
        <v>19357.55</v>
      </c>
      <c r="DJ253" s="4">
        <f t="shared" si="191"/>
        <v>9607.84</v>
      </c>
      <c r="DK253" s="4">
        <f t="shared" si="191"/>
        <v>562162.77</v>
      </c>
      <c r="DL253" s="4">
        <f t="shared" si="191"/>
        <v>0</v>
      </c>
      <c r="DM253" s="4">
        <f>DM91+DM164+DM223+DZ253</f>
        <v>787.70867010000006</v>
      </c>
      <c r="DN253" s="4">
        <f>DN91+DN164+DN223+EA253</f>
        <v>0</v>
      </c>
      <c r="DO253" s="4">
        <f>ROUND(DO91+DO164+DO223+EB253,2)</f>
        <v>0</v>
      </c>
      <c r="DP253" s="4">
        <f>ROUND(DP91+DP164+DP223+EC253,2)</f>
        <v>536944.66</v>
      </c>
      <c r="DQ253" s="4">
        <f>ROUND(DQ91+DQ164+DQ223+ED253,2)</f>
        <v>279916.67</v>
      </c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>
        <f t="shared" ref="EG253:EV253" si="192">ROUND(EG91+EG164+EG223+FP253,2)</f>
        <v>0</v>
      </c>
      <c r="EH253" s="4">
        <f t="shared" si="192"/>
        <v>3825668.94</v>
      </c>
      <c r="EI253" s="4">
        <f t="shared" si="192"/>
        <v>0</v>
      </c>
      <c r="EJ253" s="4">
        <f t="shared" si="192"/>
        <v>5607159.9100000001</v>
      </c>
      <c r="EK253" s="4">
        <f t="shared" si="192"/>
        <v>1029.1600000000001</v>
      </c>
      <c r="EL253" s="4">
        <f t="shared" si="192"/>
        <v>1780461.81</v>
      </c>
      <c r="EM253" s="4">
        <f t="shared" si="192"/>
        <v>0</v>
      </c>
      <c r="EN253" s="4">
        <f t="shared" si="192"/>
        <v>4208778.26</v>
      </c>
      <c r="EO253" s="4">
        <f t="shared" si="192"/>
        <v>383109.32</v>
      </c>
      <c r="EP253" s="4">
        <f t="shared" si="192"/>
        <v>0</v>
      </c>
      <c r="EQ253" s="4">
        <f t="shared" si="192"/>
        <v>383109.32</v>
      </c>
      <c r="ER253" s="4">
        <f t="shared" si="192"/>
        <v>3825668.94</v>
      </c>
      <c r="ES253" s="4">
        <f t="shared" si="192"/>
        <v>0</v>
      </c>
      <c r="ET253" s="4">
        <f t="shared" si="192"/>
        <v>0</v>
      </c>
      <c r="EU253" s="4">
        <f t="shared" si="192"/>
        <v>0</v>
      </c>
      <c r="EV253" s="4">
        <f t="shared" si="192"/>
        <v>0</v>
      </c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>
        <v>0</v>
      </c>
    </row>
    <row r="255" spans="1:206" x14ac:dyDescent="0.2">
      <c r="A255" s="5">
        <v>50</v>
      </c>
      <c r="B255" s="5">
        <v>0</v>
      </c>
      <c r="C255" s="5">
        <v>0</v>
      </c>
      <c r="D255" s="5">
        <v>1</v>
      </c>
      <c r="E255" s="5">
        <v>201</v>
      </c>
      <c r="F255" s="5">
        <f>ROUND(Source!O253,O255)</f>
        <v>557859.14</v>
      </c>
      <c r="G255" s="5" t="s">
        <v>157</v>
      </c>
      <c r="H255" s="5" t="s">
        <v>158</v>
      </c>
      <c r="I255" s="5"/>
      <c r="J255" s="5"/>
      <c r="K255" s="5">
        <v>201</v>
      </c>
      <c r="L255" s="5">
        <v>1</v>
      </c>
      <c r="M255" s="5">
        <v>3</v>
      </c>
      <c r="N255" s="5" t="s">
        <v>3</v>
      </c>
      <c r="O255" s="5">
        <v>2</v>
      </c>
      <c r="P255" s="5">
        <f>ROUND(Source!DG253,O255)</f>
        <v>4790298.58</v>
      </c>
      <c r="Q255" s="5"/>
      <c r="R255" s="5"/>
      <c r="S255" s="5"/>
      <c r="T255" s="5"/>
      <c r="U255" s="5"/>
      <c r="V255" s="5"/>
      <c r="W255" s="5">
        <v>557859.14</v>
      </c>
      <c r="X255" s="5">
        <v>1</v>
      </c>
      <c r="Y255" s="5">
        <v>557859.14</v>
      </c>
      <c r="Z255" s="5">
        <v>4790298.58</v>
      </c>
      <c r="AA255" s="5">
        <v>1</v>
      </c>
      <c r="AB255" s="5">
        <v>4790298.58</v>
      </c>
    </row>
    <row r="256" spans="1:206" x14ac:dyDescent="0.2">
      <c r="A256" s="5">
        <v>50</v>
      </c>
      <c r="B256" s="5">
        <v>0</v>
      </c>
      <c r="C256" s="5">
        <v>0</v>
      </c>
      <c r="D256" s="5">
        <v>1</v>
      </c>
      <c r="E256" s="5">
        <v>202</v>
      </c>
      <c r="F256" s="5">
        <f>ROUND(Source!P253,O256)</f>
        <v>546496.67000000004</v>
      </c>
      <c r="G256" s="5" t="s">
        <v>159</v>
      </c>
      <c r="H256" s="5" t="s">
        <v>160</v>
      </c>
      <c r="I256" s="5"/>
      <c r="J256" s="5"/>
      <c r="K256" s="5">
        <v>202</v>
      </c>
      <c r="L256" s="5">
        <v>2</v>
      </c>
      <c r="M256" s="5">
        <v>3</v>
      </c>
      <c r="N256" s="5" t="s">
        <v>3</v>
      </c>
      <c r="O256" s="5">
        <v>2</v>
      </c>
      <c r="P256" s="5">
        <f>ROUND(Source!DH253,O256)</f>
        <v>4208778.26</v>
      </c>
      <c r="Q256" s="5"/>
      <c r="R256" s="5"/>
      <c r="S256" s="5"/>
      <c r="T256" s="5"/>
      <c r="U256" s="5"/>
      <c r="V256" s="5"/>
      <c r="W256" s="5">
        <v>546496.67000000004</v>
      </c>
      <c r="X256" s="5">
        <v>1</v>
      </c>
      <c r="Y256" s="5">
        <v>546496.67000000004</v>
      </c>
      <c r="Z256" s="5">
        <v>4208778.26</v>
      </c>
      <c r="AA256" s="5">
        <v>1</v>
      </c>
      <c r="AB256" s="5">
        <v>4208778.26</v>
      </c>
    </row>
    <row r="257" spans="1:28" x14ac:dyDescent="0.2">
      <c r="A257" s="5">
        <v>50</v>
      </c>
      <c r="B257" s="5">
        <v>0</v>
      </c>
      <c r="C257" s="5">
        <v>0</v>
      </c>
      <c r="D257" s="5">
        <v>1</v>
      </c>
      <c r="E257" s="5">
        <v>222</v>
      </c>
      <c r="F257" s="5">
        <f>ROUND(Source!AO253,O257)</f>
        <v>0</v>
      </c>
      <c r="G257" s="5" t="s">
        <v>161</v>
      </c>
      <c r="H257" s="5" t="s">
        <v>162</v>
      </c>
      <c r="I257" s="5"/>
      <c r="J257" s="5"/>
      <c r="K257" s="5">
        <v>222</v>
      </c>
      <c r="L257" s="5">
        <v>3</v>
      </c>
      <c r="M257" s="5">
        <v>3</v>
      </c>
      <c r="N257" s="5" t="s">
        <v>3</v>
      </c>
      <c r="O257" s="5">
        <v>2</v>
      </c>
      <c r="P257" s="5">
        <f>ROUND(Source!EG253,O257)</f>
        <v>0</v>
      </c>
      <c r="Q257" s="5"/>
      <c r="R257" s="5"/>
      <c r="S257" s="5"/>
      <c r="T257" s="5"/>
      <c r="U257" s="5"/>
      <c r="V257" s="5"/>
      <c r="W257" s="5">
        <v>0</v>
      </c>
      <c r="X257" s="5">
        <v>1</v>
      </c>
      <c r="Y257" s="5">
        <v>0</v>
      </c>
      <c r="Z257" s="5">
        <v>0</v>
      </c>
      <c r="AA257" s="5">
        <v>1</v>
      </c>
      <c r="AB257" s="5">
        <v>0</v>
      </c>
    </row>
    <row r="258" spans="1:28" x14ac:dyDescent="0.2">
      <c r="A258" s="5">
        <v>50</v>
      </c>
      <c r="B258" s="5">
        <v>0</v>
      </c>
      <c r="C258" s="5">
        <v>0</v>
      </c>
      <c r="D258" s="5">
        <v>1</v>
      </c>
      <c r="E258" s="5">
        <v>225</v>
      </c>
      <c r="F258" s="5">
        <f>ROUND(Source!AV253,O258)</f>
        <v>546496.67000000004</v>
      </c>
      <c r="G258" s="5" t="s">
        <v>163</v>
      </c>
      <c r="H258" s="5" t="s">
        <v>164</v>
      </c>
      <c r="I258" s="5"/>
      <c r="J258" s="5"/>
      <c r="K258" s="5">
        <v>225</v>
      </c>
      <c r="L258" s="5">
        <v>4</v>
      </c>
      <c r="M258" s="5">
        <v>3</v>
      </c>
      <c r="N258" s="5" t="s">
        <v>3</v>
      </c>
      <c r="O258" s="5">
        <v>2</v>
      </c>
      <c r="P258" s="5">
        <f>ROUND(Source!EN253,O258)</f>
        <v>4208778.26</v>
      </c>
      <c r="Q258" s="5"/>
      <c r="R258" s="5"/>
      <c r="S258" s="5"/>
      <c r="T258" s="5"/>
      <c r="U258" s="5"/>
      <c r="V258" s="5"/>
      <c r="W258" s="5">
        <v>546496.67000000004</v>
      </c>
      <c r="X258" s="5">
        <v>1</v>
      </c>
      <c r="Y258" s="5">
        <v>546496.67000000004</v>
      </c>
      <c r="Z258" s="5">
        <v>4208778.26</v>
      </c>
      <c r="AA258" s="5">
        <v>1</v>
      </c>
      <c r="AB258" s="5">
        <v>4208778.26</v>
      </c>
    </row>
    <row r="259" spans="1:28" x14ac:dyDescent="0.2">
      <c r="A259" s="5">
        <v>50</v>
      </c>
      <c r="B259" s="5">
        <v>0</v>
      </c>
      <c r="C259" s="5">
        <v>0</v>
      </c>
      <c r="D259" s="5">
        <v>1</v>
      </c>
      <c r="E259" s="5">
        <v>226</v>
      </c>
      <c r="F259" s="5">
        <f>ROUND(Source!AW253,O259)</f>
        <v>47121.96</v>
      </c>
      <c r="G259" s="5" t="s">
        <v>165</v>
      </c>
      <c r="H259" s="5" t="s">
        <v>166</v>
      </c>
      <c r="I259" s="5"/>
      <c r="J259" s="5"/>
      <c r="K259" s="5">
        <v>226</v>
      </c>
      <c r="L259" s="5">
        <v>5</v>
      </c>
      <c r="M259" s="5">
        <v>3</v>
      </c>
      <c r="N259" s="5" t="s">
        <v>3</v>
      </c>
      <c r="O259" s="5">
        <v>2</v>
      </c>
      <c r="P259" s="5">
        <f>ROUND(Source!EO253,O259)</f>
        <v>383109.32</v>
      </c>
      <c r="Q259" s="5"/>
      <c r="R259" s="5"/>
      <c r="S259" s="5"/>
      <c r="T259" s="5"/>
      <c r="U259" s="5"/>
      <c r="V259" s="5"/>
      <c r="W259" s="5">
        <v>47121.96</v>
      </c>
      <c r="X259" s="5">
        <v>1</v>
      </c>
      <c r="Y259" s="5">
        <v>47121.96</v>
      </c>
      <c r="Z259" s="5">
        <v>383109.32</v>
      </c>
      <c r="AA259" s="5">
        <v>1</v>
      </c>
      <c r="AB259" s="5">
        <v>383109.32</v>
      </c>
    </row>
    <row r="260" spans="1:28" x14ac:dyDescent="0.2">
      <c r="A260" s="5">
        <v>50</v>
      </c>
      <c r="B260" s="5">
        <v>0</v>
      </c>
      <c r="C260" s="5">
        <v>0</v>
      </c>
      <c r="D260" s="5">
        <v>1</v>
      </c>
      <c r="E260" s="5">
        <v>227</v>
      </c>
      <c r="F260" s="5">
        <f>ROUND(Source!AX253,O260)</f>
        <v>0</v>
      </c>
      <c r="G260" s="5" t="s">
        <v>167</v>
      </c>
      <c r="H260" s="5" t="s">
        <v>168</v>
      </c>
      <c r="I260" s="5"/>
      <c r="J260" s="5"/>
      <c r="K260" s="5">
        <v>227</v>
      </c>
      <c r="L260" s="5">
        <v>6</v>
      </c>
      <c r="M260" s="5">
        <v>3</v>
      </c>
      <c r="N260" s="5" t="s">
        <v>3</v>
      </c>
      <c r="O260" s="5">
        <v>2</v>
      </c>
      <c r="P260" s="5">
        <f>ROUND(Source!EP253,O260)</f>
        <v>0</v>
      </c>
      <c r="Q260" s="5"/>
      <c r="R260" s="5"/>
      <c r="S260" s="5"/>
      <c r="T260" s="5"/>
      <c r="U260" s="5"/>
      <c r="V260" s="5"/>
      <c r="W260" s="5">
        <v>0</v>
      </c>
      <c r="X260" s="5">
        <v>1</v>
      </c>
      <c r="Y260" s="5">
        <v>0</v>
      </c>
      <c r="Z260" s="5">
        <v>0</v>
      </c>
      <c r="AA260" s="5">
        <v>1</v>
      </c>
      <c r="AB260" s="5">
        <v>0</v>
      </c>
    </row>
    <row r="261" spans="1:28" x14ac:dyDescent="0.2">
      <c r="A261" s="5">
        <v>50</v>
      </c>
      <c r="B261" s="5">
        <v>0</v>
      </c>
      <c r="C261" s="5">
        <v>0</v>
      </c>
      <c r="D261" s="5">
        <v>1</v>
      </c>
      <c r="E261" s="5">
        <v>228</v>
      </c>
      <c r="F261" s="5">
        <f>ROUND(Source!AY253,O261)</f>
        <v>47121.96</v>
      </c>
      <c r="G261" s="5" t="s">
        <v>169</v>
      </c>
      <c r="H261" s="5" t="s">
        <v>170</v>
      </c>
      <c r="I261" s="5"/>
      <c r="J261" s="5"/>
      <c r="K261" s="5">
        <v>228</v>
      </c>
      <c r="L261" s="5">
        <v>7</v>
      </c>
      <c r="M261" s="5">
        <v>3</v>
      </c>
      <c r="N261" s="5" t="s">
        <v>3</v>
      </c>
      <c r="O261" s="5">
        <v>2</v>
      </c>
      <c r="P261" s="5">
        <f>ROUND(Source!EQ253,O261)</f>
        <v>383109.32</v>
      </c>
      <c r="Q261" s="5"/>
      <c r="R261" s="5"/>
      <c r="S261" s="5"/>
      <c r="T261" s="5"/>
      <c r="U261" s="5"/>
      <c r="V261" s="5"/>
      <c r="W261" s="5">
        <v>47121.96</v>
      </c>
      <c r="X261" s="5">
        <v>1</v>
      </c>
      <c r="Y261" s="5">
        <v>47121.96</v>
      </c>
      <c r="Z261" s="5">
        <v>383109.32</v>
      </c>
      <c r="AA261" s="5">
        <v>1</v>
      </c>
      <c r="AB261" s="5">
        <v>383109.32</v>
      </c>
    </row>
    <row r="262" spans="1:28" x14ac:dyDescent="0.2">
      <c r="A262" s="5">
        <v>50</v>
      </c>
      <c r="B262" s="5">
        <v>0</v>
      </c>
      <c r="C262" s="5">
        <v>0</v>
      </c>
      <c r="D262" s="5">
        <v>1</v>
      </c>
      <c r="E262" s="5">
        <v>216</v>
      </c>
      <c r="F262" s="5">
        <f>ROUND(Source!AP253,O262)</f>
        <v>499374.71</v>
      </c>
      <c r="G262" s="5" t="s">
        <v>171</v>
      </c>
      <c r="H262" s="5" t="s">
        <v>172</v>
      </c>
      <c r="I262" s="5"/>
      <c r="J262" s="5"/>
      <c r="K262" s="5">
        <v>216</v>
      </c>
      <c r="L262" s="5">
        <v>8</v>
      </c>
      <c r="M262" s="5">
        <v>3</v>
      </c>
      <c r="N262" s="5" t="s">
        <v>3</v>
      </c>
      <c r="O262" s="5">
        <v>2</v>
      </c>
      <c r="P262" s="5">
        <f>ROUND(Source!EH253,O262)</f>
        <v>3825668.94</v>
      </c>
      <c r="Q262" s="5"/>
      <c r="R262" s="5"/>
      <c r="S262" s="5"/>
      <c r="T262" s="5"/>
      <c r="U262" s="5"/>
      <c r="V262" s="5"/>
      <c r="W262" s="5">
        <v>499374.71</v>
      </c>
      <c r="X262" s="5">
        <v>1</v>
      </c>
      <c r="Y262" s="5">
        <v>499374.71</v>
      </c>
      <c r="Z262" s="5">
        <v>3825668.94</v>
      </c>
      <c r="AA262" s="5">
        <v>1</v>
      </c>
      <c r="AB262" s="5">
        <v>3825668.94</v>
      </c>
    </row>
    <row r="263" spans="1:28" x14ac:dyDescent="0.2">
      <c r="A263" s="5">
        <v>50</v>
      </c>
      <c r="B263" s="5">
        <v>0</v>
      </c>
      <c r="C263" s="5">
        <v>0</v>
      </c>
      <c r="D263" s="5">
        <v>1</v>
      </c>
      <c r="E263" s="5">
        <v>223</v>
      </c>
      <c r="F263" s="5">
        <f>ROUND(Source!AQ253,O263)</f>
        <v>0</v>
      </c>
      <c r="G263" s="5" t="s">
        <v>173</v>
      </c>
      <c r="H263" s="5" t="s">
        <v>174</v>
      </c>
      <c r="I263" s="5"/>
      <c r="J263" s="5"/>
      <c r="K263" s="5">
        <v>223</v>
      </c>
      <c r="L263" s="5">
        <v>9</v>
      </c>
      <c r="M263" s="5">
        <v>3</v>
      </c>
      <c r="N263" s="5" t="s">
        <v>3</v>
      </c>
      <c r="O263" s="5">
        <v>2</v>
      </c>
      <c r="P263" s="5">
        <f>ROUND(Source!EI253,O263)</f>
        <v>0</v>
      </c>
      <c r="Q263" s="5"/>
      <c r="R263" s="5"/>
      <c r="S263" s="5"/>
      <c r="T263" s="5"/>
      <c r="U263" s="5"/>
      <c r="V263" s="5"/>
      <c r="W263" s="5">
        <v>0</v>
      </c>
      <c r="X263" s="5">
        <v>1</v>
      </c>
      <c r="Y263" s="5">
        <v>0</v>
      </c>
      <c r="Z263" s="5">
        <v>0</v>
      </c>
      <c r="AA263" s="5">
        <v>1</v>
      </c>
      <c r="AB263" s="5">
        <v>0</v>
      </c>
    </row>
    <row r="264" spans="1:28" x14ac:dyDescent="0.2">
      <c r="A264" s="5">
        <v>50</v>
      </c>
      <c r="B264" s="5">
        <v>0</v>
      </c>
      <c r="C264" s="5">
        <v>0</v>
      </c>
      <c r="D264" s="5">
        <v>1</v>
      </c>
      <c r="E264" s="5">
        <v>229</v>
      </c>
      <c r="F264" s="5">
        <f>ROUND(Source!AZ253,O264)</f>
        <v>499374.71</v>
      </c>
      <c r="G264" s="5" t="s">
        <v>175</v>
      </c>
      <c r="H264" s="5" t="s">
        <v>176</v>
      </c>
      <c r="I264" s="5"/>
      <c r="J264" s="5"/>
      <c r="K264" s="5">
        <v>229</v>
      </c>
      <c r="L264" s="5">
        <v>10</v>
      </c>
      <c r="M264" s="5">
        <v>3</v>
      </c>
      <c r="N264" s="5" t="s">
        <v>3</v>
      </c>
      <c r="O264" s="5">
        <v>2</v>
      </c>
      <c r="P264" s="5">
        <f>ROUND(Source!ER253,O264)</f>
        <v>3825668.94</v>
      </c>
      <c r="Q264" s="5"/>
      <c r="R264" s="5"/>
      <c r="S264" s="5"/>
      <c r="T264" s="5"/>
      <c r="U264" s="5"/>
      <c r="V264" s="5"/>
      <c r="W264" s="5">
        <v>499374.71</v>
      </c>
      <c r="X264" s="5">
        <v>1</v>
      </c>
      <c r="Y264" s="5">
        <v>499374.71</v>
      </c>
      <c r="Z264" s="5">
        <v>3825668.94</v>
      </c>
      <c r="AA264" s="5">
        <v>1</v>
      </c>
      <c r="AB264" s="5">
        <v>3825668.94</v>
      </c>
    </row>
    <row r="265" spans="1:28" x14ac:dyDescent="0.2">
      <c r="A265" s="5">
        <v>50</v>
      </c>
      <c r="B265" s="5">
        <v>0</v>
      </c>
      <c r="C265" s="5">
        <v>0</v>
      </c>
      <c r="D265" s="5">
        <v>1</v>
      </c>
      <c r="E265" s="5">
        <v>203</v>
      </c>
      <c r="F265" s="5">
        <f>ROUND(Source!Q253,O265)</f>
        <v>1139.47</v>
      </c>
      <c r="G265" s="5" t="s">
        <v>177</v>
      </c>
      <c r="H265" s="5" t="s">
        <v>178</v>
      </c>
      <c r="I265" s="5"/>
      <c r="J265" s="5"/>
      <c r="K265" s="5">
        <v>203</v>
      </c>
      <c r="L265" s="5">
        <v>11</v>
      </c>
      <c r="M265" s="5">
        <v>3</v>
      </c>
      <c r="N265" s="5" t="s">
        <v>3</v>
      </c>
      <c r="O265" s="5">
        <v>2</v>
      </c>
      <c r="P265" s="5">
        <f>ROUND(Source!DI253,O265)</f>
        <v>19357.55</v>
      </c>
      <c r="Q265" s="5"/>
      <c r="R265" s="5"/>
      <c r="S265" s="5"/>
      <c r="T265" s="5"/>
      <c r="U265" s="5"/>
      <c r="V265" s="5"/>
      <c r="W265" s="5">
        <v>1139.47</v>
      </c>
      <c r="X265" s="5">
        <v>1</v>
      </c>
      <c r="Y265" s="5">
        <v>1139.47</v>
      </c>
      <c r="Z265" s="5">
        <v>19357.55</v>
      </c>
      <c r="AA265" s="5">
        <v>1</v>
      </c>
      <c r="AB265" s="5">
        <v>19357.55</v>
      </c>
    </row>
    <row r="266" spans="1:28" x14ac:dyDescent="0.2">
      <c r="A266" s="5">
        <v>50</v>
      </c>
      <c r="B266" s="5">
        <v>0</v>
      </c>
      <c r="C266" s="5">
        <v>0</v>
      </c>
      <c r="D266" s="5">
        <v>1</v>
      </c>
      <c r="E266" s="5">
        <v>231</v>
      </c>
      <c r="F266" s="5">
        <f>ROUND(Source!BB253,O266)</f>
        <v>0</v>
      </c>
      <c r="G266" s="5" t="s">
        <v>179</v>
      </c>
      <c r="H266" s="5" t="s">
        <v>180</v>
      </c>
      <c r="I266" s="5"/>
      <c r="J266" s="5"/>
      <c r="K266" s="5">
        <v>231</v>
      </c>
      <c r="L266" s="5">
        <v>12</v>
      </c>
      <c r="M266" s="5">
        <v>3</v>
      </c>
      <c r="N266" s="5" t="s">
        <v>3</v>
      </c>
      <c r="O266" s="5">
        <v>2</v>
      </c>
      <c r="P266" s="5">
        <f>ROUND(Source!ET253,O266)</f>
        <v>0</v>
      </c>
      <c r="Q266" s="5"/>
      <c r="R266" s="5"/>
      <c r="S266" s="5"/>
      <c r="T266" s="5"/>
      <c r="U266" s="5"/>
      <c r="V266" s="5"/>
      <c r="W266" s="5">
        <v>0</v>
      </c>
      <c r="X266" s="5">
        <v>1</v>
      </c>
      <c r="Y266" s="5">
        <v>0</v>
      </c>
      <c r="Z266" s="5">
        <v>0</v>
      </c>
      <c r="AA266" s="5">
        <v>1</v>
      </c>
      <c r="AB266" s="5">
        <v>0</v>
      </c>
    </row>
    <row r="267" spans="1:28" x14ac:dyDescent="0.2">
      <c r="A267" s="5">
        <v>50</v>
      </c>
      <c r="B267" s="5">
        <v>0</v>
      </c>
      <c r="C267" s="5">
        <v>0</v>
      </c>
      <c r="D267" s="5">
        <v>1</v>
      </c>
      <c r="E267" s="5">
        <v>204</v>
      </c>
      <c r="F267" s="5">
        <f>ROUND(Source!R253,O267)</f>
        <v>174.72</v>
      </c>
      <c r="G267" s="5" t="s">
        <v>181</v>
      </c>
      <c r="H267" s="5" t="s">
        <v>182</v>
      </c>
      <c r="I267" s="5"/>
      <c r="J267" s="5"/>
      <c r="K267" s="5">
        <v>204</v>
      </c>
      <c r="L267" s="5">
        <v>13</v>
      </c>
      <c r="M267" s="5">
        <v>3</v>
      </c>
      <c r="N267" s="5" t="s">
        <v>3</v>
      </c>
      <c r="O267" s="5">
        <v>2</v>
      </c>
      <c r="P267" s="5">
        <f>ROUND(Source!DJ253,O267)</f>
        <v>9607.84</v>
      </c>
      <c r="Q267" s="5"/>
      <c r="R267" s="5"/>
      <c r="S267" s="5"/>
      <c r="T267" s="5"/>
      <c r="U267" s="5"/>
      <c r="V267" s="5"/>
      <c r="W267" s="5">
        <v>174.72</v>
      </c>
      <c r="X267" s="5">
        <v>1</v>
      </c>
      <c r="Y267" s="5">
        <v>174.72</v>
      </c>
      <c r="Z267" s="5">
        <v>9607.84</v>
      </c>
      <c r="AA267" s="5">
        <v>1</v>
      </c>
      <c r="AB267" s="5">
        <v>9607.84</v>
      </c>
    </row>
    <row r="268" spans="1:28" x14ac:dyDescent="0.2">
      <c r="A268" s="5">
        <v>50</v>
      </c>
      <c r="B268" s="5">
        <v>0</v>
      </c>
      <c r="C268" s="5">
        <v>0</v>
      </c>
      <c r="D268" s="5">
        <v>1</v>
      </c>
      <c r="E268" s="5">
        <v>205</v>
      </c>
      <c r="F268" s="5">
        <f>ROUND(Source!S253,O268)</f>
        <v>10223</v>
      </c>
      <c r="G268" s="5" t="s">
        <v>183</v>
      </c>
      <c r="H268" s="5" t="s">
        <v>184</v>
      </c>
      <c r="I268" s="5"/>
      <c r="J268" s="5"/>
      <c r="K268" s="5">
        <v>205</v>
      </c>
      <c r="L268" s="5">
        <v>14</v>
      </c>
      <c r="M268" s="5">
        <v>3</v>
      </c>
      <c r="N268" s="5" t="s">
        <v>3</v>
      </c>
      <c r="O268" s="5">
        <v>2</v>
      </c>
      <c r="P268" s="5">
        <f>ROUND(Source!DK253,O268)</f>
        <v>562162.77</v>
      </c>
      <c r="Q268" s="5"/>
      <c r="R268" s="5"/>
      <c r="S268" s="5"/>
      <c r="T268" s="5"/>
      <c r="U268" s="5"/>
      <c r="V268" s="5"/>
      <c r="W268" s="5">
        <v>10223</v>
      </c>
      <c r="X268" s="5">
        <v>1</v>
      </c>
      <c r="Y268" s="5">
        <v>10223</v>
      </c>
      <c r="Z268" s="5">
        <v>562162.77</v>
      </c>
      <c r="AA268" s="5">
        <v>1</v>
      </c>
      <c r="AB268" s="5">
        <v>562162.77</v>
      </c>
    </row>
    <row r="269" spans="1:28" x14ac:dyDescent="0.2">
      <c r="A269" s="5">
        <v>50</v>
      </c>
      <c r="B269" s="5">
        <v>0</v>
      </c>
      <c r="C269" s="5">
        <v>0</v>
      </c>
      <c r="D269" s="5">
        <v>1</v>
      </c>
      <c r="E269" s="5">
        <v>232</v>
      </c>
      <c r="F269" s="5">
        <f>ROUND(Source!BC253,O269)</f>
        <v>0</v>
      </c>
      <c r="G269" s="5" t="s">
        <v>185</v>
      </c>
      <c r="H269" s="5" t="s">
        <v>186</v>
      </c>
      <c r="I269" s="5"/>
      <c r="J269" s="5"/>
      <c r="K269" s="5">
        <v>232</v>
      </c>
      <c r="L269" s="5">
        <v>15</v>
      </c>
      <c r="M269" s="5">
        <v>3</v>
      </c>
      <c r="N269" s="5" t="s">
        <v>3</v>
      </c>
      <c r="O269" s="5">
        <v>2</v>
      </c>
      <c r="P269" s="5">
        <f>ROUND(Source!EU253,O269)</f>
        <v>0</v>
      </c>
      <c r="Q269" s="5"/>
      <c r="R269" s="5"/>
      <c r="S269" s="5"/>
      <c r="T269" s="5"/>
      <c r="U269" s="5"/>
      <c r="V269" s="5"/>
      <c r="W269" s="5">
        <v>0</v>
      </c>
      <c r="X269" s="5">
        <v>1</v>
      </c>
      <c r="Y269" s="5">
        <v>0</v>
      </c>
      <c r="Z269" s="5">
        <v>0</v>
      </c>
      <c r="AA269" s="5">
        <v>1</v>
      </c>
      <c r="AB269" s="5">
        <v>0</v>
      </c>
    </row>
    <row r="270" spans="1:28" x14ac:dyDescent="0.2">
      <c r="A270" s="5">
        <v>50</v>
      </c>
      <c r="B270" s="5">
        <v>0</v>
      </c>
      <c r="C270" s="5">
        <v>0</v>
      </c>
      <c r="D270" s="5">
        <v>1</v>
      </c>
      <c r="E270" s="5">
        <v>214</v>
      </c>
      <c r="F270" s="5">
        <f>ROUND(Source!AS253,O270)</f>
        <v>128.53</v>
      </c>
      <c r="G270" s="5" t="s">
        <v>187</v>
      </c>
      <c r="H270" s="5" t="s">
        <v>188</v>
      </c>
      <c r="I270" s="5"/>
      <c r="J270" s="5"/>
      <c r="K270" s="5">
        <v>214</v>
      </c>
      <c r="L270" s="5">
        <v>16</v>
      </c>
      <c r="M270" s="5">
        <v>3</v>
      </c>
      <c r="N270" s="5" t="s">
        <v>3</v>
      </c>
      <c r="O270" s="5">
        <v>2</v>
      </c>
      <c r="P270" s="5">
        <f>ROUND(Source!EK253,O270)</f>
        <v>1029.1600000000001</v>
      </c>
      <c r="Q270" s="5"/>
      <c r="R270" s="5"/>
      <c r="S270" s="5"/>
      <c r="T270" s="5"/>
      <c r="U270" s="5"/>
      <c r="V270" s="5"/>
      <c r="W270" s="5">
        <v>128.53</v>
      </c>
      <c r="X270" s="5">
        <v>1</v>
      </c>
      <c r="Y270" s="5">
        <v>128.53</v>
      </c>
      <c r="Z270" s="5">
        <v>1029.1600000000001</v>
      </c>
      <c r="AA270" s="5">
        <v>1</v>
      </c>
      <c r="AB270" s="5">
        <v>1029.1600000000001</v>
      </c>
    </row>
    <row r="271" spans="1:28" x14ac:dyDescent="0.2">
      <c r="A271" s="5">
        <v>50</v>
      </c>
      <c r="B271" s="5">
        <v>0</v>
      </c>
      <c r="C271" s="5">
        <v>0</v>
      </c>
      <c r="D271" s="5">
        <v>1</v>
      </c>
      <c r="E271" s="5">
        <v>215</v>
      </c>
      <c r="F271" s="5">
        <f>ROUND(Source!AT253,O271)</f>
        <v>73210.600000000006</v>
      </c>
      <c r="G271" s="5" t="s">
        <v>189</v>
      </c>
      <c r="H271" s="5" t="s">
        <v>190</v>
      </c>
      <c r="I271" s="5"/>
      <c r="J271" s="5"/>
      <c r="K271" s="5">
        <v>215</v>
      </c>
      <c r="L271" s="5">
        <v>17</v>
      </c>
      <c r="M271" s="5">
        <v>3</v>
      </c>
      <c r="N271" s="5" t="s">
        <v>3</v>
      </c>
      <c r="O271" s="5">
        <v>2</v>
      </c>
      <c r="P271" s="5">
        <f>ROUND(Source!EL253,O271)</f>
        <v>1780461.81</v>
      </c>
      <c r="Q271" s="5"/>
      <c r="R271" s="5"/>
      <c r="S271" s="5"/>
      <c r="T271" s="5"/>
      <c r="U271" s="5"/>
      <c r="V271" s="5"/>
      <c r="W271" s="5">
        <v>73210.600000000006</v>
      </c>
      <c r="X271" s="5">
        <v>1</v>
      </c>
      <c r="Y271" s="5">
        <v>73210.600000000006</v>
      </c>
      <c r="Z271" s="5">
        <v>1780461.81</v>
      </c>
      <c r="AA271" s="5">
        <v>1</v>
      </c>
      <c r="AB271" s="5">
        <v>1780461.81</v>
      </c>
    </row>
    <row r="272" spans="1:28" x14ac:dyDescent="0.2">
      <c r="A272" s="5">
        <v>50</v>
      </c>
      <c r="B272" s="5">
        <v>0</v>
      </c>
      <c r="C272" s="5">
        <v>0</v>
      </c>
      <c r="D272" s="5">
        <v>1</v>
      </c>
      <c r="E272" s="5">
        <v>217</v>
      </c>
      <c r="F272" s="5">
        <f>ROUND(Source!AU253,O272)</f>
        <v>0</v>
      </c>
      <c r="G272" s="5" t="s">
        <v>191</v>
      </c>
      <c r="H272" s="5" t="s">
        <v>192</v>
      </c>
      <c r="I272" s="5"/>
      <c r="J272" s="5"/>
      <c r="K272" s="5">
        <v>217</v>
      </c>
      <c r="L272" s="5">
        <v>18</v>
      </c>
      <c r="M272" s="5">
        <v>3</v>
      </c>
      <c r="N272" s="5" t="s">
        <v>3</v>
      </c>
      <c r="O272" s="5">
        <v>2</v>
      </c>
      <c r="P272" s="5">
        <f>ROUND(Source!EM253,O272)</f>
        <v>0</v>
      </c>
      <c r="Q272" s="5"/>
      <c r="R272" s="5"/>
      <c r="S272" s="5"/>
      <c r="T272" s="5"/>
      <c r="U272" s="5"/>
      <c r="V272" s="5"/>
      <c r="W272" s="5">
        <v>0</v>
      </c>
      <c r="X272" s="5">
        <v>1</v>
      </c>
      <c r="Y272" s="5">
        <v>0</v>
      </c>
      <c r="Z272" s="5">
        <v>0</v>
      </c>
      <c r="AA272" s="5">
        <v>1</v>
      </c>
      <c r="AB272" s="5">
        <v>0</v>
      </c>
    </row>
    <row r="273" spans="1:206" x14ac:dyDescent="0.2">
      <c r="A273" s="5">
        <v>50</v>
      </c>
      <c r="B273" s="5">
        <v>0</v>
      </c>
      <c r="C273" s="5">
        <v>0</v>
      </c>
      <c r="D273" s="5">
        <v>1</v>
      </c>
      <c r="E273" s="5">
        <v>230</v>
      </c>
      <c r="F273" s="5">
        <f>ROUND(Source!BA253,O273)</f>
        <v>0</v>
      </c>
      <c r="G273" s="5" t="s">
        <v>193</v>
      </c>
      <c r="H273" s="5" t="s">
        <v>194</v>
      </c>
      <c r="I273" s="5"/>
      <c r="J273" s="5"/>
      <c r="K273" s="5">
        <v>230</v>
      </c>
      <c r="L273" s="5">
        <v>19</v>
      </c>
      <c r="M273" s="5">
        <v>3</v>
      </c>
      <c r="N273" s="5" t="s">
        <v>3</v>
      </c>
      <c r="O273" s="5">
        <v>2</v>
      </c>
      <c r="P273" s="5">
        <f>ROUND(Source!ES253,O273)</f>
        <v>0</v>
      </c>
      <c r="Q273" s="5"/>
      <c r="R273" s="5"/>
      <c r="S273" s="5"/>
      <c r="T273" s="5"/>
      <c r="U273" s="5"/>
      <c r="V273" s="5"/>
      <c r="W273" s="5">
        <v>0</v>
      </c>
      <c r="X273" s="5">
        <v>1</v>
      </c>
      <c r="Y273" s="5">
        <v>0</v>
      </c>
      <c r="Z273" s="5">
        <v>0</v>
      </c>
      <c r="AA273" s="5">
        <v>1</v>
      </c>
      <c r="AB273" s="5">
        <v>0</v>
      </c>
    </row>
    <row r="274" spans="1:206" x14ac:dyDescent="0.2">
      <c r="A274" s="5">
        <v>50</v>
      </c>
      <c r="B274" s="5">
        <v>0</v>
      </c>
      <c r="C274" s="5">
        <v>0</v>
      </c>
      <c r="D274" s="5">
        <v>1</v>
      </c>
      <c r="E274" s="5">
        <v>206</v>
      </c>
      <c r="F274" s="5">
        <f>ROUND(Source!T253,O274)</f>
        <v>0</v>
      </c>
      <c r="G274" s="5" t="s">
        <v>195</v>
      </c>
      <c r="H274" s="5" t="s">
        <v>196</v>
      </c>
      <c r="I274" s="5"/>
      <c r="J274" s="5"/>
      <c r="K274" s="5">
        <v>206</v>
      </c>
      <c r="L274" s="5">
        <v>20</v>
      </c>
      <c r="M274" s="5">
        <v>3</v>
      </c>
      <c r="N274" s="5" t="s">
        <v>3</v>
      </c>
      <c r="O274" s="5">
        <v>2</v>
      </c>
      <c r="P274" s="5">
        <f>ROUND(Source!DL253,O274)</f>
        <v>0</v>
      </c>
      <c r="Q274" s="5"/>
      <c r="R274" s="5"/>
      <c r="S274" s="5"/>
      <c r="T274" s="5"/>
      <c r="U274" s="5"/>
      <c r="V274" s="5"/>
      <c r="W274" s="5">
        <v>0</v>
      </c>
      <c r="X274" s="5">
        <v>1</v>
      </c>
      <c r="Y274" s="5">
        <v>0</v>
      </c>
      <c r="Z274" s="5">
        <v>0</v>
      </c>
      <c r="AA274" s="5">
        <v>1</v>
      </c>
      <c r="AB274" s="5">
        <v>0</v>
      </c>
    </row>
    <row r="275" spans="1:206" x14ac:dyDescent="0.2">
      <c r="A275" s="5">
        <v>50</v>
      </c>
      <c r="B275" s="5">
        <v>0</v>
      </c>
      <c r="C275" s="5">
        <v>0</v>
      </c>
      <c r="D275" s="5">
        <v>1</v>
      </c>
      <c r="E275" s="5">
        <v>207</v>
      </c>
      <c r="F275" s="5">
        <f>Source!U253</f>
        <v>787.70867010000006</v>
      </c>
      <c r="G275" s="5" t="s">
        <v>197</v>
      </c>
      <c r="H275" s="5" t="s">
        <v>198</v>
      </c>
      <c r="I275" s="5"/>
      <c r="J275" s="5"/>
      <c r="K275" s="5">
        <v>207</v>
      </c>
      <c r="L275" s="5">
        <v>21</v>
      </c>
      <c r="M275" s="5">
        <v>3</v>
      </c>
      <c r="N275" s="5" t="s">
        <v>3</v>
      </c>
      <c r="O275" s="5">
        <v>-1</v>
      </c>
      <c r="P275" s="5">
        <f>Source!DM253</f>
        <v>787.70867010000006</v>
      </c>
      <c r="Q275" s="5"/>
      <c r="R275" s="5"/>
      <c r="S275" s="5"/>
      <c r="T275" s="5"/>
      <c r="U275" s="5"/>
      <c r="V275" s="5"/>
      <c r="W275" s="5">
        <v>787.70867010000018</v>
      </c>
      <c r="X275" s="5">
        <v>1</v>
      </c>
      <c r="Y275" s="5">
        <v>787.70867010000018</v>
      </c>
      <c r="Z275" s="5">
        <v>787.70867010000018</v>
      </c>
      <c r="AA275" s="5">
        <v>1</v>
      </c>
      <c r="AB275" s="5">
        <v>787.70867010000018</v>
      </c>
    </row>
    <row r="276" spans="1:206" x14ac:dyDescent="0.2">
      <c r="A276" s="5">
        <v>50</v>
      </c>
      <c r="B276" s="5">
        <v>0</v>
      </c>
      <c r="C276" s="5">
        <v>0</v>
      </c>
      <c r="D276" s="5">
        <v>1</v>
      </c>
      <c r="E276" s="5">
        <v>208</v>
      </c>
      <c r="F276" s="5">
        <f>Source!V253</f>
        <v>0</v>
      </c>
      <c r="G276" s="5" t="s">
        <v>199</v>
      </c>
      <c r="H276" s="5" t="s">
        <v>200</v>
      </c>
      <c r="I276" s="5"/>
      <c r="J276" s="5"/>
      <c r="K276" s="5">
        <v>208</v>
      </c>
      <c r="L276" s="5">
        <v>22</v>
      </c>
      <c r="M276" s="5">
        <v>3</v>
      </c>
      <c r="N276" s="5" t="s">
        <v>3</v>
      </c>
      <c r="O276" s="5">
        <v>-1</v>
      </c>
      <c r="P276" s="5">
        <f>Source!DN253</f>
        <v>0</v>
      </c>
      <c r="Q276" s="5"/>
      <c r="R276" s="5"/>
      <c r="S276" s="5"/>
      <c r="T276" s="5"/>
      <c r="U276" s="5"/>
      <c r="V276" s="5"/>
      <c r="W276" s="5">
        <v>0</v>
      </c>
      <c r="X276" s="5">
        <v>1</v>
      </c>
      <c r="Y276" s="5">
        <v>0</v>
      </c>
      <c r="Z276" s="5">
        <v>0</v>
      </c>
      <c r="AA276" s="5">
        <v>1</v>
      </c>
      <c r="AB276" s="5">
        <v>0</v>
      </c>
    </row>
    <row r="277" spans="1:206" x14ac:dyDescent="0.2">
      <c r="A277" s="5">
        <v>50</v>
      </c>
      <c r="B277" s="5">
        <v>0</v>
      </c>
      <c r="C277" s="5">
        <v>0</v>
      </c>
      <c r="D277" s="5">
        <v>1</v>
      </c>
      <c r="E277" s="5">
        <v>209</v>
      </c>
      <c r="F277" s="5">
        <f>ROUND(Source!W253,O277)</f>
        <v>0</v>
      </c>
      <c r="G277" s="5" t="s">
        <v>201</v>
      </c>
      <c r="H277" s="5" t="s">
        <v>202</v>
      </c>
      <c r="I277" s="5"/>
      <c r="J277" s="5"/>
      <c r="K277" s="5">
        <v>209</v>
      </c>
      <c r="L277" s="5">
        <v>23</v>
      </c>
      <c r="M277" s="5">
        <v>3</v>
      </c>
      <c r="N277" s="5" t="s">
        <v>3</v>
      </c>
      <c r="O277" s="5">
        <v>2</v>
      </c>
      <c r="P277" s="5">
        <f>ROUND(Source!DO253,O277)</f>
        <v>0</v>
      </c>
      <c r="Q277" s="5"/>
      <c r="R277" s="5"/>
      <c r="S277" s="5"/>
      <c r="T277" s="5"/>
      <c r="U277" s="5"/>
      <c r="V277" s="5"/>
      <c r="W277" s="5">
        <v>0</v>
      </c>
      <c r="X277" s="5">
        <v>1</v>
      </c>
      <c r="Y277" s="5">
        <v>0</v>
      </c>
      <c r="Z277" s="5">
        <v>0</v>
      </c>
      <c r="AA277" s="5">
        <v>1</v>
      </c>
      <c r="AB277" s="5">
        <v>0</v>
      </c>
    </row>
    <row r="278" spans="1:206" x14ac:dyDescent="0.2">
      <c r="A278" s="5">
        <v>50</v>
      </c>
      <c r="B278" s="5">
        <v>0</v>
      </c>
      <c r="C278" s="5">
        <v>0</v>
      </c>
      <c r="D278" s="5">
        <v>1</v>
      </c>
      <c r="E278" s="5">
        <v>233</v>
      </c>
      <c r="F278" s="5">
        <f>ROUND(Source!BD253,O278)</f>
        <v>0</v>
      </c>
      <c r="G278" s="5" t="s">
        <v>203</v>
      </c>
      <c r="H278" s="5" t="s">
        <v>204</v>
      </c>
      <c r="I278" s="5"/>
      <c r="J278" s="5"/>
      <c r="K278" s="5">
        <v>233</v>
      </c>
      <c r="L278" s="5">
        <v>24</v>
      </c>
      <c r="M278" s="5">
        <v>3</v>
      </c>
      <c r="N278" s="5" t="s">
        <v>3</v>
      </c>
      <c r="O278" s="5">
        <v>2</v>
      </c>
      <c r="P278" s="5">
        <f>ROUND(Source!EV253,O278)</f>
        <v>0</v>
      </c>
      <c r="Q278" s="5"/>
      <c r="R278" s="5"/>
      <c r="S278" s="5"/>
      <c r="T278" s="5"/>
      <c r="U278" s="5"/>
      <c r="V278" s="5"/>
      <c r="W278" s="5">
        <v>0</v>
      </c>
      <c r="X278" s="5">
        <v>1</v>
      </c>
      <c r="Y278" s="5">
        <v>0</v>
      </c>
      <c r="Z278" s="5">
        <v>0</v>
      </c>
      <c r="AA278" s="5">
        <v>1</v>
      </c>
      <c r="AB278" s="5">
        <v>0</v>
      </c>
    </row>
    <row r="279" spans="1:206" x14ac:dyDescent="0.2">
      <c r="A279" s="5">
        <v>50</v>
      </c>
      <c r="B279" s="5">
        <v>0</v>
      </c>
      <c r="C279" s="5">
        <v>0</v>
      </c>
      <c r="D279" s="5">
        <v>1</v>
      </c>
      <c r="E279" s="5">
        <v>210</v>
      </c>
      <c r="F279" s="5">
        <f>ROUND(Source!X253,O279)</f>
        <v>9764.39</v>
      </c>
      <c r="G279" s="5" t="s">
        <v>205</v>
      </c>
      <c r="H279" s="5" t="s">
        <v>206</v>
      </c>
      <c r="I279" s="5"/>
      <c r="J279" s="5"/>
      <c r="K279" s="5">
        <v>210</v>
      </c>
      <c r="L279" s="5">
        <v>25</v>
      </c>
      <c r="M279" s="5">
        <v>3</v>
      </c>
      <c r="N279" s="5" t="s">
        <v>3</v>
      </c>
      <c r="O279" s="5">
        <v>2</v>
      </c>
      <c r="P279" s="5">
        <f>ROUND(Source!DP253,O279)</f>
        <v>536944.66</v>
      </c>
      <c r="Q279" s="5"/>
      <c r="R279" s="5"/>
      <c r="S279" s="5"/>
      <c r="T279" s="5"/>
      <c r="U279" s="5"/>
      <c r="V279" s="5"/>
      <c r="W279" s="5">
        <v>9764.39</v>
      </c>
      <c r="X279" s="5">
        <v>1</v>
      </c>
      <c r="Y279" s="5">
        <v>9764.39</v>
      </c>
      <c r="Z279" s="5">
        <v>536944.66</v>
      </c>
      <c r="AA279" s="5">
        <v>1</v>
      </c>
      <c r="AB279" s="5">
        <v>536944.66</v>
      </c>
    </row>
    <row r="280" spans="1:206" x14ac:dyDescent="0.2">
      <c r="A280" s="5">
        <v>50</v>
      </c>
      <c r="B280" s="5">
        <v>0</v>
      </c>
      <c r="C280" s="5">
        <v>0</v>
      </c>
      <c r="D280" s="5">
        <v>1</v>
      </c>
      <c r="E280" s="5">
        <v>211</v>
      </c>
      <c r="F280" s="5">
        <f>ROUND(Source!Y253,O280)</f>
        <v>5090.3100000000004</v>
      </c>
      <c r="G280" s="5" t="s">
        <v>207</v>
      </c>
      <c r="H280" s="5" t="s">
        <v>208</v>
      </c>
      <c r="I280" s="5"/>
      <c r="J280" s="5"/>
      <c r="K280" s="5">
        <v>211</v>
      </c>
      <c r="L280" s="5">
        <v>26</v>
      </c>
      <c r="M280" s="5">
        <v>3</v>
      </c>
      <c r="N280" s="5" t="s">
        <v>3</v>
      </c>
      <c r="O280" s="5">
        <v>2</v>
      </c>
      <c r="P280" s="5">
        <f>ROUND(Source!DQ253,O280)</f>
        <v>279916.67</v>
      </c>
      <c r="Q280" s="5"/>
      <c r="R280" s="5"/>
      <c r="S280" s="5"/>
      <c r="T280" s="5"/>
      <c r="U280" s="5"/>
      <c r="V280" s="5"/>
      <c r="W280" s="5">
        <v>5090.3100000000004</v>
      </c>
      <c r="X280" s="5">
        <v>1</v>
      </c>
      <c r="Y280" s="5">
        <v>5090.3100000000004</v>
      </c>
      <c r="Z280" s="5">
        <v>279916.67</v>
      </c>
      <c r="AA280" s="5">
        <v>1</v>
      </c>
      <c r="AB280" s="5">
        <v>279916.67</v>
      </c>
    </row>
    <row r="281" spans="1:206" x14ac:dyDescent="0.2">
      <c r="A281" s="5">
        <v>50</v>
      </c>
      <c r="B281" s="5">
        <v>0</v>
      </c>
      <c r="C281" s="5">
        <v>0</v>
      </c>
      <c r="D281" s="5">
        <v>1</v>
      </c>
      <c r="E281" s="5">
        <v>224</v>
      </c>
      <c r="F281" s="5">
        <f>ROUND(Source!AR253,O281)</f>
        <v>572713.84</v>
      </c>
      <c r="G281" s="5" t="s">
        <v>209</v>
      </c>
      <c r="H281" s="5" t="s">
        <v>210</v>
      </c>
      <c r="I281" s="5"/>
      <c r="J281" s="5"/>
      <c r="K281" s="5">
        <v>224</v>
      </c>
      <c r="L281" s="5">
        <v>27</v>
      </c>
      <c r="M281" s="5">
        <v>3</v>
      </c>
      <c r="N281" s="5" t="s">
        <v>3</v>
      </c>
      <c r="O281" s="5">
        <v>2</v>
      </c>
      <c r="P281" s="5">
        <f>ROUND(Source!EJ253,O281)</f>
        <v>5607159.9100000001</v>
      </c>
      <c r="Q281" s="5"/>
      <c r="R281" s="5"/>
      <c r="S281" s="5"/>
      <c r="T281" s="5"/>
      <c r="U281" s="5"/>
      <c r="V281" s="5"/>
      <c r="W281" s="5">
        <v>572713.84</v>
      </c>
      <c r="X281" s="5">
        <v>1</v>
      </c>
      <c r="Y281" s="5">
        <v>572713.84</v>
      </c>
      <c r="Z281" s="5">
        <v>5607159.9100000001</v>
      </c>
      <c r="AA281" s="5">
        <v>1</v>
      </c>
      <c r="AB281" s="5">
        <v>5607159.9100000001</v>
      </c>
    </row>
    <row r="283" spans="1:206" x14ac:dyDescent="0.2">
      <c r="A283" s="3">
        <v>51</v>
      </c>
      <c r="B283" s="3">
        <f>B12</f>
        <v>322</v>
      </c>
      <c r="C283" s="3">
        <f>A12</f>
        <v>1</v>
      </c>
      <c r="D283" s="3">
        <f>ROW(A12)</f>
        <v>12</v>
      </c>
      <c r="E283" s="3"/>
      <c r="F283" s="3" t="str">
        <f>IF(F12&lt;&gt;"",F12,"")</f>
        <v>Новый объект (ТСН-2001 (Мосгосэкспертиза))</v>
      </c>
      <c r="G283" s="3" t="str">
        <f>IF(G12&lt;&gt;"",G12,"")</f>
        <v>02-01-15 Система контроля и управления доступом</v>
      </c>
      <c r="H283" s="3">
        <v>0</v>
      </c>
      <c r="I283" s="3"/>
      <c r="J283" s="3"/>
      <c r="K283" s="3"/>
      <c r="L283" s="3"/>
      <c r="M283" s="3"/>
      <c r="N283" s="3"/>
      <c r="O283" s="3">
        <f t="shared" ref="O283:T283" si="193">ROUND(O253,2)</f>
        <v>557859.14</v>
      </c>
      <c r="P283" s="3">
        <f t="shared" si="193"/>
        <v>546496.67000000004</v>
      </c>
      <c r="Q283" s="3">
        <f t="shared" si="193"/>
        <v>1139.47</v>
      </c>
      <c r="R283" s="3">
        <f t="shared" si="193"/>
        <v>174.72</v>
      </c>
      <c r="S283" s="3">
        <f t="shared" si="193"/>
        <v>10223</v>
      </c>
      <c r="T283" s="3">
        <f t="shared" si="193"/>
        <v>0</v>
      </c>
      <c r="U283" s="3">
        <f>U253</f>
        <v>787.70867010000006</v>
      </c>
      <c r="V283" s="3">
        <f>V253</f>
        <v>0</v>
      </c>
      <c r="W283" s="3">
        <f>ROUND(W253,2)</f>
        <v>0</v>
      </c>
      <c r="X283" s="3">
        <f>ROUND(X253,2)</f>
        <v>9764.39</v>
      </c>
      <c r="Y283" s="3">
        <f>ROUND(Y253,2)</f>
        <v>5090.3100000000004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>
        <f t="shared" ref="AO283:BD283" si="194">ROUND(AO253,2)</f>
        <v>0</v>
      </c>
      <c r="AP283" s="3">
        <f t="shared" si="194"/>
        <v>499374.71</v>
      </c>
      <c r="AQ283" s="3">
        <f t="shared" si="194"/>
        <v>0</v>
      </c>
      <c r="AR283" s="3">
        <f t="shared" si="194"/>
        <v>572713.84</v>
      </c>
      <c r="AS283" s="3">
        <f t="shared" si="194"/>
        <v>128.53</v>
      </c>
      <c r="AT283" s="3">
        <f t="shared" si="194"/>
        <v>73210.600000000006</v>
      </c>
      <c r="AU283" s="3">
        <f t="shared" si="194"/>
        <v>0</v>
      </c>
      <c r="AV283" s="3">
        <f t="shared" si="194"/>
        <v>546496.67000000004</v>
      </c>
      <c r="AW283" s="3">
        <f t="shared" si="194"/>
        <v>47121.96</v>
      </c>
      <c r="AX283" s="3">
        <f t="shared" si="194"/>
        <v>0</v>
      </c>
      <c r="AY283" s="3">
        <f t="shared" si="194"/>
        <v>47121.96</v>
      </c>
      <c r="AZ283" s="3">
        <f t="shared" si="194"/>
        <v>499374.71</v>
      </c>
      <c r="BA283" s="3">
        <f t="shared" si="194"/>
        <v>0</v>
      </c>
      <c r="BB283" s="3">
        <f t="shared" si="194"/>
        <v>0</v>
      </c>
      <c r="BC283" s="3">
        <f t="shared" si="194"/>
        <v>0</v>
      </c>
      <c r="BD283" s="3">
        <f t="shared" si="194"/>
        <v>0</v>
      </c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4">
        <f t="shared" ref="DG283:DL283" si="195">ROUND(DG253,2)</f>
        <v>4790298.58</v>
      </c>
      <c r="DH283" s="4">
        <f t="shared" si="195"/>
        <v>4208778.26</v>
      </c>
      <c r="DI283" s="4">
        <f t="shared" si="195"/>
        <v>19357.55</v>
      </c>
      <c r="DJ283" s="4">
        <f t="shared" si="195"/>
        <v>9607.84</v>
      </c>
      <c r="DK283" s="4">
        <f t="shared" si="195"/>
        <v>562162.77</v>
      </c>
      <c r="DL283" s="4">
        <f t="shared" si="195"/>
        <v>0</v>
      </c>
      <c r="DM283" s="4">
        <f>DM253</f>
        <v>787.70867010000006</v>
      </c>
      <c r="DN283" s="4">
        <f>DN253</f>
        <v>0</v>
      </c>
      <c r="DO283" s="4">
        <f>ROUND(DO253,2)</f>
        <v>0</v>
      </c>
      <c r="DP283" s="4">
        <f>ROUND(DP253,2)</f>
        <v>536944.66</v>
      </c>
      <c r="DQ283" s="4">
        <f>ROUND(DQ253,2)</f>
        <v>279916.67</v>
      </c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>
        <f t="shared" ref="EG283:EV283" si="196">ROUND(EG253,2)</f>
        <v>0</v>
      </c>
      <c r="EH283" s="4">
        <f t="shared" si="196"/>
        <v>3825668.94</v>
      </c>
      <c r="EI283" s="4">
        <f t="shared" si="196"/>
        <v>0</v>
      </c>
      <c r="EJ283" s="4">
        <f t="shared" si="196"/>
        <v>5607159.9100000001</v>
      </c>
      <c r="EK283" s="4">
        <f t="shared" si="196"/>
        <v>1029.1600000000001</v>
      </c>
      <c r="EL283" s="4">
        <f t="shared" si="196"/>
        <v>1780461.81</v>
      </c>
      <c r="EM283" s="4">
        <f t="shared" si="196"/>
        <v>0</v>
      </c>
      <c r="EN283" s="4">
        <f t="shared" si="196"/>
        <v>4208778.26</v>
      </c>
      <c r="EO283" s="4">
        <f t="shared" si="196"/>
        <v>383109.32</v>
      </c>
      <c r="EP283" s="4">
        <f t="shared" si="196"/>
        <v>0</v>
      </c>
      <c r="EQ283" s="4">
        <f t="shared" si="196"/>
        <v>383109.32</v>
      </c>
      <c r="ER283" s="4">
        <f t="shared" si="196"/>
        <v>3825668.94</v>
      </c>
      <c r="ES283" s="4">
        <f t="shared" si="196"/>
        <v>0</v>
      </c>
      <c r="ET283" s="4">
        <f t="shared" si="196"/>
        <v>0</v>
      </c>
      <c r="EU283" s="4">
        <f t="shared" si="196"/>
        <v>0</v>
      </c>
      <c r="EV283" s="4">
        <f t="shared" si="196"/>
        <v>0</v>
      </c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>
        <v>0</v>
      </c>
    </row>
    <row r="285" spans="1:206" x14ac:dyDescent="0.2">
      <c r="A285" s="5">
        <v>50</v>
      </c>
      <c r="B285" s="5">
        <v>0</v>
      </c>
      <c r="C285" s="5">
        <v>0</v>
      </c>
      <c r="D285" s="5">
        <v>1</v>
      </c>
      <c r="E285" s="5">
        <v>201</v>
      </c>
      <c r="F285" s="5">
        <f>ROUND(Source!O283,O285)</f>
        <v>557859.14</v>
      </c>
      <c r="G285" s="5" t="s">
        <v>157</v>
      </c>
      <c r="H285" s="5" t="s">
        <v>158</v>
      </c>
      <c r="I285" s="5"/>
      <c r="J285" s="5"/>
      <c r="K285" s="5">
        <v>201</v>
      </c>
      <c r="L285" s="5">
        <v>1</v>
      </c>
      <c r="M285" s="5">
        <v>3</v>
      </c>
      <c r="N285" s="5" t="s">
        <v>3</v>
      </c>
      <c r="O285" s="5">
        <v>2</v>
      </c>
      <c r="P285" s="5">
        <f>ROUND(Source!DG283,O285)</f>
        <v>4790298.58</v>
      </c>
      <c r="Q285" s="5"/>
      <c r="R285" s="5"/>
      <c r="S285" s="5"/>
      <c r="T285" s="5"/>
      <c r="U285" s="5"/>
      <c r="V285" s="5"/>
      <c r="W285" s="5">
        <v>557859.14</v>
      </c>
      <c r="X285" s="5">
        <v>1</v>
      </c>
      <c r="Y285" s="5">
        <v>557859.14</v>
      </c>
      <c r="Z285" s="5">
        <v>4790298.58</v>
      </c>
      <c r="AA285" s="5">
        <v>1</v>
      </c>
      <c r="AB285" s="5">
        <v>4790298.58</v>
      </c>
    </row>
    <row r="286" spans="1:206" x14ac:dyDescent="0.2">
      <c r="A286" s="5">
        <v>50</v>
      </c>
      <c r="B286" s="5">
        <v>0</v>
      </c>
      <c r="C286" s="5">
        <v>0</v>
      </c>
      <c r="D286" s="5">
        <v>1</v>
      </c>
      <c r="E286" s="5">
        <v>202</v>
      </c>
      <c r="F286" s="5">
        <f>ROUND(Source!P283,O286)</f>
        <v>546496.67000000004</v>
      </c>
      <c r="G286" s="5" t="s">
        <v>159</v>
      </c>
      <c r="H286" s="5" t="s">
        <v>160</v>
      </c>
      <c r="I286" s="5"/>
      <c r="J286" s="5"/>
      <c r="K286" s="5">
        <v>202</v>
      </c>
      <c r="L286" s="5">
        <v>2</v>
      </c>
      <c r="M286" s="5">
        <v>3</v>
      </c>
      <c r="N286" s="5" t="s">
        <v>3</v>
      </c>
      <c r="O286" s="5">
        <v>2</v>
      </c>
      <c r="P286" s="5">
        <f>ROUND(Source!DH283,O286)</f>
        <v>4208778.26</v>
      </c>
      <c r="Q286" s="5"/>
      <c r="R286" s="5"/>
      <c r="S286" s="5"/>
      <c r="T286" s="5"/>
      <c r="U286" s="5"/>
      <c r="V286" s="5"/>
      <c r="W286" s="5">
        <v>546496.67000000004</v>
      </c>
      <c r="X286" s="5">
        <v>1</v>
      </c>
      <c r="Y286" s="5">
        <v>546496.67000000004</v>
      </c>
      <c r="Z286" s="5">
        <v>4208778.26</v>
      </c>
      <c r="AA286" s="5">
        <v>1</v>
      </c>
      <c r="AB286" s="5">
        <v>4208778.26</v>
      </c>
    </row>
    <row r="287" spans="1:206" x14ac:dyDescent="0.2">
      <c r="A287" s="5">
        <v>50</v>
      </c>
      <c r="B287" s="5">
        <v>0</v>
      </c>
      <c r="C287" s="5">
        <v>0</v>
      </c>
      <c r="D287" s="5">
        <v>1</v>
      </c>
      <c r="E287" s="5">
        <v>222</v>
      </c>
      <c r="F287" s="5">
        <f>ROUND(Source!AO283,O287)</f>
        <v>0</v>
      </c>
      <c r="G287" s="5" t="s">
        <v>161</v>
      </c>
      <c r="H287" s="5" t="s">
        <v>162</v>
      </c>
      <c r="I287" s="5"/>
      <c r="J287" s="5"/>
      <c r="K287" s="5">
        <v>222</v>
      </c>
      <c r="L287" s="5">
        <v>3</v>
      </c>
      <c r="M287" s="5">
        <v>3</v>
      </c>
      <c r="N287" s="5" t="s">
        <v>3</v>
      </c>
      <c r="O287" s="5">
        <v>2</v>
      </c>
      <c r="P287" s="5">
        <f>ROUND(Source!EG283,O287)</f>
        <v>0</v>
      </c>
      <c r="Q287" s="5"/>
      <c r="R287" s="5"/>
      <c r="S287" s="5"/>
      <c r="T287" s="5"/>
      <c r="U287" s="5"/>
      <c r="V287" s="5"/>
      <c r="W287" s="5">
        <v>0</v>
      </c>
      <c r="X287" s="5">
        <v>1</v>
      </c>
      <c r="Y287" s="5">
        <v>0</v>
      </c>
      <c r="Z287" s="5">
        <v>0</v>
      </c>
      <c r="AA287" s="5">
        <v>1</v>
      </c>
      <c r="AB287" s="5">
        <v>0</v>
      </c>
    </row>
    <row r="288" spans="1:206" x14ac:dyDescent="0.2">
      <c r="A288" s="5">
        <v>50</v>
      </c>
      <c r="B288" s="5">
        <v>0</v>
      </c>
      <c r="C288" s="5">
        <v>0</v>
      </c>
      <c r="D288" s="5">
        <v>1</v>
      </c>
      <c r="E288" s="5">
        <v>225</v>
      </c>
      <c r="F288" s="5">
        <f>ROUND(Source!AV283,O288)</f>
        <v>546496.67000000004</v>
      </c>
      <c r="G288" s="5" t="s">
        <v>163</v>
      </c>
      <c r="H288" s="5" t="s">
        <v>164</v>
      </c>
      <c r="I288" s="5"/>
      <c r="J288" s="5"/>
      <c r="K288" s="5">
        <v>225</v>
      </c>
      <c r="L288" s="5">
        <v>4</v>
      </c>
      <c r="M288" s="5">
        <v>3</v>
      </c>
      <c r="N288" s="5" t="s">
        <v>3</v>
      </c>
      <c r="O288" s="5">
        <v>2</v>
      </c>
      <c r="P288" s="5">
        <f>ROUND(Source!EN283,O288)</f>
        <v>4208778.26</v>
      </c>
      <c r="Q288" s="5"/>
      <c r="R288" s="5"/>
      <c r="S288" s="5"/>
      <c r="T288" s="5"/>
      <c r="U288" s="5"/>
      <c r="V288" s="5"/>
      <c r="W288" s="5">
        <v>546496.67000000004</v>
      </c>
      <c r="X288" s="5">
        <v>1</v>
      </c>
      <c r="Y288" s="5">
        <v>546496.67000000004</v>
      </c>
      <c r="Z288" s="5">
        <v>4208778.26</v>
      </c>
      <c r="AA288" s="5">
        <v>1</v>
      </c>
      <c r="AB288" s="5">
        <v>4208778.26</v>
      </c>
    </row>
    <row r="289" spans="1:28" x14ac:dyDescent="0.2">
      <c r="A289" s="5">
        <v>50</v>
      </c>
      <c r="B289" s="5">
        <v>0</v>
      </c>
      <c r="C289" s="5">
        <v>0</v>
      </c>
      <c r="D289" s="5">
        <v>1</v>
      </c>
      <c r="E289" s="5">
        <v>226</v>
      </c>
      <c r="F289" s="5">
        <f>ROUND(Source!AW283,O289)</f>
        <v>47121.96</v>
      </c>
      <c r="G289" s="5" t="s">
        <v>165</v>
      </c>
      <c r="H289" s="5" t="s">
        <v>166</v>
      </c>
      <c r="I289" s="5"/>
      <c r="J289" s="5"/>
      <c r="K289" s="5">
        <v>226</v>
      </c>
      <c r="L289" s="5">
        <v>5</v>
      </c>
      <c r="M289" s="5">
        <v>3</v>
      </c>
      <c r="N289" s="5" t="s">
        <v>3</v>
      </c>
      <c r="O289" s="5">
        <v>2</v>
      </c>
      <c r="P289" s="5">
        <f>ROUND(Source!EO283,O289)</f>
        <v>383109.32</v>
      </c>
      <c r="Q289" s="5"/>
      <c r="R289" s="5"/>
      <c r="S289" s="5"/>
      <c r="T289" s="5"/>
      <c r="U289" s="5"/>
      <c r="V289" s="5"/>
      <c r="W289" s="5">
        <v>47121.96</v>
      </c>
      <c r="X289" s="5">
        <v>1</v>
      </c>
      <c r="Y289" s="5">
        <v>47121.96</v>
      </c>
      <c r="Z289" s="5">
        <v>383109.32</v>
      </c>
      <c r="AA289" s="5">
        <v>1</v>
      </c>
      <c r="AB289" s="5">
        <v>383109.32</v>
      </c>
    </row>
    <row r="290" spans="1:28" x14ac:dyDescent="0.2">
      <c r="A290" s="5">
        <v>50</v>
      </c>
      <c r="B290" s="5">
        <v>0</v>
      </c>
      <c r="C290" s="5">
        <v>0</v>
      </c>
      <c r="D290" s="5">
        <v>1</v>
      </c>
      <c r="E290" s="5">
        <v>227</v>
      </c>
      <c r="F290" s="5">
        <f>ROUND(Source!AX283,O290)</f>
        <v>0</v>
      </c>
      <c r="G290" s="5" t="s">
        <v>167</v>
      </c>
      <c r="H290" s="5" t="s">
        <v>168</v>
      </c>
      <c r="I290" s="5"/>
      <c r="J290" s="5"/>
      <c r="K290" s="5">
        <v>227</v>
      </c>
      <c r="L290" s="5">
        <v>6</v>
      </c>
      <c r="M290" s="5">
        <v>3</v>
      </c>
      <c r="N290" s="5" t="s">
        <v>3</v>
      </c>
      <c r="O290" s="5">
        <v>2</v>
      </c>
      <c r="P290" s="5">
        <f>ROUND(Source!EP283,O290)</f>
        <v>0</v>
      </c>
      <c r="Q290" s="5"/>
      <c r="R290" s="5"/>
      <c r="S290" s="5"/>
      <c r="T290" s="5"/>
      <c r="U290" s="5"/>
      <c r="V290" s="5"/>
      <c r="W290" s="5">
        <v>0</v>
      </c>
      <c r="X290" s="5">
        <v>1</v>
      </c>
      <c r="Y290" s="5">
        <v>0</v>
      </c>
      <c r="Z290" s="5">
        <v>0</v>
      </c>
      <c r="AA290" s="5">
        <v>1</v>
      </c>
      <c r="AB290" s="5">
        <v>0</v>
      </c>
    </row>
    <row r="291" spans="1:28" x14ac:dyDescent="0.2">
      <c r="A291" s="5">
        <v>50</v>
      </c>
      <c r="B291" s="5">
        <v>0</v>
      </c>
      <c r="C291" s="5">
        <v>0</v>
      </c>
      <c r="D291" s="5">
        <v>1</v>
      </c>
      <c r="E291" s="5">
        <v>228</v>
      </c>
      <c r="F291" s="5">
        <f>ROUND(Source!AY283,O291)</f>
        <v>47121.96</v>
      </c>
      <c r="G291" s="5" t="s">
        <v>169</v>
      </c>
      <c r="H291" s="5" t="s">
        <v>170</v>
      </c>
      <c r="I291" s="5"/>
      <c r="J291" s="5"/>
      <c r="K291" s="5">
        <v>228</v>
      </c>
      <c r="L291" s="5">
        <v>7</v>
      </c>
      <c r="M291" s="5">
        <v>3</v>
      </c>
      <c r="N291" s="5" t="s">
        <v>3</v>
      </c>
      <c r="O291" s="5">
        <v>2</v>
      </c>
      <c r="P291" s="5">
        <f>ROUND(Source!EQ283,O291)</f>
        <v>383109.32</v>
      </c>
      <c r="Q291" s="5"/>
      <c r="R291" s="5"/>
      <c r="S291" s="5"/>
      <c r="T291" s="5"/>
      <c r="U291" s="5"/>
      <c r="V291" s="5"/>
      <c r="W291" s="5">
        <v>47121.96</v>
      </c>
      <c r="X291" s="5">
        <v>1</v>
      </c>
      <c r="Y291" s="5">
        <v>47121.96</v>
      </c>
      <c r="Z291" s="5">
        <v>383109.32</v>
      </c>
      <c r="AA291" s="5">
        <v>1</v>
      </c>
      <c r="AB291" s="5">
        <v>383109.32</v>
      </c>
    </row>
    <row r="292" spans="1:28" x14ac:dyDescent="0.2">
      <c r="A292" s="5">
        <v>50</v>
      </c>
      <c r="B292" s="5">
        <v>0</v>
      </c>
      <c r="C292" s="5">
        <v>0</v>
      </c>
      <c r="D292" s="5">
        <v>1</v>
      </c>
      <c r="E292" s="5">
        <v>216</v>
      </c>
      <c r="F292" s="5">
        <f>ROUND(Source!AP283,O292)</f>
        <v>499374.71</v>
      </c>
      <c r="G292" s="5" t="s">
        <v>171</v>
      </c>
      <c r="H292" s="5" t="s">
        <v>172</v>
      </c>
      <c r="I292" s="5"/>
      <c r="J292" s="5"/>
      <c r="K292" s="5">
        <v>216</v>
      </c>
      <c r="L292" s="5">
        <v>8</v>
      </c>
      <c r="M292" s="5">
        <v>3</v>
      </c>
      <c r="N292" s="5" t="s">
        <v>3</v>
      </c>
      <c r="O292" s="5">
        <v>2</v>
      </c>
      <c r="P292" s="5">
        <f>ROUND(Source!EH283,O292)</f>
        <v>3825668.94</v>
      </c>
      <c r="Q292" s="5"/>
      <c r="R292" s="5"/>
      <c r="S292" s="5"/>
      <c r="T292" s="5"/>
      <c r="U292" s="5"/>
      <c r="V292" s="5"/>
      <c r="W292" s="5">
        <v>499374.71</v>
      </c>
      <c r="X292" s="5">
        <v>1</v>
      </c>
      <c r="Y292" s="5">
        <v>499374.71</v>
      </c>
      <c r="Z292" s="5">
        <v>3825668.94</v>
      </c>
      <c r="AA292" s="5">
        <v>1</v>
      </c>
      <c r="AB292" s="5">
        <v>3825668.94</v>
      </c>
    </row>
    <row r="293" spans="1:28" x14ac:dyDescent="0.2">
      <c r="A293" s="5">
        <v>50</v>
      </c>
      <c r="B293" s="5">
        <v>0</v>
      </c>
      <c r="C293" s="5">
        <v>0</v>
      </c>
      <c r="D293" s="5">
        <v>1</v>
      </c>
      <c r="E293" s="5">
        <v>223</v>
      </c>
      <c r="F293" s="5">
        <f>ROUND(Source!AQ283,O293)</f>
        <v>0</v>
      </c>
      <c r="G293" s="5" t="s">
        <v>173</v>
      </c>
      <c r="H293" s="5" t="s">
        <v>174</v>
      </c>
      <c r="I293" s="5"/>
      <c r="J293" s="5"/>
      <c r="K293" s="5">
        <v>223</v>
      </c>
      <c r="L293" s="5">
        <v>9</v>
      </c>
      <c r="M293" s="5">
        <v>3</v>
      </c>
      <c r="N293" s="5" t="s">
        <v>3</v>
      </c>
      <c r="O293" s="5">
        <v>2</v>
      </c>
      <c r="P293" s="5">
        <f>ROUND(Source!EI283,O293)</f>
        <v>0</v>
      </c>
      <c r="Q293" s="5"/>
      <c r="R293" s="5"/>
      <c r="S293" s="5"/>
      <c r="T293" s="5"/>
      <c r="U293" s="5"/>
      <c r="V293" s="5"/>
      <c r="W293" s="5">
        <v>0</v>
      </c>
      <c r="X293" s="5">
        <v>1</v>
      </c>
      <c r="Y293" s="5">
        <v>0</v>
      </c>
      <c r="Z293" s="5">
        <v>0</v>
      </c>
      <c r="AA293" s="5">
        <v>1</v>
      </c>
      <c r="AB293" s="5">
        <v>0</v>
      </c>
    </row>
    <row r="294" spans="1:28" x14ac:dyDescent="0.2">
      <c r="A294" s="5">
        <v>50</v>
      </c>
      <c r="B294" s="5">
        <v>0</v>
      </c>
      <c r="C294" s="5">
        <v>0</v>
      </c>
      <c r="D294" s="5">
        <v>1</v>
      </c>
      <c r="E294" s="5">
        <v>229</v>
      </c>
      <c r="F294" s="5">
        <f>ROUND(Source!AZ283,O294)</f>
        <v>499374.71</v>
      </c>
      <c r="G294" s="5" t="s">
        <v>175</v>
      </c>
      <c r="H294" s="5" t="s">
        <v>176</v>
      </c>
      <c r="I294" s="5"/>
      <c r="J294" s="5"/>
      <c r="K294" s="5">
        <v>229</v>
      </c>
      <c r="L294" s="5">
        <v>10</v>
      </c>
      <c r="M294" s="5">
        <v>3</v>
      </c>
      <c r="N294" s="5" t="s">
        <v>3</v>
      </c>
      <c r="O294" s="5">
        <v>2</v>
      </c>
      <c r="P294" s="5">
        <f>ROUND(Source!ER283,O294)</f>
        <v>3825668.94</v>
      </c>
      <c r="Q294" s="5"/>
      <c r="R294" s="5"/>
      <c r="S294" s="5"/>
      <c r="T294" s="5"/>
      <c r="U294" s="5"/>
      <c r="V294" s="5"/>
      <c r="W294" s="5">
        <v>499374.71</v>
      </c>
      <c r="X294" s="5">
        <v>1</v>
      </c>
      <c r="Y294" s="5">
        <v>499374.71</v>
      </c>
      <c r="Z294" s="5">
        <v>3825668.94</v>
      </c>
      <c r="AA294" s="5">
        <v>1</v>
      </c>
      <c r="AB294" s="5">
        <v>3825668.94</v>
      </c>
    </row>
    <row r="295" spans="1:28" x14ac:dyDescent="0.2">
      <c r="A295" s="5">
        <v>50</v>
      </c>
      <c r="B295" s="5">
        <v>0</v>
      </c>
      <c r="C295" s="5">
        <v>0</v>
      </c>
      <c r="D295" s="5">
        <v>1</v>
      </c>
      <c r="E295" s="5">
        <v>203</v>
      </c>
      <c r="F295" s="5">
        <f>ROUND(Source!Q283,O295)</f>
        <v>1139.47</v>
      </c>
      <c r="G295" s="5" t="s">
        <v>177</v>
      </c>
      <c r="H295" s="5" t="s">
        <v>178</v>
      </c>
      <c r="I295" s="5"/>
      <c r="J295" s="5"/>
      <c r="K295" s="5">
        <v>203</v>
      </c>
      <c r="L295" s="5">
        <v>11</v>
      </c>
      <c r="M295" s="5">
        <v>3</v>
      </c>
      <c r="N295" s="5" t="s">
        <v>3</v>
      </c>
      <c r="O295" s="5">
        <v>2</v>
      </c>
      <c r="P295" s="5">
        <f>ROUND(Source!DI283,O295)</f>
        <v>19357.55</v>
      </c>
      <c r="Q295" s="5"/>
      <c r="R295" s="5"/>
      <c r="S295" s="5"/>
      <c r="T295" s="5"/>
      <c r="U295" s="5"/>
      <c r="V295" s="5"/>
      <c r="W295" s="5">
        <v>1139.47</v>
      </c>
      <c r="X295" s="5">
        <v>1</v>
      </c>
      <c r="Y295" s="5">
        <v>1139.47</v>
      </c>
      <c r="Z295" s="5">
        <v>19357.55</v>
      </c>
      <c r="AA295" s="5">
        <v>1</v>
      </c>
      <c r="AB295" s="5">
        <v>19357.55</v>
      </c>
    </row>
    <row r="296" spans="1:28" x14ac:dyDescent="0.2">
      <c r="A296" s="5">
        <v>50</v>
      </c>
      <c r="B296" s="5">
        <v>0</v>
      </c>
      <c r="C296" s="5">
        <v>0</v>
      </c>
      <c r="D296" s="5">
        <v>1</v>
      </c>
      <c r="E296" s="5">
        <v>231</v>
      </c>
      <c r="F296" s="5">
        <f>ROUND(Source!BB283,O296)</f>
        <v>0</v>
      </c>
      <c r="G296" s="5" t="s">
        <v>179</v>
      </c>
      <c r="H296" s="5" t="s">
        <v>180</v>
      </c>
      <c r="I296" s="5"/>
      <c r="J296" s="5"/>
      <c r="K296" s="5">
        <v>231</v>
      </c>
      <c r="L296" s="5">
        <v>12</v>
      </c>
      <c r="M296" s="5">
        <v>3</v>
      </c>
      <c r="N296" s="5" t="s">
        <v>3</v>
      </c>
      <c r="O296" s="5">
        <v>2</v>
      </c>
      <c r="P296" s="5">
        <f>ROUND(Source!ET283,O296)</f>
        <v>0</v>
      </c>
      <c r="Q296" s="5"/>
      <c r="R296" s="5"/>
      <c r="S296" s="5"/>
      <c r="T296" s="5"/>
      <c r="U296" s="5"/>
      <c r="V296" s="5"/>
      <c r="W296" s="5">
        <v>0</v>
      </c>
      <c r="X296" s="5">
        <v>1</v>
      </c>
      <c r="Y296" s="5">
        <v>0</v>
      </c>
      <c r="Z296" s="5">
        <v>0</v>
      </c>
      <c r="AA296" s="5">
        <v>1</v>
      </c>
      <c r="AB296" s="5">
        <v>0</v>
      </c>
    </row>
    <row r="297" spans="1:28" x14ac:dyDescent="0.2">
      <c r="A297" s="5">
        <v>50</v>
      </c>
      <c r="B297" s="5">
        <v>0</v>
      </c>
      <c r="C297" s="5">
        <v>0</v>
      </c>
      <c r="D297" s="5">
        <v>1</v>
      </c>
      <c r="E297" s="5">
        <v>204</v>
      </c>
      <c r="F297" s="5">
        <f>ROUND(Source!R283,O297)</f>
        <v>174.72</v>
      </c>
      <c r="G297" s="5" t="s">
        <v>181</v>
      </c>
      <c r="H297" s="5" t="s">
        <v>182</v>
      </c>
      <c r="I297" s="5"/>
      <c r="J297" s="5"/>
      <c r="K297" s="5">
        <v>204</v>
      </c>
      <c r="L297" s="5">
        <v>13</v>
      </c>
      <c r="M297" s="5">
        <v>3</v>
      </c>
      <c r="N297" s="5" t="s">
        <v>3</v>
      </c>
      <c r="O297" s="5">
        <v>2</v>
      </c>
      <c r="P297" s="5">
        <f>ROUND(Source!DJ283,O297)</f>
        <v>9607.84</v>
      </c>
      <c r="Q297" s="5"/>
      <c r="R297" s="5"/>
      <c r="S297" s="5"/>
      <c r="T297" s="5"/>
      <c r="U297" s="5"/>
      <c r="V297" s="5"/>
      <c r="W297" s="5">
        <v>174.72</v>
      </c>
      <c r="X297" s="5">
        <v>1</v>
      </c>
      <c r="Y297" s="5">
        <v>174.72</v>
      </c>
      <c r="Z297" s="5">
        <v>9607.84</v>
      </c>
      <c r="AA297" s="5">
        <v>1</v>
      </c>
      <c r="AB297" s="5">
        <v>9607.84</v>
      </c>
    </row>
    <row r="298" spans="1:28" x14ac:dyDescent="0.2">
      <c r="A298" s="5">
        <v>50</v>
      </c>
      <c r="B298" s="5">
        <v>0</v>
      </c>
      <c r="C298" s="5">
        <v>0</v>
      </c>
      <c r="D298" s="5">
        <v>1</v>
      </c>
      <c r="E298" s="5">
        <v>205</v>
      </c>
      <c r="F298" s="5">
        <f>ROUND(Source!S283,O298)</f>
        <v>10223</v>
      </c>
      <c r="G298" s="5" t="s">
        <v>183</v>
      </c>
      <c r="H298" s="5" t="s">
        <v>184</v>
      </c>
      <c r="I298" s="5"/>
      <c r="J298" s="5"/>
      <c r="K298" s="5">
        <v>205</v>
      </c>
      <c r="L298" s="5">
        <v>14</v>
      </c>
      <c r="M298" s="5">
        <v>3</v>
      </c>
      <c r="N298" s="5" t="s">
        <v>3</v>
      </c>
      <c r="O298" s="5">
        <v>2</v>
      </c>
      <c r="P298" s="5">
        <f>ROUND(Source!DK283,O298)</f>
        <v>562162.77</v>
      </c>
      <c r="Q298" s="5"/>
      <c r="R298" s="5"/>
      <c r="S298" s="5"/>
      <c r="T298" s="5"/>
      <c r="U298" s="5"/>
      <c r="V298" s="5"/>
      <c r="W298" s="5">
        <v>10223</v>
      </c>
      <c r="X298" s="5">
        <v>1</v>
      </c>
      <c r="Y298" s="5">
        <v>10223</v>
      </c>
      <c r="Z298" s="5">
        <v>562162.77</v>
      </c>
      <c r="AA298" s="5">
        <v>1</v>
      </c>
      <c r="AB298" s="5">
        <v>562162.77</v>
      </c>
    </row>
    <row r="299" spans="1:28" x14ac:dyDescent="0.2">
      <c r="A299" s="5">
        <v>50</v>
      </c>
      <c r="B299" s="5">
        <v>0</v>
      </c>
      <c r="C299" s="5">
        <v>0</v>
      </c>
      <c r="D299" s="5">
        <v>1</v>
      </c>
      <c r="E299" s="5">
        <v>232</v>
      </c>
      <c r="F299" s="5">
        <f>ROUND(Source!BC283,O299)</f>
        <v>0</v>
      </c>
      <c r="G299" s="5" t="s">
        <v>185</v>
      </c>
      <c r="H299" s="5" t="s">
        <v>186</v>
      </c>
      <c r="I299" s="5"/>
      <c r="J299" s="5"/>
      <c r="K299" s="5">
        <v>232</v>
      </c>
      <c r="L299" s="5">
        <v>15</v>
      </c>
      <c r="M299" s="5">
        <v>3</v>
      </c>
      <c r="N299" s="5" t="s">
        <v>3</v>
      </c>
      <c r="O299" s="5">
        <v>2</v>
      </c>
      <c r="P299" s="5">
        <f>ROUND(Source!EU283,O299)</f>
        <v>0</v>
      </c>
      <c r="Q299" s="5"/>
      <c r="R299" s="5"/>
      <c r="S299" s="5"/>
      <c r="T299" s="5"/>
      <c r="U299" s="5"/>
      <c r="V299" s="5"/>
      <c r="W299" s="5">
        <v>0</v>
      </c>
      <c r="X299" s="5">
        <v>1</v>
      </c>
      <c r="Y299" s="5">
        <v>0</v>
      </c>
      <c r="Z299" s="5">
        <v>0</v>
      </c>
      <c r="AA299" s="5">
        <v>1</v>
      </c>
      <c r="AB299" s="5">
        <v>0</v>
      </c>
    </row>
    <row r="300" spans="1:28" x14ac:dyDescent="0.2">
      <c r="A300" s="5">
        <v>50</v>
      </c>
      <c r="B300" s="5">
        <v>0</v>
      </c>
      <c r="C300" s="5">
        <v>0</v>
      </c>
      <c r="D300" s="5">
        <v>1</v>
      </c>
      <c r="E300" s="5">
        <v>214</v>
      </c>
      <c r="F300" s="5">
        <f>ROUND(Source!AS283,O300)</f>
        <v>128.53</v>
      </c>
      <c r="G300" s="5" t="s">
        <v>187</v>
      </c>
      <c r="H300" s="5" t="s">
        <v>188</v>
      </c>
      <c r="I300" s="5"/>
      <c r="J300" s="5"/>
      <c r="K300" s="5">
        <v>214</v>
      </c>
      <c r="L300" s="5">
        <v>16</v>
      </c>
      <c r="M300" s="5">
        <v>3</v>
      </c>
      <c r="N300" s="5" t="s">
        <v>3</v>
      </c>
      <c r="O300" s="5">
        <v>2</v>
      </c>
      <c r="P300" s="5">
        <f>ROUND(Source!EK283,O300)</f>
        <v>1029.1600000000001</v>
      </c>
      <c r="Q300" s="5"/>
      <c r="R300" s="5"/>
      <c r="S300" s="5"/>
      <c r="T300" s="5"/>
      <c r="U300" s="5"/>
      <c r="V300" s="5"/>
      <c r="W300" s="5">
        <v>128.53</v>
      </c>
      <c r="X300" s="5">
        <v>1</v>
      </c>
      <c r="Y300" s="5">
        <v>128.53</v>
      </c>
      <c r="Z300" s="5">
        <v>1029.1600000000001</v>
      </c>
      <c r="AA300" s="5">
        <v>1</v>
      </c>
      <c r="AB300" s="5">
        <v>1029.1600000000001</v>
      </c>
    </row>
    <row r="301" spans="1:28" x14ac:dyDescent="0.2">
      <c r="A301" s="5">
        <v>50</v>
      </c>
      <c r="B301" s="5">
        <v>0</v>
      </c>
      <c r="C301" s="5">
        <v>0</v>
      </c>
      <c r="D301" s="5">
        <v>1</v>
      </c>
      <c r="E301" s="5">
        <v>215</v>
      </c>
      <c r="F301" s="5">
        <f>ROUND(Source!AT283,O301)</f>
        <v>73210.600000000006</v>
      </c>
      <c r="G301" s="5" t="s">
        <v>189</v>
      </c>
      <c r="H301" s="5" t="s">
        <v>190</v>
      </c>
      <c r="I301" s="5"/>
      <c r="J301" s="5"/>
      <c r="K301" s="5">
        <v>215</v>
      </c>
      <c r="L301" s="5">
        <v>17</v>
      </c>
      <c r="M301" s="5">
        <v>3</v>
      </c>
      <c r="N301" s="5" t="s">
        <v>3</v>
      </c>
      <c r="O301" s="5">
        <v>2</v>
      </c>
      <c r="P301" s="5">
        <f>ROUND(Source!EL283,O301)</f>
        <v>1780461.81</v>
      </c>
      <c r="Q301" s="5"/>
      <c r="R301" s="5"/>
      <c r="S301" s="5"/>
      <c r="T301" s="5"/>
      <c r="U301" s="5"/>
      <c r="V301" s="5"/>
      <c r="W301" s="5">
        <v>73210.600000000006</v>
      </c>
      <c r="X301" s="5">
        <v>1</v>
      </c>
      <c r="Y301" s="5">
        <v>73210.600000000006</v>
      </c>
      <c r="Z301" s="5">
        <v>1780461.81</v>
      </c>
      <c r="AA301" s="5">
        <v>1</v>
      </c>
      <c r="AB301" s="5">
        <v>1780461.81</v>
      </c>
    </row>
    <row r="302" spans="1:28" x14ac:dyDescent="0.2">
      <c r="A302" s="5">
        <v>50</v>
      </c>
      <c r="B302" s="5">
        <v>0</v>
      </c>
      <c r="C302" s="5">
        <v>0</v>
      </c>
      <c r="D302" s="5">
        <v>1</v>
      </c>
      <c r="E302" s="5">
        <v>217</v>
      </c>
      <c r="F302" s="5">
        <f>ROUND(Source!AU283,O302)</f>
        <v>0</v>
      </c>
      <c r="G302" s="5" t="s">
        <v>191</v>
      </c>
      <c r="H302" s="5" t="s">
        <v>192</v>
      </c>
      <c r="I302" s="5"/>
      <c r="J302" s="5"/>
      <c r="K302" s="5">
        <v>217</v>
      </c>
      <c r="L302" s="5">
        <v>18</v>
      </c>
      <c r="M302" s="5">
        <v>3</v>
      </c>
      <c r="N302" s="5" t="s">
        <v>3</v>
      </c>
      <c r="O302" s="5">
        <v>2</v>
      </c>
      <c r="P302" s="5">
        <f>ROUND(Source!EM283,O302)</f>
        <v>0</v>
      </c>
      <c r="Q302" s="5"/>
      <c r="R302" s="5"/>
      <c r="S302" s="5"/>
      <c r="T302" s="5"/>
      <c r="U302" s="5"/>
      <c r="V302" s="5"/>
      <c r="W302" s="5">
        <v>0</v>
      </c>
      <c r="X302" s="5">
        <v>1</v>
      </c>
      <c r="Y302" s="5">
        <v>0</v>
      </c>
      <c r="Z302" s="5">
        <v>0</v>
      </c>
      <c r="AA302" s="5">
        <v>1</v>
      </c>
      <c r="AB302" s="5">
        <v>0</v>
      </c>
    </row>
    <row r="303" spans="1:28" x14ac:dyDescent="0.2">
      <c r="A303" s="5">
        <v>50</v>
      </c>
      <c r="B303" s="5">
        <v>0</v>
      </c>
      <c r="C303" s="5">
        <v>0</v>
      </c>
      <c r="D303" s="5">
        <v>1</v>
      </c>
      <c r="E303" s="5">
        <v>230</v>
      </c>
      <c r="F303" s="5">
        <f>ROUND(Source!BA283,O303)</f>
        <v>0</v>
      </c>
      <c r="G303" s="5" t="s">
        <v>193</v>
      </c>
      <c r="H303" s="5" t="s">
        <v>194</v>
      </c>
      <c r="I303" s="5"/>
      <c r="J303" s="5"/>
      <c r="K303" s="5">
        <v>230</v>
      </c>
      <c r="L303" s="5">
        <v>19</v>
      </c>
      <c r="M303" s="5">
        <v>3</v>
      </c>
      <c r="N303" s="5" t="s">
        <v>3</v>
      </c>
      <c r="O303" s="5">
        <v>2</v>
      </c>
      <c r="P303" s="5">
        <f>ROUND(Source!ES283,O303)</f>
        <v>0</v>
      </c>
      <c r="Q303" s="5"/>
      <c r="R303" s="5"/>
      <c r="S303" s="5"/>
      <c r="T303" s="5"/>
      <c r="U303" s="5"/>
      <c r="V303" s="5"/>
      <c r="W303" s="5">
        <v>0</v>
      </c>
      <c r="X303" s="5">
        <v>1</v>
      </c>
      <c r="Y303" s="5">
        <v>0</v>
      </c>
      <c r="Z303" s="5">
        <v>0</v>
      </c>
      <c r="AA303" s="5">
        <v>1</v>
      </c>
      <c r="AB303" s="5">
        <v>0</v>
      </c>
    </row>
    <row r="304" spans="1:28" x14ac:dyDescent="0.2">
      <c r="A304" s="5">
        <v>50</v>
      </c>
      <c r="B304" s="5">
        <v>0</v>
      </c>
      <c r="C304" s="5">
        <v>0</v>
      </c>
      <c r="D304" s="5">
        <v>1</v>
      </c>
      <c r="E304" s="5">
        <v>206</v>
      </c>
      <c r="F304" s="5">
        <f>ROUND(Source!T283,O304)</f>
        <v>0</v>
      </c>
      <c r="G304" s="5" t="s">
        <v>195</v>
      </c>
      <c r="H304" s="5" t="s">
        <v>196</v>
      </c>
      <c r="I304" s="5"/>
      <c r="J304" s="5"/>
      <c r="K304" s="5">
        <v>206</v>
      </c>
      <c r="L304" s="5">
        <v>20</v>
      </c>
      <c r="M304" s="5">
        <v>3</v>
      </c>
      <c r="N304" s="5" t="s">
        <v>3</v>
      </c>
      <c r="O304" s="5">
        <v>2</v>
      </c>
      <c r="P304" s="5">
        <f>ROUND(Source!DL283,O304)</f>
        <v>0</v>
      </c>
      <c r="Q304" s="5"/>
      <c r="R304" s="5"/>
      <c r="S304" s="5"/>
      <c r="T304" s="5"/>
      <c r="U304" s="5"/>
      <c r="V304" s="5"/>
      <c r="W304" s="5">
        <v>0</v>
      </c>
      <c r="X304" s="5">
        <v>1</v>
      </c>
      <c r="Y304" s="5">
        <v>0</v>
      </c>
      <c r="Z304" s="5">
        <v>0</v>
      </c>
      <c r="AA304" s="5">
        <v>1</v>
      </c>
      <c r="AB304" s="5">
        <v>0</v>
      </c>
    </row>
    <row r="305" spans="1:28" x14ac:dyDescent="0.2">
      <c r="A305" s="5">
        <v>50</v>
      </c>
      <c r="B305" s="5">
        <v>0</v>
      </c>
      <c r="C305" s="5">
        <v>0</v>
      </c>
      <c r="D305" s="5">
        <v>1</v>
      </c>
      <c r="E305" s="5">
        <v>207</v>
      </c>
      <c r="F305" s="5">
        <f>Source!U283</f>
        <v>787.70867010000006</v>
      </c>
      <c r="G305" s="5" t="s">
        <v>197</v>
      </c>
      <c r="H305" s="5" t="s">
        <v>198</v>
      </c>
      <c r="I305" s="5"/>
      <c r="J305" s="5"/>
      <c r="K305" s="5">
        <v>207</v>
      </c>
      <c r="L305" s="5">
        <v>21</v>
      </c>
      <c r="M305" s="5">
        <v>3</v>
      </c>
      <c r="N305" s="5" t="s">
        <v>3</v>
      </c>
      <c r="O305" s="5">
        <v>-1</v>
      </c>
      <c r="P305" s="5">
        <f>Source!DM283</f>
        <v>787.70867010000006</v>
      </c>
      <c r="Q305" s="5"/>
      <c r="R305" s="5"/>
      <c r="S305" s="5"/>
      <c r="T305" s="5"/>
      <c r="U305" s="5"/>
      <c r="V305" s="5"/>
      <c r="W305" s="5">
        <v>787.70867010000018</v>
      </c>
      <c r="X305" s="5">
        <v>1</v>
      </c>
      <c r="Y305" s="5">
        <v>787.70867010000018</v>
      </c>
      <c r="Z305" s="5">
        <v>787.70867010000018</v>
      </c>
      <c r="AA305" s="5">
        <v>1</v>
      </c>
      <c r="AB305" s="5">
        <v>787.70867010000018</v>
      </c>
    </row>
    <row r="306" spans="1:28" x14ac:dyDescent="0.2">
      <c r="A306" s="5">
        <v>50</v>
      </c>
      <c r="B306" s="5">
        <v>0</v>
      </c>
      <c r="C306" s="5">
        <v>0</v>
      </c>
      <c r="D306" s="5">
        <v>1</v>
      </c>
      <c r="E306" s="5">
        <v>208</v>
      </c>
      <c r="F306" s="5">
        <f>Source!V283</f>
        <v>0</v>
      </c>
      <c r="G306" s="5" t="s">
        <v>199</v>
      </c>
      <c r="H306" s="5" t="s">
        <v>200</v>
      </c>
      <c r="I306" s="5"/>
      <c r="J306" s="5"/>
      <c r="K306" s="5">
        <v>208</v>
      </c>
      <c r="L306" s="5">
        <v>22</v>
      </c>
      <c r="M306" s="5">
        <v>3</v>
      </c>
      <c r="N306" s="5" t="s">
        <v>3</v>
      </c>
      <c r="O306" s="5">
        <v>-1</v>
      </c>
      <c r="P306" s="5">
        <f>Source!DN283</f>
        <v>0</v>
      </c>
      <c r="Q306" s="5"/>
      <c r="R306" s="5"/>
      <c r="S306" s="5"/>
      <c r="T306" s="5"/>
      <c r="U306" s="5"/>
      <c r="V306" s="5"/>
      <c r="W306" s="5">
        <v>0</v>
      </c>
      <c r="X306" s="5">
        <v>1</v>
      </c>
      <c r="Y306" s="5">
        <v>0</v>
      </c>
      <c r="Z306" s="5">
        <v>0</v>
      </c>
      <c r="AA306" s="5">
        <v>1</v>
      </c>
      <c r="AB306" s="5">
        <v>0</v>
      </c>
    </row>
    <row r="307" spans="1:28" x14ac:dyDescent="0.2">
      <c r="A307" s="5">
        <v>50</v>
      </c>
      <c r="B307" s="5">
        <v>0</v>
      </c>
      <c r="C307" s="5">
        <v>0</v>
      </c>
      <c r="D307" s="5">
        <v>1</v>
      </c>
      <c r="E307" s="5">
        <v>209</v>
      </c>
      <c r="F307" s="5">
        <f>ROUND(Source!W283,O307)</f>
        <v>0</v>
      </c>
      <c r="G307" s="5" t="s">
        <v>201</v>
      </c>
      <c r="H307" s="5" t="s">
        <v>202</v>
      </c>
      <c r="I307" s="5"/>
      <c r="J307" s="5"/>
      <c r="K307" s="5">
        <v>209</v>
      </c>
      <c r="L307" s="5">
        <v>23</v>
      </c>
      <c r="M307" s="5">
        <v>3</v>
      </c>
      <c r="N307" s="5" t="s">
        <v>3</v>
      </c>
      <c r="O307" s="5">
        <v>2</v>
      </c>
      <c r="P307" s="5">
        <f>ROUND(Source!DO283,O307)</f>
        <v>0</v>
      </c>
      <c r="Q307" s="5"/>
      <c r="R307" s="5"/>
      <c r="S307" s="5"/>
      <c r="T307" s="5"/>
      <c r="U307" s="5"/>
      <c r="V307" s="5"/>
      <c r="W307" s="5">
        <v>0</v>
      </c>
      <c r="X307" s="5">
        <v>1</v>
      </c>
      <c r="Y307" s="5">
        <v>0</v>
      </c>
      <c r="Z307" s="5">
        <v>0</v>
      </c>
      <c r="AA307" s="5">
        <v>1</v>
      </c>
      <c r="AB307" s="5">
        <v>0</v>
      </c>
    </row>
    <row r="308" spans="1:28" x14ac:dyDescent="0.2">
      <c r="A308" s="5">
        <v>50</v>
      </c>
      <c r="B308" s="5">
        <v>0</v>
      </c>
      <c r="C308" s="5">
        <v>0</v>
      </c>
      <c r="D308" s="5">
        <v>1</v>
      </c>
      <c r="E308" s="5">
        <v>233</v>
      </c>
      <c r="F308" s="5">
        <f>ROUND(Source!BD283,O308)</f>
        <v>0</v>
      </c>
      <c r="G308" s="5" t="s">
        <v>203</v>
      </c>
      <c r="H308" s="5" t="s">
        <v>204</v>
      </c>
      <c r="I308" s="5"/>
      <c r="J308" s="5"/>
      <c r="K308" s="5">
        <v>233</v>
      </c>
      <c r="L308" s="5">
        <v>24</v>
      </c>
      <c r="M308" s="5">
        <v>3</v>
      </c>
      <c r="N308" s="5" t="s">
        <v>3</v>
      </c>
      <c r="O308" s="5">
        <v>2</v>
      </c>
      <c r="P308" s="5">
        <f>ROUND(Source!EV283,O308)</f>
        <v>0</v>
      </c>
      <c r="Q308" s="5"/>
      <c r="R308" s="5"/>
      <c r="S308" s="5"/>
      <c r="T308" s="5"/>
      <c r="U308" s="5"/>
      <c r="V308" s="5"/>
      <c r="W308" s="5">
        <v>0</v>
      </c>
      <c r="X308" s="5">
        <v>1</v>
      </c>
      <c r="Y308" s="5">
        <v>0</v>
      </c>
      <c r="Z308" s="5">
        <v>0</v>
      </c>
      <c r="AA308" s="5">
        <v>1</v>
      </c>
      <c r="AB308" s="5">
        <v>0</v>
      </c>
    </row>
    <row r="309" spans="1:28" x14ac:dyDescent="0.2">
      <c r="A309" s="5">
        <v>50</v>
      </c>
      <c r="B309" s="5">
        <v>0</v>
      </c>
      <c r="C309" s="5">
        <v>0</v>
      </c>
      <c r="D309" s="5">
        <v>1</v>
      </c>
      <c r="E309" s="5">
        <v>210</v>
      </c>
      <c r="F309" s="5">
        <f>ROUND(Source!X283,O309)</f>
        <v>9764.39</v>
      </c>
      <c r="G309" s="5" t="s">
        <v>205</v>
      </c>
      <c r="H309" s="5" t="s">
        <v>206</v>
      </c>
      <c r="I309" s="5"/>
      <c r="J309" s="5"/>
      <c r="K309" s="5">
        <v>210</v>
      </c>
      <c r="L309" s="5">
        <v>25</v>
      </c>
      <c r="M309" s="5">
        <v>3</v>
      </c>
      <c r="N309" s="5" t="s">
        <v>3</v>
      </c>
      <c r="O309" s="5">
        <v>2</v>
      </c>
      <c r="P309" s="5">
        <f>ROUND(Source!DP283,O309)</f>
        <v>536944.66</v>
      </c>
      <c r="Q309" s="5"/>
      <c r="R309" s="5"/>
      <c r="S309" s="5"/>
      <c r="T309" s="5"/>
      <c r="U309" s="5"/>
      <c r="V309" s="5"/>
      <c r="W309" s="5">
        <v>9764.39</v>
      </c>
      <c r="X309" s="5">
        <v>1</v>
      </c>
      <c r="Y309" s="5">
        <v>9764.39</v>
      </c>
      <c r="Z309" s="5">
        <v>536944.66</v>
      </c>
      <c r="AA309" s="5">
        <v>1</v>
      </c>
      <c r="AB309" s="5">
        <v>536944.66</v>
      </c>
    </row>
    <row r="310" spans="1:28" x14ac:dyDescent="0.2">
      <c r="A310" s="5">
        <v>50</v>
      </c>
      <c r="B310" s="5">
        <v>0</v>
      </c>
      <c r="C310" s="5">
        <v>0</v>
      </c>
      <c r="D310" s="5">
        <v>1</v>
      </c>
      <c r="E310" s="5">
        <v>211</v>
      </c>
      <c r="F310" s="5">
        <f>ROUND(Source!Y283,O310)</f>
        <v>5090.3100000000004</v>
      </c>
      <c r="G310" s="5" t="s">
        <v>207</v>
      </c>
      <c r="H310" s="5" t="s">
        <v>208</v>
      </c>
      <c r="I310" s="5"/>
      <c r="J310" s="5"/>
      <c r="K310" s="5">
        <v>211</v>
      </c>
      <c r="L310" s="5">
        <v>26</v>
      </c>
      <c r="M310" s="5">
        <v>3</v>
      </c>
      <c r="N310" s="5" t="s">
        <v>3</v>
      </c>
      <c r="O310" s="5">
        <v>2</v>
      </c>
      <c r="P310" s="5">
        <f>ROUND(Source!DQ283,O310)</f>
        <v>279916.67</v>
      </c>
      <c r="Q310" s="5"/>
      <c r="R310" s="5"/>
      <c r="S310" s="5"/>
      <c r="T310" s="5"/>
      <c r="U310" s="5"/>
      <c r="V310" s="5"/>
      <c r="W310" s="5">
        <v>5090.3100000000004</v>
      </c>
      <c r="X310" s="5">
        <v>1</v>
      </c>
      <c r="Y310" s="5">
        <v>5090.3100000000004</v>
      </c>
      <c r="Z310" s="5">
        <v>279916.67</v>
      </c>
      <c r="AA310" s="5">
        <v>1</v>
      </c>
      <c r="AB310" s="5">
        <v>279916.67</v>
      </c>
    </row>
    <row r="311" spans="1:28" x14ac:dyDescent="0.2">
      <c r="A311" s="5">
        <v>50</v>
      </c>
      <c r="B311" s="5">
        <v>0</v>
      </c>
      <c r="C311" s="5">
        <v>0</v>
      </c>
      <c r="D311" s="5">
        <v>1</v>
      </c>
      <c r="E311" s="5">
        <v>224</v>
      </c>
      <c r="F311" s="5">
        <f>ROUND(Source!AR283,O311)</f>
        <v>572713.84</v>
      </c>
      <c r="G311" s="5" t="s">
        <v>209</v>
      </c>
      <c r="H311" s="5" t="s">
        <v>210</v>
      </c>
      <c r="I311" s="5"/>
      <c r="J311" s="5"/>
      <c r="K311" s="5">
        <v>224</v>
      </c>
      <c r="L311" s="5">
        <v>27</v>
      </c>
      <c r="M311" s="5">
        <v>3</v>
      </c>
      <c r="N311" s="5" t="s">
        <v>3</v>
      </c>
      <c r="O311" s="5">
        <v>2</v>
      </c>
      <c r="P311" s="5">
        <f>ROUND(Source!EJ283,O311)</f>
        <v>5607159.9100000001</v>
      </c>
      <c r="Q311" s="5"/>
      <c r="R311" s="5"/>
      <c r="S311" s="5"/>
      <c r="T311" s="5"/>
      <c r="U311" s="5"/>
      <c r="V311" s="5"/>
      <c r="W311" s="5">
        <v>572713.84</v>
      </c>
      <c r="X311" s="5">
        <v>1</v>
      </c>
      <c r="Y311" s="5">
        <v>572713.84</v>
      </c>
      <c r="Z311" s="5">
        <v>5607159.9100000001</v>
      </c>
      <c r="AA311" s="5">
        <v>1</v>
      </c>
      <c r="AB311" s="5">
        <v>5607159.9100000001</v>
      </c>
    </row>
    <row r="314" spans="1:28" x14ac:dyDescent="0.2">
      <c r="A314">
        <v>70</v>
      </c>
      <c r="B314">
        <v>1</v>
      </c>
      <c r="D314">
        <v>1</v>
      </c>
      <c r="E314" t="s">
        <v>313</v>
      </c>
      <c r="F314" t="s">
        <v>314</v>
      </c>
      <c r="G314">
        <v>0</v>
      </c>
      <c r="H314">
        <v>0</v>
      </c>
      <c r="I314" t="s">
        <v>3</v>
      </c>
      <c r="J314">
        <v>1</v>
      </c>
      <c r="K314">
        <v>0</v>
      </c>
      <c r="L314" t="s">
        <v>3</v>
      </c>
      <c r="M314" t="s">
        <v>3</v>
      </c>
      <c r="N314">
        <v>0</v>
      </c>
      <c r="O314">
        <v>0</v>
      </c>
      <c r="P314" t="s">
        <v>3</v>
      </c>
    </row>
    <row r="315" spans="1:28" x14ac:dyDescent="0.2">
      <c r="A315">
        <v>70</v>
      </c>
      <c r="B315">
        <v>1</v>
      </c>
      <c r="D315">
        <v>2</v>
      </c>
      <c r="E315" t="s">
        <v>315</v>
      </c>
      <c r="F315" t="s">
        <v>316</v>
      </c>
      <c r="G315">
        <v>1</v>
      </c>
      <c r="H315">
        <v>0</v>
      </c>
      <c r="I315" t="s">
        <v>3</v>
      </c>
      <c r="J315">
        <v>1</v>
      </c>
      <c r="K315">
        <v>0</v>
      </c>
      <c r="L315" t="s">
        <v>3</v>
      </c>
      <c r="M315" t="s">
        <v>3</v>
      </c>
      <c r="N315">
        <v>0</v>
      </c>
      <c r="O315">
        <v>1</v>
      </c>
      <c r="P315" t="s">
        <v>3</v>
      </c>
    </row>
    <row r="316" spans="1:28" x14ac:dyDescent="0.2">
      <c r="A316">
        <v>70</v>
      </c>
      <c r="B316">
        <v>1</v>
      </c>
      <c r="D316">
        <v>3</v>
      </c>
      <c r="E316" t="s">
        <v>317</v>
      </c>
      <c r="F316" t="s">
        <v>318</v>
      </c>
      <c r="G316">
        <v>1</v>
      </c>
      <c r="H316">
        <v>0</v>
      </c>
      <c r="I316" t="s">
        <v>3</v>
      </c>
      <c r="J316">
        <v>0</v>
      </c>
      <c r="K316">
        <v>0</v>
      </c>
      <c r="L316" t="s">
        <v>3</v>
      </c>
      <c r="M316" t="s">
        <v>3</v>
      </c>
      <c r="N316">
        <v>0</v>
      </c>
      <c r="O316">
        <v>1</v>
      </c>
      <c r="P316" t="s">
        <v>3</v>
      </c>
    </row>
    <row r="317" spans="1:28" x14ac:dyDescent="0.2">
      <c r="A317">
        <v>70</v>
      </c>
      <c r="B317">
        <v>1</v>
      </c>
      <c r="D317">
        <v>4</v>
      </c>
      <c r="E317" t="s">
        <v>319</v>
      </c>
      <c r="F317" t="s">
        <v>320</v>
      </c>
      <c r="G317">
        <v>1</v>
      </c>
      <c r="H317">
        <v>0</v>
      </c>
      <c r="I317" t="s">
        <v>3</v>
      </c>
      <c r="J317">
        <v>0</v>
      </c>
      <c r="K317">
        <v>0</v>
      </c>
      <c r="L317" t="s">
        <v>3</v>
      </c>
      <c r="M317" t="s">
        <v>3</v>
      </c>
      <c r="N317">
        <v>0</v>
      </c>
      <c r="O317">
        <v>1</v>
      </c>
      <c r="P317" t="s">
        <v>3</v>
      </c>
    </row>
    <row r="318" spans="1:28" x14ac:dyDescent="0.2">
      <c r="A318">
        <v>70</v>
      </c>
      <c r="B318">
        <v>1</v>
      </c>
      <c r="D318">
        <v>5</v>
      </c>
      <c r="E318" t="s">
        <v>321</v>
      </c>
      <c r="F318" t="s">
        <v>322</v>
      </c>
      <c r="G318">
        <v>0</v>
      </c>
      <c r="H318">
        <v>0</v>
      </c>
      <c r="I318" t="s">
        <v>3</v>
      </c>
      <c r="J318">
        <v>0</v>
      </c>
      <c r="K318">
        <v>0</v>
      </c>
      <c r="L318" t="s">
        <v>3</v>
      </c>
      <c r="M318" t="s">
        <v>3</v>
      </c>
      <c r="N318">
        <v>0</v>
      </c>
      <c r="O318">
        <v>0</v>
      </c>
      <c r="P318" t="s">
        <v>3</v>
      </c>
    </row>
    <row r="320" spans="1:28" x14ac:dyDescent="0.2">
      <c r="A320">
        <v>-1</v>
      </c>
    </row>
    <row r="322" spans="1:50" x14ac:dyDescent="0.2">
      <c r="A322" s="4">
        <v>75</v>
      </c>
      <c r="B322" s="4" t="s">
        <v>323</v>
      </c>
      <c r="C322" s="4">
        <v>2025</v>
      </c>
      <c r="D322" s="4">
        <v>3</v>
      </c>
      <c r="E322" s="4">
        <v>0</v>
      </c>
      <c r="F322" s="4"/>
      <c r="G322" s="4">
        <v>0</v>
      </c>
      <c r="H322" s="4">
        <v>1</v>
      </c>
      <c r="I322" s="4">
        <v>1</v>
      </c>
      <c r="J322" s="4">
        <v>1</v>
      </c>
      <c r="K322" s="4">
        <v>0</v>
      </c>
      <c r="L322" s="4">
        <v>0</v>
      </c>
      <c r="M322" s="4">
        <v>1</v>
      </c>
      <c r="N322" s="4">
        <v>59213213</v>
      </c>
      <c r="O322" s="4">
        <v>1</v>
      </c>
    </row>
    <row r="323" spans="1:50" x14ac:dyDescent="0.2">
      <c r="A323" s="6">
        <v>1</v>
      </c>
      <c r="B323" s="6" t="s">
        <v>324</v>
      </c>
      <c r="C323" s="6" t="s">
        <v>325</v>
      </c>
      <c r="D323" s="6">
        <v>2025</v>
      </c>
      <c r="E323" s="6">
        <v>9</v>
      </c>
      <c r="F323" s="6">
        <v>1</v>
      </c>
      <c r="G323" s="6">
        <v>1</v>
      </c>
      <c r="H323" s="6">
        <v>0</v>
      </c>
      <c r="I323" s="6">
        <v>2</v>
      </c>
      <c r="J323" s="6">
        <v>1</v>
      </c>
      <c r="K323" s="6">
        <v>9.8800000000000008</v>
      </c>
      <c r="L323" s="6">
        <v>7.66</v>
      </c>
      <c r="M323" s="6">
        <v>1</v>
      </c>
      <c r="N323" s="6">
        <v>1</v>
      </c>
      <c r="O323" s="6">
        <v>9.8800000000000008</v>
      </c>
      <c r="P323" s="6">
        <v>7.66</v>
      </c>
      <c r="Q323" s="6">
        <v>1</v>
      </c>
      <c r="R323" s="6" t="s">
        <v>3</v>
      </c>
      <c r="S323" s="6" t="s">
        <v>3</v>
      </c>
      <c r="T323" s="6" t="s">
        <v>3</v>
      </c>
      <c r="U323" s="6" t="s">
        <v>3</v>
      </c>
      <c r="V323" s="6" t="s">
        <v>3</v>
      </c>
      <c r="W323" s="6" t="s">
        <v>3</v>
      </c>
      <c r="X323" s="6" t="s">
        <v>3</v>
      </c>
      <c r="Y323" s="6" t="s">
        <v>3</v>
      </c>
      <c r="Z323" s="6" t="s">
        <v>3</v>
      </c>
      <c r="AA323" s="6" t="s">
        <v>326</v>
      </c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>
        <v>59213214</v>
      </c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x14ac:dyDescent="0.2">
      <c r="A324" s="6">
        <v>1</v>
      </c>
      <c r="B324" s="6" t="s">
        <v>324</v>
      </c>
      <c r="C324" s="6" t="s">
        <v>327</v>
      </c>
      <c r="D324" s="6">
        <v>2025</v>
      </c>
      <c r="E324" s="6">
        <v>7</v>
      </c>
      <c r="F324" s="6">
        <v>1</v>
      </c>
      <c r="G324" s="6">
        <v>1</v>
      </c>
      <c r="H324" s="6">
        <v>0</v>
      </c>
      <c r="I324" s="6">
        <v>2</v>
      </c>
      <c r="J324" s="6">
        <v>1</v>
      </c>
      <c r="K324" s="6">
        <v>1</v>
      </c>
      <c r="L324" s="6">
        <v>1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 t="s">
        <v>3</v>
      </c>
      <c r="S324" s="6" t="s">
        <v>3</v>
      </c>
      <c r="T324" s="6" t="s">
        <v>3</v>
      </c>
      <c r="U324" s="6" t="s">
        <v>3</v>
      </c>
      <c r="V324" s="6" t="s">
        <v>3</v>
      </c>
      <c r="W324" s="6" t="s">
        <v>3</v>
      </c>
      <c r="X324" s="6" t="s">
        <v>3</v>
      </c>
      <c r="Y324" s="6" t="s">
        <v>3</v>
      </c>
      <c r="Z324" s="6" t="s">
        <v>3</v>
      </c>
      <c r="AA324" s="6" t="s">
        <v>328</v>
      </c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>
        <v>59213215</v>
      </c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x14ac:dyDescent="0.2">
      <c r="A325" s="4">
        <v>75</v>
      </c>
      <c r="B325" s="4" t="s">
        <v>329</v>
      </c>
      <c r="C325" s="4">
        <v>2000</v>
      </c>
      <c r="D325" s="4">
        <v>0</v>
      </c>
      <c r="E325" s="4">
        <v>1</v>
      </c>
      <c r="F325" s="4">
        <v>0</v>
      </c>
      <c r="G325" s="4">
        <v>0</v>
      </c>
      <c r="H325" s="4">
        <v>1</v>
      </c>
      <c r="I325" s="4">
        <v>1</v>
      </c>
      <c r="J325" s="4">
        <v>3</v>
      </c>
      <c r="K325" s="4">
        <v>0</v>
      </c>
      <c r="L325" s="4">
        <v>0</v>
      </c>
      <c r="M325" s="4">
        <v>0</v>
      </c>
      <c r="N325" s="4">
        <v>59213216</v>
      </c>
      <c r="O325" s="4">
        <v>2</v>
      </c>
    </row>
    <row r="326" spans="1:50" x14ac:dyDescent="0.2">
      <c r="A326" s="6">
        <v>1</v>
      </c>
      <c r="B326" s="6" t="s">
        <v>324</v>
      </c>
      <c r="C326" s="6" t="s">
        <v>325</v>
      </c>
      <c r="D326" s="6">
        <v>2000</v>
      </c>
      <c r="E326" s="6">
        <v>1</v>
      </c>
      <c r="F326" s="6">
        <v>1</v>
      </c>
      <c r="G326" s="6">
        <v>1</v>
      </c>
      <c r="H326" s="6">
        <v>0</v>
      </c>
      <c r="I326" s="6">
        <v>2</v>
      </c>
      <c r="J326" s="6">
        <v>1</v>
      </c>
      <c r="K326" s="6">
        <v>1</v>
      </c>
      <c r="L326" s="6">
        <v>1</v>
      </c>
      <c r="M326" s="6">
        <v>1</v>
      </c>
      <c r="N326" s="6">
        <v>1</v>
      </c>
      <c r="O326" s="6">
        <v>1</v>
      </c>
      <c r="P326" s="6">
        <v>1</v>
      </c>
      <c r="Q326" s="6">
        <v>1</v>
      </c>
      <c r="R326" s="6" t="s">
        <v>3</v>
      </c>
      <c r="S326" s="6" t="s">
        <v>3</v>
      </c>
      <c r="T326" s="6" t="s">
        <v>3</v>
      </c>
      <c r="U326" s="6" t="s">
        <v>3</v>
      </c>
      <c r="V326" s="6" t="s">
        <v>3</v>
      </c>
      <c r="W326" s="6" t="s">
        <v>3</v>
      </c>
      <c r="X326" s="6" t="s">
        <v>3</v>
      </c>
      <c r="Y326" s="6" t="s">
        <v>3</v>
      </c>
      <c r="Z326" s="6" t="s">
        <v>3</v>
      </c>
      <c r="AA326" s="6" t="s">
        <v>93</v>
      </c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>
        <v>59213217</v>
      </c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30" spans="1:50" x14ac:dyDescent="0.2">
      <c r="A330">
        <v>65</v>
      </c>
      <c r="C330">
        <v>1</v>
      </c>
      <c r="D330">
        <v>0</v>
      </c>
      <c r="E330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330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327688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59213213</v>
      </c>
      <c r="E14" s="1">
        <v>59213216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ROUND((Source!P270)/1000,2)</f>
        <v>1.03</v>
      </c>
      <c r="F16" s="8">
        <f>ROUND((Source!P271)/1000,2)</f>
        <v>1780.46</v>
      </c>
      <c r="G16" s="8">
        <f>ROUND((Source!P262)/1000,2)</f>
        <v>3825.67</v>
      </c>
      <c r="H16" s="8">
        <f>ROUND((Source!P272)/1000+(Source!P273)/1000,2)</f>
        <v>0</v>
      </c>
      <c r="I16" s="8">
        <f>E16+F16+G16+H16</f>
        <v>5607.16</v>
      </c>
      <c r="J16" s="8">
        <f>ROUND((Source!P268+Source!P267)/1000,2)</f>
        <v>571.77</v>
      </c>
      <c r="K16" s="8">
        <v>8999.08</v>
      </c>
      <c r="L16" s="8">
        <v>0</v>
      </c>
      <c r="M16" s="8">
        <v>0</v>
      </c>
      <c r="N16" s="8">
        <f>I16+L16+M16</f>
        <v>5607.16</v>
      </c>
      <c r="T16" s="9">
        <f>ROUND((Source!F270)/1000,2)</f>
        <v>0.13</v>
      </c>
      <c r="U16" s="9">
        <f>ROUND((Source!F271)/1000,2)</f>
        <v>73.209999999999994</v>
      </c>
      <c r="V16" s="9">
        <f>ROUND((Source!F262)/1000,2)</f>
        <v>499.37</v>
      </c>
      <c r="W16" s="9">
        <f>ROUND((Source!F272)/1000+(Source!F273)/1000,2)</f>
        <v>0</v>
      </c>
      <c r="X16" s="9">
        <f>T16+U16+V16+W16</f>
        <v>572.71</v>
      </c>
      <c r="Y16" s="9">
        <f>ROUND((Source!F268+Source!F267)/1000,2)</f>
        <v>10.4</v>
      </c>
      <c r="Z16" s="9">
        <v>1104.3599999999999</v>
      </c>
      <c r="AA16" s="9">
        <v>0</v>
      </c>
      <c r="AB16" s="9">
        <v>0</v>
      </c>
      <c r="AC16" s="9">
        <f>X16+AA16+AB16</f>
        <v>572.71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4790298.58</v>
      </c>
      <c r="AU16" s="8">
        <v>4208778.26</v>
      </c>
      <c r="AV16" s="8">
        <v>0</v>
      </c>
      <c r="AW16" s="8">
        <v>3825668.94</v>
      </c>
      <c r="AX16" s="8">
        <v>0</v>
      </c>
      <c r="AY16" s="8">
        <v>19357.55</v>
      </c>
      <c r="AZ16" s="8">
        <v>9607.84</v>
      </c>
      <c r="BA16" s="8">
        <v>562162.77</v>
      </c>
      <c r="BB16" s="8">
        <v>1029.1600000000001</v>
      </c>
      <c r="BC16" s="8">
        <v>1780461.81</v>
      </c>
      <c r="BD16" s="8">
        <v>0</v>
      </c>
      <c r="BE16" s="8">
        <v>0</v>
      </c>
      <c r="BF16" s="8">
        <v>787.70867010000018</v>
      </c>
      <c r="BG16" s="8">
        <v>0</v>
      </c>
      <c r="BH16" s="8">
        <v>0</v>
      </c>
      <c r="BI16" s="8">
        <v>536944.66</v>
      </c>
      <c r="BJ16" s="8">
        <v>279916.67</v>
      </c>
      <c r="BK16" s="8">
        <v>5607159.9100000001</v>
      </c>
      <c r="BR16" s="9">
        <v>557859.14</v>
      </c>
      <c r="BS16" s="9">
        <v>546496.67000000004</v>
      </c>
      <c r="BT16" s="9">
        <v>0</v>
      </c>
      <c r="BU16" s="9">
        <v>499374.71</v>
      </c>
      <c r="BV16" s="9">
        <v>0</v>
      </c>
      <c r="BW16" s="9">
        <v>1139.47</v>
      </c>
      <c r="BX16" s="9">
        <v>174.72</v>
      </c>
      <c r="BY16" s="9">
        <v>10223</v>
      </c>
      <c r="BZ16" s="9">
        <v>128.53</v>
      </c>
      <c r="CA16" s="9">
        <v>73210.600000000006</v>
      </c>
      <c r="CB16" s="9">
        <v>0</v>
      </c>
      <c r="CC16" s="9">
        <v>0</v>
      </c>
      <c r="CD16" s="9">
        <v>787.70867010000018</v>
      </c>
      <c r="CE16" s="9">
        <v>0</v>
      </c>
      <c r="CF16" s="9">
        <v>0</v>
      </c>
      <c r="CG16" s="9">
        <v>9764.39</v>
      </c>
      <c r="CH16" s="9">
        <v>5090.3100000000004</v>
      </c>
      <c r="CI16" s="9">
        <v>572713.84</v>
      </c>
    </row>
    <row r="18" spans="1:29" x14ac:dyDescent="0.2">
      <c r="A18">
        <v>51</v>
      </c>
      <c r="E18">
        <v>1.03</v>
      </c>
      <c r="F18">
        <v>1780.46</v>
      </c>
      <c r="G18">
        <v>3825.67</v>
      </c>
      <c r="H18">
        <v>0</v>
      </c>
      <c r="I18">
        <v>5607.16</v>
      </c>
      <c r="J18">
        <v>571.77</v>
      </c>
      <c r="K18">
        <v>8999.08</v>
      </c>
      <c r="L18">
        <v>0</v>
      </c>
      <c r="M18">
        <v>0</v>
      </c>
      <c r="N18">
        <v>5607.16</v>
      </c>
      <c r="T18">
        <v>0.13</v>
      </c>
      <c r="U18">
        <v>73.209999999999994</v>
      </c>
      <c r="V18">
        <v>499.37</v>
      </c>
      <c r="W18">
        <v>0</v>
      </c>
      <c r="X18">
        <v>572.71</v>
      </c>
      <c r="Y18">
        <v>10.4</v>
      </c>
      <c r="Z18">
        <v>1104.3599999999999</v>
      </c>
      <c r="AA18">
        <v>0</v>
      </c>
      <c r="AB18">
        <v>0</v>
      </c>
      <c r="AC18">
        <v>572.71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4790298.58</v>
      </c>
      <c r="G20" s="5" t="s">
        <v>157</v>
      </c>
      <c r="H20" s="5" t="s">
        <v>158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557859.14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4208778.26</v>
      </c>
      <c r="G21" s="5" t="s">
        <v>159</v>
      </c>
      <c r="H21" s="5" t="s">
        <v>160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546496.67000000004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161</v>
      </c>
      <c r="H22" s="5" t="s">
        <v>162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4208778.26</v>
      </c>
      <c r="G23" s="5" t="s">
        <v>163</v>
      </c>
      <c r="H23" s="5" t="s">
        <v>164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546496.67000000004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383109.32</v>
      </c>
      <c r="G24" s="5" t="s">
        <v>165</v>
      </c>
      <c r="H24" s="5" t="s">
        <v>166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47121.96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167</v>
      </c>
      <c r="H25" s="5" t="s">
        <v>168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383109.32</v>
      </c>
      <c r="G26" s="5" t="s">
        <v>169</v>
      </c>
      <c r="H26" s="5" t="s">
        <v>170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47121.96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3825668.94</v>
      </c>
      <c r="G27" s="5" t="s">
        <v>171</v>
      </c>
      <c r="H27" s="5" t="s">
        <v>172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499374.71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173</v>
      </c>
      <c r="H28" s="5" t="s">
        <v>174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3825668.94</v>
      </c>
      <c r="G29" s="5" t="s">
        <v>175</v>
      </c>
      <c r="H29" s="5" t="s">
        <v>176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499374.71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19357.55</v>
      </c>
      <c r="G30" s="5" t="s">
        <v>177</v>
      </c>
      <c r="H30" s="5" t="s">
        <v>178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1139.47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179</v>
      </c>
      <c r="H31" s="5" t="s">
        <v>180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9607.84</v>
      </c>
      <c r="G32" s="5" t="s">
        <v>181</v>
      </c>
      <c r="H32" s="5" t="s">
        <v>182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174.72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562162.77</v>
      </c>
      <c r="G33" s="5" t="s">
        <v>183</v>
      </c>
      <c r="H33" s="5" t="s">
        <v>184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10223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185</v>
      </c>
      <c r="H34" s="5" t="s">
        <v>186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1029.1600000000001</v>
      </c>
      <c r="G35" s="5" t="s">
        <v>187</v>
      </c>
      <c r="H35" s="5" t="s">
        <v>188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128.53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1780461.81</v>
      </c>
      <c r="G36" s="5" t="s">
        <v>189</v>
      </c>
      <c r="H36" s="5" t="s">
        <v>190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73210.600000000006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191</v>
      </c>
      <c r="H37" s="5" t="s">
        <v>192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193</v>
      </c>
      <c r="H38" s="5" t="s">
        <v>194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195</v>
      </c>
      <c r="H39" s="5" t="s">
        <v>196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787.70867010000018</v>
      </c>
      <c r="G40" s="5" t="s">
        <v>197</v>
      </c>
      <c r="H40" s="5" t="s">
        <v>198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787.70867010000018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199</v>
      </c>
      <c r="H41" s="5" t="s">
        <v>200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201</v>
      </c>
      <c r="H42" s="5" t="s">
        <v>202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203</v>
      </c>
      <c r="H43" s="5" t="s">
        <v>204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536944.66</v>
      </c>
      <c r="G44" s="5" t="s">
        <v>205</v>
      </c>
      <c r="H44" s="5" t="s">
        <v>206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9764.39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279916.67</v>
      </c>
      <c r="G45" s="5" t="s">
        <v>207</v>
      </c>
      <c r="H45" s="5" t="s">
        <v>208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5090.3100000000004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5607159.9100000001</v>
      </c>
      <c r="G46" s="5" t="s">
        <v>209</v>
      </c>
      <c r="H46" s="5" t="s">
        <v>210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572713.84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323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59213213</v>
      </c>
      <c r="O51" s="4">
        <v>1</v>
      </c>
    </row>
    <row r="52" spans="1:50" x14ac:dyDescent="0.2">
      <c r="A52" s="6">
        <v>1</v>
      </c>
      <c r="B52" s="6" t="s">
        <v>324</v>
      </c>
      <c r="C52" s="6" t="s">
        <v>325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326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59213214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324</v>
      </c>
      <c r="C53" s="6" t="s">
        <v>327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328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59213215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329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59213216</v>
      </c>
      <c r="O54" s="4">
        <v>2</v>
      </c>
    </row>
    <row r="55" spans="1:50" x14ac:dyDescent="0.2">
      <c r="A55" s="6">
        <v>1</v>
      </c>
      <c r="B55" s="6" t="s">
        <v>324</v>
      </c>
      <c r="C55" s="6" t="s">
        <v>325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93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59213217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0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59213216</v>
      </c>
      <c r="C1">
        <v>59213330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331</v>
      </c>
      <c r="J1" t="s">
        <v>3</v>
      </c>
      <c r="K1" t="s">
        <v>332</v>
      </c>
      <c r="L1">
        <v>1191</v>
      </c>
      <c r="N1">
        <v>1013</v>
      </c>
      <c r="O1" t="s">
        <v>333</v>
      </c>
      <c r="P1" t="s">
        <v>333</v>
      </c>
      <c r="Q1">
        <v>1</v>
      </c>
      <c r="W1">
        <v>0</v>
      </c>
      <c r="X1">
        <v>476480486</v>
      </c>
      <c r="Y1">
        <f>(AT1*1.1)</f>
        <v>32.956000000000003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29.96</v>
      </c>
      <c r="AU1" t="s">
        <v>26</v>
      </c>
      <c r="AV1">
        <v>1</v>
      </c>
      <c r="AW1">
        <v>2</v>
      </c>
      <c r="AX1">
        <v>59213825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6.5911999999999997</v>
      </c>
      <c r="CW1">
        <v>0</v>
      </c>
      <c r="CX1">
        <f>ROUND(Y1*Source!I28,9)</f>
        <v>6.5911999999999997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59213216</v>
      </c>
      <c r="C2">
        <v>59213330</v>
      </c>
      <c r="D2">
        <v>58340578</v>
      </c>
      <c r="E2">
        <v>1</v>
      </c>
      <c r="F2">
        <v>1</v>
      </c>
      <c r="G2">
        <v>1080</v>
      </c>
      <c r="H2">
        <v>2</v>
      </c>
      <c r="I2" t="s">
        <v>334</v>
      </c>
      <c r="J2" t="s">
        <v>335</v>
      </c>
      <c r="K2" t="s">
        <v>336</v>
      </c>
      <c r="L2">
        <v>1368</v>
      </c>
      <c r="N2">
        <v>1011</v>
      </c>
      <c r="O2" t="s">
        <v>337</v>
      </c>
      <c r="P2" t="s">
        <v>337</v>
      </c>
      <c r="Q2">
        <v>1</v>
      </c>
      <c r="W2">
        <v>0</v>
      </c>
      <c r="X2">
        <v>-1985943078</v>
      </c>
      <c r="Y2">
        <f>(AT2*1.1)</f>
        <v>1.1000000000000001E-2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0.01</v>
      </c>
      <c r="AU2" t="s">
        <v>26</v>
      </c>
      <c r="AV2">
        <v>0</v>
      </c>
      <c r="AW2">
        <v>2</v>
      </c>
      <c r="AX2">
        <v>59213826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2.7764E-2</v>
      </c>
      <c r="CX2">
        <f>ROUND(Y2*Source!I28,9)</f>
        <v>2.2000000000000001E-3</v>
      </c>
      <c r="CY2">
        <f>AB2</f>
        <v>87.01</v>
      </c>
      <c r="CZ2">
        <f>AF2</f>
        <v>83.1</v>
      </c>
      <c r="DA2">
        <f>AJ2</f>
        <v>1</v>
      </c>
      <c r="DB2">
        <f>ROUND((ROUND(AT2*CZ2,2)*1.1),6)</f>
        <v>0.91300000000000003</v>
      </c>
      <c r="DC2">
        <f>ROUND((ROUND(AT2*AG2,2)*1.1),6)</f>
        <v>0.14299999999999999</v>
      </c>
      <c r="DD2" t="s">
        <v>3</v>
      </c>
      <c r="DE2" t="s">
        <v>3</v>
      </c>
      <c r="DF2">
        <f t="shared" si="0"/>
        <v>0</v>
      </c>
      <c r="DG2">
        <f>ROUND(ROUND(AF2,2)*CX2,2)</f>
        <v>0.18</v>
      </c>
      <c r="DH2">
        <f>ROUND(ROUND(AG2,2)*CX2,2)</f>
        <v>0.03</v>
      </c>
      <c r="DI2">
        <f t="shared" si="1"/>
        <v>0</v>
      </c>
      <c r="DJ2">
        <f>DG2</f>
        <v>0.18</v>
      </c>
      <c r="DK2">
        <v>0</v>
      </c>
      <c r="DL2" t="s">
        <v>338</v>
      </c>
      <c r="DM2">
        <v>0</v>
      </c>
      <c r="DN2" t="s">
        <v>333</v>
      </c>
      <c r="DO2">
        <v>12.62</v>
      </c>
    </row>
    <row r="3" spans="1:119" x14ac:dyDescent="0.2">
      <c r="A3">
        <f>ROW(Source!A28)</f>
        <v>28</v>
      </c>
      <c r="B3">
        <v>59213216</v>
      </c>
      <c r="C3">
        <v>59213330</v>
      </c>
      <c r="D3">
        <v>58340663</v>
      </c>
      <c r="E3">
        <v>1</v>
      </c>
      <c r="F3">
        <v>1</v>
      </c>
      <c r="G3">
        <v>1080</v>
      </c>
      <c r="H3">
        <v>2</v>
      </c>
      <c r="I3" t="s">
        <v>339</v>
      </c>
      <c r="J3" t="s">
        <v>340</v>
      </c>
      <c r="K3" t="s">
        <v>341</v>
      </c>
      <c r="L3">
        <v>1368</v>
      </c>
      <c r="N3">
        <v>1011</v>
      </c>
      <c r="O3" t="s">
        <v>337</v>
      </c>
      <c r="P3" t="s">
        <v>337</v>
      </c>
      <c r="Q3">
        <v>1</v>
      </c>
      <c r="W3">
        <v>0</v>
      </c>
      <c r="X3">
        <v>1645565003</v>
      </c>
      <c r="Y3">
        <f>(AT3*1.1)</f>
        <v>0.63800000000000001</v>
      </c>
      <c r="AA3">
        <v>0</v>
      </c>
      <c r="AB3">
        <v>0.49</v>
      </c>
      <c r="AC3">
        <v>0</v>
      </c>
      <c r="AD3">
        <v>0</v>
      </c>
      <c r="AE3">
        <v>0</v>
      </c>
      <c r="AF3">
        <v>0.47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0.57999999999999996</v>
      </c>
      <c r="AU3" t="s">
        <v>26</v>
      </c>
      <c r="AV3">
        <v>0</v>
      </c>
      <c r="AW3">
        <v>2</v>
      </c>
      <c r="AX3">
        <v>59213827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0.12759999999999999</v>
      </c>
      <c r="CY3">
        <f>AB3</f>
        <v>0.49</v>
      </c>
      <c r="CZ3">
        <f>AF3</f>
        <v>0.47</v>
      </c>
      <c r="DA3">
        <f>AJ3</f>
        <v>1</v>
      </c>
      <c r="DB3">
        <f>ROUND((ROUND(AT3*CZ3,2)*1.1),6)</f>
        <v>0.29699999999999999</v>
      </c>
      <c r="DC3">
        <f>ROUND((ROUND(AT3*AG3,2)*1.1),6)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0.06</v>
      </c>
      <c r="DH3">
        <f>ROUND(ROUND(AG3,2)*CX3,2)</f>
        <v>0</v>
      </c>
      <c r="DI3">
        <f t="shared" si="1"/>
        <v>0</v>
      </c>
      <c r="DJ3">
        <f>DG3</f>
        <v>0.06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59213216</v>
      </c>
      <c r="C4">
        <v>59213330</v>
      </c>
      <c r="D4">
        <v>58310460</v>
      </c>
      <c r="E4">
        <v>1</v>
      </c>
      <c r="F4">
        <v>1</v>
      </c>
      <c r="G4">
        <v>1080</v>
      </c>
      <c r="H4">
        <v>3</v>
      </c>
      <c r="I4" t="s">
        <v>342</v>
      </c>
      <c r="J4" t="s">
        <v>343</v>
      </c>
      <c r="K4" t="s">
        <v>344</v>
      </c>
      <c r="L4">
        <v>1348</v>
      </c>
      <c r="N4">
        <v>1009</v>
      </c>
      <c r="O4" t="s">
        <v>345</v>
      </c>
      <c r="P4" t="s">
        <v>345</v>
      </c>
      <c r="Q4">
        <v>1000</v>
      </c>
      <c r="W4">
        <v>0</v>
      </c>
      <c r="X4">
        <v>1854293486</v>
      </c>
      <c r="Y4">
        <f>(AT4*1)</f>
        <v>9.0000000000000006E-5</v>
      </c>
      <c r="AA4">
        <v>14327.51</v>
      </c>
      <c r="AB4">
        <v>0</v>
      </c>
      <c r="AC4">
        <v>0</v>
      </c>
      <c r="AD4">
        <v>0</v>
      </c>
      <c r="AE4">
        <v>14327.51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9.0000000000000006E-5</v>
      </c>
      <c r="AU4" t="s">
        <v>25</v>
      </c>
      <c r="AV4">
        <v>0</v>
      </c>
      <c r="AW4">
        <v>2</v>
      </c>
      <c r="AX4">
        <v>59213828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1.8E-5</v>
      </c>
      <c r="CY4">
        <f>AA4</f>
        <v>14327.51</v>
      </c>
      <c r="CZ4">
        <f>AE4</f>
        <v>14327.51</v>
      </c>
      <c r="DA4">
        <f>AI4</f>
        <v>1</v>
      </c>
      <c r="DB4">
        <f>ROUND((ROUND(AT4*CZ4,2)*1),6)</f>
        <v>1.29</v>
      </c>
      <c r="DC4">
        <f>ROUND((ROUND(AT4*AG4,2)*1),6)</f>
        <v>0</v>
      </c>
      <c r="DD4" t="s">
        <v>3</v>
      </c>
      <c r="DE4" t="s">
        <v>3</v>
      </c>
      <c r="DF4">
        <f t="shared" si="0"/>
        <v>0.26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0.26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ROW(Source!A29)</f>
        <v>29</v>
      </c>
      <c r="B5">
        <v>59213213</v>
      </c>
      <c r="C5">
        <v>59213330</v>
      </c>
      <c r="D5">
        <v>58266404</v>
      </c>
      <c r="E5">
        <v>1080</v>
      </c>
      <c r="F5">
        <v>1</v>
      </c>
      <c r="G5">
        <v>1080</v>
      </c>
      <c r="H5">
        <v>1</v>
      </c>
      <c r="I5" t="s">
        <v>331</v>
      </c>
      <c r="J5" t="s">
        <v>3</v>
      </c>
      <c r="K5" t="s">
        <v>332</v>
      </c>
      <c r="L5">
        <v>1191</v>
      </c>
      <c r="N5">
        <v>1013</v>
      </c>
      <c r="O5" t="s">
        <v>333</v>
      </c>
      <c r="P5" t="s">
        <v>333</v>
      </c>
      <c r="Q5">
        <v>1</v>
      </c>
      <c r="W5">
        <v>0</v>
      </c>
      <c r="X5">
        <v>476480486</v>
      </c>
      <c r="Y5">
        <f>(AT5*1.1)</f>
        <v>32.956000000000003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29.96</v>
      </c>
      <c r="AU5" t="s">
        <v>26</v>
      </c>
      <c r="AV5">
        <v>1</v>
      </c>
      <c r="AW5">
        <v>2</v>
      </c>
      <c r="AX5">
        <v>59213825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6.5911999999999997</v>
      </c>
      <c r="CW5">
        <v>0</v>
      </c>
      <c r="CX5">
        <f>ROUND(Y5*Source!I29,9)</f>
        <v>6.5911999999999997</v>
      </c>
      <c r="CY5">
        <f>AD5</f>
        <v>0</v>
      </c>
      <c r="CZ5">
        <f>AH5</f>
        <v>0</v>
      </c>
      <c r="DA5">
        <f>AL5</f>
        <v>1</v>
      </c>
      <c r="DB5">
        <f>ROUND((ROUND(AT5*CZ5,2)*1.1),6)</f>
        <v>0</v>
      </c>
      <c r="DC5">
        <f>ROUND((ROUND(AT5*AG5,2)*1.1),6)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59213213</v>
      </c>
      <c r="C6">
        <v>59213330</v>
      </c>
      <c r="D6">
        <v>58340578</v>
      </c>
      <c r="E6">
        <v>1</v>
      </c>
      <c r="F6">
        <v>1</v>
      </c>
      <c r="G6">
        <v>1080</v>
      </c>
      <c r="H6">
        <v>2</v>
      </c>
      <c r="I6" t="s">
        <v>334</v>
      </c>
      <c r="J6" t="s">
        <v>335</v>
      </c>
      <c r="K6" t="s">
        <v>336</v>
      </c>
      <c r="L6">
        <v>1368</v>
      </c>
      <c r="N6">
        <v>1011</v>
      </c>
      <c r="O6" t="s">
        <v>337</v>
      </c>
      <c r="P6" t="s">
        <v>337</v>
      </c>
      <c r="Q6">
        <v>1</v>
      </c>
      <c r="W6">
        <v>0</v>
      </c>
      <c r="X6">
        <v>-1985943078</v>
      </c>
      <c r="Y6">
        <f>(AT6*1.1)</f>
        <v>1.1000000000000001E-2</v>
      </c>
      <c r="AA6">
        <v>0</v>
      </c>
      <c r="AB6">
        <v>1418.19</v>
      </c>
      <c r="AC6">
        <v>726.59</v>
      </c>
      <c r="AD6">
        <v>0</v>
      </c>
      <c r="AE6">
        <v>0</v>
      </c>
      <c r="AF6">
        <v>83.1</v>
      </c>
      <c r="AG6">
        <v>12.62</v>
      </c>
      <c r="AH6">
        <v>0</v>
      </c>
      <c r="AI6">
        <v>1</v>
      </c>
      <c r="AJ6">
        <v>16.3</v>
      </c>
      <c r="AK6">
        <v>54.99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26</v>
      </c>
      <c r="AV6">
        <v>0</v>
      </c>
      <c r="AW6">
        <v>2</v>
      </c>
      <c r="AX6">
        <v>59213826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2.7764E-2</v>
      </c>
      <c r="CX6">
        <f>ROUND(Y6*Source!I29,9)</f>
        <v>2.2000000000000001E-3</v>
      </c>
      <c r="CY6">
        <f>AB6</f>
        <v>1418.19</v>
      </c>
      <c r="CZ6">
        <f>AF6</f>
        <v>83.1</v>
      </c>
      <c r="DA6">
        <f>AJ6</f>
        <v>16.3</v>
      </c>
      <c r="DB6">
        <f>ROUND((ROUND(AT6*CZ6,2)*1.1),6)</f>
        <v>0.91300000000000003</v>
      </c>
      <c r="DC6">
        <f>ROUND((ROUND(AT6*AG6,2)*1.1),6)</f>
        <v>0.14299999999999999</v>
      </c>
      <c r="DD6" t="s">
        <v>3</v>
      </c>
      <c r="DE6" t="s">
        <v>3</v>
      </c>
      <c r="DF6">
        <f t="shared" si="0"/>
        <v>0</v>
      </c>
      <c r="DG6">
        <f>ROUND(ROUND(AF6*AJ6,2)*CX6,2)</f>
        <v>2.98</v>
      </c>
      <c r="DH6">
        <f>ROUND(ROUND(AG6*AK6,2)*CX6,2)</f>
        <v>1.53</v>
      </c>
      <c r="DI6">
        <f t="shared" si="1"/>
        <v>0</v>
      </c>
      <c r="DJ6">
        <f>DG6</f>
        <v>2.98</v>
      </c>
      <c r="DK6">
        <v>0</v>
      </c>
      <c r="DL6" t="s">
        <v>338</v>
      </c>
      <c r="DM6">
        <v>0</v>
      </c>
      <c r="DN6" t="s">
        <v>333</v>
      </c>
      <c r="DO6">
        <v>12.62</v>
      </c>
    </row>
    <row r="7" spans="1:119" x14ac:dyDescent="0.2">
      <c r="A7">
        <f>ROW(Source!A29)</f>
        <v>29</v>
      </c>
      <c r="B7">
        <v>59213213</v>
      </c>
      <c r="C7">
        <v>59213330</v>
      </c>
      <c r="D7">
        <v>58340663</v>
      </c>
      <c r="E7">
        <v>1</v>
      </c>
      <c r="F7">
        <v>1</v>
      </c>
      <c r="G7">
        <v>1080</v>
      </c>
      <c r="H7">
        <v>2</v>
      </c>
      <c r="I7" t="s">
        <v>339</v>
      </c>
      <c r="J7" t="s">
        <v>340</v>
      </c>
      <c r="K7" t="s">
        <v>341</v>
      </c>
      <c r="L7">
        <v>1368</v>
      </c>
      <c r="N7">
        <v>1011</v>
      </c>
      <c r="O7" t="s">
        <v>337</v>
      </c>
      <c r="P7" t="s">
        <v>337</v>
      </c>
      <c r="Q7">
        <v>1</v>
      </c>
      <c r="W7">
        <v>0</v>
      </c>
      <c r="X7">
        <v>1645565003</v>
      </c>
      <c r="Y7">
        <f>(AT7*1.1)</f>
        <v>0.63800000000000001</v>
      </c>
      <c r="AA7">
        <v>0</v>
      </c>
      <c r="AB7">
        <v>4.3</v>
      </c>
      <c r="AC7">
        <v>0</v>
      </c>
      <c r="AD7">
        <v>0</v>
      </c>
      <c r="AE7">
        <v>0</v>
      </c>
      <c r="AF7">
        <v>0.47</v>
      </c>
      <c r="AG7">
        <v>0</v>
      </c>
      <c r="AH7">
        <v>0</v>
      </c>
      <c r="AI7">
        <v>1</v>
      </c>
      <c r="AJ7">
        <v>8.74</v>
      </c>
      <c r="AK7">
        <v>54.99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0.57999999999999996</v>
      </c>
      <c r="AU7" t="s">
        <v>26</v>
      </c>
      <c r="AV7">
        <v>0</v>
      </c>
      <c r="AW7">
        <v>2</v>
      </c>
      <c r="AX7">
        <v>59213827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0.12759999999999999</v>
      </c>
      <c r="CY7">
        <f>AB7</f>
        <v>4.3</v>
      </c>
      <c r="CZ7">
        <f>AF7</f>
        <v>0.47</v>
      </c>
      <c r="DA7">
        <f>AJ7</f>
        <v>8.74</v>
      </c>
      <c r="DB7">
        <f>ROUND((ROUND(AT7*CZ7,2)*1.1),6)</f>
        <v>0.29699999999999999</v>
      </c>
      <c r="DC7">
        <f>ROUND((ROUND(AT7*AG7,2)*1.1),6)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0.52</v>
      </c>
      <c r="DH7">
        <f>ROUND(ROUND(AG7*AK7,2)*CX7,2)</f>
        <v>0</v>
      </c>
      <c r="DI7">
        <f t="shared" si="1"/>
        <v>0</v>
      </c>
      <c r="DJ7">
        <f>DG7</f>
        <v>0.52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59213213</v>
      </c>
      <c r="C8">
        <v>59213330</v>
      </c>
      <c r="D8">
        <v>58310460</v>
      </c>
      <c r="E8">
        <v>1</v>
      </c>
      <c r="F8">
        <v>1</v>
      </c>
      <c r="G8">
        <v>1080</v>
      </c>
      <c r="H8">
        <v>3</v>
      </c>
      <c r="I8" t="s">
        <v>342</v>
      </c>
      <c r="J8" t="s">
        <v>343</v>
      </c>
      <c r="K8" t="s">
        <v>344</v>
      </c>
      <c r="L8">
        <v>1348</v>
      </c>
      <c r="N8">
        <v>1009</v>
      </c>
      <c r="O8" t="s">
        <v>345</v>
      </c>
      <c r="P8" t="s">
        <v>345</v>
      </c>
      <c r="Q8">
        <v>1000</v>
      </c>
      <c r="W8">
        <v>0</v>
      </c>
      <c r="X8">
        <v>1854293486</v>
      </c>
      <c r="Y8">
        <f>(AT8*1)</f>
        <v>9.0000000000000006E-5</v>
      </c>
      <c r="AA8">
        <v>103874.45</v>
      </c>
      <c r="AB8">
        <v>0</v>
      </c>
      <c r="AC8">
        <v>0</v>
      </c>
      <c r="AD8">
        <v>0</v>
      </c>
      <c r="AE8">
        <v>14327.51</v>
      </c>
      <c r="AF8">
        <v>0</v>
      </c>
      <c r="AG8">
        <v>0</v>
      </c>
      <c r="AH8">
        <v>0</v>
      </c>
      <c r="AI8">
        <v>7.25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9.0000000000000006E-5</v>
      </c>
      <c r="AU8" t="s">
        <v>25</v>
      </c>
      <c r="AV8">
        <v>0</v>
      </c>
      <c r="AW8">
        <v>2</v>
      </c>
      <c r="AX8">
        <v>59213828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1.8E-5</v>
      </c>
      <c r="CY8">
        <f>AA8</f>
        <v>103874.45</v>
      </c>
      <c r="CZ8">
        <f>AE8</f>
        <v>14327.51</v>
      </c>
      <c r="DA8">
        <f>AI8</f>
        <v>7.25</v>
      </c>
      <c r="DB8">
        <f>ROUND((ROUND(AT8*CZ8,2)*1),6)</f>
        <v>1.29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1.87</v>
      </c>
      <c r="DG8">
        <f t="shared" ref="DG8:DG29" si="2">ROUND(ROUND(AF8,2)*CX8,2)</f>
        <v>0</v>
      </c>
      <c r="DH8">
        <f t="shared" ref="DH8:DH29" si="3">ROUND(ROUND(AG8,2)*CX8,2)</f>
        <v>0</v>
      </c>
      <c r="DI8">
        <f t="shared" si="1"/>
        <v>0</v>
      </c>
      <c r="DJ8">
        <f>DF8</f>
        <v>1.87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ROW(Source!A32)</f>
        <v>32</v>
      </c>
      <c r="B9">
        <v>59213216</v>
      </c>
      <c r="C9">
        <v>59213341</v>
      </c>
      <c r="D9">
        <v>58266404</v>
      </c>
      <c r="E9">
        <v>1080</v>
      </c>
      <c r="F9">
        <v>1</v>
      </c>
      <c r="G9">
        <v>1080</v>
      </c>
      <c r="H9">
        <v>1</v>
      </c>
      <c r="I9" t="s">
        <v>331</v>
      </c>
      <c r="J9" t="s">
        <v>3</v>
      </c>
      <c r="K9" t="s">
        <v>332</v>
      </c>
      <c r="L9">
        <v>1191</v>
      </c>
      <c r="N9">
        <v>1013</v>
      </c>
      <c r="O9" t="s">
        <v>333</v>
      </c>
      <c r="P9" t="s">
        <v>333</v>
      </c>
      <c r="Q9">
        <v>1</v>
      </c>
      <c r="W9">
        <v>0</v>
      </c>
      <c r="X9">
        <v>476480486</v>
      </c>
      <c r="Y9">
        <f t="shared" ref="Y9:Y20" si="4">(AT9*1.1)</f>
        <v>3.63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3.3</v>
      </c>
      <c r="AU9" t="s">
        <v>26</v>
      </c>
      <c r="AV9">
        <v>1</v>
      </c>
      <c r="AW9">
        <v>2</v>
      </c>
      <c r="AX9">
        <v>59213830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ROUND(AT9*Source!I32*AH9*AL9,2)</f>
        <v>0</v>
      </c>
      <c r="CV9">
        <f>ROUND(Y9*Source!I32,9)</f>
        <v>43.56</v>
      </c>
      <c r="CW9">
        <v>0</v>
      </c>
      <c r="CX9">
        <f>ROUND(Y9*Source!I32,9)</f>
        <v>43.56</v>
      </c>
      <c r="CY9">
        <f>AD9</f>
        <v>0</v>
      </c>
      <c r="CZ9">
        <f>AH9</f>
        <v>0</v>
      </c>
      <c r="DA9">
        <f>AL9</f>
        <v>1</v>
      </c>
      <c r="DB9">
        <f t="shared" ref="DB9:DB20" si="5">ROUND((ROUND(AT9*CZ9,2)*1.1),6)</f>
        <v>0</v>
      </c>
      <c r="DC9">
        <f t="shared" ref="DC9:DC20" si="6">ROUND((ROUND(AT9*AG9,2)*1.1),6)</f>
        <v>0</v>
      </c>
      <c r="DD9" t="s">
        <v>3</v>
      </c>
      <c r="DE9" t="s">
        <v>3</v>
      </c>
      <c r="DF9">
        <f t="shared" ref="DF9:DF36" si="7">ROUND(ROUND(AE9,2)*CX9,2)</f>
        <v>0</v>
      </c>
      <c r="DG9">
        <f t="shared" si="2"/>
        <v>0</v>
      </c>
      <c r="DH9">
        <f t="shared" si="3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ROW(Source!A33)</f>
        <v>33</v>
      </c>
      <c r="B10">
        <v>59213213</v>
      </c>
      <c r="C10">
        <v>59213341</v>
      </c>
      <c r="D10">
        <v>58266404</v>
      </c>
      <c r="E10">
        <v>1080</v>
      </c>
      <c r="F10">
        <v>1</v>
      </c>
      <c r="G10">
        <v>1080</v>
      </c>
      <c r="H10">
        <v>1</v>
      </c>
      <c r="I10" t="s">
        <v>331</v>
      </c>
      <c r="J10" t="s">
        <v>3</v>
      </c>
      <c r="K10" t="s">
        <v>332</v>
      </c>
      <c r="L10">
        <v>1191</v>
      </c>
      <c r="N10">
        <v>1013</v>
      </c>
      <c r="O10" t="s">
        <v>333</v>
      </c>
      <c r="P10" t="s">
        <v>333</v>
      </c>
      <c r="Q10">
        <v>1</v>
      </c>
      <c r="W10">
        <v>0</v>
      </c>
      <c r="X10">
        <v>476480486</v>
      </c>
      <c r="Y10">
        <f t="shared" si="4"/>
        <v>3.63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3.3</v>
      </c>
      <c r="AU10" t="s">
        <v>26</v>
      </c>
      <c r="AV10">
        <v>1</v>
      </c>
      <c r="AW10">
        <v>2</v>
      </c>
      <c r="AX10">
        <v>59213830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U10">
        <f>ROUND(AT10*Source!I33*AH10*AL10,2)</f>
        <v>0</v>
      </c>
      <c r="CV10">
        <f>ROUND(Y10*Source!I33,9)</f>
        <v>43.56</v>
      </c>
      <c r="CW10">
        <v>0</v>
      </c>
      <c r="CX10">
        <f>ROUND(Y10*Source!I33,9)</f>
        <v>43.56</v>
      </c>
      <c r="CY10">
        <f>AD10</f>
        <v>0</v>
      </c>
      <c r="CZ10">
        <f>AH10</f>
        <v>0</v>
      </c>
      <c r="DA10">
        <f>AL10</f>
        <v>1</v>
      </c>
      <c r="DB10">
        <f t="shared" si="5"/>
        <v>0</v>
      </c>
      <c r="DC10">
        <f t="shared" si="6"/>
        <v>0</v>
      </c>
      <c r="DD10" t="s">
        <v>3</v>
      </c>
      <c r="DE10" t="s">
        <v>3</v>
      </c>
      <c r="DF10">
        <f t="shared" si="7"/>
        <v>0</v>
      </c>
      <c r="DG10">
        <f t="shared" si="2"/>
        <v>0</v>
      </c>
      <c r="DH10">
        <f t="shared" si="3"/>
        <v>0</v>
      </c>
      <c r="DI10">
        <f t="shared" si="1"/>
        <v>0</v>
      </c>
      <c r="DJ10">
        <f>DI10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ROW(Source!A36)</f>
        <v>36</v>
      </c>
      <c r="B11">
        <v>59213216</v>
      </c>
      <c r="C11">
        <v>59213345</v>
      </c>
      <c r="D11">
        <v>58266404</v>
      </c>
      <c r="E11">
        <v>1080</v>
      </c>
      <c r="F11">
        <v>1</v>
      </c>
      <c r="G11">
        <v>1080</v>
      </c>
      <c r="H11">
        <v>1</v>
      </c>
      <c r="I11" t="s">
        <v>331</v>
      </c>
      <c r="J11" t="s">
        <v>3</v>
      </c>
      <c r="K11" t="s">
        <v>332</v>
      </c>
      <c r="L11">
        <v>1191</v>
      </c>
      <c r="N11">
        <v>1013</v>
      </c>
      <c r="O11" t="s">
        <v>333</v>
      </c>
      <c r="P11" t="s">
        <v>333</v>
      </c>
      <c r="Q11">
        <v>1</v>
      </c>
      <c r="W11">
        <v>0</v>
      </c>
      <c r="X11">
        <v>476480486</v>
      </c>
      <c r="Y11">
        <f t="shared" si="4"/>
        <v>3.63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3.3</v>
      </c>
      <c r="AU11" t="s">
        <v>26</v>
      </c>
      <c r="AV11">
        <v>1</v>
      </c>
      <c r="AW11">
        <v>2</v>
      </c>
      <c r="AX11">
        <v>59213831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ROUND(AT11*Source!I36*AH11*AL11,2)</f>
        <v>0</v>
      </c>
      <c r="CV11">
        <f>ROUND(Y11*Source!I36,9)</f>
        <v>54.45</v>
      </c>
      <c r="CW11">
        <v>0</v>
      </c>
      <c r="CX11">
        <f>ROUND(Y11*Source!I36,9)</f>
        <v>54.45</v>
      </c>
      <c r="CY11">
        <f>AD11</f>
        <v>0</v>
      </c>
      <c r="CZ11">
        <f>AH11</f>
        <v>0</v>
      </c>
      <c r="DA11">
        <f>AL11</f>
        <v>1</v>
      </c>
      <c r="DB11">
        <f t="shared" si="5"/>
        <v>0</v>
      </c>
      <c r="DC11">
        <f t="shared" si="6"/>
        <v>0</v>
      </c>
      <c r="DD11" t="s">
        <v>3</v>
      </c>
      <c r="DE11" t="s">
        <v>3</v>
      </c>
      <c r="DF11">
        <f t="shared" si="7"/>
        <v>0</v>
      </c>
      <c r="DG11">
        <f t="shared" si="2"/>
        <v>0</v>
      </c>
      <c r="DH11">
        <f t="shared" si="3"/>
        <v>0</v>
      </c>
      <c r="DI11">
        <f t="shared" si="1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ROW(Source!A37)</f>
        <v>37</v>
      </c>
      <c r="B12">
        <v>59213213</v>
      </c>
      <c r="C12">
        <v>59213345</v>
      </c>
      <c r="D12">
        <v>58266404</v>
      </c>
      <c r="E12">
        <v>1080</v>
      </c>
      <c r="F12">
        <v>1</v>
      </c>
      <c r="G12">
        <v>1080</v>
      </c>
      <c r="H12">
        <v>1</v>
      </c>
      <c r="I12" t="s">
        <v>331</v>
      </c>
      <c r="J12" t="s">
        <v>3</v>
      </c>
      <c r="K12" t="s">
        <v>332</v>
      </c>
      <c r="L12">
        <v>1191</v>
      </c>
      <c r="N12">
        <v>1013</v>
      </c>
      <c r="O12" t="s">
        <v>333</v>
      </c>
      <c r="P12" t="s">
        <v>333</v>
      </c>
      <c r="Q12">
        <v>1</v>
      </c>
      <c r="W12">
        <v>0</v>
      </c>
      <c r="X12">
        <v>476480486</v>
      </c>
      <c r="Y12">
        <f t="shared" si="4"/>
        <v>3.63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3.3</v>
      </c>
      <c r="AU12" t="s">
        <v>26</v>
      </c>
      <c r="AV12">
        <v>1</v>
      </c>
      <c r="AW12">
        <v>2</v>
      </c>
      <c r="AX12">
        <v>59213831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ROUND(AT12*Source!I37*AH12*AL12,2)</f>
        <v>0</v>
      </c>
      <c r="CV12">
        <f>ROUND(Y12*Source!I37,9)</f>
        <v>54.45</v>
      </c>
      <c r="CW12">
        <v>0</v>
      </c>
      <c r="CX12">
        <f>ROUND(Y12*Source!I37,9)</f>
        <v>54.45</v>
      </c>
      <c r="CY12">
        <f>AD12</f>
        <v>0</v>
      </c>
      <c r="CZ12">
        <f>AH12</f>
        <v>0</v>
      </c>
      <c r="DA12">
        <f>AL12</f>
        <v>1</v>
      </c>
      <c r="DB12">
        <f t="shared" si="5"/>
        <v>0</v>
      </c>
      <c r="DC12">
        <f t="shared" si="6"/>
        <v>0</v>
      </c>
      <c r="DD12" t="s">
        <v>3</v>
      </c>
      <c r="DE12" t="s">
        <v>3</v>
      </c>
      <c r="DF12">
        <f t="shared" si="7"/>
        <v>0</v>
      </c>
      <c r="DG12">
        <f t="shared" si="2"/>
        <v>0</v>
      </c>
      <c r="DH12">
        <f t="shared" si="3"/>
        <v>0</v>
      </c>
      <c r="DI12">
        <f t="shared" si="1"/>
        <v>0</v>
      </c>
      <c r="DJ12">
        <f>DI12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ROW(Source!A40)</f>
        <v>40</v>
      </c>
      <c r="B13">
        <v>59213216</v>
      </c>
      <c r="C13">
        <v>59213349</v>
      </c>
      <c r="D13">
        <v>58266404</v>
      </c>
      <c r="E13">
        <v>1080</v>
      </c>
      <c r="F13">
        <v>1</v>
      </c>
      <c r="G13">
        <v>1080</v>
      </c>
      <c r="H13">
        <v>1</v>
      </c>
      <c r="I13" t="s">
        <v>331</v>
      </c>
      <c r="J13" t="s">
        <v>3</v>
      </c>
      <c r="K13" t="s">
        <v>332</v>
      </c>
      <c r="L13">
        <v>1191</v>
      </c>
      <c r="N13">
        <v>1013</v>
      </c>
      <c r="O13" t="s">
        <v>333</v>
      </c>
      <c r="P13" t="s">
        <v>333</v>
      </c>
      <c r="Q13">
        <v>1</v>
      </c>
      <c r="W13">
        <v>0</v>
      </c>
      <c r="X13">
        <v>476480486</v>
      </c>
      <c r="Y13">
        <f t="shared" si="4"/>
        <v>0.57200000000000006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0.52</v>
      </c>
      <c r="AU13" t="s">
        <v>26</v>
      </c>
      <c r="AV13">
        <v>1</v>
      </c>
      <c r="AW13">
        <v>2</v>
      </c>
      <c r="AX13">
        <v>59213832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ROUND(AT13*Source!I40*AH13*AL13,2)</f>
        <v>0</v>
      </c>
      <c r="CV13">
        <f>ROUND(Y13*Source!I40,9)</f>
        <v>15.444000000000001</v>
      </c>
      <c r="CW13">
        <v>0</v>
      </c>
      <c r="CX13">
        <f>ROUND(Y13*Source!I40,9)</f>
        <v>15.444000000000001</v>
      </c>
      <c r="CY13">
        <f>AD13</f>
        <v>0</v>
      </c>
      <c r="CZ13">
        <f>AH13</f>
        <v>0</v>
      </c>
      <c r="DA13">
        <f>AL13</f>
        <v>1</v>
      </c>
      <c r="DB13">
        <f t="shared" si="5"/>
        <v>0</v>
      </c>
      <c r="DC13">
        <f t="shared" si="6"/>
        <v>0</v>
      </c>
      <c r="DD13" t="s">
        <v>3</v>
      </c>
      <c r="DE13" t="s">
        <v>3</v>
      </c>
      <c r="DF13">
        <f t="shared" si="7"/>
        <v>0</v>
      </c>
      <c r="DG13">
        <f t="shared" si="2"/>
        <v>0</v>
      </c>
      <c r="DH13">
        <f t="shared" si="3"/>
        <v>0</v>
      </c>
      <c r="DI13">
        <f t="shared" si="1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ROW(Source!A40)</f>
        <v>40</v>
      </c>
      <c r="B14">
        <v>59213216</v>
      </c>
      <c r="C14">
        <v>59213349</v>
      </c>
      <c r="D14">
        <v>58340279</v>
      </c>
      <c r="E14">
        <v>1</v>
      </c>
      <c r="F14">
        <v>1</v>
      </c>
      <c r="G14">
        <v>1080</v>
      </c>
      <c r="H14">
        <v>2</v>
      </c>
      <c r="I14" t="s">
        <v>346</v>
      </c>
      <c r="J14" t="s">
        <v>347</v>
      </c>
      <c r="K14" t="s">
        <v>348</v>
      </c>
      <c r="L14">
        <v>1368</v>
      </c>
      <c r="N14">
        <v>1011</v>
      </c>
      <c r="O14" t="s">
        <v>337</v>
      </c>
      <c r="P14" t="s">
        <v>337</v>
      </c>
      <c r="Q14">
        <v>1</v>
      </c>
      <c r="W14">
        <v>0</v>
      </c>
      <c r="X14">
        <v>-2065404138</v>
      </c>
      <c r="Y14">
        <f t="shared" si="4"/>
        <v>8.8000000000000009E-2</v>
      </c>
      <c r="AA14">
        <v>0</v>
      </c>
      <c r="AB14">
        <v>7.44</v>
      </c>
      <c r="AC14">
        <v>0</v>
      </c>
      <c r="AD14">
        <v>0</v>
      </c>
      <c r="AE14">
        <v>0</v>
      </c>
      <c r="AF14">
        <v>7.11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0.08</v>
      </c>
      <c r="AU14" t="s">
        <v>26</v>
      </c>
      <c r="AV14">
        <v>0</v>
      </c>
      <c r="AW14">
        <v>2</v>
      </c>
      <c r="AX14">
        <v>59213833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ROUND(Y14*Source!I40*DO14,9)</f>
        <v>0</v>
      </c>
      <c r="CX14">
        <f>ROUND(Y14*Source!I40,9)</f>
        <v>2.3759999999999999</v>
      </c>
      <c r="CY14">
        <f t="shared" ref="CY14:CY20" si="8">AB14</f>
        <v>7.44</v>
      </c>
      <c r="CZ14">
        <f t="shared" ref="CZ14:CZ20" si="9">AF14</f>
        <v>7.11</v>
      </c>
      <c r="DA14">
        <f t="shared" ref="DA14:DA20" si="10">AJ14</f>
        <v>1</v>
      </c>
      <c r="DB14">
        <f t="shared" si="5"/>
        <v>0.627</v>
      </c>
      <c r="DC14">
        <f t="shared" si="6"/>
        <v>0</v>
      </c>
      <c r="DD14" t="s">
        <v>3</v>
      </c>
      <c r="DE14" t="s">
        <v>3</v>
      </c>
      <c r="DF14">
        <f t="shared" si="7"/>
        <v>0</v>
      </c>
      <c r="DG14">
        <f t="shared" si="2"/>
        <v>16.89</v>
      </c>
      <c r="DH14">
        <f t="shared" si="3"/>
        <v>0</v>
      </c>
      <c r="DI14">
        <f t="shared" si="1"/>
        <v>0</v>
      </c>
      <c r="DJ14">
        <f t="shared" ref="DJ14:DJ20" si="11">DG14</f>
        <v>16.89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ROW(Source!A40)</f>
        <v>40</v>
      </c>
      <c r="B15">
        <v>59213216</v>
      </c>
      <c r="C15">
        <v>59213349</v>
      </c>
      <c r="D15">
        <v>58340311</v>
      </c>
      <c r="E15">
        <v>1</v>
      </c>
      <c r="F15">
        <v>1</v>
      </c>
      <c r="G15">
        <v>1080</v>
      </c>
      <c r="H15">
        <v>2</v>
      </c>
      <c r="I15" t="s">
        <v>349</v>
      </c>
      <c r="J15" t="s">
        <v>350</v>
      </c>
      <c r="K15" t="s">
        <v>351</v>
      </c>
      <c r="L15">
        <v>1368</v>
      </c>
      <c r="N15">
        <v>1011</v>
      </c>
      <c r="O15" t="s">
        <v>337</v>
      </c>
      <c r="P15" t="s">
        <v>337</v>
      </c>
      <c r="Q15">
        <v>1</v>
      </c>
      <c r="W15">
        <v>0</v>
      </c>
      <c r="X15">
        <v>-500349045</v>
      </c>
      <c r="Y15">
        <f t="shared" si="4"/>
        <v>3.7400000000000003E-2</v>
      </c>
      <c r="AA15">
        <v>0</v>
      </c>
      <c r="AB15">
        <v>0.48</v>
      </c>
      <c r="AC15">
        <v>0</v>
      </c>
      <c r="AD15">
        <v>0</v>
      </c>
      <c r="AE15">
        <v>0</v>
      </c>
      <c r="AF15">
        <v>0.46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3.4000000000000002E-2</v>
      </c>
      <c r="AU15" t="s">
        <v>26</v>
      </c>
      <c r="AV15">
        <v>0</v>
      </c>
      <c r="AW15">
        <v>2</v>
      </c>
      <c r="AX15">
        <v>59213834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ROUND(Y15*Source!I40*DO15,9)</f>
        <v>0</v>
      </c>
      <c r="CX15">
        <f>ROUND(Y15*Source!I40,9)</f>
        <v>1.0098</v>
      </c>
      <c r="CY15">
        <f t="shared" si="8"/>
        <v>0.48</v>
      </c>
      <c r="CZ15">
        <f t="shared" si="9"/>
        <v>0.46</v>
      </c>
      <c r="DA15">
        <f t="shared" si="10"/>
        <v>1</v>
      </c>
      <c r="DB15">
        <f t="shared" si="5"/>
        <v>2.1999999999999999E-2</v>
      </c>
      <c r="DC15">
        <f t="shared" si="6"/>
        <v>0</v>
      </c>
      <c r="DD15" t="s">
        <v>3</v>
      </c>
      <c r="DE15" t="s">
        <v>3</v>
      </c>
      <c r="DF15">
        <f t="shared" si="7"/>
        <v>0</v>
      </c>
      <c r="DG15">
        <f t="shared" si="2"/>
        <v>0.46</v>
      </c>
      <c r="DH15">
        <f t="shared" si="3"/>
        <v>0</v>
      </c>
      <c r="DI15">
        <f t="shared" si="1"/>
        <v>0</v>
      </c>
      <c r="DJ15">
        <f t="shared" si="11"/>
        <v>0.46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ROW(Source!A40)</f>
        <v>40</v>
      </c>
      <c r="B16">
        <v>59213216</v>
      </c>
      <c r="C16">
        <v>59213349</v>
      </c>
      <c r="D16">
        <v>58340578</v>
      </c>
      <c r="E16">
        <v>1</v>
      </c>
      <c r="F16">
        <v>1</v>
      </c>
      <c r="G16">
        <v>1080</v>
      </c>
      <c r="H16">
        <v>2</v>
      </c>
      <c r="I16" t="s">
        <v>334</v>
      </c>
      <c r="J16" t="s">
        <v>335</v>
      </c>
      <c r="K16" t="s">
        <v>336</v>
      </c>
      <c r="L16">
        <v>1368</v>
      </c>
      <c r="N16">
        <v>1011</v>
      </c>
      <c r="O16" t="s">
        <v>337</v>
      </c>
      <c r="P16" t="s">
        <v>337</v>
      </c>
      <c r="Q16">
        <v>1</v>
      </c>
      <c r="W16">
        <v>0</v>
      </c>
      <c r="X16">
        <v>-1985943078</v>
      </c>
      <c r="Y16">
        <f t="shared" si="4"/>
        <v>1.1000000000000001E-3</v>
      </c>
      <c r="AA16">
        <v>0</v>
      </c>
      <c r="AB16">
        <v>87.01</v>
      </c>
      <c r="AC16">
        <v>13.21</v>
      </c>
      <c r="AD16">
        <v>0</v>
      </c>
      <c r="AE16">
        <v>0</v>
      </c>
      <c r="AF16">
        <v>83.1</v>
      </c>
      <c r="AG16">
        <v>12.62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1E-3</v>
      </c>
      <c r="AU16" t="s">
        <v>26</v>
      </c>
      <c r="AV16">
        <v>0</v>
      </c>
      <c r="AW16">
        <v>2</v>
      </c>
      <c r="AX16">
        <v>59213835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ROUND(Y16*Source!I40*DO16,9)</f>
        <v>0.37481399999999998</v>
      </c>
      <c r="CX16">
        <f>ROUND(Y16*Source!I40,9)</f>
        <v>2.9700000000000001E-2</v>
      </c>
      <c r="CY16">
        <f t="shared" si="8"/>
        <v>87.01</v>
      </c>
      <c r="CZ16">
        <f t="shared" si="9"/>
        <v>83.1</v>
      </c>
      <c r="DA16">
        <f t="shared" si="10"/>
        <v>1</v>
      </c>
      <c r="DB16">
        <f t="shared" si="5"/>
        <v>8.7999999999999995E-2</v>
      </c>
      <c r="DC16">
        <f t="shared" si="6"/>
        <v>1.0999999999999999E-2</v>
      </c>
      <c r="DD16" t="s">
        <v>3</v>
      </c>
      <c r="DE16" t="s">
        <v>3</v>
      </c>
      <c r="DF16">
        <f t="shared" si="7"/>
        <v>0</v>
      </c>
      <c r="DG16">
        <f t="shared" si="2"/>
        <v>2.4700000000000002</v>
      </c>
      <c r="DH16">
        <f t="shared" si="3"/>
        <v>0.37</v>
      </c>
      <c r="DI16">
        <f t="shared" si="1"/>
        <v>0</v>
      </c>
      <c r="DJ16">
        <f t="shared" si="11"/>
        <v>2.4700000000000002</v>
      </c>
      <c r="DK16">
        <v>0</v>
      </c>
      <c r="DL16" t="s">
        <v>338</v>
      </c>
      <c r="DM16">
        <v>0</v>
      </c>
      <c r="DN16" t="s">
        <v>333</v>
      </c>
      <c r="DO16">
        <v>12.62</v>
      </c>
    </row>
    <row r="17" spans="1:119" x14ac:dyDescent="0.2">
      <c r="A17">
        <f>ROW(Source!A40)</f>
        <v>40</v>
      </c>
      <c r="B17">
        <v>59213216</v>
      </c>
      <c r="C17">
        <v>59213349</v>
      </c>
      <c r="D17">
        <v>58340652</v>
      </c>
      <c r="E17">
        <v>1</v>
      </c>
      <c r="F17">
        <v>1</v>
      </c>
      <c r="G17">
        <v>1080</v>
      </c>
      <c r="H17">
        <v>2</v>
      </c>
      <c r="I17" t="s">
        <v>352</v>
      </c>
      <c r="J17" t="s">
        <v>353</v>
      </c>
      <c r="K17" t="s">
        <v>354</v>
      </c>
      <c r="L17">
        <v>1368</v>
      </c>
      <c r="N17">
        <v>1011</v>
      </c>
      <c r="O17" t="s">
        <v>337</v>
      </c>
      <c r="P17" t="s">
        <v>337</v>
      </c>
      <c r="Q17">
        <v>1</v>
      </c>
      <c r="W17">
        <v>0</v>
      </c>
      <c r="X17">
        <v>-156805976</v>
      </c>
      <c r="Y17">
        <f t="shared" si="4"/>
        <v>1.6500000000000001E-2</v>
      </c>
      <c r="AA17">
        <v>0</v>
      </c>
      <c r="AB17">
        <v>0.82</v>
      </c>
      <c r="AC17">
        <v>0</v>
      </c>
      <c r="AD17">
        <v>0</v>
      </c>
      <c r="AE17">
        <v>0</v>
      </c>
      <c r="AF17">
        <v>0.78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1.4999999999999999E-2</v>
      </c>
      <c r="AU17" t="s">
        <v>26</v>
      </c>
      <c r="AV17">
        <v>0</v>
      </c>
      <c r="AW17">
        <v>2</v>
      </c>
      <c r="AX17">
        <v>59213836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ROUND(Y17*Source!I40*DO17,9)</f>
        <v>0</v>
      </c>
      <c r="CX17">
        <f>ROUND(Y17*Source!I40,9)</f>
        <v>0.44550000000000001</v>
      </c>
      <c r="CY17">
        <f t="shared" si="8"/>
        <v>0.82</v>
      </c>
      <c r="CZ17">
        <f t="shared" si="9"/>
        <v>0.78</v>
      </c>
      <c r="DA17">
        <f t="shared" si="10"/>
        <v>1</v>
      </c>
      <c r="DB17">
        <f t="shared" si="5"/>
        <v>1.0999999999999999E-2</v>
      </c>
      <c r="DC17">
        <f t="shared" si="6"/>
        <v>0</v>
      </c>
      <c r="DD17" t="s">
        <v>3</v>
      </c>
      <c r="DE17" t="s">
        <v>3</v>
      </c>
      <c r="DF17">
        <f t="shared" si="7"/>
        <v>0</v>
      </c>
      <c r="DG17">
        <f t="shared" si="2"/>
        <v>0.35</v>
      </c>
      <c r="DH17">
        <f t="shared" si="3"/>
        <v>0</v>
      </c>
      <c r="DI17">
        <f t="shared" si="1"/>
        <v>0</v>
      </c>
      <c r="DJ17">
        <f t="shared" si="11"/>
        <v>0.35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ROW(Source!A40)</f>
        <v>40</v>
      </c>
      <c r="B18">
        <v>59213216</v>
      </c>
      <c r="C18">
        <v>59213349</v>
      </c>
      <c r="D18">
        <v>58340668</v>
      </c>
      <c r="E18">
        <v>1</v>
      </c>
      <c r="F18">
        <v>1</v>
      </c>
      <c r="G18">
        <v>1080</v>
      </c>
      <c r="H18">
        <v>2</v>
      </c>
      <c r="I18" t="s">
        <v>355</v>
      </c>
      <c r="J18" t="s">
        <v>356</v>
      </c>
      <c r="K18" t="s">
        <v>357</v>
      </c>
      <c r="L18">
        <v>1368</v>
      </c>
      <c r="N18">
        <v>1011</v>
      </c>
      <c r="O18" t="s">
        <v>337</v>
      </c>
      <c r="P18" t="s">
        <v>337</v>
      </c>
      <c r="Q18">
        <v>1</v>
      </c>
      <c r="W18">
        <v>0</v>
      </c>
      <c r="X18">
        <v>-1544859593</v>
      </c>
      <c r="Y18">
        <f t="shared" si="4"/>
        <v>1.6500000000000001E-2</v>
      </c>
      <c r="AA18">
        <v>0</v>
      </c>
      <c r="AB18">
        <v>2.71</v>
      </c>
      <c r="AC18">
        <v>0</v>
      </c>
      <c r="AD18">
        <v>0</v>
      </c>
      <c r="AE18">
        <v>0</v>
      </c>
      <c r="AF18">
        <v>2.59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1.4999999999999999E-2</v>
      </c>
      <c r="AU18" t="s">
        <v>26</v>
      </c>
      <c r="AV18">
        <v>0</v>
      </c>
      <c r="AW18">
        <v>2</v>
      </c>
      <c r="AX18">
        <v>59213837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ROUND(Y18*Source!I40*DO18,9)</f>
        <v>0</v>
      </c>
      <c r="CX18">
        <f>ROUND(Y18*Source!I40,9)</f>
        <v>0.44550000000000001</v>
      </c>
      <c r="CY18">
        <f t="shared" si="8"/>
        <v>2.71</v>
      </c>
      <c r="CZ18">
        <f t="shared" si="9"/>
        <v>2.59</v>
      </c>
      <c r="DA18">
        <f t="shared" si="10"/>
        <v>1</v>
      </c>
      <c r="DB18">
        <f t="shared" si="5"/>
        <v>4.3999999999999997E-2</v>
      </c>
      <c r="DC18">
        <f t="shared" si="6"/>
        <v>0</v>
      </c>
      <c r="DD18" t="s">
        <v>3</v>
      </c>
      <c r="DE18" t="s">
        <v>3</v>
      </c>
      <c r="DF18">
        <f t="shared" si="7"/>
        <v>0</v>
      </c>
      <c r="DG18">
        <f t="shared" si="2"/>
        <v>1.1499999999999999</v>
      </c>
      <c r="DH18">
        <f t="shared" si="3"/>
        <v>0</v>
      </c>
      <c r="DI18">
        <f t="shared" si="1"/>
        <v>0</v>
      </c>
      <c r="DJ18">
        <f t="shared" si="11"/>
        <v>1.1499999999999999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ROW(Source!A40)</f>
        <v>40</v>
      </c>
      <c r="B19">
        <v>59213216</v>
      </c>
      <c r="C19">
        <v>59213349</v>
      </c>
      <c r="D19">
        <v>58340671</v>
      </c>
      <c r="E19">
        <v>1</v>
      </c>
      <c r="F19">
        <v>1</v>
      </c>
      <c r="G19">
        <v>1080</v>
      </c>
      <c r="H19">
        <v>2</v>
      </c>
      <c r="I19" t="s">
        <v>358</v>
      </c>
      <c r="J19" t="s">
        <v>359</v>
      </c>
      <c r="K19" t="s">
        <v>360</v>
      </c>
      <c r="L19">
        <v>1368</v>
      </c>
      <c r="N19">
        <v>1011</v>
      </c>
      <c r="O19" t="s">
        <v>337</v>
      </c>
      <c r="P19" t="s">
        <v>337</v>
      </c>
      <c r="Q19">
        <v>1</v>
      </c>
      <c r="W19">
        <v>0</v>
      </c>
      <c r="X19">
        <v>1075424879</v>
      </c>
      <c r="Y19">
        <f t="shared" si="4"/>
        <v>1.6500000000000001E-2</v>
      </c>
      <c r="AA19">
        <v>0</v>
      </c>
      <c r="AB19">
        <v>18.23</v>
      </c>
      <c r="AC19">
        <v>11.71</v>
      </c>
      <c r="AD19">
        <v>0</v>
      </c>
      <c r="AE19">
        <v>0</v>
      </c>
      <c r="AF19">
        <v>17.41</v>
      </c>
      <c r="AG19">
        <v>11.18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1.4999999999999999E-2</v>
      </c>
      <c r="AU19" t="s">
        <v>26</v>
      </c>
      <c r="AV19">
        <v>0</v>
      </c>
      <c r="AW19">
        <v>2</v>
      </c>
      <c r="AX19">
        <v>59213838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ROUND(Y19*Source!I40*DO19,9)</f>
        <v>4.9806900000000001</v>
      </c>
      <c r="CX19">
        <f>ROUND(Y19*Source!I40,9)</f>
        <v>0.44550000000000001</v>
      </c>
      <c r="CY19">
        <f t="shared" si="8"/>
        <v>18.23</v>
      </c>
      <c r="CZ19">
        <f t="shared" si="9"/>
        <v>17.41</v>
      </c>
      <c r="DA19">
        <f t="shared" si="10"/>
        <v>1</v>
      </c>
      <c r="DB19">
        <f t="shared" si="5"/>
        <v>0.28599999999999998</v>
      </c>
      <c r="DC19">
        <f t="shared" si="6"/>
        <v>0.187</v>
      </c>
      <c r="DD19" t="s">
        <v>3</v>
      </c>
      <c r="DE19" t="s">
        <v>3</v>
      </c>
      <c r="DF19">
        <f t="shared" si="7"/>
        <v>0</v>
      </c>
      <c r="DG19">
        <f t="shared" si="2"/>
        <v>7.76</v>
      </c>
      <c r="DH19">
        <f t="shared" si="3"/>
        <v>4.9800000000000004</v>
      </c>
      <c r="DI19">
        <f t="shared" si="1"/>
        <v>0</v>
      </c>
      <c r="DJ19">
        <f t="shared" si="11"/>
        <v>7.76</v>
      </c>
      <c r="DK19">
        <v>0</v>
      </c>
      <c r="DL19" t="s">
        <v>338</v>
      </c>
      <c r="DM19">
        <v>0</v>
      </c>
      <c r="DN19" t="s">
        <v>333</v>
      </c>
      <c r="DO19">
        <v>11.18</v>
      </c>
    </row>
    <row r="20" spans="1:119" x14ac:dyDescent="0.2">
      <c r="A20">
        <f>ROW(Source!A40)</f>
        <v>40</v>
      </c>
      <c r="B20">
        <v>59213216</v>
      </c>
      <c r="C20">
        <v>59213349</v>
      </c>
      <c r="D20">
        <v>58340672</v>
      </c>
      <c r="E20">
        <v>1</v>
      </c>
      <c r="F20">
        <v>1</v>
      </c>
      <c r="G20">
        <v>1080</v>
      </c>
      <c r="H20">
        <v>2</v>
      </c>
      <c r="I20" t="s">
        <v>361</v>
      </c>
      <c r="J20" t="s">
        <v>362</v>
      </c>
      <c r="K20" t="s">
        <v>363</v>
      </c>
      <c r="L20">
        <v>1368</v>
      </c>
      <c r="N20">
        <v>1011</v>
      </c>
      <c r="O20" t="s">
        <v>337</v>
      </c>
      <c r="P20" t="s">
        <v>337</v>
      </c>
      <c r="Q20">
        <v>1</v>
      </c>
      <c r="W20">
        <v>0</v>
      </c>
      <c r="X20">
        <v>-1560964148</v>
      </c>
      <c r="Y20">
        <f t="shared" si="4"/>
        <v>1.6500000000000001E-2</v>
      </c>
      <c r="AA20">
        <v>0</v>
      </c>
      <c r="AB20">
        <v>54.76</v>
      </c>
      <c r="AC20">
        <v>13.21</v>
      </c>
      <c r="AD20">
        <v>0</v>
      </c>
      <c r="AE20">
        <v>0</v>
      </c>
      <c r="AF20">
        <v>52.3</v>
      </c>
      <c r="AG20">
        <v>12.62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1.4999999999999999E-2</v>
      </c>
      <c r="AU20" t="s">
        <v>26</v>
      </c>
      <c r="AV20">
        <v>0</v>
      </c>
      <c r="AW20">
        <v>2</v>
      </c>
      <c r="AX20">
        <v>59213839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ROUND(Y20*Source!I40*DO20,9)</f>
        <v>5.6222099999999999</v>
      </c>
      <c r="CX20">
        <f>ROUND(Y20*Source!I40,9)</f>
        <v>0.44550000000000001</v>
      </c>
      <c r="CY20">
        <f t="shared" si="8"/>
        <v>54.76</v>
      </c>
      <c r="CZ20">
        <f t="shared" si="9"/>
        <v>52.3</v>
      </c>
      <c r="DA20">
        <f t="shared" si="10"/>
        <v>1</v>
      </c>
      <c r="DB20">
        <f t="shared" si="5"/>
        <v>0.85799999999999998</v>
      </c>
      <c r="DC20">
        <f t="shared" si="6"/>
        <v>0.20899999999999999</v>
      </c>
      <c r="DD20" t="s">
        <v>3</v>
      </c>
      <c r="DE20" t="s">
        <v>3</v>
      </c>
      <c r="DF20">
        <f t="shared" si="7"/>
        <v>0</v>
      </c>
      <c r="DG20">
        <f t="shared" si="2"/>
        <v>23.3</v>
      </c>
      <c r="DH20">
        <f t="shared" si="3"/>
        <v>5.62</v>
      </c>
      <c r="DI20">
        <f t="shared" si="1"/>
        <v>0</v>
      </c>
      <c r="DJ20">
        <f t="shared" si="11"/>
        <v>23.3</v>
      </c>
      <c r="DK20">
        <v>0</v>
      </c>
      <c r="DL20" t="s">
        <v>338</v>
      </c>
      <c r="DM20">
        <v>0</v>
      </c>
      <c r="DN20" t="s">
        <v>333</v>
      </c>
      <c r="DO20">
        <v>12.62</v>
      </c>
    </row>
    <row r="21" spans="1:119" x14ac:dyDescent="0.2">
      <c r="A21">
        <f>ROW(Source!A40)</f>
        <v>40</v>
      </c>
      <c r="B21">
        <v>59213216</v>
      </c>
      <c r="C21">
        <v>59213349</v>
      </c>
      <c r="D21">
        <v>58309878</v>
      </c>
      <c r="E21">
        <v>1</v>
      </c>
      <c r="F21">
        <v>1</v>
      </c>
      <c r="G21">
        <v>1080</v>
      </c>
      <c r="H21">
        <v>3</v>
      </c>
      <c r="I21" t="s">
        <v>364</v>
      </c>
      <c r="J21" t="s">
        <v>365</v>
      </c>
      <c r="K21" t="s">
        <v>366</v>
      </c>
      <c r="L21">
        <v>1348</v>
      </c>
      <c r="N21">
        <v>1009</v>
      </c>
      <c r="O21" t="s">
        <v>345</v>
      </c>
      <c r="P21" t="s">
        <v>345</v>
      </c>
      <c r="Q21">
        <v>1000</v>
      </c>
      <c r="W21">
        <v>0</v>
      </c>
      <c r="X21">
        <v>-2039612599</v>
      </c>
      <c r="Y21">
        <f t="shared" ref="Y21:Y28" si="12">(AT21*1)</f>
        <v>8.0000000000000007E-5</v>
      </c>
      <c r="AA21">
        <v>7185.82</v>
      </c>
      <c r="AB21">
        <v>0</v>
      </c>
      <c r="AC21">
        <v>0</v>
      </c>
      <c r="AD21">
        <v>0</v>
      </c>
      <c r="AE21">
        <v>7185.82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8.0000000000000007E-5</v>
      </c>
      <c r="AU21" t="s">
        <v>25</v>
      </c>
      <c r="AV21">
        <v>0</v>
      </c>
      <c r="AW21">
        <v>2</v>
      </c>
      <c r="AX21">
        <v>59213840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ROUND(Y21*Source!I40,9)</f>
        <v>2.16E-3</v>
      </c>
      <c r="CY21">
        <f t="shared" ref="CY21:CY28" si="13">AA21</f>
        <v>7185.82</v>
      </c>
      <c r="CZ21">
        <f t="shared" ref="CZ21:CZ28" si="14">AE21</f>
        <v>7185.82</v>
      </c>
      <c r="DA21">
        <f t="shared" ref="DA21:DA28" si="15">AI21</f>
        <v>1</v>
      </c>
      <c r="DB21">
        <f t="shared" ref="DB21:DB28" si="16">ROUND((ROUND(AT21*CZ21,2)*1),6)</f>
        <v>0.56999999999999995</v>
      </c>
      <c r="DC21">
        <f t="shared" ref="DC21:DC28" si="17">ROUND((ROUND(AT21*AG21,2)*1),6)</f>
        <v>0</v>
      </c>
      <c r="DD21" t="s">
        <v>3</v>
      </c>
      <c r="DE21" t="s">
        <v>3</v>
      </c>
      <c r="DF21">
        <f t="shared" si="7"/>
        <v>15.52</v>
      </c>
      <c r="DG21">
        <f t="shared" si="2"/>
        <v>0</v>
      </c>
      <c r="DH21">
        <f t="shared" si="3"/>
        <v>0</v>
      </c>
      <c r="DI21">
        <f t="shared" si="1"/>
        <v>0</v>
      </c>
      <c r="DJ21">
        <f t="shared" ref="DJ21:DJ28" si="18">DF21</f>
        <v>15.52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ROW(Source!A40)</f>
        <v>40</v>
      </c>
      <c r="B22">
        <v>59213216</v>
      </c>
      <c r="C22">
        <v>59213349</v>
      </c>
      <c r="D22">
        <v>58308857</v>
      </c>
      <c r="E22">
        <v>1</v>
      </c>
      <c r="F22">
        <v>1</v>
      </c>
      <c r="G22">
        <v>1080</v>
      </c>
      <c r="H22">
        <v>3</v>
      </c>
      <c r="I22" t="s">
        <v>367</v>
      </c>
      <c r="J22" t="s">
        <v>368</v>
      </c>
      <c r="K22" t="s">
        <v>369</v>
      </c>
      <c r="L22">
        <v>1348</v>
      </c>
      <c r="N22">
        <v>1009</v>
      </c>
      <c r="O22" t="s">
        <v>345</v>
      </c>
      <c r="P22" t="s">
        <v>345</v>
      </c>
      <c r="Q22">
        <v>1000</v>
      </c>
      <c r="W22">
        <v>0</v>
      </c>
      <c r="X22">
        <v>2017980840</v>
      </c>
      <c r="Y22">
        <f t="shared" si="12"/>
        <v>4.0000000000000003E-5</v>
      </c>
      <c r="AA22">
        <v>18653.07</v>
      </c>
      <c r="AB22">
        <v>0</v>
      </c>
      <c r="AC22">
        <v>0</v>
      </c>
      <c r="AD22">
        <v>0</v>
      </c>
      <c r="AE22">
        <v>18653.07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4.0000000000000003E-5</v>
      </c>
      <c r="AU22" t="s">
        <v>25</v>
      </c>
      <c r="AV22">
        <v>0</v>
      </c>
      <c r="AW22">
        <v>2</v>
      </c>
      <c r="AX22">
        <v>59213841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ROUND(Y22*Source!I40,9)</f>
        <v>1.08E-3</v>
      </c>
      <c r="CY22">
        <f t="shared" si="13"/>
        <v>18653.07</v>
      </c>
      <c r="CZ22">
        <f t="shared" si="14"/>
        <v>18653.07</v>
      </c>
      <c r="DA22">
        <f t="shared" si="15"/>
        <v>1</v>
      </c>
      <c r="DB22">
        <f t="shared" si="16"/>
        <v>0.75</v>
      </c>
      <c r="DC22">
        <f t="shared" si="17"/>
        <v>0</v>
      </c>
      <c r="DD22" t="s">
        <v>3</v>
      </c>
      <c r="DE22" t="s">
        <v>3</v>
      </c>
      <c r="DF22">
        <f t="shared" si="7"/>
        <v>20.149999999999999</v>
      </c>
      <c r="DG22">
        <f t="shared" si="2"/>
        <v>0</v>
      </c>
      <c r="DH22">
        <f t="shared" si="3"/>
        <v>0</v>
      </c>
      <c r="DI22">
        <f t="shared" si="1"/>
        <v>0</v>
      </c>
      <c r="DJ22">
        <f t="shared" si="18"/>
        <v>20.149999999999999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ROW(Source!A40)</f>
        <v>40</v>
      </c>
      <c r="B23">
        <v>59213216</v>
      </c>
      <c r="C23">
        <v>59213349</v>
      </c>
      <c r="D23">
        <v>58308917</v>
      </c>
      <c r="E23">
        <v>1</v>
      </c>
      <c r="F23">
        <v>1</v>
      </c>
      <c r="G23">
        <v>1080</v>
      </c>
      <c r="H23">
        <v>3</v>
      </c>
      <c r="I23" t="s">
        <v>370</v>
      </c>
      <c r="J23" t="s">
        <v>371</v>
      </c>
      <c r="K23" t="s">
        <v>372</v>
      </c>
      <c r="L23">
        <v>1354</v>
      </c>
      <c r="N23">
        <v>1010</v>
      </c>
      <c r="O23" t="s">
        <v>34</v>
      </c>
      <c r="P23" t="s">
        <v>34</v>
      </c>
      <c r="Q23">
        <v>1</v>
      </c>
      <c r="W23">
        <v>0</v>
      </c>
      <c r="X23">
        <v>-40224714</v>
      </c>
      <c r="Y23">
        <f t="shared" si="12"/>
        <v>2</v>
      </c>
      <c r="AA23">
        <v>0.89</v>
      </c>
      <c r="AB23">
        <v>0</v>
      </c>
      <c r="AC23">
        <v>0</v>
      </c>
      <c r="AD23">
        <v>0</v>
      </c>
      <c r="AE23">
        <v>0.89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2</v>
      </c>
      <c r="AU23" t="s">
        <v>25</v>
      </c>
      <c r="AV23">
        <v>0</v>
      </c>
      <c r="AW23">
        <v>2</v>
      </c>
      <c r="AX23">
        <v>59213842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ROUND(Y23*Source!I40,9)</f>
        <v>54</v>
      </c>
      <c r="CY23">
        <f t="shared" si="13"/>
        <v>0.89</v>
      </c>
      <c r="CZ23">
        <f t="shared" si="14"/>
        <v>0.89</v>
      </c>
      <c r="DA23">
        <f t="shared" si="15"/>
        <v>1</v>
      </c>
      <c r="DB23">
        <f t="shared" si="16"/>
        <v>1.78</v>
      </c>
      <c r="DC23">
        <f t="shared" si="17"/>
        <v>0</v>
      </c>
      <c r="DD23" t="s">
        <v>3</v>
      </c>
      <c r="DE23" t="s">
        <v>3</v>
      </c>
      <c r="DF23">
        <f t="shared" si="7"/>
        <v>48.06</v>
      </c>
      <c r="DG23">
        <f t="shared" si="2"/>
        <v>0</v>
      </c>
      <c r="DH23">
        <f t="shared" si="3"/>
        <v>0</v>
      </c>
      <c r="DI23">
        <f t="shared" si="1"/>
        <v>0</v>
      </c>
      <c r="DJ23">
        <f t="shared" si="18"/>
        <v>48.06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ROW(Source!A40)</f>
        <v>40</v>
      </c>
      <c r="B24">
        <v>59213216</v>
      </c>
      <c r="C24">
        <v>59213349</v>
      </c>
      <c r="D24">
        <v>58311219</v>
      </c>
      <c r="E24">
        <v>1</v>
      </c>
      <c r="F24">
        <v>1</v>
      </c>
      <c r="G24">
        <v>1080</v>
      </c>
      <c r="H24">
        <v>3</v>
      </c>
      <c r="I24" t="s">
        <v>373</v>
      </c>
      <c r="J24" t="s">
        <v>374</v>
      </c>
      <c r="K24" t="s">
        <v>375</v>
      </c>
      <c r="L24">
        <v>1348</v>
      </c>
      <c r="N24">
        <v>1009</v>
      </c>
      <c r="O24" t="s">
        <v>345</v>
      </c>
      <c r="P24" t="s">
        <v>345</v>
      </c>
      <c r="Q24">
        <v>1000</v>
      </c>
      <c r="W24">
        <v>0</v>
      </c>
      <c r="X24">
        <v>-370957786</v>
      </c>
      <c r="Y24">
        <f t="shared" si="12"/>
        <v>1.6900000000000001E-3</v>
      </c>
      <c r="AA24">
        <v>6810.19</v>
      </c>
      <c r="AB24">
        <v>0</v>
      </c>
      <c r="AC24">
        <v>0</v>
      </c>
      <c r="AD24">
        <v>0</v>
      </c>
      <c r="AE24">
        <v>6810.19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1.6900000000000001E-3</v>
      </c>
      <c r="AU24" t="s">
        <v>25</v>
      </c>
      <c r="AV24">
        <v>0</v>
      </c>
      <c r="AW24">
        <v>2</v>
      </c>
      <c r="AX24">
        <v>59213843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ROUND(Y24*Source!I40,9)</f>
        <v>4.5629999999999997E-2</v>
      </c>
      <c r="CY24">
        <f t="shared" si="13"/>
        <v>6810.19</v>
      </c>
      <c r="CZ24">
        <f t="shared" si="14"/>
        <v>6810.19</v>
      </c>
      <c r="DA24">
        <f t="shared" si="15"/>
        <v>1</v>
      </c>
      <c r="DB24">
        <f t="shared" si="16"/>
        <v>11.51</v>
      </c>
      <c r="DC24">
        <f t="shared" si="17"/>
        <v>0</v>
      </c>
      <c r="DD24" t="s">
        <v>3</v>
      </c>
      <c r="DE24" t="s">
        <v>3</v>
      </c>
      <c r="DF24">
        <f t="shared" si="7"/>
        <v>310.75</v>
      </c>
      <c r="DG24">
        <f t="shared" si="2"/>
        <v>0</v>
      </c>
      <c r="DH24">
        <f t="shared" si="3"/>
        <v>0</v>
      </c>
      <c r="DI24">
        <f t="shared" si="1"/>
        <v>0</v>
      </c>
      <c r="DJ24">
        <f t="shared" si="18"/>
        <v>310.75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ROW(Source!A40)</f>
        <v>40</v>
      </c>
      <c r="B25">
        <v>59213216</v>
      </c>
      <c r="C25">
        <v>59213349</v>
      </c>
      <c r="D25">
        <v>58311291</v>
      </c>
      <c r="E25">
        <v>1</v>
      </c>
      <c r="F25">
        <v>1</v>
      </c>
      <c r="G25">
        <v>1080</v>
      </c>
      <c r="H25">
        <v>3</v>
      </c>
      <c r="I25" t="s">
        <v>376</v>
      </c>
      <c r="J25" t="s">
        <v>377</v>
      </c>
      <c r="K25" t="s">
        <v>378</v>
      </c>
      <c r="L25">
        <v>1346</v>
      </c>
      <c r="N25">
        <v>1009</v>
      </c>
      <c r="O25" t="s">
        <v>244</v>
      </c>
      <c r="P25" t="s">
        <v>244</v>
      </c>
      <c r="Q25">
        <v>1</v>
      </c>
      <c r="W25">
        <v>0</v>
      </c>
      <c r="X25">
        <v>151241763</v>
      </c>
      <c r="Y25">
        <f t="shared" si="12"/>
        <v>0.05</v>
      </c>
      <c r="AA25">
        <v>35.090000000000003</v>
      </c>
      <c r="AB25">
        <v>0</v>
      </c>
      <c r="AC25">
        <v>0</v>
      </c>
      <c r="AD25">
        <v>0</v>
      </c>
      <c r="AE25">
        <v>35.090000000000003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0.05</v>
      </c>
      <c r="AU25" t="s">
        <v>25</v>
      </c>
      <c r="AV25">
        <v>0</v>
      </c>
      <c r="AW25">
        <v>2</v>
      </c>
      <c r="AX25">
        <v>59213844</v>
      </c>
      <c r="AY25">
        <v>1</v>
      </c>
      <c r="AZ25">
        <v>0</v>
      </c>
      <c r="BA25">
        <v>27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ROUND(Y25*Source!I40,9)</f>
        <v>1.35</v>
      </c>
      <c r="CY25">
        <f t="shared" si="13"/>
        <v>35.090000000000003</v>
      </c>
      <c r="CZ25">
        <f t="shared" si="14"/>
        <v>35.090000000000003</v>
      </c>
      <c r="DA25">
        <f t="shared" si="15"/>
        <v>1</v>
      </c>
      <c r="DB25">
        <f t="shared" si="16"/>
        <v>1.75</v>
      </c>
      <c r="DC25">
        <f t="shared" si="17"/>
        <v>0</v>
      </c>
      <c r="DD25" t="s">
        <v>3</v>
      </c>
      <c r="DE25" t="s">
        <v>3</v>
      </c>
      <c r="DF25">
        <f t="shared" si="7"/>
        <v>47.37</v>
      </c>
      <c r="DG25">
        <f t="shared" si="2"/>
        <v>0</v>
      </c>
      <c r="DH25">
        <f t="shared" si="3"/>
        <v>0</v>
      </c>
      <c r="DI25">
        <f t="shared" si="1"/>
        <v>0</v>
      </c>
      <c r="DJ25">
        <f t="shared" si="18"/>
        <v>47.37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ROW(Source!A40)</f>
        <v>40</v>
      </c>
      <c r="B26">
        <v>59213216</v>
      </c>
      <c r="C26">
        <v>59213349</v>
      </c>
      <c r="D26">
        <v>58309409</v>
      </c>
      <c r="E26">
        <v>1</v>
      </c>
      <c r="F26">
        <v>1</v>
      </c>
      <c r="G26">
        <v>1080</v>
      </c>
      <c r="H26">
        <v>3</v>
      </c>
      <c r="I26" t="s">
        <v>379</v>
      </c>
      <c r="J26" t="s">
        <v>380</v>
      </c>
      <c r="K26" t="s">
        <v>381</v>
      </c>
      <c r="L26">
        <v>1348</v>
      </c>
      <c r="N26">
        <v>1009</v>
      </c>
      <c r="O26" t="s">
        <v>345</v>
      </c>
      <c r="P26" t="s">
        <v>345</v>
      </c>
      <c r="Q26">
        <v>1000</v>
      </c>
      <c r="W26">
        <v>0</v>
      </c>
      <c r="X26">
        <v>432853124</v>
      </c>
      <c r="Y26">
        <f t="shared" si="12"/>
        <v>3.0000000000000001E-5</v>
      </c>
      <c r="AA26">
        <v>8582.42</v>
      </c>
      <c r="AB26">
        <v>0</v>
      </c>
      <c r="AC26">
        <v>0</v>
      </c>
      <c r="AD26">
        <v>0</v>
      </c>
      <c r="AE26">
        <v>8582.42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3.0000000000000001E-5</v>
      </c>
      <c r="AU26" t="s">
        <v>25</v>
      </c>
      <c r="AV26">
        <v>0</v>
      </c>
      <c r="AW26">
        <v>2</v>
      </c>
      <c r="AX26">
        <v>59213845</v>
      </c>
      <c r="AY26">
        <v>1</v>
      </c>
      <c r="AZ26">
        <v>0</v>
      </c>
      <c r="BA26">
        <v>28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ROUND(Y26*Source!I40,9)</f>
        <v>8.0999999999999996E-4</v>
      </c>
      <c r="CY26">
        <f t="shared" si="13"/>
        <v>8582.42</v>
      </c>
      <c r="CZ26">
        <f t="shared" si="14"/>
        <v>8582.42</v>
      </c>
      <c r="DA26">
        <f t="shared" si="15"/>
        <v>1</v>
      </c>
      <c r="DB26">
        <f t="shared" si="16"/>
        <v>0.26</v>
      </c>
      <c r="DC26">
        <f t="shared" si="17"/>
        <v>0</v>
      </c>
      <c r="DD26" t="s">
        <v>3</v>
      </c>
      <c r="DE26" t="s">
        <v>3</v>
      </c>
      <c r="DF26">
        <f t="shared" si="7"/>
        <v>6.95</v>
      </c>
      <c r="DG26">
        <f t="shared" si="2"/>
        <v>0</v>
      </c>
      <c r="DH26">
        <f t="shared" si="3"/>
        <v>0</v>
      </c>
      <c r="DI26">
        <f t="shared" si="1"/>
        <v>0</v>
      </c>
      <c r="DJ26">
        <f t="shared" si="18"/>
        <v>6.95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ROW(Source!A40)</f>
        <v>40</v>
      </c>
      <c r="B27">
        <v>59213216</v>
      </c>
      <c r="C27">
        <v>59213349</v>
      </c>
      <c r="D27">
        <v>58309413</v>
      </c>
      <c r="E27">
        <v>1</v>
      </c>
      <c r="F27">
        <v>1</v>
      </c>
      <c r="G27">
        <v>1080</v>
      </c>
      <c r="H27">
        <v>3</v>
      </c>
      <c r="I27" t="s">
        <v>382</v>
      </c>
      <c r="J27" t="s">
        <v>383</v>
      </c>
      <c r="K27" t="s">
        <v>384</v>
      </c>
      <c r="L27">
        <v>1348</v>
      </c>
      <c r="N27">
        <v>1009</v>
      </c>
      <c r="O27" t="s">
        <v>345</v>
      </c>
      <c r="P27" t="s">
        <v>345</v>
      </c>
      <c r="Q27">
        <v>1000</v>
      </c>
      <c r="W27">
        <v>0</v>
      </c>
      <c r="X27">
        <v>1850032922</v>
      </c>
      <c r="Y27">
        <f t="shared" si="12"/>
        <v>3.0000000000000001E-6</v>
      </c>
      <c r="AA27">
        <v>12521.99</v>
      </c>
      <c r="AB27">
        <v>0</v>
      </c>
      <c r="AC27">
        <v>0</v>
      </c>
      <c r="AD27">
        <v>0</v>
      </c>
      <c r="AE27">
        <v>12521.99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3.0000000000000001E-6</v>
      </c>
      <c r="AU27" t="s">
        <v>25</v>
      </c>
      <c r="AV27">
        <v>0</v>
      </c>
      <c r="AW27">
        <v>2</v>
      </c>
      <c r="AX27">
        <v>59213846</v>
      </c>
      <c r="AY27">
        <v>1</v>
      </c>
      <c r="AZ27">
        <v>0</v>
      </c>
      <c r="BA27">
        <v>29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ROUND(Y27*Source!I40,9)</f>
        <v>8.1000000000000004E-5</v>
      </c>
      <c r="CY27">
        <f t="shared" si="13"/>
        <v>12521.99</v>
      </c>
      <c r="CZ27">
        <f t="shared" si="14"/>
        <v>12521.99</v>
      </c>
      <c r="DA27">
        <f t="shared" si="15"/>
        <v>1</v>
      </c>
      <c r="DB27">
        <f t="shared" si="16"/>
        <v>0.04</v>
      </c>
      <c r="DC27">
        <f t="shared" si="17"/>
        <v>0</v>
      </c>
      <c r="DD27" t="s">
        <v>3</v>
      </c>
      <c r="DE27" t="s">
        <v>3</v>
      </c>
      <c r="DF27">
        <f t="shared" si="7"/>
        <v>1.01</v>
      </c>
      <c r="DG27">
        <f t="shared" si="2"/>
        <v>0</v>
      </c>
      <c r="DH27">
        <f t="shared" si="3"/>
        <v>0</v>
      </c>
      <c r="DI27">
        <f t="shared" si="1"/>
        <v>0</v>
      </c>
      <c r="DJ27">
        <f t="shared" si="18"/>
        <v>1.01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ROW(Source!A40)</f>
        <v>40</v>
      </c>
      <c r="B28">
        <v>59213216</v>
      </c>
      <c r="C28">
        <v>59213349</v>
      </c>
      <c r="D28">
        <v>58332357</v>
      </c>
      <c r="E28">
        <v>1</v>
      </c>
      <c r="F28">
        <v>1</v>
      </c>
      <c r="G28">
        <v>1080</v>
      </c>
      <c r="H28">
        <v>3</v>
      </c>
      <c r="I28" t="s">
        <v>385</v>
      </c>
      <c r="J28" t="s">
        <v>386</v>
      </c>
      <c r="K28" t="s">
        <v>387</v>
      </c>
      <c r="L28">
        <v>1354</v>
      </c>
      <c r="N28">
        <v>1010</v>
      </c>
      <c r="O28" t="s">
        <v>34</v>
      </c>
      <c r="P28" t="s">
        <v>34</v>
      </c>
      <c r="Q28">
        <v>1</v>
      </c>
      <c r="W28">
        <v>0</v>
      </c>
      <c r="X28">
        <v>-1685704172</v>
      </c>
      <c r="Y28">
        <f t="shared" si="12"/>
        <v>0.47499999999999998</v>
      </c>
      <c r="AA28">
        <v>39.840000000000003</v>
      </c>
      <c r="AB28">
        <v>0</v>
      </c>
      <c r="AC28">
        <v>0</v>
      </c>
      <c r="AD28">
        <v>0</v>
      </c>
      <c r="AE28">
        <v>39.840000000000003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0.47499999999999998</v>
      </c>
      <c r="AU28" t="s">
        <v>25</v>
      </c>
      <c r="AV28">
        <v>0</v>
      </c>
      <c r="AW28">
        <v>2</v>
      </c>
      <c r="AX28">
        <v>59213847</v>
      </c>
      <c r="AY28">
        <v>1</v>
      </c>
      <c r="AZ28">
        <v>0</v>
      </c>
      <c r="BA28">
        <v>30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ROUND(Y28*Source!I40,9)</f>
        <v>12.824999999999999</v>
      </c>
      <c r="CY28">
        <f t="shared" si="13"/>
        <v>39.840000000000003</v>
      </c>
      <c r="CZ28">
        <f t="shared" si="14"/>
        <v>39.840000000000003</v>
      </c>
      <c r="DA28">
        <f t="shared" si="15"/>
        <v>1</v>
      </c>
      <c r="DB28">
        <f t="shared" si="16"/>
        <v>18.920000000000002</v>
      </c>
      <c r="DC28">
        <f t="shared" si="17"/>
        <v>0</v>
      </c>
      <c r="DD28" t="s">
        <v>3</v>
      </c>
      <c r="DE28" t="s">
        <v>3</v>
      </c>
      <c r="DF28">
        <f t="shared" si="7"/>
        <v>510.95</v>
      </c>
      <c r="DG28">
        <f t="shared" si="2"/>
        <v>0</v>
      </c>
      <c r="DH28">
        <f t="shared" si="3"/>
        <v>0</v>
      </c>
      <c r="DI28">
        <f t="shared" si="1"/>
        <v>0</v>
      </c>
      <c r="DJ28">
        <f t="shared" si="18"/>
        <v>510.95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ROW(Source!A41)</f>
        <v>41</v>
      </c>
      <c r="B29">
        <v>59213213</v>
      </c>
      <c r="C29">
        <v>59213349</v>
      </c>
      <c r="D29">
        <v>58266404</v>
      </c>
      <c r="E29">
        <v>1080</v>
      </c>
      <c r="F29">
        <v>1</v>
      </c>
      <c r="G29">
        <v>1080</v>
      </c>
      <c r="H29">
        <v>1</v>
      </c>
      <c r="I29" t="s">
        <v>331</v>
      </c>
      <c r="J29" t="s">
        <v>3</v>
      </c>
      <c r="K29" t="s">
        <v>332</v>
      </c>
      <c r="L29">
        <v>1191</v>
      </c>
      <c r="N29">
        <v>1013</v>
      </c>
      <c r="O29" t="s">
        <v>333</v>
      </c>
      <c r="P29" t="s">
        <v>333</v>
      </c>
      <c r="Q29">
        <v>1</v>
      </c>
      <c r="W29">
        <v>0</v>
      </c>
      <c r="X29">
        <v>476480486</v>
      </c>
      <c r="Y29">
        <f t="shared" ref="Y29:Y36" si="19">(AT29*1.1)</f>
        <v>0.57200000000000006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0.52</v>
      </c>
      <c r="AU29" t="s">
        <v>26</v>
      </c>
      <c r="AV29">
        <v>1</v>
      </c>
      <c r="AW29">
        <v>2</v>
      </c>
      <c r="AX29">
        <v>59213832</v>
      </c>
      <c r="AY29">
        <v>1</v>
      </c>
      <c r="AZ29">
        <v>0</v>
      </c>
      <c r="BA29">
        <v>32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ROUND(AT29*Source!I41*AH29*AL29,2)</f>
        <v>0</v>
      </c>
      <c r="CV29">
        <f>ROUND(Y29*Source!I41,9)</f>
        <v>15.444000000000001</v>
      </c>
      <c r="CW29">
        <v>0</v>
      </c>
      <c r="CX29">
        <f>ROUND(Y29*Source!I41,9)</f>
        <v>15.444000000000001</v>
      </c>
      <c r="CY29">
        <f>AD29</f>
        <v>0</v>
      </c>
      <c r="CZ29">
        <f>AH29</f>
        <v>0</v>
      </c>
      <c r="DA29">
        <f>AL29</f>
        <v>1</v>
      </c>
      <c r="DB29">
        <f t="shared" ref="DB29:DB36" si="20">ROUND((ROUND(AT29*CZ29,2)*1.1),6)</f>
        <v>0</v>
      </c>
      <c r="DC29">
        <f t="shared" ref="DC29:DC36" si="21">ROUND((ROUND(AT29*AG29,2)*1.1),6)</f>
        <v>0</v>
      </c>
      <c r="DD29" t="s">
        <v>3</v>
      </c>
      <c r="DE29" t="s">
        <v>3</v>
      </c>
      <c r="DF29">
        <f t="shared" si="7"/>
        <v>0</v>
      </c>
      <c r="DG29">
        <f t="shared" si="2"/>
        <v>0</v>
      </c>
      <c r="DH29">
        <f t="shared" si="3"/>
        <v>0</v>
      </c>
      <c r="DI29">
        <f t="shared" si="1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ROW(Source!A41)</f>
        <v>41</v>
      </c>
      <c r="B30">
        <v>59213213</v>
      </c>
      <c r="C30">
        <v>59213349</v>
      </c>
      <c r="D30">
        <v>58340279</v>
      </c>
      <c r="E30">
        <v>1</v>
      </c>
      <c r="F30">
        <v>1</v>
      </c>
      <c r="G30">
        <v>1080</v>
      </c>
      <c r="H30">
        <v>2</v>
      </c>
      <c r="I30" t="s">
        <v>346</v>
      </c>
      <c r="J30" t="s">
        <v>347</v>
      </c>
      <c r="K30" t="s">
        <v>348</v>
      </c>
      <c r="L30">
        <v>1368</v>
      </c>
      <c r="N30">
        <v>1011</v>
      </c>
      <c r="O30" t="s">
        <v>337</v>
      </c>
      <c r="P30" t="s">
        <v>337</v>
      </c>
      <c r="Q30">
        <v>1</v>
      </c>
      <c r="W30">
        <v>0</v>
      </c>
      <c r="X30">
        <v>-2065404138</v>
      </c>
      <c r="Y30">
        <f t="shared" si="19"/>
        <v>8.8000000000000009E-2</v>
      </c>
      <c r="AA30">
        <v>0</v>
      </c>
      <c r="AB30">
        <v>85.83</v>
      </c>
      <c r="AC30">
        <v>0</v>
      </c>
      <c r="AD30">
        <v>0</v>
      </c>
      <c r="AE30">
        <v>0</v>
      </c>
      <c r="AF30">
        <v>7.11</v>
      </c>
      <c r="AG30">
        <v>0</v>
      </c>
      <c r="AH30">
        <v>0</v>
      </c>
      <c r="AI30">
        <v>1</v>
      </c>
      <c r="AJ30">
        <v>11.53</v>
      </c>
      <c r="AK30">
        <v>54.99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0.08</v>
      </c>
      <c r="AU30" t="s">
        <v>26</v>
      </c>
      <c r="AV30">
        <v>0</v>
      </c>
      <c r="AW30">
        <v>2</v>
      </c>
      <c r="AX30">
        <v>59213833</v>
      </c>
      <c r="AY30">
        <v>1</v>
      </c>
      <c r="AZ30">
        <v>0</v>
      </c>
      <c r="BA30">
        <v>33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ROUND(Y30*Source!I41*DO30,9)</f>
        <v>0</v>
      </c>
      <c r="CX30">
        <f>ROUND(Y30*Source!I41,9)</f>
        <v>2.3759999999999999</v>
      </c>
      <c r="CY30">
        <f t="shared" ref="CY30:CY36" si="22">AB30</f>
        <v>85.83</v>
      </c>
      <c r="CZ30">
        <f t="shared" ref="CZ30:CZ36" si="23">AF30</f>
        <v>7.11</v>
      </c>
      <c r="DA30">
        <f t="shared" ref="DA30:DA36" si="24">AJ30</f>
        <v>11.53</v>
      </c>
      <c r="DB30">
        <f t="shared" si="20"/>
        <v>0.627</v>
      </c>
      <c r="DC30">
        <f t="shared" si="21"/>
        <v>0</v>
      </c>
      <c r="DD30" t="s">
        <v>3</v>
      </c>
      <c r="DE30" t="s">
        <v>3</v>
      </c>
      <c r="DF30">
        <f t="shared" si="7"/>
        <v>0</v>
      </c>
      <c r="DG30">
        <f t="shared" ref="DG30:DG36" si="25">ROUND(ROUND(AF30*AJ30,2)*CX30,2)</f>
        <v>194.78</v>
      </c>
      <c r="DH30">
        <f t="shared" ref="DH30:DH36" si="26">ROUND(ROUND(AG30*AK30,2)*CX30,2)</f>
        <v>0</v>
      </c>
      <c r="DI30">
        <f t="shared" si="1"/>
        <v>0</v>
      </c>
      <c r="DJ30">
        <f t="shared" ref="DJ30:DJ36" si="27">DG30</f>
        <v>194.78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ROW(Source!A41)</f>
        <v>41</v>
      </c>
      <c r="B31">
        <v>59213213</v>
      </c>
      <c r="C31">
        <v>59213349</v>
      </c>
      <c r="D31">
        <v>58340311</v>
      </c>
      <c r="E31">
        <v>1</v>
      </c>
      <c r="F31">
        <v>1</v>
      </c>
      <c r="G31">
        <v>1080</v>
      </c>
      <c r="H31">
        <v>2</v>
      </c>
      <c r="I31" t="s">
        <v>349</v>
      </c>
      <c r="J31" t="s">
        <v>350</v>
      </c>
      <c r="K31" t="s">
        <v>351</v>
      </c>
      <c r="L31">
        <v>1368</v>
      </c>
      <c r="N31">
        <v>1011</v>
      </c>
      <c r="O31" t="s">
        <v>337</v>
      </c>
      <c r="P31" t="s">
        <v>337</v>
      </c>
      <c r="Q31">
        <v>1</v>
      </c>
      <c r="W31">
        <v>0</v>
      </c>
      <c r="X31">
        <v>-500349045</v>
      </c>
      <c r="Y31">
        <f t="shared" si="19"/>
        <v>3.7400000000000003E-2</v>
      </c>
      <c r="AA31">
        <v>0</v>
      </c>
      <c r="AB31">
        <v>5.17</v>
      </c>
      <c r="AC31">
        <v>0</v>
      </c>
      <c r="AD31">
        <v>0</v>
      </c>
      <c r="AE31">
        <v>0</v>
      </c>
      <c r="AF31">
        <v>0.46</v>
      </c>
      <c r="AG31">
        <v>0</v>
      </c>
      <c r="AH31">
        <v>0</v>
      </c>
      <c r="AI31">
        <v>1</v>
      </c>
      <c r="AJ31">
        <v>10.74</v>
      </c>
      <c r="AK31">
        <v>54.99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3.4000000000000002E-2</v>
      </c>
      <c r="AU31" t="s">
        <v>26</v>
      </c>
      <c r="AV31">
        <v>0</v>
      </c>
      <c r="AW31">
        <v>2</v>
      </c>
      <c r="AX31">
        <v>59213834</v>
      </c>
      <c r="AY31">
        <v>1</v>
      </c>
      <c r="AZ31">
        <v>0</v>
      </c>
      <c r="BA31">
        <v>34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ROUND(Y31*Source!I41*DO31,9)</f>
        <v>0</v>
      </c>
      <c r="CX31">
        <f>ROUND(Y31*Source!I41,9)</f>
        <v>1.0098</v>
      </c>
      <c r="CY31">
        <f t="shared" si="22"/>
        <v>5.17</v>
      </c>
      <c r="CZ31">
        <f t="shared" si="23"/>
        <v>0.46</v>
      </c>
      <c r="DA31">
        <f t="shared" si="24"/>
        <v>10.74</v>
      </c>
      <c r="DB31">
        <f t="shared" si="20"/>
        <v>2.1999999999999999E-2</v>
      </c>
      <c r="DC31">
        <f t="shared" si="21"/>
        <v>0</v>
      </c>
      <c r="DD31" t="s">
        <v>3</v>
      </c>
      <c r="DE31" t="s">
        <v>3</v>
      </c>
      <c r="DF31">
        <f t="shared" si="7"/>
        <v>0</v>
      </c>
      <c r="DG31">
        <f t="shared" si="25"/>
        <v>4.99</v>
      </c>
      <c r="DH31">
        <f t="shared" si="26"/>
        <v>0</v>
      </c>
      <c r="DI31">
        <f t="shared" si="1"/>
        <v>0</v>
      </c>
      <c r="DJ31">
        <f t="shared" si="27"/>
        <v>4.99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ROW(Source!A41)</f>
        <v>41</v>
      </c>
      <c r="B32">
        <v>59213213</v>
      </c>
      <c r="C32">
        <v>59213349</v>
      </c>
      <c r="D32">
        <v>58340578</v>
      </c>
      <c r="E32">
        <v>1</v>
      </c>
      <c r="F32">
        <v>1</v>
      </c>
      <c r="G32">
        <v>1080</v>
      </c>
      <c r="H32">
        <v>2</v>
      </c>
      <c r="I32" t="s">
        <v>334</v>
      </c>
      <c r="J32" t="s">
        <v>335</v>
      </c>
      <c r="K32" t="s">
        <v>336</v>
      </c>
      <c r="L32">
        <v>1368</v>
      </c>
      <c r="N32">
        <v>1011</v>
      </c>
      <c r="O32" t="s">
        <v>337</v>
      </c>
      <c r="P32" t="s">
        <v>337</v>
      </c>
      <c r="Q32">
        <v>1</v>
      </c>
      <c r="W32">
        <v>0</v>
      </c>
      <c r="X32">
        <v>-1985943078</v>
      </c>
      <c r="Y32">
        <f t="shared" si="19"/>
        <v>1.1000000000000001E-3</v>
      </c>
      <c r="AA32">
        <v>0</v>
      </c>
      <c r="AB32">
        <v>1418.19</v>
      </c>
      <c r="AC32">
        <v>726.59</v>
      </c>
      <c r="AD32">
        <v>0</v>
      </c>
      <c r="AE32">
        <v>0</v>
      </c>
      <c r="AF32">
        <v>83.1</v>
      </c>
      <c r="AG32">
        <v>12.62</v>
      </c>
      <c r="AH32">
        <v>0</v>
      </c>
      <c r="AI32">
        <v>1</v>
      </c>
      <c r="AJ32">
        <v>16.3</v>
      </c>
      <c r="AK32">
        <v>54.99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1E-3</v>
      </c>
      <c r="AU32" t="s">
        <v>26</v>
      </c>
      <c r="AV32">
        <v>0</v>
      </c>
      <c r="AW32">
        <v>2</v>
      </c>
      <c r="AX32">
        <v>59213835</v>
      </c>
      <c r="AY32">
        <v>1</v>
      </c>
      <c r="AZ32">
        <v>0</v>
      </c>
      <c r="BA32">
        <v>35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ROUND(Y32*Source!I41*DO32,9)</f>
        <v>0.37481399999999998</v>
      </c>
      <c r="CX32">
        <f>ROUND(Y32*Source!I41,9)</f>
        <v>2.9700000000000001E-2</v>
      </c>
      <c r="CY32">
        <f t="shared" si="22"/>
        <v>1418.19</v>
      </c>
      <c r="CZ32">
        <f t="shared" si="23"/>
        <v>83.1</v>
      </c>
      <c r="DA32">
        <f t="shared" si="24"/>
        <v>16.3</v>
      </c>
      <c r="DB32">
        <f t="shared" si="20"/>
        <v>8.7999999999999995E-2</v>
      </c>
      <c r="DC32">
        <f t="shared" si="21"/>
        <v>1.0999999999999999E-2</v>
      </c>
      <c r="DD32" t="s">
        <v>3</v>
      </c>
      <c r="DE32" t="s">
        <v>3</v>
      </c>
      <c r="DF32">
        <f t="shared" si="7"/>
        <v>0</v>
      </c>
      <c r="DG32">
        <f t="shared" si="25"/>
        <v>40.229999999999997</v>
      </c>
      <c r="DH32">
        <f t="shared" si="26"/>
        <v>20.61</v>
      </c>
      <c r="DI32">
        <f t="shared" si="1"/>
        <v>0</v>
      </c>
      <c r="DJ32">
        <f t="shared" si="27"/>
        <v>40.229999999999997</v>
      </c>
      <c r="DK32">
        <v>0</v>
      </c>
      <c r="DL32" t="s">
        <v>338</v>
      </c>
      <c r="DM32">
        <v>0</v>
      </c>
      <c r="DN32" t="s">
        <v>333</v>
      </c>
      <c r="DO32">
        <v>12.62</v>
      </c>
    </row>
    <row r="33" spans="1:119" x14ac:dyDescent="0.2">
      <c r="A33">
        <f>ROW(Source!A41)</f>
        <v>41</v>
      </c>
      <c r="B33">
        <v>59213213</v>
      </c>
      <c r="C33">
        <v>59213349</v>
      </c>
      <c r="D33">
        <v>58340652</v>
      </c>
      <c r="E33">
        <v>1</v>
      </c>
      <c r="F33">
        <v>1</v>
      </c>
      <c r="G33">
        <v>1080</v>
      </c>
      <c r="H33">
        <v>2</v>
      </c>
      <c r="I33" t="s">
        <v>352</v>
      </c>
      <c r="J33" t="s">
        <v>353</v>
      </c>
      <c r="K33" t="s">
        <v>354</v>
      </c>
      <c r="L33">
        <v>1368</v>
      </c>
      <c r="N33">
        <v>1011</v>
      </c>
      <c r="O33" t="s">
        <v>337</v>
      </c>
      <c r="P33" t="s">
        <v>337</v>
      </c>
      <c r="Q33">
        <v>1</v>
      </c>
      <c r="W33">
        <v>0</v>
      </c>
      <c r="X33">
        <v>-156805976</v>
      </c>
      <c r="Y33">
        <f t="shared" si="19"/>
        <v>1.6500000000000001E-2</v>
      </c>
      <c r="AA33">
        <v>0</v>
      </c>
      <c r="AB33">
        <v>7.1</v>
      </c>
      <c r="AC33">
        <v>0</v>
      </c>
      <c r="AD33">
        <v>0</v>
      </c>
      <c r="AE33">
        <v>0</v>
      </c>
      <c r="AF33">
        <v>0.78</v>
      </c>
      <c r="AG33">
        <v>0</v>
      </c>
      <c r="AH33">
        <v>0</v>
      </c>
      <c r="AI33">
        <v>1</v>
      </c>
      <c r="AJ33">
        <v>8.69</v>
      </c>
      <c r="AK33">
        <v>54.99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1.4999999999999999E-2</v>
      </c>
      <c r="AU33" t="s">
        <v>26</v>
      </c>
      <c r="AV33">
        <v>0</v>
      </c>
      <c r="AW33">
        <v>2</v>
      </c>
      <c r="AX33">
        <v>59213836</v>
      </c>
      <c r="AY33">
        <v>1</v>
      </c>
      <c r="AZ33">
        <v>0</v>
      </c>
      <c r="BA33">
        <v>36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ROUND(Y33*Source!I41*DO33,9)</f>
        <v>0</v>
      </c>
      <c r="CX33">
        <f>ROUND(Y33*Source!I41,9)</f>
        <v>0.44550000000000001</v>
      </c>
      <c r="CY33">
        <f t="shared" si="22"/>
        <v>7.1</v>
      </c>
      <c r="CZ33">
        <f t="shared" si="23"/>
        <v>0.78</v>
      </c>
      <c r="DA33">
        <f t="shared" si="24"/>
        <v>8.69</v>
      </c>
      <c r="DB33">
        <f t="shared" si="20"/>
        <v>1.0999999999999999E-2</v>
      </c>
      <c r="DC33">
        <f t="shared" si="21"/>
        <v>0</v>
      </c>
      <c r="DD33" t="s">
        <v>3</v>
      </c>
      <c r="DE33" t="s">
        <v>3</v>
      </c>
      <c r="DF33">
        <f t="shared" si="7"/>
        <v>0</v>
      </c>
      <c r="DG33">
        <f t="shared" si="25"/>
        <v>3.02</v>
      </c>
      <c r="DH33">
        <f t="shared" si="26"/>
        <v>0</v>
      </c>
      <c r="DI33">
        <f t="shared" si="1"/>
        <v>0</v>
      </c>
      <c r="DJ33">
        <f t="shared" si="27"/>
        <v>3.02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ROW(Source!A41)</f>
        <v>41</v>
      </c>
      <c r="B34">
        <v>59213213</v>
      </c>
      <c r="C34">
        <v>59213349</v>
      </c>
      <c r="D34">
        <v>58340668</v>
      </c>
      <c r="E34">
        <v>1</v>
      </c>
      <c r="F34">
        <v>1</v>
      </c>
      <c r="G34">
        <v>1080</v>
      </c>
      <c r="H34">
        <v>2</v>
      </c>
      <c r="I34" t="s">
        <v>355</v>
      </c>
      <c r="J34" t="s">
        <v>356</v>
      </c>
      <c r="K34" t="s">
        <v>357</v>
      </c>
      <c r="L34">
        <v>1368</v>
      </c>
      <c r="N34">
        <v>1011</v>
      </c>
      <c r="O34" t="s">
        <v>337</v>
      </c>
      <c r="P34" t="s">
        <v>337</v>
      </c>
      <c r="Q34">
        <v>1</v>
      </c>
      <c r="W34">
        <v>0</v>
      </c>
      <c r="X34">
        <v>-1544859593</v>
      </c>
      <c r="Y34">
        <f t="shared" si="19"/>
        <v>1.6500000000000001E-2</v>
      </c>
      <c r="AA34">
        <v>0</v>
      </c>
      <c r="AB34">
        <v>23.62</v>
      </c>
      <c r="AC34">
        <v>0</v>
      </c>
      <c r="AD34">
        <v>0</v>
      </c>
      <c r="AE34">
        <v>0</v>
      </c>
      <c r="AF34">
        <v>2.59</v>
      </c>
      <c r="AG34">
        <v>0</v>
      </c>
      <c r="AH34">
        <v>0</v>
      </c>
      <c r="AI34">
        <v>1</v>
      </c>
      <c r="AJ34">
        <v>8.7100000000000009</v>
      </c>
      <c r="AK34">
        <v>54.99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1.4999999999999999E-2</v>
      </c>
      <c r="AU34" t="s">
        <v>26</v>
      </c>
      <c r="AV34">
        <v>0</v>
      </c>
      <c r="AW34">
        <v>2</v>
      </c>
      <c r="AX34">
        <v>59213837</v>
      </c>
      <c r="AY34">
        <v>1</v>
      </c>
      <c r="AZ34">
        <v>0</v>
      </c>
      <c r="BA34">
        <v>37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ROUND(Y34*Source!I41*DO34,9)</f>
        <v>0</v>
      </c>
      <c r="CX34">
        <f>ROUND(Y34*Source!I41,9)</f>
        <v>0.44550000000000001</v>
      </c>
      <c r="CY34">
        <f t="shared" si="22"/>
        <v>23.62</v>
      </c>
      <c r="CZ34">
        <f t="shared" si="23"/>
        <v>2.59</v>
      </c>
      <c r="DA34">
        <f t="shared" si="24"/>
        <v>8.7100000000000009</v>
      </c>
      <c r="DB34">
        <f t="shared" si="20"/>
        <v>4.3999999999999997E-2</v>
      </c>
      <c r="DC34">
        <f t="shared" si="21"/>
        <v>0</v>
      </c>
      <c r="DD34" t="s">
        <v>3</v>
      </c>
      <c r="DE34" t="s">
        <v>3</v>
      </c>
      <c r="DF34">
        <f t="shared" si="7"/>
        <v>0</v>
      </c>
      <c r="DG34">
        <f t="shared" si="25"/>
        <v>10.050000000000001</v>
      </c>
      <c r="DH34">
        <f t="shared" si="26"/>
        <v>0</v>
      </c>
      <c r="DI34">
        <f t="shared" si="1"/>
        <v>0</v>
      </c>
      <c r="DJ34">
        <f t="shared" si="27"/>
        <v>10.050000000000001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ROW(Source!A41)</f>
        <v>41</v>
      </c>
      <c r="B35">
        <v>59213213</v>
      </c>
      <c r="C35">
        <v>59213349</v>
      </c>
      <c r="D35">
        <v>58340671</v>
      </c>
      <c r="E35">
        <v>1</v>
      </c>
      <c r="F35">
        <v>1</v>
      </c>
      <c r="G35">
        <v>1080</v>
      </c>
      <c r="H35">
        <v>2</v>
      </c>
      <c r="I35" t="s">
        <v>358</v>
      </c>
      <c r="J35" t="s">
        <v>359</v>
      </c>
      <c r="K35" t="s">
        <v>360</v>
      </c>
      <c r="L35">
        <v>1368</v>
      </c>
      <c r="N35">
        <v>1011</v>
      </c>
      <c r="O35" t="s">
        <v>337</v>
      </c>
      <c r="P35" t="s">
        <v>337</v>
      </c>
      <c r="Q35">
        <v>1</v>
      </c>
      <c r="W35">
        <v>0</v>
      </c>
      <c r="X35">
        <v>1075424879</v>
      </c>
      <c r="Y35">
        <f t="shared" si="19"/>
        <v>1.6500000000000001E-2</v>
      </c>
      <c r="AA35">
        <v>0</v>
      </c>
      <c r="AB35">
        <v>769.96</v>
      </c>
      <c r="AC35">
        <v>643.67999999999995</v>
      </c>
      <c r="AD35">
        <v>0</v>
      </c>
      <c r="AE35">
        <v>0</v>
      </c>
      <c r="AF35">
        <v>17.41</v>
      </c>
      <c r="AG35">
        <v>11.18</v>
      </c>
      <c r="AH35">
        <v>0</v>
      </c>
      <c r="AI35">
        <v>1</v>
      </c>
      <c r="AJ35">
        <v>42.24</v>
      </c>
      <c r="AK35">
        <v>54.99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1.4999999999999999E-2</v>
      </c>
      <c r="AU35" t="s">
        <v>26</v>
      </c>
      <c r="AV35">
        <v>0</v>
      </c>
      <c r="AW35">
        <v>2</v>
      </c>
      <c r="AX35">
        <v>59213838</v>
      </c>
      <c r="AY35">
        <v>1</v>
      </c>
      <c r="AZ35">
        <v>0</v>
      </c>
      <c r="BA35">
        <v>38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ROUND(Y35*Source!I41*DO35,9)</f>
        <v>4.9806900000000001</v>
      </c>
      <c r="CX35">
        <f>ROUND(Y35*Source!I41,9)</f>
        <v>0.44550000000000001</v>
      </c>
      <c r="CY35">
        <f t="shared" si="22"/>
        <v>769.96</v>
      </c>
      <c r="CZ35">
        <f t="shared" si="23"/>
        <v>17.41</v>
      </c>
      <c r="DA35">
        <f t="shared" si="24"/>
        <v>42.24</v>
      </c>
      <c r="DB35">
        <f t="shared" si="20"/>
        <v>0.28599999999999998</v>
      </c>
      <c r="DC35">
        <f t="shared" si="21"/>
        <v>0.187</v>
      </c>
      <c r="DD35" t="s">
        <v>3</v>
      </c>
      <c r="DE35" t="s">
        <v>3</v>
      </c>
      <c r="DF35">
        <f t="shared" si="7"/>
        <v>0</v>
      </c>
      <c r="DG35">
        <f t="shared" si="25"/>
        <v>327.62</v>
      </c>
      <c r="DH35">
        <f t="shared" si="26"/>
        <v>273.89</v>
      </c>
      <c r="DI35">
        <f t="shared" si="1"/>
        <v>0</v>
      </c>
      <c r="DJ35">
        <f t="shared" si="27"/>
        <v>327.62</v>
      </c>
      <c r="DK35">
        <v>0</v>
      </c>
      <c r="DL35" t="s">
        <v>338</v>
      </c>
      <c r="DM35">
        <v>0</v>
      </c>
      <c r="DN35" t="s">
        <v>333</v>
      </c>
      <c r="DO35">
        <v>11.18</v>
      </c>
    </row>
    <row r="36" spans="1:119" x14ac:dyDescent="0.2">
      <c r="A36">
        <f>ROW(Source!A41)</f>
        <v>41</v>
      </c>
      <c r="B36">
        <v>59213213</v>
      </c>
      <c r="C36">
        <v>59213349</v>
      </c>
      <c r="D36">
        <v>58340672</v>
      </c>
      <c r="E36">
        <v>1</v>
      </c>
      <c r="F36">
        <v>1</v>
      </c>
      <c r="G36">
        <v>1080</v>
      </c>
      <c r="H36">
        <v>2</v>
      </c>
      <c r="I36" t="s">
        <v>361</v>
      </c>
      <c r="J36" t="s">
        <v>362</v>
      </c>
      <c r="K36" t="s">
        <v>363</v>
      </c>
      <c r="L36">
        <v>1368</v>
      </c>
      <c r="N36">
        <v>1011</v>
      </c>
      <c r="O36" t="s">
        <v>337</v>
      </c>
      <c r="P36" t="s">
        <v>337</v>
      </c>
      <c r="Q36">
        <v>1</v>
      </c>
      <c r="W36">
        <v>0</v>
      </c>
      <c r="X36">
        <v>-1560964148</v>
      </c>
      <c r="Y36">
        <f t="shared" si="19"/>
        <v>1.6500000000000001E-2</v>
      </c>
      <c r="AA36">
        <v>0</v>
      </c>
      <c r="AB36">
        <v>1164.1600000000001</v>
      </c>
      <c r="AC36">
        <v>726.59</v>
      </c>
      <c r="AD36">
        <v>0</v>
      </c>
      <c r="AE36">
        <v>0</v>
      </c>
      <c r="AF36">
        <v>52.3</v>
      </c>
      <c r="AG36">
        <v>12.62</v>
      </c>
      <c r="AH36">
        <v>0</v>
      </c>
      <c r="AI36">
        <v>1</v>
      </c>
      <c r="AJ36">
        <v>21.26</v>
      </c>
      <c r="AK36">
        <v>54.99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1.4999999999999999E-2</v>
      </c>
      <c r="AU36" t="s">
        <v>26</v>
      </c>
      <c r="AV36">
        <v>0</v>
      </c>
      <c r="AW36">
        <v>2</v>
      </c>
      <c r="AX36">
        <v>59213839</v>
      </c>
      <c r="AY36">
        <v>1</v>
      </c>
      <c r="AZ36">
        <v>0</v>
      </c>
      <c r="BA36">
        <v>39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ROUND(Y36*Source!I41*DO36,9)</f>
        <v>5.6222099999999999</v>
      </c>
      <c r="CX36">
        <f>ROUND(Y36*Source!I41,9)</f>
        <v>0.44550000000000001</v>
      </c>
      <c r="CY36">
        <f t="shared" si="22"/>
        <v>1164.1600000000001</v>
      </c>
      <c r="CZ36">
        <f t="shared" si="23"/>
        <v>52.3</v>
      </c>
      <c r="DA36">
        <f t="shared" si="24"/>
        <v>21.26</v>
      </c>
      <c r="DB36">
        <f t="shared" si="20"/>
        <v>0.85799999999999998</v>
      </c>
      <c r="DC36">
        <f t="shared" si="21"/>
        <v>0.20899999999999999</v>
      </c>
      <c r="DD36" t="s">
        <v>3</v>
      </c>
      <c r="DE36" t="s">
        <v>3</v>
      </c>
      <c r="DF36">
        <f t="shared" si="7"/>
        <v>0</v>
      </c>
      <c r="DG36">
        <f t="shared" si="25"/>
        <v>495.35</v>
      </c>
      <c r="DH36">
        <f t="shared" si="26"/>
        <v>309.16000000000003</v>
      </c>
      <c r="DI36">
        <f t="shared" si="1"/>
        <v>0</v>
      </c>
      <c r="DJ36">
        <f t="shared" si="27"/>
        <v>495.35</v>
      </c>
      <c r="DK36">
        <v>0</v>
      </c>
      <c r="DL36" t="s">
        <v>338</v>
      </c>
      <c r="DM36">
        <v>0</v>
      </c>
      <c r="DN36" t="s">
        <v>333</v>
      </c>
      <c r="DO36">
        <v>12.62</v>
      </c>
    </row>
    <row r="37" spans="1:119" x14ac:dyDescent="0.2">
      <c r="A37">
        <f>ROW(Source!A41)</f>
        <v>41</v>
      </c>
      <c r="B37">
        <v>59213213</v>
      </c>
      <c r="C37">
        <v>59213349</v>
      </c>
      <c r="D37">
        <v>58309878</v>
      </c>
      <c r="E37">
        <v>1</v>
      </c>
      <c r="F37">
        <v>1</v>
      </c>
      <c r="G37">
        <v>1080</v>
      </c>
      <c r="H37">
        <v>3</v>
      </c>
      <c r="I37" t="s">
        <v>364</v>
      </c>
      <c r="J37" t="s">
        <v>365</v>
      </c>
      <c r="K37" t="s">
        <v>366</v>
      </c>
      <c r="L37">
        <v>1348</v>
      </c>
      <c r="N37">
        <v>1009</v>
      </c>
      <c r="O37" t="s">
        <v>345</v>
      </c>
      <c r="P37" t="s">
        <v>345</v>
      </c>
      <c r="Q37">
        <v>1000</v>
      </c>
      <c r="W37">
        <v>0</v>
      </c>
      <c r="X37">
        <v>-2039612599</v>
      </c>
      <c r="Y37">
        <f t="shared" ref="Y37:Y44" si="28">(AT37*1)</f>
        <v>8.0000000000000007E-5</v>
      </c>
      <c r="AA37">
        <v>93559.38</v>
      </c>
      <c r="AB37">
        <v>0</v>
      </c>
      <c r="AC37">
        <v>0</v>
      </c>
      <c r="AD37">
        <v>0</v>
      </c>
      <c r="AE37">
        <v>7185.82</v>
      </c>
      <c r="AF37">
        <v>0</v>
      </c>
      <c r="AG37">
        <v>0</v>
      </c>
      <c r="AH37">
        <v>0</v>
      </c>
      <c r="AI37">
        <v>13.02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8.0000000000000007E-5</v>
      </c>
      <c r="AU37" t="s">
        <v>25</v>
      </c>
      <c r="AV37">
        <v>0</v>
      </c>
      <c r="AW37">
        <v>2</v>
      </c>
      <c r="AX37">
        <v>59213840</v>
      </c>
      <c r="AY37">
        <v>1</v>
      </c>
      <c r="AZ37">
        <v>0</v>
      </c>
      <c r="BA37">
        <v>40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ROUND(Y37*Source!I41,9)</f>
        <v>2.16E-3</v>
      </c>
      <c r="CY37">
        <f t="shared" ref="CY37:CY44" si="29">AA37</f>
        <v>93559.38</v>
      </c>
      <c r="CZ37">
        <f t="shared" ref="CZ37:CZ44" si="30">AE37</f>
        <v>7185.82</v>
      </c>
      <c r="DA37">
        <f t="shared" ref="DA37:DA44" si="31">AI37</f>
        <v>13.02</v>
      </c>
      <c r="DB37">
        <f t="shared" ref="DB37:DB44" si="32">ROUND((ROUND(AT37*CZ37,2)*1),6)</f>
        <v>0.56999999999999995</v>
      </c>
      <c r="DC37">
        <f t="shared" ref="DC37:DC44" si="33">ROUND((ROUND(AT37*AG37,2)*1),6)</f>
        <v>0</v>
      </c>
      <c r="DD37" t="s">
        <v>3</v>
      </c>
      <c r="DE37" t="s">
        <v>3</v>
      </c>
      <c r="DF37">
        <f t="shared" ref="DF37:DF44" si="34">ROUND(ROUND(AE37*AI37,2)*CX37,2)</f>
        <v>202.09</v>
      </c>
      <c r="DG37">
        <f t="shared" ref="DG37:DG52" si="35">ROUND(ROUND(AF37,2)*CX37,2)</f>
        <v>0</v>
      </c>
      <c r="DH37">
        <f t="shared" ref="DH37:DH52" si="36">ROUND(ROUND(AG37,2)*CX37,2)</f>
        <v>0</v>
      </c>
      <c r="DI37">
        <f t="shared" si="1"/>
        <v>0</v>
      </c>
      <c r="DJ37">
        <f t="shared" ref="DJ37:DJ44" si="37">DF37</f>
        <v>202.09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ROW(Source!A41)</f>
        <v>41</v>
      </c>
      <c r="B38">
        <v>59213213</v>
      </c>
      <c r="C38">
        <v>59213349</v>
      </c>
      <c r="D38">
        <v>58308857</v>
      </c>
      <c r="E38">
        <v>1</v>
      </c>
      <c r="F38">
        <v>1</v>
      </c>
      <c r="G38">
        <v>1080</v>
      </c>
      <c r="H38">
        <v>3</v>
      </c>
      <c r="I38" t="s">
        <v>367</v>
      </c>
      <c r="J38" t="s">
        <v>368</v>
      </c>
      <c r="K38" t="s">
        <v>369</v>
      </c>
      <c r="L38">
        <v>1348</v>
      </c>
      <c r="N38">
        <v>1009</v>
      </c>
      <c r="O38" t="s">
        <v>345</v>
      </c>
      <c r="P38" t="s">
        <v>345</v>
      </c>
      <c r="Q38">
        <v>1000</v>
      </c>
      <c r="W38">
        <v>0</v>
      </c>
      <c r="X38">
        <v>2017980840</v>
      </c>
      <c r="Y38">
        <f t="shared" si="28"/>
        <v>4.0000000000000003E-5</v>
      </c>
      <c r="AA38">
        <v>66964.52</v>
      </c>
      <c r="AB38">
        <v>0</v>
      </c>
      <c r="AC38">
        <v>0</v>
      </c>
      <c r="AD38">
        <v>0</v>
      </c>
      <c r="AE38">
        <v>18653.07</v>
      </c>
      <c r="AF38">
        <v>0</v>
      </c>
      <c r="AG38">
        <v>0</v>
      </c>
      <c r="AH38">
        <v>0</v>
      </c>
      <c r="AI38">
        <v>3.59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4.0000000000000003E-5</v>
      </c>
      <c r="AU38" t="s">
        <v>25</v>
      </c>
      <c r="AV38">
        <v>0</v>
      </c>
      <c r="AW38">
        <v>2</v>
      </c>
      <c r="AX38">
        <v>59213841</v>
      </c>
      <c r="AY38">
        <v>1</v>
      </c>
      <c r="AZ38">
        <v>0</v>
      </c>
      <c r="BA38">
        <v>41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ROUND(Y38*Source!I41,9)</f>
        <v>1.08E-3</v>
      </c>
      <c r="CY38">
        <f t="shared" si="29"/>
        <v>66964.52</v>
      </c>
      <c r="CZ38">
        <f t="shared" si="30"/>
        <v>18653.07</v>
      </c>
      <c r="DA38">
        <f t="shared" si="31"/>
        <v>3.59</v>
      </c>
      <c r="DB38">
        <f t="shared" si="32"/>
        <v>0.75</v>
      </c>
      <c r="DC38">
        <f t="shared" si="33"/>
        <v>0</v>
      </c>
      <c r="DD38" t="s">
        <v>3</v>
      </c>
      <c r="DE38" t="s">
        <v>3</v>
      </c>
      <c r="DF38">
        <f t="shared" si="34"/>
        <v>72.319999999999993</v>
      </c>
      <c r="DG38">
        <f t="shared" si="35"/>
        <v>0</v>
      </c>
      <c r="DH38">
        <f t="shared" si="36"/>
        <v>0</v>
      </c>
      <c r="DI38">
        <f t="shared" si="1"/>
        <v>0</v>
      </c>
      <c r="DJ38">
        <f t="shared" si="37"/>
        <v>72.319999999999993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ROW(Source!A41)</f>
        <v>41</v>
      </c>
      <c r="B39">
        <v>59213213</v>
      </c>
      <c r="C39">
        <v>59213349</v>
      </c>
      <c r="D39">
        <v>58308917</v>
      </c>
      <c r="E39">
        <v>1</v>
      </c>
      <c r="F39">
        <v>1</v>
      </c>
      <c r="G39">
        <v>1080</v>
      </c>
      <c r="H39">
        <v>3</v>
      </c>
      <c r="I39" t="s">
        <v>370</v>
      </c>
      <c r="J39" t="s">
        <v>371</v>
      </c>
      <c r="K39" t="s">
        <v>372</v>
      </c>
      <c r="L39">
        <v>1354</v>
      </c>
      <c r="N39">
        <v>1010</v>
      </c>
      <c r="O39" t="s">
        <v>34</v>
      </c>
      <c r="P39" t="s">
        <v>34</v>
      </c>
      <c r="Q39">
        <v>1</v>
      </c>
      <c r="W39">
        <v>0</v>
      </c>
      <c r="X39">
        <v>-40224714</v>
      </c>
      <c r="Y39">
        <f t="shared" si="28"/>
        <v>2</v>
      </c>
      <c r="AA39">
        <v>0.8</v>
      </c>
      <c r="AB39">
        <v>0</v>
      </c>
      <c r="AC39">
        <v>0</v>
      </c>
      <c r="AD39">
        <v>0</v>
      </c>
      <c r="AE39">
        <v>0.89</v>
      </c>
      <c r="AF39">
        <v>0</v>
      </c>
      <c r="AG39">
        <v>0</v>
      </c>
      <c r="AH39">
        <v>0</v>
      </c>
      <c r="AI39">
        <v>0.9</v>
      </c>
      <c r="AJ39">
        <v>1</v>
      </c>
      <c r="AK39">
        <v>1</v>
      </c>
      <c r="AL39">
        <v>1</v>
      </c>
      <c r="AM39">
        <v>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2</v>
      </c>
      <c r="AU39" t="s">
        <v>25</v>
      </c>
      <c r="AV39">
        <v>0</v>
      </c>
      <c r="AW39">
        <v>2</v>
      </c>
      <c r="AX39">
        <v>59213842</v>
      </c>
      <c r="AY39">
        <v>1</v>
      </c>
      <c r="AZ39">
        <v>0</v>
      </c>
      <c r="BA39">
        <v>42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ROUND(Y39*Source!I41,9)</f>
        <v>54</v>
      </c>
      <c r="CY39">
        <f t="shared" si="29"/>
        <v>0.8</v>
      </c>
      <c r="CZ39">
        <f t="shared" si="30"/>
        <v>0.89</v>
      </c>
      <c r="DA39">
        <f t="shared" si="31"/>
        <v>0.9</v>
      </c>
      <c r="DB39">
        <f t="shared" si="32"/>
        <v>1.78</v>
      </c>
      <c r="DC39">
        <f t="shared" si="33"/>
        <v>0</v>
      </c>
      <c r="DD39" t="s">
        <v>3</v>
      </c>
      <c r="DE39" t="s">
        <v>3</v>
      </c>
      <c r="DF39">
        <f t="shared" si="34"/>
        <v>43.2</v>
      </c>
      <c r="DG39">
        <f t="shared" si="35"/>
        <v>0</v>
      </c>
      <c r="DH39">
        <f t="shared" si="36"/>
        <v>0</v>
      </c>
      <c r="DI39">
        <f t="shared" si="1"/>
        <v>0</v>
      </c>
      <c r="DJ39">
        <f t="shared" si="37"/>
        <v>43.2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ROW(Source!A41)</f>
        <v>41</v>
      </c>
      <c r="B40">
        <v>59213213</v>
      </c>
      <c r="C40">
        <v>59213349</v>
      </c>
      <c r="D40">
        <v>58311219</v>
      </c>
      <c r="E40">
        <v>1</v>
      </c>
      <c r="F40">
        <v>1</v>
      </c>
      <c r="G40">
        <v>1080</v>
      </c>
      <c r="H40">
        <v>3</v>
      </c>
      <c r="I40" t="s">
        <v>373</v>
      </c>
      <c r="J40" t="s">
        <v>374</v>
      </c>
      <c r="K40" t="s">
        <v>375</v>
      </c>
      <c r="L40">
        <v>1348</v>
      </c>
      <c r="N40">
        <v>1009</v>
      </c>
      <c r="O40" t="s">
        <v>345</v>
      </c>
      <c r="P40" t="s">
        <v>345</v>
      </c>
      <c r="Q40">
        <v>1000</v>
      </c>
      <c r="W40">
        <v>0</v>
      </c>
      <c r="X40">
        <v>-370957786</v>
      </c>
      <c r="Y40">
        <f t="shared" si="28"/>
        <v>1.6900000000000001E-3</v>
      </c>
      <c r="AA40">
        <v>52574.67</v>
      </c>
      <c r="AB40">
        <v>0</v>
      </c>
      <c r="AC40">
        <v>0</v>
      </c>
      <c r="AD40">
        <v>0</v>
      </c>
      <c r="AE40">
        <v>6810.19</v>
      </c>
      <c r="AF40">
        <v>0</v>
      </c>
      <c r="AG40">
        <v>0</v>
      </c>
      <c r="AH40">
        <v>0</v>
      </c>
      <c r="AI40">
        <v>7.72</v>
      </c>
      <c r="AJ40">
        <v>1</v>
      </c>
      <c r="AK40">
        <v>1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1.6900000000000001E-3</v>
      </c>
      <c r="AU40" t="s">
        <v>25</v>
      </c>
      <c r="AV40">
        <v>0</v>
      </c>
      <c r="AW40">
        <v>2</v>
      </c>
      <c r="AX40">
        <v>59213843</v>
      </c>
      <c r="AY40">
        <v>1</v>
      </c>
      <c r="AZ40">
        <v>0</v>
      </c>
      <c r="BA40">
        <v>43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ROUND(Y40*Source!I41,9)</f>
        <v>4.5629999999999997E-2</v>
      </c>
      <c r="CY40">
        <f t="shared" si="29"/>
        <v>52574.67</v>
      </c>
      <c r="CZ40">
        <f t="shared" si="30"/>
        <v>6810.19</v>
      </c>
      <c r="DA40">
        <f t="shared" si="31"/>
        <v>7.72</v>
      </c>
      <c r="DB40">
        <f t="shared" si="32"/>
        <v>11.51</v>
      </c>
      <c r="DC40">
        <f t="shared" si="33"/>
        <v>0</v>
      </c>
      <c r="DD40" t="s">
        <v>3</v>
      </c>
      <c r="DE40" t="s">
        <v>3</v>
      </c>
      <c r="DF40">
        <f t="shared" si="34"/>
        <v>2398.98</v>
      </c>
      <c r="DG40">
        <f t="shared" si="35"/>
        <v>0</v>
      </c>
      <c r="DH40">
        <f t="shared" si="36"/>
        <v>0</v>
      </c>
      <c r="DI40">
        <f t="shared" si="1"/>
        <v>0</v>
      </c>
      <c r="DJ40">
        <f t="shared" si="37"/>
        <v>2398.98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ROW(Source!A41)</f>
        <v>41</v>
      </c>
      <c r="B41">
        <v>59213213</v>
      </c>
      <c r="C41">
        <v>59213349</v>
      </c>
      <c r="D41">
        <v>58311291</v>
      </c>
      <c r="E41">
        <v>1</v>
      </c>
      <c r="F41">
        <v>1</v>
      </c>
      <c r="G41">
        <v>1080</v>
      </c>
      <c r="H41">
        <v>3</v>
      </c>
      <c r="I41" t="s">
        <v>376</v>
      </c>
      <c r="J41" t="s">
        <v>377</v>
      </c>
      <c r="K41" t="s">
        <v>378</v>
      </c>
      <c r="L41">
        <v>1346</v>
      </c>
      <c r="N41">
        <v>1009</v>
      </c>
      <c r="O41" t="s">
        <v>244</v>
      </c>
      <c r="P41" t="s">
        <v>244</v>
      </c>
      <c r="Q41">
        <v>1</v>
      </c>
      <c r="W41">
        <v>0</v>
      </c>
      <c r="X41">
        <v>151241763</v>
      </c>
      <c r="Y41">
        <f t="shared" si="28"/>
        <v>0.05</v>
      </c>
      <c r="AA41">
        <v>120.01</v>
      </c>
      <c r="AB41">
        <v>0</v>
      </c>
      <c r="AC41">
        <v>0</v>
      </c>
      <c r="AD41">
        <v>0</v>
      </c>
      <c r="AE41">
        <v>35.090000000000003</v>
      </c>
      <c r="AF41">
        <v>0</v>
      </c>
      <c r="AG41">
        <v>0</v>
      </c>
      <c r="AH41">
        <v>0</v>
      </c>
      <c r="AI41">
        <v>3.42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0.05</v>
      </c>
      <c r="AU41" t="s">
        <v>25</v>
      </c>
      <c r="AV41">
        <v>0</v>
      </c>
      <c r="AW41">
        <v>2</v>
      </c>
      <c r="AX41">
        <v>59213844</v>
      </c>
      <c r="AY41">
        <v>1</v>
      </c>
      <c r="AZ41">
        <v>0</v>
      </c>
      <c r="BA41">
        <v>44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ROUND(Y41*Source!I41,9)</f>
        <v>1.35</v>
      </c>
      <c r="CY41">
        <f t="shared" si="29"/>
        <v>120.01</v>
      </c>
      <c r="CZ41">
        <f t="shared" si="30"/>
        <v>35.090000000000003</v>
      </c>
      <c r="DA41">
        <f t="shared" si="31"/>
        <v>3.42</v>
      </c>
      <c r="DB41">
        <f t="shared" si="32"/>
        <v>1.75</v>
      </c>
      <c r="DC41">
        <f t="shared" si="33"/>
        <v>0</v>
      </c>
      <c r="DD41" t="s">
        <v>3</v>
      </c>
      <c r="DE41" t="s">
        <v>3</v>
      </c>
      <c r="DF41">
        <f t="shared" si="34"/>
        <v>162.01</v>
      </c>
      <c r="DG41">
        <f t="shared" si="35"/>
        <v>0</v>
      </c>
      <c r="DH41">
        <f t="shared" si="36"/>
        <v>0</v>
      </c>
      <c r="DI41">
        <f t="shared" si="1"/>
        <v>0</v>
      </c>
      <c r="DJ41">
        <f t="shared" si="37"/>
        <v>162.01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ROW(Source!A41)</f>
        <v>41</v>
      </c>
      <c r="B42">
        <v>59213213</v>
      </c>
      <c r="C42">
        <v>59213349</v>
      </c>
      <c r="D42">
        <v>58309409</v>
      </c>
      <c r="E42">
        <v>1</v>
      </c>
      <c r="F42">
        <v>1</v>
      </c>
      <c r="G42">
        <v>1080</v>
      </c>
      <c r="H42">
        <v>3</v>
      </c>
      <c r="I42" t="s">
        <v>379</v>
      </c>
      <c r="J42" t="s">
        <v>380</v>
      </c>
      <c r="K42" t="s">
        <v>381</v>
      </c>
      <c r="L42">
        <v>1348</v>
      </c>
      <c r="N42">
        <v>1009</v>
      </c>
      <c r="O42" t="s">
        <v>345</v>
      </c>
      <c r="P42" t="s">
        <v>345</v>
      </c>
      <c r="Q42">
        <v>1000</v>
      </c>
      <c r="W42">
        <v>0</v>
      </c>
      <c r="X42">
        <v>432853124</v>
      </c>
      <c r="Y42">
        <f t="shared" si="28"/>
        <v>3.0000000000000001E-5</v>
      </c>
      <c r="AA42">
        <v>134057.4</v>
      </c>
      <c r="AB42">
        <v>0</v>
      </c>
      <c r="AC42">
        <v>0</v>
      </c>
      <c r="AD42">
        <v>0</v>
      </c>
      <c r="AE42">
        <v>8582.42</v>
      </c>
      <c r="AF42">
        <v>0</v>
      </c>
      <c r="AG42">
        <v>0</v>
      </c>
      <c r="AH42">
        <v>0</v>
      </c>
      <c r="AI42">
        <v>15.62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3.0000000000000001E-5</v>
      </c>
      <c r="AU42" t="s">
        <v>25</v>
      </c>
      <c r="AV42">
        <v>0</v>
      </c>
      <c r="AW42">
        <v>2</v>
      </c>
      <c r="AX42">
        <v>59213845</v>
      </c>
      <c r="AY42">
        <v>1</v>
      </c>
      <c r="AZ42">
        <v>0</v>
      </c>
      <c r="BA42">
        <v>45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ROUND(Y42*Source!I41,9)</f>
        <v>8.0999999999999996E-4</v>
      </c>
      <c r="CY42">
        <f t="shared" si="29"/>
        <v>134057.4</v>
      </c>
      <c r="CZ42">
        <f t="shared" si="30"/>
        <v>8582.42</v>
      </c>
      <c r="DA42">
        <f t="shared" si="31"/>
        <v>15.62</v>
      </c>
      <c r="DB42">
        <f t="shared" si="32"/>
        <v>0.26</v>
      </c>
      <c r="DC42">
        <f t="shared" si="33"/>
        <v>0</v>
      </c>
      <c r="DD42" t="s">
        <v>3</v>
      </c>
      <c r="DE42" t="s">
        <v>3</v>
      </c>
      <c r="DF42">
        <f t="shared" si="34"/>
        <v>108.59</v>
      </c>
      <c r="DG42">
        <f t="shared" si="35"/>
        <v>0</v>
      </c>
      <c r="DH42">
        <f t="shared" si="36"/>
        <v>0</v>
      </c>
      <c r="DI42">
        <f t="shared" si="1"/>
        <v>0</v>
      </c>
      <c r="DJ42">
        <f t="shared" si="37"/>
        <v>108.59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ROW(Source!A41)</f>
        <v>41</v>
      </c>
      <c r="B43">
        <v>59213213</v>
      </c>
      <c r="C43">
        <v>59213349</v>
      </c>
      <c r="D43">
        <v>58309413</v>
      </c>
      <c r="E43">
        <v>1</v>
      </c>
      <c r="F43">
        <v>1</v>
      </c>
      <c r="G43">
        <v>1080</v>
      </c>
      <c r="H43">
        <v>3</v>
      </c>
      <c r="I43" t="s">
        <v>382</v>
      </c>
      <c r="J43" t="s">
        <v>383</v>
      </c>
      <c r="K43" t="s">
        <v>384</v>
      </c>
      <c r="L43">
        <v>1348</v>
      </c>
      <c r="N43">
        <v>1009</v>
      </c>
      <c r="O43" t="s">
        <v>345</v>
      </c>
      <c r="P43" t="s">
        <v>345</v>
      </c>
      <c r="Q43">
        <v>1000</v>
      </c>
      <c r="W43">
        <v>0</v>
      </c>
      <c r="X43">
        <v>1850032922</v>
      </c>
      <c r="Y43">
        <f t="shared" si="28"/>
        <v>3.0000000000000001E-6</v>
      </c>
      <c r="AA43">
        <v>56975.05</v>
      </c>
      <c r="AB43">
        <v>0</v>
      </c>
      <c r="AC43">
        <v>0</v>
      </c>
      <c r="AD43">
        <v>0</v>
      </c>
      <c r="AE43">
        <v>12521.99</v>
      </c>
      <c r="AF43">
        <v>0</v>
      </c>
      <c r="AG43">
        <v>0</v>
      </c>
      <c r="AH43">
        <v>0</v>
      </c>
      <c r="AI43">
        <v>4.55</v>
      </c>
      <c r="AJ43">
        <v>1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3.0000000000000001E-6</v>
      </c>
      <c r="AU43" t="s">
        <v>25</v>
      </c>
      <c r="AV43">
        <v>0</v>
      </c>
      <c r="AW43">
        <v>2</v>
      </c>
      <c r="AX43">
        <v>59213846</v>
      </c>
      <c r="AY43">
        <v>1</v>
      </c>
      <c r="AZ43">
        <v>0</v>
      </c>
      <c r="BA43">
        <v>46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ROUND(Y43*Source!I41,9)</f>
        <v>8.1000000000000004E-5</v>
      </c>
      <c r="CY43">
        <f t="shared" si="29"/>
        <v>56975.05</v>
      </c>
      <c r="CZ43">
        <f t="shared" si="30"/>
        <v>12521.99</v>
      </c>
      <c r="DA43">
        <f t="shared" si="31"/>
        <v>4.55</v>
      </c>
      <c r="DB43">
        <f t="shared" si="32"/>
        <v>0.04</v>
      </c>
      <c r="DC43">
        <f t="shared" si="33"/>
        <v>0</v>
      </c>
      <c r="DD43" t="s">
        <v>3</v>
      </c>
      <c r="DE43" t="s">
        <v>3</v>
      </c>
      <c r="DF43">
        <f t="shared" si="34"/>
        <v>4.6100000000000003</v>
      </c>
      <c r="DG43">
        <f t="shared" si="35"/>
        <v>0</v>
      </c>
      <c r="DH43">
        <f t="shared" si="36"/>
        <v>0</v>
      </c>
      <c r="DI43">
        <f t="shared" si="1"/>
        <v>0</v>
      </c>
      <c r="DJ43">
        <f t="shared" si="37"/>
        <v>4.6100000000000003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ROW(Source!A41)</f>
        <v>41</v>
      </c>
      <c r="B44">
        <v>59213213</v>
      </c>
      <c r="C44">
        <v>59213349</v>
      </c>
      <c r="D44">
        <v>58332357</v>
      </c>
      <c r="E44">
        <v>1</v>
      </c>
      <c r="F44">
        <v>1</v>
      </c>
      <c r="G44">
        <v>1080</v>
      </c>
      <c r="H44">
        <v>3</v>
      </c>
      <c r="I44" t="s">
        <v>385</v>
      </c>
      <c r="J44" t="s">
        <v>386</v>
      </c>
      <c r="K44" t="s">
        <v>387</v>
      </c>
      <c r="L44">
        <v>1354</v>
      </c>
      <c r="N44">
        <v>1010</v>
      </c>
      <c r="O44" t="s">
        <v>34</v>
      </c>
      <c r="P44" t="s">
        <v>34</v>
      </c>
      <c r="Q44">
        <v>1</v>
      </c>
      <c r="W44">
        <v>0</v>
      </c>
      <c r="X44">
        <v>-1685704172</v>
      </c>
      <c r="Y44">
        <f t="shared" si="28"/>
        <v>0.47499999999999998</v>
      </c>
      <c r="AA44">
        <v>572.5</v>
      </c>
      <c r="AB44">
        <v>0</v>
      </c>
      <c r="AC44">
        <v>0</v>
      </c>
      <c r="AD44">
        <v>0</v>
      </c>
      <c r="AE44">
        <v>39.840000000000003</v>
      </c>
      <c r="AF44">
        <v>0</v>
      </c>
      <c r="AG44">
        <v>0</v>
      </c>
      <c r="AH44">
        <v>0</v>
      </c>
      <c r="AI44">
        <v>14.37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0.47499999999999998</v>
      </c>
      <c r="AU44" t="s">
        <v>25</v>
      </c>
      <c r="AV44">
        <v>0</v>
      </c>
      <c r="AW44">
        <v>2</v>
      </c>
      <c r="AX44">
        <v>59213847</v>
      </c>
      <c r="AY44">
        <v>1</v>
      </c>
      <c r="AZ44">
        <v>0</v>
      </c>
      <c r="BA44">
        <v>47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ROUND(Y44*Source!I41,9)</f>
        <v>12.824999999999999</v>
      </c>
      <c r="CY44">
        <f t="shared" si="29"/>
        <v>572.5</v>
      </c>
      <c r="CZ44">
        <f t="shared" si="30"/>
        <v>39.840000000000003</v>
      </c>
      <c r="DA44">
        <f t="shared" si="31"/>
        <v>14.37</v>
      </c>
      <c r="DB44">
        <f t="shared" si="32"/>
        <v>18.920000000000002</v>
      </c>
      <c r="DC44">
        <f t="shared" si="33"/>
        <v>0</v>
      </c>
      <c r="DD44" t="s">
        <v>3</v>
      </c>
      <c r="DE44" t="s">
        <v>3</v>
      </c>
      <c r="DF44">
        <f t="shared" si="34"/>
        <v>7342.31</v>
      </c>
      <c r="DG44">
        <f t="shared" si="35"/>
        <v>0</v>
      </c>
      <c r="DH44">
        <f t="shared" si="36"/>
        <v>0</v>
      </c>
      <c r="DI44">
        <f t="shared" si="1"/>
        <v>0</v>
      </c>
      <c r="DJ44">
        <f t="shared" si="37"/>
        <v>7342.31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ROW(Source!A44)</f>
        <v>44</v>
      </c>
      <c r="B45">
        <v>59213216</v>
      </c>
      <c r="C45">
        <v>59213384</v>
      </c>
      <c r="D45">
        <v>58266404</v>
      </c>
      <c r="E45">
        <v>1080</v>
      </c>
      <c r="F45">
        <v>1</v>
      </c>
      <c r="G45">
        <v>1080</v>
      </c>
      <c r="H45">
        <v>1</v>
      </c>
      <c r="I45" t="s">
        <v>331</v>
      </c>
      <c r="J45" t="s">
        <v>3</v>
      </c>
      <c r="K45" t="s">
        <v>332</v>
      </c>
      <c r="L45">
        <v>1191</v>
      </c>
      <c r="N45">
        <v>1013</v>
      </c>
      <c r="O45" t="s">
        <v>333</v>
      </c>
      <c r="P45" t="s">
        <v>333</v>
      </c>
      <c r="Q45">
        <v>1</v>
      </c>
      <c r="W45">
        <v>0</v>
      </c>
      <c r="X45">
        <v>476480486</v>
      </c>
      <c r="Y45">
        <f t="shared" ref="Y45:Y50" si="38">(AT45*1.1)</f>
        <v>0.92400000000000004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0.84</v>
      </c>
      <c r="AU45" t="s">
        <v>26</v>
      </c>
      <c r="AV45">
        <v>1</v>
      </c>
      <c r="AW45">
        <v>2</v>
      </c>
      <c r="AX45">
        <v>59213849</v>
      </c>
      <c r="AY45">
        <v>1</v>
      </c>
      <c r="AZ45">
        <v>0</v>
      </c>
      <c r="BA45">
        <v>49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ROUND(AT45*Source!I44*AH45*AL45,2)</f>
        <v>0</v>
      </c>
      <c r="CV45">
        <f>ROUND(Y45*Source!I44,9)</f>
        <v>38.808</v>
      </c>
      <c r="CW45">
        <v>0</v>
      </c>
      <c r="CX45">
        <f>ROUND(Y45*Source!I44,9)</f>
        <v>38.808</v>
      </c>
      <c r="CY45">
        <f>AD45</f>
        <v>0</v>
      </c>
      <c r="CZ45">
        <f>AH45</f>
        <v>0</v>
      </c>
      <c r="DA45">
        <f>AL45</f>
        <v>1</v>
      </c>
      <c r="DB45">
        <f t="shared" ref="DB45:DB50" si="39">ROUND((ROUND(AT45*CZ45,2)*1.1),6)</f>
        <v>0</v>
      </c>
      <c r="DC45">
        <f t="shared" ref="DC45:DC50" si="40">ROUND((ROUND(AT45*AG45,2)*1.1),6)</f>
        <v>0</v>
      </c>
      <c r="DD45" t="s">
        <v>3</v>
      </c>
      <c r="DE45" t="s">
        <v>3</v>
      </c>
      <c r="DF45">
        <f t="shared" ref="DF45:DF55" si="41">ROUND(ROUND(AE45,2)*CX45,2)</f>
        <v>0</v>
      </c>
      <c r="DG45">
        <f t="shared" si="35"/>
        <v>0</v>
      </c>
      <c r="DH45">
        <f t="shared" si="36"/>
        <v>0</v>
      </c>
      <c r="DI45">
        <f t="shared" si="1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ROW(Source!A45)</f>
        <v>45</v>
      </c>
      <c r="B46">
        <v>59213213</v>
      </c>
      <c r="C46">
        <v>59213384</v>
      </c>
      <c r="D46">
        <v>58266404</v>
      </c>
      <c r="E46">
        <v>1080</v>
      </c>
      <c r="F46">
        <v>1</v>
      </c>
      <c r="G46">
        <v>1080</v>
      </c>
      <c r="H46">
        <v>1</v>
      </c>
      <c r="I46" t="s">
        <v>331</v>
      </c>
      <c r="J46" t="s">
        <v>3</v>
      </c>
      <c r="K46" t="s">
        <v>332</v>
      </c>
      <c r="L46">
        <v>1191</v>
      </c>
      <c r="N46">
        <v>1013</v>
      </c>
      <c r="O46" t="s">
        <v>333</v>
      </c>
      <c r="P46" t="s">
        <v>333</v>
      </c>
      <c r="Q46">
        <v>1</v>
      </c>
      <c r="W46">
        <v>0</v>
      </c>
      <c r="X46">
        <v>476480486</v>
      </c>
      <c r="Y46">
        <f t="shared" si="38"/>
        <v>0.92400000000000004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0.84</v>
      </c>
      <c r="AU46" t="s">
        <v>26</v>
      </c>
      <c r="AV46">
        <v>1</v>
      </c>
      <c r="AW46">
        <v>2</v>
      </c>
      <c r="AX46">
        <v>59213849</v>
      </c>
      <c r="AY46">
        <v>1</v>
      </c>
      <c r="AZ46">
        <v>0</v>
      </c>
      <c r="BA46">
        <v>50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ROUND(AT46*Source!I45*AH46*AL46,2)</f>
        <v>0</v>
      </c>
      <c r="CV46">
        <f>ROUND(Y46*Source!I45,9)</f>
        <v>38.808</v>
      </c>
      <c r="CW46">
        <v>0</v>
      </c>
      <c r="CX46">
        <f>ROUND(Y46*Source!I45,9)</f>
        <v>38.808</v>
      </c>
      <c r="CY46">
        <f>AD46</f>
        <v>0</v>
      </c>
      <c r="CZ46">
        <f>AH46</f>
        <v>0</v>
      </c>
      <c r="DA46">
        <f>AL46</f>
        <v>1</v>
      </c>
      <c r="DB46">
        <f t="shared" si="39"/>
        <v>0</v>
      </c>
      <c r="DC46">
        <f t="shared" si="40"/>
        <v>0</v>
      </c>
      <c r="DD46" t="s">
        <v>3</v>
      </c>
      <c r="DE46" t="s">
        <v>3</v>
      </c>
      <c r="DF46">
        <f t="shared" si="41"/>
        <v>0</v>
      </c>
      <c r="DG46">
        <f t="shared" si="35"/>
        <v>0</v>
      </c>
      <c r="DH46">
        <f t="shared" si="36"/>
        <v>0</v>
      </c>
      <c r="DI46">
        <f t="shared" si="1"/>
        <v>0</v>
      </c>
      <c r="DJ46">
        <f>DI46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ROW(Source!A50)</f>
        <v>50</v>
      </c>
      <c r="B47">
        <v>59213216</v>
      </c>
      <c r="C47">
        <v>59213389</v>
      </c>
      <c r="D47">
        <v>58266404</v>
      </c>
      <c r="E47">
        <v>1080</v>
      </c>
      <c r="F47">
        <v>1</v>
      </c>
      <c r="G47">
        <v>1080</v>
      </c>
      <c r="H47">
        <v>1</v>
      </c>
      <c r="I47" t="s">
        <v>331</v>
      </c>
      <c r="J47" t="s">
        <v>3</v>
      </c>
      <c r="K47" t="s">
        <v>332</v>
      </c>
      <c r="L47">
        <v>1191</v>
      </c>
      <c r="N47">
        <v>1013</v>
      </c>
      <c r="O47" t="s">
        <v>333</v>
      </c>
      <c r="P47" t="s">
        <v>333</v>
      </c>
      <c r="Q47">
        <v>1</v>
      </c>
      <c r="W47">
        <v>0</v>
      </c>
      <c r="X47">
        <v>476480486</v>
      </c>
      <c r="Y47">
        <f t="shared" si="38"/>
        <v>16.104000000000003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14.64</v>
      </c>
      <c r="AU47" t="s">
        <v>26</v>
      </c>
      <c r="AV47">
        <v>1</v>
      </c>
      <c r="AW47">
        <v>2</v>
      </c>
      <c r="AX47">
        <v>59213850</v>
      </c>
      <c r="AY47">
        <v>1</v>
      </c>
      <c r="AZ47">
        <v>0</v>
      </c>
      <c r="BA47">
        <v>51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ROUND(AT47*Source!I50*AH47*AL47,2)</f>
        <v>0</v>
      </c>
      <c r="CV47">
        <f>ROUND(Y47*Source!I50,9)</f>
        <v>67.636799999999994</v>
      </c>
      <c r="CW47">
        <v>0</v>
      </c>
      <c r="CX47">
        <f>ROUND(Y47*Source!I50,9)</f>
        <v>67.636799999999994</v>
      </c>
      <c r="CY47">
        <f>AD47</f>
        <v>0</v>
      </c>
      <c r="CZ47">
        <f>AH47</f>
        <v>0</v>
      </c>
      <c r="DA47">
        <f>AL47</f>
        <v>1</v>
      </c>
      <c r="DB47">
        <f t="shared" si="39"/>
        <v>0</v>
      </c>
      <c r="DC47">
        <f t="shared" si="40"/>
        <v>0</v>
      </c>
      <c r="DD47" t="s">
        <v>3</v>
      </c>
      <c r="DE47" t="s">
        <v>3</v>
      </c>
      <c r="DF47">
        <f t="shared" si="41"/>
        <v>0</v>
      </c>
      <c r="DG47">
        <f t="shared" si="35"/>
        <v>0</v>
      </c>
      <c r="DH47">
        <f t="shared" si="36"/>
        <v>0</v>
      </c>
      <c r="DI47">
        <f t="shared" si="1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ROW(Source!A50)</f>
        <v>50</v>
      </c>
      <c r="B48">
        <v>59213216</v>
      </c>
      <c r="C48">
        <v>59213389</v>
      </c>
      <c r="D48">
        <v>58340578</v>
      </c>
      <c r="E48">
        <v>1</v>
      </c>
      <c r="F48">
        <v>1</v>
      </c>
      <c r="G48">
        <v>1080</v>
      </c>
      <c r="H48">
        <v>2</v>
      </c>
      <c r="I48" t="s">
        <v>334</v>
      </c>
      <c r="J48" t="s">
        <v>335</v>
      </c>
      <c r="K48" t="s">
        <v>336</v>
      </c>
      <c r="L48">
        <v>1368</v>
      </c>
      <c r="N48">
        <v>1011</v>
      </c>
      <c r="O48" t="s">
        <v>337</v>
      </c>
      <c r="P48" t="s">
        <v>337</v>
      </c>
      <c r="Q48">
        <v>1</v>
      </c>
      <c r="W48">
        <v>0</v>
      </c>
      <c r="X48">
        <v>-1985943078</v>
      </c>
      <c r="Y48">
        <f t="shared" si="38"/>
        <v>6.6000000000000003E-2</v>
      </c>
      <c r="AA48">
        <v>0</v>
      </c>
      <c r="AB48">
        <v>87.01</v>
      </c>
      <c r="AC48">
        <v>13.21</v>
      </c>
      <c r="AD48">
        <v>0</v>
      </c>
      <c r="AE48">
        <v>0</v>
      </c>
      <c r="AF48">
        <v>83.1</v>
      </c>
      <c r="AG48">
        <v>12.62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0.06</v>
      </c>
      <c r="AU48" t="s">
        <v>26</v>
      </c>
      <c r="AV48">
        <v>0</v>
      </c>
      <c r="AW48">
        <v>2</v>
      </c>
      <c r="AX48">
        <v>59213851</v>
      </c>
      <c r="AY48">
        <v>1</v>
      </c>
      <c r="AZ48">
        <v>0</v>
      </c>
      <c r="BA48">
        <v>52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ROUND(Y48*Source!I50*DO48,9)</f>
        <v>3.4982639999999998</v>
      </c>
      <c r="CX48">
        <f>ROUND(Y48*Source!I50,9)</f>
        <v>0.2772</v>
      </c>
      <c r="CY48">
        <f>AB48</f>
        <v>87.01</v>
      </c>
      <c r="CZ48">
        <f>AF48</f>
        <v>83.1</v>
      </c>
      <c r="DA48">
        <f>AJ48</f>
        <v>1</v>
      </c>
      <c r="DB48">
        <f t="shared" si="39"/>
        <v>5.4889999999999999</v>
      </c>
      <c r="DC48">
        <f t="shared" si="40"/>
        <v>0.83599999999999997</v>
      </c>
      <c r="DD48" t="s">
        <v>3</v>
      </c>
      <c r="DE48" t="s">
        <v>3</v>
      </c>
      <c r="DF48">
        <f t="shared" si="41"/>
        <v>0</v>
      </c>
      <c r="DG48">
        <f t="shared" si="35"/>
        <v>23.04</v>
      </c>
      <c r="DH48">
        <f t="shared" si="36"/>
        <v>3.5</v>
      </c>
      <c r="DI48">
        <f t="shared" si="1"/>
        <v>0</v>
      </c>
      <c r="DJ48">
        <f>DG48</f>
        <v>23.04</v>
      </c>
      <c r="DK48">
        <v>0</v>
      </c>
      <c r="DL48" t="s">
        <v>338</v>
      </c>
      <c r="DM48">
        <v>0</v>
      </c>
      <c r="DN48" t="s">
        <v>333</v>
      </c>
      <c r="DO48">
        <v>12.62</v>
      </c>
    </row>
    <row r="49" spans="1:119" x14ac:dyDescent="0.2">
      <c r="A49">
        <f>ROW(Source!A50)</f>
        <v>50</v>
      </c>
      <c r="B49">
        <v>59213216</v>
      </c>
      <c r="C49">
        <v>59213389</v>
      </c>
      <c r="D49">
        <v>58340697</v>
      </c>
      <c r="E49">
        <v>1</v>
      </c>
      <c r="F49">
        <v>1</v>
      </c>
      <c r="G49">
        <v>1080</v>
      </c>
      <c r="H49">
        <v>2</v>
      </c>
      <c r="I49" t="s">
        <v>388</v>
      </c>
      <c r="J49" t="s">
        <v>389</v>
      </c>
      <c r="K49" t="s">
        <v>390</v>
      </c>
      <c r="L49">
        <v>1368</v>
      </c>
      <c r="N49">
        <v>1011</v>
      </c>
      <c r="O49" t="s">
        <v>337</v>
      </c>
      <c r="P49" t="s">
        <v>337</v>
      </c>
      <c r="Q49">
        <v>1</v>
      </c>
      <c r="W49">
        <v>0</v>
      </c>
      <c r="X49">
        <v>2147454900</v>
      </c>
      <c r="Y49">
        <f t="shared" si="38"/>
        <v>0.89100000000000013</v>
      </c>
      <c r="AA49">
        <v>0</v>
      </c>
      <c r="AB49">
        <v>0.84</v>
      </c>
      <c r="AC49">
        <v>0</v>
      </c>
      <c r="AD49">
        <v>0</v>
      </c>
      <c r="AE49">
        <v>0</v>
      </c>
      <c r="AF49">
        <v>0.8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0.81</v>
      </c>
      <c r="AU49" t="s">
        <v>26</v>
      </c>
      <c r="AV49">
        <v>0</v>
      </c>
      <c r="AW49">
        <v>2</v>
      </c>
      <c r="AX49">
        <v>59213852</v>
      </c>
      <c r="AY49">
        <v>1</v>
      </c>
      <c r="AZ49">
        <v>0</v>
      </c>
      <c r="BA49">
        <v>53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ROUND(Y49*Source!I50*DO49,9)</f>
        <v>0</v>
      </c>
      <c r="CX49">
        <f>ROUND(Y49*Source!I50,9)</f>
        <v>3.7422</v>
      </c>
      <c r="CY49">
        <f>AB49</f>
        <v>0.84</v>
      </c>
      <c r="CZ49">
        <f>AF49</f>
        <v>0.8</v>
      </c>
      <c r="DA49">
        <f>AJ49</f>
        <v>1</v>
      </c>
      <c r="DB49">
        <f t="shared" si="39"/>
        <v>0.71499999999999997</v>
      </c>
      <c r="DC49">
        <f t="shared" si="40"/>
        <v>0</v>
      </c>
      <c r="DD49" t="s">
        <v>3</v>
      </c>
      <c r="DE49" t="s">
        <v>3</v>
      </c>
      <c r="DF49">
        <f t="shared" si="41"/>
        <v>0</v>
      </c>
      <c r="DG49">
        <f t="shared" si="35"/>
        <v>2.99</v>
      </c>
      <c r="DH49">
        <f t="shared" si="36"/>
        <v>0</v>
      </c>
      <c r="DI49">
        <f t="shared" si="1"/>
        <v>0</v>
      </c>
      <c r="DJ49">
        <f>DG49</f>
        <v>2.99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ROW(Source!A50)</f>
        <v>50</v>
      </c>
      <c r="B50">
        <v>59213216</v>
      </c>
      <c r="C50">
        <v>59213389</v>
      </c>
      <c r="D50">
        <v>58340663</v>
      </c>
      <c r="E50">
        <v>1</v>
      </c>
      <c r="F50">
        <v>1</v>
      </c>
      <c r="G50">
        <v>1080</v>
      </c>
      <c r="H50">
        <v>2</v>
      </c>
      <c r="I50" t="s">
        <v>339</v>
      </c>
      <c r="J50" t="s">
        <v>340</v>
      </c>
      <c r="K50" t="s">
        <v>341</v>
      </c>
      <c r="L50">
        <v>1368</v>
      </c>
      <c r="N50">
        <v>1011</v>
      </c>
      <c r="O50" t="s">
        <v>337</v>
      </c>
      <c r="P50" t="s">
        <v>337</v>
      </c>
      <c r="Q50">
        <v>1</v>
      </c>
      <c r="W50">
        <v>0</v>
      </c>
      <c r="X50">
        <v>1645565003</v>
      </c>
      <c r="Y50">
        <f t="shared" si="38"/>
        <v>1.0230000000000001</v>
      </c>
      <c r="AA50">
        <v>0</v>
      </c>
      <c r="AB50">
        <v>0.49</v>
      </c>
      <c r="AC50">
        <v>0</v>
      </c>
      <c r="AD50">
        <v>0</v>
      </c>
      <c r="AE50">
        <v>0</v>
      </c>
      <c r="AF50">
        <v>0.47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0.93</v>
      </c>
      <c r="AU50" t="s">
        <v>26</v>
      </c>
      <c r="AV50">
        <v>0</v>
      </c>
      <c r="AW50">
        <v>2</v>
      </c>
      <c r="AX50">
        <v>59213853</v>
      </c>
      <c r="AY50">
        <v>1</v>
      </c>
      <c r="AZ50">
        <v>0</v>
      </c>
      <c r="BA50">
        <v>54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ROUND(Y50*Source!I50*DO50,9)</f>
        <v>0</v>
      </c>
      <c r="CX50">
        <f>ROUND(Y50*Source!I50,9)</f>
        <v>4.2965999999999998</v>
      </c>
      <c r="CY50">
        <f>AB50</f>
        <v>0.49</v>
      </c>
      <c r="CZ50">
        <f>AF50</f>
        <v>0.47</v>
      </c>
      <c r="DA50">
        <f>AJ50</f>
        <v>1</v>
      </c>
      <c r="DB50">
        <f t="shared" si="39"/>
        <v>0.48399999999999999</v>
      </c>
      <c r="DC50">
        <f t="shared" si="40"/>
        <v>0</v>
      </c>
      <c r="DD50" t="s">
        <v>3</v>
      </c>
      <c r="DE50" t="s">
        <v>3</v>
      </c>
      <c r="DF50">
        <f t="shared" si="41"/>
        <v>0</v>
      </c>
      <c r="DG50">
        <f t="shared" si="35"/>
        <v>2.02</v>
      </c>
      <c r="DH50">
        <f t="shared" si="36"/>
        <v>0</v>
      </c>
      <c r="DI50">
        <f t="shared" si="1"/>
        <v>0</v>
      </c>
      <c r="DJ50">
        <f>DG50</f>
        <v>2.02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ROW(Source!A50)</f>
        <v>50</v>
      </c>
      <c r="B51">
        <v>59213216</v>
      </c>
      <c r="C51">
        <v>59213389</v>
      </c>
      <c r="D51">
        <v>58310460</v>
      </c>
      <c r="E51">
        <v>1</v>
      </c>
      <c r="F51">
        <v>1</v>
      </c>
      <c r="G51">
        <v>1080</v>
      </c>
      <c r="H51">
        <v>3</v>
      </c>
      <c r="I51" t="s">
        <v>342</v>
      </c>
      <c r="J51" t="s">
        <v>343</v>
      </c>
      <c r="K51" t="s">
        <v>344</v>
      </c>
      <c r="L51">
        <v>1348</v>
      </c>
      <c r="N51">
        <v>1009</v>
      </c>
      <c r="O51" t="s">
        <v>345</v>
      </c>
      <c r="P51" t="s">
        <v>345</v>
      </c>
      <c r="Q51">
        <v>1000</v>
      </c>
      <c r="W51">
        <v>0</v>
      </c>
      <c r="X51">
        <v>1854293486</v>
      </c>
      <c r="Y51">
        <f>(AT51*1)</f>
        <v>1.7000000000000001E-4</v>
      </c>
      <c r="AA51">
        <v>14327.51</v>
      </c>
      <c r="AB51">
        <v>0</v>
      </c>
      <c r="AC51">
        <v>0</v>
      </c>
      <c r="AD51">
        <v>0</v>
      </c>
      <c r="AE51">
        <v>14327.51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1.7000000000000001E-4</v>
      </c>
      <c r="AU51" t="s">
        <v>25</v>
      </c>
      <c r="AV51">
        <v>0</v>
      </c>
      <c r="AW51">
        <v>2</v>
      </c>
      <c r="AX51">
        <v>59213854</v>
      </c>
      <c r="AY51">
        <v>1</v>
      </c>
      <c r="AZ51">
        <v>0</v>
      </c>
      <c r="BA51">
        <v>55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ROUND(Y51*Source!I50,9)</f>
        <v>7.1400000000000001E-4</v>
      </c>
      <c r="CY51">
        <f>AA51</f>
        <v>14327.51</v>
      </c>
      <c r="CZ51">
        <f>AE51</f>
        <v>14327.51</v>
      </c>
      <c r="DA51">
        <f>AI51</f>
        <v>1</v>
      </c>
      <c r="DB51">
        <f>ROUND((ROUND(AT51*CZ51,2)*1),6)</f>
        <v>2.44</v>
      </c>
      <c r="DC51">
        <f>ROUND((ROUND(AT51*AG51,2)*1),6)</f>
        <v>0</v>
      </c>
      <c r="DD51" t="s">
        <v>3</v>
      </c>
      <c r="DE51" t="s">
        <v>3</v>
      </c>
      <c r="DF51">
        <f t="shared" si="41"/>
        <v>10.23</v>
      </c>
      <c r="DG51">
        <f t="shared" si="35"/>
        <v>0</v>
      </c>
      <c r="DH51">
        <f t="shared" si="36"/>
        <v>0</v>
      </c>
      <c r="DI51">
        <f t="shared" si="1"/>
        <v>0</v>
      </c>
      <c r="DJ51">
        <f>DF51</f>
        <v>10.23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ROW(Source!A51)</f>
        <v>51</v>
      </c>
      <c r="B52">
        <v>59213213</v>
      </c>
      <c r="C52">
        <v>59213389</v>
      </c>
      <c r="D52">
        <v>58266404</v>
      </c>
      <c r="E52">
        <v>1080</v>
      </c>
      <c r="F52">
        <v>1</v>
      </c>
      <c r="G52">
        <v>1080</v>
      </c>
      <c r="H52">
        <v>1</v>
      </c>
      <c r="I52" t="s">
        <v>331</v>
      </c>
      <c r="J52" t="s">
        <v>3</v>
      </c>
      <c r="K52" t="s">
        <v>332</v>
      </c>
      <c r="L52">
        <v>1191</v>
      </c>
      <c r="N52">
        <v>1013</v>
      </c>
      <c r="O52" t="s">
        <v>333</v>
      </c>
      <c r="P52" t="s">
        <v>333</v>
      </c>
      <c r="Q52">
        <v>1</v>
      </c>
      <c r="W52">
        <v>0</v>
      </c>
      <c r="X52">
        <v>476480486</v>
      </c>
      <c r="Y52">
        <f>(AT52*1.1)</f>
        <v>16.104000000000003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5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14.64</v>
      </c>
      <c r="AU52" t="s">
        <v>26</v>
      </c>
      <c r="AV52">
        <v>1</v>
      </c>
      <c r="AW52">
        <v>2</v>
      </c>
      <c r="AX52">
        <v>59213850</v>
      </c>
      <c r="AY52">
        <v>1</v>
      </c>
      <c r="AZ52">
        <v>0</v>
      </c>
      <c r="BA52">
        <v>57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U52">
        <f>ROUND(AT52*Source!I51*AH52*AL52,2)</f>
        <v>0</v>
      </c>
      <c r="CV52">
        <f>ROUND(Y52*Source!I51,9)</f>
        <v>67.636799999999994</v>
      </c>
      <c r="CW52">
        <v>0</v>
      </c>
      <c r="CX52">
        <f>ROUND(Y52*Source!I51,9)</f>
        <v>67.636799999999994</v>
      </c>
      <c r="CY52">
        <f>AD52</f>
        <v>0</v>
      </c>
      <c r="CZ52">
        <f>AH52</f>
        <v>0</v>
      </c>
      <c r="DA52">
        <f>AL52</f>
        <v>1</v>
      </c>
      <c r="DB52">
        <f>ROUND((ROUND(AT52*CZ52,2)*1.1),6)</f>
        <v>0</v>
      </c>
      <c r="DC52">
        <f>ROUND((ROUND(AT52*AG52,2)*1.1),6)</f>
        <v>0</v>
      </c>
      <c r="DD52" t="s">
        <v>3</v>
      </c>
      <c r="DE52" t="s">
        <v>3</v>
      </c>
      <c r="DF52">
        <f t="shared" si="41"/>
        <v>0</v>
      </c>
      <c r="DG52">
        <f t="shared" si="35"/>
        <v>0</v>
      </c>
      <c r="DH52">
        <f t="shared" si="36"/>
        <v>0</v>
      </c>
      <c r="DI52">
        <f t="shared" si="1"/>
        <v>0</v>
      </c>
      <c r="DJ52">
        <f>DI52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ROW(Source!A51)</f>
        <v>51</v>
      </c>
      <c r="B53">
        <v>59213213</v>
      </c>
      <c r="C53">
        <v>59213389</v>
      </c>
      <c r="D53">
        <v>58340578</v>
      </c>
      <c r="E53">
        <v>1</v>
      </c>
      <c r="F53">
        <v>1</v>
      </c>
      <c r="G53">
        <v>1080</v>
      </c>
      <c r="H53">
        <v>2</v>
      </c>
      <c r="I53" t="s">
        <v>334</v>
      </c>
      <c r="J53" t="s">
        <v>335</v>
      </c>
      <c r="K53" t="s">
        <v>336</v>
      </c>
      <c r="L53">
        <v>1368</v>
      </c>
      <c r="N53">
        <v>1011</v>
      </c>
      <c r="O53" t="s">
        <v>337</v>
      </c>
      <c r="P53" t="s">
        <v>337</v>
      </c>
      <c r="Q53">
        <v>1</v>
      </c>
      <c r="W53">
        <v>0</v>
      </c>
      <c r="X53">
        <v>-1985943078</v>
      </c>
      <c r="Y53">
        <f>(AT53*1.1)</f>
        <v>6.6000000000000003E-2</v>
      </c>
      <c r="AA53">
        <v>0</v>
      </c>
      <c r="AB53">
        <v>1418.19</v>
      </c>
      <c r="AC53">
        <v>726.59</v>
      </c>
      <c r="AD53">
        <v>0</v>
      </c>
      <c r="AE53">
        <v>0</v>
      </c>
      <c r="AF53">
        <v>83.1</v>
      </c>
      <c r="AG53">
        <v>12.62</v>
      </c>
      <c r="AH53">
        <v>0</v>
      </c>
      <c r="AI53">
        <v>1</v>
      </c>
      <c r="AJ53">
        <v>16.3</v>
      </c>
      <c r="AK53">
        <v>54.99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0.06</v>
      </c>
      <c r="AU53" t="s">
        <v>26</v>
      </c>
      <c r="AV53">
        <v>0</v>
      </c>
      <c r="AW53">
        <v>2</v>
      </c>
      <c r="AX53">
        <v>59213851</v>
      </c>
      <c r="AY53">
        <v>1</v>
      </c>
      <c r="AZ53">
        <v>0</v>
      </c>
      <c r="BA53">
        <v>58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ROUND(Y53*Source!I51*DO53,9)</f>
        <v>3.4982639999999998</v>
      </c>
      <c r="CX53">
        <f>ROUND(Y53*Source!I51,9)</f>
        <v>0.2772</v>
      </c>
      <c r="CY53">
        <f>AB53</f>
        <v>1418.19</v>
      </c>
      <c r="CZ53">
        <f>AF53</f>
        <v>83.1</v>
      </c>
      <c r="DA53">
        <f>AJ53</f>
        <v>16.3</v>
      </c>
      <c r="DB53">
        <f>ROUND((ROUND(AT53*CZ53,2)*1.1),6)</f>
        <v>5.4889999999999999</v>
      </c>
      <c r="DC53">
        <f>ROUND((ROUND(AT53*AG53,2)*1.1),6)</f>
        <v>0.83599999999999997</v>
      </c>
      <c r="DD53" t="s">
        <v>3</v>
      </c>
      <c r="DE53" t="s">
        <v>3</v>
      </c>
      <c r="DF53">
        <f t="shared" si="41"/>
        <v>0</v>
      </c>
      <c r="DG53">
        <f>ROUND(ROUND(AF53*AJ53,2)*CX53,2)</f>
        <v>375.48</v>
      </c>
      <c r="DH53">
        <f>ROUND(ROUND(AG53*AK53,2)*CX53,2)</f>
        <v>192.37</v>
      </c>
      <c r="DI53">
        <f t="shared" si="1"/>
        <v>0</v>
      </c>
      <c r="DJ53">
        <f>DG53</f>
        <v>375.48</v>
      </c>
      <c r="DK53">
        <v>0</v>
      </c>
      <c r="DL53" t="s">
        <v>338</v>
      </c>
      <c r="DM53">
        <v>0</v>
      </c>
      <c r="DN53" t="s">
        <v>333</v>
      </c>
      <c r="DO53">
        <v>12.62</v>
      </c>
    </row>
    <row r="54" spans="1:119" x14ac:dyDescent="0.2">
      <c r="A54">
        <f>ROW(Source!A51)</f>
        <v>51</v>
      </c>
      <c r="B54">
        <v>59213213</v>
      </c>
      <c r="C54">
        <v>59213389</v>
      </c>
      <c r="D54">
        <v>58340697</v>
      </c>
      <c r="E54">
        <v>1</v>
      </c>
      <c r="F54">
        <v>1</v>
      </c>
      <c r="G54">
        <v>1080</v>
      </c>
      <c r="H54">
        <v>2</v>
      </c>
      <c r="I54" t="s">
        <v>388</v>
      </c>
      <c r="J54" t="s">
        <v>389</v>
      </c>
      <c r="K54" t="s">
        <v>390</v>
      </c>
      <c r="L54">
        <v>1368</v>
      </c>
      <c r="N54">
        <v>1011</v>
      </c>
      <c r="O54" t="s">
        <v>337</v>
      </c>
      <c r="P54" t="s">
        <v>337</v>
      </c>
      <c r="Q54">
        <v>1</v>
      </c>
      <c r="W54">
        <v>0</v>
      </c>
      <c r="X54">
        <v>2147454900</v>
      </c>
      <c r="Y54">
        <f>(AT54*1.1)</f>
        <v>0.89100000000000013</v>
      </c>
      <c r="AA54">
        <v>0</v>
      </c>
      <c r="AB54">
        <v>7.19</v>
      </c>
      <c r="AC54">
        <v>0</v>
      </c>
      <c r="AD54">
        <v>0</v>
      </c>
      <c r="AE54">
        <v>0</v>
      </c>
      <c r="AF54">
        <v>0.8</v>
      </c>
      <c r="AG54">
        <v>0</v>
      </c>
      <c r="AH54">
        <v>0</v>
      </c>
      <c r="AI54">
        <v>1</v>
      </c>
      <c r="AJ54">
        <v>8.59</v>
      </c>
      <c r="AK54">
        <v>54.99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0.81</v>
      </c>
      <c r="AU54" t="s">
        <v>26</v>
      </c>
      <c r="AV54">
        <v>0</v>
      </c>
      <c r="AW54">
        <v>2</v>
      </c>
      <c r="AX54">
        <v>59213852</v>
      </c>
      <c r="AY54">
        <v>1</v>
      </c>
      <c r="AZ54">
        <v>0</v>
      </c>
      <c r="BA54">
        <v>59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ROUND(Y54*Source!I51*DO54,9)</f>
        <v>0</v>
      </c>
      <c r="CX54">
        <f>ROUND(Y54*Source!I51,9)</f>
        <v>3.7422</v>
      </c>
      <c r="CY54">
        <f>AB54</f>
        <v>7.19</v>
      </c>
      <c r="CZ54">
        <f>AF54</f>
        <v>0.8</v>
      </c>
      <c r="DA54">
        <f>AJ54</f>
        <v>8.59</v>
      </c>
      <c r="DB54">
        <f>ROUND((ROUND(AT54*CZ54,2)*1.1),6)</f>
        <v>0.71499999999999997</v>
      </c>
      <c r="DC54">
        <f>ROUND((ROUND(AT54*AG54,2)*1.1),6)</f>
        <v>0</v>
      </c>
      <c r="DD54" t="s">
        <v>3</v>
      </c>
      <c r="DE54" t="s">
        <v>3</v>
      </c>
      <c r="DF54">
        <f t="shared" si="41"/>
        <v>0</v>
      </c>
      <c r="DG54">
        <f>ROUND(ROUND(AF54*AJ54,2)*CX54,2)</f>
        <v>25.71</v>
      </c>
      <c r="DH54">
        <f>ROUND(ROUND(AG54*AK54,2)*CX54,2)</f>
        <v>0</v>
      </c>
      <c r="DI54">
        <f t="shared" si="1"/>
        <v>0</v>
      </c>
      <c r="DJ54">
        <f>DG54</f>
        <v>25.71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ROW(Source!A51)</f>
        <v>51</v>
      </c>
      <c r="B55">
        <v>59213213</v>
      </c>
      <c r="C55">
        <v>59213389</v>
      </c>
      <c r="D55">
        <v>58340663</v>
      </c>
      <c r="E55">
        <v>1</v>
      </c>
      <c r="F55">
        <v>1</v>
      </c>
      <c r="G55">
        <v>1080</v>
      </c>
      <c r="H55">
        <v>2</v>
      </c>
      <c r="I55" t="s">
        <v>339</v>
      </c>
      <c r="J55" t="s">
        <v>340</v>
      </c>
      <c r="K55" t="s">
        <v>341</v>
      </c>
      <c r="L55">
        <v>1368</v>
      </c>
      <c r="N55">
        <v>1011</v>
      </c>
      <c r="O55" t="s">
        <v>337</v>
      </c>
      <c r="P55" t="s">
        <v>337</v>
      </c>
      <c r="Q55">
        <v>1</v>
      </c>
      <c r="W55">
        <v>0</v>
      </c>
      <c r="X55">
        <v>1645565003</v>
      </c>
      <c r="Y55">
        <f>(AT55*1.1)</f>
        <v>1.0230000000000001</v>
      </c>
      <c r="AA55">
        <v>0</v>
      </c>
      <c r="AB55">
        <v>4.3</v>
      </c>
      <c r="AC55">
        <v>0</v>
      </c>
      <c r="AD55">
        <v>0</v>
      </c>
      <c r="AE55">
        <v>0</v>
      </c>
      <c r="AF55">
        <v>0.47</v>
      </c>
      <c r="AG55">
        <v>0</v>
      </c>
      <c r="AH55">
        <v>0</v>
      </c>
      <c r="AI55">
        <v>1</v>
      </c>
      <c r="AJ55">
        <v>8.74</v>
      </c>
      <c r="AK55">
        <v>54.99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0.93</v>
      </c>
      <c r="AU55" t="s">
        <v>26</v>
      </c>
      <c r="AV55">
        <v>0</v>
      </c>
      <c r="AW55">
        <v>2</v>
      </c>
      <c r="AX55">
        <v>59213853</v>
      </c>
      <c r="AY55">
        <v>1</v>
      </c>
      <c r="AZ55">
        <v>0</v>
      </c>
      <c r="BA55">
        <v>60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ROUND(Y55*Source!I51*DO55,9)</f>
        <v>0</v>
      </c>
      <c r="CX55">
        <f>ROUND(Y55*Source!I51,9)</f>
        <v>4.2965999999999998</v>
      </c>
      <c r="CY55">
        <f>AB55</f>
        <v>4.3</v>
      </c>
      <c r="CZ55">
        <f>AF55</f>
        <v>0.47</v>
      </c>
      <c r="DA55">
        <f>AJ55</f>
        <v>8.74</v>
      </c>
      <c r="DB55">
        <f>ROUND((ROUND(AT55*CZ55,2)*1.1),6)</f>
        <v>0.48399999999999999</v>
      </c>
      <c r="DC55">
        <f>ROUND((ROUND(AT55*AG55,2)*1.1),6)</f>
        <v>0</v>
      </c>
      <c r="DD55" t="s">
        <v>3</v>
      </c>
      <c r="DE55" t="s">
        <v>3</v>
      </c>
      <c r="DF55">
        <f t="shared" si="41"/>
        <v>0</v>
      </c>
      <c r="DG55">
        <f>ROUND(ROUND(AF55*AJ55,2)*CX55,2)</f>
        <v>17.66</v>
      </c>
      <c r="DH55">
        <f>ROUND(ROUND(AG55*AK55,2)*CX55,2)</f>
        <v>0</v>
      </c>
      <c r="DI55">
        <f t="shared" si="1"/>
        <v>0</v>
      </c>
      <c r="DJ55">
        <f>DG55</f>
        <v>17.66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ROW(Source!A51)</f>
        <v>51</v>
      </c>
      <c r="B56">
        <v>59213213</v>
      </c>
      <c r="C56">
        <v>59213389</v>
      </c>
      <c r="D56">
        <v>58310460</v>
      </c>
      <c r="E56">
        <v>1</v>
      </c>
      <c r="F56">
        <v>1</v>
      </c>
      <c r="G56">
        <v>1080</v>
      </c>
      <c r="H56">
        <v>3</v>
      </c>
      <c r="I56" t="s">
        <v>342</v>
      </c>
      <c r="J56" t="s">
        <v>343</v>
      </c>
      <c r="K56" t="s">
        <v>344</v>
      </c>
      <c r="L56">
        <v>1348</v>
      </c>
      <c r="N56">
        <v>1009</v>
      </c>
      <c r="O56" t="s">
        <v>345</v>
      </c>
      <c r="P56" t="s">
        <v>345</v>
      </c>
      <c r="Q56">
        <v>1000</v>
      </c>
      <c r="W56">
        <v>0</v>
      </c>
      <c r="X56">
        <v>1854293486</v>
      </c>
      <c r="Y56">
        <f>(AT56*1)</f>
        <v>1.7000000000000001E-4</v>
      </c>
      <c r="AA56">
        <v>103874.45</v>
      </c>
      <c r="AB56">
        <v>0</v>
      </c>
      <c r="AC56">
        <v>0</v>
      </c>
      <c r="AD56">
        <v>0</v>
      </c>
      <c r="AE56">
        <v>14327.51</v>
      </c>
      <c r="AF56">
        <v>0</v>
      </c>
      <c r="AG56">
        <v>0</v>
      </c>
      <c r="AH56">
        <v>0</v>
      </c>
      <c r="AI56">
        <v>7.25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1.7000000000000001E-4</v>
      </c>
      <c r="AU56" t="s">
        <v>25</v>
      </c>
      <c r="AV56">
        <v>0</v>
      </c>
      <c r="AW56">
        <v>2</v>
      </c>
      <c r="AX56">
        <v>59213854</v>
      </c>
      <c r="AY56">
        <v>1</v>
      </c>
      <c r="AZ56">
        <v>0</v>
      </c>
      <c r="BA56">
        <v>61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ROUND(Y56*Source!I51,9)</f>
        <v>7.1400000000000001E-4</v>
      </c>
      <c r="CY56">
        <f>AA56</f>
        <v>103874.45</v>
      </c>
      <c r="CZ56">
        <f>AE56</f>
        <v>14327.51</v>
      </c>
      <c r="DA56">
        <f>AI56</f>
        <v>7.25</v>
      </c>
      <c r="DB56">
        <f>ROUND((ROUND(AT56*CZ56,2)*1),6)</f>
        <v>2.44</v>
      </c>
      <c r="DC56">
        <f>ROUND((ROUND(AT56*AG56,2)*1),6)</f>
        <v>0</v>
      </c>
      <c r="DD56" t="s">
        <v>3</v>
      </c>
      <c r="DE56" t="s">
        <v>3</v>
      </c>
      <c r="DF56">
        <f>ROUND(ROUND(AE56*AI56,2)*CX56,2)</f>
        <v>74.17</v>
      </c>
      <c r="DG56">
        <f t="shared" ref="DG56:DG80" si="42">ROUND(ROUND(AF56,2)*CX56,2)</f>
        <v>0</v>
      </c>
      <c r="DH56">
        <f t="shared" ref="DH56:DH80" si="43">ROUND(ROUND(AG56,2)*CX56,2)</f>
        <v>0</v>
      </c>
      <c r="DI56">
        <f t="shared" si="1"/>
        <v>0</v>
      </c>
      <c r="DJ56">
        <f>DF56</f>
        <v>74.17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ROW(Source!A54)</f>
        <v>54</v>
      </c>
      <c r="B57">
        <v>59213216</v>
      </c>
      <c r="C57">
        <v>59213402</v>
      </c>
      <c r="D57">
        <v>58266404</v>
      </c>
      <c r="E57">
        <v>1080</v>
      </c>
      <c r="F57">
        <v>1</v>
      </c>
      <c r="G57">
        <v>1080</v>
      </c>
      <c r="H57">
        <v>1</v>
      </c>
      <c r="I57" t="s">
        <v>331</v>
      </c>
      <c r="J57" t="s">
        <v>3</v>
      </c>
      <c r="K57" t="s">
        <v>332</v>
      </c>
      <c r="L57">
        <v>1191</v>
      </c>
      <c r="N57">
        <v>1013</v>
      </c>
      <c r="O57" t="s">
        <v>333</v>
      </c>
      <c r="P57" t="s">
        <v>333</v>
      </c>
      <c r="Q57">
        <v>1</v>
      </c>
      <c r="W57">
        <v>0</v>
      </c>
      <c r="X57">
        <v>476480486</v>
      </c>
      <c r="Y57">
        <f>(AT57*1.1)</f>
        <v>1.1000000000000001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</v>
      </c>
      <c r="AU57" t="s">
        <v>26</v>
      </c>
      <c r="AV57">
        <v>1</v>
      </c>
      <c r="AW57">
        <v>2</v>
      </c>
      <c r="AX57">
        <v>59213856</v>
      </c>
      <c r="AY57">
        <v>1</v>
      </c>
      <c r="AZ57">
        <v>0</v>
      </c>
      <c r="BA57">
        <v>63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ROUND(AT57*Source!I54*AH57*AL57,2)</f>
        <v>0</v>
      </c>
      <c r="CV57">
        <f>ROUND(Y57*Source!I54,9)</f>
        <v>13.2</v>
      </c>
      <c r="CW57">
        <v>0</v>
      </c>
      <c r="CX57">
        <f>ROUND(Y57*Source!I54,9)</f>
        <v>13.2</v>
      </c>
      <c r="CY57">
        <f>AD57</f>
        <v>0</v>
      </c>
      <c r="CZ57">
        <f>AH57</f>
        <v>0</v>
      </c>
      <c r="DA57">
        <f>AL57</f>
        <v>1</v>
      </c>
      <c r="DB57">
        <f>ROUND((ROUND(AT57*CZ57,2)*1.1),6)</f>
        <v>0</v>
      </c>
      <c r="DC57">
        <f>ROUND((ROUND(AT57*AG57,2)*1.1),6)</f>
        <v>0</v>
      </c>
      <c r="DD57" t="s">
        <v>3</v>
      </c>
      <c r="DE57" t="s">
        <v>3</v>
      </c>
      <c r="DF57">
        <f>ROUND(ROUND(AE57,2)*CX57,2)</f>
        <v>0</v>
      </c>
      <c r="DG57">
        <f t="shared" si="42"/>
        <v>0</v>
      </c>
      <c r="DH57">
        <f t="shared" si="43"/>
        <v>0</v>
      </c>
      <c r="DI57">
        <f t="shared" si="1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ROW(Source!A54)</f>
        <v>54</v>
      </c>
      <c r="B58">
        <v>59213216</v>
      </c>
      <c r="C58">
        <v>59213402</v>
      </c>
      <c r="D58">
        <v>58309371</v>
      </c>
      <c r="E58">
        <v>1</v>
      </c>
      <c r="F58">
        <v>1</v>
      </c>
      <c r="G58">
        <v>1080</v>
      </c>
      <c r="H58">
        <v>3</v>
      </c>
      <c r="I58" t="s">
        <v>391</v>
      </c>
      <c r="J58" t="s">
        <v>392</v>
      </c>
      <c r="K58" t="s">
        <v>393</v>
      </c>
      <c r="L58">
        <v>1348</v>
      </c>
      <c r="N58">
        <v>1009</v>
      </c>
      <c r="O58" t="s">
        <v>345</v>
      </c>
      <c r="P58" t="s">
        <v>345</v>
      </c>
      <c r="Q58">
        <v>1000</v>
      </c>
      <c r="W58">
        <v>0</v>
      </c>
      <c r="X58">
        <v>-1945031955</v>
      </c>
      <c r="Y58">
        <f>(AT58*1)</f>
        <v>1.0000000000000001E-5</v>
      </c>
      <c r="AA58">
        <v>64123.05</v>
      </c>
      <c r="AB58">
        <v>0</v>
      </c>
      <c r="AC58">
        <v>0</v>
      </c>
      <c r="AD58">
        <v>0</v>
      </c>
      <c r="AE58">
        <v>64123.05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1.0000000000000001E-5</v>
      </c>
      <c r="AU58" t="s">
        <v>25</v>
      </c>
      <c r="AV58">
        <v>0</v>
      </c>
      <c r="AW58">
        <v>2</v>
      </c>
      <c r="AX58">
        <v>59213857</v>
      </c>
      <c r="AY58">
        <v>1</v>
      </c>
      <c r="AZ58">
        <v>0</v>
      </c>
      <c r="BA58">
        <v>64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ROUND(Y58*Source!I54,9)</f>
        <v>1.2E-4</v>
      </c>
      <c r="CY58">
        <f>AA58</f>
        <v>64123.05</v>
      </c>
      <c r="CZ58">
        <f>AE58</f>
        <v>64123.05</v>
      </c>
      <c r="DA58">
        <f>AI58</f>
        <v>1</v>
      </c>
      <c r="DB58">
        <f>ROUND((ROUND(AT58*CZ58,2)*1),6)</f>
        <v>0.64</v>
      </c>
      <c r="DC58">
        <f>ROUND((ROUND(AT58*AG58,2)*1),6)</f>
        <v>0</v>
      </c>
      <c r="DD58" t="s">
        <v>3</v>
      </c>
      <c r="DE58" t="s">
        <v>3</v>
      </c>
      <c r="DF58">
        <f>ROUND(ROUND(AE58,2)*CX58,2)</f>
        <v>7.69</v>
      </c>
      <c r="DG58">
        <f t="shared" si="42"/>
        <v>0</v>
      </c>
      <c r="DH58">
        <f t="shared" si="43"/>
        <v>0</v>
      </c>
      <c r="DI58">
        <f t="shared" si="1"/>
        <v>0</v>
      </c>
      <c r="DJ58">
        <f>DF58</f>
        <v>7.69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ROW(Source!A54)</f>
        <v>54</v>
      </c>
      <c r="B59">
        <v>59213216</v>
      </c>
      <c r="C59">
        <v>59213402</v>
      </c>
      <c r="D59">
        <v>58338311</v>
      </c>
      <c r="E59">
        <v>1</v>
      </c>
      <c r="F59">
        <v>1</v>
      </c>
      <c r="G59">
        <v>1080</v>
      </c>
      <c r="H59">
        <v>3</v>
      </c>
      <c r="I59" t="s">
        <v>394</v>
      </c>
      <c r="J59" t="s">
        <v>395</v>
      </c>
      <c r="K59" t="s">
        <v>396</v>
      </c>
      <c r="L59">
        <v>1303</v>
      </c>
      <c r="N59">
        <v>1003</v>
      </c>
      <c r="O59" t="s">
        <v>256</v>
      </c>
      <c r="P59" t="s">
        <v>256</v>
      </c>
      <c r="Q59">
        <v>1000</v>
      </c>
      <c r="W59">
        <v>0</v>
      </c>
      <c r="X59">
        <v>-1667960223</v>
      </c>
      <c r="Y59">
        <f>(AT59*1)</f>
        <v>2E-3</v>
      </c>
      <c r="AA59">
        <v>516.63</v>
      </c>
      <c r="AB59">
        <v>0</v>
      </c>
      <c r="AC59">
        <v>0</v>
      </c>
      <c r="AD59">
        <v>0</v>
      </c>
      <c r="AE59">
        <v>516.63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2E-3</v>
      </c>
      <c r="AU59" t="s">
        <v>25</v>
      </c>
      <c r="AV59">
        <v>0</v>
      </c>
      <c r="AW59">
        <v>2</v>
      </c>
      <c r="AX59">
        <v>59213858</v>
      </c>
      <c r="AY59">
        <v>1</v>
      </c>
      <c r="AZ59">
        <v>0</v>
      </c>
      <c r="BA59">
        <v>65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ROUND(Y59*Source!I54,9)</f>
        <v>2.4E-2</v>
      </c>
      <c r="CY59">
        <f>AA59</f>
        <v>516.63</v>
      </c>
      <c r="CZ59">
        <f>AE59</f>
        <v>516.63</v>
      </c>
      <c r="DA59">
        <f>AI59</f>
        <v>1</v>
      </c>
      <c r="DB59">
        <f>ROUND((ROUND(AT59*CZ59,2)*1),6)</f>
        <v>1.03</v>
      </c>
      <c r="DC59">
        <f>ROUND((ROUND(AT59*AG59,2)*1),6)</f>
        <v>0</v>
      </c>
      <c r="DD59" t="s">
        <v>3</v>
      </c>
      <c r="DE59" t="s">
        <v>3</v>
      </c>
      <c r="DF59">
        <f>ROUND(ROUND(AE59,2)*CX59,2)</f>
        <v>12.4</v>
      </c>
      <c r="DG59">
        <f t="shared" si="42"/>
        <v>0</v>
      </c>
      <c r="DH59">
        <f t="shared" si="43"/>
        <v>0</v>
      </c>
      <c r="DI59">
        <f t="shared" si="1"/>
        <v>0</v>
      </c>
      <c r="DJ59">
        <f>DF59</f>
        <v>12.4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ROW(Source!A54)</f>
        <v>54</v>
      </c>
      <c r="B60">
        <v>59213216</v>
      </c>
      <c r="C60">
        <v>59213402</v>
      </c>
      <c r="D60">
        <v>0</v>
      </c>
      <c r="E60">
        <v>1080</v>
      </c>
      <c r="F60">
        <v>1</v>
      </c>
      <c r="G60">
        <v>1080</v>
      </c>
      <c r="H60">
        <v>3</v>
      </c>
      <c r="I60" t="s">
        <v>90</v>
      </c>
      <c r="J60" t="s">
        <v>3</v>
      </c>
      <c r="K60" t="s">
        <v>91</v>
      </c>
      <c r="L60">
        <v>1354</v>
      </c>
      <c r="N60">
        <v>1010</v>
      </c>
      <c r="O60" t="s">
        <v>34</v>
      </c>
      <c r="P60" t="s">
        <v>34</v>
      </c>
      <c r="Q60">
        <v>1</v>
      </c>
      <c r="W60">
        <v>0</v>
      </c>
      <c r="X60">
        <v>-871963031</v>
      </c>
      <c r="Y60">
        <f>AT60</f>
        <v>1</v>
      </c>
      <c r="AA60">
        <v>98.94</v>
      </c>
      <c r="AB60">
        <v>0</v>
      </c>
      <c r="AC60">
        <v>0</v>
      </c>
      <c r="AD60">
        <v>0</v>
      </c>
      <c r="AE60">
        <v>98.94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 t="s">
        <v>3</v>
      </c>
      <c r="AT60">
        <v>1</v>
      </c>
      <c r="AU60" t="s">
        <v>3</v>
      </c>
      <c r="AV60">
        <v>0</v>
      </c>
      <c r="AW60">
        <v>1</v>
      </c>
      <c r="AX60">
        <v>-1</v>
      </c>
      <c r="AY60">
        <v>0</v>
      </c>
      <c r="AZ60">
        <v>0</v>
      </c>
      <c r="BA60" t="s">
        <v>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ROUND(Y60*Source!I54,9)</f>
        <v>12</v>
      </c>
      <c r="CY60">
        <f>AA60</f>
        <v>98.94</v>
      </c>
      <c r="CZ60">
        <f>AE60</f>
        <v>98.94</v>
      </c>
      <c r="DA60">
        <f>AI60</f>
        <v>1</v>
      </c>
      <c r="DB60">
        <f>ROUND(ROUND(AT60*CZ60,2),6)</f>
        <v>98.94</v>
      </c>
      <c r="DC60">
        <f>ROUND(ROUND(AT60*AG60,2),6)</f>
        <v>0</v>
      </c>
      <c r="DD60" t="s">
        <v>3</v>
      </c>
      <c r="DE60" t="s">
        <v>3</v>
      </c>
      <c r="DF60">
        <f>ROUND(ROUND(AE60,2)*CX60,2)</f>
        <v>1187.28</v>
      </c>
      <c r="DG60">
        <f t="shared" si="42"/>
        <v>0</v>
      </c>
      <c r="DH60">
        <f t="shared" si="43"/>
        <v>0</v>
      </c>
      <c r="DI60">
        <f t="shared" si="1"/>
        <v>0</v>
      </c>
      <c r="DJ60">
        <f>DF60</f>
        <v>1187.28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ROW(Source!A55)</f>
        <v>55</v>
      </c>
      <c r="B61">
        <v>59213213</v>
      </c>
      <c r="C61">
        <v>59213402</v>
      </c>
      <c r="D61">
        <v>58266404</v>
      </c>
      <c r="E61">
        <v>1080</v>
      </c>
      <c r="F61">
        <v>1</v>
      </c>
      <c r="G61">
        <v>1080</v>
      </c>
      <c r="H61">
        <v>1</v>
      </c>
      <c r="I61" t="s">
        <v>331</v>
      </c>
      <c r="J61" t="s">
        <v>3</v>
      </c>
      <c r="K61" t="s">
        <v>332</v>
      </c>
      <c r="L61">
        <v>1191</v>
      </c>
      <c r="N61">
        <v>1013</v>
      </c>
      <c r="O61" t="s">
        <v>333</v>
      </c>
      <c r="P61" t="s">
        <v>333</v>
      </c>
      <c r="Q61">
        <v>1</v>
      </c>
      <c r="W61">
        <v>0</v>
      </c>
      <c r="X61">
        <v>476480486</v>
      </c>
      <c r="Y61">
        <f>(AT61*1.1)</f>
        <v>1.1000000000000001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5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</v>
      </c>
      <c r="AU61" t="s">
        <v>26</v>
      </c>
      <c r="AV61">
        <v>1</v>
      </c>
      <c r="AW61">
        <v>2</v>
      </c>
      <c r="AX61">
        <v>59213856</v>
      </c>
      <c r="AY61">
        <v>1</v>
      </c>
      <c r="AZ61">
        <v>0</v>
      </c>
      <c r="BA61">
        <v>67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ROUND(AT61*Source!I55*AH61*AL61,2)</f>
        <v>0</v>
      </c>
      <c r="CV61">
        <f>ROUND(Y61*Source!I55,9)</f>
        <v>13.2</v>
      </c>
      <c r="CW61">
        <v>0</v>
      </c>
      <c r="CX61">
        <f>ROUND(Y61*Source!I55,9)</f>
        <v>13.2</v>
      </c>
      <c r="CY61">
        <f>AD61</f>
        <v>0</v>
      </c>
      <c r="CZ61">
        <f>AH61</f>
        <v>0</v>
      </c>
      <c r="DA61">
        <f>AL61</f>
        <v>1</v>
      </c>
      <c r="DB61">
        <f>ROUND((ROUND(AT61*CZ61,2)*1.1),6)</f>
        <v>0</v>
      </c>
      <c r="DC61">
        <f>ROUND((ROUND(AT61*AG61,2)*1.1),6)</f>
        <v>0</v>
      </c>
      <c r="DD61" t="s">
        <v>3</v>
      </c>
      <c r="DE61" t="s">
        <v>3</v>
      </c>
      <c r="DF61">
        <f>ROUND(ROUND(AE61,2)*CX61,2)</f>
        <v>0</v>
      </c>
      <c r="DG61">
        <f t="shared" si="42"/>
        <v>0</v>
      </c>
      <c r="DH61">
        <f t="shared" si="43"/>
        <v>0</v>
      </c>
      <c r="DI61">
        <f t="shared" si="1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ROW(Source!A55)</f>
        <v>55</v>
      </c>
      <c r="B62">
        <v>59213213</v>
      </c>
      <c r="C62">
        <v>59213402</v>
      </c>
      <c r="D62">
        <v>58309371</v>
      </c>
      <c r="E62">
        <v>1</v>
      </c>
      <c r="F62">
        <v>1</v>
      </c>
      <c r="G62">
        <v>1080</v>
      </c>
      <c r="H62">
        <v>3</v>
      </c>
      <c r="I62" t="s">
        <v>391</v>
      </c>
      <c r="J62" t="s">
        <v>392</v>
      </c>
      <c r="K62" t="s">
        <v>393</v>
      </c>
      <c r="L62">
        <v>1348</v>
      </c>
      <c r="N62">
        <v>1009</v>
      </c>
      <c r="O62" t="s">
        <v>345</v>
      </c>
      <c r="P62" t="s">
        <v>345</v>
      </c>
      <c r="Q62">
        <v>1000</v>
      </c>
      <c r="W62">
        <v>0</v>
      </c>
      <c r="X62">
        <v>-1945031955</v>
      </c>
      <c r="Y62">
        <f>(AT62*1)</f>
        <v>1.0000000000000001E-5</v>
      </c>
      <c r="AA62">
        <v>1930103.81</v>
      </c>
      <c r="AB62">
        <v>0</v>
      </c>
      <c r="AC62">
        <v>0</v>
      </c>
      <c r="AD62">
        <v>0</v>
      </c>
      <c r="AE62">
        <v>64123.05</v>
      </c>
      <c r="AF62">
        <v>0</v>
      </c>
      <c r="AG62">
        <v>0</v>
      </c>
      <c r="AH62">
        <v>0</v>
      </c>
      <c r="AI62">
        <v>30.1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1.0000000000000001E-5</v>
      </c>
      <c r="AU62" t="s">
        <v>25</v>
      </c>
      <c r="AV62">
        <v>0</v>
      </c>
      <c r="AW62">
        <v>2</v>
      </c>
      <c r="AX62">
        <v>59213857</v>
      </c>
      <c r="AY62">
        <v>1</v>
      </c>
      <c r="AZ62">
        <v>0</v>
      </c>
      <c r="BA62">
        <v>68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ROUND(Y62*Source!I55,9)</f>
        <v>1.2E-4</v>
      </c>
      <c r="CY62">
        <f>AA62</f>
        <v>1930103.81</v>
      </c>
      <c r="CZ62">
        <f>AE62</f>
        <v>64123.05</v>
      </c>
      <c r="DA62">
        <f>AI62</f>
        <v>30.1</v>
      </c>
      <c r="DB62">
        <f>ROUND((ROUND(AT62*CZ62,2)*1),6)</f>
        <v>0.64</v>
      </c>
      <c r="DC62">
        <f>ROUND((ROUND(AT62*AG62,2)*1),6)</f>
        <v>0</v>
      </c>
      <c r="DD62" t="s">
        <v>3</v>
      </c>
      <c r="DE62" t="s">
        <v>3</v>
      </c>
      <c r="DF62">
        <f>ROUND(ROUND(AE62*AI62,2)*CX62,2)</f>
        <v>231.61</v>
      </c>
      <c r="DG62">
        <f t="shared" si="42"/>
        <v>0</v>
      </c>
      <c r="DH62">
        <f t="shared" si="43"/>
        <v>0</v>
      </c>
      <c r="DI62">
        <f t="shared" si="1"/>
        <v>0</v>
      </c>
      <c r="DJ62">
        <f>DF62</f>
        <v>231.61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ROW(Source!A55)</f>
        <v>55</v>
      </c>
      <c r="B63">
        <v>59213213</v>
      </c>
      <c r="C63">
        <v>59213402</v>
      </c>
      <c r="D63">
        <v>58338311</v>
      </c>
      <c r="E63">
        <v>1</v>
      </c>
      <c r="F63">
        <v>1</v>
      </c>
      <c r="G63">
        <v>1080</v>
      </c>
      <c r="H63">
        <v>3</v>
      </c>
      <c r="I63" t="s">
        <v>394</v>
      </c>
      <c r="J63" t="s">
        <v>395</v>
      </c>
      <c r="K63" t="s">
        <v>396</v>
      </c>
      <c r="L63">
        <v>1303</v>
      </c>
      <c r="N63">
        <v>1003</v>
      </c>
      <c r="O63" t="s">
        <v>256</v>
      </c>
      <c r="P63" t="s">
        <v>256</v>
      </c>
      <c r="Q63">
        <v>1000</v>
      </c>
      <c r="W63">
        <v>0</v>
      </c>
      <c r="X63">
        <v>-1667960223</v>
      </c>
      <c r="Y63">
        <f>(AT63*1)</f>
        <v>2E-3</v>
      </c>
      <c r="AA63">
        <v>5889.58</v>
      </c>
      <c r="AB63">
        <v>0</v>
      </c>
      <c r="AC63">
        <v>0</v>
      </c>
      <c r="AD63">
        <v>0</v>
      </c>
      <c r="AE63">
        <v>516.63</v>
      </c>
      <c r="AF63">
        <v>0</v>
      </c>
      <c r="AG63">
        <v>0</v>
      </c>
      <c r="AH63">
        <v>0</v>
      </c>
      <c r="AI63">
        <v>11.4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2E-3</v>
      </c>
      <c r="AU63" t="s">
        <v>25</v>
      </c>
      <c r="AV63">
        <v>0</v>
      </c>
      <c r="AW63">
        <v>2</v>
      </c>
      <c r="AX63">
        <v>59213858</v>
      </c>
      <c r="AY63">
        <v>1</v>
      </c>
      <c r="AZ63">
        <v>0</v>
      </c>
      <c r="BA63">
        <v>69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ROUND(Y63*Source!I55,9)</f>
        <v>2.4E-2</v>
      </c>
      <c r="CY63">
        <f>AA63</f>
        <v>5889.58</v>
      </c>
      <c r="CZ63">
        <f>AE63</f>
        <v>516.63</v>
      </c>
      <c r="DA63">
        <f>AI63</f>
        <v>11.4</v>
      </c>
      <c r="DB63">
        <f>ROUND((ROUND(AT63*CZ63,2)*1),6)</f>
        <v>1.03</v>
      </c>
      <c r="DC63">
        <f>ROUND((ROUND(AT63*AG63,2)*1),6)</f>
        <v>0</v>
      </c>
      <c r="DD63" t="s">
        <v>3</v>
      </c>
      <c r="DE63" t="s">
        <v>3</v>
      </c>
      <c r="DF63">
        <f>ROUND(ROUND(AE63*AI63,2)*CX63,2)</f>
        <v>141.35</v>
      </c>
      <c r="DG63">
        <f t="shared" si="42"/>
        <v>0</v>
      </c>
      <c r="DH63">
        <f t="shared" si="43"/>
        <v>0</v>
      </c>
      <c r="DI63">
        <f t="shared" si="1"/>
        <v>0</v>
      </c>
      <c r="DJ63">
        <f>DF63</f>
        <v>141.35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ROW(Source!A55)</f>
        <v>55</v>
      </c>
      <c r="B64">
        <v>59213213</v>
      </c>
      <c r="C64">
        <v>59213402</v>
      </c>
      <c r="D64">
        <v>0</v>
      </c>
      <c r="E64">
        <v>1080</v>
      </c>
      <c r="F64">
        <v>1</v>
      </c>
      <c r="G64">
        <v>1080</v>
      </c>
      <c r="H64">
        <v>3</v>
      </c>
      <c r="I64" t="s">
        <v>90</v>
      </c>
      <c r="J64" t="s">
        <v>3</v>
      </c>
      <c r="K64" t="s">
        <v>91</v>
      </c>
      <c r="L64">
        <v>1354</v>
      </c>
      <c r="N64">
        <v>1010</v>
      </c>
      <c r="O64" t="s">
        <v>34</v>
      </c>
      <c r="P64" t="s">
        <v>34</v>
      </c>
      <c r="Q64">
        <v>1</v>
      </c>
      <c r="W64">
        <v>0</v>
      </c>
      <c r="X64">
        <v>-871963031</v>
      </c>
      <c r="Y64">
        <f>AT64</f>
        <v>1</v>
      </c>
      <c r="AA64">
        <v>977.53</v>
      </c>
      <c r="AB64">
        <v>0</v>
      </c>
      <c r="AC64">
        <v>0</v>
      </c>
      <c r="AD64">
        <v>0</v>
      </c>
      <c r="AE64">
        <v>98.94</v>
      </c>
      <c r="AF64">
        <v>0</v>
      </c>
      <c r="AG64">
        <v>0</v>
      </c>
      <c r="AH64">
        <v>0</v>
      </c>
      <c r="AI64">
        <v>9.8800000000000008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 t="s">
        <v>3</v>
      </c>
      <c r="AT64">
        <v>1</v>
      </c>
      <c r="AU64" t="s">
        <v>3</v>
      </c>
      <c r="AV64">
        <v>0</v>
      </c>
      <c r="AW64">
        <v>1</v>
      </c>
      <c r="AX64">
        <v>-1</v>
      </c>
      <c r="AY64">
        <v>0</v>
      </c>
      <c r="AZ64">
        <v>0</v>
      </c>
      <c r="BA64" t="s">
        <v>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ROUND(Y64*Source!I55,9)</f>
        <v>12</v>
      </c>
      <c r="CY64">
        <f>AA64</f>
        <v>977.53</v>
      </c>
      <c r="CZ64">
        <f>AE64</f>
        <v>98.94</v>
      </c>
      <c r="DA64">
        <f>AI64</f>
        <v>9.8800000000000008</v>
      </c>
      <c r="DB64">
        <f>ROUND(ROUND(AT64*CZ64,2),6)</f>
        <v>98.94</v>
      </c>
      <c r="DC64">
        <f>ROUND(ROUND(AT64*AG64,2),6)</f>
        <v>0</v>
      </c>
      <c r="DD64" t="s">
        <v>3</v>
      </c>
      <c r="DE64" t="s">
        <v>3</v>
      </c>
      <c r="DF64">
        <f>ROUND(ROUND(AE64*AI64,2)*CX64,2)</f>
        <v>11730.36</v>
      </c>
      <c r="DG64">
        <f t="shared" si="42"/>
        <v>0</v>
      </c>
      <c r="DH64">
        <f t="shared" si="43"/>
        <v>0</v>
      </c>
      <c r="DI64">
        <f t="shared" si="1"/>
        <v>0</v>
      </c>
      <c r="DJ64">
        <f>DF64</f>
        <v>11730.36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ROW(Source!A58)</f>
        <v>58</v>
      </c>
      <c r="B65">
        <v>59213216</v>
      </c>
      <c r="C65">
        <v>59213412</v>
      </c>
      <c r="D65">
        <v>58266404</v>
      </c>
      <c r="E65">
        <v>1080</v>
      </c>
      <c r="F65">
        <v>1</v>
      </c>
      <c r="G65">
        <v>1080</v>
      </c>
      <c r="H65">
        <v>1</v>
      </c>
      <c r="I65" t="s">
        <v>331</v>
      </c>
      <c r="J65" t="s">
        <v>3</v>
      </c>
      <c r="K65" t="s">
        <v>332</v>
      </c>
      <c r="L65">
        <v>1191</v>
      </c>
      <c r="N65">
        <v>1013</v>
      </c>
      <c r="O65" t="s">
        <v>333</v>
      </c>
      <c r="P65" t="s">
        <v>333</v>
      </c>
      <c r="Q65">
        <v>1</v>
      </c>
      <c r="W65">
        <v>0</v>
      </c>
      <c r="X65">
        <v>476480486</v>
      </c>
      <c r="Y65">
        <f>(AT65*1.1)</f>
        <v>1.1000000000000001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</v>
      </c>
      <c r="AU65" t="s">
        <v>26</v>
      </c>
      <c r="AV65">
        <v>1</v>
      </c>
      <c r="AW65">
        <v>2</v>
      </c>
      <c r="AX65">
        <v>59213860</v>
      </c>
      <c r="AY65">
        <v>1</v>
      </c>
      <c r="AZ65">
        <v>0</v>
      </c>
      <c r="BA65">
        <v>71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ROUND(AT65*Source!I58*AH65*AL65,2)</f>
        <v>0</v>
      </c>
      <c r="CV65">
        <f>ROUND(Y65*Source!I58,9)</f>
        <v>29.7</v>
      </c>
      <c r="CW65">
        <v>0</v>
      </c>
      <c r="CX65">
        <f>ROUND(Y65*Source!I58,9)</f>
        <v>29.7</v>
      </c>
      <c r="CY65">
        <f>AD65</f>
        <v>0</v>
      </c>
      <c r="CZ65">
        <f>AH65</f>
        <v>0</v>
      </c>
      <c r="DA65">
        <f>AL65</f>
        <v>1</v>
      </c>
      <c r="DB65">
        <f>ROUND((ROUND(AT65*CZ65,2)*1.1),6)</f>
        <v>0</v>
      </c>
      <c r="DC65">
        <f>ROUND((ROUND(AT65*AG65,2)*1.1),6)</f>
        <v>0</v>
      </c>
      <c r="DD65" t="s">
        <v>3</v>
      </c>
      <c r="DE65" t="s">
        <v>3</v>
      </c>
      <c r="DF65">
        <f>ROUND(ROUND(AE65,2)*CX65,2)</f>
        <v>0</v>
      </c>
      <c r="DG65">
        <f t="shared" si="42"/>
        <v>0</v>
      </c>
      <c r="DH65">
        <f t="shared" si="43"/>
        <v>0</v>
      </c>
      <c r="DI65">
        <f t="shared" ref="DI65:DI128" si="44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ROW(Source!A58)</f>
        <v>58</v>
      </c>
      <c r="B66">
        <v>59213216</v>
      </c>
      <c r="C66">
        <v>59213412</v>
      </c>
      <c r="D66">
        <v>58271406</v>
      </c>
      <c r="E66">
        <v>1080</v>
      </c>
      <c r="F66">
        <v>1</v>
      </c>
      <c r="G66">
        <v>1080</v>
      </c>
      <c r="H66">
        <v>3</v>
      </c>
      <c r="I66" t="s">
        <v>397</v>
      </c>
      <c r="J66" t="s">
        <v>3</v>
      </c>
      <c r="K66" t="s">
        <v>398</v>
      </c>
      <c r="L66">
        <v>1348</v>
      </c>
      <c r="N66">
        <v>1009</v>
      </c>
      <c r="O66" t="s">
        <v>345</v>
      </c>
      <c r="P66" t="s">
        <v>345</v>
      </c>
      <c r="Q66">
        <v>1000</v>
      </c>
      <c r="W66">
        <v>0</v>
      </c>
      <c r="X66">
        <v>-783086922</v>
      </c>
      <c r="Y66">
        <f>(AT66*1)</f>
        <v>1.6000000000000001E-4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1.6000000000000001E-4</v>
      </c>
      <c r="AU66" t="s">
        <v>25</v>
      </c>
      <c r="AV66">
        <v>0</v>
      </c>
      <c r="AW66">
        <v>2</v>
      </c>
      <c r="AX66">
        <v>59213862</v>
      </c>
      <c r="AY66">
        <v>1</v>
      </c>
      <c r="AZ66">
        <v>0</v>
      </c>
      <c r="BA66">
        <v>73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ROUND(Y66*Source!I58,9)</f>
        <v>4.3200000000000001E-3</v>
      </c>
      <c r="CY66">
        <f>AA66</f>
        <v>0</v>
      </c>
      <c r="CZ66">
        <f>AE66</f>
        <v>0</v>
      </c>
      <c r="DA66">
        <f>AI66</f>
        <v>1</v>
      </c>
      <c r="DB66">
        <f>ROUND((ROUND(AT66*CZ66,2)*1),6)</f>
        <v>0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</v>
      </c>
      <c r="DG66">
        <f t="shared" si="42"/>
        <v>0</v>
      </c>
      <c r="DH66">
        <f t="shared" si="43"/>
        <v>0</v>
      </c>
      <c r="DI66">
        <f t="shared" si="44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ROW(Source!A59)</f>
        <v>59</v>
      </c>
      <c r="B67">
        <v>59213213</v>
      </c>
      <c r="C67">
        <v>59213412</v>
      </c>
      <c r="D67">
        <v>58266404</v>
      </c>
      <c r="E67">
        <v>1080</v>
      </c>
      <c r="F67">
        <v>1</v>
      </c>
      <c r="G67">
        <v>1080</v>
      </c>
      <c r="H67">
        <v>1</v>
      </c>
      <c r="I67" t="s">
        <v>331</v>
      </c>
      <c r="J67" t="s">
        <v>3</v>
      </c>
      <c r="K67" t="s">
        <v>332</v>
      </c>
      <c r="L67">
        <v>1191</v>
      </c>
      <c r="N67">
        <v>1013</v>
      </c>
      <c r="O67" t="s">
        <v>333</v>
      </c>
      <c r="P67" t="s">
        <v>333</v>
      </c>
      <c r="Q67">
        <v>1</v>
      </c>
      <c r="W67">
        <v>0</v>
      </c>
      <c r="X67">
        <v>476480486</v>
      </c>
      <c r="Y67">
        <f>(AT67*1.1)</f>
        <v>1.1000000000000001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</v>
      </c>
      <c r="AU67" t="s">
        <v>26</v>
      </c>
      <c r="AV67">
        <v>1</v>
      </c>
      <c r="AW67">
        <v>2</v>
      </c>
      <c r="AX67">
        <v>59213860</v>
      </c>
      <c r="AY67">
        <v>1</v>
      </c>
      <c r="AZ67">
        <v>0</v>
      </c>
      <c r="BA67">
        <v>74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ROUND(AT67*Source!I59*AH67*AL67,2)</f>
        <v>0</v>
      </c>
      <c r="CV67">
        <f>ROUND(Y67*Source!I59,9)</f>
        <v>29.7</v>
      </c>
      <c r="CW67">
        <v>0</v>
      </c>
      <c r="CX67">
        <f>ROUND(Y67*Source!I59,9)</f>
        <v>29.7</v>
      </c>
      <c r="CY67">
        <f>AD67</f>
        <v>0</v>
      </c>
      <c r="CZ67">
        <f>AH67</f>
        <v>0</v>
      </c>
      <c r="DA67">
        <f>AL67</f>
        <v>1</v>
      </c>
      <c r="DB67">
        <f>ROUND((ROUND(AT67*CZ67,2)*1.1),6)</f>
        <v>0</v>
      </c>
      <c r="DC67">
        <f>ROUND((ROUND(AT67*AG67,2)*1.1),6)</f>
        <v>0</v>
      </c>
      <c r="DD67" t="s">
        <v>3</v>
      </c>
      <c r="DE67" t="s">
        <v>3</v>
      </c>
      <c r="DF67">
        <f>ROUND(ROUND(AE67,2)*CX67,2)</f>
        <v>0</v>
      </c>
      <c r="DG67">
        <f t="shared" si="42"/>
        <v>0</v>
      </c>
      <c r="DH67">
        <f t="shared" si="43"/>
        <v>0</v>
      </c>
      <c r="DI67">
        <f t="shared" si="44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ROW(Source!A59)</f>
        <v>59</v>
      </c>
      <c r="B68">
        <v>59213213</v>
      </c>
      <c r="C68">
        <v>59213412</v>
      </c>
      <c r="D68">
        <v>58271406</v>
      </c>
      <c r="E68">
        <v>1080</v>
      </c>
      <c r="F68">
        <v>1</v>
      </c>
      <c r="G68">
        <v>1080</v>
      </c>
      <c r="H68">
        <v>3</v>
      </c>
      <c r="I68" t="s">
        <v>397</v>
      </c>
      <c r="J68" t="s">
        <v>3</v>
      </c>
      <c r="K68" t="s">
        <v>398</v>
      </c>
      <c r="L68">
        <v>1348</v>
      </c>
      <c r="N68">
        <v>1009</v>
      </c>
      <c r="O68" t="s">
        <v>345</v>
      </c>
      <c r="P68" t="s">
        <v>345</v>
      </c>
      <c r="Q68">
        <v>1000</v>
      </c>
      <c r="W68">
        <v>0</v>
      </c>
      <c r="X68">
        <v>-783086922</v>
      </c>
      <c r="Y68">
        <f>(AT68*1)</f>
        <v>1.6000000000000001E-4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9.8800000000000008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1.6000000000000001E-4</v>
      </c>
      <c r="AU68" t="s">
        <v>25</v>
      </c>
      <c r="AV68">
        <v>0</v>
      </c>
      <c r="AW68">
        <v>2</v>
      </c>
      <c r="AX68">
        <v>59213862</v>
      </c>
      <c r="AY68">
        <v>1</v>
      </c>
      <c r="AZ68">
        <v>0</v>
      </c>
      <c r="BA68">
        <v>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ROUND(Y68*Source!I59,9)</f>
        <v>4.3200000000000001E-3</v>
      </c>
      <c r="CY68">
        <f>AA68</f>
        <v>0</v>
      </c>
      <c r="CZ68">
        <f>AE68</f>
        <v>0</v>
      </c>
      <c r="DA68">
        <f>AI68</f>
        <v>9.8800000000000008</v>
      </c>
      <c r="DB68">
        <f>ROUND((ROUND(AT68*CZ68,2)*1),6)</f>
        <v>0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42"/>
        <v>0</v>
      </c>
      <c r="DH68">
        <f t="shared" si="43"/>
        <v>0</v>
      </c>
      <c r="DI68">
        <f t="shared" si="44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ROW(Source!A62)</f>
        <v>62</v>
      </c>
      <c r="B69">
        <v>59213216</v>
      </c>
      <c r="C69">
        <v>59213419</v>
      </c>
      <c r="D69">
        <v>58266404</v>
      </c>
      <c r="E69">
        <v>1080</v>
      </c>
      <c r="F69">
        <v>1</v>
      </c>
      <c r="G69">
        <v>1080</v>
      </c>
      <c r="H69">
        <v>1</v>
      </c>
      <c r="I69" t="s">
        <v>331</v>
      </c>
      <c r="J69" t="s">
        <v>3</v>
      </c>
      <c r="K69" t="s">
        <v>332</v>
      </c>
      <c r="L69">
        <v>1191</v>
      </c>
      <c r="N69">
        <v>1013</v>
      </c>
      <c r="O69" t="s">
        <v>333</v>
      </c>
      <c r="P69" t="s">
        <v>333</v>
      </c>
      <c r="Q69">
        <v>1</v>
      </c>
      <c r="W69">
        <v>0</v>
      </c>
      <c r="X69">
        <v>476480486</v>
      </c>
      <c r="Y69">
        <f>(AT69*1.1)</f>
        <v>3.4980000000000007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3.18</v>
      </c>
      <c r="AU69" t="s">
        <v>26</v>
      </c>
      <c r="AV69">
        <v>1</v>
      </c>
      <c r="AW69">
        <v>2</v>
      </c>
      <c r="AX69">
        <v>59213863</v>
      </c>
      <c r="AY69">
        <v>1</v>
      </c>
      <c r="AZ69">
        <v>0</v>
      </c>
      <c r="BA69">
        <v>77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ROUND(AT69*Source!I62*AH69*AL69,2)</f>
        <v>0</v>
      </c>
      <c r="CV69">
        <f>ROUND(Y69*Source!I62,9)</f>
        <v>6.9960000000000004</v>
      </c>
      <c r="CW69">
        <v>0</v>
      </c>
      <c r="CX69">
        <f>ROUND(Y69*Source!I62,9)</f>
        <v>6.9960000000000004</v>
      </c>
      <c r="CY69">
        <f>AD69</f>
        <v>0</v>
      </c>
      <c r="CZ69">
        <f>AH69</f>
        <v>0</v>
      </c>
      <c r="DA69">
        <f>AL69</f>
        <v>1</v>
      </c>
      <c r="DB69">
        <f>ROUND((ROUND(AT69*CZ69,2)*1.1),6)</f>
        <v>0</v>
      </c>
      <c r="DC69">
        <f>ROUND((ROUND(AT69*AG69,2)*1.1),6)</f>
        <v>0</v>
      </c>
      <c r="DD69" t="s">
        <v>3</v>
      </c>
      <c r="DE69" t="s">
        <v>3</v>
      </c>
      <c r="DF69">
        <f>ROUND(ROUND(AE69,2)*CX69,2)</f>
        <v>0</v>
      </c>
      <c r="DG69">
        <f t="shared" si="42"/>
        <v>0</v>
      </c>
      <c r="DH69">
        <f t="shared" si="43"/>
        <v>0</v>
      </c>
      <c r="DI69">
        <f t="shared" si="44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ROW(Source!A62)</f>
        <v>62</v>
      </c>
      <c r="B70">
        <v>59213216</v>
      </c>
      <c r="C70">
        <v>59213419</v>
      </c>
      <c r="D70">
        <v>58310652</v>
      </c>
      <c r="E70">
        <v>1</v>
      </c>
      <c r="F70">
        <v>1</v>
      </c>
      <c r="G70">
        <v>1080</v>
      </c>
      <c r="H70">
        <v>3</v>
      </c>
      <c r="I70" t="s">
        <v>399</v>
      </c>
      <c r="J70" t="s">
        <v>400</v>
      </c>
      <c r="K70" t="s">
        <v>401</v>
      </c>
      <c r="L70">
        <v>1346</v>
      </c>
      <c r="N70">
        <v>1009</v>
      </c>
      <c r="O70" t="s">
        <v>244</v>
      </c>
      <c r="P70" t="s">
        <v>244</v>
      </c>
      <c r="Q70">
        <v>1</v>
      </c>
      <c r="W70">
        <v>0</v>
      </c>
      <c r="X70">
        <v>1225168167</v>
      </c>
      <c r="Y70">
        <f>(AT70*1)</f>
        <v>6.2700000000000004E-3</v>
      </c>
      <c r="AA70">
        <v>27.62</v>
      </c>
      <c r="AB70">
        <v>0</v>
      </c>
      <c r="AC70">
        <v>0</v>
      </c>
      <c r="AD70">
        <v>0</v>
      </c>
      <c r="AE70">
        <v>27.62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6.2700000000000004E-3</v>
      </c>
      <c r="AU70" t="s">
        <v>25</v>
      </c>
      <c r="AV70">
        <v>0</v>
      </c>
      <c r="AW70">
        <v>2</v>
      </c>
      <c r="AX70">
        <v>59213864</v>
      </c>
      <c r="AY70">
        <v>1</v>
      </c>
      <c r="AZ70">
        <v>0</v>
      </c>
      <c r="BA70">
        <v>78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ROUND(Y70*Source!I62,9)</f>
        <v>1.2540000000000001E-2</v>
      </c>
      <c r="CY70">
        <f>AA70</f>
        <v>27.62</v>
      </c>
      <c r="CZ70">
        <f>AE70</f>
        <v>27.62</v>
      </c>
      <c r="DA70">
        <f>AI70</f>
        <v>1</v>
      </c>
      <c r="DB70">
        <f>ROUND((ROUND(AT70*CZ70,2)*1),6)</f>
        <v>0.17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0.35</v>
      </c>
      <c r="DG70">
        <f t="shared" si="42"/>
        <v>0</v>
      </c>
      <c r="DH70">
        <f t="shared" si="43"/>
        <v>0</v>
      </c>
      <c r="DI70">
        <f t="shared" si="44"/>
        <v>0</v>
      </c>
      <c r="DJ70">
        <f>DF70</f>
        <v>0.35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ROW(Source!A62)</f>
        <v>62</v>
      </c>
      <c r="B71">
        <v>59213216</v>
      </c>
      <c r="C71">
        <v>59213419</v>
      </c>
      <c r="D71">
        <v>58309371</v>
      </c>
      <c r="E71">
        <v>1</v>
      </c>
      <c r="F71">
        <v>1</v>
      </c>
      <c r="G71">
        <v>1080</v>
      </c>
      <c r="H71">
        <v>3</v>
      </c>
      <c r="I71" t="s">
        <v>391</v>
      </c>
      <c r="J71" t="s">
        <v>392</v>
      </c>
      <c r="K71" t="s">
        <v>393</v>
      </c>
      <c r="L71">
        <v>1348</v>
      </c>
      <c r="N71">
        <v>1009</v>
      </c>
      <c r="O71" t="s">
        <v>345</v>
      </c>
      <c r="P71" t="s">
        <v>345</v>
      </c>
      <c r="Q71">
        <v>1000</v>
      </c>
      <c r="W71">
        <v>0</v>
      </c>
      <c r="X71">
        <v>-1945031955</v>
      </c>
      <c r="Y71">
        <f>(AT71*1)</f>
        <v>1.0000000000000001E-5</v>
      </c>
      <c r="AA71">
        <v>64123.05</v>
      </c>
      <c r="AB71">
        <v>0</v>
      </c>
      <c r="AC71">
        <v>0</v>
      </c>
      <c r="AD71">
        <v>0</v>
      </c>
      <c r="AE71">
        <v>64123.05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1.0000000000000001E-5</v>
      </c>
      <c r="AU71" t="s">
        <v>25</v>
      </c>
      <c r="AV71">
        <v>0</v>
      </c>
      <c r="AW71">
        <v>2</v>
      </c>
      <c r="AX71">
        <v>59213865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ROUND(Y71*Source!I62,9)</f>
        <v>2.0000000000000002E-5</v>
      </c>
      <c r="CY71">
        <f>AA71</f>
        <v>64123.05</v>
      </c>
      <c r="CZ71">
        <f>AE71</f>
        <v>64123.05</v>
      </c>
      <c r="DA71">
        <f>AI71</f>
        <v>1</v>
      </c>
      <c r="DB71">
        <f>ROUND((ROUND(AT71*CZ71,2)*1),6)</f>
        <v>0.64</v>
      </c>
      <c r="DC71">
        <f>ROUND((ROUND(AT71*AG71,2)*1),6)</f>
        <v>0</v>
      </c>
      <c r="DD71" t="s">
        <v>3</v>
      </c>
      <c r="DE71" t="s">
        <v>3</v>
      </c>
      <c r="DF71">
        <f>ROUND(ROUND(AE71,2)*CX71,2)</f>
        <v>1.28</v>
      </c>
      <c r="DG71">
        <f t="shared" si="42"/>
        <v>0</v>
      </c>
      <c r="DH71">
        <f t="shared" si="43"/>
        <v>0</v>
      </c>
      <c r="DI71">
        <f t="shared" si="44"/>
        <v>0</v>
      </c>
      <c r="DJ71">
        <f>DF71</f>
        <v>1.28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ROW(Source!A62)</f>
        <v>62</v>
      </c>
      <c r="B72">
        <v>59213216</v>
      </c>
      <c r="C72">
        <v>59213419</v>
      </c>
      <c r="D72">
        <v>58319263</v>
      </c>
      <c r="E72">
        <v>1</v>
      </c>
      <c r="F72">
        <v>1</v>
      </c>
      <c r="G72">
        <v>1080</v>
      </c>
      <c r="H72">
        <v>3</v>
      </c>
      <c r="I72" t="s">
        <v>402</v>
      </c>
      <c r="J72" t="s">
        <v>403</v>
      </c>
      <c r="K72" t="s">
        <v>404</v>
      </c>
      <c r="L72">
        <v>1354</v>
      </c>
      <c r="N72">
        <v>1010</v>
      </c>
      <c r="O72" t="s">
        <v>34</v>
      </c>
      <c r="P72" t="s">
        <v>34</v>
      </c>
      <c r="Q72">
        <v>1</v>
      </c>
      <c r="W72">
        <v>0</v>
      </c>
      <c r="X72">
        <v>314181591</v>
      </c>
      <c r="Y72">
        <f>(AT72*1)</f>
        <v>0.1</v>
      </c>
      <c r="AA72">
        <v>15.25</v>
      </c>
      <c r="AB72">
        <v>0</v>
      </c>
      <c r="AC72">
        <v>0</v>
      </c>
      <c r="AD72">
        <v>0</v>
      </c>
      <c r="AE72">
        <v>15.25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0.1</v>
      </c>
      <c r="AU72" t="s">
        <v>25</v>
      </c>
      <c r="AV72">
        <v>0</v>
      </c>
      <c r="AW72">
        <v>2</v>
      </c>
      <c r="AX72">
        <v>59213866</v>
      </c>
      <c r="AY72">
        <v>1</v>
      </c>
      <c r="AZ72">
        <v>0</v>
      </c>
      <c r="BA72">
        <v>80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ROUND(Y72*Source!I62,9)</f>
        <v>0.2</v>
      </c>
      <c r="CY72">
        <f>AA72</f>
        <v>15.25</v>
      </c>
      <c r="CZ72">
        <f>AE72</f>
        <v>15.25</v>
      </c>
      <c r="DA72">
        <f>AI72</f>
        <v>1</v>
      </c>
      <c r="DB72">
        <f>ROUND((ROUND(AT72*CZ72,2)*1),6)</f>
        <v>1.53</v>
      </c>
      <c r="DC72">
        <f>ROUND((ROUND(AT72*AG72,2)*1),6)</f>
        <v>0</v>
      </c>
      <c r="DD72" t="s">
        <v>3</v>
      </c>
      <c r="DE72" t="s">
        <v>3</v>
      </c>
      <c r="DF72">
        <f>ROUND(ROUND(AE72,2)*CX72,2)</f>
        <v>3.05</v>
      </c>
      <c r="DG72">
        <f t="shared" si="42"/>
        <v>0</v>
      </c>
      <c r="DH72">
        <f t="shared" si="43"/>
        <v>0</v>
      </c>
      <c r="DI72">
        <f t="shared" si="44"/>
        <v>0</v>
      </c>
      <c r="DJ72">
        <f>DF72</f>
        <v>3.05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ROW(Source!A63)</f>
        <v>63</v>
      </c>
      <c r="B73">
        <v>59213213</v>
      </c>
      <c r="C73">
        <v>59213419</v>
      </c>
      <c r="D73">
        <v>58266404</v>
      </c>
      <c r="E73">
        <v>1080</v>
      </c>
      <c r="F73">
        <v>1</v>
      </c>
      <c r="G73">
        <v>1080</v>
      </c>
      <c r="H73">
        <v>1</v>
      </c>
      <c r="I73" t="s">
        <v>331</v>
      </c>
      <c r="J73" t="s">
        <v>3</v>
      </c>
      <c r="K73" t="s">
        <v>332</v>
      </c>
      <c r="L73">
        <v>1191</v>
      </c>
      <c r="N73">
        <v>1013</v>
      </c>
      <c r="O73" t="s">
        <v>333</v>
      </c>
      <c r="P73" t="s">
        <v>333</v>
      </c>
      <c r="Q73">
        <v>1</v>
      </c>
      <c r="W73">
        <v>0</v>
      </c>
      <c r="X73">
        <v>476480486</v>
      </c>
      <c r="Y73">
        <f>(AT73*1.1)</f>
        <v>3.4980000000000007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5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3.18</v>
      </c>
      <c r="AU73" t="s">
        <v>26</v>
      </c>
      <c r="AV73">
        <v>1</v>
      </c>
      <c r="AW73">
        <v>2</v>
      </c>
      <c r="AX73">
        <v>59213863</v>
      </c>
      <c r="AY73">
        <v>1</v>
      </c>
      <c r="AZ73">
        <v>0</v>
      </c>
      <c r="BA73">
        <v>82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ROUND(AT73*Source!I63*AH73*AL73,2)</f>
        <v>0</v>
      </c>
      <c r="CV73">
        <f>ROUND(Y73*Source!I63,9)</f>
        <v>6.9960000000000004</v>
      </c>
      <c r="CW73">
        <v>0</v>
      </c>
      <c r="CX73">
        <f>ROUND(Y73*Source!I63,9)</f>
        <v>6.9960000000000004</v>
      </c>
      <c r="CY73">
        <f>AD73</f>
        <v>0</v>
      </c>
      <c r="CZ73">
        <f>AH73</f>
        <v>0</v>
      </c>
      <c r="DA73">
        <f>AL73</f>
        <v>1</v>
      </c>
      <c r="DB73">
        <f>ROUND((ROUND(AT73*CZ73,2)*1.1),6)</f>
        <v>0</v>
      </c>
      <c r="DC73">
        <f>ROUND((ROUND(AT73*AG73,2)*1.1),6)</f>
        <v>0</v>
      </c>
      <c r="DD73" t="s">
        <v>3</v>
      </c>
      <c r="DE73" t="s">
        <v>3</v>
      </c>
      <c r="DF73">
        <f>ROUND(ROUND(AE73,2)*CX73,2)</f>
        <v>0</v>
      </c>
      <c r="DG73">
        <f t="shared" si="42"/>
        <v>0</v>
      </c>
      <c r="DH73">
        <f t="shared" si="43"/>
        <v>0</v>
      </c>
      <c r="DI73">
        <f t="shared" si="44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ROW(Source!A63)</f>
        <v>63</v>
      </c>
      <c r="B74">
        <v>59213213</v>
      </c>
      <c r="C74">
        <v>59213419</v>
      </c>
      <c r="D74">
        <v>58310652</v>
      </c>
      <c r="E74">
        <v>1</v>
      </c>
      <c r="F74">
        <v>1</v>
      </c>
      <c r="G74">
        <v>1080</v>
      </c>
      <c r="H74">
        <v>3</v>
      </c>
      <c r="I74" t="s">
        <v>399</v>
      </c>
      <c r="J74" t="s">
        <v>400</v>
      </c>
      <c r="K74" t="s">
        <v>401</v>
      </c>
      <c r="L74">
        <v>1346</v>
      </c>
      <c r="N74">
        <v>1009</v>
      </c>
      <c r="O74" t="s">
        <v>244</v>
      </c>
      <c r="P74" t="s">
        <v>244</v>
      </c>
      <c r="Q74">
        <v>1</v>
      </c>
      <c r="W74">
        <v>0</v>
      </c>
      <c r="X74">
        <v>1225168167</v>
      </c>
      <c r="Y74">
        <f>(AT74*1)</f>
        <v>6.2700000000000004E-3</v>
      </c>
      <c r="AA74">
        <v>172.35</v>
      </c>
      <c r="AB74">
        <v>0</v>
      </c>
      <c r="AC74">
        <v>0</v>
      </c>
      <c r="AD74">
        <v>0</v>
      </c>
      <c r="AE74">
        <v>27.62</v>
      </c>
      <c r="AF74">
        <v>0</v>
      </c>
      <c r="AG74">
        <v>0</v>
      </c>
      <c r="AH74">
        <v>0</v>
      </c>
      <c r="AI74">
        <v>6.24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6.2700000000000004E-3</v>
      </c>
      <c r="AU74" t="s">
        <v>25</v>
      </c>
      <c r="AV74">
        <v>0</v>
      </c>
      <c r="AW74">
        <v>2</v>
      </c>
      <c r="AX74">
        <v>59213864</v>
      </c>
      <c r="AY74">
        <v>1</v>
      </c>
      <c r="AZ74">
        <v>0</v>
      </c>
      <c r="BA74">
        <v>83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ROUND(Y74*Source!I63,9)</f>
        <v>1.2540000000000001E-2</v>
      </c>
      <c r="CY74">
        <f>AA74</f>
        <v>172.35</v>
      </c>
      <c r="CZ74">
        <f>AE74</f>
        <v>27.62</v>
      </c>
      <c r="DA74">
        <f>AI74</f>
        <v>6.24</v>
      </c>
      <c r="DB74">
        <f>ROUND((ROUND(AT74*CZ74,2)*1),6)</f>
        <v>0.17</v>
      </c>
      <c r="DC74">
        <f>ROUND((ROUND(AT74*AG74,2)*1),6)</f>
        <v>0</v>
      </c>
      <c r="DD74" t="s">
        <v>3</v>
      </c>
      <c r="DE74" t="s">
        <v>3</v>
      </c>
      <c r="DF74">
        <f>ROUND(ROUND(AE74*AI74,2)*CX74,2)</f>
        <v>2.16</v>
      </c>
      <c r="DG74">
        <f t="shared" si="42"/>
        <v>0</v>
      </c>
      <c r="DH74">
        <f t="shared" si="43"/>
        <v>0</v>
      </c>
      <c r="DI74">
        <f t="shared" si="44"/>
        <v>0</v>
      </c>
      <c r="DJ74">
        <f>DF74</f>
        <v>2.16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ROW(Source!A63)</f>
        <v>63</v>
      </c>
      <c r="B75">
        <v>59213213</v>
      </c>
      <c r="C75">
        <v>59213419</v>
      </c>
      <c r="D75">
        <v>58309371</v>
      </c>
      <c r="E75">
        <v>1</v>
      </c>
      <c r="F75">
        <v>1</v>
      </c>
      <c r="G75">
        <v>1080</v>
      </c>
      <c r="H75">
        <v>3</v>
      </c>
      <c r="I75" t="s">
        <v>391</v>
      </c>
      <c r="J75" t="s">
        <v>392</v>
      </c>
      <c r="K75" t="s">
        <v>393</v>
      </c>
      <c r="L75">
        <v>1348</v>
      </c>
      <c r="N75">
        <v>1009</v>
      </c>
      <c r="O75" t="s">
        <v>345</v>
      </c>
      <c r="P75" t="s">
        <v>345</v>
      </c>
      <c r="Q75">
        <v>1000</v>
      </c>
      <c r="W75">
        <v>0</v>
      </c>
      <c r="X75">
        <v>-1945031955</v>
      </c>
      <c r="Y75">
        <f>(AT75*1)</f>
        <v>1.0000000000000001E-5</v>
      </c>
      <c r="AA75">
        <v>1930103.81</v>
      </c>
      <c r="AB75">
        <v>0</v>
      </c>
      <c r="AC75">
        <v>0</v>
      </c>
      <c r="AD75">
        <v>0</v>
      </c>
      <c r="AE75">
        <v>64123.05</v>
      </c>
      <c r="AF75">
        <v>0</v>
      </c>
      <c r="AG75">
        <v>0</v>
      </c>
      <c r="AH75">
        <v>0</v>
      </c>
      <c r="AI75">
        <v>30.1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1.0000000000000001E-5</v>
      </c>
      <c r="AU75" t="s">
        <v>25</v>
      </c>
      <c r="AV75">
        <v>0</v>
      </c>
      <c r="AW75">
        <v>2</v>
      </c>
      <c r="AX75">
        <v>59213865</v>
      </c>
      <c r="AY75">
        <v>1</v>
      </c>
      <c r="AZ75">
        <v>0</v>
      </c>
      <c r="BA75">
        <v>84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ROUND(Y75*Source!I63,9)</f>
        <v>2.0000000000000002E-5</v>
      </c>
      <c r="CY75">
        <f>AA75</f>
        <v>1930103.81</v>
      </c>
      <c r="CZ75">
        <f>AE75</f>
        <v>64123.05</v>
      </c>
      <c r="DA75">
        <f>AI75</f>
        <v>30.1</v>
      </c>
      <c r="DB75">
        <f>ROUND((ROUND(AT75*CZ75,2)*1),6)</f>
        <v>0.64</v>
      </c>
      <c r="DC75">
        <f>ROUND((ROUND(AT75*AG75,2)*1),6)</f>
        <v>0</v>
      </c>
      <c r="DD75" t="s">
        <v>3</v>
      </c>
      <c r="DE75" t="s">
        <v>3</v>
      </c>
      <c r="DF75">
        <f>ROUND(ROUND(AE75*AI75,2)*CX75,2)</f>
        <v>38.6</v>
      </c>
      <c r="DG75">
        <f t="shared" si="42"/>
        <v>0</v>
      </c>
      <c r="DH75">
        <f t="shared" si="43"/>
        <v>0</v>
      </c>
      <c r="DI75">
        <f t="shared" si="44"/>
        <v>0</v>
      </c>
      <c r="DJ75">
        <f>DF75</f>
        <v>38.6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ROW(Source!A63)</f>
        <v>63</v>
      </c>
      <c r="B76">
        <v>59213213</v>
      </c>
      <c r="C76">
        <v>59213419</v>
      </c>
      <c r="D76">
        <v>58319263</v>
      </c>
      <c r="E76">
        <v>1</v>
      </c>
      <c r="F76">
        <v>1</v>
      </c>
      <c r="G76">
        <v>1080</v>
      </c>
      <c r="H76">
        <v>3</v>
      </c>
      <c r="I76" t="s">
        <v>402</v>
      </c>
      <c r="J76" t="s">
        <v>403</v>
      </c>
      <c r="K76" t="s">
        <v>404</v>
      </c>
      <c r="L76">
        <v>1354</v>
      </c>
      <c r="N76">
        <v>1010</v>
      </c>
      <c r="O76" t="s">
        <v>34</v>
      </c>
      <c r="P76" t="s">
        <v>34</v>
      </c>
      <c r="Q76">
        <v>1</v>
      </c>
      <c r="W76">
        <v>0</v>
      </c>
      <c r="X76">
        <v>314181591</v>
      </c>
      <c r="Y76">
        <f>(AT76*1)</f>
        <v>0.1</v>
      </c>
      <c r="AA76">
        <v>36.14</v>
      </c>
      <c r="AB76">
        <v>0</v>
      </c>
      <c r="AC76">
        <v>0</v>
      </c>
      <c r="AD76">
        <v>0</v>
      </c>
      <c r="AE76">
        <v>15.25</v>
      </c>
      <c r="AF76">
        <v>0</v>
      </c>
      <c r="AG76">
        <v>0</v>
      </c>
      <c r="AH76">
        <v>0</v>
      </c>
      <c r="AI76">
        <v>2.37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0.1</v>
      </c>
      <c r="AU76" t="s">
        <v>25</v>
      </c>
      <c r="AV76">
        <v>0</v>
      </c>
      <c r="AW76">
        <v>2</v>
      </c>
      <c r="AX76">
        <v>59213866</v>
      </c>
      <c r="AY76">
        <v>1</v>
      </c>
      <c r="AZ76">
        <v>0</v>
      </c>
      <c r="BA76">
        <v>85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ROUND(Y76*Source!I63,9)</f>
        <v>0.2</v>
      </c>
      <c r="CY76">
        <f>AA76</f>
        <v>36.14</v>
      </c>
      <c r="CZ76">
        <f>AE76</f>
        <v>15.25</v>
      </c>
      <c r="DA76">
        <f>AI76</f>
        <v>2.37</v>
      </c>
      <c r="DB76">
        <f>ROUND((ROUND(AT76*CZ76,2)*1),6)</f>
        <v>1.53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7.23</v>
      </c>
      <c r="DG76">
        <f t="shared" si="42"/>
        <v>0</v>
      </c>
      <c r="DH76">
        <f t="shared" si="43"/>
        <v>0</v>
      </c>
      <c r="DI76">
        <f t="shared" si="44"/>
        <v>0</v>
      </c>
      <c r="DJ76">
        <f>DF76</f>
        <v>7.23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ROW(Source!A68)</f>
        <v>68</v>
      </c>
      <c r="B77">
        <v>59213216</v>
      </c>
      <c r="C77">
        <v>59213431</v>
      </c>
      <c r="D77">
        <v>58266404</v>
      </c>
      <c r="E77">
        <v>1080</v>
      </c>
      <c r="F77">
        <v>1</v>
      </c>
      <c r="G77">
        <v>1080</v>
      </c>
      <c r="H77">
        <v>1</v>
      </c>
      <c r="I77" t="s">
        <v>331</v>
      </c>
      <c r="J77" t="s">
        <v>3</v>
      </c>
      <c r="K77" t="s">
        <v>332</v>
      </c>
      <c r="L77">
        <v>1191</v>
      </c>
      <c r="N77">
        <v>1013</v>
      </c>
      <c r="O77" t="s">
        <v>333</v>
      </c>
      <c r="P77" t="s">
        <v>333</v>
      </c>
      <c r="Q77">
        <v>1</v>
      </c>
      <c r="W77">
        <v>0</v>
      </c>
      <c r="X77">
        <v>476480486</v>
      </c>
      <c r="Y77">
        <f>(AT77*1.1)</f>
        <v>1.1330000000000002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1.03</v>
      </c>
      <c r="AU77" t="s">
        <v>26</v>
      </c>
      <c r="AV77">
        <v>1</v>
      </c>
      <c r="AW77">
        <v>2</v>
      </c>
      <c r="AX77">
        <v>59213868</v>
      </c>
      <c r="AY77">
        <v>1</v>
      </c>
      <c r="AZ77">
        <v>0</v>
      </c>
      <c r="BA77">
        <v>87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ROUND(AT77*Source!I68*AH77*AL77,2)</f>
        <v>0</v>
      </c>
      <c r="CV77">
        <f>ROUND(Y77*Source!I68,9)</f>
        <v>7.931</v>
      </c>
      <c r="CW77">
        <v>0</v>
      </c>
      <c r="CX77">
        <f>ROUND(Y77*Source!I68,9)</f>
        <v>7.931</v>
      </c>
      <c r="CY77">
        <f>AD77</f>
        <v>0</v>
      </c>
      <c r="CZ77">
        <f>AH77</f>
        <v>0</v>
      </c>
      <c r="DA77">
        <f>AL77</f>
        <v>1</v>
      </c>
      <c r="DB77">
        <f>ROUND((ROUND(AT77*CZ77,2)*1.1),6)</f>
        <v>0</v>
      </c>
      <c r="DC77">
        <f>ROUND((ROUND(AT77*AG77,2)*1.1),6)</f>
        <v>0</v>
      </c>
      <c r="DD77" t="s">
        <v>3</v>
      </c>
      <c r="DE77" t="s">
        <v>3</v>
      </c>
      <c r="DF77">
        <f>ROUND(ROUND(AE77,2)*CX77,2)</f>
        <v>0</v>
      </c>
      <c r="DG77">
        <f t="shared" si="42"/>
        <v>0</v>
      </c>
      <c r="DH77">
        <f t="shared" si="43"/>
        <v>0</v>
      </c>
      <c r="DI77">
        <f t="shared" si="44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ROW(Source!A68)</f>
        <v>68</v>
      </c>
      <c r="B78">
        <v>59213216</v>
      </c>
      <c r="C78">
        <v>59213431</v>
      </c>
      <c r="D78">
        <v>58340578</v>
      </c>
      <c r="E78">
        <v>1</v>
      </c>
      <c r="F78">
        <v>1</v>
      </c>
      <c r="G78">
        <v>1080</v>
      </c>
      <c r="H78">
        <v>2</v>
      </c>
      <c r="I78" t="s">
        <v>334</v>
      </c>
      <c r="J78" t="s">
        <v>335</v>
      </c>
      <c r="K78" t="s">
        <v>336</v>
      </c>
      <c r="L78">
        <v>1368</v>
      </c>
      <c r="N78">
        <v>1011</v>
      </c>
      <c r="O78" t="s">
        <v>337</v>
      </c>
      <c r="P78" t="s">
        <v>337</v>
      </c>
      <c r="Q78">
        <v>1</v>
      </c>
      <c r="W78">
        <v>0</v>
      </c>
      <c r="X78">
        <v>-1985943078</v>
      </c>
      <c r="Y78">
        <f>(AT78*1.1)</f>
        <v>6.6000000000000008E-3</v>
      </c>
      <c r="AA78">
        <v>0</v>
      </c>
      <c r="AB78">
        <v>87.01</v>
      </c>
      <c r="AC78">
        <v>13.21</v>
      </c>
      <c r="AD78">
        <v>0</v>
      </c>
      <c r="AE78">
        <v>0</v>
      </c>
      <c r="AF78">
        <v>83.1</v>
      </c>
      <c r="AG78">
        <v>12.62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6.0000000000000001E-3</v>
      </c>
      <c r="AU78" t="s">
        <v>26</v>
      </c>
      <c r="AV78">
        <v>0</v>
      </c>
      <c r="AW78">
        <v>2</v>
      </c>
      <c r="AX78">
        <v>59213869</v>
      </c>
      <c r="AY78">
        <v>1</v>
      </c>
      <c r="AZ78">
        <v>0</v>
      </c>
      <c r="BA78">
        <v>88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f>ROUND(Y78*Source!I68*DO78,9)</f>
        <v>0.58304400000000001</v>
      </c>
      <c r="CX78">
        <f>ROUND(Y78*Source!I68,9)</f>
        <v>4.6199999999999998E-2</v>
      </c>
      <c r="CY78">
        <f>AB78</f>
        <v>87.01</v>
      </c>
      <c r="CZ78">
        <f>AF78</f>
        <v>83.1</v>
      </c>
      <c r="DA78">
        <f>AJ78</f>
        <v>1</v>
      </c>
      <c r="DB78">
        <f>ROUND((ROUND(AT78*CZ78,2)*1.1),6)</f>
        <v>0.55000000000000004</v>
      </c>
      <c r="DC78">
        <f>ROUND((ROUND(AT78*AG78,2)*1.1),6)</f>
        <v>8.7999999999999995E-2</v>
      </c>
      <c r="DD78" t="s">
        <v>3</v>
      </c>
      <c r="DE78" t="s">
        <v>3</v>
      </c>
      <c r="DF78">
        <f>ROUND(ROUND(AE78,2)*CX78,2)</f>
        <v>0</v>
      </c>
      <c r="DG78">
        <f t="shared" si="42"/>
        <v>3.84</v>
      </c>
      <c r="DH78">
        <f t="shared" si="43"/>
        <v>0.57999999999999996</v>
      </c>
      <c r="DI78">
        <f t="shared" si="44"/>
        <v>0</v>
      </c>
      <c r="DJ78">
        <f>DG78</f>
        <v>3.84</v>
      </c>
      <c r="DK78">
        <v>0</v>
      </c>
      <c r="DL78" t="s">
        <v>338</v>
      </c>
      <c r="DM78">
        <v>0</v>
      </c>
      <c r="DN78" t="s">
        <v>333</v>
      </c>
      <c r="DO78">
        <v>12.62</v>
      </c>
    </row>
    <row r="79" spans="1:119" x14ac:dyDescent="0.2">
      <c r="A79">
        <f>ROW(Source!A68)</f>
        <v>68</v>
      </c>
      <c r="B79">
        <v>59213216</v>
      </c>
      <c r="C79">
        <v>59213431</v>
      </c>
      <c r="D79">
        <v>0</v>
      </c>
      <c r="E79">
        <v>1080</v>
      </c>
      <c r="F79">
        <v>1</v>
      </c>
      <c r="G79">
        <v>1080</v>
      </c>
      <c r="H79">
        <v>3</v>
      </c>
      <c r="I79" t="s">
        <v>118</v>
      </c>
      <c r="J79" t="s">
        <v>3</v>
      </c>
      <c r="K79" t="s">
        <v>119</v>
      </c>
      <c r="L79">
        <v>1354</v>
      </c>
      <c r="N79">
        <v>1010</v>
      </c>
      <c r="O79" t="s">
        <v>34</v>
      </c>
      <c r="P79" t="s">
        <v>34</v>
      </c>
      <c r="Q79">
        <v>1</v>
      </c>
      <c r="W79">
        <v>0</v>
      </c>
      <c r="X79">
        <v>-1498373408</v>
      </c>
      <c r="Y79">
        <f>AT79</f>
        <v>7</v>
      </c>
      <c r="AA79">
        <v>232.73</v>
      </c>
      <c r="AB79">
        <v>0</v>
      </c>
      <c r="AC79">
        <v>0</v>
      </c>
      <c r="AD79">
        <v>0</v>
      </c>
      <c r="AE79">
        <v>232.73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7</v>
      </c>
      <c r="AU79" t="s">
        <v>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ROUND(Y79*Source!I68,9)</f>
        <v>49</v>
      </c>
      <c r="CY79">
        <f>AA79</f>
        <v>232.73</v>
      </c>
      <c r="CZ79">
        <f>AE79</f>
        <v>232.73</v>
      </c>
      <c r="DA79">
        <f>AI79</f>
        <v>1</v>
      </c>
      <c r="DB79">
        <f>ROUND(ROUND(AT79*CZ79,2),6)</f>
        <v>1629.11</v>
      </c>
      <c r="DC79">
        <f>ROUND(ROUND(AT79*AG79,2),6)</f>
        <v>0</v>
      </c>
      <c r="DD79" t="s">
        <v>3</v>
      </c>
      <c r="DE79" t="s">
        <v>3</v>
      </c>
      <c r="DF79">
        <f>ROUND(ROUND(AE79,2)*CX79,2)</f>
        <v>11403.77</v>
      </c>
      <c r="DG79">
        <f t="shared" si="42"/>
        <v>0</v>
      </c>
      <c r="DH79">
        <f t="shared" si="43"/>
        <v>0</v>
      </c>
      <c r="DI79">
        <f t="shared" si="44"/>
        <v>0</v>
      </c>
      <c r="DJ79">
        <f>DF79</f>
        <v>11403.77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ROW(Source!A69)</f>
        <v>69</v>
      </c>
      <c r="B80">
        <v>59213213</v>
      </c>
      <c r="C80">
        <v>59213431</v>
      </c>
      <c r="D80">
        <v>58266404</v>
      </c>
      <c r="E80">
        <v>1080</v>
      </c>
      <c r="F80">
        <v>1</v>
      </c>
      <c r="G80">
        <v>1080</v>
      </c>
      <c r="H80">
        <v>1</v>
      </c>
      <c r="I80" t="s">
        <v>331</v>
      </c>
      <c r="J80" t="s">
        <v>3</v>
      </c>
      <c r="K80" t="s">
        <v>332</v>
      </c>
      <c r="L80">
        <v>1191</v>
      </c>
      <c r="N80">
        <v>1013</v>
      </c>
      <c r="O80" t="s">
        <v>333</v>
      </c>
      <c r="P80" t="s">
        <v>333</v>
      </c>
      <c r="Q80">
        <v>1</v>
      </c>
      <c r="W80">
        <v>0</v>
      </c>
      <c r="X80">
        <v>476480486</v>
      </c>
      <c r="Y80">
        <f>(AT80*1.1)</f>
        <v>1.1330000000000002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1.03</v>
      </c>
      <c r="AU80" t="s">
        <v>26</v>
      </c>
      <c r="AV80">
        <v>1</v>
      </c>
      <c r="AW80">
        <v>2</v>
      </c>
      <c r="AX80">
        <v>59213868</v>
      </c>
      <c r="AY80">
        <v>1</v>
      </c>
      <c r="AZ80">
        <v>0</v>
      </c>
      <c r="BA80">
        <v>90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U80">
        <f>ROUND(AT80*Source!I69*AH80*AL80,2)</f>
        <v>0</v>
      </c>
      <c r="CV80">
        <f>ROUND(Y80*Source!I69,9)</f>
        <v>7.931</v>
      </c>
      <c r="CW80">
        <v>0</v>
      </c>
      <c r="CX80">
        <f>ROUND(Y80*Source!I69,9)</f>
        <v>7.931</v>
      </c>
      <c r="CY80">
        <f>AD80</f>
        <v>0</v>
      </c>
      <c r="CZ80">
        <f>AH80</f>
        <v>0</v>
      </c>
      <c r="DA80">
        <f>AL80</f>
        <v>1</v>
      </c>
      <c r="DB80">
        <f>ROUND((ROUND(AT80*CZ80,2)*1.1),6)</f>
        <v>0</v>
      </c>
      <c r="DC80">
        <f>ROUND((ROUND(AT80*AG80,2)*1.1),6)</f>
        <v>0</v>
      </c>
      <c r="DD80" t="s">
        <v>3</v>
      </c>
      <c r="DE80" t="s">
        <v>3</v>
      </c>
      <c r="DF80">
        <f>ROUND(ROUND(AE80,2)*CX80,2)</f>
        <v>0</v>
      </c>
      <c r="DG80">
        <f t="shared" si="42"/>
        <v>0</v>
      </c>
      <c r="DH80">
        <f t="shared" si="43"/>
        <v>0</v>
      </c>
      <c r="DI80">
        <f t="shared" si="44"/>
        <v>0</v>
      </c>
      <c r="DJ80">
        <f>DI80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ROW(Source!A69)</f>
        <v>69</v>
      </c>
      <c r="B81">
        <v>59213213</v>
      </c>
      <c r="C81">
        <v>59213431</v>
      </c>
      <c r="D81">
        <v>58340578</v>
      </c>
      <c r="E81">
        <v>1</v>
      </c>
      <c r="F81">
        <v>1</v>
      </c>
      <c r="G81">
        <v>1080</v>
      </c>
      <c r="H81">
        <v>2</v>
      </c>
      <c r="I81" t="s">
        <v>334</v>
      </c>
      <c r="J81" t="s">
        <v>335</v>
      </c>
      <c r="K81" t="s">
        <v>336</v>
      </c>
      <c r="L81">
        <v>1368</v>
      </c>
      <c r="N81">
        <v>1011</v>
      </c>
      <c r="O81" t="s">
        <v>337</v>
      </c>
      <c r="P81" t="s">
        <v>337</v>
      </c>
      <c r="Q81">
        <v>1</v>
      </c>
      <c r="W81">
        <v>0</v>
      </c>
      <c r="X81">
        <v>-1985943078</v>
      </c>
      <c r="Y81">
        <f>(AT81*1.1)</f>
        <v>6.6000000000000008E-3</v>
      </c>
      <c r="AA81">
        <v>0</v>
      </c>
      <c r="AB81">
        <v>1418.19</v>
      </c>
      <c r="AC81">
        <v>726.59</v>
      </c>
      <c r="AD81">
        <v>0</v>
      </c>
      <c r="AE81">
        <v>0</v>
      </c>
      <c r="AF81">
        <v>83.1</v>
      </c>
      <c r="AG81">
        <v>12.62</v>
      </c>
      <c r="AH81">
        <v>0</v>
      </c>
      <c r="AI81">
        <v>1</v>
      </c>
      <c r="AJ81">
        <v>16.3</v>
      </c>
      <c r="AK81">
        <v>54.99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6.0000000000000001E-3</v>
      </c>
      <c r="AU81" t="s">
        <v>26</v>
      </c>
      <c r="AV81">
        <v>0</v>
      </c>
      <c r="AW81">
        <v>2</v>
      </c>
      <c r="AX81">
        <v>59213869</v>
      </c>
      <c r="AY81">
        <v>1</v>
      </c>
      <c r="AZ81">
        <v>0</v>
      </c>
      <c r="BA81">
        <v>91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ROUND(Y81*Source!I69*DO81,9)</f>
        <v>0.58304400000000001</v>
      </c>
      <c r="CX81">
        <f>ROUND(Y81*Source!I69,9)</f>
        <v>4.6199999999999998E-2</v>
      </c>
      <c r="CY81">
        <f>AB81</f>
        <v>1418.19</v>
      </c>
      <c r="CZ81">
        <f>AF81</f>
        <v>83.1</v>
      </c>
      <c r="DA81">
        <f>AJ81</f>
        <v>16.3</v>
      </c>
      <c r="DB81">
        <f>ROUND((ROUND(AT81*CZ81,2)*1.1),6)</f>
        <v>0.55000000000000004</v>
      </c>
      <c r="DC81">
        <f>ROUND((ROUND(AT81*AG81,2)*1.1),6)</f>
        <v>8.7999999999999995E-2</v>
      </c>
      <c r="DD81" t="s">
        <v>3</v>
      </c>
      <c r="DE81" t="s">
        <v>3</v>
      </c>
      <c r="DF81">
        <f>ROUND(ROUND(AE81,2)*CX81,2)</f>
        <v>0</v>
      </c>
      <c r="DG81">
        <f>ROUND(ROUND(AF81*AJ81,2)*CX81,2)</f>
        <v>62.58</v>
      </c>
      <c r="DH81">
        <f>ROUND(ROUND(AG81*AK81,2)*CX81,2)</f>
        <v>32.06</v>
      </c>
      <c r="DI81">
        <f t="shared" si="44"/>
        <v>0</v>
      </c>
      <c r="DJ81">
        <f>DG81</f>
        <v>62.58</v>
      </c>
      <c r="DK81">
        <v>0</v>
      </c>
      <c r="DL81" t="s">
        <v>338</v>
      </c>
      <c r="DM81">
        <v>0</v>
      </c>
      <c r="DN81" t="s">
        <v>333</v>
      </c>
      <c r="DO81">
        <v>12.62</v>
      </c>
    </row>
    <row r="82" spans="1:119" x14ac:dyDescent="0.2">
      <c r="A82">
        <f>ROW(Source!A69)</f>
        <v>69</v>
      </c>
      <c r="B82">
        <v>59213213</v>
      </c>
      <c r="C82">
        <v>59213431</v>
      </c>
      <c r="D82">
        <v>0</v>
      </c>
      <c r="E82">
        <v>1080</v>
      </c>
      <c r="F82">
        <v>1</v>
      </c>
      <c r="G82">
        <v>1080</v>
      </c>
      <c r="H82">
        <v>3</v>
      </c>
      <c r="I82" t="s">
        <v>118</v>
      </c>
      <c r="J82" t="s">
        <v>3</v>
      </c>
      <c r="K82" t="s">
        <v>119</v>
      </c>
      <c r="L82">
        <v>1354</v>
      </c>
      <c r="N82">
        <v>1010</v>
      </c>
      <c r="O82" t="s">
        <v>34</v>
      </c>
      <c r="P82" t="s">
        <v>34</v>
      </c>
      <c r="Q82">
        <v>1</v>
      </c>
      <c r="W82">
        <v>0</v>
      </c>
      <c r="X82">
        <v>-1498373408</v>
      </c>
      <c r="Y82">
        <f>AT82</f>
        <v>7</v>
      </c>
      <c r="AA82">
        <v>2299.37</v>
      </c>
      <c r="AB82">
        <v>0</v>
      </c>
      <c r="AC82">
        <v>0</v>
      </c>
      <c r="AD82">
        <v>0</v>
      </c>
      <c r="AE82">
        <v>232.73</v>
      </c>
      <c r="AF82">
        <v>0</v>
      </c>
      <c r="AG82">
        <v>0</v>
      </c>
      <c r="AH82">
        <v>0</v>
      </c>
      <c r="AI82">
        <v>9.8800000000000008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7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ROUND(Y82*Source!I69,9)</f>
        <v>49</v>
      </c>
      <c r="CY82">
        <f>AA82</f>
        <v>2299.37</v>
      </c>
      <c r="CZ82">
        <f>AE82</f>
        <v>232.73</v>
      </c>
      <c r="DA82">
        <f>AI82</f>
        <v>9.8800000000000008</v>
      </c>
      <c r="DB82">
        <f>ROUND(ROUND(AT82*CZ82,2),6)</f>
        <v>1629.11</v>
      </c>
      <c r="DC82">
        <f>ROUND(ROUND(AT82*AG82,2),6)</f>
        <v>0</v>
      </c>
      <c r="DD82" t="s">
        <v>3</v>
      </c>
      <c r="DE82" t="s">
        <v>3</v>
      </c>
      <c r="DF82">
        <f>ROUND(ROUND(AE82*AI82,2)*CX82,2)</f>
        <v>112669.13</v>
      </c>
      <c r="DG82">
        <f t="shared" ref="DG82:DG89" si="45">ROUND(ROUND(AF82,2)*CX82,2)</f>
        <v>0</v>
      </c>
      <c r="DH82">
        <f t="shared" ref="DH82:DH89" si="46">ROUND(ROUND(AG82,2)*CX82,2)</f>
        <v>0</v>
      </c>
      <c r="DI82">
        <f t="shared" si="44"/>
        <v>0</v>
      </c>
      <c r="DJ82">
        <f>DF82</f>
        <v>112669.13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ROW(Source!A72)</f>
        <v>72</v>
      </c>
      <c r="B83">
        <v>59213216</v>
      </c>
      <c r="C83">
        <v>59213439</v>
      </c>
      <c r="D83">
        <v>58266404</v>
      </c>
      <c r="E83">
        <v>1080</v>
      </c>
      <c r="F83">
        <v>1</v>
      </c>
      <c r="G83">
        <v>1080</v>
      </c>
      <c r="H83">
        <v>1</v>
      </c>
      <c r="I83" t="s">
        <v>331</v>
      </c>
      <c r="J83" t="s">
        <v>3</v>
      </c>
      <c r="K83" t="s">
        <v>332</v>
      </c>
      <c r="L83">
        <v>1191</v>
      </c>
      <c r="N83">
        <v>1013</v>
      </c>
      <c r="O83" t="s">
        <v>333</v>
      </c>
      <c r="P83" t="s">
        <v>333</v>
      </c>
      <c r="Q83">
        <v>1</v>
      </c>
      <c r="W83">
        <v>0</v>
      </c>
      <c r="X83">
        <v>476480486</v>
      </c>
      <c r="Y83">
        <f>(AT83*1.1)</f>
        <v>7.7000000000000013E-2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7.0000000000000007E-2</v>
      </c>
      <c r="AU83" t="s">
        <v>26</v>
      </c>
      <c r="AV83">
        <v>1</v>
      </c>
      <c r="AW83">
        <v>2</v>
      </c>
      <c r="AX83">
        <v>59213871</v>
      </c>
      <c r="AY83">
        <v>1</v>
      </c>
      <c r="AZ83">
        <v>0</v>
      </c>
      <c r="BA83">
        <v>93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ROUND(AT83*Source!I72*AH83*AL83,2)</f>
        <v>0</v>
      </c>
      <c r="CV83">
        <f>ROUND(Y83*Source!I72,9)</f>
        <v>0.53900000000000003</v>
      </c>
      <c r="CW83">
        <v>0</v>
      </c>
      <c r="CX83">
        <f>ROUND(Y83*Source!I72,9)</f>
        <v>0.53900000000000003</v>
      </c>
      <c r="CY83">
        <f>AD83</f>
        <v>0</v>
      </c>
      <c r="CZ83">
        <f>AH83</f>
        <v>0</v>
      </c>
      <c r="DA83">
        <f>AL83</f>
        <v>1</v>
      </c>
      <c r="DB83">
        <f>ROUND((ROUND(AT83*CZ83,2)*1.1),6)</f>
        <v>0</v>
      </c>
      <c r="DC83">
        <f>ROUND((ROUND(AT83*AG83,2)*1.1),6)</f>
        <v>0</v>
      </c>
      <c r="DD83" t="s">
        <v>3</v>
      </c>
      <c r="DE83" t="s">
        <v>3</v>
      </c>
      <c r="DF83">
        <f>ROUND(ROUND(AE83,2)*CX83,2)</f>
        <v>0</v>
      </c>
      <c r="DG83">
        <f t="shared" si="45"/>
        <v>0</v>
      </c>
      <c r="DH83">
        <f t="shared" si="46"/>
        <v>0</v>
      </c>
      <c r="DI83">
        <f t="shared" si="44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ROW(Source!A72)</f>
        <v>72</v>
      </c>
      <c r="B84">
        <v>59213216</v>
      </c>
      <c r="C84">
        <v>59213439</v>
      </c>
      <c r="D84">
        <v>0</v>
      </c>
      <c r="E84">
        <v>1080</v>
      </c>
      <c r="F84">
        <v>1</v>
      </c>
      <c r="G84">
        <v>1080</v>
      </c>
      <c r="H84">
        <v>3</v>
      </c>
      <c r="I84" t="s">
        <v>127</v>
      </c>
      <c r="J84" t="s">
        <v>3</v>
      </c>
      <c r="K84" t="s">
        <v>128</v>
      </c>
      <c r="L84">
        <v>1354</v>
      </c>
      <c r="N84">
        <v>1010</v>
      </c>
      <c r="O84" t="s">
        <v>34</v>
      </c>
      <c r="P84" t="s">
        <v>34</v>
      </c>
      <c r="Q84">
        <v>1</v>
      </c>
      <c r="W84">
        <v>0</v>
      </c>
      <c r="X84">
        <v>-1209925472</v>
      </c>
      <c r="Y84">
        <f>AT84</f>
        <v>1</v>
      </c>
      <c r="AA84">
        <v>37</v>
      </c>
      <c r="AB84">
        <v>0</v>
      </c>
      <c r="AC84">
        <v>0</v>
      </c>
      <c r="AD84">
        <v>0</v>
      </c>
      <c r="AE84">
        <v>37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1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ROUND(Y84*Source!I72,9)</f>
        <v>7</v>
      </c>
      <c r="CY84">
        <f>AA84</f>
        <v>37</v>
      </c>
      <c r="CZ84">
        <f>AE84</f>
        <v>37</v>
      </c>
      <c r="DA84">
        <f>AI84</f>
        <v>1</v>
      </c>
      <c r="DB84">
        <f>ROUND(ROUND(AT84*CZ84,2),6)</f>
        <v>37</v>
      </c>
      <c r="DC84">
        <f>ROUND(ROUND(AT84*AG84,2),6)</f>
        <v>0</v>
      </c>
      <c r="DD84" t="s">
        <v>3</v>
      </c>
      <c r="DE84" t="s">
        <v>3</v>
      </c>
      <c r="DF84">
        <f>ROUND(ROUND(AE84,2)*CX84,2)</f>
        <v>259</v>
      </c>
      <c r="DG84">
        <f t="shared" si="45"/>
        <v>0</v>
      </c>
      <c r="DH84">
        <f t="shared" si="46"/>
        <v>0</v>
      </c>
      <c r="DI84">
        <f t="shared" si="44"/>
        <v>0</v>
      </c>
      <c r="DJ84">
        <f>DF84</f>
        <v>259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ROW(Source!A73)</f>
        <v>73</v>
      </c>
      <c r="B85">
        <v>59213213</v>
      </c>
      <c r="C85">
        <v>59213439</v>
      </c>
      <c r="D85">
        <v>58266404</v>
      </c>
      <c r="E85">
        <v>1080</v>
      </c>
      <c r="F85">
        <v>1</v>
      </c>
      <c r="G85">
        <v>1080</v>
      </c>
      <c r="H85">
        <v>1</v>
      </c>
      <c r="I85" t="s">
        <v>331</v>
      </c>
      <c r="J85" t="s">
        <v>3</v>
      </c>
      <c r="K85" t="s">
        <v>332</v>
      </c>
      <c r="L85">
        <v>1191</v>
      </c>
      <c r="N85">
        <v>1013</v>
      </c>
      <c r="O85" t="s">
        <v>333</v>
      </c>
      <c r="P85" t="s">
        <v>333</v>
      </c>
      <c r="Q85">
        <v>1</v>
      </c>
      <c r="W85">
        <v>0</v>
      </c>
      <c r="X85">
        <v>476480486</v>
      </c>
      <c r="Y85">
        <f>(AT85*1.1)</f>
        <v>7.7000000000000013E-2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7.0000000000000007E-2</v>
      </c>
      <c r="AU85" t="s">
        <v>26</v>
      </c>
      <c r="AV85">
        <v>1</v>
      </c>
      <c r="AW85">
        <v>2</v>
      </c>
      <c r="AX85">
        <v>59213871</v>
      </c>
      <c r="AY85">
        <v>1</v>
      </c>
      <c r="AZ85">
        <v>0</v>
      </c>
      <c r="BA85">
        <v>95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ROUND(AT85*Source!I73*AH85*AL85,2)</f>
        <v>0</v>
      </c>
      <c r="CV85">
        <f>ROUND(Y85*Source!I73,9)</f>
        <v>0.53900000000000003</v>
      </c>
      <c r="CW85">
        <v>0</v>
      </c>
      <c r="CX85">
        <f>ROUND(Y85*Source!I73,9)</f>
        <v>0.53900000000000003</v>
      </c>
      <c r="CY85">
        <f>AD85</f>
        <v>0</v>
      </c>
      <c r="CZ85">
        <f>AH85</f>
        <v>0</v>
      </c>
      <c r="DA85">
        <f>AL85</f>
        <v>1</v>
      </c>
      <c r="DB85">
        <f>ROUND((ROUND(AT85*CZ85,2)*1.1),6)</f>
        <v>0</v>
      </c>
      <c r="DC85">
        <f>ROUND((ROUND(AT85*AG85,2)*1.1),6)</f>
        <v>0</v>
      </c>
      <c r="DD85" t="s">
        <v>3</v>
      </c>
      <c r="DE85" t="s">
        <v>3</v>
      </c>
      <c r="DF85">
        <f>ROUND(ROUND(AE85,2)*CX85,2)</f>
        <v>0</v>
      </c>
      <c r="DG85">
        <f t="shared" si="45"/>
        <v>0</v>
      </c>
      <c r="DH85">
        <f t="shared" si="46"/>
        <v>0</v>
      </c>
      <c r="DI85">
        <f t="shared" si="44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ROW(Source!A73)</f>
        <v>73</v>
      </c>
      <c r="B86">
        <v>59213213</v>
      </c>
      <c r="C86">
        <v>59213439</v>
      </c>
      <c r="D86">
        <v>0</v>
      </c>
      <c r="E86">
        <v>1080</v>
      </c>
      <c r="F86">
        <v>1</v>
      </c>
      <c r="G86">
        <v>1080</v>
      </c>
      <c r="H86">
        <v>3</v>
      </c>
      <c r="I86" t="s">
        <v>127</v>
      </c>
      <c r="J86" t="s">
        <v>3</v>
      </c>
      <c r="K86" t="s">
        <v>128</v>
      </c>
      <c r="L86">
        <v>1354</v>
      </c>
      <c r="N86">
        <v>1010</v>
      </c>
      <c r="O86" t="s">
        <v>34</v>
      </c>
      <c r="P86" t="s">
        <v>34</v>
      </c>
      <c r="Q86">
        <v>1</v>
      </c>
      <c r="W86">
        <v>0</v>
      </c>
      <c r="X86">
        <v>-1209925472</v>
      </c>
      <c r="Y86">
        <f>AT86</f>
        <v>1</v>
      </c>
      <c r="AA86">
        <v>365.56</v>
      </c>
      <c r="AB86">
        <v>0</v>
      </c>
      <c r="AC86">
        <v>0</v>
      </c>
      <c r="AD86">
        <v>0</v>
      </c>
      <c r="AE86">
        <v>37</v>
      </c>
      <c r="AF86">
        <v>0</v>
      </c>
      <c r="AG86">
        <v>0</v>
      </c>
      <c r="AH86">
        <v>0</v>
      </c>
      <c r="AI86">
        <v>9.8800000000000008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1</v>
      </c>
      <c r="AU86" t="s">
        <v>3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ROUND(Y86*Source!I73,9)</f>
        <v>7</v>
      </c>
      <c r="CY86">
        <f>AA86</f>
        <v>365.56</v>
      </c>
      <c r="CZ86">
        <f>AE86</f>
        <v>37</v>
      </c>
      <c r="DA86">
        <f>AI86</f>
        <v>9.8800000000000008</v>
      </c>
      <c r="DB86">
        <f>ROUND(ROUND(AT86*CZ86,2),6)</f>
        <v>37</v>
      </c>
      <c r="DC86">
        <f>ROUND(ROUND(AT86*AG86,2),6)</f>
        <v>0</v>
      </c>
      <c r="DD86" t="s">
        <v>3</v>
      </c>
      <c r="DE86" t="s">
        <v>3</v>
      </c>
      <c r="DF86">
        <f>ROUND(ROUND(AE86*AI86,2)*CX86,2)</f>
        <v>2558.92</v>
      </c>
      <c r="DG86">
        <f t="shared" si="45"/>
        <v>0</v>
      </c>
      <c r="DH86">
        <f t="shared" si="46"/>
        <v>0</v>
      </c>
      <c r="DI86">
        <f t="shared" si="44"/>
        <v>0</v>
      </c>
      <c r="DJ86">
        <f>DF86</f>
        <v>2558.92</v>
      </c>
      <c r="DK86">
        <v>2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ROW(Source!A76)</f>
        <v>76</v>
      </c>
      <c r="B87">
        <v>59213216</v>
      </c>
      <c r="C87">
        <v>59213445</v>
      </c>
      <c r="D87">
        <v>58266404</v>
      </c>
      <c r="E87">
        <v>1080</v>
      </c>
      <c r="F87">
        <v>1</v>
      </c>
      <c r="G87">
        <v>1080</v>
      </c>
      <c r="H87">
        <v>1</v>
      </c>
      <c r="I87" t="s">
        <v>331</v>
      </c>
      <c r="J87" t="s">
        <v>3</v>
      </c>
      <c r="K87" t="s">
        <v>332</v>
      </c>
      <c r="L87">
        <v>1191</v>
      </c>
      <c r="N87">
        <v>1013</v>
      </c>
      <c r="O87" t="s">
        <v>333</v>
      </c>
      <c r="P87" t="s">
        <v>333</v>
      </c>
      <c r="Q87">
        <v>1</v>
      </c>
      <c r="W87">
        <v>0</v>
      </c>
      <c r="X87">
        <v>476480486</v>
      </c>
      <c r="Y87">
        <f>(AT87*1.1)</f>
        <v>3.399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3.09</v>
      </c>
      <c r="AU87" t="s">
        <v>26</v>
      </c>
      <c r="AV87">
        <v>1</v>
      </c>
      <c r="AW87">
        <v>2</v>
      </c>
      <c r="AX87">
        <v>59213873</v>
      </c>
      <c r="AY87">
        <v>1</v>
      </c>
      <c r="AZ87">
        <v>0</v>
      </c>
      <c r="BA87">
        <v>97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ROUND(AT87*Source!I76*AH87*AL87,2)</f>
        <v>0</v>
      </c>
      <c r="CV87">
        <f>ROUND(Y87*Source!I76,9)</f>
        <v>3.399</v>
      </c>
      <c r="CW87">
        <v>0</v>
      </c>
      <c r="CX87">
        <f>ROUND(Y87*Source!I76,9)</f>
        <v>3.399</v>
      </c>
      <c r="CY87">
        <f>AD87</f>
        <v>0</v>
      </c>
      <c r="CZ87">
        <f>AH87</f>
        <v>0</v>
      </c>
      <c r="DA87">
        <f>AL87</f>
        <v>1</v>
      </c>
      <c r="DB87">
        <f>ROUND((ROUND(AT87*CZ87,2)*1.1),6)</f>
        <v>0</v>
      </c>
      <c r="DC87">
        <f>ROUND((ROUND(AT87*AG87,2)*1.1),6)</f>
        <v>0</v>
      </c>
      <c r="DD87" t="s">
        <v>3</v>
      </c>
      <c r="DE87" t="s">
        <v>3</v>
      </c>
      <c r="DF87">
        <f t="shared" ref="DF87:DF95" si="47">ROUND(ROUND(AE87,2)*CX87,2)</f>
        <v>0</v>
      </c>
      <c r="DG87">
        <f t="shared" si="45"/>
        <v>0</v>
      </c>
      <c r="DH87">
        <f t="shared" si="46"/>
        <v>0</v>
      </c>
      <c r="DI87">
        <f t="shared" si="44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ROW(Source!A76)</f>
        <v>76</v>
      </c>
      <c r="B88">
        <v>59213216</v>
      </c>
      <c r="C88">
        <v>59213445</v>
      </c>
      <c r="D88">
        <v>58340578</v>
      </c>
      <c r="E88">
        <v>1</v>
      </c>
      <c r="F88">
        <v>1</v>
      </c>
      <c r="G88">
        <v>1080</v>
      </c>
      <c r="H88">
        <v>2</v>
      </c>
      <c r="I88" t="s">
        <v>334</v>
      </c>
      <c r="J88" t="s">
        <v>335</v>
      </c>
      <c r="K88" t="s">
        <v>336</v>
      </c>
      <c r="L88">
        <v>1368</v>
      </c>
      <c r="N88">
        <v>1011</v>
      </c>
      <c r="O88" t="s">
        <v>337</v>
      </c>
      <c r="P88" t="s">
        <v>337</v>
      </c>
      <c r="Q88">
        <v>1</v>
      </c>
      <c r="W88">
        <v>0</v>
      </c>
      <c r="X88">
        <v>-1985943078</v>
      </c>
      <c r="Y88">
        <f>(AT88*1.1)</f>
        <v>0.35200000000000004</v>
      </c>
      <c r="AA88">
        <v>0</v>
      </c>
      <c r="AB88">
        <v>87.01</v>
      </c>
      <c r="AC88">
        <v>13.21</v>
      </c>
      <c r="AD88">
        <v>0</v>
      </c>
      <c r="AE88">
        <v>0</v>
      </c>
      <c r="AF88">
        <v>83.1</v>
      </c>
      <c r="AG88">
        <v>12.62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0.32</v>
      </c>
      <c r="AU88" t="s">
        <v>26</v>
      </c>
      <c r="AV88">
        <v>0</v>
      </c>
      <c r="AW88">
        <v>2</v>
      </c>
      <c r="AX88">
        <v>59213874</v>
      </c>
      <c r="AY88">
        <v>1</v>
      </c>
      <c r="AZ88">
        <v>0</v>
      </c>
      <c r="BA88">
        <v>98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ROUND(Y88*Source!I76*DO88,9)</f>
        <v>4.44224</v>
      </c>
      <c r="CX88">
        <f>ROUND(Y88*Source!I76,9)</f>
        <v>0.35199999999999998</v>
      </c>
      <c r="CY88">
        <f>AB88</f>
        <v>87.01</v>
      </c>
      <c r="CZ88">
        <f>AF88</f>
        <v>83.1</v>
      </c>
      <c r="DA88">
        <f>AJ88</f>
        <v>1</v>
      </c>
      <c r="DB88">
        <f>ROUND((ROUND(AT88*CZ88,2)*1.1),6)</f>
        <v>29.248999999999999</v>
      </c>
      <c r="DC88">
        <f>ROUND((ROUND(AT88*AG88,2)*1.1),6)</f>
        <v>4.444</v>
      </c>
      <c r="DD88" t="s">
        <v>3</v>
      </c>
      <c r="DE88" t="s">
        <v>3</v>
      </c>
      <c r="DF88">
        <f t="shared" si="47"/>
        <v>0</v>
      </c>
      <c r="DG88">
        <f t="shared" si="45"/>
        <v>29.25</v>
      </c>
      <c r="DH88">
        <f t="shared" si="46"/>
        <v>4.4400000000000004</v>
      </c>
      <c r="DI88">
        <f t="shared" si="44"/>
        <v>0</v>
      </c>
      <c r="DJ88">
        <f>DG88</f>
        <v>29.25</v>
      </c>
      <c r="DK88">
        <v>0</v>
      </c>
      <c r="DL88" t="s">
        <v>338</v>
      </c>
      <c r="DM88">
        <v>0</v>
      </c>
      <c r="DN88" t="s">
        <v>333</v>
      </c>
      <c r="DO88">
        <v>12.62</v>
      </c>
    </row>
    <row r="89" spans="1:119" x14ac:dyDescent="0.2">
      <c r="A89">
        <f>ROW(Source!A77)</f>
        <v>77</v>
      </c>
      <c r="B89">
        <v>59213213</v>
      </c>
      <c r="C89">
        <v>59213445</v>
      </c>
      <c r="D89">
        <v>58266404</v>
      </c>
      <c r="E89">
        <v>1080</v>
      </c>
      <c r="F89">
        <v>1</v>
      </c>
      <c r="G89">
        <v>1080</v>
      </c>
      <c r="H89">
        <v>1</v>
      </c>
      <c r="I89" t="s">
        <v>331</v>
      </c>
      <c r="J89" t="s">
        <v>3</v>
      </c>
      <c r="K89" t="s">
        <v>332</v>
      </c>
      <c r="L89">
        <v>1191</v>
      </c>
      <c r="N89">
        <v>1013</v>
      </c>
      <c r="O89" t="s">
        <v>333</v>
      </c>
      <c r="P89" t="s">
        <v>333</v>
      </c>
      <c r="Q89">
        <v>1</v>
      </c>
      <c r="W89">
        <v>0</v>
      </c>
      <c r="X89">
        <v>476480486</v>
      </c>
      <c r="Y89">
        <f>(AT89*1.1)</f>
        <v>3.399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5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3.09</v>
      </c>
      <c r="AU89" t="s">
        <v>26</v>
      </c>
      <c r="AV89">
        <v>1</v>
      </c>
      <c r="AW89">
        <v>2</v>
      </c>
      <c r="AX89">
        <v>59213873</v>
      </c>
      <c r="AY89">
        <v>1</v>
      </c>
      <c r="AZ89">
        <v>0</v>
      </c>
      <c r="BA89">
        <v>100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ROUND(AT89*Source!I77*AH89*AL89,2)</f>
        <v>0</v>
      </c>
      <c r="CV89">
        <f>ROUND(Y89*Source!I77,9)</f>
        <v>3.399</v>
      </c>
      <c r="CW89">
        <v>0</v>
      </c>
      <c r="CX89">
        <f>ROUND(Y89*Source!I77,9)</f>
        <v>3.399</v>
      </c>
      <c r="CY89">
        <f>AD89</f>
        <v>0</v>
      </c>
      <c r="CZ89">
        <f>AH89</f>
        <v>0</v>
      </c>
      <c r="DA89">
        <f>AL89</f>
        <v>1</v>
      </c>
      <c r="DB89">
        <f>ROUND((ROUND(AT89*CZ89,2)*1.1),6)</f>
        <v>0</v>
      </c>
      <c r="DC89">
        <f>ROUND((ROUND(AT89*AG89,2)*1.1),6)</f>
        <v>0</v>
      </c>
      <c r="DD89" t="s">
        <v>3</v>
      </c>
      <c r="DE89" t="s">
        <v>3</v>
      </c>
      <c r="DF89">
        <f t="shared" si="47"/>
        <v>0</v>
      </c>
      <c r="DG89">
        <f t="shared" si="45"/>
        <v>0</v>
      </c>
      <c r="DH89">
        <f t="shared" si="46"/>
        <v>0</v>
      </c>
      <c r="DI89">
        <f t="shared" si="44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ROW(Source!A77)</f>
        <v>77</v>
      </c>
      <c r="B90">
        <v>59213213</v>
      </c>
      <c r="C90">
        <v>59213445</v>
      </c>
      <c r="D90">
        <v>58340578</v>
      </c>
      <c r="E90">
        <v>1</v>
      </c>
      <c r="F90">
        <v>1</v>
      </c>
      <c r="G90">
        <v>1080</v>
      </c>
      <c r="H90">
        <v>2</v>
      </c>
      <c r="I90" t="s">
        <v>334</v>
      </c>
      <c r="J90" t="s">
        <v>335</v>
      </c>
      <c r="K90" t="s">
        <v>336</v>
      </c>
      <c r="L90">
        <v>1368</v>
      </c>
      <c r="N90">
        <v>1011</v>
      </c>
      <c r="O90" t="s">
        <v>337</v>
      </c>
      <c r="P90" t="s">
        <v>337</v>
      </c>
      <c r="Q90">
        <v>1</v>
      </c>
      <c r="W90">
        <v>0</v>
      </c>
      <c r="X90">
        <v>-1985943078</v>
      </c>
      <c r="Y90">
        <f>(AT90*1.1)</f>
        <v>0.35200000000000004</v>
      </c>
      <c r="AA90">
        <v>0</v>
      </c>
      <c r="AB90">
        <v>1418.19</v>
      </c>
      <c r="AC90">
        <v>726.59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16.3</v>
      </c>
      <c r="AK90">
        <v>54.99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0.32</v>
      </c>
      <c r="AU90" t="s">
        <v>26</v>
      </c>
      <c r="AV90">
        <v>0</v>
      </c>
      <c r="AW90">
        <v>2</v>
      </c>
      <c r="AX90">
        <v>59213874</v>
      </c>
      <c r="AY90">
        <v>1</v>
      </c>
      <c r="AZ90">
        <v>0</v>
      </c>
      <c r="BA90">
        <v>101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ROUND(Y90*Source!I77*DO90,9)</f>
        <v>4.44224</v>
      </c>
      <c r="CX90">
        <f>ROUND(Y90*Source!I77,9)</f>
        <v>0.35199999999999998</v>
      </c>
      <c r="CY90">
        <f>AB90</f>
        <v>1418.19</v>
      </c>
      <c r="CZ90">
        <f>AF90</f>
        <v>83.1</v>
      </c>
      <c r="DA90">
        <f>AJ90</f>
        <v>16.3</v>
      </c>
      <c r="DB90">
        <f>ROUND((ROUND(AT90*CZ90,2)*1.1),6)</f>
        <v>29.248999999999999</v>
      </c>
      <c r="DC90">
        <f>ROUND((ROUND(AT90*AG90,2)*1.1),6)</f>
        <v>4.444</v>
      </c>
      <c r="DD90" t="s">
        <v>3</v>
      </c>
      <c r="DE90" t="s">
        <v>3</v>
      </c>
      <c r="DF90">
        <f t="shared" si="47"/>
        <v>0</v>
      </c>
      <c r="DG90">
        <f>ROUND(ROUND(AF90*AJ90,2)*CX90,2)</f>
        <v>476.79</v>
      </c>
      <c r="DH90">
        <f>ROUND(ROUND(AG90*AK90,2)*CX90,2)</f>
        <v>244.28</v>
      </c>
      <c r="DI90">
        <f t="shared" si="44"/>
        <v>0</v>
      </c>
      <c r="DJ90">
        <f>DG90</f>
        <v>476.79</v>
      </c>
      <c r="DK90">
        <v>0</v>
      </c>
      <c r="DL90" t="s">
        <v>338</v>
      </c>
      <c r="DM90">
        <v>0</v>
      </c>
      <c r="DN90" t="s">
        <v>333</v>
      </c>
      <c r="DO90">
        <v>12.62</v>
      </c>
    </row>
    <row r="91" spans="1:119" x14ac:dyDescent="0.2">
      <c r="A91">
        <f>ROW(Source!A80)</f>
        <v>80</v>
      </c>
      <c r="B91">
        <v>59213216</v>
      </c>
      <c r="C91">
        <v>59213452</v>
      </c>
      <c r="D91">
        <v>58266404</v>
      </c>
      <c r="E91">
        <v>1080</v>
      </c>
      <c r="F91">
        <v>1</v>
      </c>
      <c r="G91">
        <v>1080</v>
      </c>
      <c r="H91">
        <v>1</v>
      </c>
      <c r="I91" t="s">
        <v>331</v>
      </c>
      <c r="J91" t="s">
        <v>3</v>
      </c>
      <c r="K91" t="s">
        <v>332</v>
      </c>
      <c r="L91">
        <v>1191</v>
      </c>
      <c r="N91">
        <v>1013</v>
      </c>
      <c r="O91" t="s">
        <v>333</v>
      </c>
      <c r="P91" t="s">
        <v>333</v>
      </c>
      <c r="Q91">
        <v>1</v>
      </c>
      <c r="W91">
        <v>0</v>
      </c>
      <c r="X91">
        <v>476480486</v>
      </c>
      <c r="Y91">
        <f>(AT91*1.1)</f>
        <v>3.4980000000000007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3.18</v>
      </c>
      <c r="AU91" t="s">
        <v>26</v>
      </c>
      <c r="AV91">
        <v>1</v>
      </c>
      <c r="AW91">
        <v>2</v>
      </c>
      <c r="AX91">
        <v>59213876</v>
      </c>
      <c r="AY91">
        <v>1</v>
      </c>
      <c r="AZ91">
        <v>0</v>
      </c>
      <c r="BA91">
        <v>103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ROUND(AT91*Source!I80*AH91*AL91,2)</f>
        <v>0</v>
      </c>
      <c r="CV91">
        <f>ROUND(Y91*Source!I80,9)</f>
        <v>3.4980000000000002</v>
      </c>
      <c r="CW91">
        <v>0</v>
      </c>
      <c r="CX91">
        <f>ROUND(Y91*Source!I80,9)</f>
        <v>3.4980000000000002</v>
      </c>
      <c r="CY91">
        <f>AD91</f>
        <v>0</v>
      </c>
      <c r="CZ91">
        <f>AH91</f>
        <v>0</v>
      </c>
      <c r="DA91">
        <f>AL91</f>
        <v>1</v>
      </c>
      <c r="DB91">
        <f>ROUND((ROUND(AT91*CZ91,2)*1.1),6)</f>
        <v>0</v>
      </c>
      <c r="DC91">
        <f>ROUND((ROUND(AT91*AG91,2)*1.1),6)</f>
        <v>0</v>
      </c>
      <c r="DD91" t="s">
        <v>3</v>
      </c>
      <c r="DE91" t="s">
        <v>3</v>
      </c>
      <c r="DF91">
        <f t="shared" si="47"/>
        <v>0</v>
      </c>
      <c r="DG91">
        <f t="shared" ref="DG91:DG103" si="48">ROUND(ROUND(AF91,2)*CX91,2)</f>
        <v>0</v>
      </c>
      <c r="DH91">
        <f t="shared" ref="DH91:DH103" si="49">ROUND(ROUND(AG91,2)*CX91,2)</f>
        <v>0</v>
      </c>
      <c r="DI91">
        <f t="shared" si="44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ROW(Source!A80)</f>
        <v>80</v>
      </c>
      <c r="B92">
        <v>59213216</v>
      </c>
      <c r="C92">
        <v>59213452</v>
      </c>
      <c r="D92">
        <v>58310652</v>
      </c>
      <c r="E92">
        <v>1</v>
      </c>
      <c r="F92">
        <v>1</v>
      </c>
      <c r="G92">
        <v>1080</v>
      </c>
      <c r="H92">
        <v>3</v>
      </c>
      <c r="I92" t="s">
        <v>399</v>
      </c>
      <c r="J92" t="s">
        <v>400</v>
      </c>
      <c r="K92" t="s">
        <v>401</v>
      </c>
      <c r="L92">
        <v>1346</v>
      </c>
      <c r="N92">
        <v>1009</v>
      </c>
      <c r="O92" t="s">
        <v>244</v>
      </c>
      <c r="P92" t="s">
        <v>244</v>
      </c>
      <c r="Q92">
        <v>1</v>
      </c>
      <c r="W92">
        <v>0</v>
      </c>
      <c r="X92">
        <v>1225168167</v>
      </c>
      <c r="Y92">
        <f>(AT92*1)</f>
        <v>6.2700000000000004E-3</v>
      </c>
      <c r="AA92">
        <v>27.62</v>
      </c>
      <c r="AB92">
        <v>0</v>
      </c>
      <c r="AC92">
        <v>0</v>
      </c>
      <c r="AD92">
        <v>0</v>
      </c>
      <c r="AE92">
        <v>27.62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6.2700000000000004E-3</v>
      </c>
      <c r="AU92" t="s">
        <v>25</v>
      </c>
      <c r="AV92">
        <v>0</v>
      </c>
      <c r="AW92">
        <v>2</v>
      </c>
      <c r="AX92">
        <v>59213877</v>
      </c>
      <c r="AY92">
        <v>1</v>
      </c>
      <c r="AZ92">
        <v>0</v>
      </c>
      <c r="BA92">
        <v>104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ROUND(Y92*Source!I80,9)</f>
        <v>6.2700000000000004E-3</v>
      </c>
      <c r="CY92">
        <f>AA92</f>
        <v>27.62</v>
      </c>
      <c r="CZ92">
        <f>AE92</f>
        <v>27.62</v>
      </c>
      <c r="DA92">
        <f>AI92</f>
        <v>1</v>
      </c>
      <c r="DB92">
        <f>ROUND((ROUND(AT92*CZ92,2)*1),6)</f>
        <v>0.17</v>
      </c>
      <c r="DC92">
        <f>ROUND((ROUND(AT92*AG92,2)*1),6)</f>
        <v>0</v>
      </c>
      <c r="DD92" t="s">
        <v>3</v>
      </c>
      <c r="DE92" t="s">
        <v>3</v>
      </c>
      <c r="DF92">
        <f t="shared" si="47"/>
        <v>0.17</v>
      </c>
      <c r="DG92">
        <f t="shared" si="48"/>
        <v>0</v>
      </c>
      <c r="DH92">
        <f t="shared" si="49"/>
        <v>0</v>
      </c>
      <c r="DI92">
        <f t="shared" si="44"/>
        <v>0</v>
      </c>
      <c r="DJ92">
        <f>DF92</f>
        <v>0.17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ROW(Source!A80)</f>
        <v>80</v>
      </c>
      <c r="B93">
        <v>59213216</v>
      </c>
      <c r="C93">
        <v>59213452</v>
      </c>
      <c r="D93">
        <v>58309371</v>
      </c>
      <c r="E93">
        <v>1</v>
      </c>
      <c r="F93">
        <v>1</v>
      </c>
      <c r="G93">
        <v>1080</v>
      </c>
      <c r="H93">
        <v>3</v>
      </c>
      <c r="I93" t="s">
        <v>391</v>
      </c>
      <c r="J93" t="s">
        <v>392</v>
      </c>
      <c r="K93" t="s">
        <v>393</v>
      </c>
      <c r="L93">
        <v>1348</v>
      </c>
      <c r="N93">
        <v>1009</v>
      </c>
      <c r="O93" t="s">
        <v>345</v>
      </c>
      <c r="P93" t="s">
        <v>345</v>
      </c>
      <c r="Q93">
        <v>1000</v>
      </c>
      <c r="W93">
        <v>0</v>
      </c>
      <c r="X93">
        <v>-1945031955</v>
      </c>
      <c r="Y93">
        <f>(AT93*1)</f>
        <v>1.0000000000000001E-5</v>
      </c>
      <c r="AA93">
        <v>64123.05</v>
      </c>
      <c r="AB93">
        <v>0</v>
      </c>
      <c r="AC93">
        <v>0</v>
      </c>
      <c r="AD93">
        <v>0</v>
      </c>
      <c r="AE93">
        <v>64123.05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1.0000000000000001E-5</v>
      </c>
      <c r="AU93" t="s">
        <v>25</v>
      </c>
      <c r="AV93">
        <v>0</v>
      </c>
      <c r="AW93">
        <v>2</v>
      </c>
      <c r="AX93">
        <v>59213878</v>
      </c>
      <c r="AY93">
        <v>1</v>
      </c>
      <c r="AZ93">
        <v>0</v>
      </c>
      <c r="BA93">
        <v>105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ROUND(Y93*Source!I80,9)</f>
        <v>1.0000000000000001E-5</v>
      </c>
      <c r="CY93">
        <f>AA93</f>
        <v>64123.05</v>
      </c>
      <c r="CZ93">
        <f>AE93</f>
        <v>64123.05</v>
      </c>
      <c r="DA93">
        <f>AI93</f>
        <v>1</v>
      </c>
      <c r="DB93">
        <f>ROUND((ROUND(AT93*CZ93,2)*1),6)</f>
        <v>0.64</v>
      </c>
      <c r="DC93">
        <f>ROUND((ROUND(AT93*AG93,2)*1),6)</f>
        <v>0</v>
      </c>
      <c r="DD93" t="s">
        <v>3</v>
      </c>
      <c r="DE93" t="s">
        <v>3</v>
      </c>
      <c r="DF93">
        <f t="shared" si="47"/>
        <v>0.64</v>
      </c>
      <c r="DG93">
        <f t="shared" si="48"/>
        <v>0</v>
      </c>
      <c r="DH93">
        <f t="shared" si="49"/>
        <v>0</v>
      </c>
      <c r="DI93">
        <f t="shared" si="44"/>
        <v>0</v>
      </c>
      <c r="DJ93">
        <f>DF93</f>
        <v>0.64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ROW(Source!A80)</f>
        <v>80</v>
      </c>
      <c r="B94">
        <v>59213216</v>
      </c>
      <c r="C94">
        <v>59213452</v>
      </c>
      <c r="D94">
        <v>58319263</v>
      </c>
      <c r="E94">
        <v>1</v>
      </c>
      <c r="F94">
        <v>1</v>
      </c>
      <c r="G94">
        <v>1080</v>
      </c>
      <c r="H94">
        <v>3</v>
      </c>
      <c r="I94" t="s">
        <v>402</v>
      </c>
      <c r="J94" t="s">
        <v>403</v>
      </c>
      <c r="K94" t="s">
        <v>404</v>
      </c>
      <c r="L94">
        <v>1354</v>
      </c>
      <c r="N94">
        <v>1010</v>
      </c>
      <c r="O94" t="s">
        <v>34</v>
      </c>
      <c r="P94" t="s">
        <v>34</v>
      </c>
      <c r="Q94">
        <v>1</v>
      </c>
      <c r="W94">
        <v>0</v>
      </c>
      <c r="X94">
        <v>314181591</v>
      </c>
      <c r="Y94">
        <f>(AT94*1)</f>
        <v>0.1</v>
      </c>
      <c r="AA94">
        <v>15.25</v>
      </c>
      <c r="AB94">
        <v>0</v>
      </c>
      <c r="AC94">
        <v>0</v>
      </c>
      <c r="AD94">
        <v>0</v>
      </c>
      <c r="AE94">
        <v>15.25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</v>
      </c>
      <c r="AU94" t="s">
        <v>25</v>
      </c>
      <c r="AV94">
        <v>0</v>
      </c>
      <c r="AW94">
        <v>2</v>
      </c>
      <c r="AX94">
        <v>59213879</v>
      </c>
      <c r="AY94">
        <v>1</v>
      </c>
      <c r="AZ94">
        <v>0</v>
      </c>
      <c r="BA94">
        <v>106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ROUND(Y94*Source!I80,9)</f>
        <v>0.1</v>
      </c>
      <c r="CY94">
        <f>AA94</f>
        <v>15.25</v>
      </c>
      <c r="CZ94">
        <f>AE94</f>
        <v>15.25</v>
      </c>
      <c r="DA94">
        <f>AI94</f>
        <v>1</v>
      </c>
      <c r="DB94">
        <f>ROUND((ROUND(AT94*CZ94,2)*1),6)</f>
        <v>1.53</v>
      </c>
      <c r="DC94">
        <f>ROUND((ROUND(AT94*AG94,2)*1),6)</f>
        <v>0</v>
      </c>
      <c r="DD94" t="s">
        <v>3</v>
      </c>
      <c r="DE94" t="s">
        <v>3</v>
      </c>
      <c r="DF94">
        <f t="shared" si="47"/>
        <v>1.53</v>
      </c>
      <c r="DG94">
        <f t="shared" si="48"/>
        <v>0</v>
      </c>
      <c r="DH94">
        <f t="shared" si="49"/>
        <v>0</v>
      </c>
      <c r="DI94">
        <f t="shared" si="44"/>
        <v>0</v>
      </c>
      <c r="DJ94">
        <f>DF94</f>
        <v>1.53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ROW(Source!A81)</f>
        <v>81</v>
      </c>
      <c r="B95">
        <v>59213213</v>
      </c>
      <c r="C95">
        <v>59213452</v>
      </c>
      <c r="D95">
        <v>58266404</v>
      </c>
      <c r="E95">
        <v>1080</v>
      </c>
      <c r="F95">
        <v>1</v>
      </c>
      <c r="G95">
        <v>1080</v>
      </c>
      <c r="H95">
        <v>1</v>
      </c>
      <c r="I95" t="s">
        <v>331</v>
      </c>
      <c r="J95" t="s">
        <v>3</v>
      </c>
      <c r="K95" t="s">
        <v>332</v>
      </c>
      <c r="L95">
        <v>1191</v>
      </c>
      <c r="N95">
        <v>1013</v>
      </c>
      <c r="O95" t="s">
        <v>333</v>
      </c>
      <c r="P95" t="s">
        <v>333</v>
      </c>
      <c r="Q95">
        <v>1</v>
      </c>
      <c r="W95">
        <v>0</v>
      </c>
      <c r="X95">
        <v>476480486</v>
      </c>
      <c r="Y95">
        <f>(AT95*1.1)</f>
        <v>3.4980000000000007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5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3.18</v>
      </c>
      <c r="AU95" t="s">
        <v>26</v>
      </c>
      <c r="AV95">
        <v>1</v>
      </c>
      <c r="AW95">
        <v>2</v>
      </c>
      <c r="AX95">
        <v>59213876</v>
      </c>
      <c r="AY95">
        <v>1</v>
      </c>
      <c r="AZ95">
        <v>0</v>
      </c>
      <c r="BA95">
        <v>108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ROUND(AT95*Source!I81*AH95*AL95,2)</f>
        <v>0</v>
      </c>
      <c r="CV95">
        <f>ROUND(Y95*Source!I81,9)</f>
        <v>3.4980000000000002</v>
      </c>
      <c r="CW95">
        <v>0</v>
      </c>
      <c r="CX95">
        <f>ROUND(Y95*Source!I81,9)</f>
        <v>3.4980000000000002</v>
      </c>
      <c r="CY95">
        <f>AD95</f>
        <v>0</v>
      </c>
      <c r="CZ95">
        <f>AH95</f>
        <v>0</v>
      </c>
      <c r="DA95">
        <f>AL95</f>
        <v>1</v>
      </c>
      <c r="DB95">
        <f>ROUND((ROUND(AT95*CZ95,2)*1.1),6)</f>
        <v>0</v>
      </c>
      <c r="DC95">
        <f>ROUND((ROUND(AT95*AG95,2)*1.1),6)</f>
        <v>0</v>
      </c>
      <c r="DD95" t="s">
        <v>3</v>
      </c>
      <c r="DE95" t="s">
        <v>3</v>
      </c>
      <c r="DF95">
        <f t="shared" si="47"/>
        <v>0</v>
      </c>
      <c r="DG95">
        <f t="shared" si="48"/>
        <v>0</v>
      </c>
      <c r="DH95">
        <f t="shared" si="49"/>
        <v>0</v>
      </c>
      <c r="DI95">
        <f t="shared" si="44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ROW(Source!A81)</f>
        <v>81</v>
      </c>
      <c r="B96">
        <v>59213213</v>
      </c>
      <c r="C96">
        <v>59213452</v>
      </c>
      <c r="D96">
        <v>58310652</v>
      </c>
      <c r="E96">
        <v>1</v>
      </c>
      <c r="F96">
        <v>1</v>
      </c>
      <c r="G96">
        <v>1080</v>
      </c>
      <c r="H96">
        <v>3</v>
      </c>
      <c r="I96" t="s">
        <v>399</v>
      </c>
      <c r="J96" t="s">
        <v>400</v>
      </c>
      <c r="K96" t="s">
        <v>401</v>
      </c>
      <c r="L96">
        <v>1346</v>
      </c>
      <c r="N96">
        <v>1009</v>
      </c>
      <c r="O96" t="s">
        <v>244</v>
      </c>
      <c r="P96" t="s">
        <v>244</v>
      </c>
      <c r="Q96">
        <v>1</v>
      </c>
      <c r="W96">
        <v>0</v>
      </c>
      <c r="X96">
        <v>1225168167</v>
      </c>
      <c r="Y96">
        <f>(AT96*1)</f>
        <v>6.2700000000000004E-3</v>
      </c>
      <c r="AA96">
        <v>172.35</v>
      </c>
      <c r="AB96">
        <v>0</v>
      </c>
      <c r="AC96">
        <v>0</v>
      </c>
      <c r="AD96">
        <v>0</v>
      </c>
      <c r="AE96">
        <v>27.62</v>
      </c>
      <c r="AF96">
        <v>0</v>
      </c>
      <c r="AG96">
        <v>0</v>
      </c>
      <c r="AH96">
        <v>0</v>
      </c>
      <c r="AI96">
        <v>6.24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6.2700000000000004E-3</v>
      </c>
      <c r="AU96" t="s">
        <v>25</v>
      </c>
      <c r="AV96">
        <v>0</v>
      </c>
      <c r="AW96">
        <v>2</v>
      </c>
      <c r="AX96">
        <v>59213877</v>
      </c>
      <c r="AY96">
        <v>1</v>
      </c>
      <c r="AZ96">
        <v>0</v>
      </c>
      <c r="BA96">
        <v>109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ROUND(Y96*Source!I81,9)</f>
        <v>6.2700000000000004E-3</v>
      </c>
      <c r="CY96">
        <f>AA96</f>
        <v>172.35</v>
      </c>
      <c r="CZ96">
        <f>AE96</f>
        <v>27.62</v>
      </c>
      <c r="DA96">
        <f>AI96</f>
        <v>6.24</v>
      </c>
      <c r="DB96">
        <f>ROUND((ROUND(AT96*CZ96,2)*1),6)</f>
        <v>0.17</v>
      </c>
      <c r="DC96">
        <f>ROUND((ROUND(AT96*AG96,2)*1),6)</f>
        <v>0</v>
      </c>
      <c r="DD96" t="s">
        <v>3</v>
      </c>
      <c r="DE96" t="s">
        <v>3</v>
      </c>
      <c r="DF96">
        <f>ROUND(ROUND(AE96*AI96,2)*CX96,2)</f>
        <v>1.08</v>
      </c>
      <c r="DG96">
        <f t="shared" si="48"/>
        <v>0</v>
      </c>
      <c r="DH96">
        <f t="shared" si="49"/>
        <v>0</v>
      </c>
      <c r="DI96">
        <f t="shared" si="44"/>
        <v>0</v>
      </c>
      <c r="DJ96">
        <f>DF96</f>
        <v>1.08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ROW(Source!A81)</f>
        <v>81</v>
      </c>
      <c r="B97">
        <v>59213213</v>
      </c>
      <c r="C97">
        <v>59213452</v>
      </c>
      <c r="D97">
        <v>58309371</v>
      </c>
      <c r="E97">
        <v>1</v>
      </c>
      <c r="F97">
        <v>1</v>
      </c>
      <c r="G97">
        <v>1080</v>
      </c>
      <c r="H97">
        <v>3</v>
      </c>
      <c r="I97" t="s">
        <v>391</v>
      </c>
      <c r="J97" t="s">
        <v>392</v>
      </c>
      <c r="K97" t="s">
        <v>393</v>
      </c>
      <c r="L97">
        <v>1348</v>
      </c>
      <c r="N97">
        <v>1009</v>
      </c>
      <c r="O97" t="s">
        <v>345</v>
      </c>
      <c r="P97" t="s">
        <v>345</v>
      </c>
      <c r="Q97">
        <v>1000</v>
      </c>
      <c r="W97">
        <v>0</v>
      </c>
      <c r="X97">
        <v>-1945031955</v>
      </c>
      <c r="Y97">
        <f>(AT97*1)</f>
        <v>1.0000000000000001E-5</v>
      </c>
      <c r="AA97">
        <v>1930103.81</v>
      </c>
      <c r="AB97">
        <v>0</v>
      </c>
      <c r="AC97">
        <v>0</v>
      </c>
      <c r="AD97">
        <v>0</v>
      </c>
      <c r="AE97">
        <v>64123.05</v>
      </c>
      <c r="AF97">
        <v>0</v>
      </c>
      <c r="AG97">
        <v>0</v>
      </c>
      <c r="AH97">
        <v>0</v>
      </c>
      <c r="AI97">
        <v>30.1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1.0000000000000001E-5</v>
      </c>
      <c r="AU97" t="s">
        <v>25</v>
      </c>
      <c r="AV97">
        <v>0</v>
      </c>
      <c r="AW97">
        <v>2</v>
      </c>
      <c r="AX97">
        <v>59213878</v>
      </c>
      <c r="AY97">
        <v>1</v>
      </c>
      <c r="AZ97">
        <v>0</v>
      </c>
      <c r="BA97">
        <v>110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ROUND(Y97*Source!I81,9)</f>
        <v>1.0000000000000001E-5</v>
      </c>
      <c r="CY97">
        <f>AA97</f>
        <v>1930103.81</v>
      </c>
      <c r="CZ97">
        <f>AE97</f>
        <v>64123.05</v>
      </c>
      <c r="DA97">
        <f>AI97</f>
        <v>30.1</v>
      </c>
      <c r="DB97">
        <f>ROUND((ROUND(AT97*CZ97,2)*1),6)</f>
        <v>0.64</v>
      </c>
      <c r="DC97">
        <f>ROUND((ROUND(AT97*AG97,2)*1),6)</f>
        <v>0</v>
      </c>
      <c r="DD97" t="s">
        <v>3</v>
      </c>
      <c r="DE97" t="s">
        <v>3</v>
      </c>
      <c r="DF97">
        <f>ROUND(ROUND(AE97*AI97,2)*CX97,2)</f>
        <v>19.3</v>
      </c>
      <c r="DG97">
        <f t="shared" si="48"/>
        <v>0</v>
      </c>
      <c r="DH97">
        <f t="shared" si="49"/>
        <v>0</v>
      </c>
      <c r="DI97">
        <f t="shared" si="44"/>
        <v>0</v>
      </c>
      <c r="DJ97">
        <f>DF97</f>
        <v>19.3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ROW(Source!A81)</f>
        <v>81</v>
      </c>
      <c r="B98">
        <v>59213213</v>
      </c>
      <c r="C98">
        <v>59213452</v>
      </c>
      <c r="D98">
        <v>58319263</v>
      </c>
      <c r="E98">
        <v>1</v>
      </c>
      <c r="F98">
        <v>1</v>
      </c>
      <c r="G98">
        <v>1080</v>
      </c>
      <c r="H98">
        <v>3</v>
      </c>
      <c r="I98" t="s">
        <v>402</v>
      </c>
      <c r="J98" t="s">
        <v>403</v>
      </c>
      <c r="K98" t="s">
        <v>404</v>
      </c>
      <c r="L98">
        <v>1354</v>
      </c>
      <c r="N98">
        <v>1010</v>
      </c>
      <c r="O98" t="s">
        <v>34</v>
      </c>
      <c r="P98" t="s">
        <v>34</v>
      </c>
      <c r="Q98">
        <v>1</v>
      </c>
      <c r="W98">
        <v>0</v>
      </c>
      <c r="X98">
        <v>314181591</v>
      </c>
      <c r="Y98">
        <f>(AT98*1)</f>
        <v>0.1</v>
      </c>
      <c r="AA98">
        <v>36.14</v>
      </c>
      <c r="AB98">
        <v>0</v>
      </c>
      <c r="AC98">
        <v>0</v>
      </c>
      <c r="AD98">
        <v>0</v>
      </c>
      <c r="AE98">
        <v>15.25</v>
      </c>
      <c r="AF98">
        <v>0</v>
      </c>
      <c r="AG98">
        <v>0</v>
      </c>
      <c r="AH98">
        <v>0</v>
      </c>
      <c r="AI98">
        <v>2.37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0.1</v>
      </c>
      <c r="AU98" t="s">
        <v>25</v>
      </c>
      <c r="AV98">
        <v>0</v>
      </c>
      <c r="AW98">
        <v>2</v>
      </c>
      <c r="AX98">
        <v>59213879</v>
      </c>
      <c r="AY98">
        <v>1</v>
      </c>
      <c r="AZ98">
        <v>0</v>
      </c>
      <c r="BA98">
        <v>111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ROUND(Y98*Source!I81,9)</f>
        <v>0.1</v>
      </c>
      <c r="CY98">
        <f>AA98</f>
        <v>36.14</v>
      </c>
      <c r="CZ98">
        <f>AE98</f>
        <v>15.25</v>
      </c>
      <c r="DA98">
        <f>AI98</f>
        <v>2.37</v>
      </c>
      <c r="DB98">
        <f>ROUND((ROUND(AT98*CZ98,2)*1),6)</f>
        <v>1.53</v>
      </c>
      <c r="DC98">
        <f>ROUND((ROUND(AT98*AG98,2)*1),6)</f>
        <v>0</v>
      </c>
      <c r="DD98" t="s">
        <v>3</v>
      </c>
      <c r="DE98" t="s">
        <v>3</v>
      </c>
      <c r="DF98">
        <f>ROUND(ROUND(AE98*AI98,2)*CX98,2)</f>
        <v>3.61</v>
      </c>
      <c r="DG98">
        <f t="shared" si="48"/>
        <v>0</v>
      </c>
      <c r="DH98">
        <f t="shared" si="49"/>
        <v>0</v>
      </c>
      <c r="DI98">
        <f t="shared" si="44"/>
        <v>0</v>
      </c>
      <c r="DJ98">
        <f>DF98</f>
        <v>3.61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ROW(Source!A84)</f>
        <v>84</v>
      </c>
      <c r="B99">
        <v>59213216</v>
      </c>
      <c r="C99">
        <v>59213463</v>
      </c>
      <c r="D99">
        <v>58266404</v>
      </c>
      <c r="E99">
        <v>1080</v>
      </c>
      <c r="F99">
        <v>1</v>
      </c>
      <c r="G99">
        <v>1080</v>
      </c>
      <c r="H99">
        <v>1</v>
      </c>
      <c r="I99" t="s">
        <v>331</v>
      </c>
      <c r="J99" t="s">
        <v>3</v>
      </c>
      <c r="K99" t="s">
        <v>332</v>
      </c>
      <c r="L99">
        <v>1191</v>
      </c>
      <c r="N99">
        <v>1013</v>
      </c>
      <c r="O99" t="s">
        <v>333</v>
      </c>
      <c r="P99" t="s">
        <v>333</v>
      </c>
      <c r="Q99">
        <v>1</v>
      </c>
      <c r="W99">
        <v>0</v>
      </c>
      <c r="X99">
        <v>476480486</v>
      </c>
      <c r="Y99">
        <f>(AT99*1.1)</f>
        <v>6.8200000000000012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6.2</v>
      </c>
      <c r="AU99" t="s">
        <v>26</v>
      </c>
      <c r="AV99">
        <v>1</v>
      </c>
      <c r="AW99">
        <v>2</v>
      </c>
      <c r="AX99">
        <v>59213881</v>
      </c>
      <c r="AY99">
        <v>1</v>
      </c>
      <c r="AZ99">
        <v>0</v>
      </c>
      <c r="BA99">
        <v>113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ROUND(AT99*Source!I84*AH99*AL99,2)</f>
        <v>0</v>
      </c>
      <c r="CV99">
        <f>ROUND(Y99*Source!I84,9)</f>
        <v>47.74</v>
      </c>
      <c r="CW99">
        <v>0</v>
      </c>
      <c r="CX99">
        <f>ROUND(Y99*Source!I84,9)</f>
        <v>47.74</v>
      </c>
      <c r="CY99">
        <f>AD99</f>
        <v>0</v>
      </c>
      <c r="CZ99">
        <f>AH99</f>
        <v>0</v>
      </c>
      <c r="DA99">
        <f>AL99</f>
        <v>1</v>
      </c>
      <c r="DB99">
        <f>ROUND((ROUND(AT99*CZ99,2)*1.1),6)</f>
        <v>0</v>
      </c>
      <c r="DC99">
        <f>ROUND((ROUND(AT99*AG99,2)*1.1),6)</f>
        <v>0</v>
      </c>
      <c r="DD99" t="s">
        <v>3</v>
      </c>
      <c r="DE99" t="s">
        <v>3</v>
      </c>
      <c r="DF99">
        <f t="shared" ref="DF99:DF104" si="50">ROUND(ROUND(AE99,2)*CX99,2)</f>
        <v>0</v>
      </c>
      <c r="DG99">
        <f t="shared" si="48"/>
        <v>0</v>
      </c>
      <c r="DH99">
        <f t="shared" si="49"/>
        <v>0</v>
      </c>
      <c r="DI99">
        <f t="shared" si="44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ROW(Source!A84)</f>
        <v>84</v>
      </c>
      <c r="B100">
        <v>59213216</v>
      </c>
      <c r="C100">
        <v>59213463</v>
      </c>
      <c r="D100">
        <v>58339884</v>
      </c>
      <c r="E100">
        <v>1</v>
      </c>
      <c r="F100">
        <v>1</v>
      </c>
      <c r="G100">
        <v>1080</v>
      </c>
      <c r="H100">
        <v>2</v>
      </c>
      <c r="I100" t="s">
        <v>405</v>
      </c>
      <c r="J100" t="s">
        <v>406</v>
      </c>
      <c r="K100" t="s">
        <v>407</v>
      </c>
      <c r="L100">
        <v>1368</v>
      </c>
      <c r="N100">
        <v>1011</v>
      </c>
      <c r="O100" t="s">
        <v>337</v>
      </c>
      <c r="P100" t="s">
        <v>337</v>
      </c>
      <c r="Q100">
        <v>1</v>
      </c>
      <c r="W100">
        <v>0</v>
      </c>
      <c r="X100">
        <v>518089143</v>
      </c>
      <c r="Y100">
        <f>(AT100*1.1)</f>
        <v>0.27500000000000002</v>
      </c>
      <c r="AA100">
        <v>0</v>
      </c>
      <c r="AB100">
        <v>120.23</v>
      </c>
      <c r="AC100">
        <v>13.21</v>
      </c>
      <c r="AD100">
        <v>0</v>
      </c>
      <c r="AE100">
        <v>0</v>
      </c>
      <c r="AF100">
        <v>114.83</v>
      </c>
      <c r="AG100">
        <v>12.62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0.25</v>
      </c>
      <c r="AU100" t="s">
        <v>26</v>
      </c>
      <c r="AV100">
        <v>0</v>
      </c>
      <c r="AW100">
        <v>2</v>
      </c>
      <c r="AX100">
        <v>59213882</v>
      </c>
      <c r="AY100">
        <v>1</v>
      </c>
      <c r="AZ100">
        <v>0</v>
      </c>
      <c r="BA100">
        <v>114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ROUND(Y100*Source!I84*DO100,9)</f>
        <v>24.293500000000002</v>
      </c>
      <c r="CX100">
        <f>ROUND(Y100*Source!I84,9)</f>
        <v>1.925</v>
      </c>
      <c r="CY100">
        <f>AB100</f>
        <v>120.23</v>
      </c>
      <c r="CZ100">
        <f>AF100</f>
        <v>114.83</v>
      </c>
      <c r="DA100">
        <f>AJ100</f>
        <v>1</v>
      </c>
      <c r="DB100">
        <f>ROUND((ROUND(AT100*CZ100,2)*1.1),6)</f>
        <v>31.581</v>
      </c>
      <c r="DC100">
        <f>ROUND((ROUND(AT100*AG100,2)*1.1),6)</f>
        <v>3.476</v>
      </c>
      <c r="DD100" t="s">
        <v>3</v>
      </c>
      <c r="DE100" t="s">
        <v>3</v>
      </c>
      <c r="DF100">
        <f t="shared" si="50"/>
        <v>0</v>
      </c>
      <c r="DG100">
        <f t="shared" si="48"/>
        <v>221.05</v>
      </c>
      <c r="DH100">
        <f t="shared" si="49"/>
        <v>24.29</v>
      </c>
      <c r="DI100">
        <f t="shared" si="44"/>
        <v>0</v>
      </c>
      <c r="DJ100">
        <f>DG100</f>
        <v>221.05</v>
      </c>
      <c r="DK100">
        <v>0</v>
      </c>
      <c r="DL100" t="s">
        <v>338</v>
      </c>
      <c r="DM100">
        <v>0</v>
      </c>
      <c r="DN100" t="s">
        <v>333</v>
      </c>
      <c r="DO100">
        <v>12.62</v>
      </c>
    </row>
    <row r="101" spans="1:119" x14ac:dyDescent="0.2">
      <c r="A101">
        <f>ROW(Source!A84)</f>
        <v>84</v>
      </c>
      <c r="B101">
        <v>59213216</v>
      </c>
      <c r="C101">
        <v>59213463</v>
      </c>
      <c r="D101">
        <v>58311298</v>
      </c>
      <c r="E101">
        <v>1</v>
      </c>
      <c r="F101">
        <v>1</v>
      </c>
      <c r="G101">
        <v>1080</v>
      </c>
      <c r="H101">
        <v>3</v>
      </c>
      <c r="I101" t="s">
        <v>408</v>
      </c>
      <c r="J101" t="s">
        <v>409</v>
      </c>
      <c r="K101" t="s">
        <v>410</v>
      </c>
      <c r="L101">
        <v>1348</v>
      </c>
      <c r="N101">
        <v>1009</v>
      </c>
      <c r="O101" t="s">
        <v>345</v>
      </c>
      <c r="P101" t="s">
        <v>345</v>
      </c>
      <c r="Q101">
        <v>1000</v>
      </c>
      <c r="W101">
        <v>0</v>
      </c>
      <c r="X101">
        <v>1940187695</v>
      </c>
      <c r="Y101">
        <f>(AT101*1)</f>
        <v>1.1000000000000001E-3</v>
      </c>
      <c r="AA101">
        <v>10643.18</v>
      </c>
      <c r="AB101">
        <v>0</v>
      </c>
      <c r="AC101">
        <v>0</v>
      </c>
      <c r="AD101">
        <v>0</v>
      </c>
      <c r="AE101">
        <v>10643.18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1.1000000000000001E-3</v>
      </c>
      <c r="AU101" t="s">
        <v>25</v>
      </c>
      <c r="AV101">
        <v>0</v>
      </c>
      <c r="AW101">
        <v>2</v>
      </c>
      <c r="AX101">
        <v>59213883</v>
      </c>
      <c r="AY101">
        <v>1</v>
      </c>
      <c r="AZ101">
        <v>0</v>
      </c>
      <c r="BA101">
        <v>115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ROUND(Y101*Source!I84,9)</f>
        <v>7.7000000000000002E-3</v>
      </c>
      <c r="CY101">
        <f>AA101</f>
        <v>10643.18</v>
      </c>
      <c r="CZ101">
        <f>AE101</f>
        <v>10643.18</v>
      </c>
      <c r="DA101">
        <f>AI101</f>
        <v>1</v>
      </c>
      <c r="DB101">
        <f>ROUND((ROUND(AT101*CZ101,2)*1),6)</f>
        <v>11.71</v>
      </c>
      <c r="DC101">
        <f>ROUND((ROUND(AT101*AG101,2)*1),6)</f>
        <v>0</v>
      </c>
      <c r="DD101" t="s">
        <v>3</v>
      </c>
      <c r="DE101" t="s">
        <v>3</v>
      </c>
      <c r="DF101">
        <f t="shared" si="50"/>
        <v>81.95</v>
      </c>
      <c r="DG101">
        <f t="shared" si="48"/>
        <v>0</v>
      </c>
      <c r="DH101">
        <f t="shared" si="49"/>
        <v>0</v>
      </c>
      <c r="DI101">
        <f t="shared" si="44"/>
        <v>0</v>
      </c>
      <c r="DJ101">
        <f>DF101</f>
        <v>81.95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ROW(Source!A84)</f>
        <v>84</v>
      </c>
      <c r="B102">
        <v>59213216</v>
      </c>
      <c r="C102">
        <v>59213463</v>
      </c>
      <c r="D102">
        <v>58309371</v>
      </c>
      <c r="E102">
        <v>1</v>
      </c>
      <c r="F102">
        <v>1</v>
      </c>
      <c r="G102">
        <v>1080</v>
      </c>
      <c r="H102">
        <v>3</v>
      </c>
      <c r="I102" t="s">
        <v>391</v>
      </c>
      <c r="J102" t="s">
        <v>392</v>
      </c>
      <c r="K102" t="s">
        <v>393</v>
      </c>
      <c r="L102">
        <v>1348</v>
      </c>
      <c r="N102">
        <v>1009</v>
      </c>
      <c r="O102" t="s">
        <v>345</v>
      </c>
      <c r="P102" t="s">
        <v>345</v>
      </c>
      <c r="Q102">
        <v>1000</v>
      </c>
      <c r="W102">
        <v>0</v>
      </c>
      <c r="X102">
        <v>-1945031955</v>
      </c>
      <c r="Y102">
        <f>(AT102*1)</f>
        <v>1.0000000000000001E-5</v>
      </c>
      <c r="AA102">
        <v>64123.05</v>
      </c>
      <c r="AB102">
        <v>0</v>
      </c>
      <c r="AC102">
        <v>0</v>
      </c>
      <c r="AD102">
        <v>0</v>
      </c>
      <c r="AE102">
        <v>64123.05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1.0000000000000001E-5</v>
      </c>
      <c r="AU102" t="s">
        <v>25</v>
      </c>
      <c r="AV102">
        <v>0</v>
      </c>
      <c r="AW102">
        <v>2</v>
      </c>
      <c r="AX102">
        <v>59213884</v>
      </c>
      <c r="AY102">
        <v>1</v>
      </c>
      <c r="AZ102">
        <v>0</v>
      </c>
      <c r="BA102">
        <v>116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ROUND(Y102*Source!I84,9)</f>
        <v>6.9999999999999994E-5</v>
      </c>
      <c r="CY102">
        <f>AA102</f>
        <v>64123.05</v>
      </c>
      <c r="CZ102">
        <f>AE102</f>
        <v>64123.05</v>
      </c>
      <c r="DA102">
        <f>AI102</f>
        <v>1</v>
      </c>
      <c r="DB102">
        <f>ROUND((ROUND(AT102*CZ102,2)*1),6)</f>
        <v>0.64</v>
      </c>
      <c r="DC102">
        <f>ROUND((ROUND(AT102*AG102,2)*1),6)</f>
        <v>0</v>
      </c>
      <c r="DD102" t="s">
        <v>3</v>
      </c>
      <c r="DE102" t="s">
        <v>3</v>
      </c>
      <c r="DF102">
        <f t="shared" si="50"/>
        <v>4.49</v>
      </c>
      <c r="DG102">
        <f t="shared" si="48"/>
        <v>0</v>
      </c>
      <c r="DH102">
        <f t="shared" si="49"/>
        <v>0</v>
      </c>
      <c r="DI102">
        <f t="shared" si="44"/>
        <v>0</v>
      </c>
      <c r="DJ102">
        <f>DF102</f>
        <v>4.49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ROW(Source!A85)</f>
        <v>85</v>
      </c>
      <c r="B103">
        <v>59213213</v>
      </c>
      <c r="C103">
        <v>59213463</v>
      </c>
      <c r="D103">
        <v>58266404</v>
      </c>
      <c r="E103">
        <v>1080</v>
      </c>
      <c r="F103">
        <v>1</v>
      </c>
      <c r="G103">
        <v>1080</v>
      </c>
      <c r="H103">
        <v>1</v>
      </c>
      <c r="I103" t="s">
        <v>331</v>
      </c>
      <c r="J103" t="s">
        <v>3</v>
      </c>
      <c r="K103" t="s">
        <v>332</v>
      </c>
      <c r="L103">
        <v>1191</v>
      </c>
      <c r="N103">
        <v>1013</v>
      </c>
      <c r="O103" t="s">
        <v>333</v>
      </c>
      <c r="P103" t="s">
        <v>333</v>
      </c>
      <c r="Q103">
        <v>1</v>
      </c>
      <c r="W103">
        <v>0</v>
      </c>
      <c r="X103">
        <v>476480486</v>
      </c>
      <c r="Y103">
        <f>(AT103*1.1)</f>
        <v>6.8200000000000012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6.2</v>
      </c>
      <c r="AU103" t="s">
        <v>26</v>
      </c>
      <c r="AV103">
        <v>1</v>
      </c>
      <c r="AW103">
        <v>2</v>
      </c>
      <c r="AX103">
        <v>59213881</v>
      </c>
      <c r="AY103">
        <v>1</v>
      </c>
      <c r="AZ103">
        <v>0</v>
      </c>
      <c r="BA103">
        <v>118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ROUND(AT103*Source!I85*AH103*AL103,2)</f>
        <v>0</v>
      </c>
      <c r="CV103">
        <f>ROUND(Y103*Source!I85,9)</f>
        <v>47.74</v>
      </c>
      <c r="CW103">
        <v>0</v>
      </c>
      <c r="CX103">
        <f>ROUND(Y103*Source!I85,9)</f>
        <v>47.74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ROUND((ROUND(AT103*CZ103,2)*1.1),6)</f>
        <v>0</v>
      </c>
      <c r="DC103">
        <f>ROUND((ROUND(AT103*AG103,2)*1.1),6)</f>
        <v>0</v>
      </c>
      <c r="DD103" t="s">
        <v>3</v>
      </c>
      <c r="DE103" t="s">
        <v>3</v>
      </c>
      <c r="DF103">
        <f t="shared" si="50"/>
        <v>0</v>
      </c>
      <c r="DG103">
        <f t="shared" si="48"/>
        <v>0</v>
      </c>
      <c r="DH103">
        <f t="shared" si="49"/>
        <v>0</v>
      </c>
      <c r="DI103">
        <f t="shared" si="44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ROW(Source!A85)</f>
        <v>85</v>
      </c>
      <c r="B104">
        <v>59213213</v>
      </c>
      <c r="C104">
        <v>59213463</v>
      </c>
      <c r="D104">
        <v>58339884</v>
      </c>
      <c r="E104">
        <v>1</v>
      </c>
      <c r="F104">
        <v>1</v>
      </c>
      <c r="G104">
        <v>1080</v>
      </c>
      <c r="H104">
        <v>2</v>
      </c>
      <c r="I104" t="s">
        <v>405</v>
      </c>
      <c r="J104" t="s">
        <v>406</v>
      </c>
      <c r="K104" t="s">
        <v>407</v>
      </c>
      <c r="L104">
        <v>1368</v>
      </c>
      <c r="N104">
        <v>1011</v>
      </c>
      <c r="O104" t="s">
        <v>337</v>
      </c>
      <c r="P104" t="s">
        <v>337</v>
      </c>
      <c r="Q104">
        <v>1</v>
      </c>
      <c r="W104">
        <v>0</v>
      </c>
      <c r="X104">
        <v>518089143</v>
      </c>
      <c r="Y104">
        <f>(AT104*1.1)</f>
        <v>0.27500000000000002</v>
      </c>
      <c r="AA104">
        <v>0</v>
      </c>
      <c r="AB104">
        <v>1858.71</v>
      </c>
      <c r="AC104">
        <v>726.59</v>
      </c>
      <c r="AD104">
        <v>0</v>
      </c>
      <c r="AE104">
        <v>0</v>
      </c>
      <c r="AF104">
        <v>114.83</v>
      </c>
      <c r="AG104">
        <v>12.62</v>
      </c>
      <c r="AH104">
        <v>0</v>
      </c>
      <c r="AI104">
        <v>1</v>
      </c>
      <c r="AJ104">
        <v>15.46</v>
      </c>
      <c r="AK104">
        <v>54.99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0.25</v>
      </c>
      <c r="AU104" t="s">
        <v>26</v>
      </c>
      <c r="AV104">
        <v>0</v>
      </c>
      <c r="AW104">
        <v>2</v>
      </c>
      <c r="AX104">
        <v>59213882</v>
      </c>
      <c r="AY104">
        <v>1</v>
      </c>
      <c r="AZ104">
        <v>0</v>
      </c>
      <c r="BA104">
        <v>119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ROUND(Y104*Source!I85*DO104,9)</f>
        <v>24.293500000000002</v>
      </c>
      <c r="CX104">
        <f>ROUND(Y104*Source!I85,9)</f>
        <v>1.925</v>
      </c>
      <c r="CY104">
        <f>AB104</f>
        <v>1858.71</v>
      </c>
      <c r="CZ104">
        <f>AF104</f>
        <v>114.83</v>
      </c>
      <c r="DA104">
        <f>AJ104</f>
        <v>15.46</v>
      </c>
      <c r="DB104">
        <f>ROUND((ROUND(AT104*CZ104,2)*1.1),6)</f>
        <v>31.581</v>
      </c>
      <c r="DC104">
        <f>ROUND((ROUND(AT104*AG104,2)*1.1),6)</f>
        <v>3.476</v>
      </c>
      <c r="DD104" t="s">
        <v>3</v>
      </c>
      <c r="DE104" t="s">
        <v>3</v>
      </c>
      <c r="DF104">
        <f t="shared" si="50"/>
        <v>0</v>
      </c>
      <c r="DG104">
        <f>ROUND(ROUND(AF104*AJ104,2)*CX104,2)</f>
        <v>3417.39</v>
      </c>
      <c r="DH104">
        <f>ROUND(ROUND(AG104*AK104,2)*CX104,2)</f>
        <v>1335.89</v>
      </c>
      <c r="DI104">
        <f t="shared" si="44"/>
        <v>0</v>
      </c>
      <c r="DJ104">
        <f>DG104</f>
        <v>3417.39</v>
      </c>
      <c r="DK104">
        <v>0</v>
      </c>
      <c r="DL104" t="s">
        <v>338</v>
      </c>
      <c r="DM104">
        <v>0</v>
      </c>
      <c r="DN104" t="s">
        <v>333</v>
      </c>
      <c r="DO104">
        <v>12.62</v>
      </c>
    </row>
    <row r="105" spans="1:119" x14ac:dyDescent="0.2">
      <c r="A105">
        <f>ROW(Source!A85)</f>
        <v>85</v>
      </c>
      <c r="B105">
        <v>59213213</v>
      </c>
      <c r="C105">
        <v>59213463</v>
      </c>
      <c r="D105">
        <v>58311298</v>
      </c>
      <c r="E105">
        <v>1</v>
      </c>
      <c r="F105">
        <v>1</v>
      </c>
      <c r="G105">
        <v>1080</v>
      </c>
      <c r="H105">
        <v>3</v>
      </c>
      <c r="I105" t="s">
        <v>408</v>
      </c>
      <c r="J105" t="s">
        <v>409</v>
      </c>
      <c r="K105" t="s">
        <v>410</v>
      </c>
      <c r="L105">
        <v>1348</v>
      </c>
      <c r="N105">
        <v>1009</v>
      </c>
      <c r="O105" t="s">
        <v>345</v>
      </c>
      <c r="P105" t="s">
        <v>345</v>
      </c>
      <c r="Q105">
        <v>1000</v>
      </c>
      <c r="W105">
        <v>0</v>
      </c>
      <c r="X105">
        <v>1940187695</v>
      </c>
      <c r="Y105">
        <f>(AT105*1)</f>
        <v>1.1000000000000001E-3</v>
      </c>
      <c r="AA105">
        <v>147514.47</v>
      </c>
      <c r="AB105">
        <v>0</v>
      </c>
      <c r="AC105">
        <v>0</v>
      </c>
      <c r="AD105">
        <v>0</v>
      </c>
      <c r="AE105">
        <v>10643.18</v>
      </c>
      <c r="AF105">
        <v>0</v>
      </c>
      <c r="AG105">
        <v>0</v>
      </c>
      <c r="AH105">
        <v>0</v>
      </c>
      <c r="AI105">
        <v>13.86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1.1000000000000001E-3</v>
      </c>
      <c r="AU105" t="s">
        <v>25</v>
      </c>
      <c r="AV105">
        <v>0</v>
      </c>
      <c r="AW105">
        <v>2</v>
      </c>
      <c r="AX105">
        <v>59213883</v>
      </c>
      <c r="AY105">
        <v>1</v>
      </c>
      <c r="AZ105">
        <v>0</v>
      </c>
      <c r="BA105">
        <v>120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ROUND(Y105*Source!I85,9)</f>
        <v>7.7000000000000002E-3</v>
      </c>
      <c r="CY105">
        <f>AA105</f>
        <v>147514.47</v>
      </c>
      <c r="CZ105">
        <f>AE105</f>
        <v>10643.18</v>
      </c>
      <c r="DA105">
        <f>AI105</f>
        <v>13.86</v>
      </c>
      <c r="DB105">
        <f>ROUND((ROUND(AT105*CZ105,2)*1),6)</f>
        <v>11.71</v>
      </c>
      <c r="DC105">
        <f>ROUND((ROUND(AT105*AG105,2)*1),6)</f>
        <v>0</v>
      </c>
      <c r="DD105" t="s">
        <v>3</v>
      </c>
      <c r="DE105" t="s">
        <v>3</v>
      </c>
      <c r="DF105">
        <f>ROUND(ROUND(AE105*AI105,2)*CX105,2)</f>
        <v>1135.8599999999999</v>
      </c>
      <c r="DG105">
        <f t="shared" ref="DG105:DG129" si="51">ROUND(ROUND(AF105,2)*CX105,2)</f>
        <v>0</v>
      </c>
      <c r="DH105">
        <f t="shared" ref="DH105:DH129" si="52">ROUND(ROUND(AG105,2)*CX105,2)</f>
        <v>0</v>
      </c>
      <c r="DI105">
        <f t="shared" si="44"/>
        <v>0</v>
      </c>
      <c r="DJ105">
        <f>DF105</f>
        <v>1135.8599999999999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ROW(Source!A85)</f>
        <v>85</v>
      </c>
      <c r="B106">
        <v>59213213</v>
      </c>
      <c r="C106">
        <v>59213463</v>
      </c>
      <c r="D106">
        <v>58309371</v>
      </c>
      <c r="E106">
        <v>1</v>
      </c>
      <c r="F106">
        <v>1</v>
      </c>
      <c r="G106">
        <v>1080</v>
      </c>
      <c r="H106">
        <v>3</v>
      </c>
      <c r="I106" t="s">
        <v>391</v>
      </c>
      <c r="J106" t="s">
        <v>392</v>
      </c>
      <c r="K106" t="s">
        <v>393</v>
      </c>
      <c r="L106">
        <v>1348</v>
      </c>
      <c r="N106">
        <v>1009</v>
      </c>
      <c r="O106" t="s">
        <v>345</v>
      </c>
      <c r="P106" t="s">
        <v>345</v>
      </c>
      <c r="Q106">
        <v>1000</v>
      </c>
      <c r="W106">
        <v>0</v>
      </c>
      <c r="X106">
        <v>-1945031955</v>
      </c>
      <c r="Y106">
        <f>(AT106*1)</f>
        <v>1.0000000000000001E-5</v>
      </c>
      <c r="AA106">
        <v>1930103.81</v>
      </c>
      <c r="AB106">
        <v>0</v>
      </c>
      <c r="AC106">
        <v>0</v>
      </c>
      <c r="AD106">
        <v>0</v>
      </c>
      <c r="AE106">
        <v>64123.05</v>
      </c>
      <c r="AF106">
        <v>0</v>
      </c>
      <c r="AG106">
        <v>0</v>
      </c>
      <c r="AH106">
        <v>0</v>
      </c>
      <c r="AI106">
        <v>30.1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1.0000000000000001E-5</v>
      </c>
      <c r="AU106" t="s">
        <v>25</v>
      </c>
      <c r="AV106">
        <v>0</v>
      </c>
      <c r="AW106">
        <v>2</v>
      </c>
      <c r="AX106">
        <v>59213884</v>
      </c>
      <c r="AY106">
        <v>1</v>
      </c>
      <c r="AZ106">
        <v>0</v>
      </c>
      <c r="BA106">
        <v>121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ROUND(Y106*Source!I85,9)</f>
        <v>6.9999999999999994E-5</v>
      </c>
      <c r="CY106">
        <f>AA106</f>
        <v>1930103.81</v>
      </c>
      <c r="CZ106">
        <f>AE106</f>
        <v>64123.05</v>
      </c>
      <c r="DA106">
        <f>AI106</f>
        <v>30.1</v>
      </c>
      <c r="DB106">
        <f>ROUND((ROUND(AT106*CZ106,2)*1),6)</f>
        <v>0.64</v>
      </c>
      <c r="DC106">
        <f>ROUND((ROUND(AT106*AG106,2)*1),6)</f>
        <v>0</v>
      </c>
      <c r="DD106" t="s">
        <v>3</v>
      </c>
      <c r="DE106" t="s">
        <v>3</v>
      </c>
      <c r="DF106">
        <f>ROUND(ROUND(AE106*AI106,2)*CX106,2)</f>
        <v>135.11000000000001</v>
      </c>
      <c r="DG106">
        <f t="shared" si="51"/>
        <v>0</v>
      </c>
      <c r="DH106">
        <f t="shared" si="52"/>
        <v>0</v>
      </c>
      <c r="DI106">
        <f t="shared" si="44"/>
        <v>0</v>
      </c>
      <c r="DJ106">
        <f>DF106</f>
        <v>135.11000000000001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ROW(Source!A125)</f>
        <v>125</v>
      </c>
      <c r="B107">
        <v>59213216</v>
      </c>
      <c r="C107">
        <v>59213531</v>
      </c>
      <c r="D107">
        <v>58266404</v>
      </c>
      <c r="E107">
        <v>1080</v>
      </c>
      <c r="F107">
        <v>1</v>
      </c>
      <c r="G107">
        <v>1080</v>
      </c>
      <c r="H107">
        <v>1</v>
      </c>
      <c r="I107" t="s">
        <v>331</v>
      </c>
      <c r="J107" t="s">
        <v>3</v>
      </c>
      <c r="K107" t="s">
        <v>332</v>
      </c>
      <c r="L107">
        <v>1191</v>
      </c>
      <c r="N107">
        <v>1013</v>
      </c>
      <c r="O107" t="s">
        <v>333</v>
      </c>
      <c r="P107" t="s">
        <v>333</v>
      </c>
      <c r="Q107">
        <v>1</v>
      </c>
      <c r="W107">
        <v>0</v>
      </c>
      <c r="X107">
        <v>476480486</v>
      </c>
      <c r="Y107">
        <f>(AT107*1.1)</f>
        <v>16.5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15</v>
      </c>
      <c r="AU107" t="s">
        <v>26</v>
      </c>
      <c r="AV107">
        <v>1</v>
      </c>
      <c r="AW107">
        <v>2</v>
      </c>
      <c r="AX107">
        <v>59213886</v>
      </c>
      <c r="AY107">
        <v>1</v>
      </c>
      <c r="AZ107">
        <v>0</v>
      </c>
      <c r="BA107">
        <v>123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ROUND(AT107*Source!I125*AH107*AL107,2)</f>
        <v>0</v>
      </c>
      <c r="CV107">
        <f>ROUND(Y107*Source!I125,9)</f>
        <v>143.55000000000001</v>
      </c>
      <c r="CW107">
        <v>0</v>
      </c>
      <c r="CX107">
        <f>ROUND(Y107*Source!I125,9)</f>
        <v>143.55000000000001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ROUND((ROUND(AT107*CZ107,2)*1.1),6)</f>
        <v>0</v>
      </c>
      <c r="DC107">
        <f>ROUND((ROUND(AT107*AG107,2)*1.1),6)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51"/>
        <v>0</v>
      </c>
      <c r="DH107">
        <f t="shared" si="52"/>
        <v>0</v>
      </c>
      <c r="DI107">
        <f t="shared" si="44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ROW(Source!A125)</f>
        <v>125</v>
      </c>
      <c r="B108">
        <v>59213216</v>
      </c>
      <c r="C108">
        <v>59213531</v>
      </c>
      <c r="D108">
        <v>58322885</v>
      </c>
      <c r="E108">
        <v>1</v>
      </c>
      <c r="F108">
        <v>1</v>
      </c>
      <c r="G108">
        <v>1080</v>
      </c>
      <c r="H108">
        <v>3</v>
      </c>
      <c r="I108" t="s">
        <v>220</v>
      </c>
      <c r="J108" t="s">
        <v>223</v>
      </c>
      <c r="K108" t="s">
        <v>221</v>
      </c>
      <c r="L108">
        <v>1301</v>
      </c>
      <c r="N108">
        <v>1003</v>
      </c>
      <c r="O108" t="s">
        <v>222</v>
      </c>
      <c r="P108" t="s">
        <v>222</v>
      </c>
      <c r="Q108">
        <v>1</v>
      </c>
      <c r="W108">
        <v>0</v>
      </c>
      <c r="X108">
        <v>-1305428159</v>
      </c>
      <c r="Y108">
        <f>(AT108*1)</f>
        <v>102</v>
      </c>
      <c r="AA108">
        <v>3.45</v>
      </c>
      <c r="AB108">
        <v>0</v>
      </c>
      <c r="AC108">
        <v>0</v>
      </c>
      <c r="AD108">
        <v>0</v>
      </c>
      <c r="AE108">
        <v>3.45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102</v>
      </c>
      <c r="AU108" t="s">
        <v>25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ROUND(Y108*Source!I125,9)</f>
        <v>887.4</v>
      </c>
      <c r="CY108">
        <f>AA108</f>
        <v>3.45</v>
      </c>
      <c r="CZ108">
        <f>AE108</f>
        <v>3.45</v>
      </c>
      <c r="DA108">
        <f>AI108</f>
        <v>1</v>
      </c>
      <c r="DB108">
        <f>ROUND((ROUND(AT108*CZ108,2)*1),6)</f>
        <v>351.9</v>
      </c>
      <c r="DC108">
        <f>ROUND((ROUND(AT108*AG108,2)*1),6)</f>
        <v>0</v>
      </c>
      <c r="DD108" t="s">
        <v>3</v>
      </c>
      <c r="DE108" t="s">
        <v>3</v>
      </c>
      <c r="DF108">
        <f>ROUND(ROUND(AE108,2)*CX108,2)</f>
        <v>3061.53</v>
      </c>
      <c r="DG108">
        <f t="shared" si="51"/>
        <v>0</v>
      </c>
      <c r="DH108">
        <f t="shared" si="52"/>
        <v>0</v>
      </c>
      <c r="DI108">
        <f t="shared" si="44"/>
        <v>0</v>
      </c>
      <c r="DJ108">
        <f>DF108</f>
        <v>3061.53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ROW(Source!A125)</f>
        <v>125</v>
      </c>
      <c r="B109">
        <v>59213216</v>
      </c>
      <c r="C109">
        <v>59213531</v>
      </c>
      <c r="D109">
        <v>58332601</v>
      </c>
      <c r="E109">
        <v>1</v>
      </c>
      <c r="F109">
        <v>1</v>
      </c>
      <c r="G109">
        <v>1080</v>
      </c>
      <c r="H109">
        <v>3</v>
      </c>
      <c r="I109" t="s">
        <v>225</v>
      </c>
      <c r="J109" t="s">
        <v>228</v>
      </c>
      <c r="K109" t="s">
        <v>226</v>
      </c>
      <c r="L109">
        <v>1355</v>
      </c>
      <c r="N109">
        <v>1010</v>
      </c>
      <c r="O109" t="s">
        <v>227</v>
      </c>
      <c r="P109" t="s">
        <v>227</v>
      </c>
      <c r="Q109">
        <v>100</v>
      </c>
      <c r="W109">
        <v>0</v>
      </c>
      <c r="X109">
        <v>-1171050213</v>
      </c>
      <c r="Y109">
        <f>(AT109*1)</f>
        <v>2</v>
      </c>
      <c r="AA109">
        <v>146.88999999999999</v>
      </c>
      <c r="AB109">
        <v>0</v>
      </c>
      <c r="AC109">
        <v>0</v>
      </c>
      <c r="AD109">
        <v>0</v>
      </c>
      <c r="AE109">
        <v>146.88999999999999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 t="s">
        <v>3</v>
      </c>
      <c r="AT109">
        <v>2</v>
      </c>
      <c r="AU109" t="s">
        <v>25</v>
      </c>
      <c r="AV109">
        <v>0</v>
      </c>
      <c r="AW109">
        <v>1</v>
      </c>
      <c r="AX109">
        <v>-1</v>
      </c>
      <c r="AY109">
        <v>0</v>
      </c>
      <c r="AZ109">
        <v>0</v>
      </c>
      <c r="BA109" t="s">
        <v>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ROUND(Y109*Source!I125,9)</f>
        <v>17.399999999999999</v>
      </c>
      <c r="CY109">
        <f>AA109</f>
        <v>146.88999999999999</v>
      </c>
      <c r="CZ109">
        <f>AE109</f>
        <v>146.88999999999999</v>
      </c>
      <c r="DA109">
        <f>AI109</f>
        <v>1</v>
      </c>
      <c r="DB109">
        <f>ROUND((ROUND(AT109*CZ109,2)*1),6)</f>
        <v>293.77999999999997</v>
      </c>
      <c r="DC109">
        <f>ROUND((ROUND(AT109*AG109,2)*1),6)</f>
        <v>0</v>
      </c>
      <c r="DD109" t="s">
        <v>3</v>
      </c>
      <c r="DE109" t="s">
        <v>3</v>
      </c>
      <c r="DF109">
        <f>ROUND(ROUND(AE109,2)*CX109,2)</f>
        <v>2555.89</v>
      </c>
      <c r="DG109">
        <f t="shared" si="51"/>
        <v>0</v>
      </c>
      <c r="DH109">
        <f t="shared" si="52"/>
        <v>0</v>
      </c>
      <c r="DI109">
        <f t="shared" si="44"/>
        <v>0</v>
      </c>
      <c r="DJ109">
        <f>DF109</f>
        <v>2555.89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ROW(Source!A126)</f>
        <v>126</v>
      </c>
      <c r="B110">
        <v>59213213</v>
      </c>
      <c r="C110">
        <v>59213531</v>
      </c>
      <c r="D110">
        <v>58266404</v>
      </c>
      <c r="E110">
        <v>1080</v>
      </c>
      <c r="F110">
        <v>1</v>
      </c>
      <c r="G110">
        <v>1080</v>
      </c>
      <c r="H110">
        <v>1</v>
      </c>
      <c r="I110" t="s">
        <v>331</v>
      </c>
      <c r="J110" t="s">
        <v>3</v>
      </c>
      <c r="K110" t="s">
        <v>332</v>
      </c>
      <c r="L110">
        <v>1191</v>
      </c>
      <c r="N110">
        <v>1013</v>
      </c>
      <c r="O110" t="s">
        <v>333</v>
      </c>
      <c r="P110" t="s">
        <v>333</v>
      </c>
      <c r="Q110">
        <v>1</v>
      </c>
      <c r="W110">
        <v>0</v>
      </c>
      <c r="X110">
        <v>476480486</v>
      </c>
      <c r="Y110">
        <f>(AT110*1.1)</f>
        <v>16.5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5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15</v>
      </c>
      <c r="AU110" t="s">
        <v>26</v>
      </c>
      <c r="AV110">
        <v>1</v>
      </c>
      <c r="AW110">
        <v>2</v>
      </c>
      <c r="AX110">
        <v>59213886</v>
      </c>
      <c r="AY110">
        <v>1</v>
      </c>
      <c r="AZ110">
        <v>0</v>
      </c>
      <c r="BA110">
        <v>127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U110">
        <f>ROUND(AT110*Source!I126*AH110*AL110,2)</f>
        <v>0</v>
      </c>
      <c r="CV110">
        <f>ROUND(Y110*Source!I126,9)</f>
        <v>143.55000000000001</v>
      </c>
      <c r="CW110">
        <v>0</v>
      </c>
      <c r="CX110">
        <f>ROUND(Y110*Source!I126,9)</f>
        <v>143.55000000000001</v>
      </c>
      <c r="CY110">
        <f>AD110</f>
        <v>0</v>
      </c>
      <c r="CZ110">
        <f>AH110</f>
        <v>0</v>
      </c>
      <c r="DA110">
        <f>AL110</f>
        <v>1</v>
      </c>
      <c r="DB110">
        <f>ROUND((ROUND(AT110*CZ110,2)*1.1),6)</f>
        <v>0</v>
      </c>
      <c r="DC110">
        <f>ROUND((ROUND(AT110*AG110,2)*1.1),6)</f>
        <v>0</v>
      </c>
      <c r="DD110" t="s">
        <v>3</v>
      </c>
      <c r="DE110" t="s">
        <v>3</v>
      </c>
      <c r="DF110">
        <f>ROUND(ROUND(AE110,2)*CX110,2)</f>
        <v>0</v>
      </c>
      <c r="DG110">
        <f t="shared" si="51"/>
        <v>0</v>
      </c>
      <c r="DH110">
        <f t="shared" si="52"/>
        <v>0</v>
      </c>
      <c r="DI110">
        <f t="shared" si="44"/>
        <v>0</v>
      </c>
      <c r="DJ110">
        <f>DI110</f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ROW(Source!A126)</f>
        <v>126</v>
      </c>
      <c r="B111">
        <v>59213213</v>
      </c>
      <c r="C111">
        <v>59213531</v>
      </c>
      <c r="D111">
        <v>58322885</v>
      </c>
      <c r="E111">
        <v>1</v>
      </c>
      <c r="F111">
        <v>1</v>
      </c>
      <c r="G111">
        <v>1080</v>
      </c>
      <c r="H111">
        <v>3</v>
      </c>
      <c r="I111" t="s">
        <v>220</v>
      </c>
      <c r="J111" t="s">
        <v>223</v>
      </c>
      <c r="K111" t="s">
        <v>221</v>
      </c>
      <c r="L111">
        <v>1301</v>
      </c>
      <c r="N111">
        <v>1003</v>
      </c>
      <c r="O111" t="s">
        <v>222</v>
      </c>
      <c r="P111" t="s">
        <v>222</v>
      </c>
      <c r="Q111">
        <v>1</v>
      </c>
      <c r="W111">
        <v>0</v>
      </c>
      <c r="X111">
        <v>-1305428159</v>
      </c>
      <c r="Y111">
        <f>(AT111*1)</f>
        <v>102</v>
      </c>
      <c r="AA111">
        <v>13.56</v>
      </c>
      <c r="AB111">
        <v>0</v>
      </c>
      <c r="AC111">
        <v>0</v>
      </c>
      <c r="AD111">
        <v>0</v>
      </c>
      <c r="AE111">
        <v>3.45</v>
      </c>
      <c r="AF111">
        <v>0</v>
      </c>
      <c r="AG111">
        <v>0</v>
      </c>
      <c r="AH111">
        <v>0</v>
      </c>
      <c r="AI111">
        <v>3.93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 t="s">
        <v>3</v>
      </c>
      <c r="AT111">
        <v>102</v>
      </c>
      <c r="AU111" t="s">
        <v>25</v>
      </c>
      <c r="AV111">
        <v>0</v>
      </c>
      <c r="AW111">
        <v>1</v>
      </c>
      <c r="AX111">
        <v>-1</v>
      </c>
      <c r="AY111">
        <v>0</v>
      </c>
      <c r="AZ111">
        <v>0</v>
      </c>
      <c r="BA111" t="s">
        <v>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ROUND(Y111*Source!I126,9)</f>
        <v>887.4</v>
      </c>
      <c r="CY111">
        <f>AA111</f>
        <v>13.56</v>
      </c>
      <c r="CZ111">
        <f>AE111</f>
        <v>3.45</v>
      </c>
      <c r="DA111">
        <f>AI111</f>
        <v>3.93</v>
      </c>
      <c r="DB111">
        <f>ROUND((ROUND(AT111*CZ111,2)*1),6)</f>
        <v>351.9</v>
      </c>
      <c r="DC111">
        <f>ROUND((ROUND(AT111*AG111,2)*1),6)</f>
        <v>0</v>
      </c>
      <c r="DD111" t="s">
        <v>3</v>
      </c>
      <c r="DE111" t="s">
        <v>3</v>
      </c>
      <c r="DF111">
        <f>ROUND(ROUND(AE111*AI111,2)*CX111,2)</f>
        <v>12033.14</v>
      </c>
      <c r="DG111">
        <f t="shared" si="51"/>
        <v>0</v>
      </c>
      <c r="DH111">
        <f t="shared" si="52"/>
        <v>0</v>
      </c>
      <c r="DI111">
        <f t="shared" si="44"/>
        <v>0</v>
      </c>
      <c r="DJ111">
        <f>DF111</f>
        <v>12033.14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ROW(Source!A126)</f>
        <v>126</v>
      </c>
      <c r="B112">
        <v>59213213</v>
      </c>
      <c r="C112">
        <v>59213531</v>
      </c>
      <c r="D112">
        <v>58332601</v>
      </c>
      <c r="E112">
        <v>1</v>
      </c>
      <c r="F112">
        <v>1</v>
      </c>
      <c r="G112">
        <v>1080</v>
      </c>
      <c r="H112">
        <v>3</v>
      </c>
      <c r="I112" t="s">
        <v>225</v>
      </c>
      <c r="J112" t="s">
        <v>228</v>
      </c>
      <c r="K112" t="s">
        <v>226</v>
      </c>
      <c r="L112">
        <v>1355</v>
      </c>
      <c r="N112">
        <v>1010</v>
      </c>
      <c r="O112" t="s">
        <v>227</v>
      </c>
      <c r="P112" t="s">
        <v>227</v>
      </c>
      <c r="Q112">
        <v>100</v>
      </c>
      <c r="W112">
        <v>0</v>
      </c>
      <c r="X112">
        <v>-1171050213</v>
      </c>
      <c r="Y112">
        <f>(AT112*1)</f>
        <v>2</v>
      </c>
      <c r="AA112">
        <v>298.19</v>
      </c>
      <c r="AB112">
        <v>0</v>
      </c>
      <c r="AC112">
        <v>0</v>
      </c>
      <c r="AD112">
        <v>0</v>
      </c>
      <c r="AE112">
        <v>146.88999999999999</v>
      </c>
      <c r="AF112">
        <v>0</v>
      </c>
      <c r="AG112">
        <v>0</v>
      </c>
      <c r="AH112">
        <v>0</v>
      </c>
      <c r="AI112">
        <v>2.0299999999999998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2</v>
      </c>
      <c r="AU112" t="s">
        <v>25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ROUND(Y112*Source!I126,9)</f>
        <v>17.399999999999999</v>
      </c>
      <c r="CY112">
        <f>AA112</f>
        <v>298.19</v>
      </c>
      <c r="CZ112">
        <f>AE112</f>
        <v>146.88999999999999</v>
      </c>
      <c r="DA112">
        <f>AI112</f>
        <v>2.0299999999999998</v>
      </c>
      <c r="DB112">
        <f>ROUND((ROUND(AT112*CZ112,2)*1),6)</f>
        <v>293.77999999999997</v>
      </c>
      <c r="DC112">
        <f>ROUND((ROUND(AT112*AG112,2)*1),6)</f>
        <v>0</v>
      </c>
      <c r="DD112" t="s">
        <v>3</v>
      </c>
      <c r="DE112" t="s">
        <v>3</v>
      </c>
      <c r="DF112">
        <f>ROUND(ROUND(AE112*AI112,2)*CX112,2)</f>
        <v>5188.51</v>
      </c>
      <c r="DG112">
        <f t="shared" si="51"/>
        <v>0</v>
      </c>
      <c r="DH112">
        <f t="shared" si="52"/>
        <v>0</v>
      </c>
      <c r="DI112">
        <f t="shared" si="44"/>
        <v>0</v>
      </c>
      <c r="DJ112">
        <f>DF112</f>
        <v>5188.51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ROW(Source!A131)</f>
        <v>131</v>
      </c>
      <c r="B113">
        <v>59213216</v>
      </c>
      <c r="C113">
        <v>59213541</v>
      </c>
      <c r="D113">
        <v>58266404</v>
      </c>
      <c r="E113">
        <v>1080</v>
      </c>
      <c r="F113">
        <v>1</v>
      </c>
      <c r="G113">
        <v>1080</v>
      </c>
      <c r="H113">
        <v>1</v>
      </c>
      <c r="I113" t="s">
        <v>331</v>
      </c>
      <c r="J113" t="s">
        <v>3</v>
      </c>
      <c r="K113" t="s">
        <v>332</v>
      </c>
      <c r="L113">
        <v>1191</v>
      </c>
      <c r="N113">
        <v>1013</v>
      </c>
      <c r="O113" t="s">
        <v>333</v>
      </c>
      <c r="P113" t="s">
        <v>333</v>
      </c>
      <c r="Q113">
        <v>1</v>
      </c>
      <c r="W113">
        <v>0</v>
      </c>
      <c r="X113">
        <v>476480486</v>
      </c>
      <c r="Y113">
        <f>(AT113*1.1)</f>
        <v>15.807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14.37</v>
      </c>
      <c r="AU113" t="s">
        <v>26</v>
      </c>
      <c r="AV113">
        <v>1</v>
      </c>
      <c r="AW113">
        <v>2</v>
      </c>
      <c r="AX113">
        <v>59213890</v>
      </c>
      <c r="AY113">
        <v>1</v>
      </c>
      <c r="AZ113">
        <v>0</v>
      </c>
      <c r="BA113">
        <v>131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ROUND(AT113*Source!I131*AH113*AL113,2)</f>
        <v>0</v>
      </c>
      <c r="CV113">
        <f>ROUND(Y113*Source!I131,9)</f>
        <v>74.292900000000003</v>
      </c>
      <c r="CW113">
        <v>0</v>
      </c>
      <c r="CX113">
        <f>ROUND(Y113*Source!I131,9)</f>
        <v>74.292900000000003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ROUND((ROUND(AT113*CZ113,2)*1.1),6)</f>
        <v>0</v>
      </c>
      <c r="DC113">
        <f>ROUND((ROUND(AT113*AG113,2)*1.1),6)</f>
        <v>0</v>
      </c>
      <c r="DD113" t="s">
        <v>3</v>
      </c>
      <c r="DE113" t="s">
        <v>3</v>
      </c>
      <c r="DF113">
        <f>ROUND(ROUND(AE113,2)*CX113,2)</f>
        <v>0</v>
      </c>
      <c r="DG113">
        <f t="shared" si="51"/>
        <v>0</v>
      </c>
      <c r="DH113">
        <f t="shared" si="52"/>
        <v>0</v>
      </c>
      <c r="DI113">
        <f t="shared" si="44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ROW(Source!A131)</f>
        <v>131</v>
      </c>
      <c r="B114">
        <v>59213216</v>
      </c>
      <c r="C114">
        <v>59213541</v>
      </c>
      <c r="D114">
        <v>58322884</v>
      </c>
      <c r="E114">
        <v>1</v>
      </c>
      <c r="F114">
        <v>1</v>
      </c>
      <c r="G114">
        <v>1080</v>
      </c>
      <c r="H114">
        <v>3</v>
      </c>
      <c r="I114" t="s">
        <v>234</v>
      </c>
      <c r="J114" t="s">
        <v>236</v>
      </c>
      <c r="K114" t="s">
        <v>235</v>
      </c>
      <c r="L114">
        <v>1301</v>
      </c>
      <c r="N114">
        <v>1003</v>
      </c>
      <c r="O114" t="s">
        <v>222</v>
      </c>
      <c r="P114" t="s">
        <v>222</v>
      </c>
      <c r="Q114">
        <v>1</v>
      </c>
      <c r="W114">
        <v>0</v>
      </c>
      <c r="X114">
        <v>1184991115</v>
      </c>
      <c r="Y114">
        <f>(AT114*1)</f>
        <v>102</v>
      </c>
      <c r="AA114">
        <v>2.67</v>
      </c>
      <c r="AB114">
        <v>0</v>
      </c>
      <c r="AC114">
        <v>0</v>
      </c>
      <c r="AD114">
        <v>0</v>
      </c>
      <c r="AE114">
        <v>2.67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102</v>
      </c>
      <c r="AU114" t="s">
        <v>25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ROUND(Y114*Source!I131,9)</f>
        <v>479.4</v>
      </c>
      <c r="CY114">
        <f>AA114</f>
        <v>2.67</v>
      </c>
      <c r="CZ114">
        <f>AE114</f>
        <v>2.67</v>
      </c>
      <c r="DA114">
        <f>AI114</f>
        <v>1</v>
      </c>
      <c r="DB114">
        <f>ROUND((ROUND(AT114*CZ114,2)*1),6)</f>
        <v>272.33999999999997</v>
      </c>
      <c r="DC114">
        <f>ROUND((ROUND(AT114*AG114,2)*1),6)</f>
        <v>0</v>
      </c>
      <c r="DD114" t="s">
        <v>3</v>
      </c>
      <c r="DE114" t="s">
        <v>3</v>
      </c>
      <c r="DF114">
        <f>ROUND(ROUND(AE114,2)*CX114,2)</f>
        <v>1280</v>
      </c>
      <c r="DG114">
        <f t="shared" si="51"/>
        <v>0</v>
      </c>
      <c r="DH114">
        <f t="shared" si="52"/>
        <v>0</v>
      </c>
      <c r="DI114">
        <f t="shared" si="44"/>
        <v>0</v>
      </c>
      <c r="DJ114">
        <f>DF114</f>
        <v>1280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ROW(Source!A131)</f>
        <v>131</v>
      </c>
      <c r="B115">
        <v>59213216</v>
      </c>
      <c r="C115">
        <v>59213541</v>
      </c>
      <c r="D115">
        <v>58332600</v>
      </c>
      <c r="E115">
        <v>1</v>
      </c>
      <c r="F115">
        <v>1</v>
      </c>
      <c r="G115">
        <v>1080</v>
      </c>
      <c r="H115">
        <v>3</v>
      </c>
      <c r="I115" t="s">
        <v>238</v>
      </c>
      <c r="J115" t="s">
        <v>240</v>
      </c>
      <c r="K115" t="s">
        <v>239</v>
      </c>
      <c r="L115">
        <v>1355</v>
      </c>
      <c r="N115">
        <v>1010</v>
      </c>
      <c r="O115" t="s">
        <v>227</v>
      </c>
      <c r="P115" t="s">
        <v>227</v>
      </c>
      <c r="Q115">
        <v>100</v>
      </c>
      <c r="W115">
        <v>0</v>
      </c>
      <c r="X115">
        <v>1523068278</v>
      </c>
      <c r="Y115">
        <f>(AT115*1)</f>
        <v>2</v>
      </c>
      <c r="AA115">
        <v>135.68</v>
      </c>
      <c r="AB115">
        <v>0</v>
      </c>
      <c r="AC115">
        <v>0</v>
      </c>
      <c r="AD115">
        <v>0</v>
      </c>
      <c r="AE115">
        <v>135.68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2</v>
      </c>
      <c r="AU115" t="s">
        <v>25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ROUND(Y115*Source!I131,9)</f>
        <v>9.4</v>
      </c>
      <c r="CY115">
        <f>AA115</f>
        <v>135.68</v>
      </c>
      <c r="CZ115">
        <f>AE115</f>
        <v>135.68</v>
      </c>
      <c r="DA115">
        <f>AI115</f>
        <v>1</v>
      </c>
      <c r="DB115">
        <f>ROUND((ROUND(AT115*CZ115,2)*1),6)</f>
        <v>271.36</v>
      </c>
      <c r="DC115">
        <f>ROUND((ROUND(AT115*AG115,2)*1),6)</f>
        <v>0</v>
      </c>
      <c r="DD115" t="s">
        <v>3</v>
      </c>
      <c r="DE115" t="s">
        <v>3</v>
      </c>
      <c r="DF115">
        <f>ROUND(ROUND(AE115,2)*CX115,2)</f>
        <v>1275.3900000000001</v>
      </c>
      <c r="DG115">
        <f t="shared" si="51"/>
        <v>0</v>
      </c>
      <c r="DH115">
        <f t="shared" si="52"/>
        <v>0</v>
      </c>
      <c r="DI115">
        <f t="shared" si="44"/>
        <v>0</v>
      </c>
      <c r="DJ115">
        <f>DF115</f>
        <v>1275.3900000000001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ROW(Source!A132)</f>
        <v>132</v>
      </c>
      <c r="B116">
        <v>59213213</v>
      </c>
      <c r="C116">
        <v>59213541</v>
      </c>
      <c r="D116">
        <v>58266404</v>
      </c>
      <c r="E116">
        <v>1080</v>
      </c>
      <c r="F116">
        <v>1</v>
      </c>
      <c r="G116">
        <v>1080</v>
      </c>
      <c r="H116">
        <v>1</v>
      </c>
      <c r="I116" t="s">
        <v>331</v>
      </c>
      <c r="J116" t="s">
        <v>3</v>
      </c>
      <c r="K116" t="s">
        <v>332</v>
      </c>
      <c r="L116">
        <v>1191</v>
      </c>
      <c r="N116">
        <v>1013</v>
      </c>
      <c r="O116" t="s">
        <v>333</v>
      </c>
      <c r="P116" t="s">
        <v>333</v>
      </c>
      <c r="Q116">
        <v>1</v>
      </c>
      <c r="W116">
        <v>0</v>
      </c>
      <c r="X116">
        <v>476480486</v>
      </c>
      <c r="Y116">
        <f>(AT116*1.1)</f>
        <v>15.807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5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14.37</v>
      </c>
      <c r="AU116" t="s">
        <v>26</v>
      </c>
      <c r="AV116">
        <v>1</v>
      </c>
      <c r="AW116">
        <v>2</v>
      </c>
      <c r="AX116">
        <v>59213890</v>
      </c>
      <c r="AY116">
        <v>1</v>
      </c>
      <c r="AZ116">
        <v>0</v>
      </c>
      <c r="BA116">
        <v>135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U116">
        <f>ROUND(AT116*Source!I132*AH116*AL116,2)</f>
        <v>0</v>
      </c>
      <c r="CV116">
        <f>ROUND(Y116*Source!I132,9)</f>
        <v>74.292900000000003</v>
      </c>
      <c r="CW116">
        <v>0</v>
      </c>
      <c r="CX116">
        <f>ROUND(Y116*Source!I132,9)</f>
        <v>74.292900000000003</v>
      </c>
      <c r="CY116">
        <f>AD116</f>
        <v>0</v>
      </c>
      <c r="CZ116">
        <f>AH116</f>
        <v>0</v>
      </c>
      <c r="DA116">
        <f>AL116</f>
        <v>1</v>
      </c>
      <c r="DB116">
        <f>ROUND((ROUND(AT116*CZ116,2)*1.1),6)</f>
        <v>0</v>
      </c>
      <c r="DC116">
        <f>ROUND((ROUND(AT116*AG116,2)*1.1),6)</f>
        <v>0</v>
      </c>
      <c r="DD116" t="s">
        <v>3</v>
      </c>
      <c r="DE116" t="s">
        <v>3</v>
      </c>
      <c r="DF116">
        <f>ROUND(ROUND(AE116,2)*CX116,2)</f>
        <v>0</v>
      </c>
      <c r="DG116">
        <f t="shared" si="51"/>
        <v>0</v>
      </c>
      <c r="DH116">
        <f t="shared" si="52"/>
        <v>0</v>
      </c>
      <c r="DI116">
        <f t="shared" si="44"/>
        <v>0</v>
      </c>
      <c r="DJ116">
        <f>DI116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ROW(Source!A132)</f>
        <v>132</v>
      </c>
      <c r="B117">
        <v>59213213</v>
      </c>
      <c r="C117">
        <v>59213541</v>
      </c>
      <c r="D117">
        <v>58322884</v>
      </c>
      <c r="E117">
        <v>1</v>
      </c>
      <c r="F117">
        <v>1</v>
      </c>
      <c r="G117">
        <v>1080</v>
      </c>
      <c r="H117">
        <v>3</v>
      </c>
      <c r="I117" t="s">
        <v>234</v>
      </c>
      <c r="J117" t="s">
        <v>236</v>
      </c>
      <c r="K117" t="s">
        <v>235</v>
      </c>
      <c r="L117">
        <v>1301</v>
      </c>
      <c r="N117">
        <v>1003</v>
      </c>
      <c r="O117" t="s">
        <v>222</v>
      </c>
      <c r="P117" t="s">
        <v>222</v>
      </c>
      <c r="Q117">
        <v>1</v>
      </c>
      <c r="W117">
        <v>0</v>
      </c>
      <c r="X117">
        <v>1184991115</v>
      </c>
      <c r="Y117">
        <f>(AT117*1)</f>
        <v>102</v>
      </c>
      <c r="AA117">
        <v>10.23</v>
      </c>
      <c r="AB117">
        <v>0</v>
      </c>
      <c r="AC117">
        <v>0</v>
      </c>
      <c r="AD117">
        <v>0</v>
      </c>
      <c r="AE117">
        <v>2.67</v>
      </c>
      <c r="AF117">
        <v>0</v>
      </c>
      <c r="AG117">
        <v>0</v>
      </c>
      <c r="AH117">
        <v>0</v>
      </c>
      <c r="AI117">
        <v>3.83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 t="s">
        <v>3</v>
      </c>
      <c r="AT117">
        <v>102</v>
      </c>
      <c r="AU117" t="s">
        <v>25</v>
      </c>
      <c r="AV117">
        <v>0</v>
      </c>
      <c r="AW117">
        <v>1</v>
      </c>
      <c r="AX117">
        <v>-1</v>
      </c>
      <c r="AY117">
        <v>0</v>
      </c>
      <c r="AZ117">
        <v>0</v>
      </c>
      <c r="BA117" t="s">
        <v>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ROUND(Y117*Source!I132,9)</f>
        <v>479.4</v>
      </c>
      <c r="CY117">
        <f>AA117</f>
        <v>10.23</v>
      </c>
      <c r="CZ117">
        <f>AE117</f>
        <v>2.67</v>
      </c>
      <c r="DA117">
        <f>AI117</f>
        <v>3.83</v>
      </c>
      <c r="DB117">
        <f>ROUND((ROUND(AT117*CZ117,2)*1),6)</f>
        <v>272.33999999999997</v>
      </c>
      <c r="DC117">
        <f>ROUND((ROUND(AT117*AG117,2)*1),6)</f>
        <v>0</v>
      </c>
      <c r="DD117" t="s">
        <v>3</v>
      </c>
      <c r="DE117" t="s">
        <v>3</v>
      </c>
      <c r="DF117">
        <f>ROUND(ROUND(AE117*AI117,2)*CX117,2)</f>
        <v>4904.26</v>
      </c>
      <c r="DG117">
        <f t="shared" si="51"/>
        <v>0</v>
      </c>
      <c r="DH117">
        <f t="shared" si="52"/>
        <v>0</v>
      </c>
      <c r="DI117">
        <f t="shared" si="44"/>
        <v>0</v>
      </c>
      <c r="DJ117">
        <f>DF117</f>
        <v>4904.26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ROW(Source!A132)</f>
        <v>132</v>
      </c>
      <c r="B118">
        <v>59213213</v>
      </c>
      <c r="C118">
        <v>59213541</v>
      </c>
      <c r="D118">
        <v>58332600</v>
      </c>
      <c r="E118">
        <v>1</v>
      </c>
      <c r="F118">
        <v>1</v>
      </c>
      <c r="G118">
        <v>1080</v>
      </c>
      <c r="H118">
        <v>3</v>
      </c>
      <c r="I118" t="s">
        <v>238</v>
      </c>
      <c r="J118" t="s">
        <v>240</v>
      </c>
      <c r="K118" t="s">
        <v>239</v>
      </c>
      <c r="L118">
        <v>1355</v>
      </c>
      <c r="N118">
        <v>1010</v>
      </c>
      <c r="O118" t="s">
        <v>227</v>
      </c>
      <c r="P118" t="s">
        <v>227</v>
      </c>
      <c r="Q118">
        <v>100</v>
      </c>
      <c r="W118">
        <v>0</v>
      </c>
      <c r="X118">
        <v>1523068278</v>
      </c>
      <c r="Y118">
        <f>(AT118*1)</f>
        <v>2</v>
      </c>
      <c r="AA118">
        <v>241.51</v>
      </c>
      <c r="AB118">
        <v>0</v>
      </c>
      <c r="AC118">
        <v>0</v>
      </c>
      <c r="AD118">
        <v>0</v>
      </c>
      <c r="AE118">
        <v>135.68</v>
      </c>
      <c r="AF118">
        <v>0</v>
      </c>
      <c r="AG118">
        <v>0</v>
      </c>
      <c r="AH118">
        <v>0</v>
      </c>
      <c r="AI118">
        <v>1.78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2</v>
      </c>
      <c r="AU118" t="s">
        <v>25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ROUND(Y118*Source!I132,9)</f>
        <v>9.4</v>
      </c>
      <c r="CY118">
        <f>AA118</f>
        <v>241.51</v>
      </c>
      <c r="CZ118">
        <f>AE118</f>
        <v>135.68</v>
      </c>
      <c r="DA118">
        <f>AI118</f>
        <v>1.78</v>
      </c>
      <c r="DB118">
        <f>ROUND((ROUND(AT118*CZ118,2)*1),6)</f>
        <v>271.36</v>
      </c>
      <c r="DC118">
        <f>ROUND((ROUND(AT118*AG118,2)*1),6)</f>
        <v>0</v>
      </c>
      <c r="DD118" t="s">
        <v>3</v>
      </c>
      <c r="DE118" t="s">
        <v>3</v>
      </c>
      <c r="DF118">
        <f>ROUND(ROUND(AE118*AI118,2)*CX118,2)</f>
        <v>2270.19</v>
      </c>
      <c r="DG118">
        <f t="shared" si="51"/>
        <v>0</v>
      </c>
      <c r="DH118">
        <f t="shared" si="52"/>
        <v>0</v>
      </c>
      <c r="DI118">
        <f t="shared" si="44"/>
        <v>0</v>
      </c>
      <c r="DJ118">
        <f>DF118</f>
        <v>2270.19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ROW(Source!A139)</f>
        <v>139</v>
      </c>
      <c r="B119">
        <v>59213216</v>
      </c>
      <c r="C119">
        <v>59213552</v>
      </c>
      <c r="D119">
        <v>58266404</v>
      </c>
      <c r="E119">
        <v>1080</v>
      </c>
      <c r="F119">
        <v>1</v>
      </c>
      <c r="G119">
        <v>1080</v>
      </c>
      <c r="H119">
        <v>1</v>
      </c>
      <c r="I119" t="s">
        <v>331</v>
      </c>
      <c r="J119" t="s">
        <v>3</v>
      </c>
      <c r="K119" t="s">
        <v>332</v>
      </c>
      <c r="L119">
        <v>1191</v>
      </c>
      <c r="N119">
        <v>1013</v>
      </c>
      <c r="O119" t="s">
        <v>333</v>
      </c>
      <c r="P119" t="s">
        <v>333</v>
      </c>
      <c r="Q119">
        <v>1</v>
      </c>
      <c r="W119">
        <v>0</v>
      </c>
      <c r="X119">
        <v>476480486</v>
      </c>
      <c r="Y119">
        <f>(AT119*1.1)</f>
        <v>4.9390000000000009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4.49</v>
      </c>
      <c r="AU119" t="s">
        <v>26</v>
      </c>
      <c r="AV119">
        <v>1</v>
      </c>
      <c r="AW119">
        <v>2</v>
      </c>
      <c r="AX119">
        <v>59213894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ROUND(AT119*Source!I139*AH119*AL119,2)</f>
        <v>0</v>
      </c>
      <c r="CV119">
        <f>ROUND(Y119*Source!I139,9)</f>
        <v>14.3231</v>
      </c>
      <c r="CW119">
        <v>0</v>
      </c>
      <c r="CX119">
        <f>ROUND(Y119*Source!I139,9)</f>
        <v>14.3231</v>
      </c>
      <c r="CY119">
        <f>AD119</f>
        <v>0</v>
      </c>
      <c r="CZ119">
        <f>AH119</f>
        <v>0</v>
      </c>
      <c r="DA119">
        <f>AL119</f>
        <v>1</v>
      </c>
      <c r="DB119">
        <f>ROUND((ROUND(AT119*CZ119,2)*1.1),6)</f>
        <v>0</v>
      </c>
      <c r="DC119">
        <f>ROUND((ROUND(AT119*AG119,2)*1.1),6)</f>
        <v>0</v>
      </c>
      <c r="DD119" t="s">
        <v>3</v>
      </c>
      <c r="DE119" t="s">
        <v>3</v>
      </c>
      <c r="DF119">
        <f t="shared" ref="DF119:DF131" si="53">ROUND(ROUND(AE119,2)*CX119,2)</f>
        <v>0</v>
      </c>
      <c r="DG119">
        <f t="shared" si="51"/>
        <v>0</v>
      </c>
      <c r="DH119">
        <f t="shared" si="52"/>
        <v>0</v>
      </c>
      <c r="DI119">
        <f t="shared" si="44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ROW(Source!A139)</f>
        <v>139</v>
      </c>
      <c r="B120">
        <v>59213216</v>
      </c>
      <c r="C120">
        <v>59213552</v>
      </c>
      <c r="D120">
        <v>58340578</v>
      </c>
      <c r="E120">
        <v>1</v>
      </c>
      <c r="F120">
        <v>1</v>
      </c>
      <c r="G120">
        <v>1080</v>
      </c>
      <c r="H120">
        <v>2</v>
      </c>
      <c r="I120" t="s">
        <v>334</v>
      </c>
      <c r="J120" t="s">
        <v>335</v>
      </c>
      <c r="K120" t="s">
        <v>336</v>
      </c>
      <c r="L120">
        <v>1368</v>
      </c>
      <c r="N120">
        <v>1011</v>
      </c>
      <c r="O120" t="s">
        <v>337</v>
      </c>
      <c r="P120" t="s">
        <v>337</v>
      </c>
      <c r="Q120">
        <v>1</v>
      </c>
      <c r="W120">
        <v>0</v>
      </c>
      <c r="X120">
        <v>-1985943078</v>
      </c>
      <c r="Y120">
        <f>(AT120*1.1)</f>
        <v>1.1000000000000001E-2</v>
      </c>
      <c r="AA120">
        <v>0</v>
      </c>
      <c r="AB120">
        <v>87.01</v>
      </c>
      <c r="AC120">
        <v>13.21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0.01</v>
      </c>
      <c r="AU120" t="s">
        <v>26</v>
      </c>
      <c r="AV120">
        <v>0</v>
      </c>
      <c r="AW120">
        <v>2</v>
      </c>
      <c r="AX120">
        <v>59213895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ROUND(Y120*Source!I139*DO120,9)</f>
        <v>0.40257799999999999</v>
      </c>
      <c r="CX120">
        <f>ROUND(Y120*Source!I139,9)</f>
        <v>3.1899999999999998E-2</v>
      </c>
      <c r="CY120">
        <f>AB120</f>
        <v>87.01</v>
      </c>
      <c r="CZ120">
        <f>AF120</f>
        <v>83.1</v>
      </c>
      <c r="DA120">
        <f>AJ120</f>
        <v>1</v>
      </c>
      <c r="DB120">
        <f>ROUND((ROUND(AT120*CZ120,2)*1.1),6)</f>
        <v>0.91300000000000003</v>
      </c>
      <c r="DC120">
        <f>ROUND((ROUND(AT120*AG120,2)*1.1),6)</f>
        <v>0.14299999999999999</v>
      </c>
      <c r="DD120" t="s">
        <v>3</v>
      </c>
      <c r="DE120" t="s">
        <v>3</v>
      </c>
      <c r="DF120">
        <f t="shared" si="53"/>
        <v>0</v>
      </c>
      <c r="DG120">
        <f t="shared" si="51"/>
        <v>2.65</v>
      </c>
      <c r="DH120">
        <f t="shared" si="52"/>
        <v>0.4</v>
      </c>
      <c r="DI120">
        <f t="shared" si="44"/>
        <v>0</v>
      </c>
      <c r="DJ120">
        <f>DG120</f>
        <v>2.65</v>
      </c>
      <c r="DK120">
        <v>0</v>
      </c>
      <c r="DL120" t="s">
        <v>338</v>
      </c>
      <c r="DM120">
        <v>0</v>
      </c>
      <c r="DN120" t="s">
        <v>333</v>
      </c>
      <c r="DO120">
        <v>12.62</v>
      </c>
    </row>
    <row r="121" spans="1:119" x14ac:dyDescent="0.2">
      <c r="A121">
        <f>ROW(Source!A139)</f>
        <v>139</v>
      </c>
      <c r="B121">
        <v>59213216</v>
      </c>
      <c r="C121">
        <v>59213552</v>
      </c>
      <c r="D121">
        <v>58339814</v>
      </c>
      <c r="E121">
        <v>1</v>
      </c>
      <c r="F121">
        <v>1</v>
      </c>
      <c r="G121">
        <v>1080</v>
      </c>
      <c r="H121">
        <v>2</v>
      </c>
      <c r="I121" t="s">
        <v>411</v>
      </c>
      <c r="J121" t="s">
        <v>412</v>
      </c>
      <c r="K121" t="s">
        <v>413</v>
      </c>
      <c r="L121">
        <v>1368</v>
      </c>
      <c r="N121">
        <v>1011</v>
      </c>
      <c r="O121" t="s">
        <v>337</v>
      </c>
      <c r="P121" t="s">
        <v>337</v>
      </c>
      <c r="Q121">
        <v>1</v>
      </c>
      <c r="W121">
        <v>0</v>
      </c>
      <c r="X121">
        <v>1087580389</v>
      </c>
      <c r="Y121">
        <f>(AT121*1.1)</f>
        <v>1.1000000000000001E-2</v>
      </c>
      <c r="AA121">
        <v>0</v>
      </c>
      <c r="AB121">
        <v>187.59</v>
      </c>
      <c r="AC121">
        <v>17.73</v>
      </c>
      <c r="AD121">
        <v>0</v>
      </c>
      <c r="AE121">
        <v>0</v>
      </c>
      <c r="AF121">
        <v>179.17</v>
      </c>
      <c r="AG121">
        <v>16.93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0.01</v>
      </c>
      <c r="AU121" t="s">
        <v>26</v>
      </c>
      <c r="AV121">
        <v>0</v>
      </c>
      <c r="AW121">
        <v>2</v>
      </c>
      <c r="AX121">
        <v>59213896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ROUND(Y121*Source!I139*DO121,9)</f>
        <v>0.54006699999999996</v>
      </c>
      <c r="CX121">
        <f>ROUND(Y121*Source!I139,9)</f>
        <v>3.1899999999999998E-2</v>
      </c>
      <c r="CY121">
        <f>AB121</f>
        <v>187.59</v>
      </c>
      <c r="CZ121">
        <f>AF121</f>
        <v>179.17</v>
      </c>
      <c r="DA121">
        <f>AJ121</f>
        <v>1</v>
      </c>
      <c r="DB121">
        <f>ROUND((ROUND(AT121*CZ121,2)*1.1),6)</f>
        <v>1.9690000000000001</v>
      </c>
      <c r="DC121">
        <f>ROUND((ROUND(AT121*AG121,2)*1.1),6)</f>
        <v>0.187</v>
      </c>
      <c r="DD121" t="s">
        <v>3</v>
      </c>
      <c r="DE121" t="s">
        <v>3</v>
      </c>
      <c r="DF121">
        <f t="shared" si="53"/>
        <v>0</v>
      </c>
      <c r="DG121">
        <f t="shared" si="51"/>
        <v>5.72</v>
      </c>
      <c r="DH121">
        <f t="shared" si="52"/>
        <v>0.54</v>
      </c>
      <c r="DI121">
        <f t="shared" si="44"/>
        <v>0</v>
      </c>
      <c r="DJ121">
        <f>DG121</f>
        <v>5.72</v>
      </c>
      <c r="DK121">
        <v>0</v>
      </c>
      <c r="DL121" t="s">
        <v>338</v>
      </c>
      <c r="DM121">
        <v>0</v>
      </c>
      <c r="DN121" t="s">
        <v>333</v>
      </c>
      <c r="DO121">
        <v>16.93</v>
      </c>
    </row>
    <row r="122" spans="1:119" x14ac:dyDescent="0.2">
      <c r="A122">
        <f>ROW(Source!A139)</f>
        <v>139</v>
      </c>
      <c r="B122">
        <v>59213216</v>
      </c>
      <c r="C122">
        <v>59213552</v>
      </c>
      <c r="D122">
        <v>58309611</v>
      </c>
      <c r="E122">
        <v>1</v>
      </c>
      <c r="F122">
        <v>1</v>
      </c>
      <c r="G122">
        <v>1080</v>
      </c>
      <c r="H122">
        <v>3</v>
      </c>
      <c r="I122" t="s">
        <v>414</v>
      </c>
      <c r="J122" t="s">
        <v>415</v>
      </c>
      <c r="K122" t="s">
        <v>416</v>
      </c>
      <c r="L122">
        <v>1346</v>
      </c>
      <c r="N122">
        <v>1009</v>
      </c>
      <c r="O122" t="s">
        <v>244</v>
      </c>
      <c r="P122" t="s">
        <v>244</v>
      </c>
      <c r="Q122">
        <v>1</v>
      </c>
      <c r="W122">
        <v>0</v>
      </c>
      <c r="X122">
        <v>1770006655</v>
      </c>
      <c r="Y122">
        <f t="shared" ref="Y122:Y127" si="54">(AT122*1)</f>
        <v>0.43</v>
      </c>
      <c r="AA122">
        <v>1.38</v>
      </c>
      <c r="AB122">
        <v>0</v>
      </c>
      <c r="AC122">
        <v>0</v>
      </c>
      <c r="AD122">
        <v>0</v>
      </c>
      <c r="AE122">
        <v>1.38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0.43</v>
      </c>
      <c r="AU122" t="s">
        <v>25</v>
      </c>
      <c r="AV122">
        <v>0</v>
      </c>
      <c r="AW122">
        <v>2</v>
      </c>
      <c r="AX122">
        <v>59213897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ROUND(Y122*Source!I139,9)</f>
        <v>1.2470000000000001</v>
      </c>
      <c r="CY122">
        <f t="shared" ref="CY122:CY128" si="55">AA122</f>
        <v>1.38</v>
      </c>
      <c r="CZ122">
        <f t="shared" ref="CZ122:CZ128" si="56">AE122</f>
        <v>1.38</v>
      </c>
      <c r="DA122">
        <f t="shared" ref="DA122:DA128" si="57">AI122</f>
        <v>1</v>
      </c>
      <c r="DB122">
        <f t="shared" ref="DB122:DB127" si="58">ROUND((ROUND(AT122*CZ122,2)*1),6)</f>
        <v>0.59</v>
      </c>
      <c r="DC122">
        <f t="shared" ref="DC122:DC127" si="59">ROUND((ROUND(AT122*AG122,2)*1),6)</f>
        <v>0</v>
      </c>
      <c r="DD122" t="s">
        <v>3</v>
      </c>
      <c r="DE122" t="s">
        <v>3</v>
      </c>
      <c r="DF122">
        <f t="shared" si="53"/>
        <v>1.72</v>
      </c>
      <c r="DG122">
        <f t="shared" si="51"/>
        <v>0</v>
      </c>
      <c r="DH122">
        <f t="shared" si="52"/>
        <v>0</v>
      </c>
      <c r="DI122">
        <f t="shared" si="44"/>
        <v>0</v>
      </c>
      <c r="DJ122">
        <f t="shared" ref="DJ122:DJ128" si="60">DF122</f>
        <v>1.72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ROW(Source!A139)</f>
        <v>139</v>
      </c>
      <c r="B123">
        <v>59213216</v>
      </c>
      <c r="C123">
        <v>59213552</v>
      </c>
      <c r="D123">
        <v>58310002</v>
      </c>
      <c r="E123">
        <v>1</v>
      </c>
      <c r="F123">
        <v>1</v>
      </c>
      <c r="G123">
        <v>1080</v>
      </c>
      <c r="H123">
        <v>3</v>
      </c>
      <c r="I123" t="s">
        <v>417</v>
      </c>
      <c r="J123" t="s">
        <v>418</v>
      </c>
      <c r="K123" t="s">
        <v>419</v>
      </c>
      <c r="L123">
        <v>1346</v>
      </c>
      <c r="N123">
        <v>1009</v>
      </c>
      <c r="O123" t="s">
        <v>244</v>
      </c>
      <c r="P123" t="s">
        <v>244</v>
      </c>
      <c r="Q123">
        <v>1</v>
      </c>
      <c r="W123">
        <v>0</v>
      </c>
      <c r="X123">
        <v>-878159893</v>
      </c>
      <c r="Y123">
        <f t="shared" si="54"/>
        <v>0.16</v>
      </c>
      <c r="AA123">
        <v>159.06</v>
      </c>
      <c r="AB123">
        <v>0</v>
      </c>
      <c r="AC123">
        <v>0</v>
      </c>
      <c r="AD123">
        <v>0</v>
      </c>
      <c r="AE123">
        <v>159.06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0.16</v>
      </c>
      <c r="AU123" t="s">
        <v>25</v>
      </c>
      <c r="AV123">
        <v>0</v>
      </c>
      <c r="AW123">
        <v>2</v>
      </c>
      <c r="AX123">
        <v>59213898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ROUND(Y123*Source!I139,9)</f>
        <v>0.46400000000000002</v>
      </c>
      <c r="CY123">
        <f t="shared" si="55"/>
        <v>159.06</v>
      </c>
      <c r="CZ123">
        <f t="shared" si="56"/>
        <v>159.06</v>
      </c>
      <c r="DA123">
        <f t="shared" si="57"/>
        <v>1</v>
      </c>
      <c r="DB123">
        <f t="shared" si="58"/>
        <v>25.45</v>
      </c>
      <c r="DC123">
        <f t="shared" si="59"/>
        <v>0</v>
      </c>
      <c r="DD123" t="s">
        <v>3</v>
      </c>
      <c r="DE123" t="s">
        <v>3</v>
      </c>
      <c r="DF123">
        <f t="shared" si="53"/>
        <v>73.8</v>
      </c>
      <c r="DG123">
        <f t="shared" si="51"/>
        <v>0</v>
      </c>
      <c r="DH123">
        <f t="shared" si="52"/>
        <v>0</v>
      </c>
      <c r="DI123">
        <f t="shared" si="44"/>
        <v>0</v>
      </c>
      <c r="DJ123">
        <f t="shared" si="60"/>
        <v>73.8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ROW(Source!A139)</f>
        <v>139</v>
      </c>
      <c r="B124">
        <v>59213216</v>
      </c>
      <c r="C124">
        <v>59213552</v>
      </c>
      <c r="D124">
        <v>58332945</v>
      </c>
      <c r="E124">
        <v>1</v>
      </c>
      <c r="F124">
        <v>1</v>
      </c>
      <c r="G124">
        <v>1080</v>
      </c>
      <c r="H124">
        <v>3</v>
      </c>
      <c r="I124" t="s">
        <v>420</v>
      </c>
      <c r="J124" t="s">
        <v>421</v>
      </c>
      <c r="K124" t="s">
        <v>422</v>
      </c>
      <c r="L124">
        <v>1355</v>
      </c>
      <c r="N124">
        <v>1010</v>
      </c>
      <c r="O124" t="s">
        <v>227</v>
      </c>
      <c r="P124" t="s">
        <v>227</v>
      </c>
      <c r="Q124">
        <v>100</v>
      </c>
      <c r="W124">
        <v>0</v>
      </c>
      <c r="X124">
        <v>-456781043</v>
      </c>
      <c r="Y124">
        <f t="shared" si="54"/>
        <v>0.05</v>
      </c>
      <c r="AA124">
        <v>68.819999999999993</v>
      </c>
      <c r="AB124">
        <v>0</v>
      </c>
      <c r="AC124">
        <v>0</v>
      </c>
      <c r="AD124">
        <v>0</v>
      </c>
      <c r="AE124">
        <v>68.819999999999993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0.05</v>
      </c>
      <c r="AU124" t="s">
        <v>25</v>
      </c>
      <c r="AV124">
        <v>0</v>
      </c>
      <c r="AW124">
        <v>2</v>
      </c>
      <c r="AX124">
        <v>59213899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ROUND(Y124*Source!I139,9)</f>
        <v>0.14499999999999999</v>
      </c>
      <c r="CY124">
        <f t="shared" si="55"/>
        <v>68.819999999999993</v>
      </c>
      <c r="CZ124">
        <f t="shared" si="56"/>
        <v>68.819999999999993</v>
      </c>
      <c r="DA124">
        <f t="shared" si="57"/>
        <v>1</v>
      </c>
      <c r="DB124">
        <f t="shared" si="58"/>
        <v>3.44</v>
      </c>
      <c r="DC124">
        <f t="shared" si="59"/>
        <v>0</v>
      </c>
      <c r="DD124" t="s">
        <v>3</v>
      </c>
      <c r="DE124" t="s">
        <v>3</v>
      </c>
      <c r="DF124">
        <f t="shared" si="53"/>
        <v>9.98</v>
      </c>
      <c r="DG124">
        <f t="shared" si="51"/>
        <v>0</v>
      </c>
      <c r="DH124">
        <f t="shared" si="52"/>
        <v>0</v>
      </c>
      <c r="DI124">
        <f t="shared" si="44"/>
        <v>0</v>
      </c>
      <c r="DJ124">
        <f t="shared" si="60"/>
        <v>9.98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ROW(Source!A139)</f>
        <v>139</v>
      </c>
      <c r="B125">
        <v>59213216</v>
      </c>
      <c r="C125">
        <v>59213552</v>
      </c>
      <c r="D125">
        <v>58332956</v>
      </c>
      <c r="E125">
        <v>1</v>
      </c>
      <c r="F125">
        <v>1</v>
      </c>
      <c r="G125">
        <v>1080</v>
      </c>
      <c r="H125">
        <v>3</v>
      </c>
      <c r="I125" t="s">
        <v>423</v>
      </c>
      <c r="J125" t="s">
        <v>424</v>
      </c>
      <c r="K125" t="s">
        <v>425</v>
      </c>
      <c r="L125">
        <v>1356</v>
      </c>
      <c r="N125">
        <v>1010</v>
      </c>
      <c r="O125" t="s">
        <v>426</v>
      </c>
      <c r="P125" t="s">
        <v>426</v>
      </c>
      <c r="Q125">
        <v>1000</v>
      </c>
      <c r="W125">
        <v>0</v>
      </c>
      <c r="X125">
        <v>1726193810</v>
      </c>
      <c r="Y125">
        <f t="shared" si="54"/>
        <v>1.2200000000000001E-2</v>
      </c>
      <c r="AA125">
        <v>183.4</v>
      </c>
      <c r="AB125">
        <v>0</v>
      </c>
      <c r="AC125">
        <v>0</v>
      </c>
      <c r="AD125">
        <v>0</v>
      </c>
      <c r="AE125">
        <v>183.4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1.2200000000000001E-2</v>
      </c>
      <c r="AU125" t="s">
        <v>25</v>
      </c>
      <c r="AV125">
        <v>0</v>
      </c>
      <c r="AW125">
        <v>2</v>
      </c>
      <c r="AX125">
        <v>59213900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ROUND(Y125*Source!I139,9)</f>
        <v>3.5380000000000002E-2</v>
      </c>
      <c r="CY125">
        <f t="shared" si="55"/>
        <v>183.4</v>
      </c>
      <c r="CZ125">
        <f t="shared" si="56"/>
        <v>183.4</v>
      </c>
      <c r="DA125">
        <f t="shared" si="57"/>
        <v>1</v>
      </c>
      <c r="DB125">
        <f t="shared" si="58"/>
        <v>2.2400000000000002</v>
      </c>
      <c r="DC125">
        <f t="shared" si="59"/>
        <v>0</v>
      </c>
      <c r="DD125" t="s">
        <v>3</v>
      </c>
      <c r="DE125" t="s">
        <v>3</v>
      </c>
      <c r="DF125">
        <f t="shared" si="53"/>
        <v>6.49</v>
      </c>
      <c r="DG125">
        <f t="shared" si="51"/>
        <v>0</v>
      </c>
      <c r="DH125">
        <f t="shared" si="52"/>
        <v>0</v>
      </c>
      <c r="DI125">
        <f t="shared" si="44"/>
        <v>0</v>
      </c>
      <c r="DJ125">
        <f t="shared" si="60"/>
        <v>6.49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ROW(Source!A139)</f>
        <v>139</v>
      </c>
      <c r="B126">
        <v>59213216</v>
      </c>
      <c r="C126">
        <v>59213552</v>
      </c>
      <c r="D126">
        <v>58332282</v>
      </c>
      <c r="E126">
        <v>1</v>
      </c>
      <c r="F126">
        <v>1</v>
      </c>
      <c r="G126">
        <v>1080</v>
      </c>
      <c r="H126">
        <v>3</v>
      </c>
      <c r="I126" t="s">
        <v>427</v>
      </c>
      <c r="J126" t="s">
        <v>428</v>
      </c>
      <c r="K126" t="s">
        <v>429</v>
      </c>
      <c r="L126">
        <v>1354</v>
      </c>
      <c r="N126">
        <v>1010</v>
      </c>
      <c r="O126" t="s">
        <v>34</v>
      </c>
      <c r="P126" t="s">
        <v>34</v>
      </c>
      <c r="Q126">
        <v>1</v>
      </c>
      <c r="W126">
        <v>0</v>
      </c>
      <c r="X126">
        <v>145081611</v>
      </c>
      <c r="Y126">
        <f t="shared" si="54"/>
        <v>3.1</v>
      </c>
      <c r="AA126">
        <v>6.94</v>
      </c>
      <c r="AB126">
        <v>0</v>
      </c>
      <c r="AC126">
        <v>0</v>
      </c>
      <c r="AD126">
        <v>0</v>
      </c>
      <c r="AE126">
        <v>6.94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3.1</v>
      </c>
      <c r="AU126" t="s">
        <v>25</v>
      </c>
      <c r="AV126">
        <v>0</v>
      </c>
      <c r="AW126">
        <v>2</v>
      </c>
      <c r="AX126">
        <v>59213901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ROUND(Y126*Source!I139,9)</f>
        <v>8.99</v>
      </c>
      <c r="CY126">
        <f t="shared" si="55"/>
        <v>6.94</v>
      </c>
      <c r="CZ126">
        <f t="shared" si="56"/>
        <v>6.94</v>
      </c>
      <c r="DA126">
        <f t="shared" si="57"/>
        <v>1</v>
      </c>
      <c r="DB126">
        <f t="shared" si="58"/>
        <v>21.51</v>
      </c>
      <c r="DC126">
        <f t="shared" si="59"/>
        <v>0</v>
      </c>
      <c r="DD126" t="s">
        <v>3</v>
      </c>
      <c r="DE126" t="s">
        <v>3</v>
      </c>
      <c r="DF126">
        <f t="shared" si="53"/>
        <v>62.39</v>
      </c>
      <c r="DG126">
        <f t="shared" si="51"/>
        <v>0</v>
      </c>
      <c r="DH126">
        <f t="shared" si="52"/>
        <v>0</v>
      </c>
      <c r="DI126">
        <f t="shared" si="44"/>
        <v>0</v>
      </c>
      <c r="DJ126">
        <f t="shared" si="60"/>
        <v>62.39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ROW(Source!A139)</f>
        <v>139</v>
      </c>
      <c r="B127">
        <v>59213216</v>
      </c>
      <c r="C127">
        <v>59213552</v>
      </c>
      <c r="D127">
        <v>58332289</v>
      </c>
      <c r="E127">
        <v>1</v>
      </c>
      <c r="F127">
        <v>1</v>
      </c>
      <c r="G127">
        <v>1080</v>
      </c>
      <c r="H127">
        <v>3</v>
      </c>
      <c r="I127" t="s">
        <v>430</v>
      </c>
      <c r="J127" t="s">
        <v>431</v>
      </c>
      <c r="K127" t="s">
        <v>432</v>
      </c>
      <c r="L127">
        <v>1356</v>
      </c>
      <c r="N127">
        <v>1010</v>
      </c>
      <c r="O127" t="s">
        <v>426</v>
      </c>
      <c r="P127" t="s">
        <v>426</v>
      </c>
      <c r="Q127">
        <v>1000</v>
      </c>
      <c r="W127">
        <v>0</v>
      </c>
      <c r="X127">
        <v>-1715273674</v>
      </c>
      <c r="Y127">
        <f t="shared" si="54"/>
        <v>8.0000000000000002E-3</v>
      </c>
      <c r="AA127">
        <v>614.09</v>
      </c>
      <c r="AB127">
        <v>0</v>
      </c>
      <c r="AC127">
        <v>0</v>
      </c>
      <c r="AD127">
        <v>0</v>
      </c>
      <c r="AE127">
        <v>614.09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8.0000000000000002E-3</v>
      </c>
      <c r="AU127" t="s">
        <v>25</v>
      </c>
      <c r="AV127">
        <v>0</v>
      </c>
      <c r="AW127">
        <v>2</v>
      </c>
      <c r="AX127">
        <v>59213902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ROUND(Y127*Source!I139,9)</f>
        <v>2.3199999999999998E-2</v>
      </c>
      <c r="CY127">
        <f t="shared" si="55"/>
        <v>614.09</v>
      </c>
      <c r="CZ127">
        <f t="shared" si="56"/>
        <v>614.09</v>
      </c>
      <c r="DA127">
        <f t="shared" si="57"/>
        <v>1</v>
      </c>
      <c r="DB127">
        <f t="shared" si="58"/>
        <v>4.91</v>
      </c>
      <c r="DC127">
        <f t="shared" si="59"/>
        <v>0</v>
      </c>
      <c r="DD127" t="s">
        <v>3</v>
      </c>
      <c r="DE127" t="s">
        <v>3</v>
      </c>
      <c r="DF127">
        <f t="shared" si="53"/>
        <v>14.25</v>
      </c>
      <c r="DG127">
        <f t="shared" si="51"/>
        <v>0</v>
      </c>
      <c r="DH127">
        <f t="shared" si="52"/>
        <v>0</v>
      </c>
      <c r="DI127">
        <f t="shared" si="44"/>
        <v>0</v>
      </c>
      <c r="DJ127">
        <f t="shared" si="60"/>
        <v>14.25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ROW(Source!A139)</f>
        <v>139</v>
      </c>
      <c r="B128">
        <v>59213216</v>
      </c>
      <c r="C128">
        <v>59213552</v>
      </c>
      <c r="D128">
        <v>0</v>
      </c>
      <c r="E128">
        <v>1080</v>
      </c>
      <c r="F128">
        <v>1</v>
      </c>
      <c r="G128">
        <v>1080</v>
      </c>
      <c r="H128">
        <v>3</v>
      </c>
      <c r="I128" t="s">
        <v>254</v>
      </c>
      <c r="J128" t="s">
        <v>3</v>
      </c>
      <c r="K128" t="s">
        <v>255</v>
      </c>
      <c r="L128">
        <v>1303</v>
      </c>
      <c r="N128">
        <v>1003</v>
      </c>
      <c r="O128" t="s">
        <v>256</v>
      </c>
      <c r="P128" t="s">
        <v>256</v>
      </c>
      <c r="Q128">
        <v>1000</v>
      </c>
      <c r="W128">
        <v>0</v>
      </c>
      <c r="X128">
        <v>2122597888</v>
      </c>
      <c r="Y128">
        <f>AT128</f>
        <v>0.10199999999999999</v>
      </c>
      <c r="AA128">
        <v>5839.02</v>
      </c>
      <c r="AB128">
        <v>0</v>
      </c>
      <c r="AC128">
        <v>0</v>
      </c>
      <c r="AD128">
        <v>0</v>
      </c>
      <c r="AE128">
        <v>5839.0199999999995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3</v>
      </c>
      <c r="AT128">
        <v>0.10199999999999999</v>
      </c>
      <c r="AU128" t="s">
        <v>3</v>
      </c>
      <c r="AV128">
        <v>0</v>
      </c>
      <c r="AW128">
        <v>1</v>
      </c>
      <c r="AX128">
        <v>-1</v>
      </c>
      <c r="AY128">
        <v>0</v>
      </c>
      <c r="AZ128">
        <v>0</v>
      </c>
      <c r="BA128" t="s">
        <v>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ROUND(Y128*Source!I139,9)</f>
        <v>0.29580000000000001</v>
      </c>
      <c r="CY128">
        <f t="shared" si="55"/>
        <v>5839.02</v>
      </c>
      <c r="CZ128">
        <f t="shared" si="56"/>
        <v>5839.0199999999995</v>
      </c>
      <c r="DA128">
        <f t="shared" si="57"/>
        <v>1</v>
      </c>
      <c r="DB128">
        <f>ROUND(ROUND(AT128*CZ128,2),6)</f>
        <v>595.58000000000004</v>
      </c>
      <c r="DC128">
        <f>ROUND(ROUND(AT128*AG128,2),6)</f>
        <v>0</v>
      </c>
      <c r="DD128" t="s">
        <v>3</v>
      </c>
      <c r="DE128" t="s">
        <v>3</v>
      </c>
      <c r="DF128">
        <f t="shared" si="53"/>
        <v>1727.18</v>
      </c>
      <c r="DG128">
        <f t="shared" si="51"/>
        <v>0</v>
      </c>
      <c r="DH128">
        <f t="shared" si="52"/>
        <v>0</v>
      </c>
      <c r="DI128">
        <f t="shared" si="44"/>
        <v>0</v>
      </c>
      <c r="DJ128">
        <f t="shared" si="60"/>
        <v>1727.18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ROW(Source!A140)</f>
        <v>140</v>
      </c>
      <c r="B129">
        <v>59213213</v>
      </c>
      <c r="C129">
        <v>59213552</v>
      </c>
      <c r="D129">
        <v>58266404</v>
      </c>
      <c r="E129">
        <v>1080</v>
      </c>
      <c r="F129">
        <v>1</v>
      </c>
      <c r="G129">
        <v>1080</v>
      </c>
      <c r="H129">
        <v>1</v>
      </c>
      <c r="I129" t="s">
        <v>331</v>
      </c>
      <c r="J129" t="s">
        <v>3</v>
      </c>
      <c r="K129" t="s">
        <v>332</v>
      </c>
      <c r="L129">
        <v>1191</v>
      </c>
      <c r="N129">
        <v>1013</v>
      </c>
      <c r="O129" t="s">
        <v>333</v>
      </c>
      <c r="P129" t="s">
        <v>333</v>
      </c>
      <c r="Q129">
        <v>1</v>
      </c>
      <c r="W129">
        <v>0</v>
      </c>
      <c r="X129">
        <v>476480486</v>
      </c>
      <c r="Y129">
        <f>(AT129*1.1)</f>
        <v>4.9390000000000009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5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4.49</v>
      </c>
      <c r="AU129" t="s">
        <v>26</v>
      </c>
      <c r="AV129">
        <v>1</v>
      </c>
      <c r="AW129">
        <v>2</v>
      </c>
      <c r="AX129">
        <v>59213894</v>
      </c>
      <c r="AY129">
        <v>1</v>
      </c>
      <c r="AZ129">
        <v>0</v>
      </c>
      <c r="BA129">
        <v>149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ROUND(AT129*Source!I140*AH129*AL129,2)</f>
        <v>0</v>
      </c>
      <c r="CV129">
        <f>ROUND(Y129*Source!I140,9)</f>
        <v>14.3231</v>
      </c>
      <c r="CW129">
        <v>0</v>
      </c>
      <c r="CX129">
        <f>ROUND(Y129*Source!I140,9)</f>
        <v>14.3231</v>
      </c>
      <c r="CY129">
        <f>AD129</f>
        <v>0</v>
      </c>
      <c r="CZ129">
        <f>AH129</f>
        <v>0</v>
      </c>
      <c r="DA129">
        <f>AL129</f>
        <v>1</v>
      </c>
      <c r="DB129">
        <f>ROUND((ROUND(AT129*CZ129,2)*1.1),6)</f>
        <v>0</v>
      </c>
      <c r="DC129">
        <f>ROUND((ROUND(AT129*AG129,2)*1.1),6)</f>
        <v>0</v>
      </c>
      <c r="DD129" t="s">
        <v>3</v>
      </c>
      <c r="DE129" t="s">
        <v>3</v>
      </c>
      <c r="DF129">
        <f t="shared" si="53"/>
        <v>0</v>
      </c>
      <c r="DG129">
        <f t="shared" si="51"/>
        <v>0</v>
      </c>
      <c r="DH129">
        <f t="shared" si="52"/>
        <v>0</v>
      </c>
      <c r="DI129">
        <f t="shared" ref="DI129:DI192" si="61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ROW(Source!A140)</f>
        <v>140</v>
      </c>
      <c r="B130">
        <v>59213213</v>
      </c>
      <c r="C130">
        <v>59213552</v>
      </c>
      <c r="D130">
        <v>58340578</v>
      </c>
      <c r="E130">
        <v>1</v>
      </c>
      <c r="F130">
        <v>1</v>
      </c>
      <c r="G130">
        <v>1080</v>
      </c>
      <c r="H130">
        <v>2</v>
      </c>
      <c r="I130" t="s">
        <v>334</v>
      </c>
      <c r="J130" t="s">
        <v>335</v>
      </c>
      <c r="K130" t="s">
        <v>336</v>
      </c>
      <c r="L130">
        <v>1368</v>
      </c>
      <c r="N130">
        <v>1011</v>
      </c>
      <c r="O130" t="s">
        <v>337</v>
      </c>
      <c r="P130" t="s">
        <v>337</v>
      </c>
      <c r="Q130">
        <v>1</v>
      </c>
      <c r="W130">
        <v>0</v>
      </c>
      <c r="X130">
        <v>-1985943078</v>
      </c>
      <c r="Y130">
        <f>(AT130*1.1)</f>
        <v>1.1000000000000001E-2</v>
      </c>
      <c r="AA130">
        <v>0</v>
      </c>
      <c r="AB130">
        <v>1418.19</v>
      </c>
      <c r="AC130">
        <v>726.59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16.3</v>
      </c>
      <c r="AK130">
        <v>54.99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0.01</v>
      </c>
      <c r="AU130" t="s">
        <v>26</v>
      </c>
      <c r="AV130">
        <v>0</v>
      </c>
      <c r="AW130">
        <v>2</v>
      </c>
      <c r="AX130">
        <v>59213895</v>
      </c>
      <c r="AY130">
        <v>1</v>
      </c>
      <c r="AZ130">
        <v>0</v>
      </c>
      <c r="BA130">
        <v>150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ROUND(Y130*Source!I140*DO130,9)</f>
        <v>0.40257799999999999</v>
      </c>
      <c r="CX130">
        <f>ROUND(Y130*Source!I140,9)</f>
        <v>3.1899999999999998E-2</v>
      </c>
      <c r="CY130">
        <f>AB130</f>
        <v>1418.19</v>
      </c>
      <c r="CZ130">
        <f>AF130</f>
        <v>83.1</v>
      </c>
      <c r="DA130">
        <f>AJ130</f>
        <v>16.3</v>
      </c>
      <c r="DB130">
        <f>ROUND((ROUND(AT130*CZ130,2)*1.1),6)</f>
        <v>0.91300000000000003</v>
      </c>
      <c r="DC130">
        <f>ROUND((ROUND(AT130*AG130,2)*1.1),6)</f>
        <v>0.14299999999999999</v>
      </c>
      <c r="DD130" t="s">
        <v>3</v>
      </c>
      <c r="DE130" t="s">
        <v>3</v>
      </c>
      <c r="DF130">
        <f t="shared" si="53"/>
        <v>0</v>
      </c>
      <c r="DG130">
        <f>ROUND(ROUND(AF130*AJ130,2)*CX130,2)</f>
        <v>43.21</v>
      </c>
      <c r="DH130">
        <f>ROUND(ROUND(AG130*AK130,2)*CX130,2)</f>
        <v>22.14</v>
      </c>
      <c r="DI130">
        <f t="shared" si="61"/>
        <v>0</v>
      </c>
      <c r="DJ130">
        <f>DG130</f>
        <v>43.21</v>
      </c>
      <c r="DK130">
        <v>0</v>
      </c>
      <c r="DL130" t="s">
        <v>338</v>
      </c>
      <c r="DM130">
        <v>0</v>
      </c>
      <c r="DN130" t="s">
        <v>333</v>
      </c>
      <c r="DO130">
        <v>12.62</v>
      </c>
    </row>
    <row r="131" spans="1:119" x14ac:dyDescent="0.2">
      <c r="A131">
        <f>ROW(Source!A140)</f>
        <v>140</v>
      </c>
      <c r="B131">
        <v>59213213</v>
      </c>
      <c r="C131">
        <v>59213552</v>
      </c>
      <c r="D131">
        <v>58339814</v>
      </c>
      <c r="E131">
        <v>1</v>
      </c>
      <c r="F131">
        <v>1</v>
      </c>
      <c r="G131">
        <v>1080</v>
      </c>
      <c r="H131">
        <v>2</v>
      </c>
      <c r="I131" t="s">
        <v>411</v>
      </c>
      <c r="J131" t="s">
        <v>412</v>
      </c>
      <c r="K131" t="s">
        <v>413</v>
      </c>
      <c r="L131">
        <v>1368</v>
      </c>
      <c r="N131">
        <v>1011</v>
      </c>
      <c r="O131" t="s">
        <v>337</v>
      </c>
      <c r="P131" t="s">
        <v>337</v>
      </c>
      <c r="Q131">
        <v>1</v>
      </c>
      <c r="W131">
        <v>0</v>
      </c>
      <c r="X131">
        <v>1087580389</v>
      </c>
      <c r="Y131">
        <f>(AT131*1.1)</f>
        <v>1.1000000000000001E-2</v>
      </c>
      <c r="AA131">
        <v>0</v>
      </c>
      <c r="AB131">
        <v>2579.38</v>
      </c>
      <c r="AC131">
        <v>974.74</v>
      </c>
      <c r="AD131">
        <v>0</v>
      </c>
      <c r="AE131">
        <v>0</v>
      </c>
      <c r="AF131">
        <v>179.17</v>
      </c>
      <c r="AG131">
        <v>16.93</v>
      </c>
      <c r="AH131">
        <v>0</v>
      </c>
      <c r="AI131">
        <v>1</v>
      </c>
      <c r="AJ131">
        <v>13.75</v>
      </c>
      <c r="AK131">
        <v>54.99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0.01</v>
      </c>
      <c r="AU131" t="s">
        <v>26</v>
      </c>
      <c r="AV131">
        <v>0</v>
      </c>
      <c r="AW131">
        <v>2</v>
      </c>
      <c r="AX131">
        <v>59213896</v>
      </c>
      <c r="AY131">
        <v>1</v>
      </c>
      <c r="AZ131">
        <v>0</v>
      </c>
      <c r="BA131">
        <v>151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ROUND(Y131*Source!I140*DO131,9)</f>
        <v>0.54006699999999996</v>
      </c>
      <c r="CX131">
        <f>ROUND(Y131*Source!I140,9)</f>
        <v>3.1899999999999998E-2</v>
      </c>
      <c r="CY131">
        <f>AB131</f>
        <v>2579.38</v>
      </c>
      <c r="CZ131">
        <f>AF131</f>
        <v>179.17</v>
      </c>
      <c r="DA131">
        <f>AJ131</f>
        <v>13.75</v>
      </c>
      <c r="DB131">
        <f>ROUND((ROUND(AT131*CZ131,2)*1.1),6)</f>
        <v>1.9690000000000001</v>
      </c>
      <c r="DC131">
        <f>ROUND((ROUND(AT131*AG131,2)*1.1),6)</f>
        <v>0.187</v>
      </c>
      <c r="DD131" t="s">
        <v>3</v>
      </c>
      <c r="DE131" t="s">
        <v>3</v>
      </c>
      <c r="DF131">
        <f t="shared" si="53"/>
        <v>0</v>
      </c>
      <c r="DG131">
        <f>ROUND(ROUND(AF131*AJ131,2)*CX131,2)</f>
        <v>78.59</v>
      </c>
      <c r="DH131">
        <f>ROUND(ROUND(AG131*AK131,2)*CX131,2)</f>
        <v>29.7</v>
      </c>
      <c r="DI131">
        <f t="shared" si="61"/>
        <v>0</v>
      </c>
      <c r="DJ131">
        <f>DG131</f>
        <v>78.59</v>
      </c>
      <c r="DK131">
        <v>0</v>
      </c>
      <c r="DL131" t="s">
        <v>338</v>
      </c>
      <c r="DM131">
        <v>0</v>
      </c>
      <c r="DN131" t="s">
        <v>333</v>
      </c>
      <c r="DO131">
        <v>16.93</v>
      </c>
    </row>
    <row r="132" spans="1:119" x14ac:dyDescent="0.2">
      <c r="A132">
        <f>ROW(Source!A140)</f>
        <v>140</v>
      </c>
      <c r="B132">
        <v>59213213</v>
      </c>
      <c r="C132">
        <v>59213552</v>
      </c>
      <c r="D132">
        <v>58309611</v>
      </c>
      <c r="E132">
        <v>1</v>
      </c>
      <c r="F132">
        <v>1</v>
      </c>
      <c r="G132">
        <v>1080</v>
      </c>
      <c r="H132">
        <v>3</v>
      </c>
      <c r="I132" t="s">
        <v>414</v>
      </c>
      <c r="J132" t="s">
        <v>415</v>
      </c>
      <c r="K132" t="s">
        <v>416</v>
      </c>
      <c r="L132">
        <v>1346</v>
      </c>
      <c r="N132">
        <v>1009</v>
      </c>
      <c r="O132" t="s">
        <v>244</v>
      </c>
      <c r="P132" t="s">
        <v>244</v>
      </c>
      <c r="Q132">
        <v>1</v>
      </c>
      <c r="W132">
        <v>0</v>
      </c>
      <c r="X132">
        <v>1770006655</v>
      </c>
      <c r="Y132">
        <f t="shared" ref="Y132:Y137" si="62">(AT132*1)</f>
        <v>0.43</v>
      </c>
      <c r="AA132">
        <v>29.73</v>
      </c>
      <c r="AB132">
        <v>0</v>
      </c>
      <c r="AC132">
        <v>0</v>
      </c>
      <c r="AD132">
        <v>0</v>
      </c>
      <c r="AE132">
        <v>1.38</v>
      </c>
      <c r="AF132">
        <v>0</v>
      </c>
      <c r="AG132">
        <v>0</v>
      </c>
      <c r="AH132">
        <v>0</v>
      </c>
      <c r="AI132">
        <v>21.54</v>
      </c>
      <c r="AJ132">
        <v>1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0.43</v>
      </c>
      <c r="AU132" t="s">
        <v>25</v>
      </c>
      <c r="AV132">
        <v>0</v>
      </c>
      <c r="AW132">
        <v>2</v>
      </c>
      <c r="AX132">
        <v>59213897</v>
      </c>
      <c r="AY132">
        <v>1</v>
      </c>
      <c r="AZ132">
        <v>0</v>
      </c>
      <c r="BA132">
        <v>152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ROUND(Y132*Source!I140,9)</f>
        <v>1.2470000000000001</v>
      </c>
      <c r="CY132">
        <f t="shared" ref="CY132:CY138" si="63">AA132</f>
        <v>29.73</v>
      </c>
      <c r="CZ132">
        <f t="shared" ref="CZ132:CZ138" si="64">AE132</f>
        <v>1.38</v>
      </c>
      <c r="DA132">
        <f t="shared" ref="DA132:DA138" si="65">AI132</f>
        <v>21.54</v>
      </c>
      <c r="DB132">
        <f t="shared" ref="DB132:DB137" si="66">ROUND((ROUND(AT132*CZ132,2)*1),6)</f>
        <v>0.59</v>
      </c>
      <c r="DC132">
        <f t="shared" ref="DC132:DC137" si="67">ROUND((ROUND(AT132*AG132,2)*1),6)</f>
        <v>0</v>
      </c>
      <c r="DD132" t="s">
        <v>3</v>
      </c>
      <c r="DE132" t="s">
        <v>3</v>
      </c>
      <c r="DF132">
        <f t="shared" ref="DF132:DF138" si="68">ROUND(ROUND(AE132*AI132,2)*CX132,2)</f>
        <v>37.07</v>
      </c>
      <c r="DG132">
        <f t="shared" ref="DG132:DG149" si="69">ROUND(ROUND(AF132,2)*CX132,2)</f>
        <v>0</v>
      </c>
      <c r="DH132">
        <f t="shared" ref="DH132:DH149" si="70">ROUND(ROUND(AG132,2)*CX132,2)</f>
        <v>0</v>
      </c>
      <c r="DI132">
        <f t="shared" si="61"/>
        <v>0</v>
      </c>
      <c r="DJ132">
        <f t="shared" ref="DJ132:DJ138" si="71">DF132</f>
        <v>37.07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ROW(Source!A140)</f>
        <v>140</v>
      </c>
      <c r="B133">
        <v>59213213</v>
      </c>
      <c r="C133">
        <v>59213552</v>
      </c>
      <c r="D133">
        <v>58310002</v>
      </c>
      <c r="E133">
        <v>1</v>
      </c>
      <c r="F133">
        <v>1</v>
      </c>
      <c r="G133">
        <v>1080</v>
      </c>
      <c r="H133">
        <v>3</v>
      </c>
      <c r="I133" t="s">
        <v>417</v>
      </c>
      <c r="J133" t="s">
        <v>418</v>
      </c>
      <c r="K133" t="s">
        <v>419</v>
      </c>
      <c r="L133">
        <v>1346</v>
      </c>
      <c r="N133">
        <v>1009</v>
      </c>
      <c r="O133" t="s">
        <v>244</v>
      </c>
      <c r="P133" t="s">
        <v>244</v>
      </c>
      <c r="Q133">
        <v>1</v>
      </c>
      <c r="W133">
        <v>0</v>
      </c>
      <c r="X133">
        <v>-878159893</v>
      </c>
      <c r="Y133">
        <f t="shared" si="62"/>
        <v>0.16</v>
      </c>
      <c r="AA133">
        <v>286.31</v>
      </c>
      <c r="AB133">
        <v>0</v>
      </c>
      <c r="AC133">
        <v>0</v>
      </c>
      <c r="AD133">
        <v>0</v>
      </c>
      <c r="AE133">
        <v>159.06</v>
      </c>
      <c r="AF133">
        <v>0</v>
      </c>
      <c r="AG133">
        <v>0</v>
      </c>
      <c r="AH133">
        <v>0</v>
      </c>
      <c r="AI133">
        <v>1.8</v>
      </c>
      <c r="AJ133">
        <v>1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0.16</v>
      </c>
      <c r="AU133" t="s">
        <v>25</v>
      </c>
      <c r="AV133">
        <v>0</v>
      </c>
      <c r="AW133">
        <v>2</v>
      </c>
      <c r="AX133">
        <v>59213898</v>
      </c>
      <c r="AY133">
        <v>1</v>
      </c>
      <c r="AZ133">
        <v>0</v>
      </c>
      <c r="BA133">
        <v>153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ROUND(Y133*Source!I140,9)</f>
        <v>0.46400000000000002</v>
      </c>
      <c r="CY133">
        <f t="shared" si="63"/>
        <v>286.31</v>
      </c>
      <c r="CZ133">
        <f t="shared" si="64"/>
        <v>159.06</v>
      </c>
      <c r="DA133">
        <f t="shared" si="65"/>
        <v>1.8</v>
      </c>
      <c r="DB133">
        <f t="shared" si="66"/>
        <v>25.45</v>
      </c>
      <c r="DC133">
        <f t="shared" si="67"/>
        <v>0</v>
      </c>
      <c r="DD133" t="s">
        <v>3</v>
      </c>
      <c r="DE133" t="s">
        <v>3</v>
      </c>
      <c r="DF133">
        <f t="shared" si="68"/>
        <v>132.85</v>
      </c>
      <c r="DG133">
        <f t="shared" si="69"/>
        <v>0</v>
      </c>
      <c r="DH133">
        <f t="shared" si="70"/>
        <v>0</v>
      </c>
      <c r="DI133">
        <f t="shared" si="61"/>
        <v>0</v>
      </c>
      <c r="DJ133">
        <f t="shared" si="71"/>
        <v>132.85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ROW(Source!A140)</f>
        <v>140</v>
      </c>
      <c r="B134">
        <v>59213213</v>
      </c>
      <c r="C134">
        <v>59213552</v>
      </c>
      <c r="D134">
        <v>58332945</v>
      </c>
      <c r="E134">
        <v>1</v>
      </c>
      <c r="F134">
        <v>1</v>
      </c>
      <c r="G134">
        <v>1080</v>
      </c>
      <c r="H134">
        <v>3</v>
      </c>
      <c r="I134" t="s">
        <v>420</v>
      </c>
      <c r="J134" t="s">
        <v>421</v>
      </c>
      <c r="K134" t="s">
        <v>422</v>
      </c>
      <c r="L134">
        <v>1355</v>
      </c>
      <c r="N134">
        <v>1010</v>
      </c>
      <c r="O134" t="s">
        <v>227</v>
      </c>
      <c r="P134" t="s">
        <v>227</v>
      </c>
      <c r="Q134">
        <v>100</v>
      </c>
      <c r="W134">
        <v>0</v>
      </c>
      <c r="X134">
        <v>-456781043</v>
      </c>
      <c r="Y134">
        <f t="shared" si="62"/>
        <v>0.05</v>
      </c>
      <c r="AA134">
        <v>1102.5</v>
      </c>
      <c r="AB134">
        <v>0</v>
      </c>
      <c r="AC134">
        <v>0</v>
      </c>
      <c r="AD134">
        <v>0</v>
      </c>
      <c r="AE134">
        <v>68.819999999999993</v>
      </c>
      <c r="AF134">
        <v>0</v>
      </c>
      <c r="AG134">
        <v>0</v>
      </c>
      <c r="AH134">
        <v>0</v>
      </c>
      <c r="AI134">
        <v>16.02</v>
      </c>
      <c r="AJ134">
        <v>1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0.05</v>
      </c>
      <c r="AU134" t="s">
        <v>25</v>
      </c>
      <c r="AV134">
        <v>0</v>
      </c>
      <c r="AW134">
        <v>2</v>
      </c>
      <c r="AX134">
        <v>59213899</v>
      </c>
      <c r="AY134">
        <v>1</v>
      </c>
      <c r="AZ134">
        <v>0</v>
      </c>
      <c r="BA134">
        <v>154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ROUND(Y134*Source!I140,9)</f>
        <v>0.14499999999999999</v>
      </c>
      <c r="CY134">
        <f t="shared" si="63"/>
        <v>1102.5</v>
      </c>
      <c r="CZ134">
        <f t="shared" si="64"/>
        <v>68.819999999999993</v>
      </c>
      <c r="DA134">
        <f t="shared" si="65"/>
        <v>16.02</v>
      </c>
      <c r="DB134">
        <f t="shared" si="66"/>
        <v>3.44</v>
      </c>
      <c r="DC134">
        <f t="shared" si="67"/>
        <v>0</v>
      </c>
      <c r="DD134" t="s">
        <v>3</v>
      </c>
      <c r="DE134" t="s">
        <v>3</v>
      </c>
      <c r="DF134">
        <f t="shared" si="68"/>
        <v>159.86000000000001</v>
      </c>
      <c r="DG134">
        <f t="shared" si="69"/>
        <v>0</v>
      </c>
      <c r="DH134">
        <f t="shared" si="70"/>
        <v>0</v>
      </c>
      <c r="DI134">
        <f t="shared" si="61"/>
        <v>0</v>
      </c>
      <c r="DJ134">
        <f t="shared" si="71"/>
        <v>159.86000000000001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ROW(Source!A140)</f>
        <v>140</v>
      </c>
      <c r="B135">
        <v>59213213</v>
      </c>
      <c r="C135">
        <v>59213552</v>
      </c>
      <c r="D135">
        <v>58332956</v>
      </c>
      <c r="E135">
        <v>1</v>
      </c>
      <c r="F135">
        <v>1</v>
      </c>
      <c r="G135">
        <v>1080</v>
      </c>
      <c r="H135">
        <v>3</v>
      </c>
      <c r="I135" t="s">
        <v>423</v>
      </c>
      <c r="J135" t="s">
        <v>424</v>
      </c>
      <c r="K135" t="s">
        <v>425</v>
      </c>
      <c r="L135">
        <v>1356</v>
      </c>
      <c r="N135">
        <v>1010</v>
      </c>
      <c r="O135" t="s">
        <v>426</v>
      </c>
      <c r="P135" t="s">
        <v>426</v>
      </c>
      <c r="Q135">
        <v>1000</v>
      </c>
      <c r="W135">
        <v>0</v>
      </c>
      <c r="X135">
        <v>1726193810</v>
      </c>
      <c r="Y135">
        <f t="shared" si="62"/>
        <v>1.2200000000000001E-2</v>
      </c>
      <c r="AA135">
        <v>1318.65</v>
      </c>
      <c r="AB135">
        <v>0</v>
      </c>
      <c r="AC135">
        <v>0</v>
      </c>
      <c r="AD135">
        <v>0</v>
      </c>
      <c r="AE135">
        <v>183.4</v>
      </c>
      <c r="AF135">
        <v>0</v>
      </c>
      <c r="AG135">
        <v>0</v>
      </c>
      <c r="AH135">
        <v>0</v>
      </c>
      <c r="AI135">
        <v>7.19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1.2200000000000001E-2</v>
      </c>
      <c r="AU135" t="s">
        <v>25</v>
      </c>
      <c r="AV135">
        <v>0</v>
      </c>
      <c r="AW135">
        <v>2</v>
      </c>
      <c r="AX135">
        <v>59213900</v>
      </c>
      <c r="AY135">
        <v>1</v>
      </c>
      <c r="AZ135">
        <v>0</v>
      </c>
      <c r="BA135">
        <v>155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ROUND(Y135*Source!I140,9)</f>
        <v>3.5380000000000002E-2</v>
      </c>
      <c r="CY135">
        <f t="shared" si="63"/>
        <v>1318.65</v>
      </c>
      <c r="CZ135">
        <f t="shared" si="64"/>
        <v>183.4</v>
      </c>
      <c r="DA135">
        <f t="shared" si="65"/>
        <v>7.19</v>
      </c>
      <c r="DB135">
        <f t="shared" si="66"/>
        <v>2.2400000000000002</v>
      </c>
      <c r="DC135">
        <f t="shared" si="67"/>
        <v>0</v>
      </c>
      <c r="DD135" t="s">
        <v>3</v>
      </c>
      <c r="DE135" t="s">
        <v>3</v>
      </c>
      <c r="DF135">
        <f t="shared" si="68"/>
        <v>46.65</v>
      </c>
      <c r="DG135">
        <f t="shared" si="69"/>
        <v>0</v>
      </c>
      <c r="DH135">
        <f t="shared" si="70"/>
        <v>0</v>
      </c>
      <c r="DI135">
        <f t="shared" si="61"/>
        <v>0</v>
      </c>
      <c r="DJ135">
        <f t="shared" si="71"/>
        <v>46.65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ROW(Source!A140)</f>
        <v>140</v>
      </c>
      <c r="B136">
        <v>59213213</v>
      </c>
      <c r="C136">
        <v>59213552</v>
      </c>
      <c r="D136">
        <v>58332282</v>
      </c>
      <c r="E136">
        <v>1</v>
      </c>
      <c r="F136">
        <v>1</v>
      </c>
      <c r="G136">
        <v>1080</v>
      </c>
      <c r="H136">
        <v>3</v>
      </c>
      <c r="I136" t="s">
        <v>427</v>
      </c>
      <c r="J136" t="s">
        <v>428</v>
      </c>
      <c r="K136" t="s">
        <v>429</v>
      </c>
      <c r="L136">
        <v>1354</v>
      </c>
      <c r="N136">
        <v>1010</v>
      </c>
      <c r="O136" t="s">
        <v>34</v>
      </c>
      <c r="P136" t="s">
        <v>34</v>
      </c>
      <c r="Q136">
        <v>1</v>
      </c>
      <c r="W136">
        <v>0</v>
      </c>
      <c r="X136">
        <v>145081611</v>
      </c>
      <c r="Y136">
        <f t="shared" si="62"/>
        <v>3.1</v>
      </c>
      <c r="AA136">
        <v>25.47</v>
      </c>
      <c r="AB136">
        <v>0</v>
      </c>
      <c r="AC136">
        <v>0</v>
      </c>
      <c r="AD136">
        <v>0</v>
      </c>
      <c r="AE136">
        <v>6.94</v>
      </c>
      <c r="AF136">
        <v>0</v>
      </c>
      <c r="AG136">
        <v>0</v>
      </c>
      <c r="AH136">
        <v>0</v>
      </c>
      <c r="AI136">
        <v>3.67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3.1</v>
      </c>
      <c r="AU136" t="s">
        <v>25</v>
      </c>
      <c r="AV136">
        <v>0</v>
      </c>
      <c r="AW136">
        <v>2</v>
      </c>
      <c r="AX136">
        <v>59213901</v>
      </c>
      <c r="AY136">
        <v>1</v>
      </c>
      <c r="AZ136">
        <v>0</v>
      </c>
      <c r="BA136">
        <v>156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ROUND(Y136*Source!I140,9)</f>
        <v>8.99</v>
      </c>
      <c r="CY136">
        <f t="shared" si="63"/>
        <v>25.47</v>
      </c>
      <c r="CZ136">
        <f t="shared" si="64"/>
        <v>6.94</v>
      </c>
      <c r="DA136">
        <f t="shared" si="65"/>
        <v>3.67</v>
      </c>
      <c r="DB136">
        <f t="shared" si="66"/>
        <v>21.51</v>
      </c>
      <c r="DC136">
        <f t="shared" si="67"/>
        <v>0</v>
      </c>
      <c r="DD136" t="s">
        <v>3</v>
      </c>
      <c r="DE136" t="s">
        <v>3</v>
      </c>
      <c r="DF136">
        <f t="shared" si="68"/>
        <v>228.98</v>
      </c>
      <c r="DG136">
        <f t="shared" si="69"/>
        <v>0</v>
      </c>
      <c r="DH136">
        <f t="shared" si="70"/>
        <v>0</v>
      </c>
      <c r="DI136">
        <f t="shared" si="61"/>
        <v>0</v>
      </c>
      <c r="DJ136">
        <f t="shared" si="71"/>
        <v>228.98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ROW(Source!A140)</f>
        <v>140</v>
      </c>
      <c r="B137">
        <v>59213213</v>
      </c>
      <c r="C137">
        <v>59213552</v>
      </c>
      <c r="D137">
        <v>58332289</v>
      </c>
      <c r="E137">
        <v>1</v>
      </c>
      <c r="F137">
        <v>1</v>
      </c>
      <c r="G137">
        <v>1080</v>
      </c>
      <c r="H137">
        <v>3</v>
      </c>
      <c r="I137" t="s">
        <v>430</v>
      </c>
      <c r="J137" t="s">
        <v>431</v>
      </c>
      <c r="K137" t="s">
        <v>432</v>
      </c>
      <c r="L137">
        <v>1356</v>
      </c>
      <c r="N137">
        <v>1010</v>
      </c>
      <c r="O137" t="s">
        <v>426</v>
      </c>
      <c r="P137" t="s">
        <v>426</v>
      </c>
      <c r="Q137">
        <v>1000</v>
      </c>
      <c r="W137">
        <v>0</v>
      </c>
      <c r="X137">
        <v>-1715273674</v>
      </c>
      <c r="Y137">
        <f t="shared" si="62"/>
        <v>8.0000000000000002E-3</v>
      </c>
      <c r="AA137">
        <v>786.04</v>
      </c>
      <c r="AB137">
        <v>0</v>
      </c>
      <c r="AC137">
        <v>0</v>
      </c>
      <c r="AD137">
        <v>0</v>
      </c>
      <c r="AE137">
        <v>614.09</v>
      </c>
      <c r="AF137">
        <v>0</v>
      </c>
      <c r="AG137">
        <v>0</v>
      </c>
      <c r="AH137">
        <v>0</v>
      </c>
      <c r="AI137">
        <v>1.28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8.0000000000000002E-3</v>
      </c>
      <c r="AU137" t="s">
        <v>25</v>
      </c>
      <c r="AV137">
        <v>0</v>
      </c>
      <c r="AW137">
        <v>2</v>
      </c>
      <c r="AX137">
        <v>59213902</v>
      </c>
      <c r="AY137">
        <v>1</v>
      </c>
      <c r="AZ137">
        <v>0</v>
      </c>
      <c r="BA137">
        <v>157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ROUND(Y137*Source!I140,9)</f>
        <v>2.3199999999999998E-2</v>
      </c>
      <c r="CY137">
        <f t="shared" si="63"/>
        <v>786.04</v>
      </c>
      <c r="CZ137">
        <f t="shared" si="64"/>
        <v>614.09</v>
      </c>
      <c r="DA137">
        <f t="shared" si="65"/>
        <v>1.28</v>
      </c>
      <c r="DB137">
        <f t="shared" si="66"/>
        <v>4.91</v>
      </c>
      <c r="DC137">
        <f t="shared" si="67"/>
        <v>0</v>
      </c>
      <c r="DD137" t="s">
        <v>3</v>
      </c>
      <c r="DE137" t="s">
        <v>3</v>
      </c>
      <c r="DF137">
        <f t="shared" si="68"/>
        <v>18.239999999999998</v>
      </c>
      <c r="DG137">
        <f t="shared" si="69"/>
        <v>0</v>
      </c>
      <c r="DH137">
        <f t="shared" si="70"/>
        <v>0</v>
      </c>
      <c r="DI137">
        <f t="shared" si="61"/>
        <v>0</v>
      </c>
      <c r="DJ137">
        <f t="shared" si="71"/>
        <v>18.239999999999998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ROW(Source!A140)</f>
        <v>140</v>
      </c>
      <c r="B138">
        <v>59213213</v>
      </c>
      <c r="C138">
        <v>59213552</v>
      </c>
      <c r="D138">
        <v>0</v>
      </c>
      <c r="E138">
        <v>1080</v>
      </c>
      <c r="F138">
        <v>1</v>
      </c>
      <c r="G138">
        <v>1080</v>
      </c>
      <c r="H138">
        <v>3</v>
      </c>
      <c r="I138" t="s">
        <v>254</v>
      </c>
      <c r="J138" t="s">
        <v>3</v>
      </c>
      <c r="K138" t="s">
        <v>255</v>
      </c>
      <c r="L138">
        <v>1303</v>
      </c>
      <c r="N138">
        <v>1003</v>
      </c>
      <c r="O138" t="s">
        <v>256</v>
      </c>
      <c r="P138" t="s">
        <v>256</v>
      </c>
      <c r="Q138">
        <v>1000</v>
      </c>
      <c r="W138">
        <v>0</v>
      </c>
      <c r="X138">
        <v>2122597888</v>
      </c>
      <c r="Y138">
        <f>AT138</f>
        <v>0.10199999999999999</v>
      </c>
      <c r="AA138">
        <v>57689.52</v>
      </c>
      <c r="AB138">
        <v>0</v>
      </c>
      <c r="AC138">
        <v>0</v>
      </c>
      <c r="AD138">
        <v>0</v>
      </c>
      <c r="AE138">
        <v>5839.0199999999995</v>
      </c>
      <c r="AF138">
        <v>0</v>
      </c>
      <c r="AG138">
        <v>0</v>
      </c>
      <c r="AH138">
        <v>0</v>
      </c>
      <c r="AI138">
        <v>9.8800000000000008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0.10199999999999999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ROUND(Y138*Source!I140,9)</f>
        <v>0.29580000000000001</v>
      </c>
      <c r="CY138">
        <f t="shared" si="63"/>
        <v>57689.52</v>
      </c>
      <c r="CZ138">
        <f t="shared" si="64"/>
        <v>5839.0199999999995</v>
      </c>
      <c r="DA138">
        <f t="shared" si="65"/>
        <v>9.8800000000000008</v>
      </c>
      <c r="DB138">
        <f>ROUND(ROUND(AT138*CZ138,2),6)</f>
        <v>595.58000000000004</v>
      </c>
      <c r="DC138">
        <f>ROUND(ROUND(AT138*AG138,2),6)</f>
        <v>0</v>
      </c>
      <c r="DD138" t="s">
        <v>3</v>
      </c>
      <c r="DE138" t="s">
        <v>3</v>
      </c>
      <c r="DF138">
        <f t="shared" si="68"/>
        <v>17064.560000000001</v>
      </c>
      <c r="DG138">
        <f t="shared" si="69"/>
        <v>0</v>
      </c>
      <c r="DH138">
        <f t="shared" si="70"/>
        <v>0</v>
      </c>
      <c r="DI138">
        <f t="shared" si="61"/>
        <v>0</v>
      </c>
      <c r="DJ138">
        <f t="shared" si="71"/>
        <v>17064.560000000001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ROW(Source!A143)</f>
        <v>143</v>
      </c>
      <c r="B139">
        <v>59213216</v>
      </c>
      <c r="C139">
        <v>59213574</v>
      </c>
      <c r="D139">
        <v>58266404</v>
      </c>
      <c r="E139">
        <v>1080</v>
      </c>
      <c r="F139">
        <v>1</v>
      </c>
      <c r="G139">
        <v>1080</v>
      </c>
      <c r="H139">
        <v>1</v>
      </c>
      <c r="I139" t="s">
        <v>331</v>
      </c>
      <c r="J139" t="s">
        <v>3</v>
      </c>
      <c r="K139" t="s">
        <v>332</v>
      </c>
      <c r="L139">
        <v>1191</v>
      </c>
      <c r="N139">
        <v>1013</v>
      </c>
      <c r="O139" t="s">
        <v>333</v>
      </c>
      <c r="P139" t="s">
        <v>333</v>
      </c>
      <c r="Q139">
        <v>1</v>
      </c>
      <c r="W139">
        <v>0</v>
      </c>
      <c r="X139">
        <v>476480486</v>
      </c>
      <c r="Y139">
        <f>(AT139*1.1)</f>
        <v>4.9390000000000009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4.49</v>
      </c>
      <c r="AU139" t="s">
        <v>26</v>
      </c>
      <c r="AV139">
        <v>1</v>
      </c>
      <c r="AW139">
        <v>2</v>
      </c>
      <c r="AX139">
        <v>59213904</v>
      </c>
      <c r="AY139">
        <v>1</v>
      </c>
      <c r="AZ139">
        <v>0</v>
      </c>
      <c r="BA139">
        <v>159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ROUND(AT139*Source!I143*AH139*AL139,2)</f>
        <v>0</v>
      </c>
      <c r="CV139">
        <f>ROUND(Y139*Source!I143,9)</f>
        <v>3.9512</v>
      </c>
      <c r="CW139">
        <v>0</v>
      </c>
      <c r="CX139">
        <f>ROUND(Y139*Source!I143,9)</f>
        <v>3.9512</v>
      </c>
      <c r="CY139">
        <f>AD139</f>
        <v>0</v>
      </c>
      <c r="CZ139">
        <f>AH139</f>
        <v>0</v>
      </c>
      <c r="DA139">
        <f>AL139</f>
        <v>1</v>
      </c>
      <c r="DB139">
        <f>ROUND((ROUND(AT139*CZ139,2)*1.1),6)</f>
        <v>0</v>
      </c>
      <c r="DC139">
        <f>ROUND((ROUND(AT139*AG139,2)*1.1),6)</f>
        <v>0</v>
      </c>
      <c r="DD139" t="s">
        <v>3</v>
      </c>
      <c r="DE139" t="s">
        <v>3</v>
      </c>
      <c r="DF139">
        <f t="shared" ref="DF139:DF151" si="72">ROUND(ROUND(AE139,2)*CX139,2)</f>
        <v>0</v>
      </c>
      <c r="DG139">
        <f t="shared" si="69"/>
        <v>0</v>
      </c>
      <c r="DH139">
        <f t="shared" si="70"/>
        <v>0</v>
      </c>
      <c r="DI139">
        <f t="shared" si="61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ROW(Source!A143)</f>
        <v>143</v>
      </c>
      <c r="B140">
        <v>59213216</v>
      </c>
      <c r="C140">
        <v>59213574</v>
      </c>
      <c r="D140">
        <v>58340578</v>
      </c>
      <c r="E140">
        <v>1</v>
      </c>
      <c r="F140">
        <v>1</v>
      </c>
      <c r="G140">
        <v>1080</v>
      </c>
      <c r="H140">
        <v>2</v>
      </c>
      <c r="I140" t="s">
        <v>334</v>
      </c>
      <c r="J140" t="s">
        <v>335</v>
      </c>
      <c r="K140" t="s">
        <v>336</v>
      </c>
      <c r="L140">
        <v>1368</v>
      </c>
      <c r="N140">
        <v>1011</v>
      </c>
      <c r="O140" t="s">
        <v>337</v>
      </c>
      <c r="P140" t="s">
        <v>337</v>
      </c>
      <c r="Q140">
        <v>1</v>
      </c>
      <c r="W140">
        <v>0</v>
      </c>
      <c r="X140">
        <v>-1985943078</v>
      </c>
      <c r="Y140">
        <f>(AT140*1.1)</f>
        <v>1.1000000000000001E-2</v>
      </c>
      <c r="AA140">
        <v>0</v>
      </c>
      <c r="AB140">
        <v>87.01</v>
      </c>
      <c r="AC140">
        <v>13.21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0.01</v>
      </c>
      <c r="AU140" t="s">
        <v>26</v>
      </c>
      <c r="AV140">
        <v>0</v>
      </c>
      <c r="AW140">
        <v>2</v>
      </c>
      <c r="AX140">
        <v>59213905</v>
      </c>
      <c r="AY140">
        <v>1</v>
      </c>
      <c r="AZ140">
        <v>0</v>
      </c>
      <c r="BA140">
        <v>160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ROUND(Y140*Source!I143*DO140,9)</f>
        <v>0.111056</v>
      </c>
      <c r="CX140">
        <f>ROUND(Y140*Source!I143,9)</f>
        <v>8.8000000000000005E-3</v>
      </c>
      <c r="CY140">
        <f>AB140</f>
        <v>87.01</v>
      </c>
      <c r="CZ140">
        <f>AF140</f>
        <v>83.1</v>
      </c>
      <c r="DA140">
        <f>AJ140</f>
        <v>1</v>
      </c>
      <c r="DB140">
        <f>ROUND((ROUND(AT140*CZ140,2)*1.1),6)</f>
        <v>0.91300000000000003</v>
      </c>
      <c r="DC140">
        <f>ROUND((ROUND(AT140*AG140,2)*1.1),6)</f>
        <v>0.14299999999999999</v>
      </c>
      <c r="DD140" t="s">
        <v>3</v>
      </c>
      <c r="DE140" t="s">
        <v>3</v>
      </c>
      <c r="DF140">
        <f t="shared" si="72"/>
        <v>0</v>
      </c>
      <c r="DG140">
        <f t="shared" si="69"/>
        <v>0.73</v>
      </c>
      <c r="DH140">
        <f t="shared" si="70"/>
        <v>0.11</v>
      </c>
      <c r="DI140">
        <f t="shared" si="61"/>
        <v>0</v>
      </c>
      <c r="DJ140">
        <f>DG140</f>
        <v>0.73</v>
      </c>
      <c r="DK140">
        <v>0</v>
      </c>
      <c r="DL140" t="s">
        <v>338</v>
      </c>
      <c r="DM140">
        <v>0</v>
      </c>
      <c r="DN140" t="s">
        <v>333</v>
      </c>
      <c r="DO140">
        <v>12.62</v>
      </c>
    </row>
    <row r="141" spans="1:119" x14ac:dyDescent="0.2">
      <c r="A141">
        <f>ROW(Source!A143)</f>
        <v>143</v>
      </c>
      <c r="B141">
        <v>59213216</v>
      </c>
      <c r="C141">
        <v>59213574</v>
      </c>
      <c r="D141">
        <v>58339814</v>
      </c>
      <c r="E141">
        <v>1</v>
      </c>
      <c r="F141">
        <v>1</v>
      </c>
      <c r="G141">
        <v>1080</v>
      </c>
      <c r="H141">
        <v>2</v>
      </c>
      <c r="I141" t="s">
        <v>411</v>
      </c>
      <c r="J141" t="s">
        <v>412</v>
      </c>
      <c r="K141" t="s">
        <v>413</v>
      </c>
      <c r="L141">
        <v>1368</v>
      </c>
      <c r="N141">
        <v>1011</v>
      </c>
      <c r="O141" t="s">
        <v>337</v>
      </c>
      <c r="P141" t="s">
        <v>337</v>
      </c>
      <c r="Q141">
        <v>1</v>
      </c>
      <c r="W141">
        <v>0</v>
      </c>
      <c r="X141">
        <v>1087580389</v>
      </c>
      <c r="Y141">
        <f>(AT141*1.1)</f>
        <v>1.1000000000000001E-2</v>
      </c>
      <c r="AA141">
        <v>0</v>
      </c>
      <c r="AB141">
        <v>187.59</v>
      </c>
      <c r="AC141">
        <v>17.73</v>
      </c>
      <c r="AD141">
        <v>0</v>
      </c>
      <c r="AE141">
        <v>0</v>
      </c>
      <c r="AF141">
        <v>179.17</v>
      </c>
      <c r="AG141">
        <v>16.93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0.01</v>
      </c>
      <c r="AU141" t="s">
        <v>26</v>
      </c>
      <c r="AV141">
        <v>0</v>
      </c>
      <c r="AW141">
        <v>2</v>
      </c>
      <c r="AX141">
        <v>59213906</v>
      </c>
      <c r="AY141">
        <v>1</v>
      </c>
      <c r="AZ141">
        <v>0</v>
      </c>
      <c r="BA141">
        <v>161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ROUND(Y141*Source!I143*DO141,9)</f>
        <v>0.14898400000000001</v>
      </c>
      <c r="CX141">
        <f>ROUND(Y141*Source!I143,9)</f>
        <v>8.8000000000000005E-3</v>
      </c>
      <c r="CY141">
        <f>AB141</f>
        <v>187.59</v>
      </c>
      <c r="CZ141">
        <f>AF141</f>
        <v>179.17</v>
      </c>
      <c r="DA141">
        <f>AJ141</f>
        <v>1</v>
      </c>
      <c r="DB141">
        <f>ROUND((ROUND(AT141*CZ141,2)*1.1),6)</f>
        <v>1.9690000000000001</v>
      </c>
      <c r="DC141">
        <f>ROUND((ROUND(AT141*AG141,2)*1.1),6)</f>
        <v>0.187</v>
      </c>
      <c r="DD141" t="s">
        <v>3</v>
      </c>
      <c r="DE141" t="s">
        <v>3</v>
      </c>
      <c r="DF141">
        <f t="shared" si="72"/>
        <v>0</v>
      </c>
      <c r="DG141">
        <f t="shared" si="69"/>
        <v>1.58</v>
      </c>
      <c r="DH141">
        <f t="shared" si="70"/>
        <v>0.15</v>
      </c>
      <c r="DI141">
        <f t="shared" si="61"/>
        <v>0</v>
      </c>
      <c r="DJ141">
        <f>DG141</f>
        <v>1.58</v>
      </c>
      <c r="DK141">
        <v>0</v>
      </c>
      <c r="DL141" t="s">
        <v>338</v>
      </c>
      <c r="DM141">
        <v>0</v>
      </c>
      <c r="DN141" t="s">
        <v>333</v>
      </c>
      <c r="DO141">
        <v>16.93</v>
      </c>
    </row>
    <row r="142" spans="1:119" x14ac:dyDescent="0.2">
      <c r="A142">
        <f>ROW(Source!A143)</f>
        <v>143</v>
      </c>
      <c r="B142">
        <v>59213216</v>
      </c>
      <c r="C142">
        <v>59213574</v>
      </c>
      <c r="D142">
        <v>58309611</v>
      </c>
      <c r="E142">
        <v>1</v>
      </c>
      <c r="F142">
        <v>1</v>
      </c>
      <c r="G142">
        <v>1080</v>
      </c>
      <c r="H142">
        <v>3</v>
      </c>
      <c r="I142" t="s">
        <v>414</v>
      </c>
      <c r="J142" t="s">
        <v>415</v>
      </c>
      <c r="K142" t="s">
        <v>416</v>
      </c>
      <c r="L142">
        <v>1346</v>
      </c>
      <c r="N142">
        <v>1009</v>
      </c>
      <c r="O142" t="s">
        <v>244</v>
      </c>
      <c r="P142" t="s">
        <v>244</v>
      </c>
      <c r="Q142">
        <v>1</v>
      </c>
      <c r="W142">
        <v>0</v>
      </c>
      <c r="X142">
        <v>1770006655</v>
      </c>
      <c r="Y142">
        <f t="shared" ref="Y142:Y147" si="73">(AT142*1)</f>
        <v>0.43</v>
      </c>
      <c r="AA142">
        <v>1.38</v>
      </c>
      <c r="AB142">
        <v>0</v>
      </c>
      <c r="AC142">
        <v>0</v>
      </c>
      <c r="AD142">
        <v>0</v>
      </c>
      <c r="AE142">
        <v>1.38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0.43</v>
      </c>
      <c r="AU142" t="s">
        <v>25</v>
      </c>
      <c r="AV142">
        <v>0</v>
      </c>
      <c r="AW142">
        <v>2</v>
      </c>
      <c r="AX142">
        <v>59213907</v>
      </c>
      <c r="AY142">
        <v>1</v>
      </c>
      <c r="AZ142">
        <v>0</v>
      </c>
      <c r="BA142">
        <v>162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ROUND(Y142*Source!I143,9)</f>
        <v>0.34399999999999997</v>
      </c>
      <c r="CY142">
        <f t="shared" ref="CY142:CY148" si="74">AA142</f>
        <v>1.38</v>
      </c>
      <c r="CZ142">
        <f t="shared" ref="CZ142:CZ148" si="75">AE142</f>
        <v>1.38</v>
      </c>
      <c r="DA142">
        <f t="shared" ref="DA142:DA148" si="76">AI142</f>
        <v>1</v>
      </c>
      <c r="DB142">
        <f t="shared" ref="DB142:DB147" si="77">ROUND((ROUND(AT142*CZ142,2)*1),6)</f>
        <v>0.59</v>
      </c>
      <c r="DC142">
        <f t="shared" ref="DC142:DC147" si="78">ROUND((ROUND(AT142*AG142,2)*1),6)</f>
        <v>0</v>
      </c>
      <c r="DD142" t="s">
        <v>3</v>
      </c>
      <c r="DE142" t="s">
        <v>3</v>
      </c>
      <c r="DF142">
        <f t="shared" si="72"/>
        <v>0.47</v>
      </c>
      <c r="DG142">
        <f t="shared" si="69"/>
        <v>0</v>
      </c>
      <c r="DH142">
        <f t="shared" si="70"/>
        <v>0</v>
      </c>
      <c r="DI142">
        <f t="shared" si="61"/>
        <v>0</v>
      </c>
      <c r="DJ142">
        <f t="shared" ref="DJ142:DJ148" si="79">DF142</f>
        <v>0.47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ROW(Source!A143)</f>
        <v>143</v>
      </c>
      <c r="B143">
        <v>59213216</v>
      </c>
      <c r="C143">
        <v>59213574</v>
      </c>
      <c r="D143">
        <v>58310002</v>
      </c>
      <c r="E143">
        <v>1</v>
      </c>
      <c r="F143">
        <v>1</v>
      </c>
      <c r="G143">
        <v>1080</v>
      </c>
      <c r="H143">
        <v>3</v>
      </c>
      <c r="I143" t="s">
        <v>417</v>
      </c>
      <c r="J143" t="s">
        <v>418</v>
      </c>
      <c r="K143" t="s">
        <v>419</v>
      </c>
      <c r="L143">
        <v>1346</v>
      </c>
      <c r="N143">
        <v>1009</v>
      </c>
      <c r="O143" t="s">
        <v>244</v>
      </c>
      <c r="P143" t="s">
        <v>244</v>
      </c>
      <c r="Q143">
        <v>1</v>
      </c>
      <c r="W143">
        <v>0</v>
      </c>
      <c r="X143">
        <v>-878159893</v>
      </c>
      <c r="Y143">
        <f t="shared" si="73"/>
        <v>0.16</v>
      </c>
      <c r="AA143">
        <v>159.06</v>
      </c>
      <c r="AB143">
        <v>0</v>
      </c>
      <c r="AC143">
        <v>0</v>
      </c>
      <c r="AD143">
        <v>0</v>
      </c>
      <c r="AE143">
        <v>159.06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0.16</v>
      </c>
      <c r="AU143" t="s">
        <v>25</v>
      </c>
      <c r="AV143">
        <v>0</v>
      </c>
      <c r="AW143">
        <v>2</v>
      </c>
      <c r="AX143">
        <v>59213908</v>
      </c>
      <c r="AY143">
        <v>1</v>
      </c>
      <c r="AZ143">
        <v>0</v>
      </c>
      <c r="BA143">
        <v>163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ROUND(Y143*Source!I143,9)</f>
        <v>0.128</v>
      </c>
      <c r="CY143">
        <f t="shared" si="74"/>
        <v>159.06</v>
      </c>
      <c r="CZ143">
        <f t="shared" si="75"/>
        <v>159.06</v>
      </c>
      <c r="DA143">
        <f t="shared" si="76"/>
        <v>1</v>
      </c>
      <c r="DB143">
        <f t="shared" si="77"/>
        <v>25.45</v>
      </c>
      <c r="DC143">
        <f t="shared" si="78"/>
        <v>0</v>
      </c>
      <c r="DD143" t="s">
        <v>3</v>
      </c>
      <c r="DE143" t="s">
        <v>3</v>
      </c>
      <c r="DF143">
        <f t="shared" si="72"/>
        <v>20.36</v>
      </c>
      <c r="DG143">
        <f t="shared" si="69"/>
        <v>0</v>
      </c>
      <c r="DH143">
        <f t="shared" si="70"/>
        <v>0</v>
      </c>
      <c r="DI143">
        <f t="shared" si="61"/>
        <v>0</v>
      </c>
      <c r="DJ143">
        <f t="shared" si="79"/>
        <v>20.36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ROW(Source!A143)</f>
        <v>143</v>
      </c>
      <c r="B144">
        <v>59213216</v>
      </c>
      <c r="C144">
        <v>59213574</v>
      </c>
      <c r="D144">
        <v>58332945</v>
      </c>
      <c r="E144">
        <v>1</v>
      </c>
      <c r="F144">
        <v>1</v>
      </c>
      <c r="G144">
        <v>1080</v>
      </c>
      <c r="H144">
        <v>3</v>
      </c>
      <c r="I144" t="s">
        <v>420</v>
      </c>
      <c r="J144" t="s">
        <v>421</v>
      </c>
      <c r="K144" t="s">
        <v>422</v>
      </c>
      <c r="L144">
        <v>1355</v>
      </c>
      <c r="N144">
        <v>1010</v>
      </c>
      <c r="O144" t="s">
        <v>227</v>
      </c>
      <c r="P144" t="s">
        <v>227</v>
      </c>
      <c r="Q144">
        <v>100</v>
      </c>
      <c r="W144">
        <v>0</v>
      </c>
      <c r="X144">
        <v>-456781043</v>
      </c>
      <c r="Y144">
        <f t="shared" si="73"/>
        <v>0.05</v>
      </c>
      <c r="AA144">
        <v>68.819999999999993</v>
      </c>
      <c r="AB144">
        <v>0</v>
      </c>
      <c r="AC144">
        <v>0</v>
      </c>
      <c r="AD144">
        <v>0</v>
      </c>
      <c r="AE144">
        <v>68.819999999999993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0.05</v>
      </c>
      <c r="AU144" t="s">
        <v>25</v>
      </c>
      <c r="AV144">
        <v>0</v>
      </c>
      <c r="AW144">
        <v>2</v>
      </c>
      <c r="AX144">
        <v>59213909</v>
      </c>
      <c r="AY144">
        <v>1</v>
      </c>
      <c r="AZ144">
        <v>0</v>
      </c>
      <c r="BA144">
        <v>164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ROUND(Y144*Source!I143,9)</f>
        <v>0.04</v>
      </c>
      <c r="CY144">
        <f t="shared" si="74"/>
        <v>68.819999999999993</v>
      </c>
      <c r="CZ144">
        <f t="shared" si="75"/>
        <v>68.819999999999993</v>
      </c>
      <c r="DA144">
        <f t="shared" si="76"/>
        <v>1</v>
      </c>
      <c r="DB144">
        <f t="shared" si="77"/>
        <v>3.44</v>
      </c>
      <c r="DC144">
        <f t="shared" si="78"/>
        <v>0</v>
      </c>
      <c r="DD144" t="s">
        <v>3</v>
      </c>
      <c r="DE144" t="s">
        <v>3</v>
      </c>
      <c r="DF144">
        <f t="shared" si="72"/>
        <v>2.75</v>
      </c>
      <c r="DG144">
        <f t="shared" si="69"/>
        <v>0</v>
      </c>
      <c r="DH144">
        <f t="shared" si="70"/>
        <v>0</v>
      </c>
      <c r="DI144">
        <f t="shared" si="61"/>
        <v>0</v>
      </c>
      <c r="DJ144">
        <f t="shared" si="79"/>
        <v>2.75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ROW(Source!A143)</f>
        <v>143</v>
      </c>
      <c r="B145">
        <v>59213216</v>
      </c>
      <c r="C145">
        <v>59213574</v>
      </c>
      <c r="D145">
        <v>58332956</v>
      </c>
      <c r="E145">
        <v>1</v>
      </c>
      <c r="F145">
        <v>1</v>
      </c>
      <c r="G145">
        <v>1080</v>
      </c>
      <c r="H145">
        <v>3</v>
      </c>
      <c r="I145" t="s">
        <v>423</v>
      </c>
      <c r="J145" t="s">
        <v>424</v>
      </c>
      <c r="K145" t="s">
        <v>425</v>
      </c>
      <c r="L145">
        <v>1356</v>
      </c>
      <c r="N145">
        <v>1010</v>
      </c>
      <c r="O145" t="s">
        <v>426</v>
      </c>
      <c r="P145" t="s">
        <v>426</v>
      </c>
      <c r="Q145">
        <v>1000</v>
      </c>
      <c r="W145">
        <v>0</v>
      </c>
      <c r="X145">
        <v>1726193810</v>
      </c>
      <c r="Y145">
        <f t="shared" si="73"/>
        <v>1.2200000000000001E-2</v>
      </c>
      <c r="AA145">
        <v>183.4</v>
      </c>
      <c r="AB145">
        <v>0</v>
      </c>
      <c r="AC145">
        <v>0</v>
      </c>
      <c r="AD145">
        <v>0</v>
      </c>
      <c r="AE145">
        <v>183.4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1.2200000000000001E-2</v>
      </c>
      <c r="AU145" t="s">
        <v>25</v>
      </c>
      <c r="AV145">
        <v>0</v>
      </c>
      <c r="AW145">
        <v>2</v>
      </c>
      <c r="AX145">
        <v>59213910</v>
      </c>
      <c r="AY145">
        <v>1</v>
      </c>
      <c r="AZ145">
        <v>0</v>
      </c>
      <c r="BA145">
        <v>165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ROUND(Y145*Source!I143,9)</f>
        <v>9.7599999999999996E-3</v>
      </c>
      <c r="CY145">
        <f t="shared" si="74"/>
        <v>183.4</v>
      </c>
      <c r="CZ145">
        <f t="shared" si="75"/>
        <v>183.4</v>
      </c>
      <c r="DA145">
        <f t="shared" si="76"/>
        <v>1</v>
      </c>
      <c r="DB145">
        <f t="shared" si="77"/>
        <v>2.2400000000000002</v>
      </c>
      <c r="DC145">
        <f t="shared" si="78"/>
        <v>0</v>
      </c>
      <c r="DD145" t="s">
        <v>3</v>
      </c>
      <c r="DE145" t="s">
        <v>3</v>
      </c>
      <c r="DF145">
        <f t="shared" si="72"/>
        <v>1.79</v>
      </c>
      <c r="DG145">
        <f t="shared" si="69"/>
        <v>0</v>
      </c>
      <c r="DH145">
        <f t="shared" si="70"/>
        <v>0</v>
      </c>
      <c r="DI145">
        <f t="shared" si="61"/>
        <v>0</v>
      </c>
      <c r="DJ145">
        <f t="shared" si="79"/>
        <v>1.79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ROW(Source!A143)</f>
        <v>143</v>
      </c>
      <c r="B146">
        <v>59213216</v>
      </c>
      <c r="C146">
        <v>59213574</v>
      </c>
      <c r="D146">
        <v>58332282</v>
      </c>
      <c r="E146">
        <v>1</v>
      </c>
      <c r="F146">
        <v>1</v>
      </c>
      <c r="G146">
        <v>1080</v>
      </c>
      <c r="H146">
        <v>3</v>
      </c>
      <c r="I146" t="s">
        <v>427</v>
      </c>
      <c r="J146" t="s">
        <v>428</v>
      </c>
      <c r="K146" t="s">
        <v>429</v>
      </c>
      <c r="L146">
        <v>1354</v>
      </c>
      <c r="N146">
        <v>1010</v>
      </c>
      <c r="O146" t="s">
        <v>34</v>
      </c>
      <c r="P146" t="s">
        <v>34</v>
      </c>
      <c r="Q146">
        <v>1</v>
      </c>
      <c r="W146">
        <v>0</v>
      </c>
      <c r="X146">
        <v>145081611</v>
      </c>
      <c r="Y146">
        <f t="shared" si="73"/>
        <v>3.1</v>
      </c>
      <c r="AA146">
        <v>6.94</v>
      </c>
      <c r="AB146">
        <v>0</v>
      </c>
      <c r="AC146">
        <v>0</v>
      </c>
      <c r="AD146">
        <v>0</v>
      </c>
      <c r="AE146">
        <v>6.94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3.1</v>
      </c>
      <c r="AU146" t="s">
        <v>25</v>
      </c>
      <c r="AV146">
        <v>0</v>
      </c>
      <c r="AW146">
        <v>2</v>
      </c>
      <c r="AX146">
        <v>59213911</v>
      </c>
      <c r="AY146">
        <v>1</v>
      </c>
      <c r="AZ146">
        <v>0</v>
      </c>
      <c r="BA146">
        <v>166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ROUND(Y146*Source!I143,9)</f>
        <v>2.48</v>
      </c>
      <c r="CY146">
        <f t="shared" si="74"/>
        <v>6.94</v>
      </c>
      <c r="CZ146">
        <f t="shared" si="75"/>
        <v>6.94</v>
      </c>
      <c r="DA146">
        <f t="shared" si="76"/>
        <v>1</v>
      </c>
      <c r="DB146">
        <f t="shared" si="77"/>
        <v>21.51</v>
      </c>
      <c r="DC146">
        <f t="shared" si="78"/>
        <v>0</v>
      </c>
      <c r="DD146" t="s">
        <v>3</v>
      </c>
      <c r="DE146" t="s">
        <v>3</v>
      </c>
      <c r="DF146">
        <f t="shared" si="72"/>
        <v>17.21</v>
      </c>
      <c r="DG146">
        <f t="shared" si="69"/>
        <v>0</v>
      </c>
      <c r="DH146">
        <f t="shared" si="70"/>
        <v>0</v>
      </c>
      <c r="DI146">
        <f t="shared" si="61"/>
        <v>0</v>
      </c>
      <c r="DJ146">
        <f t="shared" si="79"/>
        <v>17.21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ROW(Source!A143)</f>
        <v>143</v>
      </c>
      <c r="B147">
        <v>59213216</v>
      </c>
      <c r="C147">
        <v>59213574</v>
      </c>
      <c r="D147">
        <v>58332289</v>
      </c>
      <c r="E147">
        <v>1</v>
      </c>
      <c r="F147">
        <v>1</v>
      </c>
      <c r="G147">
        <v>1080</v>
      </c>
      <c r="H147">
        <v>3</v>
      </c>
      <c r="I147" t="s">
        <v>430</v>
      </c>
      <c r="J147" t="s">
        <v>431</v>
      </c>
      <c r="K147" t="s">
        <v>432</v>
      </c>
      <c r="L147">
        <v>1356</v>
      </c>
      <c r="N147">
        <v>1010</v>
      </c>
      <c r="O147" t="s">
        <v>426</v>
      </c>
      <c r="P147" t="s">
        <v>426</v>
      </c>
      <c r="Q147">
        <v>1000</v>
      </c>
      <c r="W147">
        <v>0</v>
      </c>
      <c r="X147">
        <v>-1715273674</v>
      </c>
      <c r="Y147">
        <f t="shared" si="73"/>
        <v>8.0000000000000002E-3</v>
      </c>
      <c r="AA147">
        <v>614.09</v>
      </c>
      <c r="AB147">
        <v>0</v>
      </c>
      <c r="AC147">
        <v>0</v>
      </c>
      <c r="AD147">
        <v>0</v>
      </c>
      <c r="AE147">
        <v>614.09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8.0000000000000002E-3</v>
      </c>
      <c r="AU147" t="s">
        <v>25</v>
      </c>
      <c r="AV147">
        <v>0</v>
      </c>
      <c r="AW147">
        <v>2</v>
      </c>
      <c r="AX147">
        <v>59213912</v>
      </c>
      <c r="AY147">
        <v>1</v>
      </c>
      <c r="AZ147">
        <v>0</v>
      </c>
      <c r="BA147">
        <v>167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ROUND(Y147*Source!I143,9)</f>
        <v>6.4000000000000003E-3</v>
      </c>
      <c r="CY147">
        <f t="shared" si="74"/>
        <v>614.09</v>
      </c>
      <c r="CZ147">
        <f t="shared" si="75"/>
        <v>614.09</v>
      </c>
      <c r="DA147">
        <f t="shared" si="76"/>
        <v>1</v>
      </c>
      <c r="DB147">
        <f t="shared" si="77"/>
        <v>4.91</v>
      </c>
      <c r="DC147">
        <f t="shared" si="78"/>
        <v>0</v>
      </c>
      <c r="DD147" t="s">
        <v>3</v>
      </c>
      <c r="DE147" t="s">
        <v>3</v>
      </c>
      <c r="DF147">
        <f t="shared" si="72"/>
        <v>3.93</v>
      </c>
      <c r="DG147">
        <f t="shared" si="69"/>
        <v>0</v>
      </c>
      <c r="DH147">
        <f t="shared" si="70"/>
        <v>0</v>
      </c>
      <c r="DI147">
        <f t="shared" si="61"/>
        <v>0</v>
      </c>
      <c r="DJ147">
        <f t="shared" si="79"/>
        <v>3.93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ROW(Source!A143)</f>
        <v>143</v>
      </c>
      <c r="B148">
        <v>59213216</v>
      </c>
      <c r="C148">
        <v>59213574</v>
      </c>
      <c r="D148">
        <v>0</v>
      </c>
      <c r="E148">
        <v>1080</v>
      </c>
      <c r="F148">
        <v>1</v>
      </c>
      <c r="G148">
        <v>1080</v>
      </c>
      <c r="H148">
        <v>3</v>
      </c>
      <c r="I148" t="s">
        <v>260</v>
      </c>
      <c r="J148" t="s">
        <v>3</v>
      </c>
      <c r="K148" t="s">
        <v>261</v>
      </c>
      <c r="L148">
        <v>1303</v>
      </c>
      <c r="N148">
        <v>1003</v>
      </c>
      <c r="O148" t="s">
        <v>256</v>
      </c>
      <c r="P148" t="s">
        <v>256</v>
      </c>
      <c r="Q148">
        <v>1000</v>
      </c>
      <c r="W148">
        <v>0</v>
      </c>
      <c r="X148">
        <v>1725654272</v>
      </c>
      <c r="Y148">
        <f>AT148</f>
        <v>0.10199999999999999</v>
      </c>
      <c r="AA148">
        <v>7128.65</v>
      </c>
      <c r="AB148">
        <v>0</v>
      </c>
      <c r="AC148">
        <v>0</v>
      </c>
      <c r="AD148">
        <v>0</v>
      </c>
      <c r="AE148">
        <v>7128.65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0.10199999999999999</v>
      </c>
      <c r="AU148" t="s">
        <v>3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ROUND(Y148*Source!I143,9)</f>
        <v>8.1600000000000006E-2</v>
      </c>
      <c r="CY148">
        <f t="shared" si="74"/>
        <v>7128.65</v>
      </c>
      <c r="CZ148">
        <f t="shared" si="75"/>
        <v>7128.65</v>
      </c>
      <c r="DA148">
        <f t="shared" si="76"/>
        <v>1</v>
      </c>
      <c r="DB148">
        <f>ROUND(ROUND(AT148*CZ148,2),6)</f>
        <v>727.12</v>
      </c>
      <c r="DC148">
        <f>ROUND(ROUND(AT148*AG148,2),6)</f>
        <v>0</v>
      </c>
      <c r="DD148" t="s">
        <v>3</v>
      </c>
      <c r="DE148" t="s">
        <v>3</v>
      </c>
      <c r="DF148">
        <f t="shared" si="72"/>
        <v>581.70000000000005</v>
      </c>
      <c r="DG148">
        <f t="shared" si="69"/>
        <v>0</v>
      </c>
      <c r="DH148">
        <f t="shared" si="70"/>
        <v>0</v>
      </c>
      <c r="DI148">
        <f t="shared" si="61"/>
        <v>0</v>
      </c>
      <c r="DJ148">
        <f t="shared" si="79"/>
        <v>581.70000000000005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ROW(Source!A144)</f>
        <v>144</v>
      </c>
      <c r="B149">
        <v>59213213</v>
      </c>
      <c r="C149">
        <v>59213574</v>
      </c>
      <c r="D149">
        <v>58266404</v>
      </c>
      <c r="E149">
        <v>1080</v>
      </c>
      <c r="F149">
        <v>1</v>
      </c>
      <c r="G149">
        <v>1080</v>
      </c>
      <c r="H149">
        <v>1</v>
      </c>
      <c r="I149" t="s">
        <v>331</v>
      </c>
      <c r="J149" t="s">
        <v>3</v>
      </c>
      <c r="K149" t="s">
        <v>332</v>
      </c>
      <c r="L149">
        <v>1191</v>
      </c>
      <c r="N149">
        <v>1013</v>
      </c>
      <c r="O149" t="s">
        <v>333</v>
      </c>
      <c r="P149" t="s">
        <v>333</v>
      </c>
      <c r="Q149">
        <v>1</v>
      </c>
      <c r="W149">
        <v>0</v>
      </c>
      <c r="X149">
        <v>476480486</v>
      </c>
      <c r="Y149">
        <f>(AT149*1.1)</f>
        <v>4.9390000000000009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5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4.49</v>
      </c>
      <c r="AU149" t="s">
        <v>26</v>
      </c>
      <c r="AV149">
        <v>1</v>
      </c>
      <c r="AW149">
        <v>2</v>
      </c>
      <c r="AX149">
        <v>59213904</v>
      </c>
      <c r="AY149">
        <v>1</v>
      </c>
      <c r="AZ149">
        <v>0</v>
      </c>
      <c r="BA149">
        <v>169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ROUND(AT149*Source!I144*AH149*AL149,2)</f>
        <v>0</v>
      </c>
      <c r="CV149">
        <f>ROUND(Y149*Source!I144,9)</f>
        <v>3.9512</v>
      </c>
      <c r="CW149">
        <v>0</v>
      </c>
      <c r="CX149">
        <f>ROUND(Y149*Source!I144,9)</f>
        <v>3.9512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ROUND((ROUND(AT149*CZ149,2)*1.1),6)</f>
        <v>0</v>
      </c>
      <c r="DC149">
        <f>ROUND((ROUND(AT149*AG149,2)*1.1),6)</f>
        <v>0</v>
      </c>
      <c r="DD149" t="s">
        <v>3</v>
      </c>
      <c r="DE149" t="s">
        <v>3</v>
      </c>
      <c r="DF149">
        <f t="shared" si="72"/>
        <v>0</v>
      </c>
      <c r="DG149">
        <f t="shared" si="69"/>
        <v>0</v>
      </c>
      <c r="DH149">
        <f t="shared" si="70"/>
        <v>0</v>
      </c>
      <c r="DI149">
        <f t="shared" si="61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ROW(Source!A144)</f>
        <v>144</v>
      </c>
      <c r="B150">
        <v>59213213</v>
      </c>
      <c r="C150">
        <v>59213574</v>
      </c>
      <c r="D150">
        <v>58340578</v>
      </c>
      <c r="E150">
        <v>1</v>
      </c>
      <c r="F150">
        <v>1</v>
      </c>
      <c r="G150">
        <v>1080</v>
      </c>
      <c r="H150">
        <v>2</v>
      </c>
      <c r="I150" t="s">
        <v>334</v>
      </c>
      <c r="J150" t="s">
        <v>335</v>
      </c>
      <c r="K150" t="s">
        <v>336</v>
      </c>
      <c r="L150">
        <v>1368</v>
      </c>
      <c r="N150">
        <v>1011</v>
      </c>
      <c r="O150" t="s">
        <v>337</v>
      </c>
      <c r="P150" t="s">
        <v>337</v>
      </c>
      <c r="Q150">
        <v>1</v>
      </c>
      <c r="W150">
        <v>0</v>
      </c>
      <c r="X150">
        <v>-1985943078</v>
      </c>
      <c r="Y150">
        <f>(AT150*1.1)</f>
        <v>1.1000000000000001E-2</v>
      </c>
      <c r="AA150">
        <v>0</v>
      </c>
      <c r="AB150">
        <v>1418.19</v>
      </c>
      <c r="AC150">
        <v>726.59</v>
      </c>
      <c r="AD150">
        <v>0</v>
      </c>
      <c r="AE150">
        <v>0</v>
      </c>
      <c r="AF150">
        <v>83.1</v>
      </c>
      <c r="AG150">
        <v>12.62</v>
      </c>
      <c r="AH150">
        <v>0</v>
      </c>
      <c r="AI150">
        <v>1</v>
      </c>
      <c r="AJ150">
        <v>16.3</v>
      </c>
      <c r="AK150">
        <v>54.99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0.01</v>
      </c>
      <c r="AU150" t="s">
        <v>26</v>
      </c>
      <c r="AV150">
        <v>0</v>
      </c>
      <c r="AW150">
        <v>2</v>
      </c>
      <c r="AX150">
        <v>59213905</v>
      </c>
      <c r="AY150">
        <v>1</v>
      </c>
      <c r="AZ150">
        <v>0</v>
      </c>
      <c r="BA150">
        <v>170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ROUND(Y150*Source!I144*DO150,9)</f>
        <v>0.111056</v>
      </c>
      <c r="CX150">
        <f>ROUND(Y150*Source!I144,9)</f>
        <v>8.8000000000000005E-3</v>
      </c>
      <c r="CY150">
        <f>AB150</f>
        <v>1418.19</v>
      </c>
      <c r="CZ150">
        <f>AF150</f>
        <v>83.1</v>
      </c>
      <c r="DA150">
        <f>AJ150</f>
        <v>16.3</v>
      </c>
      <c r="DB150">
        <f>ROUND((ROUND(AT150*CZ150,2)*1.1),6)</f>
        <v>0.91300000000000003</v>
      </c>
      <c r="DC150">
        <f>ROUND((ROUND(AT150*AG150,2)*1.1),6)</f>
        <v>0.14299999999999999</v>
      </c>
      <c r="DD150" t="s">
        <v>3</v>
      </c>
      <c r="DE150" t="s">
        <v>3</v>
      </c>
      <c r="DF150">
        <f t="shared" si="72"/>
        <v>0</v>
      </c>
      <c r="DG150">
        <f>ROUND(ROUND(AF150*AJ150,2)*CX150,2)</f>
        <v>11.92</v>
      </c>
      <c r="DH150">
        <f>ROUND(ROUND(AG150*AK150,2)*CX150,2)</f>
        <v>6.11</v>
      </c>
      <c r="DI150">
        <f t="shared" si="61"/>
        <v>0</v>
      </c>
      <c r="DJ150">
        <f>DG150</f>
        <v>11.92</v>
      </c>
      <c r="DK150">
        <v>0</v>
      </c>
      <c r="DL150" t="s">
        <v>338</v>
      </c>
      <c r="DM150">
        <v>0</v>
      </c>
      <c r="DN150" t="s">
        <v>333</v>
      </c>
      <c r="DO150">
        <v>12.62</v>
      </c>
    </row>
    <row r="151" spans="1:119" x14ac:dyDescent="0.2">
      <c r="A151">
        <f>ROW(Source!A144)</f>
        <v>144</v>
      </c>
      <c r="B151">
        <v>59213213</v>
      </c>
      <c r="C151">
        <v>59213574</v>
      </c>
      <c r="D151">
        <v>58339814</v>
      </c>
      <c r="E151">
        <v>1</v>
      </c>
      <c r="F151">
        <v>1</v>
      </c>
      <c r="G151">
        <v>1080</v>
      </c>
      <c r="H151">
        <v>2</v>
      </c>
      <c r="I151" t="s">
        <v>411</v>
      </c>
      <c r="J151" t="s">
        <v>412</v>
      </c>
      <c r="K151" t="s">
        <v>413</v>
      </c>
      <c r="L151">
        <v>1368</v>
      </c>
      <c r="N151">
        <v>1011</v>
      </c>
      <c r="O151" t="s">
        <v>337</v>
      </c>
      <c r="P151" t="s">
        <v>337</v>
      </c>
      <c r="Q151">
        <v>1</v>
      </c>
      <c r="W151">
        <v>0</v>
      </c>
      <c r="X151">
        <v>1087580389</v>
      </c>
      <c r="Y151">
        <f>(AT151*1.1)</f>
        <v>1.1000000000000001E-2</v>
      </c>
      <c r="AA151">
        <v>0</v>
      </c>
      <c r="AB151">
        <v>2579.38</v>
      </c>
      <c r="AC151">
        <v>974.74</v>
      </c>
      <c r="AD151">
        <v>0</v>
      </c>
      <c r="AE151">
        <v>0</v>
      </c>
      <c r="AF151">
        <v>179.17</v>
      </c>
      <c r="AG151">
        <v>16.93</v>
      </c>
      <c r="AH151">
        <v>0</v>
      </c>
      <c r="AI151">
        <v>1</v>
      </c>
      <c r="AJ151">
        <v>13.75</v>
      </c>
      <c r="AK151">
        <v>54.99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0.01</v>
      </c>
      <c r="AU151" t="s">
        <v>26</v>
      </c>
      <c r="AV151">
        <v>0</v>
      </c>
      <c r="AW151">
        <v>2</v>
      </c>
      <c r="AX151">
        <v>59213906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ROUND(Y151*Source!I144*DO151,9)</f>
        <v>0.14898400000000001</v>
      </c>
      <c r="CX151">
        <f>ROUND(Y151*Source!I144,9)</f>
        <v>8.8000000000000005E-3</v>
      </c>
      <c r="CY151">
        <f>AB151</f>
        <v>2579.38</v>
      </c>
      <c r="CZ151">
        <f>AF151</f>
        <v>179.17</v>
      </c>
      <c r="DA151">
        <f>AJ151</f>
        <v>13.75</v>
      </c>
      <c r="DB151">
        <f>ROUND((ROUND(AT151*CZ151,2)*1.1),6)</f>
        <v>1.9690000000000001</v>
      </c>
      <c r="DC151">
        <f>ROUND((ROUND(AT151*AG151,2)*1.1),6)</f>
        <v>0.187</v>
      </c>
      <c r="DD151" t="s">
        <v>3</v>
      </c>
      <c r="DE151" t="s">
        <v>3</v>
      </c>
      <c r="DF151">
        <f t="shared" si="72"/>
        <v>0</v>
      </c>
      <c r="DG151">
        <f>ROUND(ROUND(AF151*AJ151,2)*CX151,2)</f>
        <v>21.68</v>
      </c>
      <c r="DH151">
        <f>ROUND(ROUND(AG151*AK151,2)*CX151,2)</f>
        <v>8.19</v>
      </c>
      <c r="DI151">
        <f t="shared" si="61"/>
        <v>0</v>
      </c>
      <c r="DJ151">
        <f>DG151</f>
        <v>21.68</v>
      </c>
      <c r="DK151">
        <v>0</v>
      </c>
      <c r="DL151" t="s">
        <v>338</v>
      </c>
      <c r="DM151">
        <v>0</v>
      </c>
      <c r="DN151" t="s">
        <v>333</v>
      </c>
      <c r="DO151">
        <v>16.93</v>
      </c>
    </row>
    <row r="152" spans="1:119" x14ac:dyDescent="0.2">
      <c r="A152">
        <f>ROW(Source!A144)</f>
        <v>144</v>
      </c>
      <c r="B152">
        <v>59213213</v>
      </c>
      <c r="C152">
        <v>59213574</v>
      </c>
      <c r="D152">
        <v>58309611</v>
      </c>
      <c r="E152">
        <v>1</v>
      </c>
      <c r="F152">
        <v>1</v>
      </c>
      <c r="G152">
        <v>1080</v>
      </c>
      <c r="H152">
        <v>3</v>
      </c>
      <c r="I152" t="s">
        <v>414</v>
      </c>
      <c r="J152" t="s">
        <v>415</v>
      </c>
      <c r="K152" t="s">
        <v>416</v>
      </c>
      <c r="L152">
        <v>1346</v>
      </c>
      <c r="N152">
        <v>1009</v>
      </c>
      <c r="O152" t="s">
        <v>244</v>
      </c>
      <c r="P152" t="s">
        <v>244</v>
      </c>
      <c r="Q152">
        <v>1</v>
      </c>
      <c r="W152">
        <v>0</v>
      </c>
      <c r="X152">
        <v>1770006655</v>
      </c>
      <c r="Y152">
        <f t="shared" ref="Y152:Y157" si="80">(AT152*1)</f>
        <v>0.43</v>
      </c>
      <c r="AA152">
        <v>29.73</v>
      </c>
      <c r="AB152">
        <v>0</v>
      </c>
      <c r="AC152">
        <v>0</v>
      </c>
      <c r="AD152">
        <v>0</v>
      </c>
      <c r="AE152">
        <v>1.38</v>
      </c>
      <c r="AF152">
        <v>0</v>
      </c>
      <c r="AG152">
        <v>0</v>
      </c>
      <c r="AH152">
        <v>0</v>
      </c>
      <c r="AI152">
        <v>21.54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0.43</v>
      </c>
      <c r="AU152" t="s">
        <v>25</v>
      </c>
      <c r="AV152">
        <v>0</v>
      </c>
      <c r="AW152">
        <v>2</v>
      </c>
      <c r="AX152">
        <v>59213907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ROUND(Y152*Source!I144,9)</f>
        <v>0.34399999999999997</v>
      </c>
      <c r="CY152">
        <f t="shared" ref="CY152:CY158" si="81">AA152</f>
        <v>29.73</v>
      </c>
      <c r="CZ152">
        <f t="shared" ref="CZ152:CZ158" si="82">AE152</f>
        <v>1.38</v>
      </c>
      <c r="DA152">
        <f t="shared" ref="DA152:DA158" si="83">AI152</f>
        <v>21.54</v>
      </c>
      <c r="DB152">
        <f t="shared" ref="DB152:DB157" si="84">ROUND((ROUND(AT152*CZ152,2)*1),6)</f>
        <v>0.59</v>
      </c>
      <c r="DC152">
        <f t="shared" ref="DC152:DC157" si="85">ROUND((ROUND(AT152*AG152,2)*1),6)</f>
        <v>0</v>
      </c>
      <c r="DD152" t="s">
        <v>3</v>
      </c>
      <c r="DE152" t="s">
        <v>3</v>
      </c>
      <c r="DF152">
        <f t="shared" ref="DF152:DF158" si="86">ROUND(ROUND(AE152*AI152,2)*CX152,2)</f>
        <v>10.23</v>
      </c>
      <c r="DG152">
        <f t="shared" ref="DG152:DG169" si="87">ROUND(ROUND(AF152,2)*CX152,2)</f>
        <v>0</v>
      </c>
      <c r="DH152">
        <f t="shared" ref="DH152:DH169" si="88">ROUND(ROUND(AG152,2)*CX152,2)</f>
        <v>0</v>
      </c>
      <c r="DI152">
        <f t="shared" si="61"/>
        <v>0</v>
      </c>
      <c r="DJ152">
        <f t="shared" ref="DJ152:DJ158" si="89">DF152</f>
        <v>10.23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ROW(Source!A144)</f>
        <v>144</v>
      </c>
      <c r="B153">
        <v>59213213</v>
      </c>
      <c r="C153">
        <v>59213574</v>
      </c>
      <c r="D153">
        <v>58310002</v>
      </c>
      <c r="E153">
        <v>1</v>
      </c>
      <c r="F153">
        <v>1</v>
      </c>
      <c r="G153">
        <v>1080</v>
      </c>
      <c r="H153">
        <v>3</v>
      </c>
      <c r="I153" t="s">
        <v>417</v>
      </c>
      <c r="J153" t="s">
        <v>418</v>
      </c>
      <c r="K153" t="s">
        <v>419</v>
      </c>
      <c r="L153">
        <v>1346</v>
      </c>
      <c r="N153">
        <v>1009</v>
      </c>
      <c r="O153" t="s">
        <v>244</v>
      </c>
      <c r="P153" t="s">
        <v>244</v>
      </c>
      <c r="Q153">
        <v>1</v>
      </c>
      <c r="W153">
        <v>0</v>
      </c>
      <c r="X153">
        <v>-878159893</v>
      </c>
      <c r="Y153">
        <f t="shared" si="80"/>
        <v>0.16</v>
      </c>
      <c r="AA153">
        <v>286.31</v>
      </c>
      <c r="AB153">
        <v>0</v>
      </c>
      <c r="AC153">
        <v>0</v>
      </c>
      <c r="AD153">
        <v>0</v>
      </c>
      <c r="AE153">
        <v>159.06</v>
      </c>
      <c r="AF153">
        <v>0</v>
      </c>
      <c r="AG153">
        <v>0</v>
      </c>
      <c r="AH153">
        <v>0</v>
      </c>
      <c r="AI153">
        <v>1.8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0.16</v>
      </c>
      <c r="AU153" t="s">
        <v>25</v>
      </c>
      <c r="AV153">
        <v>0</v>
      </c>
      <c r="AW153">
        <v>2</v>
      </c>
      <c r="AX153">
        <v>59213908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ROUND(Y153*Source!I144,9)</f>
        <v>0.128</v>
      </c>
      <c r="CY153">
        <f t="shared" si="81"/>
        <v>286.31</v>
      </c>
      <c r="CZ153">
        <f t="shared" si="82"/>
        <v>159.06</v>
      </c>
      <c r="DA153">
        <f t="shared" si="83"/>
        <v>1.8</v>
      </c>
      <c r="DB153">
        <f t="shared" si="84"/>
        <v>25.45</v>
      </c>
      <c r="DC153">
        <f t="shared" si="85"/>
        <v>0</v>
      </c>
      <c r="DD153" t="s">
        <v>3</v>
      </c>
      <c r="DE153" t="s">
        <v>3</v>
      </c>
      <c r="DF153">
        <f t="shared" si="86"/>
        <v>36.65</v>
      </c>
      <c r="DG153">
        <f t="shared" si="87"/>
        <v>0</v>
      </c>
      <c r="DH153">
        <f t="shared" si="88"/>
        <v>0</v>
      </c>
      <c r="DI153">
        <f t="shared" si="61"/>
        <v>0</v>
      </c>
      <c r="DJ153">
        <f t="shared" si="89"/>
        <v>36.65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ROW(Source!A144)</f>
        <v>144</v>
      </c>
      <c r="B154">
        <v>59213213</v>
      </c>
      <c r="C154">
        <v>59213574</v>
      </c>
      <c r="D154">
        <v>58332945</v>
      </c>
      <c r="E154">
        <v>1</v>
      </c>
      <c r="F154">
        <v>1</v>
      </c>
      <c r="G154">
        <v>1080</v>
      </c>
      <c r="H154">
        <v>3</v>
      </c>
      <c r="I154" t="s">
        <v>420</v>
      </c>
      <c r="J154" t="s">
        <v>421</v>
      </c>
      <c r="K154" t="s">
        <v>422</v>
      </c>
      <c r="L154">
        <v>1355</v>
      </c>
      <c r="N154">
        <v>1010</v>
      </c>
      <c r="O154" t="s">
        <v>227</v>
      </c>
      <c r="P154" t="s">
        <v>227</v>
      </c>
      <c r="Q154">
        <v>100</v>
      </c>
      <c r="W154">
        <v>0</v>
      </c>
      <c r="X154">
        <v>-456781043</v>
      </c>
      <c r="Y154">
        <f t="shared" si="80"/>
        <v>0.05</v>
      </c>
      <c r="AA154">
        <v>1102.5</v>
      </c>
      <c r="AB154">
        <v>0</v>
      </c>
      <c r="AC154">
        <v>0</v>
      </c>
      <c r="AD154">
        <v>0</v>
      </c>
      <c r="AE154">
        <v>68.819999999999993</v>
      </c>
      <c r="AF154">
        <v>0</v>
      </c>
      <c r="AG154">
        <v>0</v>
      </c>
      <c r="AH154">
        <v>0</v>
      </c>
      <c r="AI154">
        <v>16.02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0.05</v>
      </c>
      <c r="AU154" t="s">
        <v>25</v>
      </c>
      <c r="AV154">
        <v>0</v>
      </c>
      <c r="AW154">
        <v>2</v>
      </c>
      <c r="AX154">
        <v>59213909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ROUND(Y154*Source!I144,9)</f>
        <v>0.04</v>
      </c>
      <c r="CY154">
        <f t="shared" si="81"/>
        <v>1102.5</v>
      </c>
      <c r="CZ154">
        <f t="shared" si="82"/>
        <v>68.819999999999993</v>
      </c>
      <c r="DA154">
        <f t="shared" si="83"/>
        <v>16.02</v>
      </c>
      <c r="DB154">
        <f t="shared" si="84"/>
        <v>3.44</v>
      </c>
      <c r="DC154">
        <f t="shared" si="85"/>
        <v>0</v>
      </c>
      <c r="DD154" t="s">
        <v>3</v>
      </c>
      <c r="DE154" t="s">
        <v>3</v>
      </c>
      <c r="DF154">
        <f t="shared" si="86"/>
        <v>44.1</v>
      </c>
      <c r="DG154">
        <f t="shared" si="87"/>
        <v>0</v>
      </c>
      <c r="DH154">
        <f t="shared" si="88"/>
        <v>0</v>
      </c>
      <c r="DI154">
        <f t="shared" si="61"/>
        <v>0</v>
      </c>
      <c r="DJ154">
        <f t="shared" si="89"/>
        <v>44.1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ROW(Source!A144)</f>
        <v>144</v>
      </c>
      <c r="B155">
        <v>59213213</v>
      </c>
      <c r="C155">
        <v>59213574</v>
      </c>
      <c r="D155">
        <v>58332956</v>
      </c>
      <c r="E155">
        <v>1</v>
      </c>
      <c r="F155">
        <v>1</v>
      </c>
      <c r="G155">
        <v>1080</v>
      </c>
      <c r="H155">
        <v>3</v>
      </c>
      <c r="I155" t="s">
        <v>423</v>
      </c>
      <c r="J155" t="s">
        <v>424</v>
      </c>
      <c r="K155" t="s">
        <v>425</v>
      </c>
      <c r="L155">
        <v>1356</v>
      </c>
      <c r="N155">
        <v>1010</v>
      </c>
      <c r="O155" t="s">
        <v>426</v>
      </c>
      <c r="P155" t="s">
        <v>426</v>
      </c>
      <c r="Q155">
        <v>1000</v>
      </c>
      <c r="W155">
        <v>0</v>
      </c>
      <c r="X155">
        <v>1726193810</v>
      </c>
      <c r="Y155">
        <f t="shared" si="80"/>
        <v>1.2200000000000001E-2</v>
      </c>
      <c r="AA155">
        <v>1318.65</v>
      </c>
      <c r="AB155">
        <v>0</v>
      </c>
      <c r="AC155">
        <v>0</v>
      </c>
      <c r="AD155">
        <v>0</v>
      </c>
      <c r="AE155">
        <v>183.4</v>
      </c>
      <c r="AF155">
        <v>0</v>
      </c>
      <c r="AG155">
        <v>0</v>
      </c>
      <c r="AH155">
        <v>0</v>
      </c>
      <c r="AI155">
        <v>7.19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1.2200000000000001E-2</v>
      </c>
      <c r="AU155" t="s">
        <v>25</v>
      </c>
      <c r="AV155">
        <v>0</v>
      </c>
      <c r="AW155">
        <v>2</v>
      </c>
      <c r="AX155">
        <v>59213910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ROUND(Y155*Source!I144,9)</f>
        <v>9.7599999999999996E-3</v>
      </c>
      <c r="CY155">
        <f t="shared" si="81"/>
        <v>1318.65</v>
      </c>
      <c r="CZ155">
        <f t="shared" si="82"/>
        <v>183.4</v>
      </c>
      <c r="DA155">
        <f t="shared" si="83"/>
        <v>7.19</v>
      </c>
      <c r="DB155">
        <f t="shared" si="84"/>
        <v>2.2400000000000002</v>
      </c>
      <c r="DC155">
        <f t="shared" si="85"/>
        <v>0</v>
      </c>
      <c r="DD155" t="s">
        <v>3</v>
      </c>
      <c r="DE155" t="s">
        <v>3</v>
      </c>
      <c r="DF155">
        <f t="shared" si="86"/>
        <v>12.87</v>
      </c>
      <c r="DG155">
        <f t="shared" si="87"/>
        <v>0</v>
      </c>
      <c r="DH155">
        <f t="shared" si="88"/>
        <v>0</v>
      </c>
      <c r="DI155">
        <f t="shared" si="61"/>
        <v>0</v>
      </c>
      <c r="DJ155">
        <f t="shared" si="89"/>
        <v>12.87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ROW(Source!A144)</f>
        <v>144</v>
      </c>
      <c r="B156">
        <v>59213213</v>
      </c>
      <c r="C156">
        <v>59213574</v>
      </c>
      <c r="D156">
        <v>58332282</v>
      </c>
      <c r="E156">
        <v>1</v>
      </c>
      <c r="F156">
        <v>1</v>
      </c>
      <c r="G156">
        <v>1080</v>
      </c>
      <c r="H156">
        <v>3</v>
      </c>
      <c r="I156" t="s">
        <v>427</v>
      </c>
      <c r="J156" t="s">
        <v>428</v>
      </c>
      <c r="K156" t="s">
        <v>429</v>
      </c>
      <c r="L156">
        <v>1354</v>
      </c>
      <c r="N156">
        <v>1010</v>
      </c>
      <c r="O156" t="s">
        <v>34</v>
      </c>
      <c r="P156" t="s">
        <v>34</v>
      </c>
      <c r="Q156">
        <v>1</v>
      </c>
      <c r="W156">
        <v>0</v>
      </c>
      <c r="X156">
        <v>145081611</v>
      </c>
      <c r="Y156">
        <f t="shared" si="80"/>
        <v>3.1</v>
      </c>
      <c r="AA156">
        <v>25.47</v>
      </c>
      <c r="AB156">
        <v>0</v>
      </c>
      <c r="AC156">
        <v>0</v>
      </c>
      <c r="AD156">
        <v>0</v>
      </c>
      <c r="AE156">
        <v>6.94</v>
      </c>
      <c r="AF156">
        <v>0</v>
      </c>
      <c r="AG156">
        <v>0</v>
      </c>
      <c r="AH156">
        <v>0</v>
      </c>
      <c r="AI156">
        <v>3.67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3.1</v>
      </c>
      <c r="AU156" t="s">
        <v>25</v>
      </c>
      <c r="AV156">
        <v>0</v>
      </c>
      <c r="AW156">
        <v>2</v>
      </c>
      <c r="AX156">
        <v>59213911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ROUND(Y156*Source!I144,9)</f>
        <v>2.48</v>
      </c>
      <c r="CY156">
        <f t="shared" si="81"/>
        <v>25.47</v>
      </c>
      <c r="CZ156">
        <f t="shared" si="82"/>
        <v>6.94</v>
      </c>
      <c r="DA156">
        <f t="shared" si="83"/>
        <v>3.67</v>
      </c>
      <c r="DB156">
        <f t="shared" si="84"/>
        <v>21.51</v>
      </c>
      <c r="DC156">
        <f t="shared" si="85"/>
        <v>0</v>
      </c>
      <c r="DD156" t="s">
        <v>3</v>
      </c>
      <c r="DE156" t="s">
        <v>3</v>
      </c>
      <c r="DF156">
        <f t="shared" si="86"/>
        <v>63.17</v>
      </c>
      <c r="DG156">
        <f t="shared" si="87"/>
        <v>0</v>
      </c>
      <c r="DH156">
        <f t="shared" si="88"/>
        <v>0</v>
      </c>
      <c r="DI156">
        <f t="shared" si="61"/>
        <v>0</v>
      </c>
      <c r="DJ156">
        <f t="shared" si="89"/>
        <v>63.17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ROW(Source!A144)</f>
        <v>144</v>
      </c>
      <c r="B157">
        <v>59213213</v>
      </c>
      <c r="C157">
        <v>59213574</v>
      </c>
      <c r="D157">
        <v>58332289</v>
      </c>
      <c r="E157">
        <v>1</v>
      </c>
      <c r="F157">
        <v>1</v>
      </c>
      <c r="G157">
        <v>1080</v>
      </c>
      <c r="H157">
        <v>3</v>
      </c>
      <c r="I157" t="s">
        <v>430</v>
      </c>
      <c r="J157" t="s">
        <v>431</v>
      </c>
      <c r="K157" t="s">
        <v>432</v>
      </c>
      <c r="L157">
        <v>1356</v>
      </c>
      <c r="N157">
        <v>1010</v>
      </c>
      <c r="O157" t="s">
        <v>426</v>
      </c>
      <c r="P157" t="s">
        <v>426</v>
      </c>
      <c r="Q157">
        <v>1000</v>
      </c>
      <c r="W157">
        <v>0</v>
      </c>
      <c r="X157">
        <v>-1715273674</v>
      </c>
      <c r="Y157">
        <f t="shared" si="80"/>
        <v>8.0000000000000002E-3</v>
      </c>
      <c r="AA157">
        <v>786.04</v>
      </c>
      <c r="AB157">
        <v>0</v>
      </c>
      <c r="AC157">
        <v>0</v>
      </c>
      <c r="AD157">
        <v>0</v>
      </c>
      <c r="AE157">
        <v>614.09</v>
      </c>
      <c r="AF157">
        <v>0</v>
      </c>
      <c r="AG157">
        <v>0</v>
      </c>
      <c r="AH157">
        <v>0</v>
      </c>
      <c r="AI157">
        <v>1.28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8.0000000000000002E-3</v>
      </c>
      <c r="AU157" t="s">
        <v>25</v>
      </c>
      <c r="AV157">
        <v>0</v>
      </c>
      <c r="AW157">
        <v>2</v>
      </c>
      <c r="AX157">
        <v>59213912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ROUND(Y157*Source!I144,9)</f>
        <v>6.4000000000000003E-3</v>
      </c>
      <c r="CY157">
        <f t="shared" si="81"/>
        <v>786.04</v>
      </c>
      <c r="CZ157">
        <f t="shared" si="82"/>
        <v>614.09</v>
      </c>
      <c r="DA157">
        <f t="shared" si="83"/>
        <v>1.28</v>
      </c>
      <c r="DB157">
        <f t="shared" si="84"/>
        <v>4.91</v>
      </c>
      <c r="DC157">
        <f t="shared" si="85"/>
        <v>0</v>
      </c>
      <c r="DD157" t="s">
        <v>3</v>
      </c>
      <c r="DE157" t="s">
        <v>3</v>
      </c>
      <c r="DF157">
        <f t="shared" si="86"/>
        <v>5.03</v>
      </c>
      <c r="DG157">
        <f t="shared" si="87"/>
        <v>0</v>
      </c>
      <c r="DH157">
        <f t="shared" si="88"/>
        <v>0</v>
      </c>
      <c r="DI157">
        <f t="shared" si="61"/>
        <v>0</v>
      </c>
      <c r="DJ157">
        <f t="shared" si="89"/>
        <v>5.03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ROW(Source!A144)</f>
        <v>144</v>
      </c>
      <c r="B158">
        <v>59213213</v>
      </c>
      <c r="C158">
        <v>59213574</v>
      </c>
      <c r="D158">
        <v>0</v>
      </c>
      <c r="E158">
        <v>1080</v>
      </c>
      <c r="F158">
        <v>1</v>
      </c>
      <c r="G158">
        <v>1080</v>
      </c>
      <c r="H158">
        <v>3</v>
      </c>
      <c r="I158" t="s">
        <v>260</v>
      </c>
      <c r="J158" t="s">
        <v>3</v>
      </c>
      <c r="K158" t="s">
        <v>261</v>
      </c>
      <c r="L158">
        <v>1303</v>
      </c>
      <c r="N158">
        <v>1003</v>
      </c>
      <c r="O158" t="s">
        <v>256</v>
      </c>
      <c r="P158" t="s">
        <v>256</v>
      </c>
      <c r="Q158">
        <v>1000</v>
      </c>
      <c r="W158">
        <v>0</v>
      </c>
      <c r="X158">
        <v>1725654272</v>
      </c>
      <c r="Y158">
        <f>AT158</f>
        <v>0.10199999999999999</v>
      </c>
      <c r="AA158">
        <v>70431.06</v>
      </c>
      <c r="AB158">
        <v>0</v>
      </c>
      <c r="AC158">
        <v>0</v>
      </c>
      <c r="AD158">
        <v>0</v>
      </c>
      <c r="AE158">
        <v>7128.65</v>
      </c>
      <c r="AF158">
        <v>0</v>
      </c>
      <c r="AG158">
        <v>0</v>
      </c>
      <c r="AH158">
        <v>0</v>
      </c>
      <c r="AI158">
        <v>9.8800000000000008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0.10199999999999999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ROUND(Y158*Source!I144,9)</f>
        <v>8.1600000000000006E-2</v>
      </c>
      <c r="CY158">
        <f t="shared" si="81"/>
        <v>70431.06</v>
      </c>
      <c r="CZ158">
        <f t="shared" si="82"/>
        <v>7128.65</v>
      </c>
      <c r="DA158">
        <f t="shared" si="83"/>
        <v>9.8800000000000008</v>
      </c>
      <c r="DB158">
        <f>ROUND(ROUND(AT158*CZ158,2),6)</f>
        <v>727.12</v>
      </c>
      <c r="DC158">
        <f>ROUND(ROUND(AT158*AG158,2),6)</f>
        <v>0</v>
      </c>
      <c r="DD158" t="s">
        <v>3</v>
      </c>
      <c r="DE158" t="s">
        <v>3</v>
      </c>
      <c r="DF158">
        <f t="shared" si="86"/>
        <v>5747.17</v>
      </c>
      <c r="DG158">
        <f t="shared" si="87"/>
        <v>0</v>
      </c>
      <c r="DH158">
        <f t="shared" si="88"/>
        <v>0</v>
      </c>
      <c r="DI158">
        <f t="shared" si="61"/>
        <v>0</v>
      </c>
      <c r="DJ158">
        <f t="shared" si="89"/>
        <v>5747.17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ROW(Source!A147)</f>
        <v>147</v>
      </c>
      <c r="B159">
        <v>59213216</v>
      </c>
      <c r="C159">
        <v>59213596</v>
      </c>
      <c r="D159">
        <v>58266404</v>
      </c>
      <c r="E159">
        <v>1080</v>
      </c>
      <c r="F159">
        <v>1</v>
      </c>
      <c r="G159">
        <v>1080</v>
      </c>
      <c r="H159">
        <v>1</v>
      </c>
      <c r="I159" t="s">
        <v>331</v>
      </c>
      <c r="J159" t="s">
        <v>3</v>
      </c>
      <c r="K159" t="s">
        <v>332</v>
      </c>
      <c r="L159">
        <v>1191</v>
      </c>
      <c r="N159">
        <v>1013</v>
      </c>
      <c r="O159" t="s">
        <v>333</v>
      </c>
      <c r="P159" t="s">
        <v>333</v>
      </c>
      <c r="Q159">
        <v>1</v>
      </c>
      <c r="W159">
        <v>0</v>
      </c>
      <c r="X159">
        <v>476480486</v>
      </c>
      <c r="Y159">
        <f>(AT159*1.1)</f>
        <v>4.9390000000000009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4.49</v>
      </c>
      <c r="AU159" t="s">
        <v>26</v>
      </c>
      <c r="AV159">
        <v>1</v>
      </c>
      <c r="AW159">
        <v>2</v>
      </c>
      <c r="AX159">
        <v>59213914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ROUND(AT159*Source!I147*AH159*AL159,2)</f>
        <v>0</v>
      </c>
      <c r="CV159">
        <f>ROUND(Y159*Source!I147,9)</f>
        <v>4.9390000000000001</v>
      </c>
      <c r="CW159">
        <v>0</v>
      </c>
      <c r="CX159">
        <f>ROUND(Y159*Source!I147,9)</f>
        <v>4.9390000000000001</v>
      </c>
      <c r="CY159">
        <f>AD159</f>
        <v>0</v>
      </c>
      <c r="CZ159">
        <f>AH159</f>
        <v>0</v>
      </c>
      <c r="DA159">
        <f>AL159</f>
        <v>1</v>
      </c>
      <c r="DB159">
        <f>ROUND((ROUND(AT159*CZ159,2)*1.1),6)</f>
        <v>0</v>
      </c>
      <c r="DC159">
        <f>ROUND((ROUND(AT159*AG159,2)*1.1),6)</f>
        <v>0</v>
      </c>
      <c r="DD159" t="s">
        <v>3</v>
      </c>
      <c r="DE159" t="s">
        <v>3</v>
      </c>
      <c r="DF159">
        <f t="shared" ref="DF159:DF171" si="90">ROUND(ROUND(AE159,2)*CX159,2)</f>
        <v>0</v>
      </c>
      <c r="DG159">
        <f t="shared" si="87"/>
        <v>0</v>
      </c>
      <c r="DH159">
        <f t="shared" si="88"/>
        <v>0</v>
      </c>
      <c r="DI159">
        <f t="shared" si="61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ROW(Source!A147)</f>
        <v>147</v>
      </c>
      <c r="B160">
        <v>59213216</v>
      </c>
      <c r="C160">
        <v>59213596</v>
      </c>
      <c r="D160">
        <v>58340578</v>
      </c>
      <c r="E160">
        <v>1</v>
      </c>
      <c r="F160">
        <v>1</v>
      </c>
      <c r="G160">
        <v>1080</v>
      </c>
      <c r="H160">
        <v>2</v>
      </c>
      <c r="I160" t="s">
        <v>334</v>
      </c>
      <c r="J160" t="s">
        <v>335</v>
      </c>
      <c r="K160" t="s">
        <v>336</v>
      </c>
      <c r="L160">
        <v>1368</v>
      </c>
      <c r="N160">
        <v>1011</v>
      </c>
      <c r="O160" t="s">
        <v>337</v>
      </c>
      <c r="P160" t="s">
        <v>337</v>
      </c>
      <c r="Q160">
        <v>1</v>
      </c>
      <c r="W160">
        <v>0</v>
      </c>
      <c r="X160">
        <v>-1985943078</v>
      </c>
      <c r="Y160">
        <f>(AT160*1.1)</f>
        <v>1.1000000000000001E-2</v>
      </c>
      <c r="AA160">
        <v>0</v>
      </c>
      <c r="AB160">
        <v>87.01</v>
      </c>
      <c r="AC160">
        <v>13.21</v>
      </c>
      <c r="AD160">
        <v>0</v>
      </c>
      <c r="AE160">
        <v>0</v>
      </c>
      <c r="AF160">
        <v>83.1</v>
      </c>
      <c r="AG160">
        <v>12.62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0.01</v>
      </c>
      <c r="AU160" t="s">
        <v>26</v>
      </c>
      <c r="AV160">
        <v>0</v>
      </c>
      <c r="AW160">
        <v>2</v>
      </c>
      <c r="AX160">
        <v>59213915</v>
      </c>
      <c r="AY160">
        <v>1</v>
      </c>
      <c r="AZ160">
        <v>0</v>
      </c>
      <c r="BA160">
        <v>180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ROUND(Y160*Source!I147*DO160,9)</f>
        <v>0.13882</v>
      </c>
      <c r="CX160">
        <f>ROUND(Y160*Source!I147,9)</f>
        <v>1.0999999999999999E-2</v>
      </c>
      <c r="CY160">
        <f>AB160</f>
        <v>87.01</v>
      </c>
      <c r="CZ160">
        <f>AF160</f>
        <v>83.1</v>
      </c>
      <c r="DA160">
        <f>AJ160</f>
        <v>1</v>
      </c>
      <c r="DB160">
        <f>ROUND((ROUND(AT160*CZ160,2)*1.1),6)</f>
        <v>0.91300000000000003</v>
      </c>
      <c r="DC160">
        <f>ROUND((ROUND(AT160*AG160,2)*1.1),6)</f>
        <v>0.14299999999999999</v>
      </c>
      <c r="DD160" t="s">
        <v>3</v>
      </c>
      <c r="DE160" t="s">
        <v>3</v>
      </c>
      <c r="DF160">
        <f t="shared" si="90"/>
        <v>0</v>
      </c>
      <c r="DG160">
        <f t="shared" si="87"/>
        <v>0.91</v>
      </c>
      <c r="DH160">
        <f t="shared" si="88"/>
        <v>0.14000000000000001</v>
      </c>
      <c r="DI160">
        <f t="shared" si="61"/>
        <v>0</v>
      </c>
      <c r="DJ160">
        <f>DG160</f>
        <v>0.91</v>
      </c>
      <c r="DK160">
        <v>0</v>
      </c>
      <c r="DL160" t="s">
        <v>338</v>
      </c>
      <c r="DM160">
        <v>0</v>
      </c>
      <c r="DN160" t="s">
        <v>333</v>
      </c>
      <c r="DO160">
        <v>12.62</v>
      </c>
    </row>
    <row r="161" spans="1:119" x14ac:dyDescent="0.2">
      <c r="A161">
        <f>ROW(Source!A147)</f>
        <v>147</v>
      </c>
      <c r="B161">
        <v>59213216</v>
      </c>
      <c r="C161">
        <v>59213596</v>
      </c>
      <c r="D161">
        <v>58339814</v>
      </c>
      <c r="E161">
        <v>1</v>
      </c>
      <c r="F161">
        <v>1</v>
      </c>
      <c r="G161">
        <v>1080</v>
      </c>
      <c r="H161">
        <v>2</v>
      </c>
      <c r="I161" t="s">
        <v>411</v>
      </c>
      <c r="J161" t="s">
        <v>412</v>
      </c>
      <c r="K161" t="s">
        <v>413</v>
      </c>
      <c r="L161">
        <v>1368</v>
      </c>
      <c r="N161">
        <v>1011</v>
      </c>
      <c r="O161" t="s">
        <v>337</v>
      </c>
      <c r="P161" t="s">
        <v>337</v>
      </c>
      <c r="Q161">
        <v>1</v>
      </c>
      <c r="W161">
        <v>0</v>
      </c>
      <c r="X161">
        <v>1087580389</v>
      </c>
      <c r="Y161">
        <f>(AT161*1.1)</f>
        <v>1.1000000000000001E-2</v>
      </c>
      <c r="AA161">
        <v>0</v>
      </c>
      <c r="AB161">
        <v>187.59</v>
      </c>
      <c r="AC161">
        <v>17.73</v>
      </c>
      <c r="AD161">
        <v>0</v>
      </c>
      <c r="AE161">
        <v>0</v>
      </c>
      <c r="AF161">
        <v>179.17</v>
      </c>
      <c r="AG161">
        <v>16.93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0.01</v>
      </c>
      <c r="AU161" t="s">
        <v>26</v>
      </c>
      <c r="AV161">
        <v>0</v>
      </c>
      <c r="AW161">
        <v>2</v>
      </c>
      <c r="AX161">
        <v>59213916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ROUND(Y161*Source!I147*DO161,9)</f>
        <v>0.18623000000000001</v>
      </c>
      <c r="CX161">
        <f>ROUND(Y161*Source!I147,9)</f>
        <v>1.0999999999999999E-2</v>
      </c>
      <c r="CY161">
        <f>AB161</f>
        <v>187.59</v>
      </c>
      <c r="CZ161">
        <f>AF161</f>
        <v>179.17</v>
      </c>
      <c r="DA161">
        <f>AJ161</f>
        <v>1</v>
      </c>
      <c r="DB161">
        <f>ROUND((ROUND(AT161*CZ161,2)*1.1),6)</f>
        <v>1.9690000000000001</v>
      </c>
      <c r="DC161">
        <f>ROUND((ROUND(AT161*AG161,2)*1.1),6)</f>
        <v>0.187</v>
      </c>
      <c r="DD161" t="s">
        <v>3</v>
      </c>
      <c r="DE161" t="s">
        <v>3</v>
      </c>
      <c r="DF161">
        <f t="shared" si="90"/>
        <v>0</v>
      </c>
      <c r="DG161">
        <f t="shared" si="87"/>
        <v>1.97</v>
      </c>
      <c r="DH161">
        <f t="shared" si="88"/>
        <v>0.19</v>
      </c>
      <c r="DI161">
        <f t="shared" si="61"/>
        <v>0</v>
      </c>
      <c r="DJ161">
        <f>DG161</f>
        <v>1.97</v>
      </c>
      <c r="DK161">
        <v>0</v>
      </c>
      <c r="DL161" t="s">
        <v>338</v>
      </c>
      <c r="DM161">
        <v>0</v>
      </c>
      <c r="DN161" t="s">
        <v>333</v>
      </c>
      <c r="DO161">
        <v>16.93</v>
      </c>
    </row>
    <row r="162" spans="1:119" x14ac:dyDescent="0.2">
      <c r="A162">
        <f>ROW(Source!A147)</f>
        <v>147</v>
      </c>
      <c r="B162">
        <v>59213216</v>
      </c>
      <c r="C162">
        <v>59213596</v>
      </c>
      <c r="D162">
        <v>58309611</v>
      </c>
      <c r="E162">
        <v>1</v>
      </c>
      <c r="F162">
        <v>1</v>
      </c>
      <c r="G162">
        <v>1080</v>
      </c>
      <c r="H162">
        <v>3</v>
      </c>
      <c r="I162" t="s">
        <v>414</v>
      </c>
      <c r="J162" t="s">
        <v>415</v>
      </c>
      <c r="K162" t="s">
        <v>416</v>
      </c>
      <c r="L162">
        <v>1346</v>
      </c>
      <c r="N162">
        <v>1009</v>
      </c>
      <c r="O162" t="s">
        <v>244</v>
      </c>
      <c r="P162" t="s">
        <v>244</v>
      </c>
      <c r="Q162">
        <v>1</v>
      </c>
      <c r="W162">
        <v>0</v>
      </c>
      <c r="X162">
        <v>1770006655</v>
      </c>
      <c r="Y162">
        <f t="shared" ref="Y162:Y167" si="91">(AT162*1)</f>
        <v>0.43</v>
      </c>
      <c r="AA162">
        <v>1.38</v>
      </c>
      <c r="AB162">
        <v>0</v>
      </c>
      <c r="AC162">
        <v>0</v>
      </c>
      <c r="AD162">
        <v>0</v>
      </c>
      <c r="AE162">
        <v>1.38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0.43</v>
      </c>
      <c r="AU162" t="s">
        <v>25</v>
      </c>
      <c r="AV162">
        <v>0</v>
      </c>
      <c r="AW162">
        <v>2</v>
      </c>
      <c r="AX162">
        <v>59213917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ROUND(Y162*Source!I147,9)</f>
        <v>0.43</v>
      </c>
      <c r="CY162">
        <f t="shared" ref="CY162:CY168" si="92">AA162</f>
        <v>1.38</v>
      </c>
      <c r="CZ162">
        <f t="shared" ref="CZ162:CZ168" si="93">AE162</f>
        <v>1.38</v>
      </c>
      <c r="DA162">
        <f t="shared" ref="DA162:DA168" si="94">AI162</f>
        <v>1</v>
      </c>
      <c r="DB162">
        <f t="shared" ref="DB162:DB167" si="95">ROUND((ROUND(AT162*CZ162,2)*1),6)</f>
        <v>0.59</v>
      </c>
      <c r="DC162">
        <f t="shared" ref="DC162:DC167" si="96">ROUND((ROUND(AT162*AG162,2)*1),6)</f>
        <v>0</v>
      </c>
      <c r="DD162" t="s">
        <v>3</v>
      </c>
      <c r="DE162" t="s">
        <v>3</v>
      </c>
      <c r="DF162">
        <f t="shared" si="90"/>
        <v>0.59</v>
      </c>
      <c r="DG162">
        <f t="shared" si="87"/>
        <v>0</v>
      </c>
      <c r="DH162">
        <f t="shared" si="88"/>
        <v>0</v>
      </c>
      <c r="DI162">
        <f t="shared" si="61"/>
        <v>0</v>
      </c>
      <c r="DJ162">
        <f t="shared" ref="DJ162:DJ168" si="97">DF162</f>
        <v>0.59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ROW(Source!A147)</f>
        <v>147</v>
      </c>
      <c r="B163">
        <v>59213216</v>
      </c>
      <c r="C163">
        <v>59213596</v>
      </c>
      <c r="D163">
        <v>58310002</v>
      </c>
      <c r="E163">
        <v>1</v>
      </c>
      <c r="F163">
        <v>1</v>
      </c>
      <c r="G163">
        <v>1080</v>
      </c>
      <c r="H163">
        <v>3</v>
      </c>
      <c r="I163" t="s">
        <v>417</v>
      </c>
      <c r="J163" t="s">
        <v>418</v>
      </c>
      <c r="K163" t="s">
        <v>419</v>
      </c>
      <c r="L163">
        <v>1346</v>
      </c>
      <c r="N163">
        <v>1009</v>
      </c>
      <c r="O163" t="s">
        <v>244</v>
      </c>
      <c r="P163" t="s">
        <v>244</v>
      </c>
      <c r="Q163">
        <v>1</v>
      </c>
      <c r="W163">
        <v>0</v>
      </c>
      <c r="X163">
        <v>-878159893</v>
      </c>
      <c r="Y163">
        <f t="shared" si="91"/>
        <v>0.16</v>
      </c>
      <c r="AA163">
        <v>159.06</v>
      </c>
      <c r="AB163">
        <v>0</v>
      </c>
      <c r="AC163">
        <v>0</v>
      </c>
      <c r="AD163">
        <v>0</v>
      </c>
      <c r="AE163">
        <v>159.06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0.16</v>
      </c>
      <c r="AU163" t="s">
        <v>25</v>
      </c>
      <c r="AV163">
        <v>0</v>
      </c>
      <c r="AW163">
        <v>2</v>
      </c>
      <c r="AX163">
        <v>59213918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ROUND(Y163*Source!I147,9)</f>
        <v>0.16</v>
      </c>
      <c r="CY163">
        <f t="shared" si="92"/>
        <v>159.06</v>
      </c>
      <c r="CZ163">
        <f t="shared" si="93"/>
        <v>159.06</v>
      </c>
      <c r="DA163">
        <f t="shared" si="94"/>
        <v>1</v>
      </c>
      <c r="DB163">
        <f t="shared" si="95"/>
        <v>25.45</v>
      </c>
      <c r="DC163">
        <f t="shared" si="96"/>
        <v>0</v>
      </c>
      <c r="DD163" t="s">
        <v>3</v>
      </c>
      <c r="DE163" t="s">
        <v>3</v>
      </c>
      <c r="DF163">
        <f t="shared" si="90"/>
        <v>25.45</v>
      </c>
      <c r="DG163">
        <f t="shared" si="87"/>
        <v>0</v>
      </c>
      <c r="DH163">
        <f t="shared" si="88"/>
        <v>0</v>
      </c>
      <c r="DI163">
        <f t="shared" si="61"/>
        <v>0</v>
      </c>
      <c r="DJ163">
        <f t="shared" si="97"/>
        <v>25.45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ROW(Source!A147)</f>
        <v>147</v>
      </c>
      <c r="B164">
        <v>59213216</v>
      </c>
      <c r="C164">
        <v>59213596</v>
      </c>
      <c r="D164">
        <v>58332945</v>
      </c>
      <c r="E164">
        <v>1</v>
      </c>
      <c r="F164">
        <v>1</v>
      </c>
      <c r="G164">
        <v>1080</v>
      </c>
      <c r="H164">
        <v>3</v>
      </c>
      <c r="I164" t="s">
        <v>420</v>
      </c>
      <c r="J164" t="s">
        <v>421</v>
      </c>
      <c r="K164" t="s">
        <v>422</v>
      </c>
      <c r="L164">
        <v>1355</v>
      </c>
      <c r="N164">
        <v>1010</v>
      </c>
      <c r="O164" t="s">
        <v>227</v>
      </c>
      <c r="P164" t="s">
        <v>227</v>
      </c>
      <c r="Q164">
        <v>100</v>
      </c>
      <c r="W164">
        <v>0</v>
      </c>
      <c r="X164">
        <v>-456781043</v>
      </c>
      <c r="Y164">
        <f t="shared" si="91"/>
        <v>0.05</v>
      </c>
      <c r="AA164">
        <v>68.819999999999993</v>
      </c>
      <c r="AB164">
        <v>0</v>
      </c>
      <c r="AC164">
        <v>0</v>
      </c>
      <c r="AD164">
        <v>0</v>
      </c>
      <c r="AE164">
        <v>68.819999999999993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0.05</v>
      </c>
      <c r="AU164" t="s">
        <v>25</v>
      </c>
      <c r="AV164">
        <v>0</v>
      </c>
      <c r="AW164">
        <v>2</v>
      </c>
      <c r="AX164">
        <v>59213919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ROUND(Y164*Source!I147,9)</f>
        <v>0.05</v>
      </c>
      <c r="CY164">
        <f t="shared" si="92"/>
        <v>68.819999999999993</v>
      </c>
      <c r="CZ164">
        <f t="shared" si="93"/>
        <v>68.819999999999993</v>
      </c>
      <c r="DA164">
        <f t="shared" si="94"/>
        <v>1</v>
      </c>
      <c r="DB164">
        <f t="shared" si="95"/>
        <v>3.44</v>
      </c>
      <c r="DC164">
        <f t="shared" si="96"/>
        <v>0</v>
      </c>
      <c r="DD164" t="s">
        <v>3</v>
      </c>
      <c r="DE164" t="s">
        <v>3</v>
      </c>
      <c r="DF164">
        <f t="shared" si="90"/>
        <v>3.44</v>
      </c>
      <c r="DG164">
        <f t="shared" si="87"/>
        <v>0</v>
      </c>
      <c r="DH164">
        <f t="shared" si="88"/>
        <v>0</v>
      </c>
      <c r="DI164">
        <f t="shared" si="61"/>
        <v>0</v>
      </c>
      <c r="DJ164">
        <f t="shared" si="97"/>
        <v>3.44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ROW(Source!A147)</f>
        <v>147</v>
      </c>
      <c r="B165">
        <v>59213216</v>
      </c>
      <c r="C165">
        <v>59213596</v>
      </c>
      <c r="D165">
        <v>58332956</v>
      </c>
      <c r="E165">
        <v>1</v>
      </c>
      <c r="F165">
        <v>1</v>
      </c>
      <c r="G165">
        <v>1080</v>
      </c>
      <c r="H165">
        <v>3</v>
      </c>
      <c r="I165" t="s">
        <v>423</v>
      </c>
      <c r="J165" t="s">
        <v>424</v>
      </c>
      <c r="K165" t="s">
        <v>425</v>
      </c>
      <c r="L165">
        <v>1356</v>
      </c>
      <c r="N165">
        <v>1010</v>
      </c>
      <c r="O165" t="s">
        <v>426</v>
      </c>
      <c r="P165" t="s">
        <v>426</v>
      </c>
      <c r="Q165">
        <v>1000</v>
      </c>
      <c r="W165">
        <v>0</v>
      </c>
      <c r="X165">
        <v>1726193810</v>
      </c>
      <c r="Y165">
        <f t="shared" si="91"/>
        <v>1.2200000000000001E-2</v>
      </c>
      <c r="AA165">
        <v>183.4</v>
      </c>
      <c r="AB165">
        <v>0</v>
      </c>
      <c r="AC165">
        <v>0</v>
      </c>
      <c r="AD165">
        <v>0</v>
      </c>
      <c r="AE165">
        <v>183.4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1.2200000000000001E-2</v>
      </c>
      <c r="AU165" t="s">
        <v>25</v>
      </c>
      <c r="AV165">
        <v>0</v>
      </c>
      <c r="AW165">
        <v>2</v>
      </c>
      <c r="AX165">
        <v>59213920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ROUND(Y165*Source!I147,9)</f>
        <v>1.2200000000000001E-2</v>
      </c>
      <c r="CY165">
        <f t="shared" si="92"/>
        <v>183.4</v>
      </c>
      <c r="CZ165">
        <f t="shared" si="93"/>
        <v>183.4</v>
      </c>
      <c r="DA165">
        <f t="shared" si="94"/>
        <v>1</v>
      </c>
      <c r="DB165">
        <f t="shared" si="95"/>
        <v>2.2400000000000002</v>
      </c>
      <c r="DC165">
        <f t="shared" si="96"/>
        <v>0</v>
      </c>
      <c r="DD165" t="s">
        <v>3</v>
      </c>
      <c r="DE165" t="s">
        <v>3</v>
      </c>
      <c r="DF165">
        <f t="shared" si="90"/>
        <v>2.2400000000000002</v>
      </c>
      <c r="DG165">
        <f t="shared" si="87"/>
        <v>0</v>
      </c>
      <c r="DH165">
        <f t="shared" si="88"/>
        <v>0</v>
      </c>
      <c r="DI165">
        <f t="shared" si="61"/>
        <v>0</v>
      </c>
      <c r="DJ165">
        <f t="shared" si="97"/>
        <v>2.2400000000000002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ROW(Source!A147)</f>
        <v>147</v>
      </c>
      <c r="B166">
        <v>59213216</v>
      </c>
      <c r="C166">
        <v>59213596</v>
      </c>
      <c r="D166">
        <v>58332282</v>
      </c>
      <c r="E166">
        <v>1</v>
      </c>
      <c r="F166">
        <v>1</v>
      </c>
      <c r="G166">
        <v>1080</v>
      </c>
      <c r="H166">
        <v>3</v>
      </c>
      <c r="I166" t="s">
        <v>427</v>
      </c>
      <c r="J166" t="s">
        <v>428</v>
      </c>
      <c r="K166" t="s">
        <v>429</v>
      </c>
      <c r="L166">
        <v>1354</v>
      </c>
      <c r="N166">
        <v>1010</v>
      </c>
      <c r="O166" t="s">
        <v>34</v>
      </c>
      <c r="P166" t="s">
        <v>34</v>
      </c>
      <c r="Q166">
        <v>1</v>
      </c>
      <c r="W166">
        <v>0</v>
      </c>
      <c r="X166">
        <v>145081611</v>
      </c>
      <c r="Y166">
        <f t="shared" si="91"/>
        <v>3.1</v>
      </c>
      <c r="AA166">
        <v>6.94</v>
      </c>
      <c r="AB166">
        <v>0</v>
      </c>
      <c r="AC166">
        <v>0</v>
      </c>
      <c r="AD166">
        <v>0</v>
      </c>
      <c r="AE166">
        <v>6.94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3.1</v>
      </c>
      <c r="AU166" t="s">
        <v>25</v>
      </c>
      <c r="AV166">
        <v>0</v>
      </c>
      <c r="AW166">
        <v>2</v>
      </c>
      <c r="AX166">
        <v>59213921</v>
      </c>
      <c r="AY166">
        <v>1</v>
      </c>
      <c r="AZ166">
        <v>0</v>
      </c>
      <c r="BA166">
        <v>186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ROUND(Y166*Source!I147,9)</f>
        <v>3.1</v>
      </c>
      <c r="CY166">
        <f t="shared" si="92"/>
        <v>6.94</v>
      </c>
      <c r="CZ166">
        <f t="shared" si="93"/>
        <v>6.94</v>
      </c>
      <c r="DA166">
        <f t="shared" si="94"/>
        <v>1</v>
      </c>
      <c r="DB166">
        <f t="shared" si="95"/>
        <v>21.51</v>
      </c>
      <c r="DC166">
        <f t="shared" si="96"/>
        <v>0</v>
      </c>
      <c r="DD166" t="s">
        <v>3</v>
      </c>
      <c r="DE166" t="s">
        <v>3</v>
      </c>
      <c r="DF166">
        <f t="shared" si="90"/>
        <v>21.51</v>
      </c>
      <c r="DG166">
        <f t="shared" si="87"/>
        <v>0</v>
      </c>
      <c r="DH166">
        <f t="shared" si="88"/>
        <v>0</v>
      </c>
      <c r="DI166">
        <f t="shared" si="61"/>
        <v>0</v>
      </c>
      <c r="DJ166">
        <f t="shared" si="97"/>
        <v>21.51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ROW(Source!A147)</f>
        <v>147</v>
      </c>
      <c r="B167">
        <v>59213216</v>
      </c>
      <c r="C167">
        <v>59213596</v>
      </c>
      <c r="D167">
        <v>58332289</v>
      </c>
      <c r="E167">
        <v>1</v>
      </c>
      <c r="F167">
        <v>1</v>
      </c>
      <c r="G167">
        <v>1080</v>
      </c>
      <c r="H167">
        <v>3</v>
      </c>
      <c r="I167" t="s">
        <v>430</v>
      </c>
      <c r="J167" t="s">
        <v>431</v>
      </c>
      <c r="K167" t="s">
        <v>432</v>
      </c>
      <c r="L167">
        <v>1356</v>
      </c>
      <c r="N167">
        <v>1010</v>
      </c>
      <c r="O167" t="s">
        <v>426</v>
      </c>
      <c r="P167" t="s">
        <v>426</v>
      </c>
      <c r="Q167">
        <v>1000</v>
      </c>
      <c r="W167">
        <v>0</v>
      </c>
      <c r="X167">
        <v>-1715273674</v>
      </c>
      <c r="Y167">
        <f t="shared" si="91"/>
        <v>8.0000000000000002E-3</v>
      </c>
      <c r="AA167">
        <v>614.09</v>
      </c>
      <c r="AB167">
        <v>0</v>
      </c>
      <c r="AC167">
        <v>0</v>
      </c>
      <c r="AD167">
        <v>0</v>
      </c>
      <c r="AE167">
        <v>614.09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8.0000000000000002E-3</v>
      </c>
      <c r="AU167" t="s">
        <v>25</v>
      </c>
      <c r="AV167">
        <v>0</v>
      </c>
      <c r="AW167">
        <v>2</v>
      </c>
      <c r="AX167">
        <v>59213922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ROUND(Y167*Source!I147,9)</f>
        <v>8.0000000000000002E-3</v>
      </c>
      <c r="CY167">
        <f t="shared" si="92"/>
        <v>614.09</v>
      </c>
      <c r="CZ167">
        <f t="shared" si="93"/>
        <v>614.09</v>
      </c>
      <c r="DA167">
        <f t="shared" si="94"/>
        <v>1</v>
      </c>
      <c r="DB167">
        <f t="shared" si="95"/>
        <v>4.91</v>
      </c>
      <c r="DC167">
        <f t="shared" si="96"/>
        <v>0</v>
      </c>
      <c r="DD167" t="s">
        <v>3</v>
      </c>
      <c r="DE167" t="s">
        <v>3</v>
      </c>
      <c r="DF167">
        <f t="shared" si="90"/>
        <v>4.91</v>
      </c>
      <c r="DG167">
        <f t="shared" si="87"/>
        <v>0</v>
      </c>
      <c r="DH167">
        <f t="shared" si="88"/>
        <v>0</v>
      </c>
      <c r="DI167">
        <f t="shared" si="61"/>
        <v>0</v>
      </c>
      <c r="DJ167">
        <f t="shared" si="97"/>
        <v>4.91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ROW(Source!A147)</f>
        <v>147</v>
      </c>
      <c r="B168">
        <v>59213216</v>
      </c>
      <c r="C168">
        <v>59213596</v>
      </c>
      <c r="D168">
        <v>0</v>
      </c>
      <c r="E168">
        <v>1080</v>
      </c>
      <c r="F168">
        <v>1</v>
      </c>
      <c r="G168">
        <v>1080</v>
      </c>
      <c r="H168">
        <v>3</v>
      </c>
      <c r="I168" t="s">
        <v>265</v>
      </c>
      <c r="J168" t="s">
        <v>3</v>
      </c>
      <c r="K168" t="s">
        <v>266</v>
      </c>
      <c r="L168">
        <v>1303</v>
      </c>
      <c r="N168">
        <v>1003</v>
      </c>
      <c r="O168" t="s">
        <v>256</v>
      </c>
      <c r="P168" t="s">
        <v>256</v>
      </c>
      <c r="Q168">
        <v>1000</v>
      </c>
      <c r="W168">
        <v>0</v>
      </c>
      <c r="X168">
        <v>-1425931855</v>
      </c>
      <c r="Y168">
        <f>AT168</f>
        <v>0.10199999999999999</v>
      </c>
      <c r="AA168">
        <v>7061.54</v>
      </c>
      <c r="AB168">
        <v>0</v>
      </c>
      <c r="AC168">
        <v>0</v>
      </c>
      <c r="AD168">
        <v>0</v>
      </c>
      <c r="AE168">
        <v>7061.54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0.10199999999999999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ROUND(Y168*Source!I147,9)</f>
        <v>0.10199999999999999</v>
      </c>
      <c r="CY168">
        <f t="shared" si="92"/>
        <v>7061.54</v>
      </c>
      <c r="CZ168">
        <f t="shared" si="93"/>
        <v>7061.54</v>
      </c>
      <c r="DA168">
        <f t="shared" si="94"/>
        <v>1</v>
      </c>
      <c r="DB168">
        <f>ROUND(ROUND(AT168*CZ168,2),6)</f>
        <v>720.28</v>
      </c>
      <c r="DC168">
        <f>ROUND(ROUND(AT168*AG168,2),6)</f>
        <v>0</v>
      </c>
      <c r="DD168" t="s">
        <v>3</v>
      </c>
      <c r="DE168" t="s">
        <v>3</v>
      </c>
      <c r="DF168">
        <f t="shared" si="90"/>
        <v>720.28</v>
      </c>
      <c r="DG168">
        <f t="shared" si="87"/>
        <v>0</v>
      </c>
      <c r="DH168">
        <f t="shared" si="88"/>
        <v>0</v>
      </c>
      <c r="DI168">
        <f t="shared" si="61"/>
        <v>0</v>
      </c>
      <c r="DJ168">
        <f t="shared" si="97"/>
        <v>720.28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ROW(Source!A148)</f>
        <v>148</v>
      </c>
      <c r="B169">
        <v>59213213</v>
      </c>
      <c r="C169">
        <v>59213596</v>
      </c>
      <c r="D169">
        <v>58266404</v>
      </c>
      <c r="E169">
        <v>1080</v>
      </c>
      <c r="F169">
        <v>1</v>
      </c>
      <c r="G169">
        <v>1080</v>
      </c>
      <c r="H169">
        <v>1</v>
      </c>
      <c r="I169" t="s">
        <v>331</v>
      </c>
      <c r="J169" t="s">
        <v>3</v>
      </c>
      <c r="K169" t="s">
        <v>332</v>
      </c>
      <c r="L169">
        <v>1191</v>
      </c>
      <c r="N169">
        <v>1013</v>
      </c>
      <c r="O169" t="s">
        <v>333</v>
      </c>
      <c r="P169" t="s">
        <v>333</v>
      </c>
      <c r="Q169">
        <v>1</v>
      </c>
      <c r="W169">
        <v>0</v>
      </c>
      <c r="X169">
        <v>476480486</v>
      </c>
      <c r="Y169">
        <f>(AT169*1.1)</f>
        <v>4.9390000000000009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4.49</v>
      </c>
      <c r="AU169" t="s">
        <v>26</v>
      </c>
      <c r="AV169">
        <v>1</v>
      </c>
      <c r="AW169">
        <v>2</v>
      </c>
      <c r="AX169">
        <v>59213914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ROUND(AT169*Source!I148*AH169*AL169,2)</f>
        <v>0</v>
      </c>
      <c r="CV169">
        <f>ROUND(Y169*Source!I148,9)</f>
        <v>4.9390000000000001</v>
      </c>
      <c r="CW169">
        <v>0</v>
      </c>
      <c r="CX169">
        <f>ROUND(Y169*Source!I148,9)</f>
        <v>4.9390000000000001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ROUND((ROUND(AT169*CZ169,2)*1.1),6)</f>
        <v>0</v>
      </c>
      <c r="DC169">
        <f>ROUND((ROUND(AT169*AG169,2)*1.1),6)</f>
        <v>0</v>
      </c>
      <c r="DD169" t="s">
        <v>3</v>
      </c>
      <c r="DE169" t="s">
        <v>3</v>
      </c>
      <c r="DF169">
        <f t="shared" si="90"/>
        <v>0</v>
      </c>
      <c r="DG169">
        <f t="shared" si="87"/>
        <v>0</v>
      </c>
      <c r="DH169">
        <f t="shared" si="88"/>
        <v>0</v>
      </c>
      <c r="DI169">
        <f t="shared" si="61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ROW(Source!A148)</f>
        <v>148</v>
      </c>
      <c r="B170">
        <v>59213213</v>
      </c>
      <c r="C170">
        <v>59213596</v>
      </c>
      <c r="D170">
        <v>58340578</v>
      </c>
      <c r="E170">
        <v>1</v>
      </c>
      <c r="F170">
        <v>1</v>
      </c>
      <c r="G170">
        <v>1080</v>
      </c>
      <c r="H170">
        <v>2</v>
      </c>
      <c r="I170" t="s">
        <v>334</v>
      </c>
      <c r="J170" t="s">
        <v>335</v>
      </c>
      <c r="K170" t="s">
        <v>336</v>
      </c>
      <c r="L170">
        <v>1368</v>
      </c>
      <c r="N170">
        <v>1011</v>
      </c>
      <c r="O170" t="s">
        <v>337</v>
      </c>
      <c r="P170" t="s">
        <v>337</v>
      </c>
      <c r="Q170">
        <v>1</v>
      </c>
      <c r="W170">
        <v>0</v>
      </c>
      <c r="X170">
        <v>-1985943078</v>
      </c>
      <c r="Y170">
        <f>(AT170*1.1)</f>
        <v>1.1000000000000001E-2</v>
      </c>
      <c r="AA170">
        <v>0</v>
      </c>
      <c r="AB170">
        <v>1418.19</v>
      </c>
      <c r="AC170">
        <v>726.59</v>
      </c>
      <c r="AD170">
        <v>0</v>
      </c>
      <c r="AE170">
        <v>0</v>
      </c>
      <c r="AF170">
        <v>83.1</v>
      </c>
      <c r="AG170">
        <v>12.62</v>
      </c>
      <c r="AH170">
        <v>0</v>
      </c>
      <c r="AI170">
        <v>1</v>
      </c>
      <c r="AJ170">
        <v>16.3</v>
      </c>
      <c r="AK170">
        <v>54.99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0.01</v>
      </c>
      <c r="AU170" t="s">
        <v>26</v>
      </c>
      <c r="AV170">
        <v>0</v>
      </c>
      <c r="AW170">
        <v>2</v>
      </c>
      <c r="AX170">
        <v>59213915</v>
      </c>
      <c r="AY170">
        <v>1</v>
      </c>
      <c r="AZ170">
        <v>0</v>
      </c>
      <c r="BA170">
        <v>190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ROUND(Y170*Source!I148*DO170,9)</f>
        <v>0.13882</v>
      </c>
      <c r="CX170">
        <f>ROUND(Y170*Source!I148,9)</f>
        <v>1.0999999999999999E-2</v>
      </c>
      <c r="CY170">
        <f>AB170</f>
        <v>1418.19</v>
      </c>
      <c r="CZ170">
        <f>AF170</f>
        <v>83.1</v>
      </c>
      <c r="DA170">
        <f>AJ170</f>
        <v>16.3</v>
      </c>
      <c r="DB170">
        <f>ROUND((ROUND(AT170*CZ170,2)*1.1),6)</f>
        <v>0.91300000000000003</v>
      </c>
      <c r="DC170">
        <f>ROUND((ROUND(AT170*AG170,2)*1.1),6)</f>
        <v>0.14299999999999999</v>
      </c>
      <c r="DD170" t="s">
        <v>3</v>
      </c>
      <c r="DE170" t="s">
        <v>3</v>
      </c>
      <c r="DF170">
        <f t="shared" si="90"/>
        <v>0</v>
      </c>
      <c r="DG170">
        <f>ROUND(ROUND(AF170*AJ170,2)*CX170,2)</f>
        <v>14.9</v>
      </c>
      <c r="DH170">
        <f>ROUND(ROUND(AG170*AK170,2)*CX170,2)</f>
        <v>7.63</v>
      </c>
      <c r="DI170">
        <f t="shared" si="61"/>
        <v>0</v>
      </c>
      <c r="DJ170">
        <f>DG170</f>
        <v>14.9</v>
      </c>
      <c r="DK170">
        <v>0</v>
      </c>
      <c r="DL170" t="s">
        <v>338</v>
      </c>
      <c r="DM170">
        <v>0</v>
      </c>
      <c r="DN170" t="s">
        <v>333</v>
      </c>
      <c r="DO170">
        <v>12.62</v>
      </c>
    </row>
    <row r="171" spans="1:119" x14ac:dyDescent="0.2">
      <c r="A171">
        <f>ROW(Source!A148)</f>
        <v>148</v>
      </c>
      <c r="B171">
        <v>59213213</v>
      </c>
      <c r="C171">
        <v>59213596</v>
      </c>
      <c r="D171">
        <v>58339814</v>
      </c>
      <c r="E171">
        <v>1</v>
      </c>
      <c r="F171">
        <v>1</v>
      </c>
      <c r="G171">
        <v>1080</v>
      </c>
      <c r="H171">
        <v>2</v>
      </c>
      <c r="I171" t="s">
        <v>411</v>
      </c>
      <c r="J171" t="s">
        <v>412</v>
      </c>
      <c r="K171" t="s">
        <v>413</v>
      </c>
      <c r="L171">
        <v>1368</v>
      </c>
      <c r="N171">
        <v>1011</v>
      </c>
      <c r="O171" t="s">
        <v>337</v>
      </c>
      <c r="P171" t="s">
        <v>337</v>
      </c>
      <c r="Q171">
        <v>1</v>
      </c>
      <c r="W171">
        <v>0</v>
      </c>
      <c r="X171">
        <v>1087580389</v>
      </c>
      <c r="Y171">
        <f>(AT171*1.1)</f>
        <v>1.1000000000000001E-2</v>
      </c>
      <c r="AA171">
        <v>0</v>
      </c>
      <c r="AB171">
        <v>2579.38</v>
      </c>
      <c r="AC171">
        <v>974.74</v>
      </c>
      <c r="AD171">
        <v>0</v>
      </c>
      <c r="AE171">
        <v>0</v>
      </c>
      <c r="AF171">
        <v>179.17</v>
      </c>
      <c r="AG171">
        <v>16.93</v>
      </c>
      <c r="AH171">
        <v>0</v>
      </c>
      <c r="AI171">
        <v>1</v>
      </c>
      <c r="AJ171">
        <v>13.75</v>
      </c>
      <c r="AK171">
        <v>54.99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0.01</v>
      </c>
      <c r="AU171" t="s">
        <v>26</v>
      </c>
      <c r="AV171">
        <v>0</v>
      </c>
      <c r="AW171">
        <v>2</v>
      </c>
      <c r="AX171">
        <v>59213916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ROUND(Y171*Source!I148*DO171,9)</f>
        <v>0.18623000000000001</v>
      </c>
      <c r="CX171">
        <f>ROUND(Y171*Source!I148,9)</f>
        <v>1.0999999999999999E-2</v>
      </c>
      <c r="CY171">
        <f>AB171</f>
        <v>2579.38</v>
      </c>
      <c r="CZ171">
        <f>AF171</f>
        <v>179.17</v>
      </c>
      <c r="DA171">
        <f>AJ171</f>
        <v>13.75</v>
      </c>
      <c r="DB171">
        <f>ROUND((ROUND(AT171*CZ171,2)*1.1),6)</f>
        <v>1.9690000000000001</v>
      </c>
      <c r="DC171">
        <f>ROUND((ROUND(AT171*AG171,2)*1.1),6)</f>
        <v>0.187</v>
      </c>
      <c r="DD171" t="s">
        <v>3</v>
      </c>
      <c r="DE171" t="s">
        <v>3</v>
      </c>
      <c r="DF171">
        <f t="shared" si="90"/>
        <v>0</v>
      </c>
      <c r="DG171">
        <f>ROUND(ROUND(AF171*AJ171,2)*CX171,2)</f>
        <v>27.1</v>
      </c>
      <c r="DH171">
        <f>ROUND(ROUND(AG171*AK171,2)*CX171,2)</f>
        <v>10.24</v>
      </c>
      <c r="DI171">
        <f t="shared" si="61"/>
        <v>0</v>
      </c>
      <c r="DJ171">
        <f>DG171</f>
        <v>27.1</v>
      </c>
      <c r="DK171">
        <v>0</v>
      </c>
      <c r="DL171" t="s">
        <v>338</v>
      </c>
      <c r="DM171">
        <v>0</v>
      </c>
      <c r="DN171" t="s">
        <v>333</v>
      </c>
      <c r="DO171">
        <v>16.93</v>
      </c>
    </row>
    <row r="172" spans="1:119" x14ac:dyDescent="0.2">
      <c r="A172">
        <f>ROW(Source!A148)</f>
        <v>148</v>
      </c>
      <c r="B172">
        <v>59213213</v>
      </c>
      <c r="C172">
        <v>59213596</v>
      </c>
      <c r="D172">
        <v>58309611</v>
      </c>
      <c r="E172">
        <v>1</v>
      </c>
      <c r="F172">
        <v>1</v>
      </c>
      <c r="G172">
        <v>1080</v>
      </c>
      <c r="H172">
        <v>3</v>
      </c>
      <c r="I172" t="s">
        <v>414</v>
      </c>
      <c r="J172" t="s">
        <v>415</v>
      </c>
      <c r="K172" t="s">
        <v>416</v>
      </c>
      <c r="L172">
        <v>1346</v>
      </c>
      <c r="N172">
        <v>1009</v>
      </c>
      <c r="O172" t="s">
        <v>244</v>
      </c>
      <c r="P172" t="s">
        <v>244</v>
      </c>
      <c r="Q172">
        <v>1</v>
      </c>
      <c r="W172">
        <v>0</v>
      </c>
      <c r="X172">
        <v>1770006655</v>
      </c>
      <c r="Y172">
        <f t="shared" ref="Y172:Y177" si="98">(AT172*1)</f>
        <v>0.43</v>
      </c>
      <c r="AA172">
        <v>29.73</v>
      </c>
      <c r="AB172">
        <v>0</v>
      </c>
      <c r="AC172">
        <v>0</v>
      </c>
      <c r="AD172">
        <v>0</v>
      </c>
      <c r="AE172">
        <v>1.38</v>
      </c>
      <c r="AF172">
        <v>0</v>
      </c>
      <c r="AG172">
        <v>0</v>
      </c>
      <c r="AH172">
        <v>0</v>
      </c>
      <c r="AI172">
        <v>21.54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0.43</v>
      </c>
      <c r="AU172" t="s">
        <v>25</v>
      </c>
      <c r="AV172">
        <v>0</v>
      </c>
      <c r="AW172">
        <v>2</v>
      </c>
      <c r="AX172">
        <v>59213917</v>
      </c>
      <c r="AY172">
        <v>1</v>
      </c>
      <c r="AZ172">
        <v>0</v>
      </c>
      <c r="BA172">
        <v>192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ROUND(Y172*Source!I148,9)</f>
        <v>0.43</v>
      </c>
      <c r="CY172">
        <f t="shared" ref="CY172:CY178" si="99">AA172</f>
        <v>29.73</v>
      </c>
      <c r="CZ172">
        <f t="shared" ref="CZ172:CZ178" si="100">AE172</f>
        <v>1.38</v>
      </c>
      <c r="DA172">
        <f t="shared" ref="DA172:DA178" si="101">AI172</f>
        <v>21.54</v>
      </c>
      <c r="DB172">
        <f t="shared" ref="DB172:DB177" si="102">ROUND((ROUND(AT172*CZ172,2)*1),6)</f>
        <v>0.59</v>
      </c>
      <c r="DC172">
        <f t="shared" ref="DC172:DC177" si="103">ROUND((ROUND(AT172*AG172,2)*1),6)</f>
        <v>0</v>
      </c>
      <c r="DD172" t="s">
        <v>3</v>
      </c>
      <c r="DE172" t="s">
        <v>3</v>
      </c>
      <c r="DF172">
        <f t="shared" ref="DF172:DF178" si="104">ROUND(ROUND(AE172*AI172,2)*CX172,2)</f>
        <v>12.78</v>
      </c>
      <c r="DG172">
        <f t="shared" ref="DG172:DG189" si="105">ROUND(ROUND(AF172,2)*CX172,2)</f>
        <v>0</v>
      </c>
      <c r="DH172">
        <f t="shared" ref="DH172:DH189" si="106">ROUND(ROUND(AG172,2)*CX172,2)</f>
        <v>0</v>
      </c>
      <c r="DI172">
        <f t="shared" si="61"/>
        <v>0</v>
      </c>
      <c r="DJ172">
        <f t="shared" ref="DJ172:DJ178" si="107">DF172</f>
        <v>12.78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ROW(Source!A148)</f>
        <v>148</v>
      </c>
      <c r="B173">
        <v>59213213</v>
      </c>
      <c r="C173">
        <v>59213596</v>
      </c>
      <c r="D173">
        <v>58310002</v>
      </c>
      <c r="E173">
        <v>1</v>
      </c>
      <c r="F173">
        <v>1</v>
      </c>
      <c r="G173">
        <v>1080</v>
      </c>
      <c r="H173">
        <v>3</v>
      </c>
      <c r="I173" t="s">
        <v>417</v>
      </c>
      <c r="J173" t="s">
        <v>418</v>
      </c>
      <c r="K173" t="s">
        <v>419</v>
      </c>
      <c r="L173">
        <v>1346</v>
      </c>
      <c r="N173">
        <v>1009</v>
      </c>
      <c r="O173" t="s">
        <v>244</v>
      </c>
      <c r="P173" t="s">
        <v>244</v>
      </c>
      <c r="Q173">
        <v>1</v>
      </c>
      <c r="W173">
        <v>0</v>
      </c>
      <c r="X173">
        <v>-878159893</v>
      </c>
      <c r="Y173">
        <f t="shared" si="98"/>
        <v>0.16</v>
      </c>
      <c r="AA173">
        <v>286.31</v>
      </c>
      <c r="AB173">
        <v>0</v>
      </c>
      <c r="AC173">
        <v>0</v>
      </c>
      <c r="AD173">
        <v>0</v>
      </c>
      <c r="AE173">
        <v>159.06</v>
      </c>
      <c r="AF173">
        <v>0</v>
      </c>
      <c r="AG173">
        <v>0</v>
      </c>
      <c r="AH173">
        <v>0</v>
      </c>
      <c r="AI173">
        <v>1.8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0.16</v>
      </c>
      <c r="AU173" t="s">
        <v>25</v>
      </c>
      <c r="AV173">
        <v>0</v>
      </c>
      <c r="AW173">
        <v>2</v>
      </c>
      <c r="AX173">
        <v>59213918</v>
      </c>
      <c r="AY173">
        <v>1</v>
      </c>
      <c r="AZ173">
        <v>0</v>
      </c>
      <c r="BA173">
        <v>193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ROUND(Y173*Source!I148,9)</f>
        <v>0.16</v>
      </c>
      <c r="CY173">
        <f t="shared" si="99"/>
        <v>286.31</v>
      </c>
      <c r="CZ173">
        <f t="shared" si="100"/>
        <v>159.06</v>
      </c>
      <c r="DA173">
        <f t="shared" si="101"/>
        <v>1.8</v>
      </c>
      <c r="DB173">
        <f t="shared" si="102"/>
        <v>25.45</v>
      </c>
      <c r="DC173">
        <f t="shared" si="103"/>
        <v>0</v>
      </c>
      <c r="DD173" t="s">
        <v>3</v>
      </c>
      <c r="DE173" t="s">
        <v>3</v>
      </c>
      <c r="DF173">
        <f t="shared" si="104"/>
        <v>45.81</v>
      </c>
      <c r="DG173">
        <f t="shared" si="105"/>
        <v>0</v>
      </c>
      <c r="DH173">
        <f t="shared" si="106"/>
        <v>0</v>
      </c>
      <c r="DI173">
        <f t="shared" si="61"/>
        <v>0</v>
      </c>
      <c r="DJ173">
        <f t="shared" si="107"/>
        <v>45.81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ROW(Source!A148)</f>
        <v>148</v>
      </c>
      <c r="B174">
        <v>59213213</v>
      </c>
      <c r="C174">
        <v>59213596</v>
      </c>
      <c r="D174">
        <v>58332945</v>
      </c>
      <c r="E174">
        <v>1</v>
      </c>
      <c r="F174">
        <v>1</v>
      </c>
      <c r="G174">
        <v>1080</v>
      </c>
      <c r="H174">
        <v>3</v>
      </c>
      <c r="I174" t="s">
        <v>420</v>
      </c>
      <c r="J174" t="s">
        <v>421</v>
      </c>
      <c r="K174" t="s">
        <v>422</v>
      </c>
      <c r="L174">
        <v>1355</v>
      </c>
      <c r="N174">
        <v>1010</v>
      </c>
      <c r="O174" t="s">
        <v>227</v>
      </c>
      <c r="P174" t="s">
        <v>227</v>
      </c>
      <c r="Q174">
        <v>100</v>
      </c>
      <c r="W174">
        <v>0</v>
      </c>
      <c r="X174">
        <v>-456781043</v>
      </c>
      <c r="Y174">
        <f t="shared" si="98"/>
        <v>0.05</v>
      </c>
      <c r="AA174">
        <v>1102.5</v>
      </c>
      <c r="AB174">
        <v>0</v>
      </c>
      <c r="AC174">
        <v>0</v>
      </c>
      <c r="AD174">
        <v>0</v>
      </c>
      <c r="AE174">
        <v>68.819999999999993</v>
      </c>
      <c r="AF174">
        <v>0</v>
      </c>
      <c r="AG174">
        <v>0</v>
      </c>
      <c r="AH174">
        <v>0</v>
      </c>
      <c r="AI174">
        <v>16.02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0.05</v>
      </c>
      <c r="AU174" t="s">
        <v>25</v>
      </c>
      <c r="AV174">
        <v>0</v>
      </c>
      <c r="AW174">
        <v>2</v>
      </c>
      <c r="AX174">
        <v>59213919</v>
      </c>
      <c r="AY174">
        <v>1</v>
      </c>
      <c r="AZ174">
        <v>0</v>
      </c>
      <c r="BA174">
        <v>194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ROUND(Y174*Source!I148,9)</f>
        <v>0.05</v>
      </c>
      <c r="CY174">
        <f t="shared" si="99"/>
        <v>1102.5</v>
      </c>
      <c r="CZ174">
        <f t="shared" si="100"/>
        <v>68.819999999999993</v>
      </c>
      <c r="DA174">
        <f t="shared" si="101"/>
        <v>16.02</v>
      </c>
      <c r="DB174">
        <f t="shared" si="102"/>
        <v>3.44</v>
      </c>
      <c r="DC174">
        <f t="shared" si="103"/>
        <v>0</v>
      </c>
      <c r="DD174" t="s">
        <v>3</v>
      </c>
      <c r="DE174" t="s">
        <v>3</v>
      </c>
      <c r="DF174">
        <f t="shared" si="104"/>
        <v>55.13</v>
      </c>
      <c r="DG174">
        <f t="shared" si="105"/>
        <v>0</v>
      </c>
      <c r="DH174">
        <f t="shared" si="106"/>
        <v>0</v>
      </c>
      <c r="DI174">
        <f t="shared" si="61"/>
        <v>0</v>
      </c>
      <c r="DJ174">
        <f t="shared" si="107"/>
        <v>55.13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ROW(Source!A148)</f>
        <v>148</v>
      </c>
      <c r="B175">
        <v>59213213</v>
      </c>
      <c r="C175">
        <v>59213596</v>
      </c>
      <c r="D175">
        <v>58332956</v>
      </c>
      <c r="E175">
        <v>1</v>
      </c>
      <c r="F175">
        <v>1</v>
      </c>
      <c r="G175">
        <v>1080</v>
      </c>
      <c r="H175">
        <v>3</v>
      </c>
      <c r="I175" t="s">
        <v>423</v>
      </c>
      <c r="J175" t="s">
        <v>424</v>
      </c>
      <c r="K175" t="s">
        <v>425</v>
      </c>
      <c r="L175">
        <v>1356</v>
      </c>
      <c r="N175">
        <v>1010</v>
      </c>
      <c r="O175" t="s">
        <v>426</v>
      </c>
      <c r="P175" t="s">
        <v>426</v>
      </c>
      <c r="Q175">
        <v>1000</v>
      </c>
      <c r="W175">
        <v>0</v>
      </c>
      <c r="X175">
        <v>1726193810</v>
      </c>
      <c r="Y175">
        <f t="shared" si="98"/>
        <v>1.2200000000000001E-2</v>
      </c>
      <c r="AA175">
        <v>1318.65</v>
      </c>
      <c r="AB175">
        <v>0</v>
      </c>
      <c r="AC175">
        <v>0</v>
      </c>
      <c r="AD175">
        <v>0</v>
      </c>
      <c r="AE175">
        <v>183.4</v>
      </c>
      <c r="AF175">
        <v>0</v>
      </c>
      <c r="AG175">
        <v>0</v>
      </c>
      <c r="AH175">
        <v>0</v>
      </c>
      <c r="AI175">
        <v>7.19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1.2200000000000001E-2</v>
      </c>
      <c r="AU175" t="s">
        <v>25</v>
      </c>
      <c r="AV175">
        <v>0</v>
      </c>
      <c r="AW175">
        <v>2</v>
      </c>
      <c r="AX175">
        <v>59213920</v>
      </c>
      <c r="AY175">
        <v>1</v>
      </c>
      <c r="AZ175">
        <v>0</v>
      </c>
      <c r="BA175">
        <v>195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ROUND(Y175*Source!I148,9)</f>
        <v>1.2200000000000001E-2</v>
      </c>
      <c r="CY175">
        <f t="shared" si="99"/>
        <v>1318.65</v>
      </c>
      <c r="CZ175">
        <f t="shared" si="100"/>
        <v>183.4</v>
      </c>
      <c r="DA175">
        <f t="shared" si="101"/>
        <v>7.19</v>
      </c>
      <c r="DB175">
        <f t="shared" si="102"/>
        <v>2.2400000000000002</v>
      </c>
      <c r="DC175">
        <f t="shared" si="103"/>
        <v>0</v>
      </c>
      <c r="DD175" t="s">
        <v>3</v>
      </c>
      <c r="DE175" t="s">
        <v>3</v>
      </c>
      <c r="DF175">
        <f t="shared" si="104"/>
        <v>16.09</v>
      </c>
      <c r="DG175">
        <f t="shared" si="105"/>
        <v>0</v>
      </c>
      <c r="DH175">
        <f t="shared" si="106"/>
        <v>0</v>
      </c>
      <c r="DI175">
        <f t="shared" si="61"/>
        <v>0</v>
      </c>
      <c r="DJ175">
        <f t="shared" si="107"/>
        <v>16.09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ROW(Source!A148)</f>
        <v>148</v>
      </c>
      <c r="B176">
        <v>59213213</v>
      </c>
      <c r="C176">
        <v>59213596</v>
      </c>
      <c r="D176">
        <v>58332282</v>
      </c>
      <c r="E176">
        <v>1</v>
      </c>
      <c r="F176">
        <v>1</v>
      </c>
      <c r="G176">
        <v>1080</v>
      </c>
      <c r="H176">
        <v>3</v>
      </c>
      <c r="I176" t="s">
        <v>427</v>
      </c>
      <c r="J176" t="s">
        <v>428</v>
      </c>
      <c r="K176" t="s">
        <v>429</v>
      </c>
      <c r="L176">
        <v>1354</v>
      </c>
      <c r="N176">
        <v>1010</v>
      </c>
      <c r="O176" t="s">
        <v>34</v>
      </c>
      <c r="P176" t="s">
        <v>34</v>
      </c>
      <c r="Q176">
        <v>1</v>
      </c>
      <c r="W176">
        <v>0</v>
      </c>
      <c r="X176">
        <v>145081611</v>
      </c>
      <c r="Y176">
        <f t="shared" si="98"/>
        <v>3.1</v>
      </c>
      <c r="AA176">
        <v>25.47</v>
      </c>
      <c r="AB176">
        <v>0</v>
      </c>
      <c r="AC176">
        <v>0</v>
      </c>
      <c r="AD176">
        <v>0</v>
      </c>
      <c r="AE176">
        <v>6.94</v>
      </c>
      <c r="AF176">
        <v>0</v>
      </c>
      <c r="AG176">
        <v>0</v>
      </c>
      <c r="AH176">
        <v>0</v>
      </c>
      <c r="AI176">
        <v>3.67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3.1</v>
      </c>
      <c r="AU176" t="s">
        <v>25</v>
      </c>
      <c r="AV176">
        <v>0</v>
      </c>
      <c r="AW176">
        <v>2</v>
      </c>
      <c r="AX176">
        <v>59213921</v>
      </c>
      <c r="AY176">
        <v>1</v>
      </c>
      <c r="AZ176">
        <v>0</v>
      </c>
      <c r="BA176">
        <v>196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ROUND(Y176*Source!I148,9)</f>
        <v>3.1</v>
      </c>
      <c r="CY176">
        <f t="shared" si="99"/>
        <v>25.47</v>
      </c>
      <c r="CZ176">
        <f t="shared" si="100"/>
        <v>6.94</v>
      </c>
      <c r="DA176">
        <f t="shared" si="101"/>
        <v>3.67</v>
      </c>
      <c r="DB176">
        <f t="shared" si="102"/>
        <v>21.51</v>
      </c>
      <c r="DC176">
        <f t="shared" si="103"/>
        <v>0</v>
      </c>
      <c r="DD176" t="s">
        <v>3</v>
      </c>
      <c r="DE176" t="s">
        <v>3</v>
      </c>
      <c r="DF176">
        <f t="shared" si="104"/>
        <v>78.959999999999994</v>
      </c>
      <c r="DG176">
        <f t="shared" si="105"/>
        <v>0</v>
      </c>
      <c r="DH176">
        <f t="shared" si="106"/>
        <v>0</v>
      </c>
      <c r="DI176">
        <f t="shared" si="61"/>
        <v>0</v>
      </c>
      <c r="DJ176">
        <f t="shared" si="107"/>
        <v>78.959999999999994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ROW(Source!A148)</f>
        <v>148</v>
      </c>
      <c r="B177">
        <v>59213213</v>
      </c>
      <c r="C177">
        <v>59213596</v>
      </c>
      <c r="D177">
        <v>58332289</v>
      </c>
      <c r="E177">
        <v>1</v>
      </c>
      <c r="F177">
        <v>1</v>
      </c>
      <c r="G177">
        <v>1080</v>
      </c>
      <c r="H177">
        <v>3</v>
      </c>
      <c r="I177" t="s">
        <v>430</v>
      </c>
      <c r="J177" t="s">
        <v>431</v>
      </c>
      <c r="K177" t="s">
        <v>432</v>
      </c>
      <c r="L177">
        <v>1356</v>
      </c>
      <c r="N177">
        <v>1010</v>
      </c>
      <c r="O177" t="s">
        <v>426</v>
      </c>
      <c r="P177" t="s">
        <v>426</v>
      </c>
      <c r="Q177">
        <v>1000</v>
      </c>
      <c r="W177">
        <v>0</v>
      </c>
      <c r="X177">
        <v>-1715273674</v>
      </c>
      <c r="Y177">
        <f t="shared" si="98"/>
        <v>8.0000000000000002E-3</v>
      </c>
      <c r="AA177">
        <v>786.04</v>
      </c>
      <c r="AB177">
        <v>0</v>
      </c>
      <c r="AC177">
        <v>0</v>
      </c>
      <c r="AD177">
        <v>0</v>
      </c>
      <c r="AE177">
        <v>614.09</v>
      </c>
      <c r="AF177">
        <v>0</v>
      </c>
      <c r="AG177">
        <v>0</v>
      </c>
      <c r="AH177">
        <v>0</v>
      </c>
      <c r="AI177">
        <v>1.28</v>
      </c>
      <c r="AJ177">
        <v>1</v>
      </c>
      <c r="AK177">
        <v>1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8.0000000000000002E-3</v>
      </c>
      <c r="AU177" t="s">
        <v>25</v>
      </c>
      <c r="AV177">
        <v>0</v>
      </c>
      <c r="AW177">
        <v>2</v>
      </c>
      <c r="AX177">
        <v>59213922</v>
      </c>
      <c r="AY177">
        <v>1</v>
      </c>
      <c r="AZ177">
        <v>0</v>
      </c>
      <c r="BA177">
        <v>197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ROUND(Y177*Source!I148,9)</f>
        <v>8.0000000000000002E-3</v>
      </c>
      <c r="CY177">
        <f t="shared" si="99"/>
        <v>786.04</v>
      </c>
      <c r="CZ177">
        <f t="shared" si="100"/>
        <v>614.09</v>
      </c>
      <c r="DA177">
        <f t="shared" si="101"/>
        <v>1.28</v>
      </c>
      <c r="DB177">
        <f t="shared" si="102"/>
        <v>4.91</v>
      </c>
      <c r="DC177">
        <f t="shared" si="103"/>
        <v>0</v>
      </c>
      <c r="DD177" t="s">
        <v>3</v>
      </c>
      <c r="DE177" t="s">
        <v>3</v>
      </c>
      <c r="DF177">
        <f t="shared" si="104"/>
        <v>6.29</v>
      </c>
      <c r="DG177">
        <f t="shared" si="105"/>
        <v>0</v>
      </c>
      <c r="DH177">
        <f t="shared" si="106"/>
        <v>0</v>
      </c>
      <c r="DI177">
        <f t="shared" si="61"/>
        <v>0</v>
      </c>
      <c r="DJ177">
        <f t="shared" si="107"/>
        <v>6.29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ROW(Source!A148)</f>
        <v>148</v>
      </c>
      <c r="B178">
        <v>59213213</v>
      </c>
      <c r="C178">
        <v>59213596</v>
      </c>
      <c r="D178">
        <v>0</v>
      </c>
      <c r="E178">
        <v>1080</v>
      </c>
      <c r="F178">
        <v>1</v>
      </c>
      <c r="G178">
        <v>1080</v>
      </c>
      <c r="H178">
        <v>3</v>
      </c>
      <c r="I178" t="s">
        <v>265</v>
      </c>
      <c r="J178" t="s">
        <v>3</v>
      </c>
      <c r="K178" t="s">
        <v>266</v>
      </c>
      <c r="L178">
        <v>1303</v>
      </c>
      <c r="N178">
        <v>1003</v>
      </c>
      <c r="O178" t="s">
        <v>256</v>
      </c>
      <c r="P178" t="s">
        <v>256</v>
      </c>
      <c r="Q178">
        <v>1000</v>
      </c>
      <c r="W178">
        <v>0</v>
      </c>
      <c r="X178">
        <v>-1425931855</v>
      </c>
      <c r="Y178">
        <f>AT178</f>
        <v>0.10199999999999999</v>
      </c>
      <c r="AA178">
        <v>69768.02</v>
      </c>
      <c r="AB178">
        <v>0</v>
      </c>
      <c r="AC178">
        <v>0</v>
      </c>
      <c r="AD178">
        <v>0</v>
      </c>
      <c r="AE178">
        <v>7061.54</v>
      </c>
      <c r="AF178">
        <v>0</v>
      </c>
      <c r="AG178">
        <v>0</v>
      </c>
      <c r="AH178">
        <v>0</v>
      </c>
      <c r="AI178">
        <v>9.8800000000000008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0.10199999999999999</v>
      </c>
      <c r="AU178" t="s">
        <v>3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ROUND(Y178*Source!I148,9)</f>
        <v>0.10199999999999999</v>
      </c>
      <c r="CY178">
        <f t="shared" si="99"/>
        <v>69768.02</v>
      </c>
      <c r="CZ178">
        <f t="shared" si="100"/>
        <v>7061.54</v>
      </c>
      <c r="DA178">
        <f t="shared" si="101"/>
        <v>9.8800000000000008</v>
      </c>
      <c r="DB178">
        <f>ROUND(ROUND(AT178*CZ178,2),6)</f>
        <v>720.28</v>
      </c>
      <c r="DC178">
        <f>ROUND(ROUND(AT178*AG178,2),6)</f>
        <v>0</v>
      </c>
      <c r="DD178" t="s">
        <v>3</v>
      </c>
      <c r="DE178" t="s">
        <v>3</v>
      </c>
      <c r="DF178">
        <f t="shared" si="104"/>
        <v>7116.34</v>
      </c>
      <c r="DG178">
        <f t="shared" si="105"/>
        <v>0</v>
      </c>
      <c r="DH178">
        <f t="shared" si="106"/>
        <v>0</v>
      </c>
      <c r="DI178">
        <f t="shared" si="61"/>
        <v>0</v>
      </c>
      <c r="DJ178">
        <f t="shared" si="107"/>
        <v>7116.34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ROW(Source!A151)</f>
        <v>151</v>
      </c>
      <c r="B179">
        <v>59213216</v>
      </c>
      <c r="C179">
        <v>59213618</v>
      </c>
      <c r="D179">
        <v>58266404</v>
      </c>
      <c r="E179">
        <v>1080</v>
      </c>
      <c r="F179">
        <v>1</v>
      </c>
      <c r="G179">
        <v>1080</v>
      </c>
      <c r="H179">
        <v>1</v>
      </c>
      <c r="I179" t="s">
        <v>331</v>
      </c>
      <c r="J179" t="s">
        <v>3</v>
      </c>
      <c r="K179" t="s">
        <v>332</v>
      </c>
      <c r="L179">
        <v>1191</v>
      </c>
      <c r="N179">
        <v>1013</v>
      </c>
      <c r="O179" t="s">
        <v>333</v>
      </c>
      <c r="P179" t="s">
        <v>333</v>
      </c>
      <c r="Q179">
        <v>1</v>
      </c>
      <c r="W179">
        <v>0</v>
      </c>
      <c r="X179">
        <v>476480486</v>
      </c>
      <c r="Y179">
        <f>(AT179*1.1)</f>
        <v>5.9290000000000003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5.39</v>
      </c>
      <c r="AU179" t="s">
        <v>26</v>
      </c>
      <c r="AV179">
        <v>1</v>
      </c>
      <c r="AW179">
        <v>2</v>
      </c>
      <c r="AX179">
        <v>59213924</v>
      </c>
      <c r="AY179">
        <v>1</v>
      </c>
      <c r="AZ179">
        <v>0</v>
      </c>
      <c r="BA179">
        <v>199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ROUND(AT179*Source!I151*AH179*AL179,2)</f>
        <v>0</v>
      </c>
      <c r="CV179">
        <f>ROUND(Y179*Source!I151,9)</f>
        <v>51.582299999999996</v>
      </c>
      <c r="CW179">
        <v>0</v>
      </c>
      <c r="CX179">
        <f>ROUND(Y179*Source!I151,9)</f>
        <v>51.582299999999996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ROUND((ROUND(AT179*CZ179,2)*1.1),6)</f>
        <v>0</v>
      </c>
      <c r="DC179">
        <f>ROUND((ROUND(AT179*AG179,2)*1.1),6)</f>
        <v>0</v>
      </c>
      <c r="DD179" t="s">
        <v>3</v>
      </c>
      <c r="DE179" t="s">
        <v>3</v>
      </c>
      <c r="DF179">
        <f t="shared" ref="DF179:DF191" si="108">ROUND(ROUND(AE179,2)*CX179,2)</f>
        <v>0</v>
      </c>
      <c r="DG179">
        <f t="shared" si="105"/>
        <v>0</v>
      </c>
      <c r="DH179">
        <f t="shared" si="106"/>
        <v>0</v>
      </c>
      <c r="DI179">
        <f t="shared" si="61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ROW(Source!A151)</f>
        <v>151</v>
      </c>
      <c r="B180">
        <v>59213216</v>
      </c>
      <c r="C180">
        <v>59213618</v>
      </c>
      <c r="D180">
        <v>58340578</v>
      </c>
      <c r="E180">
        <v>1</v>
      </c>
      <c r="F180">
        <v>1</v>
      </c>
      <c r="G180">
        <v>1080</v>
      </c>
      <c r="H180">
        <v>2</v>
      </c>
      <c r="I180" t="s">
        <v>334</v>
      </c>
      <c r="J180" t="s">
        <v>335</v>
      </c>
      <c r="K180" t="s">
        <v>336</v>
      </c>
      <c r="L180">
        <v>1368</v>
      </c>
      <c r="N180">
        <v>1011</v>
      </c>
      <c r="O180" t="s">
        <v>337</v>
      </c>
      <c r="P180" t="s">
        <v>337</v>
      </c>
      <c r="Q180">
        <v>1</v>
      </c>
      <c r="W180">
        <v>0</v>
      </c>
      <c r="X180">
        <v>-1985943078</v>
      </c>
      <c r="Y180">
        <f>(AT180*1.1)</f>
        <v>2.2000000000000002E-2</v>
      </c>
      <c r="AA180">
        <v>0</v>
      </c>
      <c r="AB180">
        <v>87.01</v>
      </c>
      <c r="AC180">
        <v>13.21</v>
      </c>
      <c r="AD180">
        <v>0</v>
      </c>
      <c r="AE180">
        <v>0</v>
      </c>
      <c r="AF180">
        <v>83.1</v>
      </c>
      <c r="AG180">
        <v>12.62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0.02</v>
      </c>
      <c r="AU180" t="s">
        <v>26</v>
      </c>
      <c r="AV180">
        <v>0</v>
      </c>
      <c r="AW180">
        <v>2</v>
      </c>
      <c r="AX180">
        <v>59213925</v>
      </c>
      <c r="AY180">
        <v>1</v>
      </c>
      <c r="AZ180">
        <v>0</v>
      </c>
      <c r="BA180">
        <v>200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ROUND(Y180*Source!I151*DO180,9)</f>
        <v>2.4154680000000002</v>
      </c>
      <c r="CX180">
        <f>ROUND(Y180*Source!I151,9)</f>
        <v>0.19139999999999999</v>
      </c>
      <c r="CY180">
        <f>AB180</f>
        <v>87.01</v>
      </c>
      <c r="CZ180">
        <f>AF180</f>
        <v>83.1</v>
      </c>
      <c r="DA180">
        <f>AJ180</f>
        <v>1</v>
      </c>
      <c r="DB180">
        <f>ROUND((ROUND(AT180*CZ180,2)*1.1),6)</f>
        <v>1.8260000000000001</v>
      </c>
      <c r="DC180">
        <f>ROUND((ROUND(AT180*AG180,2)*1.1),6)</f>
        <v>0.27500000000000002</v>
      </c>
      <c r="DD180" t="s">
        <v>3</v>
      </c>
      <c r="DE180" t="s">
        <v>3</v>
      </c>
      <c r="DF180">
        <f t="shared" si="108"/>
        <v>0</v>
      </c>
      <c r="DG180">
        <f t="shared" si="105"/>
        <v>15.91</v>
      </c>
      <c r="DH180">
        <f t="shared" si="106"/>
        <v>2.42</v>
      </c>
      <c r="DI180">
        <f t="shared" si="61"/>
        <v>0</v>
      </c>
      <c r="DJ180">
        <f>DG180</f>
        <v>15.91</v>
      </c>
      <c r="DK180">
        <v>0</v>
      </c>
      <c r="DL180" t="s">
        <v>338</v>
      </c>
      <c r="DM180">
        <v>0</v>
      </c>
      <c r="DN180" t="s">
        <v>333</v>
      </c>
      <c r="DO180">
        <v>12.62</v>
      </c>
    </row>
    <row r="181" spans="1:119" x14ac:dyDescent="0.2">
      <c r="A181">
        <f>ROW(Source!A151)</f>
        <v>151</v>
      </c>
      <c r="B181">
        <v>59213216</v>
      </c>
      <c r="C181">
        <v>59213618</v>
      </c>
      <c r="D181">
        <v>58339814</v>
      </c>
      <c r="E181">
        <v>1</v>
      </c>
      <c r="F181">
        <v>1</v>
      </c>
      <c r="G181">
        <v>1080</v>
      </c>
      <c r="H181">
        <v>2</v>
      </c>
      <c r="I181" t="s">
        <v>411</v>
      </c>
      <c r="J181" t="s">
        <v>412</v>
      </c>
      <c r="K181" t="s">
        <v>413</v>
      </c>
      <c r="L181">
        <v>1368</v>
      </c>
      <c r="N181">
        <v>1011</v>
      </c>
      <c r="O181" t="s">
        <v>337</v>
      </c>
      <c r="P181" t="s">
        <v>337</v>
      </c>
      <c r="Q181">
        <v>1</v>
      </c>
      <c r="W181">
        <v>0</v>
      </c>
      <c r="X181">
        <v>1087580389</v>
      </c>
      <c r="Y181">
        <f>(AT181*1.1)</f>
        <v>2.2000000000000002E-2</v>
      </c>
      <c r="AA181">
        <v>0</v>
      </c>
      <c r="AB181">
        <v>187.59</v>
      </c>
      <c r="AC181">
        <v>17.73</v>
      </c>
      <c r="AD181">
        <v>0</v>
      </c>
      <c r="AE181">
        <v>0</v>
      </c>
      <c r="AF181">
        <v>179.17</v>
      </c>
      <c r="AG181">
        <v>16.93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0.02</v>
      </c>
      <c r="AU181" t="s">
        <v>26</v>
      </c>
      <c r="AV181">
        <v>0</v>
      </c>
      <c r="AW181">
        <v>2</v>
      </c>
      <c r="AX181">
        <v>59213926</v>
      </c>
      <c r="AY181">
        <v>1</v>
      </c>
      <c r="AZ181">
        <v>0</v>
      </c>
      <c r="BA181">
        <v>201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f>ROUND(Y181*Source!I151*DO181,9)</f>
        <v>3.240402</v>
      </c>
      <c r="CX181">
        <f>ROUND(Y181*Source!I151,9)</f>
        <v>0.19139999999999999</v>
      </c>
      <c r="CY181">
        <f>AB181</f>
        <v>187.59</v>
      </c>
      <c r="CZ181">
        <f>AF181</f>
        <v>179.17</v>
      </c>
      <c r="DA181">
        <f>AJ181</f>
        <v>1</v>
      </c>
      <c r="DB181">
        <f>ROUND((ROUND(AT181*CZ181,2)*1.1),6)</f>
        <v>3.9380000000000002</v>
      </c>
      <c r="DC181">
        <f>ROUND((ROUND(AT181*AG181,2)*1.1),6)</f>
        <v>0.374</v>
      </c>
      <c r="DD181" t="s">
        <v>3</v>
      </c>
      <c r="DE181" t="s">
        <v>3</v>
      </c>
      <c r="DF181">
        <f t="shared" si="108"/>
        <v>0</v>
      </c>
      <c r="DG181">
        <f t="shared" si="105"/>
        <v>34.29</v>
      </c>
      <c r="DH181">
        <f t="shared" si="106"/>
        <v>3.24</v>
      </c>
      <c r="DI181">
        <f t="shared" si="61"/>
        <v>0</v>
      </c>
      <c r="DJ181">
        <f>DG181</f>
        <v>34.29</v>
      </c>
      <c r="DK181">
        <v>0</v>
      </c>
      <c r="DL181" t="s">
        <v>338</v>
      </c>
      <c r="DM181">
        <v>0</v>
      </c>
      <c r="DN181" t="s">
        <v>333</v>
      </c>
      <c r="DO181">
        <v>16.93</v>
      </c>
    </row>
    <row r="182" spans="1:119" x14ac:dyDescent="0.2">
      <c r="A182">
        <f>ROW(Source!A151)</f>
        <v>151</v>
      </c>
      <c r="B182">
        <v>59213216</v>
      </c>
      <c r="C182">
        <v>59213618</v>
      </c>
      <c r="D182">
        <v>58309611</v>
      </c>
      <c r="E182">
        <v>1</v>
      </c>
      <c r="F182">
        <v>1</v>
      </c>
      <c r="G182">
        <v>1080</v>
      </c>
      <c r="H182">
        <v>3</v>
      </c>
      <c r="I182" t="s">
        <v>414</v>
      </c>
      <c r="J182" t="s">
        <v>415</v>
      </c>
      <c r="K182" t="s">
        <v>416</v>
      </c>
      <c r="L182">
        <v>1346</v>
      </c>
      <c r="N182">
        <v>1009</v>
      </c>
      <c r="O182" t="s">
        <v>244</v>
      </c>
      <c r="P182" t="s">
        <v>244</v>
      </c>
      <c r="Q182">
        <v>1</v>
      </c>
      <c r="W182">
        <v>0</v>
      </c>
      <c r="X182">
        <v>1770006655</v>
      </c>
      <c r="Y182">
        <f t="shared" ref="Y182:Y187" si="109">(AT182*1)</f>
        <v>0.6</v>
      </c>
      <c r="AA182">
        <v>1.38</v>
      </c>
      <c r="AB182">
        <v>0</v>
      </c>
      <c r="AC182">
        <v>0</v>
      </c>
      <c r="AD182">
        <v>0</v>
      </c>
      <c r="AE182">
        <v>1.38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0.6</v>
      </c>
      <c r="AU182" t="s">
        <v>25</v>
      </c>
      <c r="AV182">
        <v>0</v>
      </c>
      <c r="AW182">
        <v>2</v>
      </c>
      <c r="AX182">
        <v>59213927</v>
      </c>
      <c r="AY182">
        <v>1</v>
      </c>
      <c r="AZ182">
        <v>0</v>
      </c>
      <c r="BA182">
        <v>202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ROUND(Y182*Source!I151,9)</f>
        <v>5.22</v>
      </c>
      <c r="CY182">
        <f t="shared" ref="CY182:CY188" si="110">AA182</f>
        <v>1.38</v>
      </c>
      <c r="CZ182">
        <f t="shared" ref="CZ182:CZ188" si="111">AE182</f>
        <v>1.38</v>
      </c>
      <c r="DA182">
        <f t="shared" ref="DA182:DA188" si="112">AI182</f>
        <v>1</v>
      </c>
      <c r="DB182">
        <f t="shared" ref="DB182:DB187" si="113">ROUND((ROUND(AT182*CZ182,2)*1),6)</f>
        <v>0.83</v>
      </c>
      <c r="DC182">
        <f t="shared" ref="DC182:DC187" si="114">ROUND((ROUND(AT182*AG182,2)*1),6)</f>
        <v>0</v>
      </c>
      <c r="DD182" t="s">
        <v>3</v>
      </c>
      <c r="DE182" t="s">
        <v>3</v>
      </c>
      <c r="DF182">
        <f t="shared" si="108"/>
        <v>7.2</v>
      </c>
      <c r="DG182">
        <f t="shared" si="105"/>
        <v>0</v>
      </c>
      <c r="DH182">
        <f t="shared" si="106"/>
        <v>0</v>
      </c>
      <c r="DI182">
        <f t="shared" si="61"/>
        <v>0</v>
      </c>
      <c r="DJ182">
        <f t="shared" ref="DJ182:DJ188" si="115">DF182</f>
        <v>7.2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ROW(Source!A151)</f>
        <v>151</v>
      </c>
      <c r="B183">
        <v>59213216</v>
      </c>
      <c r="C183">
        <v>59213618</v>
      </c>
      <c r="D183">
        <v>58310002</v>
      </c>
      <c r="E183">
        <v>1</v>
      </c>
      <c r="F183">
        <v>1</v>
      </c>
      <c r="G183">
        <v>1080</v>
      </c>
      <c r="H183">
        <v>3</v>
      </c>
      <c r="I183" t="s">
        <v>417</v>
      </c>
      <c r="J183" t="s">
        <v>418</v>
      </c>
      <c r="K183" t="s">
        <v>419</v>
      </c>
      <c r="L183">
        <v>1346</v>
      </c>
      <c r="N183">
        <v>1009</v>
      </c>
      <c r="O183" t="s">
        <v>244</v>
      </c>
      <c r="P183" t="s">
        <v>244</v>
      </c>
      <c r="Q183">
        <v>1</v>
      </c>
      <c r="W183">
        <v>0</v>
      </c>
      <c r="X183">
        <v>-878159893</v>
      </c>
      <c r="Y183">
        <f t="shared" si="109"/>
        <v>0.16</v>
      </c>
      <c r="AA183">
        <v>159.06</v>
      </c>
      <c r="AB183">
        <v>0</v>
      </c>
      <c r="AC183">
        <v>0</v>
      </c>
      <c r="AD183">
        <v>0</v>
      </c>
      <c r="AE183">
        <v>159.06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0.16</v>
      </c>
      <c r="AU183" t="s">
        <v>25</v>
      </c>
      <c r="AV183">
        <v>0</v>
      </c>
      <c r="AW183">
        <v>2</v>
      </c>
      <c r="AX183">
        <v>59213928</v>
      </c>
      <c r="AY183">
        <v>1</v>
      </c>
      <c r="AZ183">
        <v>0</v>
      </c>
      <c r="BA183">
        <v>203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ROUND(Y183*Source!I151,9)</f>
        <v>1.3919999999999999</v>
      </c>
      <c r="CY183">
        <f t="shared" si="110"/>
        <v>159.06</v>
      </c>
      <c r="CZ183">
        <f t="shared" si="111"/>
        <v>159.06</v>
      </c>
      <c r="DA183">
        <f t="shared" si="112"/>
        <v>1</v>
      </c>
      <c r="DB183">
        <f t="shared" si="113"/>
        <v>25.45</v>
      </c>
      <c r="DC183">
        <f t="shared" si="114"/>
        <v>0</v>
      </c>
      <c r="DD183" t="s">
        <v>3</v>
      </c>
      <c r="DE183" t="s">
        <v>3</v>
      </c>
      <c r="DF183">
        <f t="shared" si="108"/>
        <v>221.41</v>
      </c>
      <c r="DG183">
        <f t="shared" si="105"/>
        <v>0</v>
      </c>
      <c r="DH183">
        <f t="shared" si="106"/>
        <v>0</v>
      </c>
      <c r="DI183">
        <f t="shared" si="61"/>
        <v>0</v>
      </c>
      <c r="DJ183">
        <f t="shared" si="115"/>
        <v>221.41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ROW(Source!A151)</f>
        <v>151</v>
      </c>
      <c r="B184">
        <v>59213216</v>
      </c>
      <c r="C184">
        <v>59213618</v>
      </c>
      <c r="D184">
        <v>58332946</v>
      </c>
      <c r="E184">
        <v>1</v>
      </c>
      <c r="F184">
        <v>1</v>
      </c>
      <c r="G184">
        <v>1080</v>
      </c>
      <c r="H184">
        <v>3</v>
      </c>
      <c r="I184" t="s">
        <v>433</v>
      </c>
      <c r="J184" t="s">
        <v>434</v>
      </c>
      <c r="K184" t="s">
        <v>435</v>
      </c>
      <c r="L184">
        <v>1355</v>
      </c>
      <c r="N184">
        <v>1010</v>
      </c>
      <c r="O184" t="s">
        <v>227</v>
      </c>
      <c r="P184" t="s">
        <v>227</v>
      </c>
      <c r="Q184">
        <v>100</v>
      </c>
      <c r="W184">
        <v>0</v>
      </c>
      <c r="X184">
        <v>938266694</v>
      </c>
      <c r="Y184">
        <f t="shared" si="109"/>
        <v>0.05</v>
      </c>
      <c r="AA184">
        <v>130.15</v>
      </c>
      <c r="AB184">
        <v>0</v>
      </c>
      <c r="AC184">
        <v>0</v>
      </c>
      <c r="AD184">
        <v>0</v>
      </c>
      <c r="AE184">
        <v>130.15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0.05</v>
      </c>
      <c r="AU184" t="s">
        <v>25</v>
      </c>
      <c r="AV184">
        <v>0</v>
      </c>
      <c r="AW184">
        <v>2</v>
      </c>
      <c r="AX184">
        <v>59213929</v>
      </c>
      <c r="AY184">
        <v>1</v>
      </c>
      <c r="AZ184">
        <v>0</v>
      </c>
      <c r="BA184">
        <v>204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ROUND(Y184*Source!I151,9)</f>
        <v>0.435</v>
      </c>
      <c r="CY184">
        <f t="shared" si="110"/>
        <v>130.15</v>
      </c>
      <c r="CZ184">
        <f t="shared" si="111"/>
        <v>130.15</v>
      </c>
      <c r="DA184">
        <f t="shared" si="112"/>
        <v>1</v>
      </c>
      <c r="DB184">
        <f t="shared" si="113"/>
        <v>6.51</v>
      </c>
      <c r="DC184">
        <f t="shared" si="114"/>
        <v>0</v>
      </c>
      <c r="DD184" t="s">
        <v>3</v>
      </c>
      <c r="DE184" t="s">
        <v>3</v>
      </c>
      <c r="DF184">
        <f t="shared" si="108"/>
        <v>56.62</v>
      </c>
      <c r="DG184">
        <f t="shared" si="105"/>
        <v>0</v>
      </c>
      <c r="DH184">
        <f t="shared" si="106"/>
        <v>0</v>
      </c>
      <c r="DI184">
        <f t="shared" si="61"/>
        <v>0</v>
      </c>
      <c r="DJ184">
        <f t="shared" si="115"/>
        <v>56.62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ROW(Source!A151)</f>
        <v>151</v>
      </c>
      <c r="B185">
        <v>59213216</v>
      </c>
      <c r="C185">
        <v>59213618</v>
      </c>
      <c r="D185">
        <v>58332957</v>
      </c>
      <c r="E185">
        <v>1</v>
      </c>
      <c r="F185">
        <v>1</v>
      </c>
      <c r="G185">
        <v>1080</v>
      </c>
      <c r="H185">
        <v>3</v>
      </c>
      <c r="I185" t="s">
        <v>436</v>
      </c>
      <c r="J185" t="s">
        <v>437</v>
      </c>
      <c r="K185" t="s">
        <v>438</v>
      </c>
      <c r="L185">
        <v>1356</v>
      </c>
      <c r="N185">
        <v>1010</v>
      </c>
      <c r="O185" t="s">
        <v>426</v>
      </c>
      <c r="P185" t="s">
        <v>426</v>
      </c>
      <c r="Q185">
        <v>1000</v>
      </c>
      <c r="W185">
        <v>0</v>
      </c>
      <c r="X185">
        <v>-422648154</v>
      </c>
      <c r="Y185">
        <f t="shared" si="109"/>
        <v>1.2200000000000001E-2</v>
      </c>
      <c r="AA185">
        <v>226.86</v>
      </c>
      <c r="AB185">
        <v>0</v>
      </c>
      <c r="AC185">
        <v>0</v>
      </c>
      <c r="AD185">
        <v>0</v>
      </c>
      <c r="AE185">
        <v>226.86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1.2200000000000001E-2</v>
      </c>
      <c r="AU185" t="s">
        <v>25</v>
      </c>
      <c r="AV185">
        <v>0</v>
      </c>
      <c r="AW185">
        <v>2</v>
      </c>
      <c r="AX185">
        <v>59213930</v>
      </c>
      <c r="AY185">
        <v>1</v>
      </c>
      <c r="AZ185">
        <v>0</v>
      </c>
      <c r="BA185">
        <v>205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ROUND(Y185*Source!I151,9)</f>
        <v>0.10614</v>
      </c>
      <c r="CY185">
        <f t="shared" si="110"/>
        <v>226.86</v>
      </c>
      <c r="CZ185">
        <f t="shared" si="111"/>
        <v>226.86</v>
      </c>
      <c r="DA185">
        <f t="shared" si="112"/>
        <v>1</v>
      </c>
      <c r="DB185">
        <f t="shared" si="113"/>
        <v>2.77</v>
      </c>
      <c r="DC185">
        <f t="shared" si="114"/>
        <v>0</v>
      </c>
      <c r="DD185" t="s">
        <v>3</v>
      </c>
      <c r="DE185" t="s">
        <v>3</v>
      </c>
      <c r="DF185">
        <f t="shared" si="108"/>
        <v>24.08</v>
      </c>
      <c r="DG185">
        <f t="shared" si="105"/>
        <v>0</v>
      </c>
      <c r="DH185">
        <f t="shared" si="106"/>
        <v>0</v>
      </c>
      <c r="DI185">
        <f t="shared" si="61"/>
        <v>0</v>
      </c>
      <c r="DJ185">
        <f t="shared" si="115"/>
        <v>24.08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ROW(Source!A151)</f>
        <v>151</v>
      </c>
      <c r="B186">
        <v>59213216</v>
      </c>
      <c r="C186">
        <v>59213618</v>
      </c>
      <c r="D186">
        <v>58332282</v>
      </c>
      <c r="E186">
        <v>1</v>
      </c>
      <c r="F186">
        <v>1</v>
      </c>
      <c r="G186">
        <v>1080</v>
      </c>
      <c r="H186">
        <v>3</v>
      </c>
      <c r="I186" t="s">
        <v>427</v>
      </c>
      <c r="J186" t="s">
        <v>428</v>
      </c>
      <c r="K186" t="s">
        <v>429</v>
      </c>
      <c r="L186">
        <v>1354</v>
      </c>
      <c r="N186">
        <v>1010</v>
      </c>
      <c r="O186" t="s">
        <v>34</v>
      </c>
      <c r="P186" t="s">
        <v>34</v>
      </c>
      <c r="Q186">
        <v>1</v>
      </c>
      <c r="W186">
        <v>0</v>
      </c>
      <c r="X186">
        <v>145081611</v>
      </c>
      <c r="Y186">
        <f t="shared" si="109"/>
        <v>3.1</v>
      </c>
      <c r="AA186">
        <v>6.94</v>
      </c>
      <c r="AB186">
        <v>0</v>
      </c>
      <c r="AC186">
        <v>0</v>
      </c>
      <c r="AD186">
        <v>0</v>
      </c>
      <c r="AE186">
        <v>6.94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3.1</v>
      </c>
      <c r="AU186" t="s">
        <v>25</v>
      </c>
      <c r="AV186">
        <v>0</v>
      </c>
      <c r="AW186">
        <v>2</v>
      </c>
      <c r="AX186">
        <v>59213931</v>
      </c>
      <c r="AY186">
        <v>1</v>
      </c>
      <c r="AZ186">
        <v>0</v>
      </c>
      <c r="BA186">
        <v>206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ROUND(Y186*Source!I151,9)</f>
        <v>26.97</v>
      </c>
      <c r="CY186">
        <f t="shared" si="110"/>
        <v>6.94</v>
      </c>
      <c r="CZ186">
        <f t="shared" si="111"/>
        <v>6.94</v>
      </c>
      <c r="DA186">
        <f t="shared" si="112"/>
        <v>1</v>
      </c>
      <c r="DB186">
        <f t="shared" si="113"/>
        <v>21.51</v>
      </c>
      <c r="DC186">
        <f t="shared" si="114"/>
        <v>0</v>
      </c>
      <c r="DD186" t="s">
        <v>3</v>
      </c>
      <c r="DE186" t="s">
        <v>3</v>
      </c>
      <c r="DF186">
        <f t="shared" si="108"/>
        <v>187.17</v>
      </c>
      <c r="DG186">
        <f t="shared" si="105"/>
        <v>0</v>
      </c>
      <c r="DH186">
        <f t="shared" si="106"/>
        <v>0</v>
      </c>
      <c r="DI186">
        <f t="shared" si="61"/>
        <v>0</v>
      </c>
      <c r="DJ186">
        <f t="shared" si="115"/>
        <v>187.17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ROW(Source!A151)</f>
        <v>151</v>
      </c>
      <c r="B187">
        <v>59213216</v>
      </c>
      <c r="C187">
        <v>59213618</v>
      </c>
      <c r="D187">
        <v>58332290</v>
      </c>
      <c r="E187">
        <v>1</v>
      </c>
      <c r="F187">
        <v>1</v>
      </c>
      <c r="G187">
        <v>1080</v>
      </c>
      <c r="H187">
        <v>3</v>
      </c>
      <c r="I187" t="s">
        <v>439</v>
      </c>
      <c r="J187" t="s">
        <v>440</v>
      </c>
      <c r="K187" t="s">
        <v>441</v>
      </c>
      <c r="L187">
        <v>1356</v>
      </c>
      <c r="N187">
        <v>1010</v>
      </c>
      <c r="O187" t="s">
        <v>426</v>
      </c>
      <c r="P187" t="s">
        <v>426</v>
      </c>
      <c r="Q187">
        <v>1000</v>
      </c>
      <c r="W187">
        <v>0</v>
      </c>
      <c r="X187">
        <v>807379832</v>
      </c>
      <c r="Y187">
        <f t="shared" si="109"/>
        <v>8.0000000000000002E-3</v>
      </c>
      <c r="AA187">
        <v>614.09</v>
      </c>
      <c r="AB187">
        <v>0</v>
      </c>
      <c r="AC187">
        <v>0</v>
      </c>
      <c r="AD187">
        <v>0</v>
      </c>
      <c r="AE187">
        <v>614.09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8.0000000000000002E-3</v>
      </c>
      <c r="AU187" t="s">
        <v>25</v>
      </c>
      <c r="AV187">
        <v>0</v>
      </c>
      <c r="AW187">
        <v>2</v>
      </c>
      <c r="AX187">
        <v>59213932</v>
      </c>
      <c r="AY187">
        <v>1</v>
      </c>
      <c r="AZ187">
        <v>0</v>
      </c>
      <c r="BA187">
        <v>207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ROUND(Y187*Source!I151,9)</f>
        <v>6.9599999999999995E-2</v>
      </c>
      <c r="CY187">
        <f t="shared" si="110"/>
        <v>614.09</v>
      </c>
      <c r="CZ187">
        <f t="shared" si="111"/>
        <v>614.09</v>
      </c>
      <c r="DA187">
        <f t="shared" si="112"/>
        <v>1</v>
      </c>
      <c r="DB187">
        <f t="shared" si="113"/>
        <v>4.91</v>
      </c>
      <c r="DC187">
        <f t="shared" si="114"/>
        <v>0</v>
      </c>
      <c r="DD187" t="s">
        <v>3</v>
      </c>
      <c r="DE187" t="s">
        <v>3</v>
      </c>
      <c r="DF187">
        <f t="shared" si="108"/>
        <v>42.74</v>
      </c>
      <c r="DG187">
        <f t="shared" si="105"/>
        <v>0</v>
      </c>
      <c r="DH187">
        <f t="shared" si="106"/>
        <v>0</v>
      </c>
      <c r="DI187">
        <f t="shared" si="61"/>
        <v>0</v>
      </c>
      <c r="DJ187">
        <f t="shared" si="115"/>
        <v>42.74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ROW(Source!A151)</f>
        <v>151</v>
      </c>
      <c r="B188">
        <v>59213216</v>
      </c>
      <c r="C188">
        <v>59213618</v>
      </c>
      <c r="D188">
        <v>0</v>
      </c>
      <c r="E188">
        <v>1080</v>
      </c>
      <c r="F188">
        <v>1</v>
      </c>
      <c r="G188">
        <v>1080</v>
      </c>
      <c r="H188">
        <v>3</v>
      </c>
      <c r="I188" t="s">
        <v>273</v>
      </c>
      <c r="J188" t="s">
        <v>3</v>
      </c>
      <c r="K188" t="s">
        <v>274</v>
      </c>
      <c r="L188">
        <v>1303</v>
      </c>
      <c r="N188">
        <v>1003</v>
      </c>
      <c r="O188" t="s">
        <v>256</v>
      </c>
      <c r="P188" t="s">
        <v>256</v>
      </c>
      <c r="Q188">
        <v>1000</v>
      </c>
      <c r="W188">
        <v>0</v>
      </c>
      <c r="X188">
        <v>494778067</v>
      </c>
      <c r="Y188">
        <f>AT188</f>
        <v>0.10199999999999999</v>
      </c>
      <c r="AA188">
        <v>1606.65</v>
      </c>
      <c r="AB188">
        <v>0</v>
      </c>
      <c r="AC188">
        <v>0</v>
      </c>
      <c r="AD188">
        <v>0</v>
      </c>
      <c r="AE188">
        <v>1606.65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0.10199999999999999</v>
      </c>
      <c r="AU188" t="s">
        <v>3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ROUND(Y188*Source!I151,9)</f>
        <v>0.88739999999999997</v>
      </c>
      <c r="CY188">
        <f t="shared" si="110"/>
        <v>1606.65</v>
      </c>
      <c r="CZ188">
        <f t="shared" si="111"/>
        <v>1606.65</v>
      </c>
      <c r="DA188">
        <f t="shared" si="112"/>
        <v>1</v>
      </c>
      <c r="DB188">
        <f>ROUND(ROUND(AT188*CZ188,2),6)</f>
        <v>163.88</v>
      </c>
      <c r="DC188">
        <f>ROUND(ROUND(AT188*AG188,2),6)</f>
        <v>0</v>
      </c>
      <c r="DD188" t="s">
        <v>3</v>
      </c>
      <c r="DE188" t="s">
        <v>3</v>
      </c>
      <c r="DF188">
        <f t="shared" si="108"/>
        <v>1425.74</v>
      </c>
      <c r="DG188">
        <f t="shared" si="105"/>
        <v>0</v>
      </c>
      <c r="DH188">
        <f t="shared" si="106"/>
        <v>0</v>
      </c>
      <c r="DI188">
        <f t="shared" si="61"/>
        <v>0</v>
      </c>
      <c r="DJ188">
        <f t="shared" si="115"/>
        <v>1425.74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ROW(Source!A152)</f>
        <v>152</v>
      </c>
      <c r="B189">
        <v>59213213</v>
      </c>
      <c r="C189">
        <v>59213618</v>
      </c>
      <c r="D189">
        <v>58266404</v>
      </c>
      <c r="E189">
        <v>1080</v>
      </c>
      <c r="F189">
        <v>1</v>
      </c>
      <c r="G189">
        <v>1080</v>
      </c>
      <c r="H189">
        <v>1</v>
      </c>
      <c r="I189" t="s">
        <v>331</v>
      </c>
      <c r="J189" t="s">
        <v>3</v>
      </c>
      <c r="K189" t="s">
        <v>332</v>
      </c>
      <c r="L189">
        <v>1191</v>
      </c>
      <c r="N189">
        <v>1013</v>
      </c>
      <c r="O189" t="s">
        <v>333</v>
      </c>
      <c r="P189" t="s">
        <v>333</v>
      </c>
      <c r="Q189">
        <v>1</v>
      </c>
      <c r="W189">
        <v>0</v>
      </c>
      <c r="X189">
        <v>476480486</v>
      </c>
      <c r="Y189">
        <f>(AT189*1.1)</f>
        <v>5.9290000000000003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5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5.39</v>
      </c>
      <c r="AU189" t="s">
        <v>26</v>
      </c>
      <c r="AV189">
        <v>1</v>
      </c>
      <c r="AW189">
        <v>2</v>
      </c>
      <c r="AX189">
        <v>59213924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ROUND(AT189*Source!I152*AH189*AL189,2)</f>
        <v>0</v>
      </c>
      <c r="CV189">
        <f>ROUND(Y189*Source!I152,9)</f>
        <v>51.582299999999996</v>
      </c>
      <c r="CW189">
        <v>0</v>
      </c>
      <c r="CX189">
        <f>ROUND(Y189*Source!I152,9)</f>
        <v>51.582299999999996</v>
      </c>
      <c r="CY189">
        <f>AD189</f>
        <v>0</v>
      </c>
      <c r="CZ189">
        <f>AH189</f>
        <v>0</v>
      </c>
      <c r="DA189">
        <f>AL189</f>
        <v>1</v>
      </c>
      <c r="DB189">
        <f>ROUND((ROUND(AT189*CZ189,2)*1.1),6)</f>
        <v>0</v>
      </c>
      <c r="DC189">
        <f>ROUND((ROUND(AT189*AG189,2)*1.1),6)</f>
        <v>0</v>
      </c>
      <c r="DD189" t="s">
        <v>3</v>
      </c>
      <c r="DE189" t="s">
        <v>3</v>
      </c>
      <c r="DF189">
        <f t="shared" si="108"/>
        <v>0</v>
      </c>
      <c r="DG189">
        <f t="shared" si="105"/>
        <v>0</v>
      </c>
      <c r="DH189">
        <f t="shared" si="106"/>
        <v>0</v>
      </c>
      <c r="DI189">
        <f t="shared" si="61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ROW(Source!A152)</f>
        <v>152</v>
      </c>
      <c r="B190">
        <v>59213213</v>
      </c>
      <c r="C190">
        <v>59213618</v>
      </c>
      <c r="D190">
        <v>58340578</v>
      </c>
      <c r="E190">
        <v>1</v>
      </c>
      <c r="F190">
        <v>1</v>
      </c>
      <c r="G190">
        <v>1080</v>
      </c>
      <c r="H190">
        <v>2</v>
      </c>
      <c r="I190" t="s">
        <v>334</v>
      </c>
      <c r="J190" t="s">
        <v>335</v>
      </c>
      <c r="K190" t="s">
        <v>336</v>
      </c>
      <c r="L190">
        <v>1368</v>
      </c>
      <c r="N190">
        <v>1011</v>
      </c>
      <c r="O190" t="s">
        <v>337</v>
      </c>
      <c r="P190" t="s">
        <v>337</v>
      </c>
      <c r="Q190">
        <v>1</v>
      </c>
      <c r="W190">
        <v>0</v>
      </c>
      <c r="X190">
        <v>-1985943078</v>
      </c>
      <c r="Y190">
        <f>(AT190*1.1)</f>
        <v>2.2000000000000002E-2</v>
      </c>
      <c r="AA190">
        <v>0</v>
      </c>
      <c r="AB190">
        <v>1418.19</v>
      </c>
      <c r="AC190">
        <v>726.59</v>
      </c>
      <c r="AD190">
        <v>0</v>
      </c>
      <c r="AE190">
        <v>0</v>
      </c>
      <c r="AF190">
        <v>83.1</v>
      </c>
      <c r="AG190">
        <v>12.62</v>
      </c>
      <c r="AH190">
        <v>0</v>
      </c>
      <c r="AI190">
        <v>1</v>
      </c>
      <c r="AJ190">
        <v>16.3</v>
      </c>
      <c r="AK190">
        <v>54.99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0.02</v>
      </c>
      <c r="AU190" t="s">
        <v>26</v>
      </c>
      <c r="AV190">
        <v>0</v>
      </c>
      <c r="AW190">
        <v>2</v>
      </c>
      <c r="AX190">
        <v>59213925</v>
      </c>
      <c r="AY190">
        <v>1</v>
      </c>
      <c r="AZ190">
        <v>0</v>
      </c>
      <c r="BA190">
        <v>210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ROUND(Y190*Source!I152*DO190,9)</f>
        <v>2.4154680000000002</v>
      </c>
      <c r="CX190">
        <f>ROUND(Y190*Source!I152,9)</f>
        <v>0.19139999999999999</v>
      </c>
      <c r="CY190">
        <f>AB190</f>
        <v>1418.19</v>
      </c>
      <c r="CZ190">
        <f>AF190</f>
        <v>83.1</v>
      </c>
      <c r="DA190">
        <f>AJ190</f>
        <v>16.3</v>
      </c>
      <c r="DB190">
        <f>ROUND((ROUND(AT190*CZ190,2)*1.1),6)</f>
        <v>1.8260000000000001</v>
      </c>
      <c r="DC190">
        <f>ROUND((ROUND(AT190*AG190,2)*1.1),6)</f>
        <v>0.27500000000000002</v>
      </c>
      <c r="DD190" t="s">
        <v>3</v>
      </c>
      <c r="DE190" t="s">
        <v>3</v>
      </c>
      <c r="DF190">
        <f t="shared" si="108"/>
        <v>0</v>
      </c>
      <c r="DG190">
        <f>ROUND(ROUND(AF190*AJ190,2)*CX190,2)</f>
        <v>259.26</v>
      </c>
      <c r="DH190">
        <f>ROUND(ROUND(AG190*AK190,2)*CX190,2)</f>
        <v>132.83000000000001</v>
      </c>
      <c r="DI190">
        <f t="shared" si="61"/>
        <v>0</v>
      </c>
      <c r="DJ190">
        <f>DG190</f>
        <v>259.26</v>
      </c>
      <c r="DK190">
        <v>0</v>
      </c>
      <c r="DL190" t="s">
        <v>338</v>
      </c>
      <c r="DM190">
        <v>0</v>
      </c>
      <c r="DN190" t="s">
        <v>333</v>
      </c>
      <c r="DO190">
        <v>12.62</v>
      </c>
    </row>
    <row r="191" spans="1:119" x14ac:dyDescent="0.2">
      <c r="A191">
        <f>ROW(Source!A152)</f>
        <v>152</v>
      </c>
      <c r="B191">
        <v>59213213</v>
      </c>
      <c r="C191">
        <v>59213618</v>
      </c>
      <c r="D191">
        <v>58339814</v>
      </c>
      <c r="E191">
        <v>1</v>
      </c>
      <c r="F191">
        <v>1</v>
      </c>
      <c r="G191">
        <v>1080</v>
      </c>
      <c r="H191">
        <v>2</v>
      </c>
      <c r="I191" t="s">
        <v>411</v>
      </c>
      <c r="J191" t="s">
        <v>412</v>
      </c>
      <c r="K191" t="s">
        <v>413</v>
      </c>
      <c r="L191">
        <v>1368</v>
      </c>
      <c r="N191">
        <v>1011</v>
      </c>
      <c r="O191" t="s">
        <v>337</v>
      </c>
      <c r="P191" t="s">
        <v>337</v>
      </c>
      <c r="Q191">
        <v>1</v>
      </c>
      <c r="W191">
        <v>0</v>
      </c>
      <c r="X191">
        <v>1087580389</v>
      </c>
      <c r="Y191">
        <f>(AT191*1.1)</f>
        <v>2.2000000000000002E-2</v>
      </c>
      <c r="AA191">
        <v>0</v>
      </c>
      <c r="AB191">
        <v>2579.38</v>
      </c>
      <c r="AC191">
        <v>974.74</v>
      </c>
      <c r="AD191">
        <v>0</v>
      </c>
      <c r="AE191">
        <v>0</v>
      </c>
      <c r="AF191">
        <v>179.17</v>
      </c>
      <c r="AG191">
        <v>16.93</v>
      </c>
      <c r="AH191">
        <v>0</v>
      </c>
      <c r="AI191">
        <v>1</v>
      </c>
      <c r="AJ191">
        <v>13.75</v>
      </c>
      <c r="AK191">
        <v>54.99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0.02</v>
      </c>
      <c r="AU191" t="s">
        <v>26</v>
      </c>
      <c r="AV191">
        <v>0</v>
      </c>
      <c r="AW191">
        <v>2</v>
      </c>
      <c r="AX191">
        <v>59213926</v>
      </c>
      <c r="AY191">
        <v>1</v>
      </c>
      <c r="AZ191">
        <v>0</v>
      </c>
      <c r="BA191">
        <v>211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f>ROUND(Y191*Source!I152*DO191,9)</f>
        <v>3.240402</v>
      </c>
      <c r="CX191">
        <f>ROUND(Y191*Source!I152,9)</f>
        <v>0.19139999999999999</v>
      </c>
      <c r="CY191">
        <f>AB191</f>
        <v>2579.38</v>
      </c>
      <c r="CZ191">
        <f>AF191</f>
        <v>179.17</v>
      </c>
      <c r="DA191">
        <f>AJ191</f>
        <v>13.75</v>
      </c>
      <c r="DB191">
        <f>ROUND((ROUND(AT191*CZ191,2)*1.1),6)</f>
        <v>3.9380000000000002</v>
      </c>
      <c r="DC191">
        <f>ROUND((ROUND(AT191*AG191,2)*1.1),6)</f>
        <v>0.374</v>
      </c>
      <c r="DD191" t="s">
        <v>3</v>
      </c>
      <c r="DE191" t="s">
        <v>3</v>
      </c>
      <c r="DF191">
        <f t="shared" si="108"/>
        <v>0</v>
      </c>
      <c r="DG191">
        <f>ROUND(ROUND(AF191*AJ191,2)*CX191,2)</f>
        <v>471.53</v>
      </c>
      <c r="DH191">
        <f>ROUND(ROUND(AG191*AK191,2)*CX191,2)</f>
        <v>178.19</v>
      </c>
      <c r="DI191">
        <f t="shared" si="61"/>
        <v>0</v>
      </c>
      <c r="DJ191">
        <f>DG191</f>
        <v>471.53</v>
      </c>
      <c r="DK191">
        <v>0</v>
      </c>
      <c r="DL191" t="s">
        <v>338</v>
      </c>
      <c r="DM191">
        <v>0</v>
      </c>
      <c r="DN191" t="s">
        <v>333</v>
      </c>
      <c r="DO191">
        <v>16.93</v>
      </c>
    </row>
    <row r="192" spans="1:119" x14ac:dyDescent="0.2">
      <c r="A192">
        <f>ROW(Source!A152)</f>
        <v>152</v>
      </c>
      <c r="B192">
        <v>59213213</v>
      </c>
      <c r="C192">
        <v>59213618</v>
      </c>
      <c r="D192">
        <v>58309611</v>
      </c>
      <c r="E192">
        <v>1</v>
      </c>
      <c r="F192">
        <v>1</v>
      </c>
      <c r="G192">
        <v>1080</v>
      </c>
      <c r="H192">
        <v>3</v>
      </c>
      <c r="I192" t="s">
        <v>414</v>
      </c>
      <c r="J192" t="s">
        <v>415</v>
      </c>
      <c r="K192" t="s">
        <v>416</v>
      </c>
      <c r="L192">
        <v>1346</v>
      </c>
      <c r="N192">
        <v>1009</v>
      </c>
      <c r="O192" t="s">
        <v>244</v>
      </c>
      <c r="P192" t="s">
        <v>244</v>
      </c>
      <c r="Q192">
        <v>1</v>
      </c>
      <c r="W192">
        <v>0</v>
      </c>
      <c r="X192">
        <v>1770006655</v>
      </c>
      <c r="Y192">
        <f t="shared" ref="Y192:Y197" si="116">(AT192*1)</f>
        <v>0.6</v>
      </c>
      <c r="AA192">
        <v>29.73</v>
      </c>
      <c r="AB192">
        <v>0</v>
      </c>
      <c r="AC192">
        <v>0</v>
      </c>
      <c r="AD192">
        <v>0</v>
      </c>
      <c r="AE192">
        <v>1.38</v>
      </c>
      <c r="AF192">
        <v>0</v>
      </c>
      <c r="AG192">
        <v>0</v>
      </c>
      <c r="AH192">
        <v>0</v>
      </c>
      <c r="AI192">
        <v>21.54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0.6</v>
      </c>
      <c r="AU192" t="s">
        <v>25</v>
      </c>
      <c r="AV192">
        <v>0</v>
      </c>
      <c r="AW192">
        <v>2</v>
      </c>
      <c r="AX192">
        <v>59213927</v>
      </c>
      <c r="AY192">
        <v>1</v>
      </c>
      <c r="AZ192">
        <v>0</v>
      </c>
      <c r="BA192">
        <v>212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ROUND(Y192*Source!I152,9)</f>
        <v>5.22</v>
      </c>
      <c r="CY192">
        <f t="shared" ref="CY192:CY198" si="117">AA192</f>
        <v>29.73</v>
      </c>
      <c r="CZ192">
        <f t="shared" ref="CZ192:CZ198" si="118">AE192</f>
        <v>1.38</v>
      </c>
      <c r="DA192">
        <f t="shared" ref="DA192:DA198" si="119">AI192</f>
        <v>21.54</v>
      </c>
      <c r="DB192">
        <f t="shared" ref="DB192:DB197" si="120">ROUND((ROUND(AT192*CZ192,2)*1),6)</f>
        <v>0.83</v>
      </c>
      <c r="DC192">
        <f t="shared" ref="DC192:DC197" si="121">ROUND((ROUND(AT192*AG192,2)*1),6)</f>
        <v>0</v>
      </c>
      <c r="DD192" t="s">
        <v>3</v>
      </c>
      <c r="DE192" t="s">
        <v>3</v>
      </c>
      <c r="DF192">
        <f t="shared" ref="DF192:DF198" si="122">ROUND(ROUND(AE192*AI192,2)*CX192,2)</f>
        <v>155.19</v>
      </c>
      <c r="DG192">
        <f t="shared" ref="DG192:DG208" si="123">ROUND(ROUND(AF192,2)*CX192,2)</f>
        <v>0</v>
      </c>
      <c r="DH192">
        <f t="shared" ref="DH192:DH208" si="124">ROUND(ROUND(AG192,2)*CX192,2)</f>
        <v>0</v>
      </c>
      <c r="DI192">
        <f t="shared" si="61"/>
        <v>0</v>
      </c>
      <c r="DJ192">
        <f t="shared" ref="DJ192:DJ198" si="125">DF192</f>
        <v>155.19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ROW(Source!A152)</f>
        <v>152</v>
      </c>
      <c r="B193">
        <v>59213213</v>
      </c>
      <c r="C193">
        <v>59213618</v>
      </c>
      <c r="D193">
        <v>58310002</v>
      </c>
      <c r="E193">
        <v>1</v>
      </c>
      <c r="F193">
        <v>1</v>
      </c>
      <c r="G193">
        <v>1080</v>
      </c>
      <c r="H193">
        <v>3</v>
      </c>
      <c r="I193" t="s">
        <v>417</v>
      </c>
      <c r="J193" t="s">
        <v>418</v>
      </c>
      <c r="K193" t="s">
        <v>419</v>
      </c>
      <c r="L193">
        <v>1346</v>
      </c>
      <c r="N193">
        <v>1009</v>
      </c>
      <c r="O193" t="s">
        <v>244</v>
      </c>
      <c r="P193" t="s">
        <v>244</v>
      </c>
      <c r="Q193">
        <v>1</v>
      </c>
      <c r="W193">
        <v>0</v>
      </c>
      <c r="X193">
        <v>-878159893</v>
      </c>
      <c r="Y193">
        <f t="shared" si="116"/>
        <v>0.16</v>
      </c>
      <c r="AA193">
        <v>286.31</v>
      </c>
      <c r="AB193">
        <v>0</v>
      </c>
      <c r="AC193">
        <v>0</v>
      </c>
      <c r="AD193">
        <v>0</v>
      </c>
      <c r="AE193">
        <v>159.06</v>
      </c>
      <c r="AF193">
        <v>0</v>
      </c>
      <c r="AG193">
        <v>0</v>
      </c>
      <c r="AH193">
        <v>0</v>
      </c>
      <c r="AI193">
        <v>1.8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0.16</v>
      </c>
      <c r="AU193" t="s">
        <v>25</v>
      </c>
      <c r="AV193">
        <v>0</v>
      </c>
      <c r="AW193">
        <v>2</v>
      </c>
      <c r="AX193">
        <v>59213928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ROUND(Y193*Source!I152,9)</f>
        <v>1.3919999999999999</v>
      </c>
      <c r="CY193">
        <f t="shared" si="117"/>
        <v>286.31</v>
      </c>
      <c r="CZ193">
        <f t="shared" si="118"/>
        <v>159.06</v>
      </c>
      <c r="DA193">
        <f t="shared" si="119"/>
        <v>1.8</v>
      </c>
      <c r="DB193">
        <f t="shared" si="120"/>
        <v>25.45</v>
      </c>
      <c r="DC193">
        <f t="shared" si="121"/>
        <v>0</v>
      </c>
      <c r="DD193" t="s">
        <v>3</v>
      </c>
      <c r="DE193" t="s">
        <v>3</v>
      </c>
      <c r="DF193">
        <f t="shared" si="122"/>
        <v>398.54</v>
      </c>
      <c r="DG193">
        <f t="shared" si="123"/>
        <v>0</v>
      </c>
      <c r="DH193">
        <f t="shared" si="124"/>
        <v>0</v>
      </c>
      <c r="DI193">
        <f t="shared" ref="DI193:DI256" si="126">ROUND(ROUND(AH193,2)*CX193,2)</f>
        <v>0</v>
      </c>
      <c r="DJ193">
        <f t="shared" si="125"/>
        <v>398.54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ROW(Source!A152)</f>
        <v>152</v>
      </c>
      <c r="B194">
        <v>59213213</v>
      </c>
      <c r="C194">
        <v>59213618</v>
      </c>
      <c r="D194">
        <v>58332946</v>
      </c>
      <c r="E194">
        <v>1</v>
      </c>
      <c r="F194">
        <v>1</v>
      </c>
      <c r="G194">
        <v>1080</v>
      </c>
      <c r="H194">
        <v>3</v>
      </c>
      <c r="I194" t="s">
        <v>433</v>
      </c>
      <c r="J194" t="s">
        <v>434</v>
      </c>
      <c r="K194" t="s">
        <v>435</v>
      </c>
      <c r="L194">
        <v>1355</v>
      </c>
      <c r="N194">
        <v>1010</v>
      </c>
      <c r="O194" t="s">
        <v>227</v>
      </c>
      <c r="P194" t="s">
        <v>227</v>
      </c>
      <c r="Q194">
        <v>100</v>
      </c>
      <c r="W194">
        <v>0</v>
      </c>
      <c r="X194">
        <v>938266694</v>
      </c>
      <c r="Y194">
        <f t="shared" si="116"/>
        <v>0.05</v>
      </c>
      <c r="AA194">
        <v>2189.12</v>
      </c>
      <c r="AB194">
        <v>0</v>
      </c>
      <c r="AC194">
        <v>0</v>
      </c>
      <c r="AD194">
        <v>0</v>
      </c>
      <c r="AE194">
        <v>130.15</v>
      </c>
      <c r="AF194">
        <v>0</v>
      </c>
      <c r="AG194">
        <v>0</v>
      </c>
      <c r="AH194">
        <v>0</v>
      </c>
      <c r="AI194">
        <v>16.82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0.05</v>
      </c>
      <c r="AU194" t="s">
        <v>25</v>
      </c>
      <c r="AV194">
        <v>0</v>
      </c>
      <c r="AW194">
        <v>2</v>
      </c>
      <c r="AX194">
        <v>59213929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ROUND(Y194*Source!I152,9)</f>
        <v>0.435</v>
      </c>
      <c r="CY194">
        <f t="shared" si="117"/>
        <v>2189.12</v>
      </c>
      <c r="CZ194">
        <f t="shared" si="118"/>
        <v>130.15</v>
      </c>
      <c r="DA194">
        <f t="shared" si="119"/>
        <v>16.82</v>
      </c>
      <c r="DB194">
        <f t="shared" si="120"/>
        <v>6.51</v>
      </c>
      <c r="DC194">
        <f t="shared" si="121"/>
        <v>0</v>
      </c>
      <c r="DD194" t="s">
        <v>3</v>
      </c>
      <c r="DE194" t="s">
        <v>3</v>
      </c>
      <c r="DF194">
        <f t="shared" si="122"/>
        <v>952.27</v>
      </c>
      <c r="DG194">
        <f t="shared" si="123"/>
        <v>0</v>
      </c>
      <c r="DH194">
        <f t="shared" si="124"/>
        <v>0</v>
      </c>
      <c r="DI194">
        <f t="shared" si="126"/>
        <v>0</v>
      </c>
      <c r="DJ194">
        <f t="shared" si="125"/>
        <v>952.27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ROW(Source!A152)</f>
        <v>152</v>
      </c>
      <c r="B195">
        <v>59213213</v>
      </c>
      <c r="C195">
        <v>59213618</v>
      </c>
      <c r="D195">
        <v>58332957</v>
      </c>
      <c r="E195">
        <v>1</v>
      </c>
      <c r="F195">
        <v>1</v>
      </c>
      <c r="G195">
        <v>1080</v>
      </c>
      <c r="H195">
        <v>3</v>
      </c>
      <c r="I195" t="s">
        <v>436</v>
      </c>
      <c r="J195" t="s">
        <v>437</v>
      </c>
      <c r="K195" t="s">
        <v>438</v>
      </c>
      <c r="L195">
        <v>1356</v>
      </c>
      <c r="N195">
        <v>1010</v>
      </c>
      <c r="O195" t="s">
        <v>426</v>
      </c>
      <c r="P195" t="s">
        <v>426</v>
      </c>
      <c r="Q195">
        <v>1000</v>
      </c>
      <c r="W195">
        <v>0</v>
      </c>
      <c r="X195">
        <v>-422648154</v>
      </c>
      <c r="Y195">
        <f t="shared" si="116"/>
        <v>1.2200000000000001E-2</v>
      </c>
      <c r="AA195">
        <v>1599.36</v>
      </c>
      <c r="AB195">
        <v>0</v>
      </c>
      <c r="AC195">
        <v>0</v>
      </c>
      <c r="AD195">
        <v>0</v>
      </c>
      <c r="AE195">
        <v>226.86</v>
      </c>
      <c r="AF195">
        <v>0</v>
      </c>
      <c r="AG195">
        <v>0</v>
      </c>
      <c r="AH195">
        <v>0</v>
      </c>
      <c r="AI195">
        <v>7.05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1.2200000000000001E-2</v>
      </c>
      <c r="AU195" t="s">
        <v>25</v>
      </c>
      <c r="AV195">
        <v>0</v>
      </c>
      <c r="AW195">
        <v>2</v>
      </c>
      <c r="AX195">
        <v>59213930</v>
      </c>
      <c r="AY195">
        <v>1</v>
      </c>
      <c r="AZ195">
        <v>0</v>
      </c>
      <c r="BA195">
        <v>215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ROUND(Y195*Source!I152,9)</f>
        <v>0.10614</v>
      </c>
      <c r="CY195">
        <f t="shared" si="117"/>
        <v>1599.36</v>
      </c>
      <c r="CZ195">
        <f t="shared" si="118"/>
        <v>226.86</v>
      </c>
      <c r="DA195">
        <f t="shared" si="119"/>
        <v>7.05</v>
      </c>
      <c r="DB195">
        <f t="shared" si="120"/>
        <v>2.77</v>
      </c>
      <c r="DC195">
        <f t="shared" si="121"/>
        <v>0</v>
      </c>
      <c r="DD195" t="s">
        <v>3</v>
      </c>
      <c r="DE195" t="s">
        <v>3</v>
      </c>
      <c r="DF195">
        <f t="shared" si="122"/>
        <v>169.76</v>
      </c>
      <c r="DG195">
        <f t="shared" si="123"/>
        <v>0</v>
      </c>
      <c r="DH195">
        <f t="shared" si="124"/>
        <v>0</v>
      </c>
      <c r="DI195">
        <f t="shared" si="126"/>
        <v>0</v>
      </c>
      <c r="DJ195">
        <f t="shared" si="125"/>
        <v>169.76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ROW(Source!A152)</f>
        <v>152</v>
      </c>
      <c r="B196">
        <v>59213213</v>
      </c>
      <c r="C196">
        <v>59213618</v>
      </c>
      <c r="D196">
        <v>58332282</v>
      </c>
      <c r="E196">
        <v>1</v>
      </c>
      <c r="F196">
        <v>1</v>
      </c>
      <c r="G196">
        <v>1080</v>
      </c>
      <c r="H196">
        <v>3</v>
      </c>
      <c r="I196" t="s">
        <v>427</v>
      </c>
      <c r="J196" t="s">
        <v>428</v>
      </c>
      <c r="K196" t="s">
        <v>429</v>
      </c>
      <c r="L196">
        <v>1354</v>
      </c>
      <c r="N196">
        <v>1010</v>
      </c>
      <c r="O196" t="s">
        <v>34</v>
      </c>
      <c r="P196" t="s">
        <v>34</v>
      </c>
      <c r="Q196">
        <v>1</v>
      </c>
      <c r="W196">
        <v>0</v>
      </c>
      <c r="X196">
        <v>145081611</v>
      </c>
      <c r="Y196">
        <f t="shared" si="116"/>
        <v>3.1</v>
      </c>
      <c r="AA196">
        <v>25.47</v>
      </c>
      <c r="AB196">
        <v>0</v>
      </c>
      <c r="AC196">
        <v>0</v>
      </c>
      <c r="AD196">
        <v>0</v>
      </c>
      <c r="AE196">
        <v>6.94</v>
      </c>
      <c r="AF196">
        <v>0</v>
      </c>
      <c r="AG196">
        <v>0</v>
      </c>
      <c r="AH196">
        <v>0</v>
      </c>
      <c r="AI196">
        <v>3.67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3.1</v>
      </c>
      <c r="AU196" t="s">
        <v>25</v>
      </c>
      <c r="AV196">
        <v>0</v>
      </c>
      <c r="AW196">
        <v>2</v>
      </c>
      <c r="AX196">
        <v>59213931</v>
      </c>
      <c r="AY196">
        <v>1</v>
      </c>
      <c r="AZ196">
        <v>0</v>
      </c>
      <c r="BA196">
        <v>216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ROUND(Y196*Source!I152,9)</f>
        <v>26.97</v>
      </c>
      <c r="CY196">
        <f t="shared" si="117"/>
        <v>25.47</v>
      </c>
      <c r="CZ196">
        <f t="shared" si="118"/>
        <v>6.94</v>
      </c>
      <c r="DA196">
        <f t="shared" si="119"/>
        <v>3.67</v>
      </c>
      <c r="DB196">
        <f t="shared" si="120"/>
        <v>21.51</v>
      </c>
      <c r="DC196">
        <f t="shared" si="121"/>
        <v>0</v>
      </c>
      <c r="DD196" t="s">
        <v>3</v>
      </c>
      <c r="DE196" t="s">
        <v>3</v>
      </c>
      <c r="DF196">
        <f t="shared" si="122"/>
        <v>686.93</v>
      </c>
      <c r="DG196">
        <f t="shared" si="123"/>
        <v>0</v>
      </c>
      <c r="DH196">
        <f t="shared" si="124"/>
        <v>0</v>
      </c>
      <c r="DI196">
        <f t="shared" si="126"/>
        <v>0</v>
      </c>
      <c r="DJ196">
        <f t="shared" si="125"/>
        <v>686.93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ROW(Source!A152)</f>
        <v>152</v>
      </c>
      <c r="B197">
        <v>59213213</v>
      </c>
      <c r="C197">
        <v>59213618</v>
      </c>
      <c r="D197">
        <v>58332290</v>
      </c>
      <c r="E197">
        <v>1</v>
      </c>
      <c r="F197">
        <v>1</v>
      </c>
      <c r="G197">
        <v>1080</v>
      </c>
      <c r="H197">
        <v>3</v>
      </c>
      <c r="I197" t="s">
        <v>439</v>
      </c>
      <c r="J197" t="s">
        <v>440</v>
      </c>
      <c r="K197" t="s">
        <v>441</v>
      </c>
      <c r="L197">
        <v>1356</v>
      </c>
      <c r="N197">
        <v>1010</v>
      </c>
      <c r="O197" t="s">
        <v>426</v>
      </c>
      <c r="P197" t="s">
        <v>426</v>
      </c>
      <c r="Q197">
        <v>1000</v>
      </c>
      <c r="W197">
        <v>0</v>
      </c>
      <c r="X197">
        <v>807379832</v>
      </c>
      <c r="Y197">
        <f t="shared" si="116"/>
        <v>8.0000000000000002E-3</v>
      </c>
      <c r="AA197">
        <v>1197.48</v>
      </c>
      <c r="AB197">
        <v>0</v>
      </c>
      <c r="AC197">
        <v>0</v>
      </c>
      <c r="AD197">
        <v>0</v>
      </c>
      <c r="AE197">
        <v>614.09</v>
      </c>
      <c r="AF197">
        <v>0</v>
      </c>
      <c r="AG197">
        <v>0</v>
      </c>
      <c r="AH197">
        <v>0</v>
      </c>
      <c r="AI197">
        <v>1.95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8.0000000000000002E-3</v>
      </c>
      <c r="AU197" t="s">
        <v>25</v>
      </c>
      <c r="AV197">
        <v>0</v>
      </c>
      <c r="AW197">
        <v>2</v>
      </c>
      <c r="AX197">
        <v>59213932</v>
      </c>
      <c r="AY197">
        <v>1</v>
      </c>
      <c r="AZ197">
        <v>0</v>
      </c>
      <c r="BA197">
        <v>217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ROUND(Y197*Source!I152,9)</f>
        <v>6.9599999999999995E-2</v>
      </c>
      <c r="CY197">
        <f t="shared" si="117"/>
        <v>1197.48</v>
      </c>
      <c r="CZ197">
        <f t="shared" si="118"/>
        <v>614.09</v>
      </c>
      <c r="DA197">
        <f t="shared" si="119"/>
        <v>1.95</v>
      </c>
      <c r="DB197">
        <f t="shared" si="120"/>
        <v>4.91</v>
      </c>
      <c r="DC197">
        <f t="shared" si="121"/>
        <v>0</v>
      </c>
      <c r="DD197" t="s">
        <v>3</v>
      </c>
      <c r="DE197" t="s">
        <v>3</v>
      </c>
      <c r="DF197">
        <f t="shared" si="122"/>
        <v>83.34</v>
      </c>
      <c r="DG197">
        <f t="shared" si="123"/>
        <v>0</v>
      </c>
      <c r="DH197">
        <f t="shared" si="124"/>
        <v>0</v>
      </c>
      <c r="DI197">
        <f t="shared" si="126"/>
        <v>0</v>
      </c>
      <c r="DJ197">
        <f t="shared" si="125"/>
        <v>83.34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ROW(Source!A152)</f>
        <v>152</v>
      </c>
      <c r="B198">
        <v>59213213</v>
      </c>
      <c r="C198">
        <v>59213618</v>
      </c>
      <c r="D198">
        <v>0</v>
      </c>
      <c r="E198">
        <v>1080</v>
      </c>
      <c r="F198">
        <v>1</v>
      </c>
      <c r="G198">
        <v>1080</v>
      </c>
      <c r="H198">
        <v>3</v>
      </c>
      <c r="I198" t="s">
        <v>273</v>
      </c>
      <c r="J198" t="s">
        <v>3</v>
      </c>
      <c r="K198" t="s">
        <v>274</v>
      </c>
      <c r="L198">
        <v>1303</v>
      </c>
      <c r="N198">
        <v>1003</v>
      </c>
      <c r="O198" t="s">
        <v>256</v>
      </c>
      <c r="P198" t="s">
        <v>256</v>
      </c>
      <c r="Q198">
        <v>1000</v>
      </c>
      <c r="W198">
        <v>0</v>
      </c>
      <c r="X198">
        <v>494778067</v>
      </c>
      <c r="Y198">
        <f>AT198</f>
        <v>0.10199999999999999</v>
      </c>
      <c r="AA198">
        <v>15873.7</v>
      </c>
      <c r="AB198">
        <v>0</v>
      </c>
      <c r="AC198">
        <v>0</v>
      </c>
      <c r="AD198">
        <v>0</v>
      </c>
      <c r="AE198">
        <v>1606.65</v>
      </c>
      <c r="AF198">
        <v>0</v>
      </c>
      <c r="AG198">
        <v>0</v>
      </c>
      <c r="AH198">
        <v>0</v>
      </c>
      <c r="AI198">
        <v>9.8800000000000008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 t="s">
        <v>3</v>
      </c>
      <c r="AT198">
        <v>0.10199999999999999</v>
      </c>
      <c r="AU198" t="s">
        <v>3</v>
      </c>
      <c r="AV198">
        <v>0</v>
      </c>
      <c r="AW198">
        <v>1</v>
      </c>
      <c r="AX198">
        <v>-1</v>
      </c>
      <c r="AY198">
        <v>0</v>
      </c>
      <c r="AZ198">
        <v>0</v>
      </c>
      <c r="BA198" t="s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ROUND(Y198*Source!I152,9)</f>
        <v>0.88739999999999997</v>
      </c>
      <c r="CY198">
        <f t="shared" si="117"/>
        <v>15873.7</v>
      </c>
      <c r="CZ198">
        <f t="shared" si="118"/>
        <v>1606.65</v>
      </c>
      <c r="DA198">
        <f t="shared" si="119"/>
        <v>9.8800000000000008</v>
      </c>
      <c r="DB198">
        <f>ROUND(ROUND(AT198*CZ198,2),6)</f>
        <v>163.88</v>
      </c>
      <c r="DC198">
        <f>ROUND(ROUND(AT198*AG198,2),6)</f>
        <v>0</v>
      </c>
      <c r="DD198" t="s">
        <v>3</v>
      </c>
      <c r="DE198" t="s">
        <v>3</v>
      </c>
      <c r="DF198">
        <f t="shared" si="122"/>
        <v>14086.32</v>
      </c>
      <c r="DG198">
        <f t="shared" si="123"/>
        <v>0</v>
      </c>
      <c r="DH198">
        <f t="shared" si="124"/>
        <v>0</v>
      </c>
      <c r="DI198">
        <f t="shared" si="126"/>
        <v>0</v>
      </c>
      <c r="DJ198">
        <f t="shared" si="125"/>
        <v>14086.32</v>
      </c>
      <c r="DK198">
        <v>2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ROW(Source!A155)</f>
        <v>155</v>
      </c>
      <c r="B199">
        <v>59213216</v>
      </c>
      <c r="C199">
        <v>59213640</v>
      </c>
      <c r="D199">
        <v>58266404</v>
      </c>
      <c r="E199">
        <v>1080</v>
      </c>
      <c r="F199">
        <v>1</v>
      </c>
      <c r="G199">
        <v>1080</v>
      </c>
      <c r="H199">
        <v>1</v>
      </c>
      <c r="I199" t="s">
        <v>331</v>
      </c>
      <c r="J199" t="s">
        <v>3</v>
      </c>
      <c r="K199" t="s">
        <v>332</v>
      </c>
      <c r="L199">
        <v>1191</v>
      </c>
      <c r="N199">
        <v>1013</v>
      </c>
      <c r="O199" t="s">
        <v>333</v>
      </c>
      <c r="P199" t="s">
        <v>333</v>
      </c>
      <c r="Q199">
        <v>1</v>
      </c>
      <c r="W199">
        <v>0</v>
      </c>
      <c r="X199">
        <v>476480486</v>
      </c>
      <c r="Y199">
        <f>(AT199*1.1)</f>
        <v>2.0130000000000003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1.83</v>
      </c>
      <c r="AU199" t="s">
        <v>26</v>
      </c>
      <c r="AV199">
        <v>1</v>
      </c>
      <c r="AW199">
        <v>2</v>
      </c>
      <c r="AX199">
        <v>59213934</v>
      </c>
      <c r="AY199">
        <v>1</v>
      </c>
      <c r="AZ199">
        <v>0</v>
      </c>
      <c r="BA199">
        <v>219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ROUND(AT199*Source!I155*AH199*AL199,2)</f>
        <v>0</v>
      </c>
      <c r="CV199">
        <f>ROUND(Y199*Source!I155,9)</f>
        <v>0.60389999999999999</v>
      </c>
      <c r="CW199">
        <v>0</v>
      </c>
      <c r="CX199">
        <f>ROUND(Y199*Source!I155,9)</f>
        <v>0.60389999999999999</v>
      </c>
      <c r="CY199">
        <f>AD199</f>
        <v>0</v>
      </c>
      <c r="CZ199">
        <f>AH199</f>
        <v>0</v>
      </c>
      <c r="DA199">
        <f>AL199</f>
        <v>1</v>
      </c>
      <c r="DB199">
        <f>ROUND((ROUND(AT199*CZ199,2)*1.1),6)</f>
        <v>0</v>
      </c>
      <c r="DC199">
        <f>ROUND((ROUND(AT199*AG199,2)*1.1),6)</f>
        <v>0</v>
      </c>
      <c r="DD199" t="s">
        <v>3</v>
      </c>
      <c r="DE199" t="s">
        <v>3</v>
      </c>
      <c r="DF199">
        <f t="shared" ref="DF199:DF210" si="127">ROUND(ROUND(AE199,2)*CX199,2)</f>
        <v>0</v>
      </c>
      <c r="DG199">
        <f t="shared" si="123"/>
        <v>0</v>
      </c>
      <c r="DH199">
        <f t="shared" si="124"/>
        <v>0</v>
      </c>
      <c r="DI199">
        <f t="shared" si="126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ROW(Source!A155)</f>
        <v>155</v>
      </c>
      <c r="B200">
        <v>59213216</v>
      </c>
      <c r="C200">
        <v>59213640</v>
      </c>
      <c r="D200">
        <v>58340578</v>
      </c>
      <c r="E200">
        <v>1</v>
      </c>
      <c r="F200">
        <v>1</v>
      </c>
      <c r="G200">
        <v>1080</v>
      </c>
      <c r="H200">
        <v>2</v>
      </c>
      <c r="I200" t="s">
        <v>334</v>
      </c>
      <c r="J200" t="s">
        <v>335</v>
      </c>
      <c r="K200" t="s">
        <v>336</v>
      </c>
      <c r="L200">
        <v>1368</v>
      </c>
      <c r="N200">
        <v>1011</v>
      </c>
      <c r="O200" t="s">
        <v>337</v>
      </c>
      <c r="P200" t="s">
        <v>337</v>
      </c>
      <c r="Q200">
        <v>1</v>
      </c>
      <c r="W200">
        <v>0</v>
      </c>
      <c r="X200">
        <v>-1985943078</v>
      </c>
      <c r="Y200">
        <f>(AT200*1.1)</f>
        <v>1.1000000000000001E-2</v>
      </c>
      <c r="AA200">
        <v>0</v>
      </c>
      <c r="AB200">
        <v>87.01</v>
      </c>
      <c r="AC200">
        <v>13.21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0.01</v>
      </c>
      <c r="AU200" t="s">
        <v>26</v>
      </c>
      <c r="AV200">
        <v>0</v>
      </c>
      <c r="AW200">
        <v>2</v>
      </c>
      <c r="AX200">
        <v>59213935</v>
      </c>
      <c r="AY200">
        <v>1</v>
      </c>
      <c r="AZ200">
        <v>0</v>
      </c>
      <c r="BA200">
        <v>220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ROUND(Y200*Source!I155*DO200,9)</f>
        <v>4.1646000000000002E-2</v>
      </c>
      <c r="CX200">
        <f>ROUND(Y200*Source!I155,9)</f>
        <v>3.3E-3</v>
      </c>
      <c r="CY200">
        <f>AB200</f>
        <v>87.01</v>
      </c>
      <c r="CZ200">
        <f>AF200</f>
        <v>83.1</v>
      </c>
      <c r="DA200">
        <f>AJ200</f>
        <v>1</v>
      </c>
      <c r="DB200">
        <f>ROUND((ROUND(AT200*CZ200,2)*1.1),6)</f>
        <v>0.91300000000000003</v>
      </c>
      <c r="DC200">
        <f>ROUND((ROUND(AT200*AG200,2)*1.1),6)</f>
        <v>0.14299999999999999</v>
      </c>
      <c r="DD200" t="s">
        <v>3</v>
      </c>
      <c r="DE200" t="s">
        <v>3</v>
      </c>
      <c r="DF200">
        <f t="shared" si="127"/>
        <v>0</v>
      </c>
      <c r="DG200">
        <f t="shared" si="123"/>
        <v>0.27</v>
      </c>
      <c r="DH200">
        <f t="shared" si="124"/>
        <v>0.04</v>
      </c>
      <c r="DI200">
        <f t="shared" si="126"/>
        <v>0</v>
      </c>
      <c r="DJ200">
        <f>DG200</f>
        <v>0.27</v>
      </c>
      <c r="DK200">
        <v>0</v>
      </c>
      <c r="DL200" t="s">
        <v>338</v>
      </c>
      <c r="DM200">
        <v>0</v>
      </c>
      <c r="DN200" t="s">
        <v>333</v>
      </c>
      <c r="DO200">
        <v>12.62</v>
      </c>
    </row>
    <row r="201" spans="1:119" x14ac:dyDescent="0.2">
      <c r="A201">
        <f>ROW(Source!A155)</f>
        <v>155</v>
      </c>
      <c r="B201">
        <v>59213216</v>
      </c>
      <c r="C201">
        <v>59213640</v>
      </c>
      <c r="D201">
        <v>58339814</v>
      </c>
      <c r="E201">
        <v>1</v>
      </c>
      <c r="F201">
        <v>1</v>
      </c>
      <c r="G201">
        <v>1080</v>
      </c>
      <c r="H201">
        <v>2</v>
      </c>
      <c r="I201" t="s">
        <v>411</v>
      </c>
      <c r="J201" t="s">
        <v>412</v>
      </c>
      <c r="K201" t="s">
        <v>413</v>
      </c>
      <c r="L201">
        <v>1368</v>
      </c>
      <c r="N201">
        <v>1011</v>
      </c>
      <c r="O201" t="s">
        <v>337</v>
      </c>
      <c r="P201" t="s">
        <v>337</v>
      </c>
      <c r="Q201">
        <v>1</v>
      </c>
      <c r="W201">
        <v>0</v>
      </c>
      <c r="X201">
        <v>1087580389</v>
      </c>
      <c r="Y201">
        <f>(AT201*1.1)</f>
        <v>1.1000000000000001E-2</v>
      </c>
      <c r="AA201">
        <v>0</v>
      </c>
      <c r="AB201">
        <v>187.59</v>
      </c>
      <c r="AC201">
        <v>17.73</v>
      </c>
      <c r="AD201">
        <v>0</v>
      </c>
      <c r="AE201">
        <v>0</v>
      </c>
      <c r="AF201">
        <v>179.17</v>
      </c>
      <c r="AG201">
        <v>16.93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0.01</v>
      </c>
      <c r="AU201" t="s">
        <v>26</v>
      </c>
      <c r="AV201">
        <v>0</v>
      </c>
      <c r="AW201">
        <v>2</v>
      </c>
      <c r="AX201">
        <v>59213936</v>
      </c>
      <c r="AY201">
        <v>1</v>
      </c>
      <c r="AZ201">
        <v>0</v>
      </c>
      <c r="BA201">
        <v>221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ROUND(Y201*Source!I155*DO201,9)</f>
        <v>5.5869000000000002E-2</v>
      </c>
      <c r="CX201">
        <f>ROUND(Y201*Source!I155,9)</f>
        <v>3.3E-3</v>
      </c>
      <c r="CY201">
        <f>AB201</f>
        <v>187.59</v>
      </c>
      <c r="CZ201">
        <f>AF201</f>
        <v>179.17</v>
      </c>
      <c r="DA201">
        <f>AJ201</f>
        <v>1</v>
      </c>
      <c r="DB201">
        <f>ROUND((ROUND(AT201*CZ201,2)*1.1),6)</f>
        <v>1.9690000000000001</v>
      </c>
      <c r="DC201">
        <f>ROUND((ROUND(AT201*AG201,2)*1.1),6)</f>
        <v>0.187</v>
      </c>
      <c r="DD201" t="s">
        <v>3</v>
      </c>
      <c r="DE201" t="s">
        <v>3</v>
      </c>
      <c r="DF201">
        <f t="shared" si="127"/>
        <v>0</v>
      </c>
      <c r="DG201">
        <f t="shared" si="123"/>
        <v>0.59</v>
      </c>
      <c r="DH201">
        <f t="shared" si="124"/>
        <v>0.06</v>
      </c>
      <c r="DI201">
        <f t="shared" si="126"/>
        <v>0</v>
      </c>
      <c r="DJ201">
        <f>DG201</f>
        <v>0.59</v>
      </c>
      <c r="DK201">
        <v>0</v>
      </c>
      <c r="DL201" t="s">
        <v>338</v>
      </c>
      <c r="DM201">
        <v>0</v>
      </c>
      <c r="DN201" t="s">
        <v>333</v>
      </c>
      <c r="DO201">
        <v>16.93</v>
      </c>
    </row>
    <row r="202" spans="1:119" x14ac:dyDescent="0.2">
      <c r="A202">
        <f>ROW(Source!A155)</f>
        <v>155</v>
      </c>
      <c r="B202">
        <v>59213216</v>
      </c>
      <c r="C202">
        <v>59213640</v>
      </c>
      <c r="D202">
        <v>58309611</v>
      </c>
      <c r="E202">
        <v>1</v>
      </c>
      <c r="F202">
        <v>1</v>
      </c>
      <c r="G202">
        <v>1080</v>
      </c>
      <c r="H202">
        <v>3</v>
      </c>
      <c r="I202" t="s">
        <v>414</v>
      </c>
      <c r="J202" t="s">
        <v>415</v>
      </c>
      <c r="K202" t="s">
        <v>416</v>
      </c>
      <c r="L202">
        <v>1346</v>
      </c>
      <c r="N202">
        <v>1009</v>
      </c>
      <c r="O202" t="s">
        <v>244</v>
      </c>
      <c r="P202" t="s">
        <v>244</v>
      </c>
      <c r="Q202">
        <v>1</v>
      </c>
      <c r="W202">
        <v>0</v>
      </c>
      <c r="X202">
        <v>1770006655</v>
      </c>
      <c r="Y202">
        <f>(AT202*1)</f>
        <v>0.6</v>
      </c>
      <c r="AA202">
        <v>1.38</v>
      </c>
      <c r="AB202">
        <v>0</v>
      </c>
      <c r="AC202">
        <v>0</v>
      </c>
      <c r="AD202">
        <v>0</v>
      </c>
      <c r="AE202">
        <v>1.38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0.6</v>
      </c>
      <c r="AU202" t="s">
        <v>25</v>
      </c>
      <c r="AV202">
        <v>0</v>
      </c>
      <c r="AW202">
        <v>2</v>
      </c>
      <c r="AX202">
        <v>59213937</v>
      </c>
      <c r="AY202">
        <v>1</v>
      </c>
      <c r="AZ202">
        <v>0</v>
      </c>
      <c r="BA202">
        <v>222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ROUND(Y202*Source!I155,9)</f>
        <v>0.18</v>
      </c>
      <c r="CY202">
        <f t="shared" ref="CY202:CY207" si="128">AA202</f>
        <v>1.38</v>
      </c>
      <c r="CZ202">
        <f t="shared" ref="CZ202:CZ207" si="129">AE202</f>
        <v>1.38</v>
      </c>
      <c r="DA202">
        <f t="shared" ref="DA202:DA207" si="130">AI202</f>
        <v>1</v>
      </c>
      <c r="DB202">
        <f>ROUND((ROUND(AT202*CZ202,2)*1),6)</f>
        <v>0.83</v>
      </c>
      <c r="DC202">
        <f>ROUND((ROUND(AT202*AG202,2)*1),6)</f>
        <v>0</v>
      </c>
      <c r="DD202" t="s">
        <v>3</v>
      </c>
      <c r="DE202" t="s">
        <v>3</v>
      </c>
      <c r="DF202">
        <f t="shared" si="127"/>
        <v>0.25</v>
      </c>
      <c r="DG202">
        <f t="shared" si="123"/>
        <v>0</v>
      </c>
      <c r="DH202">
        <f t="shared" si="124"/>
        <v>0</v>
      </c>
      <c r="DI202">
        <f t="shared" si="126"/>
        <v>0</v>
      </c>
      <c r="DJ202">
        <f t="shared" ref="DJ202:DJ207" si="131">DF202</f>
        <v>0.25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ROW(Source!A155)</f>
        <v>155</v>
      </c>
      <c r="B203">
        <v>59213216</v>
      </c>
      <c r="C203">
        <v>59213640</v>
      </c>
      <c r="D203">
        <v>58310002</v>
      </c>
      <c r="E203">
        <v>1</v>
      </c>
      <c r="F203">
        <v>1</v>
      </c>
      <c r="G203">
        <v>1080</v>
      </c>
      <c r="H203">
        <v>3</v>
      </c>
      <c r="I203" t="s">
        <v>417</v>
      </c>
      <c r="J203" t="s">
        <v>418</v>
      </c>
      <c r="K203" t="s">
        <v>419</v>
      </c>
      <c r="L203">
        <v>1346</v>
      </c>
      <c r="N203">
        <v>1009</v>
      </c>
      <c r="O203" t="s">
        <v>244</v>
      </c>
      <c r="P203" t="s">
        <v>244</v>
      </c>
      <c r="Q203">
        <v>1</v>
      </c>
      <c r="W203">
        <v>0</v>
      </c>
      <c r="X203">
        <v>-878159893</v>
      </c>
      <c r="Y203">
        <f>(AT203*1)</f>
        <v>0.16</v>
      </c>
      <c r="AA203">
        <v>159.06</v>
      </c>
      <c r="AB203">
        <v>0</v>
      </c>
      <c r="AC203">
        <v>0</v>
      </c>
      <c r="AD203">
        <v>0</v>
      </c>
      <c r="AE203">
        <v>159.06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0.16</v>
      </c>
      <c r="AU203" t="s">
        <v>25</v>
      </c>
      <c r="AV203">
        <v>0</v>
      </c>
      <c r="AW203">
        <v>2</v>
      </c>
      <c r="AX203">
        <v>59213938</v>
      </c>
      <c r="AY203">
        <v>1</v>
      </c>
      <c r="AZ203">
        <v>0</v>
      </c>
      <c r="BA203">
        <v>223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ROUND(Y203*Source!I155,9)</f>
        <v>4.8000000000000001E-2</v>
      </c>
      <c r="CY203">
        <f t="shared" si="128"/>
        <v>159.06</v>
      </c>
      <c r="CZ203">
        <f t="shared" si="129"/>
        <v>159.06</v>
      </c>
      <c r="DA203">
        <f t="shared" si="130"/>
        <v>1</v>
      </c>
      <c r="DB203">
        <f>ROUND((ROUND(AT203*CZ203,2)*1),6)</f>
        <v>25.45</v>
      </c>
      <c r="DC203">
        <f>ROUND((ROUND(AT203*AG203,2)*1),6)</f>
        <v>0</v>
      </c>
      <c r="DD203" t="s">
        <v>3</v>
      </c>
      <c r="DE203" t="s">
        <v>3</v>
      </c>
      <c r="DF203">
        <f t="shared" si="127"/>
        <v>7.63</v>
      </c>
      <c r="DG203">
        <f t="shared" si="123"/>
        <v>0</v>
      </c>
      <c r="DH203">
        <f t="shared" si="124"/>
        <v>0</v>
      </c>
      <c r="DI203">
        <f t="shared" si="126"/>
        <v>0</v>
      </c>
      <c r="DJ203">
        <f t="shared" si="131"/>
        <v>7.63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ROW(Source!A155)</f>
        <v>155</v>
      </c>
      <c r="B204">
        <v>59213216</v>
      </c>
      <c r="C204">
        <v>59213640</v>
      </c>
      <c r="D204">
        <v>58332957</v>
      </c>
      <c r="E204">
        <v>1</v>
      </c>
      <c r="F204">
        <v>1</v>
      </c>
      <c r="G204">
        <v>1080</v>
      </c>
      <c r="H204">
        <v>3</v>
      </c>
      <c r="I204" t="s">
        <v>436</v>
      </c>
      <c r="J204" t="s">
        <v>437</v>
      </c>
      <c r="K204" t="s">
        <v>438</v>
      </c>
      <c r="L204">
        <v>1356</v>
      </c>
      <c r="N204">
        <v>1010</v>
      </c>
      <c r="O204" t="s">
        <v>426</v>
      </c>
      <c r="P204" t="s">
        <v>426</v>
      </c>
      <c r="Q204">
        <v>1000</v>
      </c>
      <c r="W204">
        <v>0</v>
      </c>
      <c r="X204">
        <v>-422648154</v>
      </c>
      <c r="Y204">
        <f>(AT204*1)</f>
        <v>1.2200000000000001E-2</v>
      </c>
      <c r="AA204">
        <v>226.86</v>
      </c>
      <c r="AB204">
        <v>0</v>
      </c>
      <c r="AC204">
        <v>0</v>
      </c>
      <c r="AD204">
        <v>0</v>
      </c>
      <c r="AE204">
        <v>226.86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1.2200000000000001E-2</v>
      </c>
      <c r="AU204" t="s">
        <v>25</v>
      </c>
      <c r="AV204">
        <v>0</v>
      </c>
      <c r="AW204">
        <v>2</v>
      </c>
      <c r="AX204">
        <v>59213939</v>
      </c>
      <c r="AY204">
        <v>1</v>
      </c>
      <c r="AZ204">
        <v>0</v>
      </c>
      <c r="BA204">
        <v>224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ROUND(Y204*Source!I155,9)</f>
        <v>3.6600000000000001E-3</v>
      </c>
      <c r="CY204">
        <f t="shared" si="128"/>
        <v>226.86</v>
      </c>
      <c r="CZ204">
        <f t="shared" si="129"/>
        <v>226.86</v>
      </c>
      <c r="DA204">
        <f t="shared" si="130"/>
        <v>1</v>
      </c>
      <c r="DB204">
        <f>ROUND((ROUND(AT204*CZ204,2)*1),6)</f>
        <v>2.77</v>
      </c>
      <c r="DC204">
        <f>ROUND((ROUND(AT204*AG204,2)*1),6)</f>
        <v>0</v>
      </c>
      <c r="DD204" t="s">
        <v>3</v>
      </c>
      <c r="DE204" t="s">
        <v>3</v>
      </c>
      <c r="DF204">
        <f t="shared" si="127"/>
        <v>0.83</v>
      </c>
      <c r="DG204">
        <f t="shared" si="123"/>
        <v>0</v>
      </c>
      <c r="DH204">
        <f t="shared" si="124"/>
        <v>0</v>
      </c>
      <c r="DI204">
        <f t="shared" si="126"/>
        <v>0</v>
      </c>
      <c r="DJ204">
        <f t="shared" si="131"/>
        <v>0.83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ROW(Source!A155)</f>
        <v>155</v>
      </c>
      <c r="B205">
        <v>59213216</v>
      </c>
      <c r="C205">
        <v>59213640</v>
      </c>
      <c r="D205">
        <v>58332282</v>
      </c>
      <c r="E205">
        <v>1</v>
      </c>
      <c r="F205">
        <v>1</v>
      </c>
      <c r="G205">
        <v>1080</v>
      </c>
      <c r="H205">
        <v>3</v>
      </c>
      <c r="I205" t="s">
        <v>427</v>
      </c>
      <c r="J205" t="s">
        <v>428</v>
      </c>
      <c r="K205" t="s">
        <v>429</v>
      </c>
      <c r="L205">
        <v>1354</v>
      </c>
      <c r="N205">
        <v>1010</v>
      </c>
      <c r="O205" t="s">
        <v>34</v>
      </c>
      <c r="P205" t="s">
        <v>34</v>
      </c>
      <c r="Q205">
        <v>1</v>
      </c>
      <c r="W205">
        <v>0</v>
      </c>
      <c r="X205">
        <v>145081611</v>
      </c>
      <c r="Y205">
        <f>(AT205*1)</f>
        <v>3.1</v>
      </c>
      <c r="AA205">
        <v>6.94</v>
      </c>
      <c r="AB205">
        <v>0</v>
      </c>
      <c r="AC205">
        <v>0</v>
      </c>
      <c r="AD205">
        <v>0</v>
      </c>
      <c r="AE205">
        <v>6.94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3.1</v>
      </c>
      <c r="AU205" t="s">
        <v>25</v>
      </c>
      <c r="AV205">
        <v>0</v>
      </c>
      <c r="AW205">
        <v>2</v>
      </c>
      <c r="AX205">
        <v>59213940</v>
      </c>
      <c r="AY205">
        <v>1</v>
      </c>
      <c r="AZ205">
        <v>0</v>
      </c>
      <c r="BA205">
        <v>225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ROUND(Y205*Source!I155,9)</f>
        <v>0.93</v>
      </c>
      <c r="CY205">
        <f t="shared" si="128"/>
        <v>6.94</v>
      </c>
      <c r="CZ205">
        <f t="shared" si="129"/>
        <v>6.94</v>
      </c>
      <c r="DA205">
        <f t="shared" si="130"/>
        <v>1</v>
      </c>
      <c r="DB205">
        <f>ROUND((ROUND(AT205*CZ205,2)*1),6)</f>
        <v>21.51</v>
      </c>
      <c r="DC205">
        <f>ROUND((ROUND(AT205*AG205,2)*1),6)</f>
        <v>0</v>
      </c>
      <c r="DD205" t="s">
        <v>3</v>
      </c>
      <c r="DE205" t="s">
        <v>3</v>
      </c>
      <c r="DF205">
        <f t="shared" si="127"/>
        <v>6.45</v>
      </c>
      <c r="DG205">
        <f t="shared" si="123"/>
        <v>0</v>
      </c>
      <c r="DH205">
        <f t="shared" si="124"/>
        <v>0</v>
      </c>
      <c r="DI205">
        <f t="shared" si="126"/>
        <v>0</v>
      </c>
      <c r="DJ205">
        <f t="shared" si="131"/>
        <v>6.45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ROW(Source!A155)</f>
        <v>155</v>
      </c>
      <c r="B206">
        <v>59213216</v>
      </c>
      <c r="C206">
        <v>59213640</v>
      </c>
      <c r="D206">
        <v>58332290</v>
      </c>
      <c r="E206">
        <v>1</v>
      </c>
      <c r="F206">
        <v>1</v>
      </c>
      <c r="G206">
        <v>1080</v>
      </c>
      <c r="H206">
        <v>3</v>
      </c>
      <c r="I206" t="s">
        <v>439</v>
      </c>
      <c r="J206" t="s">
        <v>440</v>
      </c>
      <c r="K206" t="s">
        <v>441</v>
      </c>
      <c r="L206">
        <v>1356</v>
      </c>
      <c r="N206">
        <v>1010</v>
      </c>
      <c r="O206" t="s">
        <v>426</v>
      </c>
      <c r="P206" t="s">
        <v>426</v>
      </c>
      <c r="Q206">
        <v>1000</v>
      </c>
      <c r="W206">
        <v>0</v>
      </c>
      <c r="X206">
        <v>807379832</v>
      </c>
      <c r="Y206">
        <f>(AT206*1)</f>
        <v>8.0000000000000002E-3</v>
      </c>
      <c r="AA206">
        <v>614.09</v>
      </c>
      <c r="AB206">
        <v>0</v>
      </c>
      <c r="AC206">
        <v>0</v>
      </c>
      <c r="AD206">
        <v>0</v>
      </c>
      <c r="AE206">
        <v>614.09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8.0000000000000002E-3</v>
      </c>
      <c r="AU206" t="s">
        <v>25</v>
      </c>
      <c r="AV206">
        <v>0</v>
      </c>
      <c r="AW206">
        <v>2</v>
      </c>
      <c r="AX206">
        <v>59213941</v>
      </c>
      <c r="AY206">
        <v>1</v>
      </c>
      <c r="AZ206">
        <v>0</v>
      </c>
      <c r="BA206">
        <v>226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ROUND(Y206*Source!I155,9)</f>
        <v>2.3999999999999998E-3</v>
      </c>
      <c r="CY206">
        <f t="shared" si="128"/>
        <v>614.09</v>
      </c>
      <c r="CZ206">
        <f t="shared" si="129"/>
        <v>614.09</v>
      </c>
      <c r="DA206">
        <f t="shared" si="130"/>
        <v>1</v>
      </c>
      <c r="DB206">
        <f>ROUND((ROUND(AT206*CZ206,2)*1),6)</f>
        <v>4.91</v>
      </c>
      <c r="DC206">
        <f>ROUND((ROUND(AT206*AG206,2)*1),6)</f>
        <v>0</v>
      </c>
      <c r="DD206" t="s">
        <v>3</v>
      </c>
      <c r="DE206" t="s">
        <v>3</v>
      </c>
      <c r="DF206">
        <f t="shared" si="127"/>
        <v>1.47</v>
      </c>
      <c r="DG206">
        <f t="shared" si="123"/>
        <v>0</v>
      </c>
      <c r="DH206">
        <f t="shared" si="124"/>
        <v>0</v>
      </c>
      <c r="DI206">
        <f t="shared" si="126"/>
        <v>0</v>
      </c>
      <c r="DJ206">
        <f t="shared" si="131"/>
        <v>1.47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ROW(Source!A155)</f>
        <v>155</v>
      </c>
      <c r="B207">
        <v>59213216</v>
      </c>
      <c r="C207">
        <v>59213640</v>
      </c>
      <c r="D207">
        <v>0</v>
      </c>
      <c r="E207">
        <v>1080</v>
      </c>
      <c r="F207">
        <v>1</v>
      </c>
      <c r="G207">
        <v>1080</v>
      </c>
      <c r="H207">
        <v>3</v>
      </c>
      <c r="I207" t="s">
        <v>273</v>
      </c>
      <c r="J207" t="s">
        <v>3</v>
      </c>
      <c r="K207" t="s">
        <v>274</v>
      </c>
      <c r="L207">
        <v>1303</v>
      </c>
      <c r="N207">
        <v>1003</v>
      </c>
      <c r="O207" t="s">
        <v>256</v>
      </c>
      <c r="P207" t="s">
        <v>256</v>
      </c>
      <c r="Q207">
        <v>1000</v>
      </c>
      <c r="W207">
        <v>0</v>
      </c>
      <c r="X207">
        <v>494778067</v>
      </c>
      <c r="Y207">
        <f>AT207</f>
        <v>0.10199999999999999</v>
      </c>
      <c r="AA207">
        <v>1606.65</v>
      </c>
      <c r="AB207">
        <v>0</v>
      </c>
      <c r="AC207">
        <v>0</v>
      </c>
      <c r="AD207">
        <v>0</v>
      </c>
      <c r="AE207">
        <v>1606.65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0.10199999999999999</v>
      </c>
      <c r="AU207" t="s">
        <v>3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ROUND(Y207*Source!I155,9)</f>
        <v>3.0599999999999999E-2</v>
      </c>
      <c r="CY207">
        <f t="shared" si="128"/>
        <v>1606.65</v>
      </c>
      <c r="CZ207">
        <f t="shared" si="129"/>
        <v>1606.65</v>
      </c>
      <c r="DA207">
        <f t="shared" si="130"/>
        <v>1</v>
      </c>
      <c r="DB207">
        <f>ROUND(ROUND(AT207*CZ207,2),6)</f>
        <v>163.88</v>
      </c>
      <c r="DC207">
        <f>ROUND(ROUND(AT207*AG207,2),6)</f>
        <v>0</v>
      </c>
      <c r="DD207" t="s">
        <v>3</v>
      </c>
      <c r="DE207" t="s">
        <v>3</v>
      </c>
      <c r="DF207">
        <f t="shared" si="127"/>
        <v>49.16</v>
      </c>
      <c r="DG207">
        <f t="shared" si="123"/>
        <v>0</v>
      </c>
      <c r="DH207">
        <f t="shared" si="124"/>
        <v>0</v>
      </c>
      <c r="DI207">
        <f t="shared" si="126"/>
        <v>0</v>
      </c>
      <c r="DJ207">
        <f t="shared" si="131"/>
        <v>49.16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ROW(Source!A156)</f>
        <v>156</v>
      </c>
      <c r="B208">
        <v>59213213</v>
      </c>
      <c r="C208">
        <v>59213640</v>
      </c>
      <c r="D208">
        <v>58266404</v>
      </c>
      <c r="E208">
        <v>1080</v>
      </c>
      <c r="F208">
        <v>1</v>
      </c>
      <c r="G208">
        <v>1080</v>
      </c>
      <c r="H208">
        <v>1</v>
      </c>
      <c r="I208" t="s">
        <v>331</v>
      </c>
      <c r="J208" t="s">
        <v>3</v>
      </c>
      <c r="K208" t="s">
        <v>332</v>
      </c>
      <c r="L208">
        <v>1191</v>
      </c>
      <c r="N208">
        <v>1013</v>
      </c>
      <c r="O208" t="s">
        <v>333</v>
      </c>
      <c r="P208" t="s">
        <v>333</v>
      </c>
      <c r="Q208">
        <v>1</v>
      </c>
      <c r="W208">
        <v>0</v>
      </c>
      <c r="X208">
        <v>476480486</v>
      </c>
      <c r="Y208">
        <f>(AT208*1.1)</f>
        <v>2.0130000000000003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1.83</v>
      </c>
      <c r="AU208" t="s">
        <v>26</v>
      </c>
      <c r="AV208">
        <v>1</v>
      </c>
      <c r="AW208">
        <v>2</v>
      </c>
      <c r="AX208">
        <v>59213934</v>
      </c>
      <c r="AY208">
        <v>1</v>
      </c>
      <c r="AZ208">
        <v>0</v>
      </c>
      <c r="BA208">
        <v>228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U208">
        <f>ROUND(AT208*Source!I156*AH208*AL208,2)</f>
        <v>0</v>
      </c>
      <c r="CV208">
        <f>ROUND(Y208*Source!I156,9)</f>
        <v>0.60389999999999999</v>
      </c>
      <c r="CW208">
        <v>0</v>
      </c>
      <c r="CX208">
        <f>ROUND(Y208*Source!I156,9)</f>
        <v>0.60389999999999999</v>
      </c>
      <c r="CY208">
        <f>AD208</f>
        <v>0</v>
      </c>
      <c r="CZ208">
        <f>AH208</f>
        <v>0</v>
      </c>
      <c r="DA208">
        <f>AL208</f>
        <v>1</v>
      </c>
      <c r="DB208">
        <f>ROUND((ROUND(AT208*CZ208,2)*1.1),6)</f>
        <v>0</v>
      </c>
      <c r="DC208">
        <f>ROUND((ROUND(AT208*AG208,2)*1.1),6)</f>
        <v>0</v>
      </c>
      <c r="DD208" t="s">
        <v>3</v>
      </c>
      <c r="DE208" t="s">
        <v>3</v>
      </c>
      <c r="DF208">
        <f t="shared" si="127"/>
        <v>0</v>
      </c>
      <c r="DG208">
        <f t="shared" si="123"/>
        <v>0</v>
      </c>
      <c r="DH208">
        <f t="shared" si="124"/>
        <v>0</v>
      </c>
      <c r="DI208">
        <f t="shared" si="126"/>
        <v>0</v>
      </c>
      <c r="DJ208">
        <f>DI208</f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ROW(Source!A156)</f>
        <v>156</v>
      </c>
      <c r="B209">
        <v>59213213</v>
      </c>
      <c r="C209">
        <v>59213640</v>
      </c>
      <c r="D209">
        <v>58340578</v>
      </c>
      <c r="E209">
        <v>1</v>
      </c>
      <c r="F209">
        <v>1</v>
      </c>
      <c r="G209">
        <v>1080</v>
      </c>
      <c r="H209">
        <v>2</v>
      </c>
      <c r="I209" t="s">
        <v>334</v>
      </c>
      <c r="J209" t="s">
        <v>335</v>
      </c>
      <c r="K209" t="s">
        <v>336</v>
      </c>
      <c r="L209">
        <v>1368</v>
      </c>
      <c r="N209">
        <v>1011</v>
      </c>
      <c r="O209" t="s">
        <v>337</v>
      </c>
      <c r="P209" t="s">
        <v>337</v>
      </c>
      <c r="Q209">
        <v>1</v>
      </c>
      <c r="W209">
        <v>0</v>
      </c>
      <c r="X209">
        <v>-1985943078</v>
      </c>
      <c r="Y209">
        <f>(AT209*1.1)</f>
        <v>1.1000000000000001E-2</v>
      </c>
      <c r="AA209">
        <v>0</v>
      </c>
      <c r="AB209">
        <v>1418.19</v>
      </c>
      <c r="AC209">
        <v>726.59</v>
      </c>
      <c r="AD209">
        <v>0</v>
      </c>
      <c r="AE209">
        <v>0</v>
      </c>
      <c r="AF209">
        <v>83.1</v>
      </c>
      <c r="AG209">
        <v>12.62</v>
      </c>
      <c r="AH209">
        <v>0</v>
      </c>
      <c r="AI209">
        <v>1</v>
      </c>
      <c r="AJ209">
        <v>16.3</v>
      </c>
      <c r="AK209">
        <v>54.99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0.01</v>
      </c>
      <c r="AU209" t="s">
        <v>26</v>
      </c>
      <c r="AV209">
        <v>0</v>
      </c>
      <c r="AW209">
        <v>2</v>
      </c>
      <c r="AX209">
        <v>59213935</v>
      </c>
      <c r="AY209">
        <v>1</v>
      </c>
      <c r="AZ209">
        <v>0</v>
      </c>
      <c r="BA209">
        <v>229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ROUND(Y209*Source!I156*DO209,9)</f>
        <v>4.1646000000000002E-2</v>
      </c>
      <c r="CX209">
        <f>ROUND(Y209*Source!I156,9)</f>
        <v>3.3E-3</v>
      </c>
      <c r="CY209">
        <f>AB209</f>
        <v>1418.19</v>
      </c>
      <c r="CZ209">
        <f>AF209</f>
        <v>83.1</v>
      </c>
      <c r="DA209">
        <f>AJ209</f>
        <v>16.3</v>
      </c>
      <c r="DB209">
        <f>ROUND((ROUND(AT209*CZ209,2)*1.1),6)</f>
        <v>0.91300000000000003</v>
      </c>
      <c r="DC209">
        <f>ROUND((ROUND(AT209*AG209,2)*1.1),6)</f>
        <v>0.14299999999999999</v>
      </c>
      <c r="DD209" t="s">
        <v>3</v>
      </c>
      <c r="DE209" t="s">
        <v>3</v>
      </c>
      <c r="DF209">
        <f t="shared" si="127"/>
        <v>0</v>
      </c>
      <c r="DG209">
        <f>ROUND(ROUND(AF209*AJ209,2)*CX209,2)</f>
        <v>4.47</v>
      </c>
      <c r="DH209">
        <f>ROUND(ROUND(AG209*AK209,2)*CX209,2)</f>
        <v>2.29</v>
      </c>
      <c r="DI209">
        <f t="shared" si="126"/>
        <v>0</v>
      </c>
      <c r="DJ209">
        <f>DG209</f>
        <v>4.47</v>
      </c>
      <c r="DK209">
        <v>0</v>
      </c>
      <c r="DL209" t="s">
        <v>338</v>
      </c>
      <c r="DM209">
        <v>0</v>
      </c>
      <c r="DN209" t="s">
        <v>333</v>
      </c>
      <c r="DO209">
        <v>12.62</v>
      </c>
    </row>
    <row r="210" spans="1:119" x14ac:dyDescent="0.2">
      <c r="A210">
        <f>ROW(Source!A156)</f>
        <v>156</v>
      </c>
      <c r="B210">
        <v>59213213</v>
      </c>
      <c r="C210">
        <v>59213640</v>
      </c>
      <c r="D210">
        <v>58339814</v>
      </c>
      <c r="E210">
        <v>1</v>
      </c>
      <c r="F210">
        <v>1</v>
      </c>
      <c r="G210">
        <v>1080</v>
      </c>
      <c r="H210">
        <v>2</v>
      </c>
      <c r="I210" t="s">
        <v>411</v>
      </c>
      <c r="J210" t="s">
        <v>412</v>
      </c>
      <c r="K210" t="s">
        <v>413</v>
      </c>
      <c r="L210">
        <v>1368</v>
      </c>
      <c r="N210">
        <v>1011</v>
      </c>
      <c r="O210" t="s">
        <v>337</v>
      </c>
      <c r="P210" t="s">
        <v>337</v>
      </c>
      <c r="Q210">
        <v>1</v>
      </c>
      <c r="W210">
        <v>0</v>
      </c>
      <c r="X210">
        <v>1087580389</v>
      </c>
      <c r="Y210">
        <f>(AT210*1.1)</f>
        <v>1.1000000000000001E-2</v>
      </c>
      <c r="AA210">
        <v>0</v>
      </c>
      <c r="AB210">
        <v>2579.38</v>
      </c>
      <c r="AC210">
        <v>974.74</v>
      </c>
      <c r="AD210">
        <v>0</v>
      </c>
      <c r="AE210">
        <v>0</v>
      </c>
      <c r="AF210">
        <v>179.17</v>
      </c>
      <c r="AG210">
        <v>16.93</v>
      </c>
      <c r="AH210">
        <v>0</v>
      </c>
      <c r="AI210">
        <v>1</v>
      </c>
      <c r="AJ210">
        <v>13.75</v>
      </c>
      <c r="AK210">
        <v>54.99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0.01</v>
      </c>
      <c r="AU210" t="s">
        <v>26</v>
      </c>
      <c r="AV210">
        <v>0</v>
      </c>
      <c r="AW210">
        <v>2</v>
      </c>
      <c r="AX210">
        <v>59213936</v>
      </c>
      <c r="AY210">
        <v>1</v>
      </c>
      <c r="AZ210">
        <v>0</v>
      </c>
      <c r="BA210">
        <v>230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ROUND(Y210*Source!I156*DO210,9)</f>
        <v>5.5869000000000002E-2</v>
      </c>
      <c r="CX210">
        <f>ROUND(Y210*Source!I156,9)</f>
        <v>3.3E-3</v>
      </c>
      <c r="CY210">
        <f>AB210</f>
        <v>2579.38</v>
      </c>
      <c r="CZ210">
        <f>AF210</f>
        <v>179.17</v>
      </c>
      <c r="DA210">
        <f>AJ210</f>
        <v>13.75</v>
      </c>
      <c r="DB210">
        <f>ROUND((ROUND(AT210*CZ210,2)*1.1),6)</f>
        <v>1.9690000000000001</v>
      </c>
      <c r="DC210">
        <f>ROUND((ROUND(AT210*AG210,2)*1.1),6)</f>
        <v>0.187</v>
      </c>
      <c r="DD210" t="s">
        <v>3</v>
      </c>
      <c r="DE210" t="s">
        <v>3</v>
      </c>
      <c r="DF210">
        <f t="shared" si="127"/>
        <v>0</v>
      </c>
      <c r="DG210">
        <f>ROUND(ROUND(AF210*AJ210,2)*CX210,2)</f>
        <v>8.1300000000000008</v>
      </c>
      <c r="DH210">
        <f>ROUND(ROUND(AG210*AK210,2)*CX210,2)</f>
        <v>3.07</v>
      </c>
      <c r="DI210">
        <f t="shared" si="126"/>
        <v>0</v>
      </c>
      <c r="DJ210">
        <f>DG210</f>
        <v>8.1300000000000008</v>
      </c>
      <c r="DK210">
        <v>0</v>
      </c>
      <c r="DL210" t="s">
        <v>338</v>
      </c>
      <c r="DM210">
        <v>0</v>
      </c>
      <c r="DN210" t="s">
        <v>333</v>
      </c>
      <c r="DO210">
        <v>16.93</v>
      </c>
    </row>
    <row r="211" spans="1:119" x14ac:dyDescent="0.2">
      <c r="A211">
        <f>ROW(Source!A156)</f>
        <v>156</v>
      </c>
      <c r="B211">
        <v>59213213</v>
      </c>
      <c r="C211">
        <v>59213640</v>
      </c>
      <c r="D211">
        <v>58309611</v>
      </c>
      <c r="E211">
        <v>1</v>
      </c>
      <c r="F211">
        <v>1</v>
      </c>
      <c r="G211">
        <v>1080</v>
      </c>
      <c r="H211">
        <v>3</v>
      </c>
      <c r="I211" t="s">
        <v>414</v>
      </c>
      <c r="J211" t="s">
        <v>415</v>
      </c>
      <c r="K211" t="s">
        <v>416</v>
      </c>
      <c r="L211">
        <v>1346</v>
      </c>
      <c r="N211">
        <v>1009</v>
      </c>
      <c r="O211" t="s">
        <v>244</v>
      </c>
      <c r="P211" t="s">
        <v>244</v>
      </c>
      <c r="Q211">
        <v>1</v>
      </c>
      <c r="W211">
        <v>0</v>
      </c>
      <c r="X211">
        <v>1770006655</v>
      </c>
      <c r="Y211">
        <f>(AT211*1)</f>
        <v>0.6</v>
      </c>
      <c r="AA211">
        <v>29.73</v>
      </c>
      <c r="AB211">
        <v>0</v>
      </c>
      <c r="AC211">
        <v>0</v>
      </c>
      <c r="AD211">
        <v>0</v>
      </c>
      <c r="AE211">
        <v>1.38</v>
      </c>
      <c r="AF211">
        <v>0</v>
      </c>
      <c r="AG211">
        <v>0</v>
      </c>
      <c r="AH211">
        <v>0</v>
      </c>
      <c r="AI211">
        <v>21.54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0.6</v>
      </c>
      <c r="AU211" t="s">
        <v>25</v>
      </c>
      <c r="AV211">
        <v>0</v>
      </c>
      <c r="AW211">
        <v>2</v>
      </c>
      <c r="AX211">
        <v>59213937</v>
      </c>
      <c r="AY211">
        <v>1</v>
      </c>
      <c r="AZ211">
        <v>0</v>
      </c>
      <c r="BA211">
        <v>231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ROUND(Y211*Source!I156,9)</f>
        <v>0.18</v>
      </c>
      <c r="CY211">
        <f t="shared" ref="CY211:CY216" si="132">AA211</f>
        <v>29.73</v>
      </c>
      <c r="CZ211">
        <f t="shared" ref="CZ211:CZ216" si="133">AE211</f>
        <v>1.38</v>
      </c>
      <c r="DA211">
        <f t="shared" ref="DA211:DA216" si="134">AI211</f>
        <v>21.54</v>
      </c>
      <c r="DB211">
        <f>ROUND((ROUND(AT211*CZ211,2)*1),6)</f>
        <v>0.83</v>
      </c>
      <c r="DC211">
        <f>ROUND((ROUND(AT211*AG211,2)*1),6)</f>
        <v>0</v>
      </c>
      <c r="DD211" t="s">
        <v>3</v>
      </c>
      <c r="DE211" t="s">
        <v>3</v>
      </c>
      <c r="DF211">
        <f t="shared" ref="DF211:DF216" si="135">ROUND(ROUND(AE211*AI211,2)*CX211,2)</f>
        <v>5.35</v>
      </c>
      <c r="DG211">
        <f t="shared" ref="DG211:DG226" si="136">ROUND(ROUND(AF211,2)*CX211,2)</f>
        <v>0</v>
      </c>
      <c r="DH211">
        <f t="shared" ref="DH211:DH226" si="137">ROUND(ROUND(AG211,2)*CX211,2)</f>
        <v>0</v>
      </c>
      <c r="DI211">
        <f t="shared" si="126"/>
        <v>0</v>
      </c>
      <c r="DJ211">
        <f t="shared" ref="DJ211:DJ216" si="138">DF211</f>
        <v>5.35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ROW(Source!A156)</f>
        <v>156</v>
      </c>
      <c r="B212">
        <v>59213213</v>
      </c>
      <c r="C212">
        <v>59213640</v>
      </c>
      <c r="D212">
        <v>58310002</v>
      </c>
      <c r="E212">
        <v>1</v>
      </c>
      <c r="F212">
        <v>1</v>
      </c>
      <c r="G212">
        <v>1080</v>
      </c>
      <c r="H212">
        <v>3</v>
      </c>
      <c r="I212" t="s">
        <v>417</v>
      </c>
      <c r="J212" t="s">
        <v>418</v>
      </c>
      <c r="K212" t="s">
        <v>419</v>
      </c>
      <c r="L212">
        <v>1346</v>
      </c>
      <c r="N212">
        <v>1009</v>
      </c>
      <c r="O212" t="s">
        <v>244</v>
      </c>
      <c r="P212" t="s">
        <v>244</v>
      </c>
      <c r="Q212">
        <v>1</v>
      </c>
      <c r="W212">
        <v>0</v>
      </c>
      <c r="X212">
        <v>-878159893</v>
      </c>
      <c r="Y212">
        <f>(AT212*1)</f>
        <v>0.16</v>
      </c>
      <c r="AA212">
        <v>286.31</v>
      </c>
      <c r="AB212">
        <v>0</v>
      </c>
      <c r="AC212">
        <v>0</v>
      </c>
      <c r="AD212">
        <v>0</v>
      </c>
      <c r="AE212">
        <v>159.06</v>
      </c>
      <c r="AF212">
        <v>0</v>
      </c>
      <c r="AG212">
        <v>0</v>
      </c>
      <c r="AH212">
        <v>0</v>
      </c>
      <c r="AI212">
        <v>1.8</v>
      </c>
      <c r="AJ212">
        <v>1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0.16</v>
      </c>
      <c r="AU212" t="s">
        <v>25</v>
      </c>
      <c r="AV212">
        <v>0</v>
      </c>
      <c r="AW212">
        <v>2</v>
      </c>
      <c r="AX212">
        <v>59213938</v>
      </c>
      <c r="AY212">
        <v>1</v>
      </c>
      <c r="AZ212">
        <v>0</v>
      </c>
      <c r="BA212">
        <v>232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ROUND(Y212*Source!I156,9)</f>
        <v>4.8000000000000001E-2</v>
      </c>
      <c r="CY212">
        <f t="shared" si="132"/>
        <v>286.31</v>
      </c>
      <c r="CZ212">
        <f t="shared" si="133"/>
        <v>159.06</v>
      </c>
      <c r="DA212">
        <f t="shared" si="134"/>
        <v>1.8</v>
      </c>
      <c r="DB212">
        <f>ROUND((ROUND(AT212*CZ212,2)*1),6)</f>
        <v>25.45</v>
      </c>
      <c r="DC212">
        <f>ROUND((ROUND(AT212*AG212,2)*1),6)</f>
        <v>0</v>
      </c>
      <c r="DD212" t="s">
        <v>3</v>
      </c>
      <c r="DE212" t="s">
        <v>3</v>
      </c>
      <c r="DF212">
        <f t="shared" si="135"/>
        <v>13.74</v>
      </c>
      <c r="DG212">
        <f t="shared" si="136"/>
        <v>0</v>
      </c>
      <c r="DH212">
        <f t="shared" si="137"/>
        <v>0</v>
      </c>
      <c r="DI212">
        <f t="shared" si="126"/>
        <v>0</v>
      </c>
      <c r="DJ212">
        <f t="shared" si="138"/>
        <v>13.74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ROW(Source!A156)</f>
        <v>156</v>
      </c>
      <c r="B213">
        <v>59213213</v>
      </c>
      <c r="C213">
        <v>59213640</v>
      </c>
      <c r="D213">
        <v>58332957</v>
      </c>
      <c r="E213">
        <v>1</v>
      </c>
      <c r="F213">
        <v>1</v>
      </c>
      <c r="G213">
        <v>1080</v>
      </c>
      <c r="H213">
        <v>3</v>
      </c>
      <c r="I213" t="s">
        <v>436</v>
      </c>
      <c r="J213" t="s">
        <v>437</v>
      </c>
      <c r="K213" t="s">
        <v>438</v>
      </c>
      <c r="L213">
        <v>1356</v>
      </c>
      <c r="N213">
        <v>1010</v>
      </c>
      <c r="O213" t="s">
        <v>426</v>
      </c>
      <c r="P213" t="s">
        <v>426</v>
      </c>
      <c r="Q213">
        <v>1000</v>
      </c>
      <c r="W213">
        <v>0</v>
      </c>
      <c r="X213">
        <v>-422648154</v>
      </c>
      <c r="Y213">
        <f>(AT213*1)</f>
        <v>1.2200000000000001E-2</v>
      </c>
      <c r="AA213">
        <v>1599.36</v>
      </c>
      <c r="AB213">
        <v>0</v>
      </c>
      <c r="AC213">
        <v>0</v>
      </c>
      <c r="AD213">
        <v>0</v>
      </c>
      <c r="AE213">
        <v>226.86</v>
      </c>
      <c r="AF213">
        <v>0</v>
      </c>
      <c r="AG213">
        <v>0</v>
      </c>
      <c r="AH213">
        <v>0</v>
      </c>
      <c r="AI213">
        <v>7.05</v>
      </c>
      <c r="AJ213">
        <v>1</v>
      </c>
      <c r="AK213">
        <v>1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1.2200000000000001E-2</v>
      </c>
      <c r="AU213" t="s">
        <v>25</v>
      </c>
      <c r="AV213">
        <v>0</v>
      </c>
      <c r="AW213">
        <v>2</v>
      </c>
      <c r="AX213">
        <v>59213939</v>
      </c>
      <c r="AY213">
        <v>1</v>
      </c>
      <c r="AZ213">
        <v>0</v>
      </c>
      <c r="BA213">
        <v>233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ROUND(Y213*Source!I156,9)</f>
        <v>3.6600000000000001E-3</v>
      </c>
      <c r="CY213">
        <f t="shared" si="132"/>
        <v>1599.36</v>
      </c>
      <c r="CZ213">
        <f t="shared" si="133"/>
        <v>226.86</v>
      </c>
      <c r="DA213">
        <f t="shared" si="134"/>
        <v>7.05</v>
      </c>
      <c r="DB213">
        <f>ROUND((ROUND(AT213*CZ213,2)*1),6)</f>
        <v>2.77</v>
      </c>
      <c r="DC213">
        <f>ROUND((ROUND(AT213*AG213,2)*1),6)</f>
        <v>0</v>
      </c>
      <c r="DD213" t="s">
        <v>3</v>
      </c>
      <c r="DE213" t="s">
        <v>3</v>
      </c>
      <c r="DF213">
        <f t="shared" si="135"/>
        <v>5.85</v>
      </c>
      <c r="DG213">
        <f t="shared" si="136"/>
        <v>0</v>
      </c>
      <c r="DH213">
        <f t="shared" si="137"/>
        <v>0</v>
      </c>
      <c r="DI213">
        <f t="shared" si="126"/>
        <v>0</v>
      </c>
      <c r="DJ213">
        <f t="shared" si="138"/>
        <v>5.85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ROW(Source!A156)</f>
        <v>156</v>
      </c>
      <c r="B214">
        <v>59213213</v>
      </c>
      <c r="C214">
        <v>59213640</v>
      </c>
      <c r="D214">
        <v>58332282</v>
      </c>
      <c r="E214">
        <v>1</v>
      </c>
      <c r="F214">
        <v>1</v>
      </c>
      <c r="G214">
        <v>1080</v>
      </c>
      <c r="H214">
        <v>3</v>
      </c>
      <c r="I214" t="s">
        <v>427</v>
      </c>
      <c r="J214" t="s">
        <v>428</v>
      </c>
      <c r="K214" t="s">
        <v>429</v>
      </c>
      <c r="L214">
        <v>1354</v>
      </c>
      <c r="N214">
        <v>1010</v>
      </c>
      <c r="O214" t="s">
        <v>34</v>
      </c>
      <c r="P214" t="s">
        <v>34</v>
      </c>
      <c r="Q214">
        <v>1</v>
      </c>
      <c r="W214">
        <v>0</v>
      </c>
      <c r="X214">
        <v>145081611</v>
      </c>
      <c r="Y214">
        <f>(AT214*1)</f>
        <v>3.1</v>
      </c>
      <c r="AA214">
        <v>25.47</v>
      </c>
      <c r="AB214">
        <v>0</v>
      </c>
      <c r="AC214">
        <v>0</v>
      </c>
      <c r="AD214">
        <v>0</v>
      </c>
      <c r="AE214">
        <v>6.94</v>
      </c>
      <c r="AF214">
        <v>0</v>
      </c>
      <c r="AG214">
        <v>0</v>
      </c>
      <c r="AH214">
        <v>0</v>
      </c>
      <c r="AI214">
        <v>3.67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3.1</v>
      </c>
      <c r="AU214" t="s">
        <v>25</v>
      </c>
      <c r="AV214">
        <v>0</v>
      </c>
      <c r="AW214">
        <v>2</v>
      </c>
      <c r="AX214">
        <v>59213940</v>
      </c>
      <c r="AY214">
        <v>1</v>
      </c>
      <c r="AZ214">
        <v>0</v>
      </c>
      <c r="BA214">
        <v>234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ROUND(Y214*Source!I156,9)</f>
        <v>0.93</v>
      </c>
      <c r="CY214">
        <f t="shared" si="132"/>
        <v>25.47</v>
      </c>
      <c r="CZ214">
        <f t="shared" si="133"/>
        <v>6.94</v>
      </c>
      <c r="DA214">
        <f t="shared" si="134"/>
        <v>3.67</v>
      </c>
      <c r="DB214">
        <f>ROUND((ROUND(AT214*CZ214,2)*1),6)</f>
        <v>21.51</v>
      </c>
      <c r="DC214">
        <f>ROUND((ROUND(AT214*AG214,2)*1),6)</f>
        <v>0</v>
      </c>
      <c r="DD214" t="s">
        <v>3</v>
      </c>
      <c r="DE214" t="s">
        <v>3</v>
      </c>
      <c r="DF214">
        <f t="shared" si="135"/>
        <v>23.69</v>
      </c>
      <c r="DG214">
        <f t="shared" si="136"/>
        <v>0</v>
      </c>
      <c r="DH214">
        <f t="shared" si="137"/>
        <v>0</v>
      </c>
      <c r="DI214">
        <f t="shared" si="126"/>
        <v>0</v>
      </c>
      <c r="DJ214">
        <f t="shared" si="138"/>
        <v>23.69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ROW(Source!A156)</f>
        <v>156</v>
      </c>
      <c r="B215">
        <v>59213213</v>
      </c>
      <c r="C215">
        <v>59213640</v>
      </c>
      <c r="D215">
        <v>58332290</v>
      </c>
      <c r="E215">
        <v>1</v>
      </c>
      <c r="F215">
        <v>1</v>
      </c>
      <c r="G215">
        <v>1080</v>
      </c>
      <c r="H215">
        <v>3</v>
      </c>
      <c r="I215" t="s">
        <v>439</v>
      </c>
      <c r="J215" t="s">
        <v>440</v>
      </c>
      <c r="K215" t="s">
        <v>441</v>
      </c>
      <c r="L215">
        <v>1356</v>
      </c>
      <c r="N215">
        <v>1010</v>
      </c>
      <c r="O215" t="s">
        <v>426</v>
      </c>
      <c r="P215" t="s">
        <v>426</v>
      </c>
      <c r="Q215">
        <v>1000</v>
      </c>
      <c r="W215">
        <v>0</v>
      </c>
      <c r="X215">
        <v>807379832</v>
      </c>
      <c r="Y215">
        <f>(AT215*1)</f>
        <v>8.0000000000000002E-3</v>
      </c>
      <c r="AA215">
        <v>1197.48</v>
      </c>
      <c r="AB215">
        <v>0</v>
      </c>
      <c r="AC215">
        <v>0</v>
      </c>
      <c r="AD215">
        <v>0</v>
      </c>
      <c r="AE215">
        <v>614.09</v>
      </c>
      <c r="AF215">
        <v>0</v>
      </c>
      <c r="AG215">
        <v>0</v>
      </c>
      <c r="AH215">
        <v>0</v>
      </c>
      <c r="AI215">
        <v>1.95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8.0000000000000002E-3</v>
      </c>
      <c r="AU215" t="s">
        <v>25</v>
      </c>
      <c r="AV215">
        <v>0</v>
      </c>
      <c r="AW215">
        <v>2</v>
      </c>
      <c r="AX215">
        <v>59213941</v>
      </c>
      <c r="AY215">
        <v>1</v>
      </c>
      <c r="AZ215">
        <v>0</v>
      </c>
      <c r="BA215">
        <v>235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ROUND(Y215*Source!I156,9)</f>
        <v>2.3999999999999998E-3</v>
      </c>
      <c r="CY215">
        <f t="shared" si="132"/>
        <v>1197.48</v>
      </c>
      <c r="CZ215">
        <f t="shared" si="133"/>
        <v>614.09</v>
      </c>
      <c r="DA215">
        <f t="shared" si="134"/>
        <v>1.95</v>
      </c>
      <c r="DB215">
        <f>ROUND((ROUND(AT215*CZ215,2)*1),6)</f>
        <v>4.91</v>
      </c>
      <c r="DC215">
        <f>ROUND((ROUND(AT215*AG215,2)*1),6)</f>
        <v>0</v>
      </c>
      <c r="DD215" t="s">
        <v>3</v>
      </c>
      <c r="DE215" t="s">
        <v>3</v>
      </c>
      <c r="DF215">
        <f t="shared" si="135"/>
        <v>2.87</v>
      </c>
      <c r="DG215">
        <f t="shared" si="136"/>
        <v>0</v>
      </c>
      <c r="DH215">
        <f t="shared" si="137"/>
        <v>0</v>
      </c>
      <c r="DI215">
        <f t="shared" si="126"/>
        <v>0</v>
      </c>
      <c r="DJ215">
        <f t="shared" si="138"/>
        <v>2.87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ROW(Source!A156)</f>
        <v>156</v>
      </c>
      <c r="B216">
        <v>59213213</v>
      </c>
      <c r="C216">
        <v>59213640</v>
      </c>
      <c r="D216">
        <v>0</v>
      </c>
      <c r="E216">
        <v>1080</v>
      </c>
      <c r="F216">
        <v>1</v>
      </c>
      <c r="G216">
        <v>1080</v>
      </c>
      <c r="H216">
        <v>3</v>
      </c>
      <c r="I216" t="s">
        <v>273</v>
      </c>
      <c r="J216" t="s">
        <v>3</v>
      </c>
      <c r="K216" t="s">
        <v>274</v>
      </c>
      <c r="L216">
        <v>1303</v>
      </c>
      <c r="N216">
        <v>1003</v>
      </c>
      <c r="O216" t="s">
        <v>256</v>
      </c>
      <c r="P216" t="s">
        <v>256</v>
      </c>
      <c r="Q216">
        <v>1000</v>
      </c>
      <c r="W216">
        <v>0</v>
      </c>
      <c r="X216">
        <v>494778067</v>
      </c>
      <c r="Y216">
        <f>AT216</f>
        <v>0.10199999999999999</v>
      </c>
      <c r="AA216">
        <v>15873.7</v>
      </c>
      <c r="AB216">
        <v>0</v>
      </c>
      <c r="AC216">
        <v>0</v>
      </c>
      <c r="AD216">
        <v>0</v>
      </c>
      <c r="AE216">
        <v>1606.65</v>
      </c>
      <c r="AF216">
        <v>0</v>
      </c>
      <c r="AG216">
        <v>0</v>
      </c>
      <c r="AH216">
        <v>0</v>
      </c>
      <c r="AI216">
        <v>9.8800000000000008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 t="s">
        <v>3</v>
      </c>
      <c r="AT216">
        <v>0.10199999999999999</v>
      </c>
      <c r="AU216" t="s">
        <v>3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ROUND(Y216*Source!I156,9)</f>
        <v>3.0599999999999999E-2</v>
      </c>
      <c r="CY216">
        <f t="shared" si="132"/>
        <v>15873.7</v>
      </c>
      <c r="CZ216">
        <f t="shared" si="133"/>
        <v>1606.65</v>
      </c>
      <c r="DA216">
        <f t="shared" si="134"/>
        <v>9.8800000000000008</v>
      </c>
      <c r="DB216">
        <f>ROUND(ROUND(AT216*CZ216,2),6)</f>
        <v>163.88</v>
      </c>
      <c r="DC216">
        <f>ROUND(ROUND(AT216*AG216,2),6)</f>
        <v>0</v>
      </c>
      <c r="DD216" t="s">
        <v>3</v>
      </c>
      <c r="DE216" t="s">
        <v>3</v>
      </c>
      <c r="DF216">
        <f t="shared" si="135"/>
        <v>485.74</v>
      </c>
      <c r="DG216">
        <f t="shared" si="136"/>
        <v>0</v>
      </c>
      <c r="DH216">
        <f t="shared" si="137"/>
        <v>0</v>
      </c>
      <c r="DI216">
        <f t="shared" si="126"/>
        <v>0</v>
      </c>
      <c r="DJ216">
        <f t="shared" si="138"/>
        <v>485.74</v>
      </c>
      <c r="DK216">
        <v>2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ROW(Source!A159)</f>
        <v>159</v>
      </c>
      <c r="B217">
        <v>59213216</v>
      </c>
      <c r="C217">
        <v>59213660</v>
      </c>
      <c r="D217">
        <v>58266404</v>
      </c>
      <c r="E217">
        <v>1080</v>
      </c>
      <c r="F217">
        <v>1</v>
      </c>
      <c r="G217">
        <v>1080</v>
      </c>
      <c r="H217">
        <v>1</v>
      </c>
      <c r="I217" t="s">
        <v>331</v>
      </c>
      <c r="J217" t="s">
        <v>3</v>
      </c>
      <c r="K217" t="s">
        <v>332</v>
      </c>
      <c r="L217">
        <v>1191</v>
      </c>
      <c r="N217">
        <v>1013</v>
      </c>
      <c r="O217" t="s">
        <v>333</v>
      </c>
      <c r="P217" t="s">
        <v>333</v>
      </c>
      <c r="Q217">
        <v>1</v>
      </c>
      <c r="W217">
        <v>0</v>
      </c>
      <c r="X217">
        <v>476480486</v>
      </c>
      <c r="Y217">
        <f>(AT217*1.1)</f>
        <v>2.0130000000000003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1.83</v>
      </c>
      <c r="AU217" t="s">
        <v>26</v>
      </c>
      <c r="AV217">
        <v>1</v>
      </c>
      <c r="AW217">
        <v>2</v>
      </c>
      <c r="AX217">
        <v>59213943</v>
      </c>
      <c r="AY217">
        <v>1</v>
      </c>
      <c r="AZ217">
        <v>0</v>
      </c>
      <c r="BA217">
        <v>237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ROUND(AT217*Source!I159*AH217*AL217,2)</f>
        <v>0</v>
      </c>
      <c r="CV217">
        <f>ROUND(Y217*Source!I159,9)</f>
        <v>9.0585000000000004</v>
      </c>
      <c r="CW217">
        <v>0</v>
      </c>
      <c r="CX217">
        <f>ROUND(Y217*Source!I159,9)</f>
        <v>9.0585000000000004</v>
      </c>
      <c r="CY217">
        <f>AD217</f>
        <v>0</v>
      </c>
      <c r="CZ217">
        <f>AH217</f>
        <v>0</v>
      </c>
      <c r="DA217">
        <f>AL217</f>
        <v>1</v>
      </c>
      <c r="DB217">
        <f>ROUND((ROUND(AT217*CZ217,2)*1.1),6)</f>
        <v>0</v>
      </c>
      <c r="DC217">
        <f>ROUND((ROUND(AT217*AG217,2)*1.1),6)</f>
        <v>0</v>
      </c>
      <c r="DD217" t="s">
        <v>3</v>
      </c>
      <c r="DE217" t="s">
        <v>3</v>
      </c>
      <c r="DF217">
        <f t="shared" ref="DF217:DF228" si="139">ROUND(ROUND(AE217,2)*CX217,2)</f>
        <v>0</v>
      </c>
      <c r="DG217">
        <f t="shared" si="136"/>
        <v>0</v>
      </c>
      <c r="DH217">
        <f t="shared" si="137"/>
        <v>0</v>
      </c>
      <c r="DI217">
        <f t="shared" si="126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ROW(Source!A159)</f>
        <v>159</v>
      </c>
      <c r="B218">
        <v>59213216</v>
      </c>
      <c r="C218">
        <v>59213660</v>
      </c>
      <c r="D218">
        <v>58340578</v>
      </c>
      <c r="E218">
        <v>1</v>
      </c>
      <c r="F218">
        <v>1</v>
      </c>
      <c r="G218">
        <v>1080</v>
      </c>
      <c r="H218">
        <v>2</v>
      </c>
      <c r="I218" t="s">
        <v>334</v>
      </c>
      <c r="J218" t="s">
        <v>335</v>
      </c>
      <c r="K218" t="s">
        <v>336</v>
      </c>
      <c r="L218">
        <v>1368</v>
      </c>
      <c r="N218">
        <v>1011</v>
      </c>
      <c r="O218" t="s">
        <v>337</v>
      </c>
      <c r="P218" t="s">
        <v>337</v>
      </c>
      <c r="Q218">
        <v>1</v>
      </c>
      <c r="W218">
        <v>0</v>
      </c>
      <c r="X218">
        <v>-1985943078</v>
      </c>
      <c r="Y218">
        <f>(AT218*1.1)</f>
        <v>1.1000000000000001E-2</v>
      </c>
      <c r="AA218">
        <v>0</v>
      </c>
      <c r="AB218">
        <v>87.01</v>
      </c>
      <c r="AC218">
        <v>13.21</v>
      </c>
      <c r="AD218">
        <v>0</v>
      </c>
      <c r="AE218">
        <v>0</v>
      </c>
      <c r="AF218">
        <v>83.1</v>
      </c>
      <c r="AG218">
        <v>12.62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0.01</v>
      </c>
      <c r="AU218" t="s">
        <v>26</v>
      </c>
      <c r="AV218">
        <v>0</v>
      </c>
      <c r="AW218">
        <v>2</v>
      </c>
      <c r="AX218">
        <v>59213944</v>
      </c>
      <c r="AY218">
        <v>1</v>
      </c>
      <c r="AZ218">
        <v>0</v>
      </c>
      <c r="BA218">
        <v>238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ROUND(Y218*Source!I159*DO218,9)</f>
        <v>0.62468999999999997</v>
      </c>
      <c r="CX218">
        <f>ROUND(Y218*Source!I159,9)</f>
        <v>4.9500000000000002E-2</v>
      </c>
      <c r="CY218">
        <f>AB218</f>
        <v>87.01</v>
      </c>
      <c r="CZ218">
        <f>AF218</f>
        <v>83.1</v>
      </c>
      <c r="DA218">
        <f>AJ218</f>
        <v>1</v>
      </c>
      <c r="DB218">
        <f>ROUND((ROUND(AT218*CZ218,2)*1.1),6)</f>
        <v>0.91300000000000003</v>
      </c>
      <c r="DC218">
        <f>ROUND((ROUND(AT218*AG218,2)*1.1),6)</f>
        <v>0.14299999999999999</v>
      </c>
      <c r="DD218" t="s">
        <v>3</v>
      </c>
      <c r="DE218" t="s">
        <v>3</v>
      </c>
      <c r="DF218">
        <f t="shared" si="139"/>
        <v>0</v>
      </c>
      <c r="DG218">
        <f t="shared" si="136"/>
        <v>4.1100000000000003</v>
      </c>
      <c r="DH218">
        <f t="shared" si="137"/>
        <v>0.62</v>
      </c>
      <c r="DI218">
        <f t="shared" si="126"/>
        <v>0</v>
      </c>
      <c r="DJ218">
        <f>DG218</f>
        <v>4.1100000000000003</v>
      </c>
      <c r="DK218">
        <v>0</v>
      </c>
      <c r="DL218" t="s">
        <v>338</v>
      </c>
      <c r="DM218">
        <v>0</v>
      </c>
      <c r="DN218" t="s">
        <v>333</v>
      </c>
      <c r="DO218">
        <v>12.62</v>
      </c>
    </row>
    <row r="219" spans="1:119" x14ac:dyDescent="0.2">
      <c r="A219">
        <f>ROW(Source!A159)</f>
        <v>159</v>
      </c>
      <c r="B219">
        <v>59213216</v>
      </c>
      <c r="C219">
        <v>59213660</v>
      </c>
      <c r="D219">
        <v>58339814</v>
      </c>
      <c r="E219">
        <v>1</v>
      </c>
      <c r="F219">
        <v>1</v>
      </c>
      <c r="G219">
        <v>1080</v>
      </c>
      <c r="H219">
        <v>2</v>
      </c>
      <c r="I219" t="s">
        <v>411</v>
      </c>
      <c r="J219" t="s">
        <v>412</v>
      </c>
      <c r="K219" t="s">
        <v>413</v>
      </c>
      <c r="L219">
        <v>1368</v>
      </c>
      <c r="N219">
        <v>1011</v>
      </c>
      <c r="O219" t="s">
        <v>337</v>
      </c>
      <c r="P219" t="s">
        <v>337</v>
      </c>
      <c r="Q219">
        <v>1</v>
      </c>
      <c r="W219">
        <v>0</v>
      </c>
      <c r="X219">
        <v>1087580389</v>
      </c>
      <c r="Y219">
        <f>(AT219*1.1)</f>
        <v>1.1000000000000001E-2</v>
      </c>
      <c r="AA219">
        <v>0</v>
      </c>
      <c r="AB219">
        <v>187.59</v>
      </c>
      <c r="AC219">
        <v>17.73</v>
      </c>
      <c r="AD219">
        <v>0</v>
      </c>
      <c r="AE219">
        <v>0</v>
      </c>
      <c r="AF219">
        <v>179.17</v>
      </c>
      <c r="AG219">
        <v>16.93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0.01</v>
      </c>
      <c r="AU219" t="s">
        <v>26</v>
      </c>
      <c r="AV219">
        <v>0</v>
      </c>
      <c r="AW219">
        <v>2</v>
      </c>
      <c r="AX219">
        <v>59213945</v>
      </c>
      <c r="AY219">
        <v>1</v>
      </c>
      <c r="AZ219">
        <v>0</v>
      </c>
      <c r="BA219">
        <v>239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f>ROUND(Y219*Source!I159*DO219,9)</f>
        <v>0.83803499999999997</v>
      </c>
      <c r="CX219">
        <f>ROUND(Y219*Source!I159,9)</f>
        <v>4.9500000000000002E-2</v>
      </c>
      <c r="CY219">
        <f>AB219</f>
        <v>187.59</v>
      </c>
      <c r="CZ219">
        <f>AF219</f>
        <v>179.17</v>
      </c>
      <c r="DA219">
        <f>AJ219</f>
        <v>1</v>
      </c>
      <c r="DB219">
        <f>ROUND((ROUND(AT219*CZ219,2)*1.1),6)</f>
        <v>1.9690000000000001</v>
      </c>
      <c r="DC219">
        <f>ROUND((ROUND(AT219*AG219,2)*1.1),6)</f>
        <v>0.187</v>
      </c>
      <c r="DD219" t="s">
        <v>3</v>
      </c>
      <c r="DE219" t="s">
        <v>3</v>
      </c>
      <c r="DF219">
        <f t="shared" si="139"/>
        <v>0</v>
      </c>
      <c r="DG219">
        <f t="shared" si="136"/>
        <v>8.8699999999999992</v>
      </c>
      <c r="DH219">
        <f t="shared" si="137"/>
        <v>0.84</v>
      </c>
      <c r="DI219">
        <f t="shared" si="126"/>
        <v>0</v>
      </c>
      <c r="DJ219">
        <f>DG219</f>
        <v>8.8699999999999992</v>
      </c>
      <c r="DK219">
        <v>0</v>
      </c>
      <c r="DL219" t="s">
        <v>338</v>
      </c>
      <c r="DM219">
        <v>0</v>
      </c>
      <c r="DN219" t="s">
        <v>333</v>
      </c>
      <c r="DO219">
        <v>16.93</v>
      </c>
    </row>
    <row r="220" spans="1:119" x14ac:dyDescent="0.2">
      <c r="A220">
        <f>ROW(Source!A159)</f>
        <v>159</v>
      </c>
      <c r="B220">
        <v>59213216</v>
      </c>
      <c r="C220">
        <v>59213660</v>
      </c>
      <c r="D220">
        <v>58309611</v>
      </c>
      <c r="E220">
        <v>1</v>
      </c>
      <c r="F220">
        <v>1</v>
      </c>
      <c r="G220">
        <v>1080</v>
      </c>
      <c r="H220">
        <v>3</v>
      </c>
      <c r="I220" t="s">
        <v>414</v>
      </c>
      <c r="J220" t="s">
        <v>415</v>
      </c>
      <c r="K220" t="s">
        <v>416</v>
      </c>
      <c r="L220">
        <v>1346</v>
      </c>
      <c r="N220">
        <v>1009</v>
      </c>
      <c r="O220" t="s">
        <v>244</v>
      </c>
      <c r="P220" t="s">
        <v>244</v>
      </c>
      <c r="Q220">
        <v>1</v>
      </c>
      <c r="W220">
        <v>0</v>
      </c>
      <c r="X220">
        <v>1770006655</v>
      </c>
      <c r="Y220">
        <f>(AT220*1)</f>
        <v>0.6</v>
      </c>
      <c r="AA220">
        <v>1.38</v>
      </c>
      <c r="AB220">
        <v>0</v>
      </c>
      <c r="AC220">
        <v>0</v>
      </c>
      <c r="AD220">
        <v>0</v>
      </c>
      <c r="AE220">
        <v>1.38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0.6</v>
      </c>
      <c r="AU220" t="s">
        <v>25</v>
      </c>
      <c r="AV220">
        <v>0</v>
      </c>
      <c r="AW220">
        <v>2</v>
      </c>
      <c r="AX220">
        <v>59213946</v>
      </c>
      <c r="AY220">
        <v>1</v>
      </c>
      <c r="AZ220">
        <v>0</v>
      </c>
      <c r="BA220">
        <v>240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ROUND(Y220*Source!I159,9)</f>
        <v>2.7</v>
      </c>
      <c r="CY220">
        <f t="shared" ref="CY220:CY225" si="140">AA220</f>
        <v>1.38</v>
      </c>
      <c r="CZ220">
        <f t="shared" ref="CZ220:CZ225" si="141">AE220</f>
        <v>1.38</v>
      </c>
      <c r="DA220">
        <f t="shared" ref="DA220:DA225" si="142">AI220</f>
        <v>1</v>
      </c>
      <c r="DB220">
        <f>ROUND((ROUND(AT220*CZ220,2)*1),6)</f>
        <v>0.83</v>
      </c>
      <c r="DC220">
        <f>ROUND((ROUND(AT220*AG220,2)*1),6)</f>
        <v>0</v>
      </c>
      <c r="DD220" t="s">
        <v>3</v>
      </c>
      <c r="DE220" t="s">
        <v>3</v>
      </c>
      <c r="DF220">
        <f t="shared" si="139"/>
        <v>3.73</v>
      </c>
      <c r="DG220">
        <f t="shared" si="136"/>
        <v>0</v>
      </c>
      <c r="DH220">
        <f t="shared" si="137"/>
        <v>0</v>
      </c>
      <c r="DI220">
        <f t="shared" si="126"/>
        <v>0</v>
      </c>
      <c r="DJ220">
        <f t="shared" ref="DJ220:DJ225" si="143">DF220</f>
        <v>3.73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ROW(Source!A159)</f>
        <v>159</v>
      </c>
      <c r="B221">
        <v>59213216</v>
      </c>
      <c r="C221">
        <v>59213660</v>
      </c>
      <c r="D221">
        <v>58310002</v>
      </c>
      <c r="E221">
        <v>1</v>
      </c>
      <c r="F221">
        <v>1</v>
      </c>
      <c r="G221">
        <v>1080</v>
      </c>
      <c r="H221">
        <v>3</v>
      </c>
      <c r="I221" t="s">
        <v>417</v>
      </c>
      <c r="J221" t="s">
        <v>418</v>
      </c>
      <c r="K221" t="s">
        <v>419</v>
      </c>
      <c r="L221">
        <v>1346</v>
      </c>
      <c r="N221">
        <v>1009</v>
      </c>
      <c r="O221" t="s">
        <v>244</v>
      </c>
      <c r="P221" t="s">
        <v>244</v>
      </c>
      <c r="Q221">
        <v>1</v>
      </c>
      <c r="W221">
        <v>0</v>
      </c>
      <c r="X221">
        <v>-878159893</v>
      </c>
      <c r="Y221">
        <f>(AT221*1)</f>
        <v>0.16</v>
      </c>
      <c r="AA221">
        <v>159.06</v>
      </c>
      <c r="AB221">
        <v>0</v>
      </c>
      <c r="AC221">
        <v>0</v>
      </c>
      <c r="AD221">
        <v>0</v>
      </c>
      <c r="AE221">
        <v>159.06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0.16</v>
      </c>
      <c r="AU221" t="s">
        <v>25</v>
      </c>
      <c r="AV221">
        <v>0</v>
      </c>
      <c r="AW221">
        <v>2</v>
      </c>
      <c r="AX221">
        <v>59213947</v>
      </c>
      <c r="AY221">
        <v>1</v>
      </c>
      <c r="AZ221">
        <v>0</v>
      </c>
      <c r="BA221">
        <v>241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ROUND(Y221*Source!I159,9)</f>
        <v>0.72</v>
      </c>
      <c r="CY221">
        <f t="shared" si="140"/>
        <v>159.06</v>
      </c>
      <c r="CZ221">
        <f t="shared" si="141"/>
        <v>159.06</v>
      </c>
      <c r="DA221">
        <f t="shared" si="142"/>
        <v>1</v>
      </c>
      <c r="DB221">
        <f>ROUND((ROUND(AT221*CZ221,2)*1),6)</f>
        <v>25.45</v>
      </c>
      <c r="DC221">
        <f>ROUND((ROUND(AT221*AG221,2)*1),6)</f>
        <v>0</v>
      </c>
      <c r="DD221" t="s">
        <v>3</v>
      </c>
      <c r="DE221" t="s">
        <v>3</v>
      </c>
      <c r="DF221">
        <f t="shared" si="139"/>
        <v>114.52</v>
      </c>
      <c r="DG221">
        <f t="shared" si="136"/>
        <v>0</v>
      </c>
      <c r="DH221">
        <f t="shared" si="137"/>
        <v>0</v>
      </c>
      <c r="DI221">
        <f t="shared" si="126"/>
        <v>0</v>
      </c>
      <c r="DJ221">
        <f t="shared" si="143"/>
        <v>114.52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ROW(Source!A159)</f>
        <v>159</v>
      </c>
      <c r="B222">
        <v>59213216</v>
      </c>
      <c r="C222">
        <v>59213660</v>
      </c>
      <c r="D222">
        <v>58332957</v>
      </c>
      <c r="E222">
        <v>1</v>
      </c>
      <c r="F222">
        <v>1</v>
      </c>
      <c r="G222">
        <v>1080</v>
      </c>
      <c r="H222">
        <v>3</v>
      </c>
      <c r="I222" t="s">
        <v>436</v>
      </c>
      <c r="J222" t="s">
        <v>437</v>
      </c>
      <c r="K222" t="s">
        <v>438</v>
      </c>
      <c r="L222">
        <v>1356</v>
      </c>
      <c r="N222">
        <v>1010</v>
      </c>
      <c r="O222" t="s">
        <v>426</v>
      </c>
      <c r="P222" t="s">
        <v>426</v>
      </c>
      <c r="Q222">
        <v>1000</v>
      </c>
      <c r="W222">
        <v>0</v>
      </c>
      <c r="X222">
        <v>-422648154</v>
      </c>
      <c r="Y222">
        <f>(AT222*1)</f>
        <v>1.2200000000000001E-2</v>
      </c>
      <c r="AA222">
        <v>226.86</v>
      </c>
      <c r="AB222">
        <v>0</v>
      </c>
      <c r="AC222">
        <v>0</v>
      </c>
      <c r="AD222">
        <v>0</v>
      </c>
      <c r="AE222">
        <v>226.86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1.2200000000000001E-2</v>
      </c>
      <c r="AU222" t="s">
        <v>25</v>
      </c>
      <c r="AV222">
        <v>0</v>
      </c>
      <c r="AW222">
        <v>2</v>
      </c>
      <c r="AX222">
        <v>59213948</v>
      </c>
      <c r="AY222">
        <v>1</v>
      </c>
      <c r="AZ222">
        <v>0</v>
      </c>
      <c r="BA222">
        <v>242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ROUND(Y222*Source!I159,9)</f>
        <v>5.4899999999999997E-2</v>
      </c>
      <c r="CY222">
        <f t="shared" si="140"/>
        <v>226.86</v>
      </c>
      <c r="CZ222">
        <f t="shared" si="141"/>
        <v>226.86</v>
      </c>
      <c r="DA222">
        <f t="shared" si="142"/>
        <v>1</v>
      </c>
      <c r="DB222">
        <f>ROUND((ROUND(AT222*CZ222,2)*1),6)</f>
        <v>2.77</v>
      </c>
      <c r="DC222">
        <f>ROUND((ROUND(AT222*AG222,2)*1),6)</f>
        <v>0</v>
      </c>
      <c r="DD222" t="s">
        <v>3</v>
      </c>
      <c r="DE222" t="s">
        <v>3</v>
      </c>
      <c r="DF222">
        <f t="shared" si="139"/>
        <v>12.45</v>
      </c>
      <c r="DG222">
        <f t="shared" si="136"/>
        <v>0</v>
      </c>
      <c r="DH222">
        <f t="shared" si="137"/>
        <v>0</v>
      </c>
      <c r="DI222">
        <f t="shared" si="126"/>
        <v>0</v>
      </c>
      <c r="DJ222">
        <f t="shared" si="143"/>
        <v>12.45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ROW(Source!A159)</f>
        <v>159</v>
      </c>
      <c r="B223">
        <v>59213216</v>
      </c>
      <c r="C223">
        <v>59213660</v>
      </c>
      <c r="D223">
        <v>58332282</v>
      </c>
      <c r="E223">
        <v>1</v>
      </c>
      <c r="F223">
        <v>1</v>
      </c>
      <c r="G223">
        <v>1080</v>
      </c>
      <c r="H223">
        <v>3</v>
      </c>
      <c r="I223" t="s">
        <v>427</v>
      </c>
      <c r="J223" t="s">
        <v>428</v>
      </c>
      <c r="K223" t="s">
        <v>429</v>
      </c>
      <c r="L223">
        <v>1354</v>
      </c>
      <c r="N223">
        <v>1010</v>
      </c>
      <c r="O223" t="s">
        <v>34</v>
      </c>
      <c r="P223" t="s">
        <v>34</v>
      </c>
      <c r="Q223">
        <v>1</v>
      </c>
      <c r="W223">
        <v>0</v>
      </c>
      <c r="X223">
        <v>145081611</v>
      </c>
      <c r="Y223">
        <f>(AT223*1)</f>
        <v>3.1</v>
      </c>
      <c r="AA223">
        <v>6.94</v>
      </c>
      <c r="AB223">
        <v>0</v>
      </c>
      <c r="AC223">
        <v>0</v>
      </c>
      <c r="AD223">
        <v>0</v>
      </c>
      <c r="AE223">
        <v>6.94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3.1</v>
      </c>
      <c r="AU223" t="s">
        <v>25</v>
      </c>
      <c r="AV223">
        <v>0</v>
      </c>
      <c r="AW223">
        <v>2</v>
      </c>
      <c r="AX223">
        <v>59213949</v>
      </c>
      <c r="AY223">
        <v>1</v>
      </c>
      <c r="AZ223">
        <v>0</v>
      </c>
      <c r="BA223">
        <v>243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ROUND(Y223*Source!I159,9)</f>
        <v>13.95</v>
      </c>
      <c r="CY223">
        <f t="shared" si="140"/>
        <v>6.94</v>
      </c>
      <c r="CZ223">
        <f t="shared" si="141"/>
        <v>6.94</v>
      </c>
      <c r="DA223">
        <f t="shared" si="142"/>
        <v>1</v>
      </c>
      <c r="DB223">
        <f>ROUND((ROUND(AT223*CZ223,2)*1),6)</f>
        <v>21.51</v>
      </c>
      <c r="DC223">
        <f>ROUND((ROUND(AT223*AG223,2)*1),6)</f>
        <v>0</v>
      </c>
      <c r="DD223" t="s">
        <v>3</v>
      </c>
      <c r="DE223" t="s">
        <v>3</v>
      </c>
      <c r="DF223">
        <f t="shared" si="139"/>
        <v>96.81</v>
      </c>
      <c r="DG223">
        <f t="shared" si="136"/>
        <v>0</v>
      </c>
      <c r="DH223">
        <f t="shared" si="137"/>
        <v>0</v>
      </c>
      <c r="DI223">
        <f t="shared" si="126"/>
        <v>0</v>
      </c>
      <c r="DJ223">
        <f t="shared" si="143"/>
        <v>96.81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ROW(Source!A159)</f>
        <v>159</v>
      </c>
      <c r="B224">
        <v>59213216</v>
      </c>
      <c r="C224">
        <v>59213660</v>
      </c>
      <c r="D224">
        <v>58332290</v>
      </c>
      <c r="E224">
        <v>1</v>
      </c>
      <c r="F224">
        <v>1</v>
      </c>
      <c r="G224">
        <v>1080</v>
      </c>
      <c r="H224">
        <v>3</v>
      </c>
      <c r="I224" t="s">
        <v>439</v>
      </c>
      <c r="J224" t="s">
        <v>440</v>
      </c>
      <c r="K224" t="s">
        <v>441</v>
      </c>
      <c r="L224">
        <v>1356</v>
      </c>
      <c r="N224">
        <v>1010</v>
      </c>
      <c r="O224" t="s">
        <v>426</v>
      </c>
      <c r="P224" t="s">
        <v>426</v>
      </c>
      <c r="Q224">
        <v>1000</v>
      </c>
      <c r="W224">
        <v>0</v>
      </c>
      <c r="X224">
        <v>807379832</v>
      </c>
      <c r="Y224">
        <f>(AT224*1)</f>
        <v>8.0000000000000002E-3</v>
      </c>
      <c r="AA224">
        <v>614.09</v>
      </c>
      <c r="AB224">
        <v>0</v>
      </c>
      <c r="AC224">
        <v>0</v>
      </c>
      <c r="AD224">
        <v>0</v>
      </c>
      <c r="AE224">
        <v>614.09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8.0000000000000002E-3</v>
      </c>
      <c r="AU224" t="s">
        <v>25</v>
      </c>
      <c r="AV224">
        <v>0</v>
      </c>
      <c r="AW224">
        <v>2</v>
      </c>
      <c r="AX224">
        <v>59213950</v>
      </c>
      <c r="AY224">
        <v>1</v>
      </c>
      <c r="AZ224">
        <v>0</v>
      </c>
      <c r="BA224">
        <v>244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ROUND(Y224*Source!I159,9)</f>
        <v>3.5999999999999997E-2</v>
      </c>
      <c r="CY224">
        <f t="shared" si="140"/>
        <v>614.09</v>
      </c>
      <c r="CZ224">
        <f t="shared" si="141"/>
        <v>614.09</v>
      </c>
      <c r="DA224">
        <f t="shared" si="142"/>
        <v>1</v>
      </c>
      <c r="DB224">
        <f>ROUND((ROUND(AT224*CZ224,2)*1),6)</f>
        <v>4.91</v>
      </c>
      <c r="DC224">
        <f>ROUND((ROUND(AT224*AG224,2)*1),6)</f>
        <v>0</v>
      </c>
      <c r="DD224" t="s">
        <v>3</v>
      </c>
      <c r="DE224" t="s">
        <v>3</v>
      </c>
      <c r="DF224">
        <f t="shared" si="139"/>
        <v>22.11</v>
      </c>
      <c r="DG224">
        <f t="shared" si="136"/>
        <v>0</v>
      </c>
      <c r="DH224">
        <f t="shared" si="137"/>
        <v>0</v>
      </c>
      <c r="DI224">
        <f t="shared" si="126"/>
        <v>0</v>
      </c>
      <c r="DJ224">
        <f t="shared" si="143"/>
        <v>22.11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ROW(Source!A159)</f>
        <v>159</v>
      </c>
      <c r="B225">
        <v>59213216</v>
      </c>
      <c r="C225">
        <v>59213660</v>
      </c>
      <c r="D225">
        <v>0</v>
      </c>
      <c r="E225">
        <v>1080</v>
      </c>
      <c r="F225">
        <v>1</v>
      </c>
      <c r="G225">
        <v>1080</v>
      </c>
      <c r="H225">
        <v>3</v>
      </c>
      <c r="I225" t="s">
        <v>283</v>
      </c>
      <c r="J225" t="s">
        <v>3</v>
      </c>
      <c r="K225" t="s">
        <v>284</v>
      </c>
      <c r="L225">
        <v>1301</v>
      </c>
      <c r="N225">
        <v>1003</v>
      </c>
      <c r="O225" t="s">
        <v>222</v>
      </c>
      <c r="P225" t="s">
        <v>222</v>
      </c>
      <c r="Q225">
        <v>1</v>
      </c>
      <c r="W225">
        <v>0</v>
      </c>
      <c r="X225">
        <v>-76986313</v>
      </c>
      <c r="Y225">
        <f>AT225</f>
        <v>102</v>
      </c>
      <c r="AA225">
        <v>5.0599999999999996</v>
      </c>
      <c r="AB225">
        <v>0</v>
      </c>
      <c r="AC225">
        <v>0</v>
      </c>
      <c r="AD225">
        <v>0</v>
      </c>
      <c r="AE225">
        <v>5.0599999999999996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3</v>
      </c>
      <c r="AT225">
        <v>102</v>
      </c>
      <c r="AU225" t="s">
        <v>3</v>
      </c>
      <c r="AV225">
        <v>0</v>
      </c>
      <c r="AW225">
        <v>1</v>
      </c>
      <c r="AX225">
        <v>-1</v>
      </c>
      <c r="AY225">
        <v>0</v>
      </c>
      <c r="AZ225">
        <v>0</v>
      </c>
      <c r="BA225" t="s">
        <v>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ROUND(Y225*Source!I159,9)</f>
        <v>459</v>
      </c>
      <c r="CY225">
        <f t="shared" si="140"/>
        <v>5.0599999999999996</v>
      </c>
      <c r="CZ225">
        <f t="shared" si="141"/>
        <v>5.0599999999999996</v>
      </c>
      <c r="DA225">
        <f t="shared" si="142"/>
        <v>1</v>
      </c>
      <c r="DB225">
        <f>ROUND(ROUND(AT225*CZ225,2),6)</f>
        <v>516.12</v>
      </c>
      <c r="DC225">
        <f>ROUND(ROUND(AT225*AG225,2),6)</f>
        <v>0</v>
      </c>
      <c r="DD225" t="s">
        <v>3</v>
      </c>
      <c r="DE225" t="s">
        <v>3</v>
      </c>
      <c r="DF225">
        <f t="shared" si="139"/>
        <v>2322.54</v>
      </c>
      <c r="DG225">
        <f t="shared" si="136"/>
        <v>0</v>
      </c>
      <c r="DH225">
        <f t="shared" si="137"/>
        <v>0</v>
      </c>
      <c r="DI225">
        <f t="shared" si="126"/>
        <v>0</v>
      </c>
      <c r="DJ225">
        <f t="shared" si="143"/>
        <v>2322.54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ROW(Source!A160)</f>
        <v>160</v>
      </c>
      <c r="B226">
        <v>59213213</v>
      </c>
      <c r="C226">
        <v>59213660</v>
      </c>
      <c r="D226">
        <v>58266404</v>
      </c>
      <c r="E226">
        <v>1080</v>
      </c>
      <c r="F226">
        <v>1</v>
      </c>
      <c r="G226">
        <v>1080</v>
      </c>
      <c r="H226">
        <v>1</v>
      </c>
      <c r="I226" t="s">
        <v>331</v>
      </c>
      <c r="J226" t="s">
        <v>3</v>
      </c>
      <c r="K226" t="s">
        <v>332</v>
      </c>
      <c r="L226">
        <v>1191</v>
      </c>
      <c r="N226">
        <v>1013</v>
      </c>
      <c r="O226" t="s">
        <v>333</v>
      </c>
      <c r="P226" t="s">
        <v>333</v>
      </c>
      <c r="Q226">
        <v>1</v>
      </c>
      <c r="W226">
        <v>0</v>
      </c>
      <c r="X226">
        <v>476480486</v>
      </c>
      <c r="Y226">
        <f>(AT226*1.1)</f>
        <v>2.0130000000000003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5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1.83</v>
      </c>
      <c r="AU226" t="s">
        <v>26</v>
      </c>
      <c r="AV226">
        <v>1</v>
      </c>
      <c r="AW226">
        <v>2</v>
      </c>
      <c r="AX226">
        <v>59213943</v>
      </c>
      <c r="AY226">
        <v>1</v>
      </c>
      <c r="AZ226">
        <v>0</v>
      </c>
      <c r="BA226">
        <v>246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U226">
        <f>ROUND(AT226*Source!I160*AH226*AL226,2)</f>
        <v>0</v>
      </c>
      <c r="CV226">
        <f>ROUND(Y226*Source!I160,9)</f>
        <v>9.0585000000000004</v>
      </c>
      <c r="CW226">
        <v>0</v>
      </c>
      <c r="CX226">
        <f>ROUND(Y226*Source!I160,9)</f>
        <v>9.0585000000000004</v>
      </c>
      <c r="CY226">
        <f>AD226</f>
        <v>0</v>
      </c>
      <c r="CZ226">
        <f>AH226</f>
        <v>0</v>
      </c>
      <c r="DA226">
        <f>AL226</f>
        <v>1</v>
      </c>
      <c r="DB226">
        <f>ROUND((ROUND(AT226*CZ226,2)*1.1),6)</f>
        <v>0</v>
      </c>
      <c r="DC226">
        <f>ROUND((ROUND(AT226*AG226,2)*1.1),6)</f>
        <v>0</v>
      </c>
      <c r="DD226" t="s">
        <v>3</v>
      </c>
      <c r="DE226" t="s">
        <v>3</v>
      </c>
      <c r="DF226">
        <f t="shared" si="139"/>
        <v>0</v>
      </c>
      <c r="DG226">
        <f t="shared" si="136"/>
        <v>0</v>
      </c>
      <c r="DH226">
        <f t="shared" si="137"/>
        <v>0</v>
      </c>
      <c r="DI226">
        <f t="shared" si="126"/>
        <v>0</v>
      </c>
      <c r="DJ226">
        <f>DI226</f>
        <v>0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ROW(Source!A160)</f>
        <v>160</v>
      </c>
      <c r="B227">
        <v>59213213</v>
      </c>
      <c r="C227">
        <v>59213660</v>
      </c>
      <c r="D227">
        <v>58340578</v>
      </c>
      <c r="E227">
        <v>1</v>
      </c>
      <c r="F227">
        <v>1</v>
      </c>
      <c r="G227">
        <v>1080</v>
      </c>
      <c r="H227">
        <v>2</v>
      </c>
      <c r="I227" t="s">
        <v>334</v>
      </c>
      <c r="J227" t="s">
        <v>335</v>
      </c>
      <c r="K227" t="s">
        <v>336</v>
      </c>
      <c r="L227">
        <v>1368</v>
      </c>
      <c r="N227">
        <v>1011</v>
      </c>
      <c r="O227" t="s">
        <v>337</v>
      </c>
      <c r="P227" t="s">
        <v>337</v>
      </c>
      <c r="Q227">
        <v>1</v>
      </c>
      <c r="W227">
        <v>0</v>
      </c>
      <c r="X227">
        <v>-1985943078</v>
      </c>
      <c r="Y227">
        <f>(AT227*1.1)</f>
        <v>1.1000000000000001E-2</v>
      </c>
      <c r="AA227">
        <v>0</v>
      </c>
      <c r="AB227">
        <v>1418.19</v>
      </c>
      <c r="AC227">
        <v>726.59</v>
      </c>
      <c r="AD227">
        <v>0</v>
      </c>
      <c r="AE227">
        <v>0</v>
      </c>
      <c r="AF227">
        <v>83.1</v>
      </c>
      <c r="AG227">
        <v>12.62</v>
      </c>
      <c r="AH227">
        <v>0</v>
      </c>
      <c r="AI227">
        <v>1</v>
      </c>
      <c r="AJ227">
        <v>16.3</v>
      </c>
      <c r="AK227">
        <v>54.99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0.01</v>
      </c>
      <c r="AU227" t="s">
        <v>26</v>
      </c>
      <c r="AV227">
        <v>0</v>
      </c>
      <c r="AW227">
        <v>2</v>
      </c>
      <c r="AX227">
        <v>59213944</v>
      </c>
      <c r="AY227">
        <v>1</v>
      </c>
      <c r="AZ227">
        <v>0</v>
      </c>
      <c r="BA227">
        <v>247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ROUND(Y227*Source!I160*DO227,9)</f>
        <v>0.62468999999999997</v>
      </c>
      <c r="CX227">
        <f>ROUND(Y227*Source!I160,9)</f>
        <v>4.9500000000000002E-2</v>
      </c>
      <c r="CY227">
        <f>AB227</f>
        <v>1418.19</v>
      </c>
      <c r="CZ227">
        <f>AF227</f>
        <v>83.1</v>
      </c>
      <c r="DA227">
        <f>AJ227</f>
        <v>16.3</v>
      </c>
      <c r="DB227">
        <f>ROUND((ROUND(AT227*CZ227,2)*1.1),6)</f>
        <v>0.91300000000000003</v>
      </c>
      <c r="DC227">
        <f>ROUND((ROUND(AT227*AG227,2)*1.1),6)</f>
        <v>0.14299999999999999</v>
      </c>
      <c r="DD227" t="s">
        <v>3</v>
      </c>
      <c r="DE227" t="s">
        <v>3</v>
      </c>
      <c r="DF227">
        <f t="shared" si="139"/>
        <v>0</v>
      </c>
      <c r="DG227">
        <f>ROUND(ROUND(AF227*AJ227,2)*CX227,2)</f>
        <v>67.05</v>
      </c>
      <c r="DH227">
        <f>ROUND(ROUND(AG227*AK227,2)*CX227,2)</f>
        <v>34.35</v>
      </c>
      <c r="DI227">
        <f t="shared" si="126"/>
        <v>0</v>
      </c>
      <c r="DJ227">
        <f>DG227</f>
        <v>67.05</v>
      </c>
      <c r="DK227">
        <v>0</v>
      </c>
      <c r="DL227" t="s">
        <v>338</v>
      </c>
      <c r="DM227">
        <v>0</v>
      </c>
      <c r="DN227" t="s">
        <v>333</v>
      </c>
      <c r="DO227">
        <v>12.62</v>
      </c>
    </row>
    <row r="228" spans="1:119" x14ac:dyDescent="0.2">
      <c r="A228">
        <f>ROW(Source!A160)</f>
        <v>160</v>
      </c>
      <c r="B228">
        <v>59213213</v>
      </c>
      <c r="C228">
        <v>59213660</v>
      </c>
      <c r="D228">
        <v>58339814</v>
      </c>
      <c r="E228">
        <v>1</v>
      </c>
      <c r="F228">
        <v>1</v>
      </c>
      <c r="G228">
        <v>1080</v>
      </c>
      <c r="H228">
        <v>2</v>
      </c>
      <c r="I228" t="s">
        <v>411</v>
      </c>
      <c r="J228" t="s">
        <v>412</v>
      </c>
      <c r="K228" t="s">
        <v>413</v>
      </c>
      <c r="L228">
        <v>1368</v>
      </c>
      <c r="N228">
        <v>1011</v>
      </c>
      <c r="O228" t="s">
        <v>337</v>
      </c>
      <c r="P228" t="s">
        <v>337</v>
      </c>
      <c r="Q228">
        <v>1</v>
      </c>
      <c r="W228">
        <v>0</v>
      </c>
      <c r="X228">
        <v>1087580389</v>
      </c>
      <c r="Y228">
        <f>(AT228*1.1)</f>
        <v>1.1000000000000001E-2</v>
      </c>
      <c r="AA228">
        <v>0</v>
      </c>
      <c r="AB228">
        <v>2579.38</v>
      </c>
      <c r="AC228">
        <v>974.74</v>
      </c>
      <c r="AD228">
        <v>0</v>
      </c>
      <c r="AE228">
        <v>0</v>
      </c>
      <c r="AF228">
        <v>179.17</v>
      </c>
      <c r="AG228">
        <v>16.93</v>
      </c>
      <c r="AH228">
        <v>0</v>
      </c>
      <c r="AI228">
        <v>1</v>
      </c>
      <c r="AJ228">
        <v>13.75</v>
      </c>
      <c r="AK228">
        <v>54.99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0.01</v>
      </c>
      <c r="AU228" t="s">
        <v>26</v>
      </c>
      <c r="AV228">
        <v>0</v>
      </c>
      <c r="AW228">
        <v>2</v>
      </c>
      <c r="AX228">
        <v>59213945</v>
      </c>
      <c r="AY228">
        <v>1</v>
      </c>
      <c r="AZ228">
        <v>0</v>
      </c>
      <c r="BA228">
        <v>248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ROUND(Y228*Source!I160*DO228,9)</f>
        <v>0.83803499999999997</v>
      </c>
      <c r="CX228">
        <f>ROUND(Y228*Source!I160,9)</f>
        <v>4.9500000000000002E-2</v>
      </c>
      <c r="CY228">
        <f>AB228</f>
        <v>2579.38</v>
      </c>
      <c r="CZ228">
        <f>AF228</f>
        <v>179.17</v>
      </c>
      <c r="DA228">
        <f>AJ228</f>
        <v>13.75</v>
      </c>
      <c r="DB228">
        <f>ROUND((ROUND(AT228*CZ228,2)*1.1),6)</f>
        <v>1.9690000000000001</v>
      </c>
      <c r="DC228">
        <f>ROUND((ROUND(AT228*AG228,2)*1.1),6)</f>
        <v>0.187</v>
      </c>
      <c r="DD228" t="s">
        <v>3</v>
      </c>
      <c r="DE228" t="s">
        <v>3</v>
      </c>
      <c r="DF228">
        <f t="shared" si="139"/>
        <v>0</v>
      </c>
      <c r="DG228">
        <f>ROUND(ROUND(AF228*AJ228,2)*CX228,2)</f>
        <v>121.95</v>
      </c>
      <c r="DH228">
        <f>ROUND(ROUND(AG228*AK228,2)*CX228,2)</f>
        <v>46.08</v>
      </c>
      <c r="DI228">
        <f t="shared" si="126"/>
        <v>0</v>
      </c>
      <c r="DJ228">
        <f>DG228</f>
        <v>121.95</v>
      </c>
      <c r="DK228">
        <v>0</v>
      </c>
      <c r="DL228" t="s">
        <v>338</v>
      </c>
      <c r="DM228">
        <v>0</v>
      </c>
      <c r="DN228" t="s">
        <v>333</v>
      </c>
      <c r="DO228">
        <v>16.93</v>
      </c>
    </row>
    <row r="229" spans="1:119" x14ac:dyDescent="0.2">
      <c r="A229">
        <f>ROW(Source!A160)</f>
        <v>160</v>
      </c>
      <c r="B229">
        <v>59213213</v>
      </c>
      <c r="C229">
        <v>59213660</v>
      </c>
      <c r="D229">
        <v>58309611</v>
      </c>
      <c r="E229">
        <v>1</v>
      </c>
      <c r="F229">
        <v>1</v>
      </c>
      <c r="G229">
        <v>1080</v>
      </c>
      <c r="H229">
        <v>3</v>
      </c>
      <c r="I229" t="s">
        <v>414</v>
      </c>
      <c r="J229" t="s">
        <v>415</v>
      </c>
      <c r="K229" t="s">
        <v>416</v>
      </c>
      <c r="L229">
        <v>1346</v>
      </c>
      <c r="N229">
        <v>1009</v>
      </c>
      <c r="O229" t="s">
        <v>244</v>
      </c>
      <c r="P229" t="s">
        <v>244</v>
      </c>
      <c r="Q229">
        <v>1</v>
      </c>
      <c r="W229">
        <v>0</v>
      </c>
      <c r="X229">
        <v>1770006655</v>
      </c>
      <c r="Y229">
        <f>(AT229*1)</f>
        <v>0.6</v>
      </c>
      <c r="AA229">
        <v>29.73</v>
      </c>
      <c r="AB229">
        <v>0</v>
      </c>
      <c r="AC229">
        <v>0</v>
      </c>
      <c r="AD229">
        <v>0</v>
      </c>
      <c r="AE229">
        <v>1.38</v>
      </c>
      <c r="AF229">
        <v>0</v>
      </c>
      <c r="AG229">
        <v>0</v>
      </c>
      <c r="AH229">
        <v>0</v>
      </c>
      <c r="AI229">
        <v>21.54</v>
      </c>
      <c r="AJ229">
        <v>1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0.6</v>
      </c>
      <c r="AU229" t="s">
        <v>25</v>
      </c>
      <c r="AV229">
        <v>0</v>
      </c>
      <c r="AW229">
        <v>2</v>
      </c>
      <c r="AX229">
        <v>59213946</v>
      </c>
      <c r="AY229">
        <v>1</v>
      </c>
      <c r="AZ229">
        <v>0</v>
      </c>
      <c r="BA229">
        <v>249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ROUND(Y229*Source!I160,9)</f>
        <v>2.7</v>
      </c>
      <c r="CY229">
        <f t="shared" ref="CY229:CY234" si="144">AA229</f>
        <v>29.73</v>
      </c>
      <c r="CZ229">
        <f t="shared" ref="CZ229:CZ234" si="145">AE229</f>
        <v>1.38</v>
      </c>
      <c r="DA229">
        <f t="shared" ref="DA229:DA234" si="146">AI229</f>
        <v>21.54</v>
      </c>
      <c r="DB229">
        <f>ROUND((ROUND(AT229*CZ229,2)*1),6)</f>
        <v>0.83</v>
      </c>
      <c r="DC229">
        <f>ROUND((ROUND(AT229*AG229,2)*1),6)</f>
        <v>0</v>
      </c>
      <c r="DD229" t="s">
        <v>3</v>
      </c>
      <c r="DE229" t="s">
        <v>3</v>
      </c>
      <c r="DF229">
        <f t="shared" ref="DF229:DF234" si="147">ROUND(ROUND(AE229*AI229,2)*CX229,2)</f>
        <v>80.27</v>
      </c>
      <c r="DG229">
        <f t="shared" ref="DG229:DG258" si="148">ROUND(ROUND(AF229,2)*CX229,2)</f>
        <v>0</v>
      </c>
      <c r="DH229">
        <f t="shared" ref="DH229:DH258" si="149">ROUND(ROUND(AG229,2)*CX229,2)</f>
        <v>0</v>
      </c>
      <c r="DI229">
        <f t="shared" si="126"/>
        <v>0</v>
      </c>
      <c r="DJ229">
        <f t="shared" ref="DJ229:DJ234" si="150">DF229</f>
        <v>80.27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ROW(Source!A160)</f>
        <v>160</v>
      </c>
      <c r="B230">
        <v>59213213</v>
      </c>
      <c r="C230">
        <v>59213660</v>
      </c>
      <c r="D230">
        <v>58310002</v>
      </c>
      <c r="E230">
        <v>1</v>
      </c>
      <c r="F230">
        <v>1</v>
      </c>
      <c r="G230">
        <v>1080</v>
      </c>
      <c r="H230">
        <v>3</v>
      </c>
      <c r="I230" t="s">
        <v>417</v>
      </c>
      <c r="J230" t="s">
        <v>418</v>
      </c>
      <c r="K230" t="s">
        <v>419</v>
      </c>
      <c r="L230">
        <v>1346</v>
      </c>
      <c r="N230">
        <v>1009</v>
      </c>
      <c r="O230" t="s">
        <v>244</v>
      </c>
      <c r="P230" t="s">
        <v>244</v>
      </c>
      <c r="Q230">
        <v>1</v>
      </c>
      <c r="W230">
        <v>0</v>
      </c>
      <c r="X230">
        <v>-878159893</v>
      </c>
      <c r="Y230">
        <f>(AT230*1)</f>
        <v>0.16</v>
      </c>
      <c r="AA230">
        <v>286.31</v>
      </c>
      <c r="AB230">
        <v>0</v>
      </c>
      <c r="AC230">
        <v>0</v>
      </c>
      <c r="AD230">
        <v>0</v>
      </c>
      <c r="AE230">
        <v>159.06</v>
      </c>
      <c r="AF230">
        <v>0</v>
      </c>
      <c r="AG230">
        <v>0</v>
      </c>
      <c r="AH230">
        <v>0</v>
      </c>
      <c r="AI230">
        <v>1.8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0.16</v>
      </c>
      <c r="AU230" t="s">
        <v>25</v>
      </c>
      <c r="AV230">
        <v>0</v>
      </c>
      <c r="AW230">
        <v>2</v>
      </c>
      <c r="AX230">
        <v>59213947</v>
      </c>
      <c r="AY230">
        <v>1</v>
      </c>
      <c r="AZ230">
        <v>0</v>
      </c>
      <c r="BA230">
        <v>250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ROUND(Y230*Source!I160,9)</f>
        <v>0.72</v>
      </c>
      <c r="CY230">
        <f t="shared" si="144"/>
        <v>286.31</v>
      </c>
      <c r="CZ230">
        <f t="shared" si="145"/>
        <v>159.06</v>
      </c>
      <c r="DA230">
        <f t="shared" si="146"/>
        <v>1.8</v>
      </c>
      <c r="DB230">
        <f>ROUND((ROUND(AT230*CZ230,2)*1),6)</f>
        <v>25.45</v>
      </c>
      <c r="DC230">
        <f>ROUND((ROUND(AT230*AG230,2)*1),6)</f>
        <v>0</v>
      </c>
      <c r="DD230" t="s">
        <v>3</v>
      </c>
      <c r="DE230" t="s">
        <v>3</v>
      </c>
      <c r="DF230">
        <f t="shared" si="147"/>
        <v>206.14</v>
      </c>
      <c r="DG230">
        <f t="shared" si="148"/>
        <v>0</v>
      </c>
      <c r="DH230">
        <f t="shared" si="149"/>
        <v>0</v>
      </c>
      <c r="DI230">
        <f t="shared" si="126"/>
        <v>0</v>
      </c>
      <c r="DJ230">
        <f t="shared" si="150"/>
        <v>206.14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ROW(Source!A160)</f>
        <v>160</v>
      </c>
      <c r="B231">
        <v>59213213</v>
      </c>
      <c r="C231">
        <v>59213660</v>
      </c>
      <c r="D231">
        <v>58332957</v>
      </c>
      <c r="E231">
        <v>1</v>
      </c>
      <c r="F231">
        <v>1</v>
      </c>
      <c r="G231">
        <v>1080</v>
      </c>
      <c r="H231">
        <v>3</v>
      </c>
      <c r="I231" t="s">
        <v>436</v>
      </c>
      <c r="J231" t="s">
        <v>437</v>
      </c>
      <c r="K231" t="s">
        <v>438</v>
      </c>
      <c r="L231">
        <v>1356</v>
      </c>
      <c r="N231">
        <v>1010</v>
      </c>
      <c r="O231" t="s">
        <v>426</v>
      </c>
      <c r="P231" t="s">
        <v>426</v>
      </c>
      <c r="Q231">
        <v>1000</v>
      </c>
      <c r="W231">
        <v>0</v>
      </c>
      <c r="X231">
        <v>-422648154</v>
      </c>
      <c r="Y231">
        <f>(AT231*1)</f>
        <v>1.2200000000000001E-2</v>
      </c>
      <c r="AA231">
        <v>1599.36</v>
      </c>
      <c r="AB231">
        <v>0</v>
      </c>
      <c r="AC231">
        <v>0</v>
      </c>
      <c r="AD231">
        <v>0</v>
      </c>
      <c r="AE231">
        <v>226.86</v>
      </c>
      <c r="AF231">
        <v>0</v>
      </c>
      <c r="AG231">
        <v>0</v>
      </c>
      <c r="AH231">
        <v>0</v>
      </c>
      <c r="AI231">
        <v>7.05</v>
      </c>
      <c r="AJ231">
        <v>1</v>
      </c>
      <c r="AK231">
        <v>1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1.2200000000000001E-2</v>
      </c>
      <c r="AU231" t="s">
        <v>25</v>
      </c>
      <c r="AV231">
        <v>0</v>
      </c>
      <c r="AW231">
        <v>2</v>
      </c>
      <c r="AX231">
        <v>59213948</v>
      </c>
      <c r="AY231">
        <v>1</v>
      </c>
      <c r="AZ231">
        <v>0</v>
      </c>
      <c r="BA231">
        <v>251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ROUND(Y231*Source!I160,9)</f>
        <v>5.4899999999999997E-2</v>
      </c>
      <c r="CY231">
        <f t="shared" si="144"/>
        <v>1599.36</v>
      </c>
      <c r="CZ231">
        <f t="shared" si="145"/>
        <v>226.86</v>
      </c>
      <c r="DA231">
        <f t="shared" si="146"/>
        <v>7.05</v>
      </c>
      <c r="DB231">
        <f>ROUND((ROUND(AT231*CZ231,2)*1),6)</f>
        <v>2.77</v>
      </c>
      <c r="DC231">
        <f>ROUND((ROUND(AT231*AG231,2)*1),6)</f>
        <v>0</v>
      </c>
      <c r="DD231" t="s">
        <v>3</v>
      </c>
      <c r="DE231" t="s">
        <v>3</v>
      </c>
      <c r="DF231">
        <f t="shared" si="147"/>
        <v>87.8</v>
      </c>
      <c r="DG231">
        <f t="shared" si="148"/>
        <v>0</v>
      </c>
      <c r="DH231">
        <f t="shared" si="149"/>
        <v>0</v>
      </c>
      <c r="DI231">
        <f t="shared" si="126"/>
        <v>0</v>
      </c>
      <c r="DJ231">
        <f t="shared" si="150"/>
        <v>87.8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ROW(Source!A160)</f>
        <v>160</v>
      </c>
      <c r="B232">
        <v>59213213</v>
      </c>
      <c r="C232">
        <v>59213660</v>
      </c>
      <c r="D232">
        <v>58332282</v>
      </c>
      <c r="E232">
        <v>1</v>
      </c>
      <c r="F232">
        <v>1</v>
      </c>
      <c r="G232">
        <v>1080</v>
      </c>
      <c r="H232">
        <v>3</v>
      </c>
      <c r="I232" t="s">
        <v>427</v>
      </c>
      <c r="J232" t="s">
        <v>428</v>
      </c>
      <c r="K232" t="s">
        <v>429</v>
      </c>
      <c r="L232">
        <v>1354</v>
      </c>
      <c r="N232">
        <v>1010</v>
      </c>
      <c r="O232" t="s">
        <v>34</v>
      </c>
      <c r="P232" t="s">
        <v>34</v>
      </c>
      <c r="Q232">
        <v>1</v>
      </c>
      <c r="W232">
        <v>0</v>
      </c>
      <c r="X232">
        <v>145081611</v>
      </c>
      <c r="Y232">
        <f>(AT232*1)</f>
        <v>3.1</v>
      </c>
      <c r="AA232">
        <v>25.47</v>
      </c>
      <c r="AB232">
        <v>0</v>
      </c>
      <c r="AC232">
        <v>0</v>
      </c>
      <c r="AD232">
        <v>0</v>
      </c>
      <c r="AE232">
        <v>6.94</v>
      </c>
      <c r="AF232">
        <v>0</v>
      </c>
      <c r="AG232">
        <v>0</v>
      </c>
      <c r="AH232">
        <v>0</v>
      </c>
      <c r="AI232">
        <v>3.67</v>
      </c>
      <c r="AJ232">
        <v>1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3.1</v>
      </c>
      <c r="AU232" t="s">
        <v>25</v>
      </c>
      <c r="AV232">
        <v>0</v>
      </c>
      <c r="AW232">
        <v>2</v>
      </c>
      <c r="AX232">
        <v>59213949</v>
      </c>
      <c r="AY232">
        <v>1</v>
      </c>
      <c r="AZ232">
        <v>0</v>
      </c>
      <c r="BA232">
        <v>252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ROUND(Y232*Source!I160,9)</f>
        <v>13.95</v>
      </c>
      <c r="CY232">
        <f t="shared" si="144"/>
        <v>25.47</v>
      </c>
      <c r="CZ232">
        <f t="shared" si="145"/>
        <v>6.94</v>
      </c>
      <c r="DA232">
        <f t="shared" si="146"/>
        <v>3.67</v>
      </c>
      <c r="DB232">
        <f>ROUND((ROUND(AT232*CZ232,2)*1),6)</f>
        <v>21.51</v>
      </c>
      <c r="DC232">
        <f>ROUND((ROUND(AT232*AG232,2)*1),6)</f>
        <v>0</v>
      </c>
      <c r="DD232" t="s">
        <v>3</v>
      </c>
      <c r="DE232" t="s">
        <v>3</v>
      </c>
      <c r="DF232">
        <f t="shared" si="147"/>
        <v>355.31</v>
      </c>
      <c r="DG232">
        <f t="shared" si="148"/>
        <v>0</v>
      </c>
      <c r="DH232">
        <f t="shared" si="149"/>
        <v>0</v>
      </c>
      <c r="DI232">
        <f t="shared" si="126"/>
        <v>0</v>
      </c>
      <c r="DJ232">
        <f t="shared" si="150"/>
        <v>355.31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ROW(Source!A160)</f>
        <v>160</v>
      </c>
      <c r="B233">
        <v>59213213</v>
      </c>
      <c r="C233">
        <v>59213660</v>
      </c>
      <c r="D233">
        <v>58332290</v>
      </c>
      <c r="E233">
        <v>1</v>
      </c>
      <c r="F233">
        <v>1</v>
      </c>
      <c r="G233">
        <v>1080</v>
      </c>
      <c r="H233">
        <v>3</v>
      </c>
      <c r="I233" t="s">
        <v>439</v>
      </c>
      <c r="J233" t="s">
        <v>440</v>
      </c>
      <c r="K233" t="s">
        <v>441</v>
      </c>
      <c r="L233">
        <v>1356</v>
      </c>
      <c r="N233">
        <v>1010</v>
      </c>
      <c r="O233" t="s">
        <v>426</v>
      </c>
      <c r="P233" t="s">
        <v>426</v>
      </c>
      <c r="Q233">
        <v>1000</v>
      </c>
      <c r="W233">
        <v>0</v>
      </c>
      <c r="X233">
        <v>807379832</v>
      </c>
      <c r="Y233">
        <f>(AT233*1)</f>
        <v>8.0000000000000002E-3</v>
      </c>
      <c r="AA233">
        <v>1197.48</v>
      </c>
      <c r="AB233">
        <v>0</v>
      </c>
      <c r="AC233">
        <v>0</v>
      </c>
      <c r="AD233">
        <v>0</v>
      </c>
      <c r="AE233">
        <v>614.09</v>
      </c>
      <c r="AF233">
        <v>0</v>
      </c>
      <c r="AG233">
        <v>0</v>
      </c>
      <c r="AH233">
        <v>0</v>
      </c>
      <c r="AI233">
        <v>1.95</v>
      </c>
      <c r="AJ233">
        <v>1</v>
      </c>
      <c r="AK233">
        <v>1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8.0000000000000002E-3</v>
      </c>
      <c r="AU233" t="s">
        <v>25</v>
      </c>
      <c r="AV233">
        <v>0</v>
      </c>
      <c r="AW233">
        <v>2</v>
      </c>
      <c r="AX233">
        <v>59213950</v>
      </c>
      <c r="AY233">
        <v>1</v>
      </c>
      <c r="AZ233">
        <v>0</v>
      </c>
      <c r="BA233">
        <v>253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ROUND(Y233*Source!I160,9)</f>
        <v>3.5999999999999997E-2</v>
      </c>
      <c r="CY233">
        <f t="shared" si="144"/>
        <v>1197.48</v>
      </c>
      <c r="CZ233">
        <f t="shared" si="145"/>
        <v>614.09</v>
      </c>
      <c r="DA233">
        <f t="shared" si="146"/>
        <v>1.95</v>
      </c>
      <c r="DB233">
        <f>ROUND((ROUND(AT233*CZ233,2)*1),6)</f>
        <v>4.91</v>
      </c>
      <c r="DC233">
        <f>ROUND((ROUND(AT233*AG233,2)*1),6)</f>
        <v>0</v>
      </c>
      <c r="DD233" t="s">
        <v>3</v>
      </c>
      <c r="DE233" t="s">
        <v>3</v>
      </c>
      <c r="DF233">
        <f t="shared" si="147"/>
        <v>43.11</v>
      </c>
      <c r="DG233">
        <f t="shared" si="148"/>
        <v>0</v>
      </c>
      <c r="DH233">
        <f t="shared" si="149"/>
        <v>0</v>
      </c>
      <c r="DI233">
        <f t="shared" si="126"/>
        <v>0</v>
      </c>
      <c r="DJ233">
        <f t="shared" si="150"/>
        <v>43.11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ROW(Source!A160)</f>
        <v>160</v>
      </c>
      <c r="B234">
        <v>59213213</v>
      </c>
      <c r="C234">
        <v>59213660</v>
      </c>
      <c r="D234">
        <v>0</v>
      </c>
      <c r="E234">
        <v>1080</v>
      </c>
      <c r="F234">
        <v>1</v>
      </c>
      <c r="G234">
        <v>1080</v>
      </c>
      <c r="H234">
        <v>3</v>
      </c>
      <c r="I234" t="s">
        <v>283</v>
      </c>
      <c r="J234" t="s">
        <v>3</v>
      </c>
      <c r="K234" t="s">
        <v>284</v>
      </c>
      <c r="L234">
        <v>1301</v>
      </c>
      <c r="N234">
        <v>1003</v>
      </c>
      <c r="O234" t="s">
        <v>222</v>
      </c>
      <c r="P234" t="s">
        <v>222</v>
      </c>
      <c r="Q234">
        <v>1</v>
      </c>
      <c r="W234">
        <v>0</v>
      </c>
      <c r="X234">
        <v>-76986313</v>
      </c>
      <c r="Y234">
        <f>AT234</f>
        <v>102</v>
      </c>
      <c r="AA234">
        <v>49.99</v>
      </c>
      <c r="AB234">
        <v>0</v>
      </c>
      <c r="AC234">
        <v>0</v>
      </c>
      <c r="AD234">
        <v>0</v>
      </c>
      <c r="AE234">
        <v>5.0599999999999996</v>
      </c>
      <c r="AF234">
        <v>0</v>
      </c>
      <c r="AG234">
        <v>0</v>
      </c>
      <c r="AH234">
        <v>0</v>
      </c>
      <c r="AI234">
        <v>9.8800000000000008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102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ROUND(Y234*Source!I160,9)</f>
        <v>459</v>
      </c>
      <c r="CY234">
        <f t="shared" si="144"/>
        <v>49.99</v>
      </c>
      <c r="CZ234">
        <f t="shared" si="145"/>
        <v>5.0599999999999996</v>
      </c>
      <c r="DA234">
        <f t="shared" si="146"/>
        <v>9.8800000000000008</v>
      </c>
      <c r="DB234">
        <f>ROUND(ROUND(AT234*CZ234,2),6)</f>
        <v>516.12</v>
      </c>
      <c r="DC234">
        <f>ROUND(ROUND(AT234*AG234,2),6)</f>
        <v>0</v>
      </c>
      <c r="DD234" t="s">
        <v>3</v>
      </c>
      <c r="DE234" t="s">
        <v>3</v>
      </c>
      <c r="DF234">
        <f t="shared" si="147"/>
        <v>22945.41</v>
      </c>
      <c r="DG234">
        <f t="shared" si="148"/>
        <v>0</v>
      </c>
      <c r="DH234">
        <f t="shared" si="149"/>
        <v>0</v>
      </c>
      <c r="DI234">
        <f t="shared" si="126"/>
        <v>0</v>
      </c>
      <c r="DJ234">
        <f t="shared" si="150"/>
        <v>22945.41</v>
      </c>
      <c r="DK234">
        <v>2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ROW(Source!A198)</f>
        <v>198</v>
      </c>
      <c r="B235">
        <v>59213216</v>
      </c>
      <c r="C235">
        <v>59213736</v>
      </c>
      <c r="D235">
        <v>58266404</v>
      </c>
      <c r="E235">
        <v>1080</v>
      </c>
      <c r="F235">
        <v>1</v>
      </c>
      <c r="G235">
        <v>1080</v>
      </c>
      <c r="H235">
        <v>1</v>
      </c>
      <c r="I235" t="s">
        <v>331</v>
      </c>
      <c r="J235" t="s">
        <v>3</v>
      </c>
      <c r="K235" t="s">
        <v>332</v>
      </c>
      <c r="L235">
        <v>1191</v>
      </c>
      <c r="N235">
        <v>1013</v>
      </c>
      <c r="O235" t="s">
        <v>333</v>
      </c>
      <c r="P235" t="s">
        <v>333</v>
      </c>
      <c r="Q235">
        <v>1</v>
      </c>
      <c r="W235">
        <v>0</v>
      </c>
      <c r="X235">
        <v>476480486</v>
      </c>
      <c r="Y235">
        <f>(AT235*1.1)</f>
        <v>0.79200000000000004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0.72</v>
      </c>
      <c r="AU235" t="s">
        <v>26</v>
      </c>
      <c r="AV235">
        <v>1</v>
      </c>
      <c r="AW235">
        <v>2</v>
      </c>
      <c r="AX235">
        <v>59213952</v>
      </c>
      <c r="AY235">
        <v>1</v>
      </c>
      <c r="AZ235">
        <v>0</v>
      </c>
      <c r="BA235">
        <v>255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ROUND(AT235*Source!I198*AH235*AL235,2)</f>
        <v>0</v>
      </c>
      <c r="CV235">
        <f>ROUND(Y235*Source!I198,9)</f>
        <v>0.79200000000000004</v>
      </c>
      <c r="CW235">
        <v>0</v>
      </c>
      <c r="CX235">
        <f>ROUND(Y235*Source!I198,9)</f>
        <v>0.79200000000000004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ROUND((ROUND(AT235*CZ235,2)*1.1),6)</f>
        <v>0</v>
      </c>
      <c r="DC235">
        <f>ROUND((ROUND(AT235*AG235,2)*1.1),6)</f>
        <v>0</v>
      </c>
      <c r="DD235" t="s">
        <v>3</v>
      </c>
      <c r="DE235" t="s">
        <v>3</v>
      </c>
      <c r="DF235">
        <f t="shared" ref="DF235:DF244" si="151">ROUND(ROUND(AE235,2)*CX235,2)</f>
        <v>0</v>
      </c>
      <c r="DG235">
        <f t="shared" si="148"/>
        <v>0</v>
      </c>
      <c r="DH235">
        <f t="shared" si="149"/>
        <v>0</v>
      </c>
      <c r="DI235">
        <f t="shared" si="126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ROW(Source!A198)</f>
        <v>198</v>
      </c>
      <c r="B236">
        <v>59213216</v>
      </c>
      <c r="C236">
        <v>59213736</v>
      </c>
      <c r="D236">
        <v>58309906</v>
      </c>
      <c r="E236">
        <v>1</v>
      </c>
      <c r="F236">
        <v>1</v>
      </c>
      <c r="G236">
        <v>1080</v>
      </c>
      <c r="H236">
        <v>3</v>
      </c>
      <c r="I236" t="s">
        <v>442</v>
      </c>
      <c r="J236" t="s">
        <v>443</v>
      </c>
      <c r="K236" t="s">
        <v>444</v>
      </c>
      <c r="L236">
        <v>1301</v>
      </c>
      <c r="N236">
        <v>1003</v>
      </c>
      <c r="O236" t="s">
        <v>222</v>
      </c>
      <c r="P236" t="s">
        <v>222</v>
      </c>
      <c r="Q236">
        <v>1</v>
      </c>
      <c r="W236">
        <v>0</v>
      </c>
      <c r="X236">
        <v>882847464</v>
      </c>
      <c r="Y236">
        <f t="shared" ref="Y236:Y243" si="152">(AT236*1)</f>
        <v>5</v>
      </c>
      <c r="AA236">
        <v>0.39</v>
      </c>
      <c r="AB236">
        <v>0</v>
      </c>
      <c r="AC236">
        <v>0</v>
      </c>
      <c r="AD236">
        <v>0</v>
      </c>
      <c r="AE236">
        <v>0.39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5</v>
      </c>
      <c r="AU236" t="s">
        <v>25</v>
      </c>
      <c r="AV236">
        <v>0</v>
      </c>
      <c r="AW236">
        <v>2</v>
      </c>
      <c r="AX236">
        <v>59213953</v>
      </c>
      <c r="AY236">
        <v>1</v>
      </c>
      <c r="AZ236">
        <v>0</v>
      </c>
      <c r="BA236">
        <v>256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ROUND(Y236*Source!I198,9)</f>
        <v>5</v>
      </c>
      <c r="CY236">
        <f t="shared" ref="CY236:CY243" si="153">AA236</f>
        <v>0.39</v>
      </c>
      <c r="CZ236">
        <f t="shared" ref="CZ236:CZ243" si="154">AE236</f>
        <v>0.39</v>
      </c>
      <c r="DA236">
        <f t="shared" ref="DA236:DA243" si="155">AI236</f>
        <v>1</v>
      </c>
      <c r="DB236">
        <f t="shared" ref="DB236:DB243" si="156">ROUND((ROUND(AT236*CZ236,2)*1),6)</f>
        <v>1.95</v>
      </c>
      <c r="DC236">
        <f t="shared" ref="DC236:DC243" si="157">ROUND((ROUND(AT236*AG236,2)*1),6)</f>
        <v>0</v>
      </c>
      <c r="DD236" t="s">
        <v>3</v>
      </c>
      <c r="DE236" t="s">
        <v>3</v>
      </c>
      <c r="DF236">
        <f t="shared" si="151"/>
        <v>1.95</v>
      </c>
      <c r="DG236">
        <f t="shared" si="148"/>
        <v>0</v>
      </c>
      <c r="DH236">
        <f t="shared" si="149"/>
        <v>0</v>
      </c>
      <c r="DI236">
        <f t="shared" si="126"/>
        <v>0</v>
      </c>
      <c r="DJ236">
        <f t="shared" ref="DJ236:DJ243" si="158">DF236</f>
        <v>1.95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ROW(Source!A198)</f>
        <v>198</v>
      </c>
      <c r="B237">
        <v>59213216</v>
      </c>
      <c r="C237">
        <v>59213736</v>
      </c>
      <c r="D237">
        <v>58308889</v>
      </c>
      <c r="E237">
        <v>1</v>
      </c>
      <c r="F237">
        <v>1</v>
      </c>
      <c r="G237">
        <v>1080</v>
      </c>
      <c r="H237">
        <v>3</v>
      </c>
      <c r="I237" t="s">
        <v>445</v>
      </c>
      <c r="J237" t="s">
        <v>446</v>
      </c>
      <c r="K237" t="s">
        <v>447</v>
      </c>
      <c r="L237">
        <v>1339</v>
      </c>
      <c r="N237">
        <v>1007</v>
      </c>
      <c r="O237" t="s">
        <v>448</v>
      </c>
      <c r="P237" t="s">
        <v>448</v>
      </c>
      <c r="Q237">
        <v>1</v>
      </c>
      <c r="W237">
        <v>0</v>
      </c>
      <c r="X237">
        <v>1880586541</v>
      </c>
      <c r="Y237">
        <f t="shared" si="152"/>
        <v>1E-3</v>
      </c>
      <c r="AA237">
        <v>1176.3</v>
      </c>
      <c r="AB237">
        <v>0</v>
      </c>
      <c r="AC237">
        <v>0</v>
      </c>
      <c r="AD237">
        <v>0</v>
      </c>
      <c r="AE237">
        <v>1176.3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1E-3</v>
      </c>
      <c r="AU237" t="s">
        <v>25</v>
      </c>
      <c r="AV237">
        <v>0</v>
      </c>
      <c r="AW237">
        <v>2</v>
      </c>
      <c r="AX237">
        <v>59213954</v>
      </c>
      <c r="AY237">
        <v>1</v>
      </c>
      <c r="AZ237">
        <v>0</v>
      </c>
      <c r="BA237">
        <v>257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ROUND(Y237*Source!I198,9)</f>
        <v>1E-3</v>
      </c>
      <c r="CY237">
        <f t="shared" si="153"/>
        <v>1176.3</v>
      </c>
      <c r="CZ237">
        <f t="shared" si="154"/>
        <v>1176.3</v>
      </c>
      <c r="DA237">
        <f t="shared" si="155"/>
        <v>1</v>
      </c>
      <c r="DB237">
        <f t="shared" si="156"/>
        <v>1.18</v>
      </c>
      <c r="DC237">
        <f t="shared" si="157"/>
        <v>0</v>
      </c>
      <c r="DD237" t="s">
        <v>3</v>
      </c>
      <c r="DE237" t="s">
        <v>3</v>
      </c>
      <c r="DF237">
        <f t="shared" si="151"/>
        <v>1.18</v>
      </c>
      <c r="DG237">
        <f t="shared" si="148"/>
        <v>0</v>
      </c>
      <c r="DH237">
        <f t="shared" si="149"/>
        <v>0</v>
      </c>
      <c r="DI237">
        <f t="shared" si="126"/>
        <v>0</v>
      </c>
      <c r="DJ237">
        <f t="shared" si="158"/>
        <v>1.18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ROW(Source!A198)</f>
        <v>198</v>
      </c>
      <c r="B238">
        <v>59213216</v>
      </c>
      <c r="C238">
        <v>59213736</v>
      </c>
      <c r="D238">
        <v>58308977</v>
      </c>
      <c r="E238">
        <v>1</v>
      </c>
      <c r="F238">
        <v>1</v>
      </c>
      <c r="G238">
        <v>1080</v>
      </c>
      <c r="H238">
        <v>3</v>
      </c>
      <c r="I238" t="s">
        <v>449</v>
      </c>
      <c r="J238" t="s">
        <v>450</v>
      </c>
      <c r="K238" t="s">
        <v>451</v>
      </c>
      <c r="L238">
        <v>1346</v>
      </c>
      <c r="N238">
        <v>1009</v>
      </c>
      <c r="O238" t="s">
        <v>244</v>
      </c>
      <c r="P238" t="s">
        <v>244</v>
      </c>
      <c r="Q238">
        <v>1</v>
      </c>
      <c r="W238">
        <v>0</v>
      </c>
      <c r="X238">
        <v>2120032869</v>
      </c>
      <c r="Y238">
        <f t="shared" si="152"/>
        <v>0.01</v>
      </c>
      <c r="AA238">
        <v>16.690000000000001</v>
      </c>
      <c r="AB238">
        <v>0</v>
      </c>
      <c r="AC238">
        <v>0</v>
      </c>
      <c r="AD238">
        <v>0</v>
      </c>
      <c r="AE238">
        <v>16.690000000000001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0.01</v>
      </c>
      <c r="AU238" t="s">
        <v>25</v>
      </c>
      <c r="AV238">
        <v>0</v>
      </c>
      <c r="AW238">
        <v>2</v>
      </c>
      <c r="AX238">
        <v>59213955</v>
      </c>
      <c r="AY238">
        <v>1</v>
      </c>
      <c r="AZ238">
        <v>0</v>
      </c>
      <c r="BA238">
        <v>258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ROUND(Y238*Source!I198,9)</f>
        <v>0.01</v>
      </c>
      <c r="CY238">
        <f t="shared" si="153"/>
        <v>16.690000000000001</v>
      </c>
      <c r="CZ238">
        <f t="shared" si="154"/>
        <v>16.690000000000001</v>
      </c>
      <c r="DA238">
        <f t="shared" si="155"/>
        <v>1</v>
      </c>
      <c r="DB238">
        <f t="shared" si="156"/>
        <v>0.17</v>
      </c>
      <c r="DC238">
        <f t="shared" si="157"/>
        <v>0</v>
      </c>
      <c r="DD238" t="s">
        <v>3</v>
      </c>
      <c r="DE238" t="s">
        <v>3</v>
      </c>
      <c r="DF238">
        <f t="shared" si="151"/>
        <v>0.17</v>
      </c>
      <c r="DG238">
        <f t="shared" si="148"/>
        <v>0</v>
      </c>
      <c r="DH238">
        <f t="shared" si="149"/>
        <v>0</v>
      </c>
      <c r="DI238">
        <f t="shared" si="126"/>
        <v>0</v>
      </c>
      <c r="DJ238">
        <f t="shared" si="158"/>
        <v>0.17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ROW(Source!A198)</f>
        <v>198</v>
      </c>
      <c r="B239">
        <v>59213216</v>
      </c>
      <c r="C239">
        <v>59213736</v>
      </c>
      <c r="D239">
        <v>58315579</v>
      </c>
      <c r="E239">
        <v>1</v>
      </c>
      <c r="F239">
        <v>1</v>
      </c>
      <c r="G239">
        <v>1080</v>
      </c>
      <c r="H239">
        <v>3</v>
      </c>
      <c r="I239" t="s">
        <v>452</v>
      </c>
      <c r="J239" t="s">
        <v>453</v>
      </c>
      <c r="K239" t="s">
        <v>454</v>
      </c>
      <c r="L239">
        <v>1355</v>
      </c>
      <c r="N239">
        <v>1010</v>
      </c>
      <c r="O239" t="s">
        <v>227</v>
      </c>
      <c r="P239" t="s">
        <v>227</v>
      </c>
      <c r="Q239">
        <v>100</v>
      </c>
      <c r="W239">
        <v>0</v>
      </c>
      <c r="X239">
        <v>-1616851610</v>
      </c>
      <c r="Y239">
        <f t="shared" si="152"/>
        <v>0.02</v>
      </c>
      <c r="AA239">
        <v>120.19</v>
      </c>
      <c r="AB239">
        <v>0</v>
      </c>
      <c r="AC239">
        <v>0</v>
      </c>
      <c r="AD239">
        <v>0</v>
      </c>
      <c r="AE239">
        <v>120.19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0.02</v>
      </c>
      <c r="AU239" t="s">
        <v>25</v>
      </c>
      <c r="AV239">
        <v>0</v>
      </c>
      <c r="AW239">
        <v>2</v>
      </c>
      <c r="AX239">
        <v>59213956</v>
      </c>
      <c r="AY239">
        <v>1</v>
      </c>
      <c r="AZ239">
        <v>0</v>
      </c>
      <c r="BA239">
        <v>259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ROUND(Y239*Source!I198,9)</f>
        <v>0.02</v>
      </c>
      <c r="CY239">
        <f t="shared" si="153"/>
        <v>120.19</v>
      </c>
      <c r="CZ239">
        <f t="shared" si="154"/>
        <v>120.19</v>
      </c>
      <c r="DA239">
        <f t="shared" si="155"/>
        <v>1</v>
      </c>
      <c r="DB239">
        <f t="shared" si="156"/>
        <v>2.4</v>
      </c>
      <c r="DC239">
        <f t="shared" si="157"/>
        <v>0</v>
      </c>
      <c r="DD239" t="s">
        <v>3</v>
      </c>
      <c r="DE239" t="s">
        <v>3</v>
      </c>
      <c r="DF239">
        <f t="shared" si="151"/>
        <v>2.4</v>
      </c>
      <c r="DG239">
        <f t="shared" si="148"/>
        <v>0</v>
      </c>
      <c r="DH239">
        <f t="shared" si="149"/>
        <v>0</v>
      </c>
      <c r="DI239">
        <f t="shared" si="126"/>
        <v>0</v>
      </c>
      <c r="DJ239">
        <f t="shared" si="158"/>
        <v>2.4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ROW(Source!A198)</f>
        <v>198</v>
      </c>
      <c r="B240">
        <v>59213216</v>
      </c>
      <c r="C240">
        <v>59213736</v>
      </c>
      <c r="D240">
        <v>58309371</v>
      </c>
      <c r="E240">
        <v>1</v>
      </c>
      <c r="F240">
        <v>1</v>
      </c>
      <c r="G240">
        <v>1080</v>
      </c>
      <c r="H240">
        <v>3</v>
      </c>
      <c r="I240" t="s">
        <v>391</v>
      </c>
      <c r="J240" t="s">
        <v>392</v>
      </c>
      <c r="K240" t="s">
        <v>393</v>
      </c>
      <c r="L240">
        <v>1348</v>
      </c>
      <c r="N240">
        <v>1009</v>
      </c>
      <c r="O240" t="s">
        <v>345</v>
      </c>
      <c r="P240" t="s">
        <v>345</v>
      </c>
      <c r="Q240">
        <v>1000</v>
      </c>
      <c r="W240">
        <v>0</v>
      </c>
      <c r="X240">
        <v>-1945031955</v>
      </c>
      <c r="Y240">
        <f t="shared" si="152"/>
        <v>1.0000000000000001E-5</v>
      </c>
      <c r="AA240">
        <v>64123.05</v>
      </c>
      <c r="AB240">
        <v>0</v>
      </c>
      <c r="AC240">
        <v>0</v>
      </c>
      <c r="AD240">
        <v>0</v>
      </c>
      <c r="AE240">
        <v>64123.05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1.0000000000000001E-5</v>
      </c>
      <c r="AU240" t="s">
        <v>25</v>
      </c>
      <c r="AV240">
        <v>0</v>
      </c>
      <c r="AW240">
        <v>2</v>
      </c>
      <c r="AX240">
        <v>59213957</v>
      </c>
      <c r="AY240">
        <v>1</v>
      </c>
      <c r="AZ240">
        <v>0</v>
      </c>
      <c r="BA240">
        <v>260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ROUND(Y240*Source!I198,9)</f>
        <v>1.0000000000000001E-5</v>
      </c>
      <c r="CY240">
        <f t="shared" si="153"/>
        <v>64123.05</v>
      </c>
      <c r="CZ240">
        <f t="shared" si="154"/>
        <v>64123.05</v>
      </c>
      <c r="DA240">
        <f t="shared" si="155"/>
        <v>1</v>
      </c>
      <c r="DB240">
        <f t="shared" si="156"/>
        <v>0.64</v>
      </c>
      <c r="DC240">
        <f t="shared" si="157"/>
        <v>0</v>
      </c>
      <c r="DD240" t="s">
        <v>3</v>
      </c>
      <c r="DE240" t="s">
        <v>3</v>
      </c>
      <c r="DF240">
        <f t="shared" si="151"/>
        <v>0.64</v>
      </c>
      <c r="DG240">
        <f t="shared" si="148"/>
        <v>0</v>
      </c>
      <c r="DH240">
        <f t="shared" si="149"/>
        <v>0</v>
      </c>
      <c r="DI240">
        <f t="shared" si="126"/>
        <v>0</v>
      </c>
      <c r="DJ240">
        <f t="shared" si="158"/>
        <v>0.64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ROW(Source!A198)</f>
        <v>198</v>
      </c>
      <c r="B241">
        <v>59213216</v>
      </c>
      <c r="C241">
        <v>59213736</v>
      </c>
      <c r="D241">
        <v>58332885</v>
      </c>
      <c r="E241">
        <v>1</v>
      </c>
      <c r="F241">
        <v>1</v>
      </c>
      <c r="G241">
        <v>1080</v>
      </c>
      <c r="H241">
        <v>3</v>
      </c>
      <c r="I241" t="s">
        <v>455</v>
      </c>
      <c r="J241" t="s">
        <v>456</v>
      </c>
      <c r="K241" t="s">
        <v>457</v>
      </c>
      <c r="L241">
        <v>1356</v>
      </c>
      <c r="N241">
        <v>1010</v>
      </c>
      <c r="O241" t="s">
        <v>426</v>
      </c>
      <c r="P241" t="s">
        <v>426</v>
      </c>
      <c r="Q241">
        <v>1000</v>
      </c>
      <c r="W241">
        <v>0</v>
      </c>
      <c r="X241">
        <v>-1808005655</v>
      </c>
      <c r="Y241">
        <f t="shared" si="152"/>
        <v>2E-3</v>
      </c>
      <c r="AA241">
        <v>294.89</v>
      </c>
      <c r="AB241">
        <v>0</v>
      </c>
      <c r="AC241">
        <v>0</v>
      </c>
      <c r="AD241">
        <v>0</v>
      </c>
      <c r="AE241">
        <v>294.89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2E-3</v>
      </c>
      <c r="AU241" t="s">
        <v>25</v>
      </c>
      <c r="AV241">
        <v>0</v>
      </c>
      <c r="AW241">
        <v>2</v>
      </c>
      <c r="AX241">
        <v>59213958</v>
      </c>
      <c r="AY241">
        <v>1</v>
      </c>
      <c r="AZ241">
        <v>0</v>
      </c>
      <c r="BA241">
        <v>261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ROUND(Y241*Source!I198,9)</f>
        <v>2E-3</v>
      </c>
      <c r="CY241">
        <f t="shared" si="153"/>
        <v>294.89</v>
      </c>
      <c r="CZ241">
        <f t="shared" si="154"/>
        <v>294.89</v>
      </c>
      <c r="DA241">
        <f t="shared" si="155"/>
        <v>1</v>
      </c>
      <c r="DB241">
        <f t="shared" si="156"/>
        <v>0.59</v>
      </c>
      <c r="DC241">
        <f t="shared" si="157"/>
        <v>0</v>
      </c>
      <c r="DD241" t="s">
        <v>3</v>
      </c>
      <c r="DE241" t="s">
        <v>3</v>
      </c>
      <c r="DF241">
        <f t="shared" si="151"/>
        <v>0.59</v>
      </c>
      <c r="DG241">
        <f t="shared" si="148"/>
        <v>0</v>
      </c>
      <c r="DH241">
        <f t="shared" si="149"/>
        <v>0</v>
      </c>
      <c r="DI241">
        <f t="shared" si="126"/>
        <v>0</v>
      </c>
      <c r="DJ241">
        <f t="shared" si="158"/>
        <v>0.59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ROW(Source!A198)</f>
        <v>198</v>
      </c>
      <c r="B242">
        <v>59213216</v>
      </c>
      <c r="C242">
        <v>59213736</v>
      </c>
      <c r="D242">
        <v>58331958</v>
      </c>
      <c r="E242">
        <v>1</v>
      </c>
      <c r="F242">
        <v>1</v>
      </c>
      <c r="G242">
        <v>1080</v>
      </c>
      <c r="H242">
        <v>3</v>
      </c>
      <c r="I242" t="s">
        <v>458</v>
      </c>
      <c r="J242" t="s">
        <v>459</v>
      </c>
      <c r="K242" t="s">
        <v>460</v>
      </c>
      <c r="L242">
        <v>1354</v>
      </c>
      <c r="N242">
        <v>1010</v>
      </c>
      <c r="O242" t="s">
        <v>34</v>
      </c>
      <c r="P242" t="s">
        <v>34</v>
      </c>
      <c r="Q242">
        <v>1</v>
      </c>
      <c r="W242">
        <v>0</v>
      </c>
      <c r="X242">
        <v>1729520002</v>
      </c>
      <c r="Y242">
        <f t="shared" si="152"/>
        <v>1</v>
      </c>
      <c r="AA242">
        <v>15.67</v>
      </c>
      <c r="AB242">
        <v>0</v>
      </c>
      <c r="AC242">
        <v>0</v>
      </c>
      <c r="AD242">
        <v>0</v>
      </c>
      <c r="AE242">
        <v>15.67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1</v>
      </c>
      <c r="AU242" t="s">
        <v>25</v>
      </c>
      <c r="AV242">
        <v>0</v>
      </c>
      <c r="AW242">
        <v>2</v>
      </c>
      <c r="AX242">
        <v>59213959</v>
      </c>
      <c r="AY242">
        <v>1</v>
      </c>
      <c r="AZ242">
        <v>0</v>
      </c>
      <c r="BA242">
        <v>262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ROUND(Y242*Source!I198,9)</f>
        <v>1</v>
      </c>
      <c r="CY242">
        <f t="shared" si="153"/>
        <v>15.67</v>
      </c>
      <c r="CZ242">
        <f t="shared" si="154"/>
        <v>15.67</v>
      </c>
      <c r="DA242">
        <f t="shared" si="155"/>
        <v>1</v>
      </c>
      <c r="DB242">
        <f t="shared" si="156"/>
        <v>15.67</v>
      </c>
      <c r="DC242">
        <f t="shared" si="157"/>
        <v>0</v>
      </c>
      <c r="DD242" t="s">
        <v>3</v>
      </c>
      <c r="DE242" t="s">
        <v>3</v>
      </c>
      <c r="DF242">
        <f t="shared" si="151"/>
        <v>15.67</v>
      </c>
      <c r="DG242">
        <f t="shared" si="148"/>
        <v>0</v>
      </c>
      <c r="DH242">
        <f t="shared" si="149"/>
        <v>0</v>
      </c>
      <c r="DI242">
        <f t="shared" si="126"/>
        <v>0</v>
      </c>
      <c r="DJ242">
        <f t="shared" si="158"/>
        <v>15.67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ROW(Source!A198)</f>
        <v>198</v>
      </c>
      <c r="B243">
        <v>59213216</v>
      </c>
      <c r="C243">
        <v>59213736</v>
      </c>
      <c r="D243">
        <v>58271406</v>
      </c>
      <c r="E243">
        <v>1080</v>
      </c>
      <c r="F243">
        <v>1</v>
      </c>
      <c r="G243">
        <v>1080</v>
      </c>
      <c r="H243">
        <v>3</v>
      </c>
      <c r="I243" t="s">
        <v>397</v>
      </c>
      <c r="J243" t="s">
        <v>3</v>
      </c>
      <c r="K243" t="s">
        <v>398</v>
      </c>
      <c r="L243">
        <v>1348</v>
      </c>
      <c r="N243">
        <v>1009</v>
      </c>
      <c r="O243" t="s">
        <v>345</v>
      </c>
      <c r="P243" t="s">
        <v>345</v>
      </c>
      <c r="Q243">
        <v>1000</v>
      </c>
      <c r="W243">
        <v>0</v>
      </c>
      <c r="X243">
        <v>-783086922</v>
      </c>
      <c r="Y243">
        <f t="shared" si="152"/>
        <v>2E-3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2E-3</v>
      </c>
      <c r="AU243" t="s">
        <v>25</v>
      </c>
      <c r="AV243">
        <v>0</v>
      </c>
      <c r="AW243">
        <v>2</v>
      </c>
      <c r="AX243">
        <v>59213961</v>
      </c>
      <c r="AY243">
        <v>1</v>
      </c>
      <c r="AZ243">
        <v>0</v>
      </c>
      <c r="BA243">
        <v>264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ROUND(Y243*Source!I198,9)</f>
        <v>2E-3</v>
      </c>
      <c r="CY243">
        <f t="shared" si="153"/>
        <v>0</v>
      </c>
      <c r="CZ243">
        <f t="shared" si="154"/>
        <v>0</v>
      </c>
      <c r="DA243">
        <f t="shared" si="155"/>
        <v>1</v>
      </c>
      <c r="DB243">
        <f t="shared" si="156"/>
        <v>0</v>
      </c>
      <c r="DC243">
        <f t="shared" si="157"/>
        <v>0</v>
      </c>
      <c r="DD243" t="s">
        <v>3</v>
      </c>
      <c r="DE243" t="s">
        <v>3</v>
      </c>
      <c r="DF243">
        <f t="shared" si="151"/>
        <v>0</v>
      </c>
      <c r="DG243">
        <f t="shared" si="148"/>
        <v>0</v>
      </c>
      <c r="DH243">
        <f t="shared" si="149"/>
        <v>0</v>
      </c>
      <c r="DI243">
        <f t="shared" si="126"/>
        <v>0</v>
      </c>
      <c r="DJ243">
        <f t="shared" si="158"/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ROW(Source!A199)</f>
        <v>199</v>
      </c>
      <c r="B244">
        <v>59213213</v>
      </c>
      <c r="C244">
        <v>59213736</v>
      </c>
      <c r="D244">
        <v>58266404</v>
      </c>
      <c r="E244">
        <v>1080</v>
      </c>
      <c r="F244">
        <v>1</v>
      </c>
      <c r="G244">
        <v>1080</v>
      </c>
      <c r="H244">
        <v>1</v>
      </c>
      <c r="I244" t="s">
        <v>331</v>
      </c>
      <c r="J244" t="s">
        <v>3</v>
      </c>
      <c r="K244" t="s">
        <v>332</v>
      </c>
      <c r="L244">
        <v>1191</v>
      </c>
      <c r="N244">
        <v>1013</v>
      </c>
      <c r="O244" t="s">
        <v>333</v>
      </c>
      <c r="P244" t="s">
        <v>333</v>
      </c>
      <c r="Q244">
        <v>1</v>
      </c>
      <c r="W244">
        <v>0</v>
      </c>
      <c r="X244">
        <v>476480486</v>
      </c>
      <c r="Y244">
        <f>(AT244*1.1)</f>
        <v>0.79200000000000004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5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0.72</v>
      </c>
      <c r="AU244" t="s">
        <v>26</v>
      </c>
      <c r="AV244">
        <v>1</v>
      </c>
      <c r="AW244">
        <v>2</v>
      </c>
      <c r="AX244">
        <v>59213952</v>
      </c>
      <c r="AY244">
        <v>1</v>
      </c>
      <c r="AZ244">
        <v>0</v>
      </c>
      <c r="BA244">
        <v>265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U244">
        <f>ROUND(AT244*Source!I199*AH244*AL244,2)</f>
        <v>0</v>
      </c>
      <c r="CV244">
        <f>ROUND(Y244*Source!I199,9)</f>
        <v>0.79200000000000004</v>
      </c>
      <c r="CW244">
        <v>0</v>
      </c>
      <c r="CX244">
        <f>ROUND(Y244*Source!I199,9)</f>
        <v>0.79200000000000004</v>
      </c>
      <c r="CY244">
        <f>AD244</f>
        <v>0</v>
      </c>
      <c r="CZ244">
        <f>AH244</f>
        <v>0</v>
      </c>
      <c r="DA244">
        <f>AL244</f>
        <v>1</v>
      </c>
      <c r="DB244">
        <f>ROUND((ROUND(AT244*CZ244,2)*1.1),6)</f>
        <v>0</v>
      </c>
      <c r="DC244">
        <f>ROUND((ROUND(AT244*AG244,2)*1.1),6)</f>
        <v>0</v>
      </c>
      <c r="DD244" t="s">
        <v>3</v>
      </c>
      <c r="DE244" t="s">
        <v>3</v>
      </c>
      <c r="DF244">
        <f t="shared" si="151"/>
        <v>0</v>
      </c>
      <c r="DG244">
        <f t="shared" si="148"/>
        <v>0</v>
      </c>
      <c r="DH244">
        <f t="shared" si="149"/>
        <v>0</v>
      </c>
      <c r="DI244">
        <f t="shared" si="126"/>
        <v>0</v>
      </c>
      <c r="DJ244">
        <f>DI244</f>
        <v>0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ROW(Source!A199)</f>
        <v>199</v>
      </c>
      <c r="B245">
        <v>59213213</v>
      </c>
      <c r="C245">
        <v>59213736</v>
      </c>
      <c r="D245">
        <v>58309906</v>
      </c>
      <c r="E245">
        <v>1</v>
      </c>
      <c r="F245">
        <v>1</v>
      </c>
      <c r="G245">
        <v>1080</v>
      </c>
      <c r="H245">
        <v>3</v>
      </c>
      <c r="I245" t="s">
        <v>442</v>
      </c>
      <c r="J245" t="s">
        <v>443</v>
      </c>
      <c r="K245" t="s">
        <v>444</v>
      </c>
      <c r="L245">
        <v>1301</v>
      </c>
      <c r="N245">
        <v>1003</v>
      </c>
      <c r="O245" t="s">
        <v>222</v>
      </c>
      <c r="P245" t="s">
        <v>222</v>
      </c>
      <c r="Q245">
        <v>1</v>
      </c>
      <c r="W245">
        <v>0</v>
      </c>
      <c r="X245">
        <v>882847464</v>
      </c>
      <c r="Y245">
        <f t="shared" ref="Y245:Y252" si="159">(AT245*1)</f>
        <v>5</v>
      </c>
      <c r="AA245">
        <v>5.48</v>
      </c>
      <c r="AB245">
        <v>0</v>
      </c>
      <c r="AC245">
        <v>0</v>
      </c>
      <c r="AD245">
        <v>0</v>
      </c>
      <c r="AE245">
        <v>0.39</v>
      </c>
      <c r="AF245">
        <v>0</v>
      </c>
      <c r="AG245">
        <v>0</v>
      </c>
      <c r="AH245">
        <v>0</v>
      </c>
      <c r="AI245">
        <v>14.05</v>
      </c>
      <c r="AJ245">
        <v>1</v>
      </c>
      <c r="AK245">
        <v>1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5</v>
      </c>
      <c r="AU245" t="s">
        <v>25</v>
      </c>
      <c r="AV245">
        <v>0</v>
      </c>
      <c r="AW245">
        <v>2</v>
      </c>
      <c r="AX245">
        <v>59213953</v>
      </c>
      <c r="AY245">
        <v>1</v>
      </c>
      <c r="AZ245">
        <v>0</v>
      </c>
      <c r="BA245">
        <v>266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ROUND(Y245*Source!I199,9)</f>
        <v>5</v>
      </c>
      <c r="CY245">
        <f t="shared" ref="CY245:CY252" si="160">AA245</f>
        <v>5.48</v>
      </c>
      <c r="CZ245">
        <f t="shared" ref="CZ245:CZ252" si="161">AE245</f>
        <v>0.39</v>
      </c>
      <c r="DA245">
        <f t="shared" ref="DA245:DA252" si="162">AI245</f>
        <v>14.05</v>
      </c>
      <c r="DB245">
        <f t="shared" ref="DB245:DB252" si="163">ROUND((ROUND(AT245*CZ245,2)*1),6)</f>
        <v>1.95</v>
      </c>
      <c r="DC245">
        <f t="shared" ref="DC245:DC252" si="164">ROUND((ROUND(AT245*AG245,2)*1),6)</f>
        <v>0</v>
      </c>
      <c r="DD245" t="s">
        <v>3</v>
      </c>
      <c r="DE245" t="s">
        <v>3</v>
      </c>
      <c r="DF245">
        <f t="shared" ref="DF245:DF252" si="165">ROUND(ROUND(AE245*AI245,2)*CX245,2)</f>
        <v>27.4</v>
      </c>
      <c r="DG245">
        <f t="shared" si="148"/>
        <v>0</v>
      </c>
      <c r="DH245">
        <f t="shared" si="149"/>
        <v>0</v>
      </c>
      <c r="DI245">
        <f t="shared" si="126"/>
        <v>0</v>
      </c>
      <c r="DJ245">
        <f t="shared" ref="DJ245:DJ252" si="166">DF245</f>
        <v>27.4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ROW(Source!A199)</f>
        <v>199</v>
      </c>
      <c r="B246">
        <v>59213213</v>
      </c>
      <c r="C246">
        <v>59213736</v>
      </c>
      <c r="D246">
        <v>58308889</v>
      </c>
      <c r="E246">
        <v>1</v>
      </c>
      <c r="F246">
        <v>1</v>
      </c>
      <c r="G246">
        <v>1080</v>
      </c>
      <c r="H246">
        <v>3</v>
      </c>
      <c r="I246" t="s">
        <v>445</v>
      </c>
      <c r="J246" t="s">
        <v>446</v>
      </c>
      <c r="K246" t="s">
        <v>447</v>
      </c>
      <c r="L246">
        <v>1339</v>
      </c>
      <c r="N246">
        <v>1007</v>
      </c>
      <c r="O246" t="s">
        <v>448</v>
      </c>
      <c r="P246" t="s">
        <v>448</v>
      </c>
      <c r="Q246">
        <v>1</v>
      </c>
      <c r="W246">
        <v>0</v>
      </c>
      <c r="X246">
        <v>1880586541</v>
      </c>
      <c r="Y246">
        <f t="shared" si="159"/>
        <v>1E-3</v>
      </c>
      <c r="AA246">
        <v>8575.23</v>
      </c>
      <c r="AB246">
        <v>0</v>
      </c>
      <c r="AC246">
        <v>0</v>
      </c>
      <c r="AD246">
        <v>0</v>
      </c>
      <c r="AE246">
        <v>1176.3</v>
      </c>
      <c r="AF246">
        <v>0</v>
      </c>
      <c r="AG246">
        <v>0</v>
      </c>
      <c r="AH246">
        <v>0</v>
      </c>
      <c r="AI246">
        <v>7.29</v>
      </c>
      <c r="AJ246">
        <v>1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1E-3</v>
      </c>
      <c r="AU246" t="s">
        <v>25</v>
      </c>
      <c r="AV246">
        <v>0</v>
      </c>
      <c r="AW246">
        <v>2</v>
      </c>
      <c r="AX246">
        <v>59213954</v>
      </c>
      <c r="AY246">
        <v>1</v>
      </c>
      <c r="AZ246">
        <v>0</v>
      </c>
      <c r="BA246">
        <v>267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ROUND(Y246*Source!I199,9)</f>
        <v>1E-3</v>
      </c>
      <c r="CY246">
        <f t="shared" si="160"/>
        <v>8575.23</v>
      </c>
      <c r="CZ246">
        <f t="shared" si="161"/>
        <v>1176.3</v>
      </c>
      <c r="DA246">
        <f t="shared" si="162"/>
        <v>7.29</v>
      </c>
      <c r="DB246">
        <f t="shared" si="163"/>
        <v>1.18</v>
      </c>
      <c r="DC246">
        <f t="shared" si="164"/>
        <v>0</v>
      </c>
      <c r="DD246" t="s">
        <v>3</v>
      </c>
      <c r="DE246" t="s">
        <v>3</v>
      </c>
      <c r="DF246">
        <f t="shared" si="165"/>
        <v>8.58</v>
      </c>
      <c r="DG246">
        <f t="shared" si="148"/>
        <v>0</v>
      </c>
      <c r="DH246">
        <f t="shared" si="149"/>
        <v>0</v>
      </c>
      <c r="DI246">
        <f t="shared" si="126"/>
        <v>0</v>
      </c>
      <c r="DJ246">
        <f t="shared" si="166"/>
        <v>8.58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ROW(Source!A199)</f>
        <v>199</v>
      </c>
      <c r="B247">
        <v>59213213</v>
      </c>
      <c r="C247">
        <v>59213736</v>
      </c>
      <c r="D247">
        <v>58308977</v>
      </c>
      <c r="E247">
        <v>1</v>
      </c>
      <c r="F247">
        <v>1</v>
      </c>
      <c r="G247">
        <v>1080</v>
      </c>
      <c r="H247">
        <v>3</v>
      </c>
      <c r="I247" t="s">
        <v>449</v>
      </c>
      <c r="J247" t="s">
        <v>450</v>
      </c>
      <c r="K247" t="s">
        <v>451</v>
      </c>
      <c r="L247">
        <v>1346</v>
      </c>
      <c r="N247">
        <v>1009</v>
      </c>
      <c r="O247" t="s">
        <v>244</v>
      </c>
      <c r="P247" t="s">
        <v>244</v>
      </c>
      <c r="Q247">
        <v>1</v>
      </c>
      <c r="W247">
        <v>0</v>
      </c>
      <c r="X247">
        <v>2120032869</v>
      </c>
      <c r="Y247">
        <f t="shared" si="159"/>
        <v>0.01</v>
      </c>
      <c r="AA247">
        <v>387.54</v>
      </c>
      <c r="AB247">
        <v>0</v>
      </c>
      <c r="AC247">
        <v>0</v>
      </c>
      <c r="AD247">
        <v>0</v>
      </c>
      <c r="AE247">
        <v>16.690000000000001</v>
      </c>
      <c r="AF247">
        <v>0</v>
      </c>
      <c r="AG247">
        <v>0</v>
      </c>
      <c r="AH247">
        <v>0</v>
      </c>
      <c r="AI247">
        <v>23.22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0.01</v>
      </c>
      <c r="AU247" t="s">
        <v>25</v>
      </c>
      <c r="AV247">
        <v>0</v>
      </c>
      <c r="AW247">
        <v>2</v>
      </c>
      <c r="AX247">
        <v>59213955</v>
      </c>
      <c r="AY247">
        <v>1</v>
      </c>
      <c r="AZ247">
        <v>0</v>
      </c>
      <c r="BA247">
        <v>268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ROUND(Y247*Source!I199,9)</f>
        <v>0.01</v>
      </c>
      <c r="CY247">
        <f t="shared" si="160"/>
        <v>387.54</v>
      </c>
      <c r="CZ247">
        <f t="shared" si="161"/>
        <v>16.690000000000001</v>
      </c>
      <c r="DA247">
        <f t="shared" si="162"/>
        <v>23.22</v>
      </c>
      <c r="DB247">
        <f t="shared" si="163"/>
        <v>0.17</v>
      </c>
      <c r="DC247">
        <f t="shared" si="164"/>
        <v>0</v>
      </c>
      <c r="DD247" t="s">
        <v>3</v>
      </c>
      <c r="DE247" t="s">
        <v>3</v>
      </c>
      <c r="DF247">
        <f t="shared" si="165"/>
        <v>3.88</v>
      </c>
      <c r="DG247">
        <f t="shared" si="148"/>
        <v>0</v>
      </c>
      <c r="DH247">
        <f t="shared" si="149"/>
        <v>0</v>
      </c>
      <c r="DI247">
        <f t="shared" si="126"/>
        <v>0</v>
      </c>
      <c r="DJ247">
        <f t="shared" si="166"/>
        <v>3.88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ROW(Source!A199)</f>
        <v>199</v>
      </c>
      <c r="B248">
        <v>59213213</v>
      </c>
      <c r="C248">
        <v>59213736</v>
      </c>
      <c r="D248">
        <v>58315579</v>
      </c>
      <c r="E248">
        <v>1</v>
      </c>
      <c r="F248">
        <v>1</v>
      </c>
      <c r="G248">
        <v>1080</v>
      </c>
      <c r="H248">
        <v>3</v>
      </c>
      <c r="I248" t="s">
        <v>452</v>
      </c>
      <c r="J248" t="s">
        <v>453</v>
      </c>
      <c r="K248" t="s">
        <v>454</v>
      </c>
      <c r="L248">
        <v>1355</v>
      </c>
      <c r="N248">
        <v>1010</v>
      </c>
      <c r="O248" t="s">
        <v>227</v>
      </c>
      <c r="P248" t="s">
        <v>227</v>
      </c>
      <c r="Q248">
        <v>100</v>
      </c>
      <c r="W248">
        <v>0</v>
      </c>
      <c r="X248">
        <v>-1616851610</v>
      </c>
      <c r="Y248">
        <f t="shared" si="159"/>
        <v>0.02</v>
      </c>
      <c r="AA248">
        <v>1542.04</v>
      </c>
      <c r="AB248">
        <v>0</v>
      </c>
      <c r="AC248">
        <v>0</v>
      </c>
      <c r="AD248">
        <v>0</v>
      </c>
      <c r="AE248">
        <v>120.19</v>
      </c>
      <c r="AF248">
        <v>0</v>
      </c>
      <c r="AG248">
        <v>0</v>
      </c>
      <c r="AH248">
        <v>0</v>
      </c>
      <c r="AI248">
        <v>12.83</v>
      </c>
      <c r="AJ248">
        <v>1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0.02</v>
      </c>
      <c r="AU248" t="s">
        <v>25</v>
      </c>
      <c r="AV248">
        <v>0</v>
      </c>
      <c r="AW248">
        <v>2</v>
      </c>
      <c r="AX248">
        <v>59213956</v>
      </c>
      <c r="AY248">
        <v>1</v>
      </c>
      <c r="AZ248">
        <v>0</v>
      </c>
      <c r="BA248">
        <v>269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ROUND(Y248*Source!I199,9)</f>
        <v>0.02</v>
      </c>
      <c r="CY248">
        <f t="shared" si="160"/>
        <v>1542.04</v>
      </c>
      <c r="CZ248">
        <f t="shared" si="161"/>
        <v>120.19</v>
      </c>
      <c r="DA248">
        <f t="shared" si="162"/>
        <v>12.83</v>
      </c>
      <c r="DB248">
        <f t="shared" si="163"/>
        <v>2.4</v>
      </c>
      <c r="DC248">
        <f t="shared" si="164"/>
        <v>0</v>
      </c>
      <c r="DD248" t="s">
        <v>3</v>
      </c>
      <c r="DE248" t="s">
        <v>3</v>
      </c>
      <c r="DF248">
        <f t="shared" si="165"/>
        <v>30.84</v>
      </c>
      <c r="DG248">
        <f t="shared" si="148"/>
        <v>0</v>
      </c>
      <c r="DH248">
        <f t="shared" si="149"/>
        <v>0</v>
      </c>
      <c r="DI248">
        <f t="shared" si="126"/>
        <v>0</v>
      </c>
      <c r="DJ248">
        <f t="shared" si="166"/>
        <v>30.84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ROW(Source!A199)</f>
        <v>199</v>
      </c>
      <c r="B249">
        <v>59213213</v>
      </c>
      <c r="C249">
        <v>59213736</v>
      </c>
      <c r="D249">
        <v>58309371</v>
      </c>
      <c r="E249">
        <v>1</v>
      </c>
      <c r="F249">
        <v>1</v>
      </c>
      <c r="G249">
        <v>1080</v>
      </c>
      <c r="H249">
        <v>3</v>
      </c>
      <c r="I249" t="s">
        <v>391</v>
      </c>
      <c r="J249" t="s">
        <v>392</v>
      </c>
      <c r="K249" t="s">
        <v>393</v>
      </c>
      <c r="L249">
        <v>1348</v>
      </c>
      <c r="N249">
        <v>1009</v>
      </c>
      <c r="O249" t="s">
        <v>345</v>
      </c>
      <c r="P249" t="s">
        <v>345</v>
      </c>
      <c r="Q249">
        <v>1000</v>
      </c>
      <c r="W249">
        <v>0</v>
      </c>
      <c r="X249">
        <v>-1945031955</v>
      </c>
      <c r="Y249">
        <f t="shared" si="159"/>
        <v>1.0000000000000001E-5</v>
      </c>
      <c r="AA249">
        <v>1930103.81</v>
      </c>
      <c r="AB249">
        <v>0</v>
      </c>
      <c r="AC249">
        <v>0</v>
      </c>
      <c r="AD249">
        <v>0</v>
      </c>
      <c r="AE249">
        <v>64123.05</v>
      </c>
      <c r="AF249">
        <v>0</v>
      </c>
      <c r="AG249">
        <v>0</v>
      </c>
      <c r="AH249">
        <v>0</v>
      </c>
      <c r="AI249">
        <v>30.1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1.0000000000000001E-5</v>
      </c>
      <c r="AU249" t="s">
        <v>25</v>
      </c>
      <c r="AV249">
        <v>0</v>
      </c>
      <c r="AW249">
        <v>2</v>
      </c>
      <c r="AX249">
        <v>59213957</v>
      </c>
      <c r="AY249">
        <v>1</v>
      </c>
      <c r="AZ249">
        <v>0</v>
      </c>
      <c r="BA249">
        <v>270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ROUND(Y249*Source!I199,9)</f>
        <v>1.0000000000000001E-5</v>
      </c>
      <c r="CY249">
        <f t="shared" si="160"/>
        <v>1930103.81</v>
      </c>
      <c r="CZ249">
        <f t="shared" si="161"/>
        <v>64123.05</v>
      </c>
      <c r="DA249">
        <f t="shared" si="162"/>
        <v>30.1</v>
      </c>
      <c r="DB249">
        <f t="shared" si="163"/>
        <v>0.64</v>
      </c>
      <c r="DC249">
        <f t="shared" si="164"/>
        <v>0</v>
      </c>
      <c r="DD249" t="s">
        <v>3</v>
      </c>
      <c r="DE249" t="s">
        <v>3</v>
      </c>
      <c r="DF249">
        <f t="shared" si="165"/>
        <v>19.3</v>
      </c>
      <c r="DG249">
        <f t="shared" si="148"/>
        <v>0</v>
      </c>
      <c r="DH249">
        <f t="shared" si="149"/>
        <v>0</v>
      </c>
      <c r="DI249">
        <f t="shared" si="126"/>
        <v>0</v>
      </c>
      <c r="DJ249">
        <f t="shared" si="166"/>
        <v>19.3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ROW(Source!A199)</f>
        <v>199</v>
      </c>
      <c r="B250">
        <v>59213213</v>
      </c>
      <c r="C250">
        <v>59213736</v>
      </c>
      <c r="D250">
        <v>58332885</v>
      </c>
      <c r="E250">
        <v>1</v>
      </c>
      <c r="F250">
        <v>1</v>
      </c>
      <c r="G250">
        <v>1080</v>
      </c>
      <c r="H250">
        <v>3</v>
      </c>
      <c r="I250" t="s">
        <v>455</v>
      </c>
      <c r="J250" t="s">
        <v>456</v>
      </c>
      <c r="K250" t="s">
        <v>457</v>
      </c>
      <c r="L250">
        <v>1356</v>
      </c>
      <c r="N250">
        <v>1010</v>
      </c>
      <c r="O250" t="s">
        <v>426</v>
      </c>
      <c r="P250" t="s">
        <v>426</v>
      </c>
      <c r="Q250">
        <v>1000</v>
      </c>
      <c r="W250">
        <v>0</v>
      </c>
      <c r="X250">
        <v>-1808005655</v>
      </c>
      <c r="Y250">
        <f t="shared" si="159"/>
        <v>2E-3</v>
      </c>
      <c r="AA250">
        <v>1141.22</v>
      </c>
      <c r="AB250">
        <v>0</v>
      </c>
      <c r="AC250">
        <v>0</v>
      </c>
      <c r="AD250">
        <v>0</v>
      </c>
      <c r="AE250">
        <v>294.89</v>
      </c>
      <c r="AF250">
        <v>0</v>
      </c>
      <c r="AG250">
        <v>0</v>
      </c>
      <c r="AH250">
        <v>0</v>
      </c>
      <c r="AI250">
        <v>3.87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2E-3</v>
      </c>
      <c r="AU250" t="s">
        <v>25</v>
      </c>
      <c r="AV250">
        <v>0</v>
      </c>
      <c r="AW250">
        <v>2</v>
      </c>
      <c r="AX250">
        <v>59213958</v>
      </c>
      <c r="AY250">
        <v>1</v>
      </c>
      <c r="AZ250">
        <v>0</v>
      </c>
      <c r="BA250">
        <v>271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ROUND(Y250*Source!I199,9)</f>
        <v>2E-3</v>
      </c>
      <c r="CY250">
        <f t="shared" si="160"/>
        <v>1141.22</v>
      </c>
      <c r="CZ250">
        <f t="shared" si="161"/>
        <v>294.89</v>
      </c>
      <c r="DA250">
        <f t="shared" si="162"/>
        <v>3.87</v>
      </c>
      <c r="DB250">
        <f t="shared" si="163"/>
        <v>0.59</v>
      </c>
      <c r="DC250">
        <f t="shared" si="164"/>
        <v>0</v>
      </c>
      <c r="DD250" t="s">
        <v>3</v>
      </c>
      <c r="DE250" t="s">
        <v>3</v>
      </c>
      <c r="DF250">
        <f t="shared" si="165"/>
        <v>2.2799999999999998</v>
      </c>
      <c r="DG250">
        <f t="shared" si="148"/>
        <v>0</v>
      </c>
      <c r="DH250">
        <f t="shared" si="149"/>
        <v>0</v>
      </c>
      <c r="DI250">
        <f t="shared" si="126"/>
        <v>0</v>
      </c>
      <c r="DJ250">
        <f t="shared" si="166"/>
        <v>2.2799999999999998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ROW(Source!A199)</f>
        <v>199</v>
      </c>
      <c r="B251">
        <v>59213213</v>
      </c>
      <c r="C251">
        <v>59213736</v>
      </c>
      <c r="D251">
        <v>58331958</v>
      </c>
      <c r="E251">
        <v>1</v>
      </c>
      <c r="F251">
        <v>1</v>
      </c>
      <c r="G251">
        <v>1080</v>
      </c>
      <c r="H251">
        <v>3</v>
      </c>
      <c r="I251" t="s">
        <v>458</v>
      </c>
      <c r="J251" t="s">
        <v>459</v>
      </c>
      <c r="K251" t="s">
        <v>460</v>
      </c>
      <c r="L251">
        <v>1354</v>
      </c>
      <c r="N251">
        <v>1010</v>
      </c>
      <c r="O251" t="s">
        <v>34</v>
      </c>
      <c r="P251" t="s">
        <v>34</v>
      </c>
      <c r="Q251">
        <v>1</v>
      </c>
      <c r="W251">
        <v>0</v>
      </c>
      <c r="X251">
        <v>1729520002</v>
      </c>
      <c r="Y251">
        <f t="shared" si="159"/>
        <v>1</v>
      </c>
      <c r="AA251">
        <v>10.029999999999999</v>
      </c>
      <c r="AB251">
        <v>0</v>
      </c>
      <c r="AC251">
        <v>0</v>
      </c>
      <c r="AD251">
        <v>0</v>
      </c>
      <c r="AE251">
        <v>15.67</v>
      </c>
      <c r="AF251">
        <v>0</v>
      </c>
      <c r="AG251">
        <v>0</v>
      </c>
      <c r="AH251">
        <v>0</v>
      </c>
      <c r="AI251">
        <v>0.64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1</v>
      </c>
      <c r="AU251" t="s">
        <v>25</v>
      </c>
      <c r="AV251">
        <v>0</v>
      </c>
      <c r="AW251">
        <v>2</v>
      </c>
      <c r="AX251">
        <v>59213959</v>
      </c>
      <c r="AY251">
        <v>1</v>
      </c>
      <c r="AZ251">
        <v>0</v>
      </c>
      <c r="BA251">
        <v>272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ROUND(Y251*Source!I199,9)</f>
        <v>1</v>
      </c>
      <c r="CY251">
        <f t="shared" si="160"/>
        <v>10.029999999999999</v>
      </c>
      <c r="CZ251">
        <f t="shared" si="161"/>
        <v>15.67</v>
      </c>
      <c r="DA251">
        <f t="shared" si="162"/>
        <v>0.64</v>
      </c>
      <c r="DB251">
        <f t="shared" si="163"/>
        <v>15.67</v>
      </c>
      <c r="DC251">
        <f t="shared" si="164"/>
        <v>0</v>
      </c>
      <c r="DD251" t="s">
        <v>3</v>
      </c>
      <c r="DE251" t="s">
        <v>3</v>
      </c>
      <c r="DF251">
        <f t="shared" si="165"/>
        <v>10.029999999999999</v>
      </c>
      <c r="DG251">
        <f t="shared" si="148"/>
        <v>0</v>
      </c>
      <c r="DH251">
        <f t="shared" si="149"/>
        <v>0</v>
      </c>
      <c r="DI251">
        <f t="shared" si="126"/>
        <v>0</v>
      </c>
      <c r="DJ251">
        <f t="shared" si="166"/>
        <v>10.029999999999999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ROW(Source!A199)</f>
        <v>199</v>
      </c>
      <c r="B252">
        <v>59213213</v>
      </c>
      <c r="C252">
        <v>59213736</v>
      </c>
      <c r="D252">
        <v>58271406</v>
      </c>
      <c r="E252">
        <v>1080</v>
      </c>
      <c r="F252">
        <v>1</v>
      </c>
      <c r="G252">
        <v>1080</v>
      </c>
      <c r="H252">
        <v>3</v>
      </c>
      <c r="I252" t="s">
        <v>397</v>
      </c>
      <c r="J252" t="s">
        <v>3</v>
      </c>
      <c r="K252" t="s">
        <v>398</v>
      </c>
      <c r="L252">
        <v>1348</v>
      </c>
      <c r="N252">
        <v>1009</v>
      </c>
      <c r="O252" t="s">
        <v>345</v>
      </c>
      <c r="P252" t="s">
        <v>345</v>
      </c>
      <c r="Q252">
        <v>1000</v>
      </c>
      <c r="W252">
        <v>0</v>
      </c>
      <c r="X252">
        <v>-783086922</v>
      </c>
      <c r="Y252">
        <f t="shared" si="159"/>
        <v>2E-3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9.8800000000000008</v>
      </c>
      <c r="AJ252">
        <v>1</v>
      </c>
      <c r="AK252">
        <v>1</v>
      </c>
      <c r="AL252">
        <v>1</v>
      </c>
      <c r="AM252">
        <v>5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2E-3</v>
      </c>
      <c r="AU252" t="s">
        <v>25</v>
      </c>
      <c r="AV252">
        <v>0</v>
      </c>
      <c r="AW252">
        <v>2</v>
      </c>
      <c r="AX252">
        <v>59213961</v>
      </c>
      <c r="AY252">
        <v>1</v>
      </c>
      <c r="AZ252">
        <v>0</v>
      </c>
      <c r="BA252">
        <v>274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ROUND(Y252*Source!I199,9)</f>
        <v>2E-3</v>
      </c>
      <c r="CY252">
        <f t="shared" si="160"/>
        <v>0</v>
      </c>
      <c r="CZ252">
        <f t="shared" si="161"/>
        <v>0</v>
      </c>
      <c r="DA252">
        <f t="shared" si="162"/>
        <v>9.8800000000000008</v>
      </c>
      <c r="DB252">
        <f t="shared" si="163"/>
        <v>0</v>
      </c>
      <c r="DC252">
        <f t="shared" si="164"/>
        <v>0</v>
      </c>
      <c r="DD252" t="s">
        <v>3</v>
      </c>
      <c r="DE252" t="s">
        <v>3</v>
      </c>
      <c r="DF252">
        <f t="shared" si="165"/>
        <v>0</v>
      </c>
      <c r="DG252">
        <f t="shared" si="148"/>
        <v>0</v>
      </c>
      <c r="DH252">
        <f t="shared" si="149"/>
        <v>0</v>
      </c>
      <c r="DI252">
        <f t="shared" si="126"/>
        <v>0</v>
      </c>
      <c r="DJ252">
        <f t="shared" si="166"/>
        <v>0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ROW(Source!A202)</f>
        <v>202</v>
      </c>
      <c r="B253">
        <v>59213216</v>
      </c>
      <c r="C253">
        <v>59213757</v>
      </c>
      <c r="D253">
        <v>58266404</v>
      </c>
      <c r="E253">
        <v>1080</v>
      </c>
      <c r="F253">
        <v>1</v>
      </c>
      <c r="G253">
        <v>1080</v>
      </c>
      <c r="H253">
        <v>1</v>
      </c>
      <c r="I253" t="s">
        <v>331</v>
      </c>
      <c r="J253" t="s">
        <v>3</v>
      </c>
      <c r="K253" t="s">
        <v>332</v>
      </c>
      <c r="L253">
        <v>1191</v>
      </c>
      <c r="N253">
        <v>1013</v>
      </c>
      <c r="O253" t="s">
        <v>333</v>
      </c>
      <c r="P253" t="s">
        <v>333</v>
      </c>
      <c r="Q253">
        <v>1</v>
      </c>
      <c r="W253">
        <v>0</v>
      </c>
      <c r="X253">
        <v>476480486</v>
      </c>
      <c r="Y253">
        <f>(AT253*1.1)</f>
        <v>16.104000000000003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14.64</v>
      </c>
      <c r="AU253" t="s">
        <v>26</v>
      </c>
      <c r="AV253">
        <v>1</v>
      </c>
      <c r="AW253">
        <v>2</v>
      </c>
      <c r="AX253">
        <v>59213962</v>
      </c>
      <c r="AY253">
        <v>1</v>
      </c>
      <c r="AZ253">
        <v>0</v>
      </c>
      <c r="BA253">
        <v>275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U253">
        <f>ROUND(AT253*Source!I202*AH253*AL253,2)</f>
        <v>0</v>
      </c>
      <c r="CV253">
        <f>ROUND(Y253*Source!I202,9)</f>
        <v>11.2728</v>
      </c>
      <c r="CW253">
        <v>0</v>
      </c>
      <c r="CX253">
        <f>ROUND(Y253*Source!I202,9)</f>
        <v>11.2728</v>
      </c>
      <c r="CY253">
        <f>AD253</f>
        <v>0</v>
      </c>
      <c r="CZ253">
        <f>AH253</f>
        <v>0</v>
      </c>
      <c r="DA253">
        <f>AL253</f>
        <v>1</v>
      </c>
      <c r="DB253">
        <f>ROUND((ROUND(AT253*CZ253,2)*1.1),6)</f>
        <v>0</v>
      </c>
      <c r="DC253">
        <f>ROUND((ROUND(AT253*AG253,2)*1.1),6)</f>
        <v>0</v>
      </c>
      <c r="DD253" t="s">
        <v>3</v>
      </c>
      <c r="DE253" t="s">
        <v>3</v>
      </c>
      <c r="DF253">
        <f t="shared" ref="DF253:DF261" si="167">ROUND(ROUND(AE253,2)*CX253,2)</f>
        <v>0</v>
      </c>
      <c r="DG253">
        <f t="shared" si="148"/>
        <v>0</v>
      </c>
      <c r="DH253">
        <f t="shared" si="149"/>
        <v>0</v>
      </c>
      <c r="DI253">
        <f t="shared" si="126"/>
        <v>0</v>
      </c>
      <c r="DJ253">
        <f>DI253</f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ROW(Source!A202)</f>
        <v>202</v>
      </c>
      <c r="B254">
        <v>59213216</v>
      </c>
      <c r="C254">
        <v>59213757</v>
      </c>
      <c r="D254">
        <v>58340578</v>
      </c>
      <c r="E254">
        <v>1</v>
      </c>
      <c r="F254">
        <v>1</v>
      </c>
      <c r="G254">
        <v>1080</v>
      </c>
      <c r="H254">
        <v>2</v>
      </c>
      <c r="I254" t="s">
        <v>334</v>
      </c>
      <c r="J254" t="s">
        <v>335</v>
      </c>
      <c r="K254" t="s">
        <v>336</v>
      </c>
      <c r="L254">
        <v>1368</v>
      </c>
      <c r="N254">
        <v>1011</v>
      </c>
      <c r="O254" t="s">
        <v>337</v>
      </c>
      <c r="P254" t="s">
        <v>337</v>
      </c>
      <c r="Q254">
        <v>1</v>
      </c>
      <c r="W254">
        <v>0</v>
      </c>
      <c r="X254">
        <v>-1985943078</v>
      </c>
      <c r="Y254">
        <f>(AT254*1.1)</f>
        <v>6.6000000000000003E-2</v>
      </c>
      <c r="AA254">
        <v>0</v>
      </c>
      <c r="AB254">
        <v>87.01</v>
      </c>
      <c r="AC254">
        <v>13.21</v>
      </c>
      <c r="AD254">
        <v>0</v>
      </c>
      <c r="AE254">
        <v>0</v>
      </c>
      <c r="AF254">
        <v>83.1</v>
      </c>
      <c r="AG254">
        <v>12.62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0.06</v>
      </c>
      <c r="AU254" t="s">
        <v>26</v>
      </c>
      <c r="AV254">
        <v>0</v>
      </c>
      <c r="AW254">
        <v>2</v>
      </c>
      <c r="AX254">
        <v>59213963</v>
      </c>
      <c r="AY254">
        <v>1</v>
      </c>
      <c r="AZ254">
        <v>0</v>
      </c>
      <c r="BA254">
        <v>276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f>ROUND(Y254*Source!I202*DO254,9)</f>
        <v>0.58304400000000001</v>
      </c>
      <c r="CX254">
        <f>ROUND(Y254*Source!I202,9)</f>
        <v>4.6199999999999998E-2</v>
      </c>
      <c r="CY254">
        <f>AB254</f>
        <v>87.01</v>
      </c>
      <c r="CZ254">
        <f>AF254</f>
        <v>83.1</v>
      </c>
      <c r="DA254">
        <f>AJ254</f>
        <v>1</v>
      </c>
      <c r="DB254">
        <f>ROUND((ROUND(AT254*CZ254,2)*1.1),6)</f>
        <v>5.4889999999999999</v>
      </c>
      <c r="DC254">
        <f>ROUND((ROUND(AT254*AG254,2)*1.1),6)</f>
        <v>0.83599999999999997</v>
      </c>
      <c r="DD254" t="s">
        <v>3</v>
      </c>
      <c r="DE254" t="s">
        <v>3</v>
      </c>
      <c r="DF254">
        <f t="shared" si="167"/>
        <v>0</v>
      </c>
      <c r="DG254">
        <f t="shared" si="148"/>
        <v>3.84</v>
      </c>
      <c r="DH254">
        <f t="shared" si="149"/>
        <v>0.57999999999999996</v>
      </c>
      <c r="DI254">
        <f t="shared" si="126"/>
        <v>0</v>
      </c>
      <c r="DJ254">
        <f>DG254</f>
        <v>3.84</v>
      </c>
      <c r="DK254">
        <v>0</v>
      </c>
      <c r="DL254" t="s">
        <v>338</v>
      </c>
      <c r="DM254">
        <v>0</v>
      </c>
      <c r="DN254" t="s">
        <v>333</v>
      </c>
      <c r="DO254">
        <v>12.62</v>
      </c>
    </row>
    <row r="255" spans="1:119" x14ac:dyDescent="0.2">
      <c r="A255">
        <f>ROW(Source!A202)</f>
        <v>202</v>
      </c>
      <c r="B255">
        <v>59213216</v>
      </c>
      <c r="C255">
        <v>59213757</v>
      </c>
      <c r="D255">
        <v>58340697</v>
      </c>
      <c r="E255">
        <v>1</v>
      </c>
      <c r="F255">
        <v>1</v>
      </c>
      <c r="G255">
        <v>1080</v>
      </c>
      <c r="H255">
        <v>2</v>
      </c>
      <c r="I255" t="s">
        <v>388</v>
      </c>
      <c r="J255" t="s">
        <v>389</v>
      </c>
      <c r="K255" t="s">
        <v>390</v>
      </c>
      <c r="L255">
        <v>1368</v>
      </c>
      <c r="N255">
        <v>1011</v>
      </c>
      <c r="O255" t="s">
        <v>337</v>
      </c>
      <c r="P255" t="s">
        <v>337</v>
      </c>
      <c r="Q255">
        <v>1</v>
      </c>
      <c r="W255">
        <v>0</v>
      </c>
      <c r="X255">
        <v>2147454900</v>
      </c>
      <c r="Y255">
        <f>(AT255*1.1)</f>
        <v>0.89100000000000013</v>
      </c>
      <c r="AA255">
        <v>0</v>
      </c>
      <c r="AB255">
        <v>0.84</v>
      </c>
      <c r="AC255">
        <v>0</v>
      </c>
      <c r="AD255">
        <v>0</v>
      </c>
      <c r="AE255">
        <v>0</v>
      </c>
      <c r="AF255">
        <v>0.8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0.81</v>
      </c>
      <c r="AU255" t="s">
        <v>26</v>
      </c>
      <c r="AV255">
        <v>0</v>
      </c>
      <c r="AW255">
        <v>2</v>
      </c>
      <c r="AX255">
        <v>59213964</v>
      </c>
      <c r="AY255">
        <v>1</v>
      </c>
      <c r="AZ255">
        <v>0</v>
      </c>
      <c r="BA255">
        <v>277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ROUND(Y255*Source!I202*DO255,9)</f>
        <v>0</v>
      </c>
      <c r="CX255">
        <f>ROUND(Y255*Source!I202,9)</f>
        <v>0.62370000000000003</v>
      </c>
      <c r="CY255">
        <f>AB255</f>
        <v>0.84</v>
      </c>
      <c r="CZ255">
        <f>AF255</f>
        <v>0.8</v>
      </c>
      <c r="DA255">
        <f>AJ255</f>
        <v>1</v>
      </c>
      <c r="DB255">
        <f>ROUND((ROUND(AT255*CZ255,2)*1.1),6)</f>
        <v>0.71499999999999997</v>
      </c>
      <c r="DC255">
        <f>ROUND((ROUND(AT255*AG255,2)*1.1),6)</f>
        <v>0</v>
      </c>
      <c r="DD255" t="s">
        <v>3</v>
      </c>
      <c r="DE255" t="s">
        <v>3</v>
      </c>
      <c r="DF255">
        <f t="shared" si="167"/>
        <v>0</v>
      </c>
      <c r="DG255">
        <f t="shared" si="148"/>
        <v>0.5</v>
      </c>
      <c r="DH255">
        <f t="shared" si="149"/>
        <v>0</v>
      </c>
      <c r="DI255">
        <f t="shared" si="126"/>
        <v>0</v>
      </c>
      <c r="DJ255">
        <f>DG255</f>
        <v>0.5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ROW(Source!A202)</f>
        <v>202</v>
      </c>
      <c r="B256">
        <v>59213216</v>
      </c>
      <c r="C256">
        <v>59213757</v>
      </c>
      <c r="D256">
        <v>58340663</v>
      </c>
      <c r="E256">
        <v>1</v>
      </c>
      <c r="F256">
        <v>1</v>
      </c>
      <c r="G256">
        <v>1080</v>
      </c>
      <c r="H256">
        <v>2</v>
      </c>
      <c r="I256" t="s">
        <v>339</v>
      </c>
      <c r="J256" t="s">
        <v>340</v>
      </c>
      <c r="K256" t="s">
        <v>341</v>
      </c>
      <c r="L256">
        <v>1368</v>
      </c>
      <c r="N256">
        <v>1011</v>
      </c>
      <c r="O256" t="s">
        <v>337</v>
      </c>
      <c r="P256" t="s">
        <v>337</v>
      </c>
      <c r="Q256">
        <v>1</v>
      </c>
      <c r="W256">
        <v>0</v>
      </c>
      <c r="X256">
        <v>1645565003</v>
      </c>
      <c r="Y256">
        <f>(AT256*1.1)</f>
        <v>1.0230000000000001</v>
      </c>
      <c r="AA256">
        <v>0</v>
      </c>
      <c r="AB256">
        <v>0.49</v>
      </c>
      <c r="AC256">
        <v>0</v>
      </c>
      <c r="AD256">
        <v>0</v>
      </c>
      <c r="AE256">
        <v>0</v>
      </c>
      <c r="AF256">
        <v>0.47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0.93</v>
      </c>
      <c r="AU256" t="s">
        <v>26</v>
      </c>
      <c r="AV256">
        <v>0</v>
      </c>
      <c r="AW256">
        <v>2</v>
      </c>
      <c r="AX256">
        <v>59213965</v>
      </c>
      <c r="AY256">
        <v>1</v>
      </c>
      <c r="AZ256">
        <v>0</v>
      </c>
      <c r="BA256">
        <v>278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ROUND(Y256*Source!I202*DO256,9)</f>
        <v>0</v>
      </c>
      <c r="CX256">
        <f>ROUND(Y256*Source!I202,9)</f>
        <v>0.71609999999999996</v>
      </c>
      <c r="CY256">
        <f>AB256</f>
        <v>0.49</v>
      </c>
      <c r="CZ256">
        <f>AF256</f>
        <v>0.47</v>
      </c>
      <c r="DA256">
        <f>AJ256</f>
        <v>1</v>
      </c>
      <c r="DB256">
        <f>ROUND((ROUND(AT256*CZ256,2)*1.1),6)</f>
        <v>0.48399999999999999</v>
      </c>
      <c r="DC256">
        <f>ROUND((ROUND(AT256*AG256,2)*1.1),6)</f>
        <v>0</v>
      </c>
      <c r="DD256" t="s">
        <v>3</v>
      </c>
      <c r="DE256" t="s">
        <v>3</v>
      </c>
      <c r="DF256">
        <f t="shared" si="167"/>
        <v>0</v>
      </c>
      <c r="DG256">
        <f t="shared" si="148"/>
        <v>0.34</v>
      </c>
      <c r="DH256">
        <f t="shared" si="149"/>
        <v>0</v>
      </c>
      <c r="DI256">
        <f t="shared" si="126"/>
        <v>0</v>
      </c>
      <c r="DJ256">
        <f>DG256</f>
        <v>0.34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ROW(Source!A202)</f>
        <v>202</v>
      </c>
      <c r="B257">
        <v>59213216</v>
      </c>
      <c r="C257">
        <v>59213757</v>
      </c>
      <c r="D257">
        <v>58310460</v>
      </c>
      <c r="E257">
        <v>1</v>
      </c>
      <c r="F257">
        <v>1</v>
      </c>
      <c r="G257">
        <v>1080</v>
      </c>
      <c r="H257">
        <v>3</v>
      </c>
      <c r="I257" t="s">
        <v>342</v>
      </c>
      <c r="J257" t="s">
        <v>343</v>
      </c>
      <c r="K257" t="s">
        <v>344</v>
      </c>
      <c r="L257">
        <v>1348</v>
      </c>
      <c r="N257">
        <v>1009</v>
      </c>
      <c r="O257" t="s">
        <v>345</v>
      </c>
      <c r="P257" t="s">
        <v>345</v>
      </c>
      <c r="Q257">
        <v>1000</v>
      </c>
      <c r="W257">
        <v>0</v>
      </c>
      <c r="X257">
        <v>1854293486</v>
      </c>
      <c r="Y257">
        <f>(AT257*1)</f>
        <v>1.7000000000000001E-4</v>
      </c>
      <c r="AA257">
        <v>14327.51</v>
      </c>
      <c r="AB257">
        <v>0</v>
      </c>
      <c r="AC257">
        <v>0</v>
      </c>
      <c r="AD257">
        <v>0</v>
      </c>
      <c r="AE257">
        <v>14327.51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1.7000000000000001E-4</v>
      </c>
      <c r="AU257" t="s">
        <v>25</v>
      </c>
      <c r="AV257">
        <v>0</v>
      </c>
      <c r="AW257">
        <v>2</v>
      </c>
      <c r="AX257">
        <v>59213966</v>
      </c>
      <c r="AY257">
        <v>1</v>
      </c>
      <c r="AZ257">
        <v>0</v>
      </c>
      <c r="BA257">
        <v>279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ROUND(Y257*Source!I202,9)</f>
        <v>1.1900000000000001E-4</v>
      </c>
      <c r="CY257">
        <f>AA257</f>
        <v>14327.51</v>
      </c>
      <c r="CZ257">
        <f>AE257</f>
        <v>14327.51</v>
      </c>
      <c r="DA257">
        <f>AI257</f>
        <v>1</v>
      </c>
      <c r="DB257">
        <f>ROUND((ROUND(AT257*CZ257,2)*1),6)</f>
        <v>2.44</v>
      </c>
      <c r="DC257">
        <f>ROUND((ROUND(AT257*AG257,2)*1),6)</f>
        <v>0</v>
      </c>
      <c r="DD257" t="s">
        <v>3</v>
      </c>
      <c r="DE257" t="s">
        <v>3</v>
      </c>
      <c r="DF257">
        <f t="shared" si="167"/>
        <v>1.7</v>
      </c>
      <c r="DG257">
        <f t="shared" si="148"/>
        <v>0</v>
      </c>
      <c r="DH257">
        <f t="shared" si="149"/>
        <v>0</v>
      </c>
      <c r="DI257">
        <f t="shared" ref="DI257:DI308" si="168">ROUND(ROUND(AH257,2)*CX257,2)</f>
        <v>0</v>
      </c>
      <c r="DJ257">
        <f>DF257</f>
        <v>1.7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ROW(Source!A203)</f>
        <v>203</v>
      </c>
      <c r="B258">
        <v>59213213</v>
      </c>
      <c r="C258">
        <v>59213757</v>
      </c>
      <c r="D258">
        <v>58266404</v>
      </c>
      <c r="E258">
        <v>1080</v>
      </c>
      <c r="F258">
        <v>1</v>
      </c>
      <c r="G258">
        <v>1080</v>
      </c>
      <c r="H258">
        <v>1</v>
      </c>
      <c r="I258" t="s">
        <v>331</v>
      </c>
      <c r="J258" t="s">
        <v>3</v>
      </c>
      <c r="K258" t="s">
        <v>332</v>
      </c>
      <c r="L258">
        <v>1191</v>
      </c>
      <c r="N258">
        <v>1013</v>
      </c>
      <c r="O258" t="s">
        <v>333</v>
      </c>
      <c r="P258" t="s">
        <v>333</v>
      </c>
      <c r="Q258">
        <v>1</v>
      </c>
      <c r="W258">
        <v>0</v>
      </c>
      <c r="X258">
        <v>476480486</v>
      </c>
      <c r="Y258">
        <f>(AT258*1.1)</f>
        <v>16.104000000000003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5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14.64</v>
      </c>
      <c r="AU258" t="s">
        <v>26</v>
      </c>
      <c r="AV258">
        <v>1</v>
      </c>
      <c r="AW258">
        <v>2</v>
      </c>
      <c r="AX258">
        <v>59213962</v>
      </c>
      <c r="AY258">
        <v>1</v>
      </c>
      <c r="AZ258">
        <v>0</v>
      </c>
      <c r="BA258">
        <v>281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U258">
        <f>ROUND(AT258*Source!I203*AH258*AL258,2)</f>
        <v>0</v>
      </c>
      <c r="CV258">
        <f>ROUND(Y258*Source!I203,9)</f>
        <v>11.2728</v>
      </c>
      <c r="CW258">
        <v>0</v>
      </c>
      <c r="CX258">
        <f>ROUND(Y258*Source!I203,9)</f>
        <v>11.2728</v>
      </c>
      <c r="CY258">
        <f>AD258</f>
        <v>0</v>
      </c>
      <c r="CZ258">
        <f>AH258</f>
        <v>0</v>
      </c>
      <c r="DA258">
        <f>AL258</f>
        <v>1</v>
      </c>
      <c r="DB258">
        <f>ROUND((ROUND(AT258*CZ258,2)*1.1),6)</f>
        <v>0</v>
      </c>
      <c r="DC258">
        <f>ROUND((ROUND(AT258*AG258,2)*1.1),6)</f>
        <v>0</v>
      </c>
      <c r="DD258" t="s">
        <v>3</v>
      </c>
      <c r="DE258" t="s">
        <v>3</v>
      </c>
      <c r="DF258">
        <f t="shared" si="167"/>
        <v>0</v>
      </c>
      <c r="DG258">
        <f t="shared" si="148"/>
        <v>0</v>
      </c>
      <c r="DH258">
        <f t="shared" si="149"/>
        <v>0</v>
      </c>
      <c r="DI258">
        <f t="shared" si="168"/>
        <v>0</v>
      </c>
      <c r="DJ258">
        <f>DI258</f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ROW(Source!A203)</f>
        <v>203</v>
      </c>
      <c r="B259">
        <v>59213213</v>
      </c>
      <c r="C259">
        <v>59213757</v>
      </c>
      <c r="D259">
        <v>58340578</v>
      </c>
      <c r="E259">
        <v>1</v>
      </c>
      <c r="F259">
        <v>1</v>
      </c>
      <c r="G259">
        <v>1080</v>
      </c>
      <c r="H259">
        <v>2</v>
      </c>
      <c r="I259" t="s">
        <v>334</v>
      </c>
      <c r="J259" t="s">
        <v>335</v>
      </c>
      <c r="K259" t="s">
        <v>336</v>
      </c>
      <c r="L259">
        <v>1368</v>
      </c>
      <c r="N259">
        <v>1011</v>
      </c>
      <c r="O259" t="s">
        <v>337</v>
      </c>
      <c r="P259" t="s">
        <v>337</v>
      </c>
      <c r="Q259">
        <v>1</v>
      </c>
      <c r="W259">
        <v>0</v>
      </c>
      <c r="X259">
        <v>-1985943078</v>
      </c>
      <c r="Y259">
        <f>(AT259*1.1)</f>
        <v>6.6000000000000003E-2</v>
      </c>
      <c r="AA259">
        <v>0</v>
      </c>
      <c r="AB259">
        <v>1418.19</v>
      </c>
      <c r="AC259">
        <v>726.59</v>
      </c>
      <c r="AD259">
        <v>0</v>
      </c>
      <c r="AE259">
        <v>0</v>
      </c>
      <c r="AF259">
        <v>83.1</v>
      </c>
      <c r="AG259">
        <v>12.62</v>
      </c>
      <c r="AH259">
        <v>0</v>
      </c>
      <c r="AI259">
        <v>1</v>
      </c>
      <c r="AJ259">
        <v>16.3</v>
      </c>
      <c r="AK259">
        <v>54.99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0.06</v>
      </c>
      <c r="AU259" t="s">
        <v>26</v>
      </c>
      <c r="AV259">
        <v>0</v>
      </c>
      <c r="AW259">
        <v>2</v>
      </c>
      <c r="AX259">
        <v>59213963</v>
      </c>
      <c r="AY259">
        <v>1</v>
      </c>
      <c r="AZ259">
        <v>0</v>
      </c>
      <c r="BA259">
        <v>282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ROUND(Y259*Source!I203*DO259,9)</f>
        <v>0.58304400000000001</v>
      </c>
      <c r="CX259">
        <f>ROUND(Y259*Source!I203,9)</f>
        <v>4.6199999999999998E-2</v>
      </c>
      <c r="CY259">
        <f>AB259</f>
        <v>1418.19</v>
      </c>
      <c r="CZ259">
        <f>AF259</f>
        <v>83.1</v>
      </c>
      <c r="DA259">
        <f>AJ259</f>
        <v>16.3</v>
      </c>
      <c r="DB259">
        <f>ROUND((ROUND(AT259*CZ259,2)*1.1),6)</f>
        <v>5.4889999999999999</v>
      </c>
      <c r="DC259">
        <f>ROUND((ROUND(AT259*AG259,2)*1.1),6)</f>
        <v>0.83599999999999997</v>
      </c>
      <c r="DD259" t="s">
        <v>3</v>
      </c>
      <c r="DE259" t="s">
        <v>3</v>
      </c>
      <c r="DF259">
        <f t="shared" si="167"/>
        <v>0</v>
      </c>
      <c r="DG259">
        <f>ROUND(ROUND(AF259*AJ259,2)*CX259,2)</f>
        <v>62.58</v>
      </c>
      <c r="DH259">
        <f>ROUND(ROUND(AG259*AK259,2)*CX259,2)</f>
        <v>32.06</v>
      </c>
      <c r="DI259">
        <f t="shared" si="168"/>
        <v>0</v>
      </c>
      <c r="DJ259">
        <f>DG259</f>
        <v>62.58</v>
      </c>
      <c r="DK259">
        <v>0</v>
      </c>
      <c r="DL259" t="s">
        <v>338</v>
      </c>
      <c r="DM259">
        <v>0</v>
      </c>
      <c r="DN259" t="s">
        <v>333</v>
      </c>
      <c r="DO259">
        <v>12.62</v>
      </c>
    </row>
    <row r="260" spans="1:119" x14ac:dyDescent="0.2">
      <c r="A260">
        <f>ROW(Source!A203)</f>
        <v>203</v>
      </c>
      <c r="B260">
        <v>59213213</v>
      </c>
      <c r="C260">
        <v>59213757</v>
      </c>
      <c r="D260">
        <v>58340697</v>
      </c>
      <c r="E260">
        <v>1</v>
      </c>
      <c r="F260">
        <v>1</v>
      </c>
      <c r="G260">
        <v>1080</v>
      </c>
      <c r="H260">
        <v>2</v>
      </c>
      <c r="I260" t="s">
        <v>388</v>
      </c>
      <c r="J260" t="s">
        <v>389</v>
      </c>
      <c r="K260" t="s">
        <v>390</v>
      </c>
      <c r="L260">
        <v>1368</v>
      </c>
      <c r="N260">
        <v>1011</v>
      </c>
      <c r="O260" t="s">
        <v>337</v>
      </c>
      <c r="P260" t="s">
        <v>337</v>
      </c>
      <c r="Q260">
        <v>1</v>
      </c>
      <c r="W260">
        <v>0</v>
      </c>
      <c r="X260">
        <v>2147454900</v>
      </c>
      <c r="Y260">
        <f>(AT260*1.1)</f>
        <v>0.89100000000000013</v>
      </c>
      <c r="AA260">
        <v>0</v>
      </c>
      <c r="AB260">
        <v>7.19</v>
      </c>
      <c r="AC260">
        <v>0</v>
      </c>
      <c r="AD260">
        <v>0</v>
      </c>
      <c r="AE260">
        <v>0</v>
      </c>
      <c r="AF260">
        <v>0.8</v>
      </c>
      <c r="AG260">
        <v>0</v>
      </c>
      <c r="AH260">
        <v>0</v>
      </c>
      <c r="AI260">
        <v>1</v>
      </c>
      <c r="AJ260">
        <v>8.59</v>
      </c>
      <c r="AK260">
        <v>54.99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0.81</v>
      </c>
      <c r="AU260" t="s">
        <v>26</v>
      </c>
      <c r="AV260">
        <v>0</v>
      </c>
      <c r="AW260">
        <v>2</v>
      </c>
      <c r="AX260">
        <v>59213964</v>
      </c>
      <c r="AY260">
        <v>1</v>
      </c>
      <c r="AZ260">
        <v>0</v>
      </c>
      <c r="BA260">
        <v>283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f>ROUND(Y260*Source!I203*DO260,9)</f>
        <v>0</v>
      </c>
      <c r="CX260">
        <f>ROUND(Y260*Source!I203,9)</f>
        <v>0.62370000000000003</v>
      </c>
      <c r="CY260">
        <f>AB260</f>
        <v>7.19</v>
      </c>
      <c r="CZ260">
        <f>AF260</f>
        <v>0.8</v>
      </c>
      <c r="DA260">
        <f>AJ260</f>
        <v>8.59</v>
      </c>
      <c r="DB260">
        <f>ROUND((ROUND(AT260*CZ260,2)*1.1),6)</f>
        <v>0.71499999999999997</v>
      </c>
      <c r="DC260">
        <f>ROUND((ROUND(AT260*AG260,2)*1.1),6)</f>
        <v>0</v>
      </c>
      <c r="DD260" t="s">
        <v>3</v>
      </c>
      <c r="DE260" t="s">
        <v>3</v>
      </c>
      <c r="DF260">
        <f t="shared" si="167"/>
        <v>0</v>
      </c>
      <c r="DG260">
        <f>ROUND(ROUND(AF260*AJ260,2)*CX260,2)</f>
        <v>4.28</v>
      </c>
      <c r="DH260">
        <f>ROUND(ROUND(AG260*AK260,2)*CX260,2)</f>
        <v>0</v>
      </c>
      <c r="DI260">
        <f t="shared" si="168"/>
        <v>0</v>
      </c>
      <c r="DJ260">
        <f>DG260</f>
        <v>4.28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ROW(Source!A203)</f>
        <v>203</v>
      </c>
      <c r="B261">
        <v>59213213</v>
      </c>
      <c r="C261">
        <v>59213757</v>
      </c>
      <c r="D261">
        <v>58340663</v>
      </c>
      <c r="E261">
        <v>1</v>
      </c>
      <c r="F261">
        <v>1</v>
      </c>
      <c r="G261">
        <v>1080</v>
      </c>
      <c r="H261">
        <v>2</v>
      </c>
      <c r="I261" t="s">
        <v>339</v>
      </c>
      <c r="J261" t="s">
        <v>340</v>
      </c>
      <c r="K261" t="s">
        <v>341</v>
      </c>
      <c r="L261">
        <v>1368</v>
      </c>
      <c r="N261">
        <v>1011</v>
      </c>
      <c r="O261" t="s">
        <v>337</v>
      </c>
      <c r="P261" t="s">
        <v>337</v>
      </c>
      <c r="Q261">
        <v>1</v>
      </c>
      <c r="W261">
        <v>0</v>
      </c>
      <c r="X261">
        <v>1645565003</v>
      </c>
      <c r="Y261">
        <f>(AT261*1.1)</f>
        <v>1.0230000000000001</v>
      </c>
      <c r="AA261">
        <v>0</v>
      </c>
      <c r="AB261">
        <v>4.3</v>
      </c>
      <c r="AC261">
        <v>0</v>
      </c>
      <c r="AD261">
        <v>0</v>
      </c>
      <c r="AE261">
        <v>0</v>
      </c>
      <c r="AF261">
        <v>0.47</v>
      </c>
      <c r="AG261">
        <v>0</v>
      </c>
      <c r="AH261">
        <v>0</v>
      </c>
      <c r="AI261">
        <v>1</v>
      </c>
      <c r="AJ261">
        <v>8.74</v>
      </c>
      <c r="AK261">
        <v>54.99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0.93</v>
      </c>
      <c r="AU261" t="s">
        <v>26</v>
      </c>
      <c r="AV261">
        <v>0</v>
      </c>
      <c r="AW261">
        <v>2</v>
      </c>
      <c r="AX261">
        <v>59213965</v>
      </c>
      <c r="AY261">
        <v>1</v>
      </c>
      <c r="AZ261">
        <v>0</v>
      </c>
      <c r="BA261">
        <v>284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f>ROUND(Y261*Source!I203*DO261,9)</f>
        <v>0</v>
      </c>
      <c r="CX261">
        <f>ROUND(Y261*Source!I203,9)</f>
        <v>0.71609999999999996</v>
      </c>
      <c r="CY261">
        <f>AB261</f>
        <v>4.3</v>
      </c>
      <c r="CZ261">
        <f>AF261</f>
        <v>0.47</v>
      </c>
      <c r="DA261">
        <f>AJ261</f>
        <v>8.74</v>
      </c>
      <c r="DB261">
        <f>ROUND((ROUND(AT261*CZ261,2)*1.1),6)</f>
        <v>0.48399999999999999</v>
      </c>
      <c r="DC261">
        <f>ROUND((ROUND(AT261*AG261,2)*1.1),6)</f>
        <v>0</v>
      </c>
      <c r="DD261" t="s">
        <v>3</v>
      </c>
      <c r="DE261" t="s">
        <v>3</v>
      </c>
      <c r="DF261">
        <f t="shared" si="167"/>
        <v>0</v>
      </c>
      <c r="DG261">
        <f>ROUND(ROUND(AF261*AJ261,2)*CX261,2)</f>
        <v>2.94</v>
      </c>
      <c r="DH261">
        <f>ROUND(ROUND(AG261*AK261,2)*CX261,2)</f>
        <v>0</v>
      </c>
      <c r="DI261">
        <f t="shared" si="168"/>
        <v>0</v>
      </c>
      <c r="DJ261">
        <f>DG261</f>
        <v>2.94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ROW(Source!A203)</f>
        <v>203</v>
      </c>
      <c r="B262">
        <v>59213213</v>
      </c>
      <c r="C262">
        <v>59213757</v>
      </c>
      <c r="D262">
        <v>58310460</v>
      </c>
      <c r="E262">
        <v>1</v>
      </c>
      <c r="F262">
        <v>1</v>
      </c>
      <c r="G262">
        <v>1080</v>
      </c>
      <c r="H262">
        <v>3</v>
      </c>
      <c r="I262" t="s">
        <v>342</v>
      </c>
      <c r="J262" t="s">
        <v>343</v>
      </c>
      <c r="K262" t="s">
        <v>344</v>
      </c>
      <c r="L262">
        <v>1348</v>
      </c>
      <c r="N262">
        <v>1009</v>
      </c>
      <c r="O262" t="s">
        <v>345</v>
      </c>
      <c r="P262" t="s">
        <v>345</v>
      </c>
      <c r="Q262">
        <v>1000</v>
      </c>
      <c r="W262">
        <v>0</v>
      </c>
      <c r="X262">
        <v>1854293486</v>
      </c>
      <c r="Y262">
        <f>(AT262*1)</f>
        <v>1.7000000000000001E-4</v>
      </c>
      <c r="AA262">
        <v>103874.45</v>
      </c>
      <c r="AB262">
        <v>0</v>
      </c>
      <c r="AC262">
        <v>0</v>
      </c>
      <c r="AD262">
        <v>0</v>
      </c>
      <c r="AE262">
        <v>14327.51</v>
      </c>
      <c r="AF262">
        <v>0</v>
      </c>
      <c r="AG262">
        <v>0</v>
      </c>
      <c r="AH262">
        <v>0</v>
      </c>
      <c r="AI262">
        <v>7.25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1.7000000000000001E-4</v>
      </c>
      <c r="AU262" t="s">
        <v>25</v>
      </c>
      <c r="AV262">
        <v>0</v>
      </c>
      <c r="AW262">
        <v>2</v>
      </c>
      <c r="AX262">
        <v>59213966</v>
      </c>
      <c r="AY262">
        <v>1</v>
      </c>
      <c r="AZ262">
        <v>0</v>
      </c>
      <c r="BA262">
        <v>285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ROUND(Y262*Source!I203,9)</f>
        <v>1.1900000000000001E-4</v>
      </c>
      <c r="CY262">
        <f>AA262</f>
        <v>103874.45</v>
      </c>
      <c r="CZ262">
        <f>AE262</f>
        <v>14327.51</v>
      </c>
      <c r="DA262">
        <f>AI262</f>
        <v>7.25</v>
      </c>
      <c r="DB262">
        <f>ROUND((ROUND(AT262*CZ262,2)*1),6)</f>
        <v>2.44</v>
      </c>
      <c r="DC262">
        <f>ROUND((ROUND(AT262*AG262,2)*1),6)</f>
        <v>0</v>
      </c>
      <c r="DD262" t="s">
        <v>3</v>
      </c>
      <c r="DE262" t="s">
        <v>3</v>
      </c>
      <c r="DF262">
        <f>ROUND(ROUND(AE262*AI262,2)*CX262,2)</f>
        <v>12.36</v>
      </c>
      <c r="DG262">
        <f t="shared" ref="DG262:DG279" si="169">ROUND(ROUND(AF262,2)*CX262,2)</f>
        <v>0</v>
      </c>
      <c r="DH262">
        <f t="shared" ref="DH262:DH279" si="170">ROUND(ROUND(AG262,2)*CX262,2)</f>
        <v>0</v>
      </c>
      <c r="DI262">
        <f t="shared" si="168"/>
        <v>0</v>
      </c>
      <c r="DJ262">
        <f>DF262</f>
        <v>12.36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ROW(Source!A206)</f>
        <v>206</v>
      </c>
      <c r="B263">
        <v>59213216</v>
      </c>
      <c r="C263">
        <v>59213770</v>
      </c>
      <c r="D263">
        <v>58266404</v>
      </c>
      <c r="E263">
        <v>1080</v>
      </c>
      <c r="F263">
        <v>1</v>
      </c>
      <c r="G263">
        <v>1080</v>
      </c>
      <c r="H263">
        <v>1</v>
      </c>
      <c r="I263" t="s">
        <v>331</v>
      </c>
      <c r="J263" t="s">
        <v>3</v>
      </c>
      <c r="K263" t="s">
        <v>332</v>
      </c>
      <c r="L263">
        <v>1191</v>
      </c>
      <c r="N263">
        <v>1013</v>
      </c>
      <c r="O263" t="s">
        <v>333</v>
      </c>
      <c r="P263" t="s">
        <v>333</v>
      </c>
      <c r="Q263">
        <v>1</v>
      </c>
      <c r="W263">
        <v>0</v>
      </c>
      <c r="X263">
        <v>476480486</v>
      </c>
      <c r="Y263">
        <f>(AT263*1.1)</f>
        <v>16.5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15</v>
      </c>
      <c r="AU263" t="s">
        <v>26</v>
      </c>
      <c r="AV263">
        <v>1</v>
      </c>
      <c r="AW263">
        <v>2</v>
      </c>
      <c r="AX263">
        <v>59213968</v>
      </c>
      <c r="AY263">
        <v>1</v>
      </c>
      <c r="AZ263">
        <v>0</v>
      </c>
      <c r="BA263">
        <v>287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ROUND(AT263*Source!I206*AH263*AL263,2)</f>
        <v>0</v>
      </c>
      <c r="CV263">
        <f>ROUND(Y263*Source!I206,9)</f>
        <v>72.599999999999994</v>
      </c>
      <c r="CW263">
        <v>0</v>
      </c>
      <c r="CX263">
        <f>ROUND(Y263*Source!I206,9)</f>
        <v>72.599999999999994</v>
      </c>
      <c r="CY263">
        <f>AD263</f>
        <v>0</v>
      </c>
      <c r="CZ263">
        <f>AH263</f>
        <v>0</v>
      </c>
      <c r="DA263">
        <f>AL263</f>
        <v>1</v>
      </c>
      <c r="DB263">
        <f>ROUND((ROUND(AT263*CZ263,2)*1.1),6)</f>
        <v>0</v>
      </c>
      <c r="DC263">
        <f>ROUND((ROUND(AT263*AG263,2)*1.1),6)</f>
        <v>0</v>
      </c>
      <c r="DD263" t="s">
        <v>3</v>
      </c>
      <c r="DE263" t="s">
        <v>3</v>
      </c>
      <c r="DF263">
        <f>ROUND(ROUND(AE263,2)*CX263,2)</f>
        <v>0</v>
      </c>
      <c r="DG263">
        <f t="shared" si="169"/>
        <v>0</v>
      </c>
      <c r="DH263">
        <f t="shared" si="170"/>
        <v>0</v>
      </c>
      <c r="DI263">
        <f t="shared" si="168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ROW(Source!A206)</f>
        <v>206</v>
      </c>
      <c r="B264">
        <v>59213216</v>
      </c>
      <c r="C264">
        <v>59213770</v>
      </c>
      <c r="D264">
        <v>58322885</v>
      </c>
      <c r="E264">
        <v>1</v>
      </c>
      <c r="F264">
        <v>1</v>
      </c>
      <c r="G264">
        <v>1080</v>
      </c>
      <c r="H264">
        <v>3</v>
      </c>
      <c r="I264" t="s">
        <v>220</v>
      </c>
      <c r="J264" t="s">
        <v>223</v>
      </c>
      <c r="K264" t="s">
        <v>221</v>
      </c>
      <c r="L264">
        <v>1301</v>
      </c>
      <c r="N264">
        <v>1003</v>
      </c>
      <c r="O264" t="s">
        <v>222</v>
      </c>
      <c r="P264" t="s">
        <v>222</v>
      </c>
      <c r="Q264">
        <v>1</v>
      </c>
      <c r="W264">
        <v>0</v>
      </c>
      <c r="X264">
        <v>-1305428159</v>
      </c>
      <c r="Y264">
        <f>(AT264*1)</f>
        <v>102</v>
      </c>
      <c r="AA264">
        <v>3.45</v>
      </c>
      <c r="AB264">
        <v>0</v>
      </c>
      <c r="AC264">
        <v>0</v>
      </c>
      <c r="AD264">
        <v>0</v>
      </c>
      <c r="AE264">
        <v>3.45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102</v>
      </c>
      <c r="AU264" t="s">
        <v>25</v>
      </c>
      <c r="AV264">
        <v>0</v>
      </c>
      <c r="AW264">
        <v>1</v>
      </c>
      <c r="AX264">
        <v>-1</v>
      </c>
      <c r="AY264">
        <v>0</v>
      </c>
      <c r="AZ264">
        <v>0</v>
      </c>
      <c r="BA264" t="s">
        <v>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ROUND(Y264*Source!I206,9)</f>
        <v>448.8</v>
      </c>
      <c r="CY264">
        <f>AA264</f>
        <v>3.45</v>
      </c>
      <c r="CZ264">
        <f>AE264</f>
        <v>3.45</v>
      </c>
      <c r="DA264">
        <f>AI264</f>
        <v>1</v>
      </c>
      <c r="DB264">
        <f>ROUND((ROUND(AT264*CZ264,2)*1),6)</f>
        <v>351.9</v>
      </c>
      <c r="DC264">
        <f>ROUND((ROUND(AT264*AG264,2)*1),6)</f>
        <v>0</v>
      </c>
      <c r="DD264" t="s">
        <v>3</v>
      </c>
      <c r="DE264" t="s">
        <v>3</v>
      </c>
      <c r="DF264">
        <f>ROUND(ROUND(AE264,2)*CX264,2)</f>
        <v>1548.36</v>
      </c>
      <c r="DG264">
        <f t="shared" si="169"/>
        <v>0</v>
      </c>
      <c r="DH264">
        <f t="shared" si="170"/>
        <v>0</v>
      </c>
      <c r="DI264">
        <f t="shared" si="168"/>
        <v>0</v>
      </c>
      <c r="DJ264">
        <f>DF264</f>
        <v>1548.36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ROW(Source!A206)</f>
        <v>206</v>
      </c>
      <c r="B265">
        <v>59213216</v>
      </c>
      <c r="C265">
        <v>59213770</v>
      </c>
      <c r="D265">
        <v>58332601</v>
      </c>
      <c r="E265">
        <v>1</v>
      </c>
      <c r="F265">
        <v>1</v>
      </c>
      <c r="G265">
        <v>1080</v>
      </c>
      <c r="H265">
        <v>3</v>
      </c>
      <c r="I265" t="s">
        <v>225</v>
      </c>
      <c r="J265" t="s">
        <v>228</v>
      </c>
      <c r="K265" t="s">
        <v>226</v>
      </c>
      <c r="L265">
        <v>1355</v>
      </c>
      <c r="N265">
        <v>1010</v>
      </c>
      <c r="O265" t="s">
        <v>227</v>
      </c>
      <c r="P265" t="s">
        <v>227</v>
      </c>
      <c r="Q265">
        <v>100</v>
      </c>
      <c r="W265">
        <v>0</v>
      </c>
      <c r="X265">
        <v>-1171050213</v>
      </c>
      <c r="Y265">
        <f>(AT265*1)</f>
        <v>2</v>
      </c>
      <c r="AA265">
        <v>146.88999999999999</v>
      </c>
      <c r="AB265">
        <v>0</v>
      </c>
      <c r="AC265">
        <v>0</v>
      </c>
      <c r="AD265">
        <v>0</v>
      </c>
      <c r="AE265">
        <v>146.88999999999999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3</v>
      </c>
      <c r="AT265">
        <v>2</v>
      </c>
      <c r="AU265" t="s">
        <v>25</v>
      </c>
      <c r="AV265">
        <v>0</v>
      </c>
      <c r="AW265">
        <v>1</v>
      </c>
      <c r="AX265">
        <v>-1</v>
      </c>
      <c r="AY265">
        <v>0</v>
      </c>
      <c r="AZ265">
        <v>0</v>
      </c>
      <c r="BA265" t="s">
        <v>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ROUND(Y265*Source!I206,9)</f>
        <v>8.8000000000000007</v>
      </c>
      <c r="CY265">
        <f>AA265</f>
        <v>146.88999999999999</v>
      </c>
      <c r="CZ265">
        <f>AE265</f>
        <v>146.88999999999999</v>
      </c>
      <c r="DA265">
        <f>AI265</f>
        <v>1</v>
      </c>
      <c r="DB265">
        <f>ROUND((ROUND(AT265*CZ265,2)*1),6)</f>
        <v>293.77999999999997</v>
      </c>
      <c r="DC265">
        <f>ROUND((ROUND(AT265*AG265,2)*1),6)</f>
        <v>0</v>
      </c>
      <c r="DD265" t="s">
        <v>3</v>
      </c>
      <c r="DE265" t="s">
        <v>3</v>
      </c>
      <c r="DF265">
        <f>ROUND(ROUND(AE265,2)*CX265,2)</f>
        <v>1292.6300000000001</v>
      </c>
      <c r="DG265">
        <f t="shared" si="169"/>
        <v>0</v>
      </c>
      <c r="DH265">
        <f t="shared" si="170"/>
        <v>0</v>
      </c>
      <c r="DI265">
        <f t="shared" si="168"/>
        <v>0</v>
      </c>
      <c r="DJ265">
        <f>DF265</f>
        <v>1292.6300000000001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ROW(Source!A207)</f>
        <v>207</v>
      </c>
      <c r="B266">
        <v>59213213</v>
      </c>
      <c r="C266">
        <v>59213770</v>
      </c>
      <c r="D266">
        <v>58266404</v>
      </c>
      <c r="E266">
        <v>1080</v>
      </c>
      <c r="F266">
        <v>1</v>
      </c>
      <c r="G266">
        <v>1080</v>
      </c>
      <c r="H266">
        <v>1</v>
      </c>
      <c r="I266" t="s">
        <v>331</v>
      </c>
      <c r="J266" t="s">
        <v>3</v>
      </c>
      <c r="K266" t="s">
        <v>332</v>
      </c>
      <c r="L266">
        <v>1191</v>
      </c>
      <c r="N266">
        <v>1013</v>
      </c>
      <c r="O266" t="s">
        <v>333</v>
      </c>
      <c r="P266" t="s">
        <v>333</v>
      </c>
      <c r="Q266">
        <v>1</v>
      </c>
      <c r="W266">
        <v>0</v>
      </c>
      <c r="X266">
        <v>476480486</v>
      </c>
      <c r="Y266">
        <f>(AT266*1.1)</f>
        <v>16.5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5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15</v>
      </c>
      <c r="AU266" t="s">
        <v>26</v>
      </c>
      <c r="AV266">
        <v>1</v>
      </c>
      <c r="AW266">
        <v>2</v>
      </c>
      <c r="AX266">
        <v>59213968</v>
      </c>
      <c r="AY266">
        <v>1</v>
      </c>
      <c r="AZ266">
        <v>0</v>
      </c>
      <c r="BA266">
        <v>291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U266">
        <f>ROUND(AT266*Source!I207*AH266*AL266,2)</f>
        <v>0</v>
      </c>
      <c r="CV266">
        <f>ROUND(Y266*Source!I207,9)</f>
        <v>72.599999999999994</v>
      </c>
      <c r="CW266">
        <v>0</v>
      </c>
      <c r="CX266">
        <f>ROUND(Y266*Source!I207,9)</f>
        <v>72.599999999999994</v>
      </c>
      <c r="CY266">
        <f>AD266</f>
        <v>0</v>
      </c>
      <c r="CZ266">
        <f>AH266</f>
        <v>0</v>
      </c>
      <c r="DA266">
        <f>AL266</f>
        <v>1</v>
      </c>
      <c r="DB266">
        <f>ROUND((ROUND(AT266*CZ266,2)*1.1),6)</f>
        <v>0</v>
      </c>
      <c r="DC266">
        <f>ROUND((ROUND(AT266*AG266,2)*1.1),6)</f>
        <v>0</v>
      </c>
      <c r="DD266" t="s">
        <v>3</v>
      </c>
      <c r="DE266" t="s">
        <v>3</v>
      </c>
      <c r="DF266">
        <f>ROUND(ROUND(AE266,2)*CX266,2)</f>
        <v>0</v>
      </c>
      <c r="DG266">
        <f t="shared" si="169"/>
        <v>0</v>
      </c>
      <c r="DH266">
        <f t="shared" si="170"/>
        <v>0</v>
      </c>
      <c r="DI266">
        <f t="shared" si="168"/>
        <v>0</v>
      </c>
      <c r="DJ266">
        <f>DI266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ROW(Source!A207)</f>
        <v>207</v>
      </c>
      <c r="B267">
        <v>59213213</v>
      </c>
      <c r="C267">
        <v>59213770</v>
      </c>
      <c r="D267">
        <v>58322885</v>
      </c>
      <c r="E267">
        <v>1</v>
      </c>
      <c r="F267">
        <v>1</v>
      </c>
      <c r="G267">
        <v>1080</v>
      </c>
      <c r="H267">
        <v>3</v>
      </c>
      <c r="I267" t="s">
        <v>220</v>
      </c>
      <c r="J267" t="s">
        <v>223</v>
      </c>
      <c r="K267" t="s">
        <v>221</v>
      </c>
      <c r="L267">
        <v>1301</v>
      </c>
      <c r="N267">
        <v>1003</v>
      </c>
      <c r="O267" t="s">
        <v>222</v>
      </c>
      <c r="P267" t="s">
        <v>222</v>
      </c>
      <c r="Q267">
        <v>1</v>
      </c>
      <c r="W267">
        <v>0</v>
      </c>
      <c r="X267">
        <v>-1305428159</v>
      </c>
      <c r="Y267">
        <f>(AT267*1)</f>
        <v>102</v>
      </c>
      <c r="AA267">
        <v>13.56</v>
      </c>
      <c r="AB267">
        <v>0</v>
      </c>
      <c r="AC267">
        <v>0</v>
      </c>
      <c r="AD267">
        <v>0</v>
      </c>
      <c r="AE267">
        <v>3.45</v>
      </c>
      <c r="AF267">
        <v>0</v>
      </c>
      <c r="AG267">
        <v>0</v>
      </c>
      <c r="AH267">
        <v>0</v>
      </c>
      <c r="AI267">
        <v>3.93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 t="s">
        <v>3</v>
      </c>
      <c r="AT267">
        <v>102</v>
      </c>
      <c r="AU267" t="s">
        <v>25</v>
      </c>
      <c r="AV267">
        <v>0</v>
      </c>
      <c r="AW267">
        <v>1</v>
      </c>
      <c r="AX267">
        <v>-1</v>
      </c>
      <c r="AY267">
        <v>0</v>
      </c>
      <c r="AZ267">
        <v>0</v>
      </c>
      <c r="BA267" t="s">
        <v>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ROUND(Y267*Source!I207,9)</f>
        <v>448.8</v>
      </c>
      <c r="CY267">
        <f>AA267</f>
        <v>13.56</v>
      </c>
      <c r="CZ267">
        <f>AE267</f>
        <v>3.45</v>
      </c>
      <c r="DA267">
        <f>AI267</f>
        <v>3.93</v>
      </c>
      <c r="DB267">
        <f>ROUND((ROUND(AT267*CZ267,2)*1),6)</f>
        <v>351.9</v>
      </c>
      <c r="DC267">
        <f>ROUND((ROUND(AT267*AG267,2)*1),6)</f>
        <v>0</v>
      </c>
      <c r="DD267" t="s">
        <v>3</v>
      </c>
      <c r="DE267" t="s">
        <v>3</v>
      </c>
      <c r="DF267">
        <f>ROUND(ROUND(AE267*AI267,2)*CX267,2)</f>
        <v>6085.73</v>
      </c>
      <c r="DG267">
        <f t="shared" si="169"/>
        <v>0</v>
      </c>
      <c r="DH267">
        <f t="shared" si="170"/>
        <v>0</v>
      </c>
      <c r="DI267">
        <f t="shared" si="168"/>
        <v>0</v>
      </c>
      <c r="DJ267">
        <f>DF267</f>
        <v>6085.73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ROW(Source!A207)</f>
        <v>207</v>
      </c>
      <c r="B268">
        <v>59213213</v>
      </c>
      <c r="C268">
        <v>59213770</v>
      </c>
      <c r="D268">
        <v>58332601</v>
      </c>
      <c r="E268">
        <v>1</v>
      </c>
      <c r="F268">
        <v>1</v>
      </c>
      <c r="G268">
        <v>1080</v>
      </c>
      <c r="H268">
        <v>3</v>
      </c>
      <c r="I268" t="s">
        <v>225</v>
      </c>
      <c r="J268" t="s">
        <v>228</v>
      </c>
      <c r="K268" t="s">
        <v>226</v>
      </c>
      <c r="L268">
        <v>1355</v>
      </c>
      <c r="N268">
        <v>1010</v>
      </c>
      <c r="O268" t="s">
        <v>227</v>
      </c>
      <c r="P268" t="s">
        <v>227</v>
      </c>
      <c r="Q268">
        <v>100</v>
      </c>
      <c r="W268">
        <v>0</v>
      </c>
      <c r="X268">
        <v>-1171050213</v>
      </c>
      <c r="Y268">
        <f>(AT268*1)</f>
        <v>2</v>
      </c>
      <c r="AA268">
        <v>298.19</v>
      </c>
      <c r="AB268">
        <v>0</v>
      </c>
      <c r="AC268">
        <v>0</v>
      </c>
      <c r="AD268">
        <v>0</v>
      </c>
      <c r="AE268">
        <v>146.88999999999999</v>
      </c>
      <c r="AF268">
        <v>0</v>
      </c>
      <c r="AG268">
        <v>0</v>
      </c>
      <c r="AH268">
        <v>0</v>
      </c>
      <c r="AI268">
        <v>2.0299999999999998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2</v>
      </c>
      <c r="AU268" t="s">
        <v>25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ROUND(Y268*Source!I207,9)</f>
        <v>8.8000000000000007</v>
      </c>
      <c r="CY268">
        <f>AA268</f>
        <v>298.19</v>
      </c>
      <c r="CZ268">
        <f>AE268</f>
        <v>146.88999999999999</v>
      </c>
      <c r="DA268">
        <f>AI268</f>
        <v>2.0299999999999998</v>
      </c>
      <c r="DB268">
        <f>ROUND((ROUND(AT268*CZ268,2)*1),6)</f>
        <v>293.77999999999997</v>
      </c>
      <c r="DC268">
        <f>ROUND((ROUND(AT268*AG268,2)*1),6)</f>
        <v>0</v>
      </c>
      <c r="DD268" t="s">
        <v>3</v>
      </c>
      <c r="DE268" t="s">
        <v>3</v>
      </c>
      <c r="DF268">
        <f>ROUND(ROUND(AE268*AI268,2)*CX268,2)</f>
        <v>2624.07</v>
      </c>
      <c r="DG268">
        <f t="shared" si="169"/>
        <v>0</v>
      </c>
      <c r="DH268">
        <f t="shared" si="170"/>
        <v>0</v>
      </c>
      <c r="DI268">
        <f t="shared" si="168"/>
        <v>0</v>
      </c>
      <c r="DJ268">
        <f>DF268</f>
        <v>2624.07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ROW(Source!A212)</f>
        <v>212</v>
      </c>
      <c r="B269">
        <v>59213216</v>
      </c>
      <c r="C269">
        <v>59213780</v>
      </c>
      <c r="D269">
        <v>58266404</v>
      </c>
      <c r="E269">
        <v>1080</v>
      </c>
      <c r="F269">
        <v>1</v>
      </c>
      <c r="G269">
        <v>1080</v>
      </c>
      <c r="H269">
        <v>1</v>
      </c>
      <c r="I269" t="s">
        <v>331</v>
      </c>
      <c r="J269" t="s">
        <v>3</v>
      </c>
      <c r="K269" t="s">
        <v>332</v>
      </c>
      <c r="L269">
        <v>1191</v>
      </c>
      <c r="N269">
        <v>1013</v>
      </c>
      <c r="O269" t="s">
        <v>333</v>
      </c>
      <c r="P269" t="s">
        <v>333</v>
      </c>
      <c r="Q269">
        <v>1</v>
      </c>
      <c r="W269">
        <v>0</v>
      </c>
      <c r="X269">
        <v>476480486</v>
      </c>
      <c r="Y269">
        <f>(AT269*1.1)</f>
        <v>4.9390000000000009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4.49</v>
      </c>
      <c r="AU269" t="s">
        <v>26</v>
      </c>
      <c r="AV269">
        <v>1</v>
      </c>
      <c r="AW269">
        <v>2</v>
      </c>
      <c r="AX269">
        <v>59213972</v>
      </c>
      <c r="AY269">
        <v>1</v>
      </c>
      <c r="AZ269">
        <v>0</v>
      </c>
      <c r="BA269">
        <v>295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ROUND(AT269*Source!I212*AH269*AL269,2)</f>
        <v>0</v>
      </c>
      <c r="CV269">
        <f>ROUND(Y269*Source!I212,9)</f>
        <v>0.98780000000000001</v>
      </c>
      <c r="CW269">
        <v>0</v>
      </c>
      <c r="CX269">
        <f>ROUND(Y269*Source!I212,9)</f>
        <v>0.98780000000000001</v>
      </c>
      <c r="CY269">
        <f>AD269</f>
        <v>0</v>
      </c>
      <c r="CZ269">
        <f>AH269</f>
        <v>0</v>
      </c>
      <c r="DA269">
        <f>AL269</f>
        <v>1</v>
      </c>
      <c r="DB269">
        <f>ROUND((ROUND(AT269*CZ269,2)*1.1),6)</f>
        <v>0</v>
      </c>
      <c r="DC269">
        <f>ROUND((ROUND(AT269*AG269,2)*1.1),6)</f>
        <v>0</v>
      </c>
      <c r="DD269" t="s">
        <v>3</v>
      </c>
      <c r="DE269" t="s">
        <v>3</v>
      </c>
      <c r="DF269">
        <f t="shared" ref="DF269:DF281" si="171">ROUND(ROUND(AE269,2)*CX269,2)</f>
        <v>0</v>
      </c>
      <c r="DG269">
        <f t="shared" si="169"/>
        <v>0</v>
      </c>
      <c r="DH269">
        <f t="shared" si="170"/>
        <v>0</v>
      </c>
      <c r="DI269">
        <f t="shared" si="168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ROW(Source!A212)</f>
        <v>212</v>
      </c>
      <c r="B270">
        <v>59213216</v>
      </c>
      <c r="C270">
        <v>59213780</v>
      </c>
      <c r="D270">
        <v>58340578</v>
      </c>
      <c r="E270">
        <v>1</v>
      </c>
      <c r="F270">
        <v>1</v>
      </c>
      <c r="G270">
        <v>1080</v>
      </c>
      <c r="H270">
        <v>2</v>
      </c>
      <c r="I270" t="s">
        <v>334</v>
      </c>
      <c r="J270" t="s">
        <v>335</v>
      </c>
      <c r="K270" t="s">
        <v>336</v>
      </c>
      <c r="L270">
        <v>1368</v>
      </c>
      <c r="N270">
        <v>1011</v>
      </c>
      <c r="O270" t="s">
        <v>337</v>
      </c>
      <c r="P270" t="s">
        <v>337</v>
      </c>
      <c r="Q270">
        <v>1</v>
      </c>
      <c r="W270">
        <v>0</v>
      </c>
      <c r="X270">
        <v>-1985943078</v>
      </c>
      <c r="Y270">
        <f>(AT270*1.1)</f>
        <v>1.1000000000000001E-2</v>
      </c>
      <c r="AA270">
        <v>0</v>
      </c>
      <c r="AB270">
        <v>87.01</v>
      </c>
      <c r="AC270">
        <v>13.21</v>
      </c>
      <c r="AD270">
        <v>0</v>
      </c>
      <c r="AE270">
        <v>0</v>
      </c>
      <c r="AF270">
        <v>83.1</v>
      </c>
      <c r="AG270">
        <v>12.62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0.01</v>
      </c>
      <c r="AU270" t="s">
        <v>26</v>
      </c>
      <c r="AV270">
        <v>0</v>
      </c>
      <c r="AW270">
        <v>2</v>
      </c>
      <c r="AX270">
        <v>59213973</v>
      </c>
      <c r="AY270">
        <v>1</v>
      </c>
      <c r="AZ270">
        <v>0</v>
      </c>
      <c r="BA270">
        <v>296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f>ROUND(Y270*Source!I212*DO270,9)</f>
        <v>2.7764E-2</v>
      </c>
      <c r="CX270">
        <f>ROUND(Y270*Source!I212,9)</f>
        <v>2.2000000000000001E-3</v>
      </c>
      <c r="CY270">
        <f>AB270</f>
        <v>87.01</v>
      </c>
      <c r="CZ270">
        <f>AF270</f>
        <v>83.1</v>
      </c>
      <c r="DA270">
        <f>AJ270</f>
        <v>1</v>
      </c>
      <c r="DB270">
        <f>ROUND((ROUND(AT270*CZ270,2)*1.1),6)</f>
        <v>0.91300000000000003</v>
      </c>
      <c r="DC270">
        <f>ROUND((ROUND(AT270*AG270,2)*1.1),6)</f>
        <v>0.14299999999999999</v>
      </c>
      <c r="DD270" t="s">
        <v>3</v>
      </c>
      <c r="DE270" t="s">
        <v>3</v>
      </c>
      <c r="DF270">
        <f t="shared" si="171"/>
        <v>0</v>
      </c>
      <c r="DG270">
        <f t="shared" si="169"/>
        <v>0.18</v>
      </c>
      <c r="DH270">
        <f t="shared" si="170"/>
        <v>0.03</v>
      </c>
      <c r="DI270">
        <f t="shared" si="168"/>
        <v>0</v>
      </c>
      <c r="DJ270">
        <f>DG270</f>
        <v>0.18</v>
      </c>
      <c r="DK270">
        <v>0</v>
      </c>
      <c r="DL270" t="s">
        <v>338</v>
      </c>
      <c r="DM270">
        <v>0</v>
      </c>
      <c r="DN270" t="s">
        <v>333</v>
      </c>
      <c r="DO270">
        <v>12.62</v>
      </c>
    </row>
    <row r="271" spans="1:119" x14ac:dyDescent="0.2">
      <c r="A271">
        <f>ROW(Source!A212)</f>
        <v>212</v>
      </c>
      <c r="B271">
        <v>59213216</v>
      </c>
      <c r="C271">
        <v>59213780</v>
      </c>
      <c r="D271">
        <v>58339814</v>
      </c>
      <c r="E271">
        <v>1</v>
      </c>
      <c r="F271">
        <v>1</v>
      </c>
      <c r="G271">
        <v>1080</v>
      </c>
      <c r="H271">
        <v>2</v>
      </c>
      <c r="I271" t="s">
        <v>411</v>
      </c>
      <c r="J271" t="s">
        <v>412</v>
      </c>
      <c r="K271" t="s">
        <v>413</v>
      </c>
      <c r="L271">
        <v>1368</v>
      </c>
      <c r="N271">
        <v>1011</v>
      </c>
      <c r="O271" t="s">
        <v>337</v>
      </c>
      <c r="P271" t="s">
        <v>337</v>
      </c>
      <c r="Q271">
        <v>1</v>
      </c>
      <c r="W271">
        <v>0</v>
      </c>
      <c r="X271">
        <v>1087580389</v>
      </c>
      <c r="Y271">
        <f>(AT271*1.1)</f>
        <v>1.1000000000000001E-2</v>
      </c>
      <c r="AA271">
        <v>0</v>
      </c>
      <c r="AB271">
        <v>187.59</v>
      </c>
      <c r="AC271">
        <v>17.73</v>
      </c>
      <c r="AD271">
        <v>0</v>
      </c>
      <c r="AE271">
        <v>0</v>
      </c>
      <c r="AF271">
        <v>179.17</v>
      </c>
      <c r="AG271">
        <v>16.93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0.01</v>
      </c>
      <c r="AU271" t="s">
        <v>26</v>
      </c>
      <c r="AV271">
        <v>0</v>
      </c>
      <c r="AW271">
        <v>2</v>
      </c>
      <c r="AX271">
        <v>59213974</v>
      </c>
      <c r="AY271">
        <v>1</v>
      </c>
      <c r="AZ271">
        <v>0</v>
      </c>
      <c r="BA271">
        <v>297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f>ROUND(Y271*Source!I212*DO271,9)</f>
        <v>3.7246000000000001E-2</v>
      </c>
      <c r="CX271">
        <f>ROUND(Y271*Source!I212,9)</f>
        <v>2.2000000000000001E-3</v>
      </c>
      <c r="CY271">
        <f>AB271</f>
        <v>187.59</v>
      </c>
      <c r="CZ271">
        <f>AF271</f>
        <v>179.17</v>
      </c>
      <c r="DA271">
        <f>AJ271</f>
        <v>1</v>
      </c>
      <c r="DB271">
        <f>ROUND((ROUND(AT271*CZ271,2)*1.1),6)</f>
        <v>1.9690000000000001</v>
      </c>
      <c r="DC271">
        <f>ROUND((ROUND(AT271*AG271,2)*1.1),6)</f>
        <v>0.187</v>
      </c>
      <c r="DD271" t="s">
        <v>3</v>
      </c>
      <c r="DE271" t="s">
        <v>3</v>
      </c>
      <c r="DF271">
        <f t="shared" si="171"/>
        <v>0</v>
      </c>
      <c r="DG271">
        <f t="shared" si="169"/>
        <v>0.39</v>
      </c>
      <c r="DH271">
        <f t="shared" si="170"/>
        <v>0.04</v>
      </c>
      <c r="DI271">
        <f t="shared" si="168"/>
        <v>0</v>
      </c>
      <c r="DJ271">
        <f>DG271</f>
        <v>0.39</v>
      </c>
      <c r="DK271">
        <v>0</v>
      </c>
      <c r="DL271" t="s">
        <v>338</v>
      </c>
      <c r="DM271">
        <v>0</v>
      </c>
      <c r="DN271" t="s">
        <v>333</v>
      </c>
      <c r="DO271">
        <v>16.93</v>
      </c>
    </row>
    <row r="272" spans="1:119" x14ac:dyDescent="0.2">
      <c r="A272">
        <f>ROW(Source!A212)</f>
        <v>212</v>
      </c>
      <c r="B272">
        <v>59213216</v>
      </c>
      <c r="C272">
        <v>59213780</v>
      </c>
      <c r="D272">
        <v>58309611</v>
      </c>
      <c r="E272">
        <v>1</v>
      </c>
      <c r="F272">
        <v>1</v>
      </c>
      <c r="G272">
        <v>1080</v>
      </c>
      <c r="H272">
        <v>3</v>
      </c>
      <c r="I272" t="s">
        <v>414</v>
      </c>
      <c r="J272" t="s">
        <v>415</v>
      </c>
      <c r="K272" t="s">
        <v>416</v>
      </c>
      <c r="L272">
        <v>1346</v>
      </c>
      <c r="N272">
        <v>1009</v>
      </c>
      <c r="O272" t="s">
        <v>244</v>
      </c>
      <c r="P272" t="s">
        <v>244</v>
      </c>
      <c r="Q272">
        <v>1</v>
      </c>
      <c r="W272">
        <v>0</v>
      </c>
      <c r="X272">
        <v>1770006655</v>
      </c>
      <c r="Y272">
        <f t="shared" ref="Y272:Y277" si="172">(AT272*1)</f>
        <v>0.43</v>
      </c>
      <c r="AA272">
        <v>1.38</v>
      </c>
      <c r="AB272">
        <v>0</v>
      </c>
      <c r="AC272">
        <v>0</v>
      </c>
      <c r="AD272">
        <v>0</v>
      </c>
      <c r="AE272">
        <v>1.38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0.43</v>
      </c>
      <c r="AU272" t="s">
        <v>25</v>
      </c>
      <c r="AV272">
        <v>0</v>
      </c>
      <c r="AW272">
        <v>2</v>
      </c>
      <c r="AX272">
        <v>59213975</v>
      </c>
      <c r="AY272">
        <v>1</v>
      </c>
      <c r="AZ272">
        <v>0</v>
      </c>
      <c r="BA272">
        <v>298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ROUND(Y272*Source!I212,9)</f>
        <v>8.5999999999999993E-2</v>
      </c>
      <c r="CY272">
        <f t="shared" ref="CY272:CY278" si="173">AA272</f>
        <v>1.38</v>
      </c>
      <c r="CZ272">
        <f t="shared" ref="CZ272:CZ278" si="174">AE272</f>
        <v>1.38</v>
      </c>
      <c r="DA272">
        <f t="shared" ref="DA272:DA278" si="175">AI272</f>
        <v>1</v>
      </c>
      <c r="DB272">
        <f t="shared" ref="DB272:DB277" si="176">ROUND((ROUND(AT272*CZ272,2)*1),6)</f>
        <v>0.59</v>
      </c>
      <c r="DC272">
        <f t="shared" ref="DC272:DC277" si="177">ROUND((ROUND(AT272*AG272,2)*1),6)</f>
        <v>0</v>
      </c>
      <c r="DD272" t="s">
        <v>3</v>
      </c>
      <c r="DE272" t="s">
        <v>3</v>
      </c>
      <c r="DF272">
        <f t="shared" si="171"/>
        <v>0.12</v>
      </c>
      <c r="DG272">
        <f t="shared" si="169"/>
        <v>0</v>
      </c>
      <c r="DH272">
        <f t="shared" si="170"/>
        <v>0</v>
      </c>
      <c r="DI272">
        <f t="shared" si="168"/>
        <v>0</v>
      </c>
      <c r="DJ272">
        <f t="shared" ref="DJ272:DJ278" si="178">DF272</f>
        <v>0.12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ROW(Source!A212)</f>
        <v>212</v>
      </c>
      <c r="B273">
        <v>59213216</v>
      </c>
      <c r="C273">
        <v>59213780</v>
      </c>
      <c r="D273">
        <v>58310002</v>
      </c>
      <c r="E273">
        <v>1</v>
      </c>
      <c r="F273">
        <v>1</v>
      </c>
      <c r="G273">
        <v>1080</v>
      </c>
      <c r="H273">
        <v>3</v>
      </c>
      <c r="I273" t="s">
        <v>417</v>
      </c>
      <c r="J273" t="s">
        <v>418</v>
      </c>
      <c r="K273" t="s">
        <v>419</v>
      </c>
      <c r="L273">
        <v>1346</v>
      </c>
      <c r="N273">
        <v>1009</v>
      </c>
      <c r="O273" t="s">
        <v>244</v>
      </c>
      <c r="P273" t="s">
        <v>244</v>
      </c>
      <c r="Q273">
        <v>1</v>
      </c>
      <c r="W273">
        <v>0</v>
      </c>
      <c r="X273">
        <v>-878159893</v>
      </c>
      <c r="Y273">
        <f t="shared" si="172"/>
        <v>0.16</v>
      </c>
      <c r="AA273">
        <v>159.06</v>
      </c>
      <c r="AB273">
        <v>0</v>
      </c>
      <c r="AC273">
        <v>0</v>
      </c>
      <c r="AD273">
        <v>0</v>
      </c>
      <c r="AE273">
        <v>159.06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0.16</v>
      </c>
      <c r="AU273" t="s">
        <v>25</v>
      </c>
      <c r="AV273">
        <v>0</v>
      </c>
      <c r="AW273">
        <v>2</v>
      </c>
      <c r="AX273">
        <v>59213976</v>
      </c>
      <c r="AY273">
        <v>1</v>
      </c>
      <c r="AZ273">
        <v>0</v>
      </c>
      <c r="BA273">
        <v>299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ROUND(Y273*Source!I212,9)</f>
        <v>3.2000000000000001E-2</v>
      </c>
      <c r="CY273">
        <f t="shared" si="173"/>
        <v>159.06</v>
      </c>
      <c r="CZ273">
        <f t="shared" si="174"/>
        <v>159.06</v>
      </c>
      <c r="DA273">
        <f t="shared" si="175"/>
        <v>1</v>
      </c>
      <c r="DB273">
        <f t="shared" si="176"/>
        <v>25.45</v>
      </c>
      <c r="DC273">
        <f t="shared" si="177"/>
        <v>0</v>
      </c>
      <c r="DD273" t="s">
        <v>3</v>
      </c>
      <c r="DE273" t="s">
        <v>3</v>
      </c>
      <c r="DF273">
        <f t="shared" si="171"/>
        <v>5.09</v>
      </c>
      <c r="DG273">
        <f t="shared" si="169"/>
        <v>0</v>
      </c>
      <c r="DH273">
        <f t="shared" si="170"/>
        <v>0</v>
      </c>
      <c r="DI273">
        <f t="shared" si="168"/>
        <v>0</v>
      </c>
      <c r="DJ273">
        <f t="shared" si="178"/>
        <v>5.09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ROW(Source!A212)</f>
        <v>212</v>
      </c>
      <c r="B274">
        <v>59213216</v>
      </c>
      <c r="C274">
        <v>59213780</v>
      </c>
      <c r="D274">
        <v>58332945</v>
      </c>
      <c r="E274">
        <v>1</v>
      </c>
      <c r="F274">
        <v>1</v>
      </c>
      <c r="G274">
        <v>1080</v>
      </c>
      <c r="H274">
        <v>3</v>
      </c>
      <c r="I274" t="s">
        <v>420</v>
      </c>
      <c r="J274" t="s">
        <v>421</v>
      </c>
      <c r="K274" t="s">
        <v>422</v>
      </c>
      <c r="L274">
        <v>1355</v>
      </c>
      <c r="N274">
        <v>1010</v>
      </c>
      <c r="O274" t="s">
        <v>227</v>
      </c>
      <c r="P274" t="s">
        <v>227</v>
      </c>
      <c r="Q274">
        <v>100</v>
      </c>
      <c r="W274">
        <v>0</v>
      </c>
      <c r="X274">
        <v>-456781043</v>
      </c>
      <c r="Y274">
        <f t="shared" si="172"/>
        <v>0.05</v>
      </c>
      <c r="AA274">
        <v>68.819999999999993</v>
      </c>
      <c r="AB274">
        <v>0</v>
      </c>
      <c r="AC274">
        <v>0</v>
      </c>
      <c r="AD274">
        <v>0</v>
      </c>
      <c r="AE274">
        <v>68.819999999999993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0.05</v>
      </c>
      <c r="AU274" t="s">
        <v>25</v>
      </c>
      <c r="AV274">
        <v>0</v>
      </c>
      <c r="AW274">
        <v>2</v>
      </c>
      <c r="AX274">
        <v>59213977</v>
      </c>
      <c r="AY274">
        <v>1</v>
      </c>
      <c r="AZ274">
        <v>0</v>
      </c>
      <c r="BA274">
        <v>300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ROUND(Y274*Source!I212,9)</f>
        <v>0.01</v>
      </c>
      <c r="CY274">
        <f t="shared" si="173"/>
        <v>68.819999999999993</v>
      </c>
      <c r="CZ274">
        <f t="shared" si="174"/>
        <v>68.819999999999993</v>
      </c>
      <c r="DA274">
        <f t="shared" si="175"/>
        <v>1</v>
      </c>
      <c r="DB274">
        <f t="shared" si="176"/>
        <v>3.44</v>
      </c>
      <c r="DC274">
        <f t="shared" si="177"/>
        <v>0</v>
      </c>
      <c r="DD274" t="s">
        <v>3</v>
      </c>
      <c r="DE274" t="s">
        <v>3</v>
      </c>
      <c r="DF274">
        <f t="shared" si="171"/>
        <v>0.69</v>
      </c>
      <c r="DG274">
        <f t="shared" si="169"/>
        <v>0</v>
      </c>
      <c r="DH274">
        <f t="shared" si="170"/>
        <v>0</v>
      </c>
      <c r="DI274">
        <f t="shared" si="168"/>
        <v>0</v>
      </c>
      <c r="DJ274">
        <f t="shared" si="178"/>
        <v>0.69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ROW(Source!A212)</f>
        <v>212</v>
      </c>
      <c r="B275">
        <v>59213216</v>
      </c>
      <c r="C275">
        <v>59213780</v>
      </c>
      <c r="D275">
        <v>58332956</v>
      </c>
      <c r="E275">
        <v>1</v>
      </c>
      <c r="F275">
        <v>1</v>
      </c>
      <c r="G275">
        <v>1080</v>
      </c>
      <c r="H275">
        <v>3</v>
      </c>
      <c r="I275" t="s">
        <v>423</v>
      </c>
      <c r="J275" t="s">
        <v>424</v>
      </c>
      <c r="K275" t="s">
        <v>425</v>
      </c>
      <c r="L275">
        <v>1356</v>
      </c>
      <c r="N275">
        <v>1010</v>
      </c>
      <c r="O275" t="s">
        <v>426</v>
      </c>
      <c r="P275" t="s">
        <v>426</v>
      </c>
      <c r="Q275">
        <v>1000</v>
      </c>
      <c r="W275">
        <v>0</v>
      </c>
      <c r="X275">
        <v>1726193810</v>
      </c>
      <c r="Y275">
        <f t="shared" si="172"/>
        <v>1.2200000000000001E-2</v>
      </c>
      <c r="AA275">
        <v>183.4</v>
      </c>
      <c r="AB275">
        <v>0</v>
      </c>
      <c r="AC275">
        <v>0</v>
      </c>
      <c r="AD275">
        <v>0</v>
      </c>
      <c r="AE275">
        <v>183.4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1.2200000000000001E-2</v>
      </c>
      <c r="AU275" t="s">
        <v>25</v>
      </c>
      <c r="AV275">
        <v>0</v>
      </c>
      <c r="AW275">
        <v>2</v>
      </c>
      <c r="AX275">
        <v>59213978</v>
      </c>
      <c r="AY275">
        <v>1</v>
      </c>
      <c r="AZ275">
        <v>0</v>
      </c>
      <c r="BA275">
        <v>301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ROUND(Y275*Source!I212,9)</f>
        <v>2.4399999999999999E-3</v>
      </c>
      <c r="CY275">
        <f t="shared" si="173"/>
        <v>183.4</v>
      </c>
      <c r="CZ275">
        <f t="shared" si="174"/>
        <v>183.4</v>
      </c>
      <c r="DA275">
        <f t="shared" si="175"/>
        <v>1</v>
      </c>
      <c r="DB275">
        <f t="shared" si="176"/>
        <v>2.2400000000000002</v>
      </c>
      <c r="DC275">
        <f t="shared" si="177"/>
        <v>0</v>
      </c>
      <c r="DD275" t="s">
        <v>3</v>
      </c>
      <c r="DE275" t="s">
        <v>3</v>
      </c>
      <c r="DF275">
        <f t="shared" si="171"/>
        <v>0.45</v>
      </c>
      <c r="DG275">
        <f t="shared" si="169"/>
        <v>0</v>
      </c>
      <c r="DH275">
        <f t="shared" si="170"/>
        <v>0</v>
      </c>
      <c r="DI275">
        <f t="shared" si="168"/>
        <v>0</v>
      </c>
      <c r="DJ275">
        <f t="shared" si="178"/>
        <v>0.45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ROW(Source!A212)</f>
        <v>212</v>
      </c>
      <c r="B276">
        <v>59213216</v>
      </c>
      <c r="C276">
        <v>59213780</v>
      </c>
      <c r="D276">
        <v>58332282</v>
      </c>
      <c r="E276">
        <v>1</v>
      </c>
      <c r="F276">
        <v>1</v>
      </c>
      <c r="G276">
        <v>1080</v>
      </c>
      <c r="H276">
        <v>3</v>
      </c>
      <c r="I276" t="s">
        <v>427</v>
      </c>
      <c r="J276" t="s">
        <v>428</v>
      </c>
      <c r="K276" t="s">
        <v>429</v>
      </c>
      <c r="L276">
        <v>1354</v>
      </c>
      <c r="N276">
        <v>1010</v>
      </c>
      <c r="O276" t="s">
        <v>34</v>
      </c>
      <c r="P276" t="s">
        <v>34</v>
      </c>
      <c r="Q276">
        <v>1</v>
      </c>
      <c r="W276">
        <v>0</v>
      </c>
      <c r="X276">
        <v>145081611</v>
      </c>
      <c r="Y276">
        <f t="shared" si="172"/>
        <v>3.1</v>
      </c>
      <c r="AA276">
        <v>6.94</v>
      </c>
      <c r="AB276">
        <v>0</v>
      </c>
      <c r="AC276">
        <v>0</v>
      </c>
      <c r="AD276">
        <v>0</v>
      </c>
      <c r="AE276">
        <v>6.94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3.1</v>
      </c>
      <c r="AU276" t="s">
        <v>25</v>
      </c>
      <c r="AV276">
        <v>0</v>
      </c>
      <c r="AW276">
        <v>2</v>
      </c>
      <c r="AX276">
        <v>59213979</v>
      </c>
      <c r="AY276">
        <v>1</v>
      </c>
      <c r="AZ276">
        <v>0</v>
      </c>
      <c r="BA276">
        <v>302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ROUND(Y276*Source!I212,9)</f>
        <v>0.62</v>
      </c>
      <c r="CY276">
        <f t="shared" si="173"/>
        <v>6.94</v>
      </c>
      <c r="CZ276">
        <f t="shared" si="174"/>
        <v>6.94</v>
      </c>
      <c r="DA276">
        <f t="shared" si="175"/>
        <v>1</v>
      </c>
      <c r="DB276">
        <f t="shared" si="176"/>
        <v>21.51</v>
      </c>
      <c r="DC276">
        <f t="shared" si="177"/>
        <v>0</v>
      </c>
      <c r="DD276" t="s">
        <v>3</v>
      </c>
      <c r="DE276" t="s">
        <v>3</v>
      </c>
      <c r="DF276">
        <f t="shared" si="171"/>
        <v>4.3</v>
      </c>
      <c r="DG276">
        <f t="shared" si="169"/>
        <v>0</v>
      </c>
      <c r="DH276">
        <f t="shared" si="170"/>
        <v>0</v>
      </c>
      <c r="DI276">
        <f t="shared" si="168"/>
        <v>0</v>
      </c>
      <c r="DJ276">
        <f t="shared" si="178"/>
        <v>4.3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ROW(Source!A212)</f>
        <v>212</v>
      </c>
      <c r="B277">
        <v>59213216</v>
      </c>
      <c r="C277">
        <v>59213780</v>
      </c>
      <c r="D277">
        <v>58332289</v>
      </c>
      <c r="E277">
        <v>1</v>
      </c>
      <c r="F277">
        <v>1</v>
      </c>
      <c r="G277">
        <v>1080</v>
      </c>
      <c r="H277">
        <v>3</v>
      </c>
      <c r="I277" t="s">
        <v>430</v>
      </c>
      <c r="J277" t="s">
        <v>431</v>
      </c>
      <c r="K277" t="s">
        <v>432</v>
      </c>
      <c r="L277">
        <v>1356</v>
      </c>
      <c r="N277">
        <v>1010</v>
      </c>
      <c r="O277" t="s">
        <v>426</v>
      </c>
      <c r="P277" t="s">
        <v>426</v>
      </c>
      <c r="Q277">
        <v>1000</v>
      </c>
      <c r="W277">
        <v>0</v>
      </c>
      <c r="X277">
        <v>-1715273674</v>
      </c>
      <c r="Y277">
        <f t="shared" si="172"/>
        <v>8.0000000000000002E-3</v>
      </c>
      <c r="AA277">
        <v>614.09</v>
      </c>
      <c r="AB277">
        <v>0</v>
      </c>
      <c r="AC277">
        <v>0</v>
      </c>
      <c r="AD277">
        <v>0</v>
      </c>
      <c r="AE277">
        <v>614.09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8.0000000000000002E-3</v>
      </c>
      <c r="AU277" t="s">
        <v>25</v>
      </c>
      <c r="AV277">
        <v>0</v>
      </c>
      <c r="AW277">
        <v>2</v>
      </c>
      <c r="AX277">
        <v>59213980</v>
      </c>
      <c r="AY277">
        <v>1</v>
      </c>
      <c r="AZ277">
        <v>0</v>
      </c>
      <c r="BA277">
        <v>303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ROUND(Y277*Source!I212,9)</f>
        <v>1.6000000000000001E-3</v>
      </c>
      <c r="CY277">
        <f t="shared" si="173"/>
        <v>614.09</v>
      </c>
      <c r="CZ277">
        <f t="shared" si="174"/>
        <v>614.09</v>
      </c>
      <c r="DA277">
        <f t="shared" si="175"/>
        <v>1</v>
      </c>
      <c r="DB277">
        <f t="shared" si="176"/>
        <v>4.91</v>
      </c>
      <c r="DC277">
        <f t="shared" si="177"/>
        <v>0</v>
      </c>
      <c r="DD277" t="s">
        <v>3</v>
      </c>
      <c r="DE277" t="s">
        <v>3</v>
      </c>
      <c r="DF277">
        <f t="shared" si="171"/>
        <v>0.98</v>
      </c>
      <c r="DG277">
        <f t="shared" si="169"/>
        <v>0</v>
      </c>
      <c r="DH277">
        <f t="shared" si="170"/>
        <v>0</v>
      </c>
      <c r="DI277">
        <f t="shared" si="168"/>
        <v>0</v>
      </c>
      <c r="DJ277">
        <f t="shared" si="178"/>
        <v>0.98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ROW(Source!A212)</f>
        <v>212</v>
      </c>
      <c r="B278">
        <v>59213216</v>
      </c>
      <c r="C278">
        <v>59213780</v>
      </c>
      <c r="D278">
        <v>0</v>
      </c>
      <c r="E278">
        <v>1080</v>
      </c>
      <c r="F278">
        <v>1</v>
      </c>
      <c r="G278">
        <v>1080</v>
      </c>
      <c r="H278">
        <v>3</v>
      </c>
      <c r="I278" t="s">
        <v>283</v>
      </c>
      <c r="J278" t="s">
        <v>3</v>
      </c>
      <c r="K278" t="s">
        <v>284</v>
      </c>
      <c r="L278">
        <v>1301</v>
      </c>
      <c r="N278">
        <v>1003</v>
      </c>
      <c r="O278" t="s">
        <v>222</v>
      </c>
      <c r="P278" t="s">
        <v>222</v>
      </c>
      <c r="Q278">
        <v>1</v>
      </c>
      <c r="W278">
        <v>0</v>
      </c>
      <c r="X278">
        <v>-76986313</v>
      </c>
      <c r="Y278">
        <f>AT278</f>
        <v>102</v>
      </c>
      <c r="AA278">
        <v>5.0599999999999996</v>
      </c>
      <c r="AB278">
        <v>0</v>
      </c>
      <c r="AC278">
        <v>0</v>
      </c>
      <c r="AD278">
        <v>0</v>
      </c>
      <c r="AE278">
        <v>5.0599999999999996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102</v>
      </c>
      <c r="AU278" t="s">
        <v>3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ROUND(Y278*Source!I212,9)</f>
        <v>20.399999999999999</v>
      </c>
      <c r="CY278">
        <f t="shared" si="173"/>
        <v>5.0599999999999996</v>
      </c>
      <c r="CZ278">
        <f t="shared" si="174"/>
        <v>5.0599999999999996</v>
      </c>
      <c r="DA278">
        <f t="shared" si="175"/>
        <v>1</v>
      </c>
      <c r="DB278">
        <f>ROUND(ROUND(AT278*CZ278,2),6)</f>
        <v>516.12</v>
      </c>
      <c r="DC278">
        <f>ROUND(ROUND(AT278*AG278,2),6)</f>
        <v>0</v>
      </c>
      <c r="DD278" t="s">
        <v>3</v>
      </c>
      <c r="DE278" t="s">
        <v>3</v>
      </c>
      <c r="DF278">
        <f t="shared" si="171"/>
        <v>103.22</v>
      </c>
      <c r="DG278">
        <f t="shared" si="169"/>
        <v>0</v>
      </c>
      <c r="DH278">
        <f t="shared" si="170"/>
        <v>0</v>
      </c>
      <c r="DI278">
        <f t="shared" si="168"/>
        <v>0</v>
      </c>
      <c r="DJ278">
        <f t="shared" si="178"/>
        <v>103.22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ROW(Source!A213)</f>
        <v>213</v>
      </c>
      <c r="B279">
        <v>59213213</v>
      </c>
      <c r="C279">
        <v>59213780</v>
      </c>
      <c r="D279">
        <v>58266404</v>
      </c>
      <c r="E279">
        <v>1080</v>
      </c>
      <c r="F279">
        <v>1</v>
      </c>
      <c r="G279">
        <v>1080</v>
      </c>
      <c r="H279">
        <v>1</v>
      </c>
      <c r="I279" t="s">
        <v>331</v>
      </c>
      <c r="J279" t="s">
        <v>3</v>
      </c>
      <c r="K279" t="s">
        <v>332</v>
      </c>
      <c r="L279">
        <v>1191</v>
      </c>
      <c r="N279">
        <v>1013</v>
      </c>
      <c r="O279" t="s">
        <v>333</v>
      </c>
      <c r="P279" t="s">
        <v>333</v>
      </c>
      <c r="Q279">
        <v>1</v>
      </c>
      <c r="W279">
        <v>0</v>
      </c>
      <c r="X279">
        <v>476480486</v>
      </c>
      <c r="Y279">
        <f>(AT279*1.1)</f>
        <v>4.9390000000000009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5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4.49</v>
      </c>
      <c r="AU279" t="s">
        <v>26</v>
      </c>
      <c r="AV279">
        <v>1</v>
      </c>
      <c r="AW279">
        <v>2</v>
      </c>
      <c r="AX279">
        <v>59213972</v>
      </c>
      <c r="AY279">
        <v>1</v>
      </c>
      <c r="AZ279">
        <v>0</v>
      </c>
      <c r="BA279">
        <v>305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ROUND(AT279*Source!I213*AH279*AL279,2)</f>
        <v>0</v>
      </c>
      <c r="CV279">
        <f>ROUND(Y279*Source!I213,9)</f>
        <v>0.98780000000000001</v>
      </c>
      <c r="CW279">
        <v>0</v>
      </c>
      <c r="CX279">
        <f>ROUND(Y279*Source!I213,9)</f>
        <v>0.98780000000000001</v>
      </c>
      <c r="CY279">
        <f>AD279</f>
        <v>0</v>
      </c>
      <c r="CZ279">
        <f>AH279</f>
        <v>0</v>
      </c>
      <c r="DA279">
        <f>AL279</f>
        <v>1</v>
      </c>
      <c r="DB279">
        <f>ROUND((ROUND(AT279*CZ279,2)*1.1),6)</f>
        <v>0</v>
      </c>
      <c r="DC279">
        <f>ROUND((ROUND(AT279*AG279,2)*1.1),6)</f>
        <v>0</v>
      </c>
      <c r="DD279" t="s">
        <v>3</v>
      </c>
      <c r="DE279" t="s">
        <v>3</v>
      </c>
      <c r="DF279">
        <f t="shared" si="171"/>
        <v>0</v>
      </c>
      <c r="DG279">
        <f t="shared" si="169"/>
        <v>0</v>
      </c>
      <c r="DH279">
        <f t="shared" si="170"/>
        <v>0</v>
      </c>
      <c r="DI279">
        <f t="shared" si="168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ROW(Source!A213)</f>
        <v>213</v>
      </c>
      <c r="B280">
        <v>59213213</v>
      </c>
      <c r="C280">
        <v>59213780</v>
      </c>
      <c r="D280">
        <v>58340578</v>
      </c>
      <c r="E280">
        <v>1</v>
      </c>
      <c r="F280">
        <v>1</v>
      </c>
      <c r="G280">
        <v>1080</v>
      </c>
      <c r="H280">
        <v>2</v>
      </c>
      <c r="I280" t="s">
        <v>334</v>
      </c>
      <c r="J280" t="s">
        <v>335</v>
      </c>
      <c r="K280" t="s">
        <v>336</v>
      </c>
      <c r="L280">
        <v>1368</v>
      </c>
      <c r="N280">
        <v>1011</v>
      </c>
      <c r="O280" t="s">
        <v>337</v>
      </c>
      <c r="P280" t="s">
        <v>337</v>
      </c>
      <c r="Q280">
        <v>1</v>
      </c>
      <c r="W280">
        <v>0</v>
      </c>
      <c r="X280">
        <v>-1985943078</v>
      </c>
      <c r="Y280">
        <f>(AT280*1.1)</f>
        <v>1.1000000000000001E-2</v>
      </c>
      <c r="AA280">
        <v>0</v>
      </c>
      <c r="AB280">
        <v>1418.19</v>
      </c>
      <c r="AC280">
        <v>726.59</v>
      </c>
      <c r="AD280">
        <v>0</v>
      </c>
      <c r="AE280">
        <v>0</v>
      </c>
      <c r="AF280">
        <v>83.1</v>
      </c>
      <c r="AG280">
        <v>12.62</v>
      </c>
      <c r="AH280">
        <v>0</v>
      </c>
      <c r="AI280">
        <v>1</v>
      </c>
      <c r="AJ280">
        <v>16.3</v>
      </c>
      <c r="AK280">
        <v>54.99</v>
      </c>
      <c r="AL280">
        <v>1</v>
      </c>
      <c r="AM280">
        <v>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0.01</v>
      </c>
      <c r="AU280" t="s">
        <v>26</v>
      </c>
      <c r="AV280">
        <v>0</v>
      </c>
      <c r="AW280">
        <v>2</v>
      </c>
      <c r="AX280">
        <v>59213973</v>
      </c>
      <c r="AY280">
        <v>1</v>
      </c>
      <c r="AZ280">
        <v>0</v>
      </c>
      <c r="BA280">
        <v>306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ROUND(Y280*Source!I213*DO280,9)</f>
        <v>2.7764E-2</v>
      </c>
      <c r="CX280">
        <f>ROUND(Y280*Source!I213,9)</f>
        <v>2.2000000000000001E-3</v>
      </c>
      <c r="CY280">
        <f>AB280</f>
        <v>1418.19</v>
      </c>
      <c r="CZ280">
        <f>AF280</f>
        <v>83.1</v>
      </c>
      <c r="DA280">
        <f>AJ280</f>
        <v>16.3</v>
      </c>
      <c r="DB280">
        <f>ROUND((ROUND(AT280*CZ280,2)*1.1),6)</f>
        <v>0.91300000000000003</v>
      </c>
      <c r="DC280">
        <f>ROUND((ROUND(AT280*AG280,2)*1.1),6)</f>
        <v>0.14299999999999999</v>
      </c>
      <c r="DD280" t="s">
        <v>3</v>
      </c>
      <c r="DE280" t="s">
        <v>3</v>
      </c>
      <c r="DF280">
        <f t="shared" si="171"/>
        <v>0</v>
      </c>
      <c r="DG280">
        <f>ROUND(ROUND(AF280*AJ280,2)*CX280,2)</f>
        <v>2.98</v>
      </c>
      <c r="DH280">
        <f>ROUND(ROUND(AG280*AK280,2)*CX280,2)</f>
        <v>1.53</v>
      </c>
      <c r="DI280">
        <f t="shared" si="168"/>
        <v>0</v>
      </c>
      <c r="DJ280">
        <f>DG280</f>
        <v>2.98</v>
      </c>
      <c r="DK280">
        <v>0</v>
      </c>
      <c r="DL280" t="s">
        <v>338</v>
      </c>
      <c r="DM280">
        <v>0</v>
      </c>
      <c r="DN280" t="s">
        <v>333</v>
      </c>
      <c r="DO280">
        <v>12.62</v>
      </c>
    </row>
    <row r="281" spans="1:119" x14ac:dyDescent="0.2">
      <c r="A281">
        <f>ROW(Source!A213)</f>
        <v>213</v>
      </c>
      <c r="B281">
        <v>59213213</v>
      </c>
      <c r="C281">
        <v>59213780</v>
      </c>
      <c r="D281">
        <v>58339814</v>
      </c>
      <c r="E281">
        <v>1</v>
      </c>
      <c r="F281">
        <v>1</v>
      </c>
      <c r="G281">
        <v>1080</v>
      </c>
      <c r="H281">
        <v>2</v>
      </c>
      <c r="I281" t="s">
        <v>411</v>
      </c>
      <c r="J281" t="s">
        <v>412</v>
      </c>
      <c r="K281" t="s">
        <v>413</v>
      </c>
      <c r="L281">
        <v>1368</v>
      </c>
      <c r="N281">
        <v>1011</v>
      </c>
      <c r="O281" t="s">
        <v>337</v>
      </c>
      <c r="P281" t="s">
        <v>337</v>
      </c>
      <c r="Q281">
        <v>1</v>
      </c>
      <c r="W281">
        <v>0</v>
      </c>
      <c r="X281">
        <v>1087580389</v>
      </c>
      <c r="Y281">
        <f>(AT281*1.1)</f>
        <v>1.1000000000000001E-2</v>
      </c>
      <c r="AA281">
        <v>0</v>
      </c>
      <c r="AB281">
        <v>2579.38</v>
      </c>
      <c r="AC281">
        <v>974.74</v>
      </c>
      <c r="AD281">
        <v>0</v>
      </c>
      <c r="AE281">
        <v>0</v>
      </c>
      <c r="AF281">
        <v>179.17</v>
      </c>
      <c r="AG281">
        <v>16.93</v>
      </c>
      <c r="AH281">
        <v>0</v>
      </c>
      <c r="AI281">
        <v>1</v>
      </c>
      <c r="AJ281">
        <v>13.75</v>
      </c>
      <c r="AK281">
        <v>54.99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0.01</v>
      </c>
      <c r="AU281" t="s">
        <v>26</v>
      </c>
      <c r="AV281">
        <v>0</v>
      </c>
      <c r="AW281">
        <v>2</v>
      </c>
      <c r="AX281">
        <v>59213974</v>
      </c>
      <c r="AY281">
        <v>1</v>
      </c>
      <c r="AZ281">
        <v>0</v>
      </c>
      <c r="BA281">
        <v>307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ROUND(Y281*Source!I213*DO281,9)</f>
        <v>3.7246000000000001E-2</v>
      </c>
      <c r="CX281">
        <f>ROUND(Y281*Source!I213,9)</f>
        <v>2.2000000000000001E-3</v>
      </c>
      <c r="CY281">
        <f>AB281</f>
        <v>2579.38</v>
      </c>
      <c r="CZ281">
        <f>AF281</f>
        <v>179.17</v>
      </c>
      <c r="DA281">
        <f>AJ281</f>
        <v>13.75</v>
      </c>
      <c r="DB281">
        <f>ROUND((ROUND(AT281*CZ281,2)*1.1),6)</f>
        <v>1.9690000000000001</v>
      </c>
      <c r="DC281">
        <f>ROUND((ROUND(AT281*AG281,2)*1.1),6)</f>
        <v>0.187</v>
      </c>
      <c r="DD281" t="s">
        <v>3</v>
      </c>
      <c r="DE281" t="s">
        <v>3</v>
      </c>
      <c r="DF281">
        <f t="shared" si="171"/>
        <v>0</v>
      </c>
      <c r="DG281">
        <f>ROUND(ROUND(AF281*AJ281,2)*CX281,2)</f>
        <v>5.42</v>
      </c>
      <c r="DH281">
        <f>ROUND(ROUND(AG281*AK281,2)*CX281,2)</f>
        <v>2.0499999999999998</v>
      </c>
      <c r="DI281">
        <f t="shared" si="168"/>
        <v>0</v>
      </c>
      <c r="DJ281">
        <f>DG281</f>
        <v>5.42</v>
      </c>
      <c r="DK281">
        <v>0</v>
      </c>
      <c r="DL281" t="s">
        <v>338</v>
      </c>
      <c r="DM281">
        <v>0</v>
      </c>
      <c r="DN281" t="s">
        <v>333</v>
      </c>
      <c r="DO281">
        <v>16.93</v>
      </c>
    </row>
    <row r="282" spans="1:119" x14ac:dyDescent="0.2">
      <c r="A282">
        <f>ROW(Source!A213)</f>
        <v>213</v>
      </c>
      <c r="B282">
        <v>59213213</v>
      </c>
      <c r="C282">
        <v>59213780</v>
      </c>
      <c r="D282">
        <v>58309611</v>
      </c>
      <c r="E282">
        <v>1</v>
      </c>
      <c r="F282">
        <v>1</v>
      </c>
      <c r="G282">
        <v>1080</v>
      </c>
      <c r="H282">
        <v>3</v>
      </c>
      <c r="I282" t="s">
        <v>414</v>
      </c>
      <c r="J282" t="s">
        <v>415</v>
      </c>
      <c r="K282" t="s">
        <v>416</v>
      </c>
      <c r="L282">
        <v>1346</v>
      </c>
      <c r="N282">
        <v>1009</v>
      </c>
      <c r="O282" t="s">
        <v>244</v>
      </c>
      <c r="P282" t="s">
        <v>244</v>
      </c>
      <c r="Q282">
        <v>1</v>
      </c>
      <c r="W282">
        <v>0</v>
      </c>
      <c r="X282">
        <v>1770006655</v>
      </c>
      <c r="Y282">
        <f t="shared" ref="Y282:Y287" si="179">(AT282*1)</f>
        <v>0.43</v>
      </c>
      <c r="AA282">
        <v>29.73</v>
      </c>
      <c r="AB282">
        <v>0</v>
      </c>
      <c r="AC282">
        <v>0</v>
      </c>
      <c r="AD282">
        <v>0</v>
      </c>
      <c r="AE282">
        <v>1.38</v>
      </c>
      <c r="AF282">
        <v>0</v>
      </c>
      <c r="AG282">
        <v>0</v>
      </c>
      <c r="AH282">
        <v>0</v>
      </c>
      <c r="AI282">
        <v>21.54</v>
      </c>
      <c r="AJ282">
        <v>1</v>
      </c>
      <c r="AK282">
        <v>1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0.43</v>
      </c>
      <c r="AU282" t="s">
        <v>25</v>
      </c>
      <c r="AV282">
        <v>0</v>
      </c>
      <c r="AW282">
        <v>2</v>
      </c>
      <c r="AX282">
        <v>59213975</v>
      </c>
      <c r="AY282">
        <v>1</v>
      </c>
      <c r="AZ282">
        <v>0</v>
      </c>
      <c r="BA282">
        <v>308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ROUND(Y282*Source!I213,9)</f>
        <v>8.5999999999999993E-2</v>
      </c>
      <c r="CY282">
        <f t="shared" ref="CY282:CY288" si="180">AA282</f>
        <v>29.73</v>
      </c>
      <c r="CZ282">
        <f t="shared" ref="CZ282:CZ288" si="181">AE282</f>
        <v>1.38</v>
      </c>
      <c r="DA282">
        <f t="shared" ref="DA282:DA288" si="182">AI282</f>
        <v>21.54</v>
      </c>
      <c r="DB282">
        <f t="shared" ref="DB282:DB287" si="183">ROUND((ROUND(AT282*CZ282,2)*1),6)</f>
        <v>0.59</v>
      </c>
      <c r="DC282">
        <f t="shared" ref="DC282:DC287" si="184">ROUND((ROUND(AT282*AG282,2)*1),6)</f>
        <v>0</v>
      </c>
      <c r="DD282" t="s">
        <v>3</v>
      </c>
      <c r="DE282" t="s">
        <v>3</v>
      </c>
      <c r="DF282">
        <f t="shared" ref="DF282:DF288" si="185">ROUND(ROUND(AE282*AI282,2)*CX282,2)</f>
        <v>2.56</v>
      </c>
      <c r="DG282">
        <f t="shared" ref="DG282:DG299" si="186">ROUND(ROUND(AF282,2)*CX282,2)</f>
        <v>0</v>
      </c>
      <c r="DH282">
        <f t="shared" ref="DH282:DH299" si="187">ROUND(ROUND(AG282,2)*CX282,2)</f>
        <v>0</v>
      </c>
      <c r="DI282">
        <f t="shared" si="168"/>
        <v>0</v>
      </c>
      <c r="DJ282">
        <f t="shared" ref="DJ282:DJ288" si="188">DF282</f>
        <v>2.56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ROW(Source!A213)</f>
        <v>213</v>
      </c>
      <c r="B283">
        <v>59213213</v>
      </c>
      <c r="C283">
        <v>59213780</v>
      </c>
      <c r="D283">
        <v>58310002</v>
      </c>
      <c r="E283">
        <v>1</v>
      </c>
      <c r="F283">
        <v>1</v>
      </c>
      <c r="G283">
        <v>1080</v>
      </c>
      <c r="H283">
        <v>3</v>
      </c>
      <c r="I283" t="s">
        <v>417</v>
      </c>
      <c r="J283" t="s">
        <v>418</v>
      </c>
      <c r="K283" t="s">
        <v>419</v>
      </c>
      <c r="L283">
        <v>1346</v>
      </c>
      <c r="N283">
        <v>1009</v>
      </c>
      <c r="O283" t="s">
        <v>244</v>
      </c>
      <c r="P283" t="s">
        <v>244</v>
      </c>
      <c r="Q283">
        <v>1</v>
      </c>
      <c r="W283">
        <v>0</v>
      </c>
      <c r="X283">
        <v>-878159893</v>
      </c>
      <c r="Y283">
        <f t="shared" si="179"/>
        <v>0.16</v>
      </c>
      <c r="AA283">
        <v>286.31</v>
      </c>
      <c r="AB283">
        <v>0</v>
      </c>
      <c r="AC283">
        <v>0</v>
      </c>
      <c r="AD283">
        <v>0</v>
      </c>
      <c r="AE283">
        <v>159.06</v>
      </c>
      <c r="AF283">
        <v>0</v>
      </c>
      <c r="AG283">
        <v>0</v>
      </c>
      <c r="AH283">
        <v>0</v>
      </c>
      <c r="AI283">
        <v>1.8</v>
      </c>
      <c r="AJ283">
        <v>1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0.16</v>
      </c>
      <c r="AU283" t="s">
        <v>25</v>
      </c>
      <c r="AV283">
        <v>0</v>
      </c>
      <c r="AW283">
        <v>2</v>
      </c>
      <c r="AX283">
        <v>59213976</v>
      </c>
      <c r="AY283">
        <v>1</v>
      </c>
      <c r="AZ283">
        <v>0</v>
      </c>
      <c r="BA283">
        <v>309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ROUND(Y283*Source!I213,9)</f>
        <v>3.2000000000000001E-2</v>
      </c>
      <c r="CY283">
        <f t="shared" si="180"/>
        <v>286.31</v>
      </c>
      <c r="CZ283">
        <f t="shared" si="181"/>
        <v>159.06</v>
      </c>
      <c r="DA283">
        <f t="shared" si="182"/>
        <v>1.8</v>
      </c>
      <c r="DB283">
        <f t="shared" si="183"/>
        <v>25.45</v>
      </c>
      <c r="DC283">
        <f t="shared" si="184"/>
        <v>0</v>
      </c>
      <c r="DD283" t="s">
        <v>3</v>
      </c>
      <c r="DE283" t="s">
        <v>3</v>
      </c>
      <c r="DF283">
        <f t="shared" si="185"/>
        <v>9.16</v>
      </c>
      <c r="DG283">
        <f t="shared" si="186"/>
        <v>0</v>
      </c>
      <c r="DH283">
        <f t="shared" si="187"/>
        <v>0</v>
      </c>
      <c r="DI283">
        <f t="shared" si="168"/>
        <v>0</v>
      </c>
      <c r="DJ283">
        <f t="shared" si="188"/>
        <v>9.16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ROW(Source!A213)</f>
        <v>213</v>
      </c>
      <c r="B284">
        <v>59213213</v>
      </c>
      <c r="C284">
        <v>59213780</v>
      </c>
      <c r="D284">
        <v>58332945</v>
      </c>
      <c r="E284">
        <v>1</v>
      </c>
      <c r="F284">
        <v>1</v>
      </c>
      <c r="G284">
        <v>1080</v>
      </c>
      <c r="H284">
        <v>3</v>
      </c>
      <c r="I284" t="s">
        <v>420</v>
      </c>
      <c r="J284" t="s">
        <v>421</v>
      </c>
      <c r="K284" t="s">
        <v>422</v>
      </c>
      <c r="L284">
        <v>1355</v>
      </c>
      <c r="N284">
        <v>1010</v>
      </c>
      <c r="O284" t="s">
        <v>227</v>
      </c>
      <c r="P284" t="s">
        <v>227</v>
      </c>
      <c r="Q284">
        <v>100</v>
      </c>
      <c r="W284">
        <v>0</v>
      </c>
      <c r="X284">
        <v>-456781043</v>
      </c>
      <c r="Y284">
        <f t="shared" si="179"/>
        <v>0.05</v>
      </c>
      <c r="AA284">
        <v>1102.5</v>
      </c>
      <c r="AB284">
        <v>0</v>
      </c>
      <c r="AC284">
        <v>0</v>
      </c>
      <c r="AD284">
        <v>0</v>
      </c>
      <c r="AE284">
        <v>68.819999999999993</v>
      </c>
      <c r="AF284">
        <v>0</v>
      </c>
      <c r="AG284">
        <v>0</v>
      </c>
      <c r="AH284">
        <v>0</v>
      </c>
      <c r="AI284">
        <v>16.02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0.05</v>
      </c>
      <c r="AU284" t="s">
        <v>25</v>
      </c>
      <c r="AV284">
        <v>0</v>
      </c>
      <c r="AW284">
        <v>2</v>
      </c>
      <c r="AX284">
        <v>59213977</v>
      </c>
      <c r="AY284">
        <v>1</v>
      </c>
      <c r="AZ284">
        <v>0</v>
      </c>
      <c r="BA284">
        <v>310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ROUND(Y284*Source!I213,9)</f>
        <v>0.01</v>
      </c>
      <c r="CY284">
        <f t="shared" si="180"/>
        <v>1102.5</v>
      </c>
      <c r="CZ284">
        <f t="shared" si="181"/>
        <v>68.819999999999993</v>
      </c>
      <c r="DA284">
        <f t="shared" si="182"/>
        <v>16.02</v>
      </c>
      <c r="DB284">
        <f t="shared" si="183"/>
        <v>3.44</v>
      </c>
      <c r="DC284">
        <f t="shared" si="184"/>
        <v>0</v>
      </c>
      <c r="DD284" t="s">
        <v>3</v>
      </c>
      <c r="DE284" t="s">
        <v>3</v>
      </c>
      <c r="DF284">
        <f t="shared" si="185"/>
        <v>11.03</v>
      </c>
      <c r="DG284">
        <f t="shared" si="186"/>
        <v>0</v>
      </c>
      <c r="DH284">
        <f t="shared" si="187"/>
        <v>0</v>
      </c>
      <c r="DI284">
        <f t="shared" si="168"/>
        <v>0</v>
      </c>
      <c r="DJ284">
        <f t="shared" si="188"/>
        <v>11.03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ROW(Source!A213)</f>
        <v>213</v>
      </c>
      <c r="B285">
        <v>59213213</v>
      </c>
      <c r="C285">
        <v>59213780</v>
      </c>
      <c r="D285">
        <v>58332956</v>
      </c>
      <c r="E285">
        <v>1</v>
      </c>
      <c r="F285">
        <v>1</v>
      </c>
      <c r="G285">
        <v>1080</v>
      </c>
      <c r="H285">
        <v>3</v>
      </c>
      <c r="I285" t="s">
        <v>423</v>
      </c>
      <c r="J285" t="s">
        <v>424</v>
      </c>
      <c r="K285" t="s">
        <v>425</v>
      </c>
      <c r="L285">
        <v>1356</v>
      </c>
      <c r="N285">
        <v>1010</v>
      </c>
      <c r="O285" t="s">
        <v>426</v>
      </c>
      <c r="P285" t="s">
        <v>426</v>
      </c>
      <c r="Q285">
        <v>1000</v>
      </c>
      <c r="W285">
        <v>0</v>
      </c>
      <c r="X285">
        <v>1726193810</v>
      </c>
      <c r="Y285">
        <f t="shared" si="179"/>
        <v>1.2200000000000001E-2</v>
      </c>
      <c r="AA285">
        <v>1318.65</v>
      </c>
      <c r="AB285">
        <v>0</v>
      </c>
      <c r="AC285">
        <v>0</v>
      </c>
      <c r="AD285">
        <v>0</v>
      </c>
      <c r="AE285">
        <v>183.4</v>
      </c>
      <c r="AF285">
        <v>0</v>
      </c>
      <c r="AG285">
        <v>0</v>
      </c>
      <c r="AH285">
        <v>0</v>
      </c>
      <c r="AI285">
        <v>7.19</v>
      </c>
      <c r="AJ285">
        <v>1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1.2200000000000001E-2</v>
      </c>
      <c r="AU285" t="s">
        <v>25</v>
      </c>
      <c r="AV285">
        <v>0</v>
      </c>
      <c r="AW285">
        <v>2</v>
      </c>
      <c r="AX285">
        <v>59213978</v>
      </c>
      <c r="AY285">
        <v>1</v>
      </c>
      <c r="AZ285">
        <v>0</v>
      </c>
      <c r="BA285">
        <v>311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ROUND(Y285*Source!I213,9)</f>
        <v>2.4399999999999999E-3</v>
      </c>
      <c r="CY285">
        <f t="shared" si="180"/>
        <v>1318.65</v>
      </c>
      <c r="CZ285">
        <f t="shared" si="181"/>
        <v>183.4</v>
      </c>
      <c r="DA285">
        <f t="shared" si="182"/>
        <v>7.19</v>
      </c>
      <c r="DB285">
        <f t="shared" si="183"/>
        <v>2.2400000000000002</v>
      </c>
      <c r="DC285">
        <f t="shared" si="184"/>
        <v>0</v>
      </c>
      <c r="DD285" t="s">
        <v>3</v>
      </c>
      <c r="DE285" t="s">
        <v>3</v>
      </c>
      <c r="DF285">
        <f t="shared" si="185"/>
        <v>3.22</v>
      </c>
      <c r="DG285">
        <f t="shared" si="186"/>
        <v>0</v>
      </c>
      <c r="DH285">
        <f t="shared" si="187"/>
        <v>0</v>
      </c>
      <c r="DI285">
        <f t="shared" si="168"/>
        <v>0</v>
      </c>
      <c r="DJ285">
        <f t="shared" si="188"/>
        <v>3.22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ROW(Source!A213)</f>
        <v>213</v>
      </c>
      <c r="B286">
        <v>59213213</v>
      </c>
      <c r="C286">
        <v>59213780</v>
      </c>
      <c r="D286">
        <v>58332282</v>
      </c>
      <c r="E286">
        <v>1</v>
      </c>
      <c r="F286">
        <v>1</v>
      </c>
      <c r="G286">
        <v>1080</v>
      </c>
      <c r="H286">
        <v>3</v>
      </c>
      <c r="I286" t="s">
        <v>427</v>
      </c>
      <c r="J286" t="s">
        <v>428</v>
      </c>
      <c r="K286" t="s">
        <v>429</v>
      </c>
      <c r="L286">
        <v>1354</v>
      </c>
      <c r="N286">
        <v>1010</v>
      </c>
      <c r="O286" t="s">
        <v>34</v>
      </c>
      <c r="P286" t="s">
        <v>34</v>
      </c>
      <c r="Q286">
        <v>1</v>
      </c>
      <c r="W286">
        <v>0</v>
      </c>
      <c r="X286">
        <v>145081611</v>
      </c>
      <c r="Y286">
        <f t="shared" si="179"/>
        <v>3.1</v>
      </c>
      <c r="AA286">
        <v>25.47</v>
      </c>
      <c r="AB286">
        <v>0</v>
      </c>
      <c r="AC286">
        <v>0</v>
      </c>
      <c r="AD286">
        <v>0</v>
      </c>
      <c r="AE286">
        <v>6.94</v>
      </c>
      <c r="AF286">
        <v>0</v>
      </c>
      <c r="AG286">
        <v>0</v>
      </c>
      <c r="AH286">
        <v>0</v>
      </c>
      <c r="AI286">
        <v>3.67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3.1</v>
      </c>
      <c r="AU286" t="s">
        <v>25</v>
      </c>
      <c r="AV286">
        <v>0</v>
      </c>
      <c r="AW286">
        <v>2</v>
      </c>
      <c r="AX286">
        <v>59213979</v>
      </c>
      <c r="AY286">
        <v>1</v>
      </c>
      <c r="AZ286">
        <v>0</v>
      </c>
      <c r="BA286">
        <v>312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ROUND(Y286*Source!I213,9)</f>
        <v>0.62</v>
      </c>
      <c r="CY286">
        <f t="shared" si="180"/>
        <v>25.47</v>
      </c>
      <c r="CZ286">
        <f t="shared" si="181"/>
        <v>6.94</v>
      </c>
      <c r="DA286">
        <f t="shared" si="182"/>
        <v>3.67</v>
      </c>
      <c r="DB286">
        <f t="shared" si="183"/>
        <v>21.51</v>
      </c>
      <c r="DC286">
        <f t="shared" si="184"/>
        <v>0</v>
      </c>
      <c r="DD286" t="s">
        <v>3</v>
      </c>
      <c r="DE286" t="s">
        <v>3</v>
      </c>
      <c r="DF286">
        <f t="shared" si="185"/>
        <v>15.79</v>
      </c>
      <c r="DG286">
        <f t="shared" si="186"/>
        <v>0</v>
      </c>
      <c r="DH286">
        <f t="shared" si="187"/>
        <v>0</v>
      </c>
      <c r="DI286">
        <f t="shared" si="168"/>
        <v>0</v>
      </c>
      <c r="DJ286">
        <f t="shared" si="188"/>
        <v>15.79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ROW(Source!A213)</f>
        <v>213</v>
      </c>
      <c r="B287">
        <v>59213213</v>
      </c>
      <c r="C287">
        <v>59213780</v>
      </c>
      <c r="D287">
        <v>58332289</v>
      </c>
      <c r="E287">
        <v>1</v>
      </c>
      <c r="F287">
        <v>1</v>
      </c>
      <c r="G287">
        <v>1080</v>
      </c>
      <c r="H287">
        <v>3</v>
      </c>
      <c r="I287" t="s">
        <v>430</v>
      </c>
      <c r="J287" t="s">
        <v>431</v>
      </c>
      <c r="K287" t="s">
        <v>432</v>
      </c>
      <c r="L287">
        <v>1356</v>
      </c>
      <c r="N287">
        <v>1010</v>
      </c>
      <c r="O287" t="s">
        <v>426</v>
      </c>
      <c r="P287" t="s">
        <v>426</v>
      </c>
      <c r="Q287">
        <v>1000</v>
      </c>
      <c r="W287">
        <v>0</v>
      </c>
      <c r="X287">
        <v>-1715273674</v>
      </c>
      <c r="Y287">
        <f t="shared" si="179"/>
        <v>8.0000000000000002E-3</v>
      </c>
      <c r="AA287">
        <v>786.04</v>
      </c>
      <c r="AB287">
        <v>0</v>
      </c>
      <c r="AC287">
        <v>0</v>
      </c>
      <c r="AD287">
        <v>0</v>
      </c>
      <c r="AE287">
        <v>614.09</v>
      </c>
      <c r="AF287">
        <v>0</v>
      </c>
      <c r="AG287">
        <v>0</v>
      </c>
      <c r="AH287">
        <v>0</v>
      </c>
      <c r="AI287">
        <v>1.28</v>
      </c>
      <c r="AJ287">
        <v>1</v>
      </c>
      <c r="AK287">
        <v>1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8.0000000000000002E-3</v>
      </c>
      <c r="AU287" t="s">
        <v>25</v>
      </c>
      <c r="AV287">
        <v>0</v>
      </c>
      <c r="AW287">
        <v>2</v>
      </c>
      <c r="AX287">
        <v>59213980</v>
      </c>
      <c r="AY287">
        <v>1</v>
      </c>
      <c r="AZ287">
        <v>0</v>
      </c>
      <c r="BA287">
        <v>313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ROUND(Y287*Source!I213,9)</f>
        <v>1.6000000000000001E-3</v>
      </c>
      <c r="CY287">
        <f t="shared" si="180"/>
        <v>786.04</v>
      </c>
      <c r="CZ287">
        <f t="shared" si="181"/>
        <v>614.09</v>
      </c>
      <c r="DA287">
        <f t="shared" si="182"/>
        <v>1.28</v>
      </c>
      <c r="DB287">
        <f t="shared" si="183"/>
        <v>4.91</v>
      </c>
      <c r="DC287">
        <f t="shared" si="184"/>
        <v>0</v>
      </c>
      <c r="DD287" t="s">
        <v>3</v>
      </c>
      <c r="DE287" t="s">
        <v>3</v>
      </c>
      <c r="DF287">
        <f t="shared" si="185"/>
        <v>1.26</v>
      </c>
      <c r="DG287">
        <f t="shared" si="186"/>
        <v>0</v>
      </c>
      <c r="DH287">
        <f t="shared" si="187"/>
        <v>0</v>
      </c>
      <c r="DI287">
        <f t="shared" si="168"/>
        <v>0</v>
      </c>
      <c r="DJ287">
        <f t="shared" si="188"/>
        <v>1.26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ROW(Source!A213)</f>
        <v>213</v>
      </c>
      <c r="B288">
        <v>59213213</v>
      </c>
      <c r="C288">
        <v>59213780</v>
      </c>
      <c r="D288">
        <v>0</v>
      </c>
      <c r="E288">
        <v>1080</v>
      </c>
      <c r="F288">
        <v>1</v>
      </c>
      <c r="G288">
        <v>1080</v>
      </c>
      <c r="H288">
        <v>3</v>
      </c>
      <c r="I288" t="s">
        <v>283</v>
      </c>
      <c r="J288" t="s">
        <v>3</v>
      </c>
      <c r="K288" t="s">
        <v>284</v>
      </c>
      <c r="L288">
        <v>1301</v>
      </c>
      <c r="N288">
        <v>1003</v>
      </c>
      <c r="O288" t="s">
        <v>222</v>
      </c>
      <c r="P288" t="s">
        <v>222</v>
      </c>
      <c r="Q288">
        <v>1</v>
      </c>
      <c r="W288">
        <v>0</v>
      </c>
      <c r="X288">
        <v>-76986313</v>
      </c>
      <c r="Y288">
        <f>AT288</f>
        <v>102</v>
      </c>
      <c r="AA288">
        <v>49.99</v>
      </c>
      <c r="AB288">
        <v>0</v>
      </c>
      <c r="AC288">
        <v>0</v>
      </c>
      <c r="AD288">
        <v>0</v>
      </c>
      <c r="AE288">
        <v>5.0599999999999996</v>
      </c>
      <c r="AF288">
        <v>0</v>
      </c>
      <c r="AG288">
        <v>0</v>
      </c>
      <c r="AH288">
        <v>0</v>
      </c>
      <c r="AI288">
        <v>9.8800000000000008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102</v>
      </c>
      <c r="AU288" t="s">
        <v>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ROUND(Y288*Source!I213,9)</f>
        <v>20.399999999999999</v>
      </c>
      <c r="CY288">
        <f t="shared" si="180"/>
        <v>49.99</v>
      </c>
      <c r="CZ288">
        <f t="shared" si="181"/>
        <v>5.0599999999999996</v>
      </c>
      <c r="DA288">
        <f t="shared" si="182"/>
        <v>9.8800000000000008</v>
      </c>
      <c r="DB288">
        <f>ROUND(ROUND(AT288*CZ288,2),6)</f>
        <v>516.12</v>
      </c>
      <c r="DC288">
        <f>ROUND(ROUND(AT288*AG288,2),6)</f>
        <v>0</v>
      </c>
      <c r="DD288" t="s">
        <v>3</v>
      </c>
      <c r="DE288" t="s">
        <v>3</v>
      </c>
      <c r="DF288">
        <f t="shared" si="185"/>
        <v>1019.8</v>
      </c>
      <c r="DG288">
        <f t="shared" si="186"/>
        <v>0</v>
      </c>
      <c r="DH288">
        <f t="shared" si="187"/>
        <v>0</v>
      </c>
      <c r="DI288">
        <f t="shared" si="168"/>
        <v>0</v>
      </c>
      <c r="DJ288">
        <f t="shared" si="188"/>
        <v>1019.8</v>
      </c>
      <c r="DK288">
        <v>2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ROW(Source!A216)</f>
        <v>216</v>
      </c>
      <c r="B289">
        <v>59213216</v>
      </c>
      <c r="C289">
        <v>59213802</v>
      </c>
      <c r="D289">
        <v>58266404</v>
      </c>
      <c r="E289">
        <v>1080</v>
      </c>
      <c r="F289">
        <v>1</v>
      </c>
      <c r="G289">
        <v>1080</v>
      </c>
      <c r="H289">
        <v>1</v>
      </c>
      <c r="I289" t="s">
        <v>331</v>
      </c>
      <c r="J289" t="s">
        <v>3</v>
      </c>
      <c r="K289" t="s">
        <v>332</v>
      </c>
      <c r="L289">
        <v>1191</v>
      </c>
      <c r="N289">
        <v>1013</v>
      </c>
      <c r="O289" t="s">
        <v>333</v>
      </c>
      <c r="P289" t="s">
        <v>333</v>
      </c>
      <c r="Q289">
        <v>1</v>
      </c>
      <c r="W289">
        <v>0</v>
      </c>
      <c r="X289">
        <v>476480486</v>
      </c>
      <c r="Y289">
        <f>(AT289*1.1)</f>
        <v>5.9290000000000003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5.39</v>
      </c>
      <c r="AU289" t="s">
        <v>26</v>
      </c>
      <c r="AV289">
        <v>1</v>
      </c>
      <c r="AW289">
        <v>2</v>
      </c>
      <c r="AX289">
        <v>59213982</v>
      </c>
      <c r="AY289">
        <v>1</v>
      </c>
      <c r="AZ289">
        <v>0</v>
      </c>
      <c r="BA289">
        <v>315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U289">
        <f>ROUND(AT289*Source!I216*AH289*AL289,2)</f>
        <v>0</v>
      </c>
      <c r="CV289">
        <f>ROUND(Y289*Source!I216,9)</f>
        <v>24.901800000000001</v>
      </c>
      <c r="CW289">
        <v>0</v>
      </c>
      <c r="CX289">
        <f>ROUND(Y289*Source!I216,9)</f>
        <v>24.901800000000001</v>
      </c>
      <c r="CY289">
        <f>AD289</f>
        <v>0</v>
      </c>
      <c r="CZ289">
        <f>AH289</f>
        <v>0</v>
      </c>
      <c r="DA289">
        <f>AL289</f>
        <v>1</v>
      </c>
      <c r="DB289">
        <f>ROUND((ROUND(AT289*CZ289,2)*1.1),6)</f>
        <v>0</v>
      </c>
      <c r="DC289">
        <f>ROUND((ROUND(AT289*AG289,2)*1.1),6)</f>
        <v>0</v>
      </c>
      <c r="DD289" t="s">
        <v>3</v>
      </c>
      <c r="DE289" t="s">
        <v>3</v>
      </c>
      <c r="DF289">
        <f t="shared" ref="DF289:DF301" si="189">ROUND(ROUND(AE289,2)*CX289,2)</f>
        <v>0</v>
      </c>
      <c r="DG289">
        <f t="shared" si="186"/>
        <v>0</v>
      </c>
      <c r="DH289">
        <f t="shared" si="187"/>
        <v>0</v>
      </c>
      <c r="DI289">
        <f t="shared" si="168"/>
        <v>0</v>
      </c>
      <c r="DJ289">
        <f>DI289</f>
        <v>0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ROW(Source!A216)</f>
        <v>216</v>
      </c>
      <c r="B290">
        <v>59213216</v>
      </c>
      <c r="C290">
        <v>59213802</v>
      </c>
      <c r="D290">
        <v>58340578</v>
      </c>
      <c r="E290">
        <v>1</v>
      </c>
      <c r="F290">
        <v>1</v>
      </c>
      <c r="G290">
        <v>1080</v>
      </c>
      <c r="H290">
        <v>2</v>
      </c>
      <c r="I290" t="s">
        <v>334</v>
      </c>
      <c r="J290" t="s">
        <v>335</v>
      </c>
      <c r="K290" t="s">
        <v>336</v>
      </c>
      <c r="L290">
        <v>1368</v>
      </c>
      <c r="N290">
        <v>1011</v>
      </c>
      <c r="O290" t="s">
        <v>337</v>
      </c>
      <c r="P290" t="s">
        <v>337</v>
      </c>
      <c r="Q290">
        <v>1</v>
      </c>
      <c r="W290">
        <v>0</v>
      </c>
      <c r="X290">
        <v>-1985943078</v>
      </c>
      <c r="Y290">
        <f>(AT290*1.1)</f>
        <v>2.2000000000000002E-2</v>
      </c>
      <c r="AA290">
        <v>0</v>
      </c>
      <c r="AB290">
        <v>87.01</v>
      </c>
      <c r="AC290">
        <v>13.21</v>
      </c>
      <c r="AD290">
        <v>0</v>
      </c>
      <c r="AE290">
        <v>0</v>
      </c>
      <c r="AF290">
        <v>83.1</v>
      </c>
      <c r="AG290">
        <v>12.62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0.02</v>
      </c>
      <c r="AU290" t="s">
        <v>26</v>
      </c>
      <c r="AV290">
        <v>0</v>
      </c>
      <c r="AW290">
        <v>2</v>
      </c>
      <c r="AX290">
        <v>59213983</v>
      </c>
      <c r="AY290">
        <v>1</v>
      </c>
      <c r="AZ290">
        <v>0</v>
      </c>
      <c r="BA290">
        <v>316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ROUND(Y290*Source!I216*DO290,9)</f>
        <v>1.166088</v>
      </c>
      <c r="CX290">
        <f>ROUND(Y290*Source!I216,9)</f>
        <v>9.2399999999999996E-2</v>
      </c>
      <c r="CY290">
        <f>AB290</f>
        <v>87.01</v>
      </c>
      <c r="CZ290">
        <f>AF290</f>
        <v>83.1</v>
      </c>
      <c r="DA290">
        <f>AJ290</f>
        <v>1</v>
      </c>
      <c r="DB290">
        <f>ROUND((ROUND(AT290*CZ290,2)*1.1),6)</f>
        <v>1.8260000000000001</v>
      </c>
      <c r="DC290">
        <f>ROUND((ROUND(AT290*AG290,2)*1.1),6)</f>
        <v>0.27500000000000002</v>
      </c>
      <c r="DD290" t="s">
        <v>3</v>
      </c>
      <c r="DE290" t="s">
        <v>3</v>
      </c>
      <c r="DF290">
        <f t="shared" si="189"/>
        <v>0</v>
      </c>
      <c r="DG290">
        <f t="shared" si="186"/>
        <v>7.68</v>
      </c>
      <c r="DH290">
        <f t="shared" si="187"/>
        <v>1.17</v>
      </c>
      <c r="DI290">
        <f t="shared" si="168"/>
        <v>0</v>
      </c>
      <c r="DJ290">
        <f>DG290</f>
        <v>7.68</v>
      </c>
      <c r="DK290">
        <v>0</v>
      </c>
      <c r="DL290" t="s">
        <v>338</v>
      </c>
      <c r="DM290">
        <v>0</v>
      </c>
      <c r="DN290" t="s">
        <v>333</v>
      </c>
      <c r="DO290">
        <v>12.62</v>
      </c>
    </row>
    <row r="291" spans="1:119" x14ac:dyDescent="0.2">
      <c r="A291">
        <f>ROW(Source!A216)</f>
        <v>216</v>
      </c>
      <c r="B291">
        <v>59213216</v>
      </c>
      <c r="C291">
        <v>59213802</v>
      </c>
      <c r="D291">
        <v>58339814</v>
      </c>
      <c r="E291">
        <v>1</v>
      </c>
      <c r="F291">
        <v>1</v>
      </c>
      <c r="G291">
        <v>1080</v>
      </c>
      <c r="H291">
        <v>2</v>
      </c>
      <c r="I291" t="s">
        <v>411</v>
      </c>
      <c r="J291" t="s">
        <v>412</v>
      </c>
      <c r="K291" t="s">
        <v>413</v>
      </c>
      <c r="L291">
        <v>1368</v>
      </c>
      <c r="N291">
        <v>1011</v>
      </c>
      <c r="O291" t="s">
        <v>337</v>
      </c>
      <c r="P291" t="s">
        <v>337</v>
      </c>
      <c r="Q291">
        <v>1</v>
      </c>
      <c r="W291">
        <v>0</v>
      </c>
      <c r="X291">
        <v>1087580389</v>
      </c>
      <c r="Y291">
        <f>(AT291*1.1)</f>
        <v>2.2000000000000002E-2</v>
      </c>
      <c r="AA291">
        <v>0</v>
      </c>
      <c r="AB291">
        <v>187.59</v>
      </c>
      <c r="AC291">
        <v>17.73</v>
      </c>
      <c r="AD291">
        <v>0</v>
      </c>
      <c r="AE291">
        <v>0</v>
      </c>
      <c r="AF291">
        <v>179.17</v>
      </c>
      <c r="AG291">
        <v>16.93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0.02</v>
      </c>
      <c r="AU291" t="s">
        <v>26</v>
      </c>
      <c r="AV291">
        <v>0</v>
      </c>
      <c r="AW291">
        <v>2</v>
      </c>
      <c r="AX291">
        <v>59213984</v>
      </c>
      <c r="AY291">
        <v>1</v>
      </c>
      <c r="AZ291">
        <v>0</v>
      </c>
      <c r="BA291">
        <v>317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f>ROUND(Y291*Source!I216*DO291,9)</f>
        <v>1.5643320000000001</v>
      </c>
      <c r="CX291">
        <f>ROUND(Y291*Source!I216,9)</f>
        <v>9.2399999999999996E-2</v>
      </c>
      <c r="CY291">
        <f>AB291</f>
        <v>187.59</v>
      </c>
      <c r="CZ291">
        <f>AF291</f>
        <v>179.17</v>
      </c>
      <c r="DA291">
        <f>AJ291</f>
        <v>1</v>
      </c>
      <c r="DB291">
        <f>ROUND((ROUND(AT291*CZ291,2)*1.1),6)</f>
        <v>3.9380000000000002</v>
      </c>
      <c r="DC291">
        <f>ROUND((ROUND(AT291*AG291,2)*1.1),6)</f>
        <v>0.374</v>
      </c>
      <c r="DD291" t="s">
        <v>3</v>
      </c>
      <c r="DE291" t="s">
        <v>3</v>
      </c>
      <c r="DF291">
        <f t="shared" si="189"/>
        <v>0</v>
      </c>
      <c r="DG291">
        <f t="shared" si="186"/>
        <v>16.559999999999999</v>
      </c>
      <c r="DH291">
        <f t="shared" si="187"/>
        <v>1.56</v>
      </c>
      <c r="DI291">
        <f t="shared" si="168"/>
        <v>0</v>
      </c>
      <c r="DJ291">
        <f>DG291</f>
        <v>16.559999999999999</v>
      </c>
      <c r="DK291">
        <v>0</v>
      </c>
      <c r="DL291" t="s">
        <v>338</v>
      </c>
      <c r="DM291">
        <v>0</v>
      </c>
      <c r="DN291" t="s">
        <v>333</v>
      </c>
      <c r="DO291">
        <v>16.93</v>
      </c>
    </row>
    <row r="292" spans="1:119" x14ac:dyDescent="0.2">
      <c r="A292">
        <f>ROW(Source!A216)</f>
        <v>216</v>
      </c>
      <c r="B292">
        <v>59213216</v>
      </c>
      <c r="C292">
        <v>59213802</v>
      </c>
      <c r="D292">
        <v>58309611</v>
      </c>
      <c r="E292">
        <v>1</v>
      </c>
      <c r="F292">
        <v>1</v>
      </c>
      <c r="G292">
        <v>1080</v>
      </c>
      <c r="H292">
        <v>3</v>
      </c>
      <c r="I292" t="s">
        <v>414</v>
      </c>
      <c r="J292" t="s">
        <v>415</v>
      </c>
      <c r="K292" t="s">
        <v>416</v>
      </c>
      <c r="L292">
        <v>1346</v>
      </c>
      <c r="N292">
        <v>1009</v>
      </c>
      <c r="O292" t="s">
        <v>244</v>
      </c>
      <c r="P292" t="s">
        <v>244</v>
      </c>
      <c r="Q292">
        <v>1</v>
      </c>
      <c r="W292">
        <v>0</v>
      </c>
      <c r="X292">
        <v>1770006655</v>
      </c>
      <c r="Y292">
        <f t="shared" ref="Y292:Y297" si="190">(AT292*1)</f>
        <v>0.6</v>
      </c>
      <c r="AA292">
        <v>1.38</v>
      </c>
      <c r="AB292">
        <v>0</v>
      </c>
      <c r="AC292">
        <v>0</v>
      </c>
      <c r="AD292">
        <v>0</v>
      </c>
      <c r="AE292">
        <v>1.38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0.6</v>
      </c>
      <c r="AU292" t="s">
        <v>25</v>
      </c>
      <c r="AV292">
        <v>0</v>
      </c>
      <c r="AW292">
        <v>2</v>
      </c>
      <c r="AX292">
        <v>59213985</v>
      </c>
      <c r="AY292">
        <v>1</v>
      </c>
      <c r="AZ292">
        <v>0</v>
      </c>
      <c r="BA292">
        <v>318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ROUND(Y292*Source!I216,9)</f>
        <v>2.52</v>
      </c>
      <c r="CY292">
        <f t="shared" ref="CY292:CY298" si="191">AA292</f>
        <v>1.38</v>
      </c>
      <c r="CZ292">
        <f t="shared" ref="CZ292:CZ298" si="192">AE292</f>
        <v>1.38</v>
      </c>
      <c r="DA292">
        <f t="shared" ref="DA292:DA298" si="193">AI292</f>
        <v>1</v>
      </c>
      <c r="DB292">
        <f t="shared" ref="DB292:DB297" si="194">ROUND((ROUND(AT292*CZ292,2)*1),6)</f>
        <v>0.83</v>
      </c>
      <c r="DC292">
        <f t="shared" ref="DC292:DC297" si="195">ROUND((ROUND(AT292*AG292,2)*1),6)</f>
        <v>0</v>
      </c>
      <c r="DD292" t="s">
        <v>3</v>
      </c>
      <c r="DE292" t="s">
        <v>3</v>
      </c>
      <c r="DF292">
        <f t="shared" si="189"/>
        <v>3.48</v>
      </c>
      <c r="DG292">
        <f t="shared" si="186"/>
        <v>0</v>
      </c>
      <c r="DH292">
        <f t="shared" si="187"/>
        <v>0</v>
      </c>
      <c r="DI292">
        <f t="shared" si="168"/>
        <v>0</v>
      </c>
      <c r="DJ292">
        <f t="shared" ref="DJ292:DJ298" si="196">DF292</f>
        <v>3.48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ROW(Source!A216)</f>
        <v>216</v>
      </c>
      <c r="B293">
        <v>59213216</v>
      </c>
      <c r="C293">
        <v>59213802</v>
      </c>
      <c r="D293">
        <v>58310002</v>
      </c>
      <c r="E293">
        <v>1</v>
      </c>
      <c r="F293">
        <v>1</v>
      </c>
      <c r="G293">
        <v>1080</v>
      </c>
      <c r="H293">
        <v>3</v>
      </c>
      <c r="I293" t="s">
        <v>417</v>
      </c>
      <c r="J293" t="s">
        <v>418</v>
      </c>
      <c r="K293" t="s">
        <v>419</v>
      </c>
      <c r="L293">
        <v>1346</v>
      </c>
      <c r="N293">
        <v>1009</v>
      </c>
      <c r="O293" t="s">
        <v>244</v>
      </c>
      <c r="P293" t="s">
        <v>244</v>
      </c>
      <c r="Q293">
        <v>1</v>
      </c>
      <c r="W293">
        <v>0</v>
      </c>
      <c r="X293">
        <v>-878159893</v>
      </c>
      <c r="Y293">
        <f t="shared" si="190"/>
        <v>0.16</v>
      </c>
      <c r="AA293">
        <v>159.06</v>
      </c>
      <c r="AB293">
        <v>0</v>
      </c>
      <c r="AC293">
        <v>0</v>
      </c>
      <c r="AD293">
        <v>0</v>
      </c>
      <c r="AE293">
        <v>159.06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0.16</v>
      </c>
      <c r="AU293" t="s">
        <v>25</v>
      </c>
      <c r="AV293">
        <v>0</v>
      </c>
      <c r="AW293">
        <v>2</v>
      </c>
      <c r="AX293">
        <v>59213986</v>
      </c>
      <c r="AY293">
        <v>1</v>
      </c>
      <c r="AZ293">
        <v>0</v>
      </c>
      <c r="BA293">
        <v>319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ROUND(Y293*Source!I216,9)</f>
        <v>0.67200000000000004</v>
      </c>
      <c r="CY293">
        <f t="shared" si="191"/>
        <v>159.06</v>
      </c>
      <c r="CZ293">
        <f t="shared" si="192"/>
        <v>159.06</v>
      </c>
      <c r="DA293">
        <f t="shared" si="193"/>
        <v>1</v>
      </c>
      <c r="DB293">
        <f t="shared" si="194"/>
        <v>25.45</v>
      </c>
      <c r="DC293">
        <f t="shared" si="195"/>
        <v>0</v>
      </c>
      <c r="DD293" t="s">
        <v>3</v>
      </c>
      <c r="DE293" t="s">
        <v>3</v>
      </c>
      <c r="DF293">
        <f t="shared" si="189"/>
        <v>106.89</v>
      </c>
      <c r="DG293">
        <f t="shared" si="186"/>
        <v>0</v>
      </c>
      <c r="DH293">
        <f t="shared" si="187"/>
        <v>0</v>
      </c>
      <c r="DI293">
        <f t="shared" si="168"/>
        <v>0</v>
      </c>
      <c r="DJ293">
        <f t="shared" si="196"/>
        <v>106.89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ROW(Source!A216)</f>
        <v>216</v>
      </c>
      <c r="B294">
        <v>59213216</v>
      </c>
      <c r="C294">
        <v>59213802</v>
      </c>
      <c r="D294">
        <v>58332946</v>
      </c>
      <c r="E294">
        <v>1</v>
      </c>
      <c r="F294">
        <v>1</v>
      </c>
      <c r="G294">
        <v>1080</v>
      </c>
      <c r="H294">
        <v>3</v>
      </c>
      <c r="I294" t="s">
        <v>433</v>
      </c>
      <c r="J294" t="s">
        <v>434</v>
      </c>
      <c r="K294" t="s">
        <v>435</v>
      </c>
      <c r="L294">
        <v>1355</v>
      </c>
      <c r="N294">
        <v>1010</v>
      </c>
      <c r="O294" t="s">
        <v>227</v>
      </c>
      <c r="P294" t="s">
        <v>227</v>
      </c>
      <c r="Q294">
        <v>100</v>
      </c>
      <c r="W294">
        <v>0</v>
      </c>
      <c r="X294">
        <v>938266694</v>
      </c>
      <c r="Y294">
        <f t="shared" si="190"/>
        <v>0.05</v>
      </c>
      <c r="AA294">
        <v>130.15</v>
      </c>
      <c r="AB294">
        <v>0</v>
      </c>
      <c r="AC294">
        <v>0</v>
      </c>
      <c r="AD294">
        <v>0</v>
      </c>
      <c r="AE294">
        <v>130.15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0.05</v>
      </c>
      <c r="AU294" t="s">
        <v>25</v>
      </c>
      <c r="AV294">
        <v>0</v>
      </c>
      <c r="AW294">
        <v>2</v>
      </c>
      <c r="AX294">
        <v>59213987</v>
      </c>
      <c r="AY294">
        <v>1</v>
      </c>
      <c r="AZ294">
        <v>0</v>
      </c>
      <c r="BA294">
        <v>320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ROUND(Y294*Source!I216,9)</f>
        <v>0.21</v>
      </c>
      <c r="CY294">
        <f t="shared" si="191"/>
        <v>130.15</v>
      </c>
      <c r="CZ294">
        <f t="shared" si="192"/>
        <v>130.15</v>
      </c>
      <c r="DA294">
        <f t="shared" si="193"/>
        <v>1</v>
      </c>
      <c r="DB294">
        <f t="shared" si="194"/>
        <v>6.51</v>
      </c>
      <c r="DC294">
        <f t="shared" si="195"/>
        <v>0</v>
      </c>
      <c r="DD294" t="s">
        <v>3</v>
      </c>
      <c r="DE294" t="s">
        <v>3</v>
      </c>
      <c r="DF294">
        <f t="shared" si="189"/>
        <v>27.33</v>
      </c>
      <c r="DG294">
        <f t="shared" si="186"/>
        <v>0</v>
      </c>
      <c r="DH294">
        <f t="shared" si="187"/>
        <v>0</v>
      </c>
      <c r="DI294">
        <f t="shared" si="168"/>
        <v>0</v>
      </c>
      <c r="DJ294">
        <f t="shared" si="196"/>
        <v>27.33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ROW(Source!A216)</f>
        <v>216</v>
      </c>
      <c r="B295">
        <v>59213216</v>
      </c>
      <c r="C295">
        <v>59213802</v>
      </c>
      <c r="D295">
        <v>58332957</v>
      </c>
      <c r="E295">
        <v>1</v>
      </c>
      <c r="F295">
        <v>1</v>
      </c>
      <c r="G295">
        <v>1080</v>
      </c>
      <c r="H295">
        <v>3</v>
      </c>
      <c r="I295" t="s">
        <v>436</v>
      </c>
      <c r="J295" t="s">
        <v>437</v>
      </c>
      <c r="K295" t="s">
        <v>438</v>
      </c>
      <c r="L295">
        <v>1356</v>
      </c>
      <c r="N295">
        <v>1010</v>
      </c>
      <c r="O295" t="s">
        <v>426</v>
      </c>
      <c r="P295" t="s">
        <v>426</v>
      </c>
      <c r="Q295">
        <v>1000</v>
      </c>
      <c r="W295">
        <v>0</v>
      </c>
      <c r="X295">
        <v>-422648154</v>
      </c>
      <c r="Y295">
        <f t="shared" si="190"/>
        <v>1.2200000000000001E-2</v>
      </c>
      <c r="AA295">
        <v>226.86</v>
      </c>
      <c r="AB295">
        <v>0</v>
      </c>
      <c r="AC295">
        <v>0</v>
      </c>
      <c r="AD295">
        <v>0</v>
      </c>
      <c r="AE295">
        <v>226.86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1.2200000000000001E-2</v>
      </c>
      <c r="AU295" t="s">
        <v>25</v>
      </c>
      <c r="AV295">
        <v>0</v>
      </c>
      <c r="AW295">
        <v>2</v>
      </c>
      <c r="AX295">
        <v>59213988</v>
      </c>
      <c r="AY295">
        <v>1</v>
      </c>
      <c r="AZ295">
        <v>0</v>
      </c>
      <c r="BA295">
        <v>321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ROUND(Y295*Source!I216,9)</f>
        <v>5.1240000000000001E-2</v>
      </c>
      <c r="CY295">
        <f t="shared" si="191"/>
        <v>226.86</v>
      </c>
      <c r="CZ295">
        <f t="shared" si="192"/>
        <v>226.86</v>
      </c>
      <c r="DA295">
        <f t="shared" si="193"/>
        <v>1</v>
      </c>
      <c r="DB295">
        <f t="shared" si="194"/>
        <v>2.77</v>
      </c>
      <c r="DC295">
        <f t="shared" si="195"/>
        <v>0</v>
      </c>
      <c r="DD295" t="s">
        <v>3</v>
      </c>
      <c r="DE295" t="s">
        <v>3</v>
      </c>
      <c r="DF295">
        <f t="shared" si="189"/>
        <v>11.62</v>
      </c>
      <c r="DG295">
        <f t="shared" si="186"/>
        <v>0</v>
      </c>
      <c r="DH295">
        <f t="shared" si="187"/>
        <v>0</v>
      </c>
      <c r="DI295">
        <f t="shared" si="168"/>
        <v>0</v>
      </c>
      <c r="DJ295">
        <f t="shared" si="196"/>
        <v>11.62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ROW(Source!A216)</f>
        <v>216</v>
      </c>
      <c r="B296">
        <v>59213216</v>
      </c>
      <c r="C296">
        <v>59213802</v>
      </c>
      <c r="D296">
        <v>58332282</v>
      </c>
      <c r="E296">
        <v>1</v>
      </c>
      <c r="F296">
        <v>1</v>
      </c>
      <c r="G296">
        <v>1080</v>
      </c>
      <c r="H296">
        <v>3</v>
      </c>
      <c r="I296" t="s">
        <v>427</v>
      </c>
      <c r="J296" t="s">
        <v>428</v>
      </c>
      <c r="K296" t="s">
        <v>429</v>
      </c>
      <c r="L296">
        <v>1354</v>
      </c>
      <c r="N296">
        <v>1010</v>
      </c>
      <c r="O296" t="s">
        <v>34</v>
      </c>
      <c r="P296" t="s">
        <v>34</v>
      </c>
      <c r="Q296">
        <v>1</v>
      </c>
      <c r="W296">
        <v>0</v>
      </c>
      <c r="X296">
        <v>145081611</v>
      </c>
      <c r="Y296">
        <f t="shared" si="190"/>
        <v>3.1</v>
      </c>
      <c r="AA296">
        <v>6.94</v>
      </c>
      <c r="AB296">
        <v>0</v>
      </c>
      <c r="AC296">
        <v>0</v>
      </c>
      <c r="AD296">
        <v>0</v>
      </c>
      <c r="AE296">
        <v>6.94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-2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3.1</v>
      </c>
      <c r="AU296" t="s">
        <v>25</v>
      </c>
      <c r="AV296">
        <v>0</v>
      </c>
      <c r="AW296">
        <v>2</v>
      </c>
      <c r="AX296">
        <v>59213989</v>
      </c>
      <c r="AY296">
        <v>1</v>
      </c>
      <c r="AZ296">
        <v>0</v>
      </c>
      <c r="BA296">
        <v>322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ROUND(Y296*Source!I216,9)</f>
        <v>13.02</v>
      </c>
      <c r="CY296">
        <f t="shared" si="191"/>
        <v>6.94</v>
      </c>
      <c r="CZ296">
        <f t="shared" si="192"/>
        <v>6.94</v>
      </c>
      <c r="DA296">
        <f t="shared" si="193"/>
        <v>1</v>
      </c>
      <c r="DB296">
        <f t="shared" si="194"/>
        <v>21.51</v>
      </c>
      <c r="DC296">
        <f t="shared" si="195"/>
        <v>0</v>
      </c>
      <c r="DD296" t="s">
        <v>3</v>
      </c>
      <c r="DE296" t="s">
        <v>3</v>
      </c>
      <c r="DF296">
        <f t="shared" si="189"/>
        <v>90.36</v>
      </c>
      <c r="DG296">
        <f t="shared" si="186"/>
        <v>0</v>
      </c>
      <c r="DH296">
        <f t="shared" si="187"/>
        <v>0</v>
      </c>
      <c r="DI296">
        <f t="shared" si="168"/>
        <v>0</v>
      </c>
      <c r="DJ296">
        <f t="shared" si="196"/>
        <v>90.36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ROW(Source!A216)</f>
        <v>216</v>
      </c>
      <c r="B297">
        <v>59213216</v>
      </c>
      <c r="C297">
        <v>59213802</v>
      </c>
      <c r="D297">
        <v>58332290</v>
      </c>
      <c r="E297">
        <v>1</v>
      </c>
      <c r="F297">
        <v>1</v>
      </c>
      <c r="G297">
        <v>1080</v>
      </c>
      <c r="H297">
        <v>3</v>
      </c>
      <c r="I297" t="s">
        <v>439</v>
      </c>
      <c r="J297" t="s">
        <v>440</v>
      </c>
      <c r="K297" t="s">
        <v>441</v>
      </c>
      <c r="L297">
        <v>1356</v>
      </c>
      <c r="N297">
        <v>1010</v>
      </c>
      <c r="O297" t="s">
        <v>426</v>
      </c>
      <c r="P297" t="s">
        <v>426</v>
      </c>
      <c r="Q297">
        <v>1000</v>
      </c>
      <c r="W297">
        <v>0</v>
      </c>
      <c r="X297">
        <v>807379832</v>
      </c>
      <c r="Y297">
        <f t="shared" si="190"/>
        <v>8.0000000000000002E-3</v>
      </c>
      <c r="AA297">
        <v>614.09</v>
      </c>
      <c r="AB297">
        <v>0</v>
      </c>
      <c r="AC297">
        <v>0</v>
      </c>
      <c r="AD297">
        <v>0</v>
      </c>
      <c r="AE297">
        <v>614.09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8.0000000000000002E-3</v>
      </c>
      <c r="AU297" t="s">
        <v>25</v>
      </c>
      <c r="AV297">
        <v>0</v>
      </c>
      <c r="AW297">
        <v>2</v>
      </c>
      <c r="AX297">
        <v>59213990</v>
      </c>
      <c r="AY297">
        <v>1</v>
      </c>
      <c r="AZ297">
        <v>0</v>
      </c>
      <c r="BA297">
        <v>323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ROUND(Y297*Source!I216,9)</f>
        <v>3.3599999999999998E-2</v>
      </c>
      <c r="CY297">
        <f t="shared" si="191"/>
        <v>614.09</v>
      </c>
      <c r="CZ297">
        <f t="shared" si="192"/>
        <v>614.09</v>
      </c>
      <c r="DA297">
        <f t="shared" si="193"/>
        <v>1</v>
      </c>
      <c r="DB297">
        <f t="shared" si="194"/>
        <v>4.91</v>
      </c>
      <c r="DC297">
        <f t="shared" si="195"/>
        <v>0</v>
      </c>
      <c r="DD297" t="s">
        <v>3</v>
      </c>
      <c r="DE297" t="s">
        <v>3</v>
      </c>
      <c r="DF297">
        <f t="shared" si="189"/>
        <v>20.63</v>
      </c>
      <c r="DG297">
        <f t="shared" si="186"/>
        <v>0</v>
      </c>
      <c r="DH297">
        <f t="shared" si="187"/>
        <v>0</v>
      </c>
      <c r="DI297">
        <f t="shared" si="168"/>
        <v>0</v>
      </c>
      <c r="DJ297">
        <f t="shared" si="196"/>
        <v>20.63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ROW(Source!A216)</f>
        <v>216</v>
      </c>
      <c r="B298">
        <v>59213216</v>
      </c>
      <c r="C298">
        <v>59213802</v>
      </c>
      <c r="D298">
        <v>0</v>
      </c>
      <c r="E298">
        <v>1080</v>
      </c>
      <c r="F298">
        <v>1</v>
      </c>
      <c r="G298">
        <v>1080</v>
      </c>
      <c r="H298">
        <v>3</v>
      </c>
      <c r="I298" t="s">
        <v>307</v>
      </c>
      <c r="J298" t="s">
        <v>3</v>
      </c>
      <c r="K298" t="s">
        <v>308</v>
      </c>
      <c r="L298">
        <v>1301</v>
      </c>
      <c r="N298">
        <v>1003</v>
      </c>
      <c r="O298" t="s">
        <v>222</v>
      </c>
      <c r="P298" t="s">
        <v>222</v>
      </c>
      <c r="Q298">
        <v>1</v>
      </c>
      <c r="W298">
        <v>0</v>
      </c>
      <c r="X298">
        <v>-1715869231</v>
      </c>
      <c r="Y298">
        <f>AT298</f>
        <v>102</v>
      </c>
      <c r="AA298">
        <v>18.190000000000001</v>
      </c>
      <c r="AB298">
        <v>0</v>
      </c>
      <c r="AC298">
        <v>0</v>
      </c>
      <c r="AD298">
        <v>0</v>
      </c>
      <c r="AE298">
        <v>18.189999999999998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 t="s">
        <v>3</v>
      </c>
      <c r="AT298">
        <v>102</v>
      </c>
      <c r="AU298" t="s">
        <v>3</v>
      </c>
      <c r="AV298">
        <v>0</v>
      </c>
      <c r="AW298">
        <v>1</v>
      </c>
      <c r="AX298">
        <v>-1</v>
      </c>
      <c r="AY298">
        <v>0</v>
      </c>
      <c r="AZ298">
        <v>0</v>
      </c>
      <c r="BA298" t="s">
        <v>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ROUND(Y298*Source!I216,9)</f>
        <v>428.4</v>
      </c>
      <c r="CY298">
        <f t="shared" si="191"/>
        <v>18.190000000000001</v>
      </c>
      <c r="CZ298">
        <f t="shared" si="192"/>
        <v>18.189999999999998</v>
      </c>
      <c r="DA298">
        <f t="shared" si="193"/>
        <v>1</v>
      </c>
      <c r="DB298">
        <f>ROUND(ROUND(AT298*CZ298,2),6)</f>
        <v>1855.38</v>
      </c>
      <c r="DC298">
        <f>ROUND(ROUND(AT298*AG298,2),6)</f>
        <v>0</v>
      </c>
      <c r="DD298" t="s">
        <v>3</v>
      </c>
      <c r="DE298" t="s">
        <v>3</v>
      </c>
      <c r="DF298">
        <f t="shared" si="189"/>
        <v>7792.6</v>
      </c>
      <c r="DG298">
        <f t="shared" si="186"/>
        <v>0</v>
      </c>
      <c r="DH298">
        <f t="shared" si="187"/>
        <v>0</v>
      </c>
      <c r="DI298">
        <f t="shared" si="168"/>
        <v>0</v>
      </c>
      <c r="DJ298">
        <f t="shared" si="196"/>
        <v>7792.6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ROW(Source!A217)</f>
        <v>217</v>
      </c>
      <c r="B299">
        <v>59213213</v>
      </c>
      <c r="C299">
        <v>59213802</v>
      </c>
      <c r="D299">
        <v>58266404</v>
      </c>
      <c r="E299">
        <v>1080</v>
      </c>
      <c r="F299">
        <v>1</v>
      </c>
      <c r="G299">
        <v>1080</v>
      </c>
      <c r="H299">
        <v>1</v>
      </c>
      <c r="I299" t="s">
        <v>331</v>
      </c>
      <c r="J299" t="s">
        <v>3</v>
      </c>
      <c r="K299" t="s">
        <v>332</v>
      </c>
      <c r="L299">
        <v>1191</v>
      </c>
      <c r="N299">
        <v>1013</v>
      </c>
      <c r="O299" t="s">
        <v>333</v>
      </c>
      <c r="P299" t="s">
        <v>333</v>
      </c>
      <c r="Q299">
        <v>1</v>
      </c>
      <c r="W299">
        <v>0</v>
      </c>
      <c r="X299">
        <v>476480486</v>
      </c>
      <c r="Y299">
        <f>(AT299*1.1)</f>
        <v>5.9290000000000003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5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5.39</v>
      </c>
      <c r="AU299" t="s">
        <v>26</v>
      </c>
      <c r="AV299">
        <v>1</v>
      </c>
      <c r="AW299">
        <v>2</v>
      </c>
      <c r="AX299">
        <v>59213982</v>
      </c>
      <c r="AY299">
        <v>1</v>
      </c>
      <c r="AZ299">
        <v>0</v>
      </c>
      <c r="BA299">
        <v>325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U299">
        <f>ROUND(AT299*Source!I217*AH299*AL299,2)</f>
        <v>0</v>
      </c>
      <c r="CV299">
        <f>ROUND(Y299*Source!I217,9)</f>
        <v>24.901800000000001</v>
      </c>
      <c r="CW299">
        <v>0</v>
      </c>
      <c r="CX299">
        <f>ROUND(Y299*Source!I217,9)</f>
        <v>24.901800000000001</v>
      </c>
      <c r="CY299">
        <f>AD299</f>
        <v>0</v>
      </c>
      <c r="CZ299">
        <f>AH299</f>
        <v>0</v>
      </c>
      <c r="DA299">
        <f>AL299</f>
        <v>1</v>
      </c>
      <c r="DB299">
        <f>ROUND((ROUND(AT299*CZ299,2)*1.1),6)</f>
        <v>0</v>
      </c>
      <c r="DC299">
        <f>ROUND((ROUND(AT299*AG299,2)*1.1),6)</f>
        <v>0</v>
      </c>
      <c r="DD299" t="s">
        <v>3</v>
      </c>
      <c r="DE299" t="s">
        <v>3</v>
      </c>
      <c r="DF299">
        <f t="shared" si="189"/>
        <v>0</v>
      </c>
      <c r="DG299">
        <f t="shared" si="186"/>
        <v>0</v>
      </c>
      <c r="DH299">
        <f t="shared" si="187"/>
        <v>0</v>
      </c>
      <c r="DI299">
        <f t="shared" si="168"/>
        <v>0</v>
      </c>
      <c r="DJ299">
        <f>DI299</f>
        <v>0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ROW(Source!A217)</f>
        <v>217</v>
      </c>
      <c r="B300">
        <v>59213213</v>
      </c>
      <c r="C300">
        <v>59213802</v>
      </c>
      <c r="D300">
        <v>58340578</v>
      </c>
      <c r="E300">
        <v>1</v>
      </c>
      <c r="F300">
        <v>1</v>
      </c>
      <c r="G300">
        <v>1080</v>
      </c>
      <c r="H300">
        <v>2</v>
      </c>
      <c r="I300" t="s">
        <v>334</v>
      </c>
      <c r="J300" t="s">
        <v>335</v>
      </c>
      <c r="K300" t="s">
        <v>336</v>
      </c>
      <c r="L300">
        <v>1368</v>
      </c>
      <c r="N300">
        <v>1011</v>
      </c>
      <c r="O300" t="s">
        <v>337</v>
      </c>
      <c r="P300" t="s">
        <v>337</v>
      </c>
      <c r="Q300">
        <v>1</v>
      </c>
      <c r="W300">
        <v>0</v>
      </c>
      <c r="X300">
        <v>-1985943078</v>
      </c>
      <c r="Y300">
        <f>(AT300*1.1)</f>
        <v>2.2000000000000002E-2</v>
      </c>
      <c r="AA300">
        <v>0</v>
      </c>
      <c r="AB300">
        <v>1418.19</v>
      </c>
      <c r="AC300">
        <v>726.59</v>
      </c>
      <c r="AD300">
        <v>0</v>
      </c>
      <c r="AE300">
        <v>0</v>
      </c>
      <c r="AF300">
        <v>83.1</v>
      </c>
      <c r="AG300">
        <v>12.62</v>
      </c>
      <c r="AH300">
        <v>0</v>
      </c>
      <c r="AI300">
        <v>1</v>
      </c>
      <c r="AJ300">
        <v>16.3</v>
      </c>
      <c r="AK300">
        <v>54.99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0.02</v>
      </c>
      <c r="AU300" t="s">
        <v>26</v>
      </c>
      <c r="AV300">
        <v>0</v>
      </c>
      <c r="AW300">
        <v>2</v>
      </c>
      <c r="AX300">
        <v>59213983</v>
      </c>
      <c r="AY300">
        <v>1</v>
      </c>
      <c r="AZ300">
        <v>0</v>
      </c>
      <c r="BA300">
        <v>326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ROUND(Y300*Source!I217*DO300,9)</f>
        <v>1.166088</v>
      </c>
      <c r="CX300">
        <f>ROUND(Y300*Source!I217,9)</f>
        <v>9.2399999999999996E-2</v>
      </c>
      <c r="CY300">
        <f>AB300</f>
        <v>1418.19</v>
      </c>
      <c r="CZ300">
        <f>AF300</f>
        <v>83.1</v>
      </c>
      <c r="DA300">
        <f>AJ300</f>
        <v>16.3</v>
      </c>
      <c r="DB300">
        <f>ROUND((ROUND(AT300*CZ300,2)*1.1),6)</f>
        <v>1.8260000000000001</v>
      </c>
      <c r="DC300">
        <f>ROUND((ROUND(AT300*AG300,2)*1.1),6)</f>
        <v>0.27500000000000002</v>
      </c>
      <c r="DD300" t="s">
        <v>3</v>
      </c>
      <c r="DE300" t="s">
        <v>3</v>
      </c>
      <c r="DF300">
        <f t="shared" si="189"/>
        <v>0</v>
      </c>
      <c r="DG300">
        <f>ROUND(ROUND(AF300*AJ300,2)*CX300,2)</f>
        <v>125.16</v>
      </c>
      <c r="DH300">
        <f>ROUND(ROUND(AG300*AK300,2)*CX300,2)</f>
        <v>64.12</v>
      </c>
      <c r="DI300">
        <f t="shared" si="168"/>
        <v>0</v>
      </c>
      <c r="DJ300">
        <f>DG300</f>
        <v>125.16</v>
      </c>
      <c r="DK300">
        <v>0</v>
      </c>
      <c r="DL300" t="s">
        <v>338</v>
      </c>
      <c r="DM300">
        <v>0</v>
      </c>
      <c r="DN300" t="s">
        <v>333</v>
      </c>
      <c r="DO300">
        <v>12.62</v>
      </c>
    </row>
    <row r="301" spans="1:119" x14ac:dyDescent="0.2">
      <c r="A301">
        <f>ROW(Source!A217)</f>
        <v>217</v>
      </c>
      <c r="B301">
        <v>59213213</v>
      </c>
      <c r="C301">
        <v>59213802</v>
      </c>
      <c r="D301">
        <v>58339814</v>
      </c>
      <c r="E301">
        <v>1</v>
      </c>
      <c r="F301">
        <v>1</v>
      </c>
      <c r="G301">
        <v>1080</v>
      </c>
      <c r="H301">
        <v>2</v>
      </c>
      <c r="I301" t="s">
        <v>411</v>
      </c>
      <c r="J301" t="s">
        <v>412</v>
      </c>
      <c r="K301" t="s">
        <v>413</v>
      </c>
      <c r="L301">
        <v>1368</v>
      </c>
      <c r="N301">
        <v>1011</v>
      </c>
      <c r="O301" t="s">
        <v>337</v>
      </c>
      <c r="P301" t="s">
        <v>337</v>
      </c>
      <c r="Q301">
        <v>1</v>
      </c>
      <c r="W301">
        <v>0</v>
      </c>
      <c r="X301">
        <v>1087580389</v>
      </c>
      <c r="Y301">
        <f>(AT301*1.1)</f>
        <v>2.2000000000000002E-2</v>
      </c>
      <c r="AA301">
        <v>0</v>
      </c>
      <c r="AB301">
        <v>2579.38</v>
      </c>
      <c r="AC301">
        <v>974.74</v>
      </c>
      <c r="AD301">
        <v>0</v>
      </c>
      <c r="AE301">
        <v>0</v>
      </c>
      <c r="AF301">
        <v>179.17</v>
      </c>
      <c r="AG301">
        <v>16.93</v>
      </c>
      <c r="AH301">
        <v>0</v>
      </c>
      <c r="AI301">
        <v>1</v>
      </c>
      <c r="AJ301">
        <v>13.75</v>
      </c>
      <c r="AK301">
        <v>54.99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0.02</v>
      </c>
      <c r="AU301" t="s">
        <v>26</v>
      </c>
      <c r="AV301">
        <v>0</v>
      </c>
      <c r="AW301">
        <v>2</v>
      </c>
      <c r="AX301">
        <v>59213984</v>
      </c>
      <c r="AY301">
        <v>1</v>
      </c>
      <c r="AZ301">
        <v>0</v>
      </c>
      <c r="BA301">
        <v>327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ROUND(Y301*Source!I217*DO301,9)</f>
        <v>1.5643320000000001</v>
      </c>
      <c r="CX301">
        <f>ROUND(Y301*Source!I217,9)</f>
        <v>9.2399999999999996E-2</v>
      </c>
      <c r="CY301">
        <f>AB301</f>
        <v>2579.38</v>
      </c>
      <c r="CZ301">
        <f>AF301</f>
        <v>179.17</v>
      </c>
      <c r="DA301">
        <f>AJ301</f>
        <v>13.75</v>
      </c>
      <c r="DB301">
        <f>ROUND((ROUND(AT301*CZ301,2)*1.1),6)</f>
        <v>3.9380000000000002</v>
      </c>
      <c r="DC301">
        <f>ROUND((ROUND(AT301*AG301,2)*1.1),6)</f>
        <v>0.374</v>
      </c>
      <c r="DD301" t="s">
        <v>3</v>
      </c>
      <c r="DE301" t="s">
        <v>3</v>
      </c>
      <c r="DF301">
        <f t="shared" si="189"/>
        <v>0</v>
      </c>
      <c r="DG301">
        <f>ROUND(ROUND(AF301*AJ301,2)*CX301,2)</f>
        <v>227.64</v>
      </c>
      <c r="DH301">
        <f>ROUND(ROUND(AG301*AK301,2)*CX301,2)</f>
        <v>86.02</v>
      </c>
      <c r="DI301">
        <f t="shared" si="168"/>
        <v>0</v>
      </c>
      <c r="DJ301">
        <f>DG301</f>
        <v>227.64</v>
      </c>
      <c r="DK301">
        <v>0</v>
      </c>
      <c r="DL301" t="s">
        <v>338</v>
      </c>
      <c r="DM301">
        <v>0</v>
      </c>
      <c r="DN301" t="s">
        <v>333</v>
      </c>
      <c r="DO301">
        <v>16.93</v>
      </c>
    </row>
    <row r="302" spans="1:119" x14ac:dyDescent="0.2">
      <c r="A302">
        <f>ROW(Source!A217)</f>
        <v>217</v>
      </c>
      <c r="B302">
        <v>59213213</v>
      </c>
      <c r="C302">
        <v>59213802</v>
      </c>
      <c r="D302">
        <v>58309611</v>
      </c>
      <c r="E302">
        <v>1</v>
      </c>
      <c r="F302">
        <v>1</v>
      </c>
      <c r="G302">
        <v>1080</v>
      </c>
      <c r="H302">
        <v>3</v>
      </c>
      <c r="I302" t="s">
        <v>414</v>
      </c>
      <c r="J302" t="s">
        <v>415</v>
      </c>
      <c r="K302" t="s">
        <v>416</v>
      </c>
      <c r="L302">
        <v>1346</v>
      </c>
      <c r="N302">
        <v>1009</v>
      </c>
      <c r="O302" t="s">
        <v>244</v>
      </c>
      <c r="P302" t="s">
        <v>244</v>
      </c>
      <c r="Q302">
        <v>1</v>
      </c>
      <c r="W302">
        <v>0</v>
      </c>
      <c r="X302">
        <v>1770006655</v>
      </c>
      <c r="Y302">
        <f t="shared" ref="Y302:Y307" si="197">(AT302*1)</f>
        <v>0.6</v>
      </c>
      <c r="AA302">
        <v>29.73</v>
      </c>
      <c r="AB302">
        <v>0</v>
      </c>
      <c r="AC302">
        <v>0</v>
      </c>
      <c r="AD302">
        <v>0</v>
      </c>
      <c r="AE302">
        <v>1.38</v>
      </c>
      <c r="AF302">
        <v>0</v>
      </c>
      <c r="AG302">
        <v>0</v>
      </c>
      <c r="AH302">
        <v>0</v>
      </c>
      <c r="AI302">
        <v>21.54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0.6</v>
      </c>
      <c r="AU302" t="s">
        <v>25</v>
      </c>
      <c r="AV302">
        <v>0</v>
      </c>
      <c r="AW302">
        <v>2</v>
      </c>
      <c r="AX302">
        <v>59213985</v>
      </c>
      <c r="AY302">
        <v>1</v>
      </c>
      <c r="AZ302">
        <v>0</v>
      </c>
      <c r="BA302">
        <v>328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ROUND(Y302*Source!I217,9)</f>
        <v>2.52</v>
      </c>
      <c r="CY302">
        <f t="shared" ref="CY302:CY308" si="198">AA302</f>
        <v>29.73</v>
      </c>
      <c r="CZ302">
        <f t="shared" ref="CZ302:CZ308" si="199">AE302</f>
        <v>1.38</v>
      </c>
      <c r="DA302">
        <f t="shared" ref="DA302:DA308" si="200">AI302</f>
        <v>21.54</v>
      </c>
      <c r="DB302">
        <f t="shared" ref="DB302:DB307" si="201">ROUND((ROUND(AT302*CZ302,2)*1),6)</f>
        <v>0.83</v>
      </c>
      <c r="DC302">
        <f t="shared" ref="DC302:DC307" si="202">ROUND((ROUND(AT302*AG302,2)*1),6)</f>
        <v>0</v>
      </c>
      <c r="DD302" t="s">
        <v>3</v>
      </c>
      <c r="DE302" t="s">
        <v>3</v>
      </c>
      <c r="DF302">
        <f t="shared" ref="DF302:DF308" si="203">ROUND(ROUND(AE302*AI302,2)*CX302,2)</f>
        <v>74.92</v>
      </c>
      <c r="DG302">
        <f t="shared" ref="DG302:DG308" si="204">ROUND(ROUND(AF302,2)*CX302,2)</f>
        <v>0</v>
      </c>
      <c r="DH302">
        <f t="shared" ref="DH302:DH308" si="205">ROUND(ROUND(AG302,2)*CX302,2)</f>
        <v>0</v>
      </c>
      <c r="DI302">
        <f t="shared" si="168"/>
        <v>0</v>
      </c>
      <c r="DJ302">
        <f t="shared" ref="DJ302:DJ308" si="206">DF302</f>
        <v>74.92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ROW(Source!A217)</f>
        <v>217</v>
      </c>
      <c r="B303">
        <v>59213213</v>
      </c>
      <c r="C303">
        <v>59213802</v>
      </c>
      <c r="D303">
        <v>58310002</v>
      </c>
      <c r="E303">
        <v>1</v>
      </c>
      <c r="F303">
        <v>1</v>
      </c>
      <c r="G303">
        <v>1080</v>
      </c>
      <c r="H303">
        <v>3</v>
      </c>
      <c r="I303" t="s">
        <v>417</v>
      </c>
      <c r="J303" t="s">
        <v>418</v>
      </c>
      <c r="K303" t="s">
        <v>419</v>
      </c>
      <c r="L303">
        <v>1346</v>
      </c>
      <c r="N303">
        <v>1009</v>
      </c>
      <c r="O303" t="s">
        <v>244</v>
      </c>
      <c r="P303" t="s">
        <v>244</v>
      </c>
      <c r="Q303">
        <v>1</v>
      </c>
      <c r="W303">
        <v>0</v>
      </c>
      <c r="X303">
        <v>-878159893</v>
      </c>
      <c r="Y303">
        <f t="shared" si="197"/>
        <v>0.16</v>
      </c>
      <c r="AA303">
        <v>286.31</v>
      </c>
      <c r="AB303">
        <v>0</v>
      </c>
      <c r="AC303">
        <v>0</v>
      </c>
      <c r="AD303">
        <v>0</v>
      </c>
      <c r="AE303">
        <v>159.06</v>
      </c>
      <c r="AF303">
        <v>0</v>
      </c>
      <c r="AG303">
        <v>0</v>
      </c>
      <c r="AH303">
        <v>0</v>
      </c>
      <c r="AI303">
        <v>1.8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0.16</v>
      </c>
      <c r="AU303" t="s">
        <v>25</v>
      </c>
      <c r="AV303">
        <v>0</v>
      </c>
      <c r="AW303">
        <v>2</v>
      </c>
      <c r="AX303">
        <v>59213986</v>
      </c>
      <c r="AY303">
        <v>1</v>
      </c>
      <c r="AZ303">
        <v>0</v>
      </c>
      <c r="BA303">
        <v>329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ROUND(Y303*Source!I217,9)</f>
        <v>0.67200000000000004</v>
      </c>
      <c r="CY303">
        <f t="shared" si="198"/>
        <v>286.31</v>
      </c>
      <c r="CZ303">
        <f t="shared" si="199"/>
        <v>159.06</v>
      </c>
      <c r="DA303">
        <f t="shared" si="200"/>
        <v>1.8</v>
      </c>
      <c r="DB303">
        <f t="shared" si="201"/>
        <v>25.45</v>
      </c>
      <c r="DC303">
        <f t="shared" si="202"/>
        <v>0</v>
      </c>
      <c r="DD303" t="s">
        <v>3</v>
      </c>
      <c r="DE303" t="s">
        <v>3</v>
      </c>
      <c r="DF303">
        <f t="shared" si="203"/>
        <v>192.4</v>
      </c>
      <c r="DG303">
        <f t="shared" si="204"/>
        <v>0</v>
      </c>
      <c r="DH303">
        <f t="shared" si="205"/>
        <v>0</v>
      </c>
      <c r="DI303">
        <f t="shared" si="168"/>
        <v>0</v>
      </c>
      <c r="DJ303">
        <f t="shared" si="206"/>
        <v>192.4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ROW(Source!A217)</f>
        <v>217</v>
      </c>
      <c r="B304">
        <v>59213213</v>
      </c>
      <c r="C304">
        <v>59213802</v>
      </c>
      <c r="D304">
        <v>58332946</v>
      </c>
      <c r="E304">
        <v>1</v>
      </c>
      <c r="F304">
        <v>1</v>
      </c>
      <c r="G304">
        <v>1080</v>
      </c>
      <c r="H304">
        <v>3</v>
      </c>
      <c r="I304" t="s">
        <v>433</v>
      </c>
      <c r="J304" t="s">
        <v>434</v>
      </c>
      <c r="K304" t="s">
        <v>435</v>
      </c>
      <c r="L304">
        <v>1355</v>
      </c>
      <c r="N304">
        <v>1010</v>
      </c>
      <c r="O304" t="s">
        <v>227</v>
      </c>
      <c r="P304" t="s">
        <v>227</v>
      </c>
      <c r="Q304">
        <v>100</v>
      </c>
      <c r="W304">
        <v>0</v>
      </c>
      <c r="X304">
        <v>938266694</v>
      </c>
      <c r="Y304">
        <f t="shared" si="197"/>
        <v>0.05</v>
      </c>
      <c r="AA304">
        <v>2189.12</v>
      </c>
      <c r="AB304">
        <v>0</v>
      </c>
      <c r="AC304">
        <v>0</v>
      </c>
      <c r="AD304">
        <v>0</v>
      </c>
      <c r="AE304">
        <v>130.15</v>
      </c>
      <c r="AF304">
        <v>0</v>
      </c>
      <c r="AG304">
        <v>0</v>
      </c>
      <c r="AH304">
        <v>0</v>
      </c>
      <c r="AI304">
        <v>16.82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0.05</v>
      </c>
      <c r="AU304" t="s">
        <v>25</v>
      </c>
      <c r="AV304">
        <v>0</v>
      </c>
      <c r="AW304">
        <v>2</v>
      </c>
      <c r="AX304">
        <v>59213987</v>
      </c>
      <c r="AY304">
        <v>1</v>
      </c>
      <c r="AZ304">
        <v>0</v>
      </c>
      <c r="BA304">
        <v>330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ROUND(Y304*Source!I217,9)</f>
        <v>0.21</v>
      </c>
      <c r="CY304">
        <f t="shared" si="198"/>
        <v>2189.12</v>
      </c>
      <c r="CZ304">
        <f t="shared" si="199"/>
        <v>130.15</v>
      </c>
      <c r="DA304">
        <f t="shared" si="200"/>
        <v>16.82</v>
      </c>
      <c r="DB304">
        <f t="shared" si="201"/>
        <v>6.51</v>
      </c>
      <c r="DC304">
        <f t="shared" si="202"/>
        <v>0</v>
      </c>
      <c r="DD304" t="s">
        <v>3</v>
      </c>
      <c r="DE304" t="s">
        <v>3</v>
      </c>
      <c r="DF304">
        <f t="shared" si="203"/>
        <v>459.72</v>
      </c>
      <c r="DG304">
        <f t="shared" si="204"/>
        <v>0</v>
      </c>
      <c r="DH304">
        <f t="shared" si="205"/>
        <v>0</v>
      </c>
      <c r="DI304">
        <f t="shared" si="168"/>
        <v>0</v>
      </c>
      <c r="DJ304">
        <f t="shared" si="206"/>
        <v>459.72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ROW(Source!A217)</f>
        <v>217</v>
      </c>
      <c r="B305">
        <v>59213213</v>
      </c>
      <c r="C305">
        <v>59213802</v>
      </c>
      <c r="D305">
        <v>58332957</v>
      </c>
      <c r="E305">
        <v>1</v>
      </c>
      <c r="F305">
        <v>1</v>
      </c>
      <c r="G305">
        <v>1080</v>
      </c>
      <c r="H305">
        <v>3</v>
      </c>
      <c r="I305" t="s">
        <v>436</v>
      </c>
      <c r="J305" t="s">
        <v>437</v>
      </c>
      <c r="K305" t="s">
        <v>438</v>
      </c>
      <c r="L305">
        <v>1356</v>
      </c>
      <c r="N305">
        <v>1010</v>
      </c>
      <c r="O305" t="s">
        <v>426</v>
      </c>
      <c r="P305" t="s">
        <v>426</v>
      </c>
      <c r="Q305">
        <v>1000</v>
      </c>
      <c r="W305">
        <v>0</v>
      </c>
      <c r="X305">
        <v>-422648154</v>
      </c>
      <c r="Y305">
        <f t="shared" si="197"/>
        <v>1.2200000000000001E-2</v>
      </c>
      <c r="AA305">
        <v>1599.36</v>
      </c>
      <c r="AB305">
        <v>0</v>
      </c>
      <c r="AC305">
        <v>0</v>
      </c>
      <c r="AD305">
        <v>0</v>
      </c>
      <c r="AE305">
        <v>226.86</v>
      </c>
      <c r="AF305">
        <v>0</v>
      </c>
      <c r="AG305">
        <v>0</v>
      </c>
      <c r="AH305">
        <v>0</v>
      </c>
      <c r="AI305">
        <v>7.05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1.2200000000000001E-2</v>
      </c>
      <c r="AU305" t="s">
        <v>25</v>
      </c>
      <c r="AV305">
        <v>0</v>
      </c>
      <c r="AW305">
        <v>2</v>
      </c>
      <c r="AX305">
        <v>59213988</v>
      </c>
      <c r="AY305">
        <v>1</v>
      </c>
      <c r="AZ305">
        <v>0</v>
      </c>
      <c r="BA305">
        <v>331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ROUND(Y305*Source!I217,9)</f>
        <v>5.1240000000000001E-2</v>
      </c>
      <c r="CY305">
        <f t="shared" si="198"/>
        <v>1599.36</v>
      </c>
      <c r="CZ305">
        <f t="shared" si="199"/>
        <v>226.86</v>
      </c>
      <c r="DA305">
        <f t="shared" si="200"/>
        <v>7.05</v>
      </c>
      <c r="DB305">
        <f t="shared" si="201"/>
        <v>2.77</v>
      </c>
      <c r="DC305">
        <f t="shared" si="202"/>
        <v>0</v>
      </c>
      <c r="DD305" t="s">
        <v>3</v>
      </c>
      <c r="DE305" t="s">
        <v>3</v>
      </c>
      <c r="DF305">
        <f t="shared" si="203"/>
        <v>81.95</v>
      </c>
      <c r="DG305">
        <f t="shared" si="204"/>
        <v>0</v>
      </c>
      <c r="DH305">
        <f t="shared" si="205"/>
        <v>0</v>
      </c>
      <c r="DI305">
        <f t="shared" si="168"/>
        <v>0</v>
      </c>
      <c r="DJ305">
        <f t="shared" si="206"/>
        <v>81.95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ROW(Source!A217)</f>
        <v>217</v>
      </c>
      <c r="B306">
        <v>59213213</v>
      </c>
      <c r="C306">
        <v>59213802</v>
      </c>
      <c r="D306">
        <v>58332282</v>
      </c>
      <c r="E306">
        <v>1</v>
      </c>
      <c r="F306">
        <v>1</v>
      </c>
      <c r="G306">
        <v>1080</v>
      </c>
      <c r="H306">
        <v>3</v>
      </c>
      <c r="I306" t="s">
        <v>427</v>
      </c>
      <c r="J306" t="s">
        <v>428</v>
      </c>
      <c r="K306" t="s">
        <v>429</v>
      </c>
      <c r="L306">
        <v>1354</v>
      </c>
      <c r="N306">
        <v>1010</v>
      </c>
      <c r="O306" t="s">
        <v>34</v>
      </c>
      <c r="P306" t="s">
        <v>34</v>
      </c>
      <c r="Q306">
        <v>1</v>
      </c>
      <c r="W306">
        <v>0</v>
      </c>
      <c r="X306">
        <v>145081611</v>
      </c>
      <c r="Y306">
        <f t="shared" si="197"/>
        <v>3.1</v>
      </c>
      <c r="AA306">
        <v>25.47</v>
      </c>
      <c r="AB306">
        <v>0</v>
      </c>
      <c r="AC306">
        <v>0</v>
      </c>
      <c r="AD306">
        <v>0</v>
      </c>
      <c r="AE306">
        <v>6.94</v>
      </c>
      <c r="AF306">
        <v>0</v>
      </c>
      <c r="AG306">
        <v>0</v>
      </c>
      <c r="AH306">
        <v>0</v>
      </c>
      <c r="AI306">
        <v>3.67</v>
      </c>
      <c r="AJ306">
        <v>1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3.1</v>
      </c>
      <c r="AU306" t="s">
        <v>25</v>
      </c>
      <c r="AV306">
        <v>0</v>
      </c>
      <c r="AW306">
        <v>2</v>
      </c>
      <c r="AX306">
        <v>59213989</v>
      </c>
      <c r="AY306">
        <v>1</v>
      </c>
      <c r="AZ306">
        <v>0</v>
      </c>
      <c r="BA306">
        <v>332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ROUND(Y306*Source!I217,9)</f>
        <v>13.02</v>
      </c>
      <c r="CY306">
        <f t="shared" si="198"/>
        <v>25.47</v>
      </c>
      <c r="CZ306">
        <f t="shared" si="199"/>
        <v>6.94</v>
      </c>
      <c r="DA306">
        <f t="shared" si="200"/>
        <v>3.67</v>
      </c>
      <c r="DB306">
        <f t="shared" si="201"/>
        <v>21.51</v>
      </c>
      <c r="DC306">
        <f t="shared" si="202"/>
        <v>0</v>
      </c>
      <c r="DD306" t="s">
        <v>3</v>
      </c>
      <c r="DE306" t="s">
        <v>3</v>
      </c>
      <c r="DF306">
        <f t="shared" si="203"/>
        <v>331.62</v>
      </c>
      <c r="DG306">
        <f t="shared" si="204"/>
        <v>0</v>
      </c>
      <c r="DH306">
        <f t="shared" si="205"/>
        <v>0</v>
      </c>
      <c r="DI306">
        <f t="shared" si="168"/>
        <v>0</v>
      </c>
      <c r="DJ306">
        <f t="shared" si="206"/>
        <v>331.62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ROW(Source!A217)</f>
        <v>217</v>
      </c>
      <c r="B307">
        <v>59213213</v>
      </c>
      <c r="C307">
        <v>59213802</v>
      </c>
      <c r="D307">
        <v>58332290</v>
      </c>
      <c r="E307">
        <v>1</v>
      </c>
      <c r="F307">
        <v>1</v>
      </c>
      <c r="G307">
        <v>1080</v>
      </c>
      <c r="H307">
        <v>3</v>
      </c>
      <c r="I307" t="s">
        <v>439</v>
      </c>
      <c r="J307" t="s">
        <v>440</v>
      </c>
      <c r="K307" t="s">
        <v>441</v>
      </c>
      <c r="L307">
        <v>1356</v>
      </c>
      <c r="N307">
        <v>1010</v>
      </c>
      <c r="O307" t="s">
        <v>426</v>
      </c>
      <c r="P307" t="s">
        <v>426</v>
      </c>
      <c r="Q307">
        <v>1000</v>
      </c>
      <c r="W307">
        <v>0</v>
      </c>
      <c r="X307">
        <v>807379832</v>
      </c>
      <c r="Y307">
        <f t="shared" si="197"/>
        <v>8.0000000000000002E-3</v>
      </c>
      <c r="AA307">
        <v>1197.48</v>
      </c>
      <c r="AB307">
        <v>0</v>
      </c>
      <c r="AC307">
        <v>0</v>
      </c>
      <c r="AD307">
        <v>0</v>
      </c>
      <c r="AE307">
        <v>614.09</v>
      </c>
      <c r="AF307">
        <v>0</v>
      </c>
      <c r="AG307">
        <v>0</v>
      </c>
      <c r="AH307">
        <v>0</v>
      </c>
      <c r="AI307">
        <v>1.95</v>
      </c>
      <c r="AJ307">
        <v>1</v>
      </c>
      <c r="AK307">
        <v>1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8.0000000000000002E-3</v>
      </c>
      <c r="AU307" t="s">
        <v>25</v>
      </c>
      <c r="AV307">
        <v>0</v>
      </c>
      <c r="AW307">
        <v>2</v>
      </c>
      <c r="AX307">
        <v>59213990</v>
      </c>
      <c r="AY307">
        <v>1</v>
      </c>
      <c r="AZ307">
        <v>0</v>
      </c>
      <c r="BA307">
        <v>333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ROUND(Y307*Source!I217,9)</f>
        <v>3.3599999999999998E-2</v>
      </c>
      <c r="CY307">
        <f t="shared" si="198"/>
        <v>1197.48</v>
      </c>
      <c r="CZ307">
        <f t="shared" si="199"/>
        <v>614.09</v>
      </c>
      <c r="DA307">
        <f t="shared" si="200"/>
        <v>1.95</v>
      </c>
      <c r="DB307">
        <f t="shared" si="201"/>
        <v>4.91</v>
      </c>
      <c r="DC307">
        <f t="shared" si="202"/>
        <v>0</v>
      </c>
      <c r="DD307" t="s">
        <v>3</v>
      </c>
      <c r="DE307" t="s">
        <v>3</v>
      </c>
      <c r="DF307">
        <f t="shared" si="203"/>
        <v>40.24</v>
      </c>
      <c r="DG307">
        <f t="shared" si="204"/>
        <v>0</v>
      </c>
      <c r="DH307">
        <f t="shared" si="205"/>
        <v>0</v>
      </c>
      <c r="DI307">
        <f t="shared" si="168"/>
        <v>0</v>
      </c>
      <c r="DJ307">
        <f t="shared" si="206"/>
        <v>40.24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ROW(Source!A217)</f>
        <v>217</v>
      </c>
      <c r="B308">
        <v>59213213</v>
      </c>
      <c r="C308">
        <v>59213802</v>
      </c>
      <c r="D308">
        <v>0</v>
      </c>
      <c r="E308">
        <v>1080</v>
      </c>
      <c r="F308">
        <v>1</v>
      </c>
      <c r="G308">
        <v>1080</v>
      </c>
      <c r="H308">
        <v>3</v>
      </c>
      <c r="I308" t="s">
        <v>307</v>
      </c>
      <c r="J308" t="s">
        <v>3</v>
      </c>
      <c r="K308" t="s">
        <v>308</v>
      </c>
      <c r="L308">
        <v>1301</v>
      </c>
      <c r="N308">
        <v>1003</v>
      </c>
      <c r="O308" t="s">
        <v>222</v>
      </c>
      <c r="P308" t="s">
        <v>222</v>
      </c>
      <c r="Q308">
        <v>1</v>
      </c>
      <c r="W308">
        <v>0</v>
      </c>
      <c r="X308">
        <v>-1715869231</v>
      </c>
      <c r="Y308">
        <f>AT308</f>
        <v>102</v>
      </c>
      <c r="AA308">
        <v>179.72</v>
      </c>
      <c r="AB308">
        <v>0</v>
      </c>
      <c r="AC308">
        <v>0</v>
      </c>
      <c r="AD308">
        <v>0</v>
      </c>
      <c r="AE308">
        <v>18.189999999999998</v>
      </c>
      <c r="AF308">
        <v>0</v>
      </c>
      <c r="AG308">
        <v>0</v>
      </c>
      <c r="AH308">
        <v>0</v>
      </c>
      <c r="AI308">
        <v>9.8800000000000008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102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ROUND(Y308*Source!I217,9)</f>
        <v>428.4</v>
      </c>
      <c r="CY308">
        <f t="shared" si="198"/>
        <v>179.72</v>
      </c>
      <c r="CZ308">
        <f t="shared" si="199"/>
        <v>18.189999999999998</v>
      </c>
      <c r="DA308">
        <f t="shared" si="200"/>
        <v>9.8800000000000008</v>
      </c>
      <c r="DB308">
        <f>ROUND(ROUND(AT308*CZ308,2),6)</f>
        <v>1855.38</v>
      </c>
      <c r="DC308">
        <f>ROUND(ROUND(AT308*AG308,2),6)</f>
        <v>0</v>
      </c>
      <c r="DD308" t="s">
        <v>3</v>
      </c>
      <c r="DE308" t="s">
        <v>3</v>
      </c>
      <c r="DF308">
        <f t="shared" si="203"/>
        <v>76992.05</v>
      </c>
      <c r="DG308">
        <f t="shared" si="204"/>
        <v>0</v>
      </c>
      <c r="DH308">
        <f t="shared" si="205"/>
        <v>0</v>
      </c>
      <c r="DI308">
        <f t="shared" si="168"/>
        <v>0</v>
      </c>
      <c r="DJ308">
        <f t="shared" si="206"/>
        <v>76992.05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33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59213825</v>
      </c>
      <c r="C1">
        <v>59213330</v>
      </c>
      <c r="D1">
        <v>58266404</v>
      </c>
      <c r="E1">
        <v>1080</v>
      </c>
      <c r="F1">
        <v>1</v>
      </c>
      <c r="G1">
        <v>1080</v>
      </c>
      <c r="H1">
        <v>1</v>
      </c>
      <c r="I1" t="s">
        <v>331</v>
      </c>
      <c r="J1" t="s">
        <v>3</v>
      </c>
      <c r="K1" t="s">
        <v>332</v>
      </c>
      <c r="L1">
        <v>1191</v>
      </c>
      <c r="N1">
        <v>1013</v>
      </c>
      <c r="O1" t="s">
        <v>333</v>
      </c>
      <c r="P1" t="s">
        <v>333</v>
      </c>
      <c r="Q1">
        <v>1</v>
      </c>
      <c r="X1">
        <v>29.96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26</v>
      </c>
      <c r="AG1">
        <v>32.956000000000003</v>
      </c>
      <c r="AH1">
        <v>2</v>
      </c>
      <c r="AI1">
        <v>59213331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59213826</v>
      </c>
      <c r="C2">
        <v>59213330</v>
      </c>
      <c r="D2">
        <v>58340578</v>
      </c>
      <c r="E2">
        <v>1</v>
      </c>
      <c r="F2">
        <v>1</v>
      </c>
      <c r="G2">
        <v>1080</v>
      </c>
      <c r="H2">
        <v>2</v>
      </c>
      <c r="I2" t="s">
        <v>334</v>
      </c>
      <c r="J2" t="s">
        <v>335</v>
      </c>
      <c r="K2" t="s">
        <v>336</v>
      </c>
      <c r="L2">
        <v>1368</v>
      </c>
      <c r="N2">
        <v>1011</v>
      </c>
      <c r="O2" t="s">
        <v>337</v>
      </c>
      <c r="P2" t="s">
        <v>337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1.1000000000000001E-2</v>
      </c>
      <c r="AH2">
        <v>2</v>
      </c>
      <c r="AI2">
        <v>59213332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59213827</v>
      </c>
      <c r="C3">
        <v>59213330</v>
      </c>
      <c r="D3">
        <v>58340663</v>
      </c>
      <c r="E3">
        <v>1</v>
      </c>
      <c r="F3">
        <v>1</v>
      </c>
      <c r="G3">
        <v>1080</v>
      </c>
      <c r="H3">
        <v>2</v>
      </c>
      <c r="I3" t="s">
        <v>339</v>
      </c>
      <c r="J3" t="s">
        <v>340</v>
      </c>
      <c r="K3" t="s">
        <v>341</v>
      </c>
      <c r="L3">
        <v>1368</v>
      </c>
      <c r="N3">
        <v>1011</v>
      </c>
      <c r="O3" t="s">
        <v>337</v>
      </c>
      <c r="P3" t="s">
        <v>337</v>
      </c>
      <c r="Q3">
        <v>1</v>
      </c>
      <c r="X3">
        <v>0.57999999999999996</v>
      </c>
      <c r="Y3">
        <v>0</v>
      </c>
      <c r="Z3">
        <v>0.47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0.63800000000000001</v>
      </c>
      <c r="AH3">
        <v>2</v>
      </c>
      <c r="AI3">
        <v>59213333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59213828</v>
      </c>
      <c r="C4">
        <v>59213330</v>
      </c>
      <c r="D4">
        <v>58310460</v>
      </c>
      <c r="E4">
        <v>1</v>
      </c>
      <c r="F4">
        <v>1</v>
      </c>
      <c r="G4">
        <v>1080</v>
      </c>
      <c r="H4">
        <v>3</v>
      </c>
      <c r="I4" t="s">
        <v>342</v>
      </c>
      <c r="J4" t="s">
        <v>343</v>
      </c>
      <c r="K4" t="s">
        <v>344</v>
      </c>
      <c r="L4">
        <v>1348</v>
      </c>
      <c r="N4">
        <v>1009</v>
      </c>
      <c r="O4" t="s">
        <v>345</v>
      </c>
      <c r="P4" t="s">
        <v>345</v>
      </c>
      <c r="Q4">
        <v>1000</v>
      </c>
      <c r="X4">
        <v>9.0000000000000006E-5</v>
      </c>
      <c r="Y4">
        <v>14327.51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25</v>
      </c>
      <c r="AG4">
        <v>9.0000000000000006E-5</v>
      </c>
      <c r="AH4">
        <v>2</v>
      </c>
      <c r="AI4">
        <v>59213334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59213829</v>
      </c>
      <c r="C5">
        <v>59213330</v>
      </c>
      <c r="D5">
        <v>58288465</v>
      </c>
      <c r="E5">
        <v>1080</v>
      </c>
      <c r="F5">
        <v>1</v>
      </c>
      <c r="G5">
        <v>1080</v>
      </c>
      <c r="H5">
        <v>3</v>
      </c>
      <c r="I5" t="s">
        <v>461</v>
      </c>
      <c r="J5" t="s">
        <v>3</v>
      </c>
      <c r="K5" t="s">
        <v>462</v>
      </c>
      <c r="L5">
        <v>1358</v>
      </c>
      <c r="N5">
        <v>1010</v>
      </c>
      <c r="O5" t="s">
        <v>23</v>
      </c>
      <c r="P5" t="s">
        <v>23</v>
      </c>
      <c r="Q5">
        <v>10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25</v>
      </c>
      <c r="AG5">
        <v>1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59213825</v>
      </c>
      <c r="C6">
        <v>59213330</v>
      </c>
      <c r="D6">
        <v>58266404</v>
      </c>
      <c r="E6">
        <v>1080</v>
      </c>
      <c r="F6">
        <v>1</v>
      </c>
      <c r="G6">
        <v>1080</v>
      </c>
      <c r="H6">
        <v>1</v>
      </c>
      <c r="I6" t="s">
        <v>331</v>
      </c>
      <c r="J6" t="s">
        <v>3</v>
      </c>
      <c r="K6" t="s">
        <v>332</v>
      </c>
      <c r="L6">
        <v>1191</v>
      </c>
      <c r="N6">
        <v>1013</v>
      </c>
      <c r="O6" t="s">
        <v>333</v>
      </c>
      <c r="P6" t="s">
        <v>333</v>
      </c>
      <c r="Q6">
        <v>1</v>
      </c>
      <c r="X6">
        <v>29.96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26</v>
      </c>
      <c r="AG6">
        <v>32.956000000000003</v>
      </c>
      <c r="AH6">
        <v>2</v>
      </c>
      <c r="AI6">
        <v>59213331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59213826</v>
      </c>
      <c r="C7">
        <v>59213330</v>
      </c>
      <c r="D7">
        <v>58340578</v>
      </c>
      <c r="E7">
        <v>1</v>
      </c>
      <c r="F7">
        <v>1</v>
      </c>
      <c r="G7">
        <v>1080</v>
      </c>
      <c r="H7">
        <v>2</v>
      </c>
      <c r="I7" t="s">
        <v>334</v>
      </c>
      <c r="J7" t="s">
        <v>335</v>
      </c>
      <c r="K7" t="s">
        <v>336</v>
      </c>
      <c r="L7">
        <v>1368</v>
      </c>
      <c r="N7">
        <v>1011</v>
      </c>
      <c r="O7" t="s">
        <v>337</v>
      </c>
      <c r="P7" t="s">
        <v>337</v>
      </c>
      <c r="Q7">
        <v>1</v>
      </c>
      <c r="X7">
        <v>0.01</v>
      </c>
      <c r="Y7">
        <v>0</v>
      </c>
      <c r="Z7">
        <v>83.1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26</v>
      </c>
      <c r="AG7">
        <v>1.1000000000000001E-2</v>
      </c>
      <c r="AH7">
        <v>2</v>
      </c>
      <c r="AI7">
        <v>59213332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59213827</v>
      </c>
      <c r="C8">
        <v>59213330</v>
      </c>
      <c r="D8">
        <v>58340663</v>
      </c>
      <c r="E8">
        <v>1</v>
      </c>
      <c r="F8">
        <v>1</v>
      </c>
      <c r="G8">
        <v>1080</v>
      </c>
      <c r="H8">
        <v>2</v>
      </c>
      <c r="I8" t="s">
        <v>339</v>
      </c>
      <c r="J8" t="s">
        <v>340</v>
      </c>
      <c r="K8" t="s">
        <v>341</v>
      </c>
      <c r="L8">
        <v>1368</v>
      </c>
      <c r="N8">
        <v>1011</v>
      </c>
      <c r="O8" t="s">
        <v>337</v>
      </c>
      <c r="P8" t="s">
        <v>337</v>
      </c>
      <c r="Q8">
        <v>1</v>
      </c>
      <c r="X8">
        <v>0.57999999999999996</v>
      </c>
      <c r="Y8">
        <v>0</v>
      </c>
      <c r="Z8">
        <v>0.47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26</v>
      </c>
      <c r="AG8">
        <v>0.63800000000000001</v>
      </c>
      <c r="AH8">
        <v>2</v>
      </c>
      <c r="AI8">
        <v>59213333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59213828</v>
      </c>
      <c r="C9">
        <v>59213330</v>
      </c>
      <c r="D9">
        <v>58310460</v>
      </c>
      <c r="E9">
        <v>1</v>
      </c>
      <c r="F9">
        <v>1</v>
      </c>
      <c r="G9">
        <v>1080</v>
      </c>
      <c r="H9">
        <v>3</v>
      </c>
      <c r="I9" t="s">
        <v>342</v>
      </c>
      <c r="J9" t="s">
        <v>343</v>
      </c>
      <c r="K9" t="s">
        <v>344</v>
      </c>
      <c r="L9">
        <v>1348</v>
      </c>
      <c r="N9">
        <v>1009</v>
      </c>
      <c r="O9" t="s">
        <v>345</v>
      </c>
      <c r="P9" t="s">
        <v>345</v>
      </c>
      <c r="Q9">
        <v>1000</v>
      </c>
      <c r="X9">
        <v>9.0000000000000006E-5</v>
      </c>
      <c r="Y9">
        <v>14327.51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9.0000000000000006E-5</v>
      </c>
      <c r="AH9">
        <v>2</v>
      </c>
      <c r="AI9">
        <v>59213334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59213829</v>
      </c>
      <c r="C10">
        <v>59213330</v>
      </c>
      <c r="D10">
        <v>58288465</v>
      </c>
      <c r="E10">
        <v>1080</v>
      </c>
      <c r="F10">
        <v>1</v>
      </c>
      <c r="G10">
        <v>1080</v>
      </c>
      <c r="H10">
        <v>3</v>
      </c>
      <c r="I10" t="s">
        <v>461</v>
      </c>
      <c r="J10" t="s">
        <v>3</v>
      </c>
      <c r="K10" t="s">
        <v>462</v>
      </c>
      <c r="L10">
        <v>1358</v>
      </c>
      <c r="N10">
        <v>1010</v>
      </c>
      <c r="O10" t="s">
        <v>23</v>
      </c>
      <c r="P10" t="s">
        <v>23</v>
      </c>
      <c r="Q10">
        <v>10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25</v>
      </c>
      <c r="AG10">
        <v>1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59213830</v>
      </c>
      <c r="C11">
        <v>59213341</v>
      </c>
      <c r="D11">
        <v>58266404</v>
      </c>
      <c r="E11">
        <v>1080</v>
      </c>
      <c r="F11">
        <v>1</v>
      </c>
      <c r="G11">
        <v>1080</v>
      </c>
      <c r="H11">
        <v>1</v>
      </c>
      <c r="I11" t="s">
        <v>331</v>
      </c>
      <c r="J11" t="s">
        <v>3</v>
      </c>
      <c r="K11" t="s">
        <v>332</v>
      </c>
      <c r="L11">
        <v>1191</v>
      </c>
      <c r="N11">
        <v>1013</v>
      </c>
      <c r="O11" t="s">
        <v>333</v>
      </c>
      <c r="P11" t="s">
        <v>333</v>
      </c>
      <c r="Q11">
        <v>1</v>
      </c>
      <c r="X11">
        <v>3.3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26</v>
      </c>
      <c r="AG11">
        <v>3.63</v>
      </c>
      <c r="AH11">
        <v>2</v>
      </c>
      <c r="AI11">
        <v>59213342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59213830</v>
      </c>
      <c r="C12">
        <v>59213341</v>
      </c>
      <c r="D12">
        <v>58266404</v>
      </c>
      <c r="E12">
        <v>1080</v>
      </c>
      <c r="F12">
        <v>1</v>
      </c>
      <c r="G12">
        <v>1080</v>
      </c>
      <c r="H12">
        <v>1</v>
      </c>
      <c r="I12" t="s">
        <v>331</v>
      </c>
      <c r="J12" t="s">
        <v>3</v>
      </c>
      <c r="K12" t="s">
        <v>332</v>
      </c>
      <c r="L12">
        <v>1191</v>
      </c>
      <c r="N12">
        <v>1013</v>
      </c>
      <c r="O12" t="s">
        <v>333</v>
      </c>
      <c r="P12" t="s">
        <v>333</v>
      </c>
      <c r="Q12">
        <v>1</v>
      </c>
      <c r="X12">
        <v>3.3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26</v>
      </c>
      <c r="AG12">
        <v>3.63</v>
      </c>
      <c r="AH12">
        <v>2</v>
      </c>
      <c r="AI12">
        <v>59213342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ROW(Source!A36)</f>
        <v>36</v>
      </c>
      <c r="B13">
        <v>59213831</v>
      </c>
      <c r="C13">
        <v>59213345</v>
      </c>
      <c r="D13">
        <v>58266404</v>
      </c>
      <c r="E13">
        <v>1080</v>
      </c>
      <c r="F13">
        <v>1</v>
      </c>
      <c r="G13">
        <v>1080</v>
      </c>
      <c r="H13">
        <v>1</v>
      </c>
      <c r="I13" t="s">
        <v>331</v>
      </c>
      <c r="J13" t="s">
        <v>3</v>
      </c>
      <c r="K13" t="s">
        <v>332</v>
      </c>
      <c r="L13">
        <v>1191</v>
      </c>
      <c r="N13">
        <v>1013</v>
      </c>
      <c r="O13" t="s">
        <v>333</v>
      </c>
      <c r="P13" t="s">
        <v>333</v>
      </c>
      <c r="Q13">
        <v>1</v>
      </c>
      <c r="X13">
        <v>3.3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26</v>
      </c>
      <c r="AG13">
        <v>3.63</v>
      </c>
      <c r="AH13">
        <v>2</v>
      </c>
      <c r="AI13">
        <v>59213346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ROW(Source!A37)</f>
        <v>37</v>
      </c>
      <c r="B14">
        <v>59213831</v>
      </c>
      <c r="C14">
        <v>59213345</v>
      </c>
      <c r="D14">
        <v>58266404</v>
      </c>
      <c r="E14">
        <v>1080</v>
      </c>
      <c r="F14">
        <v>1</v>
      </c>
      <c r="G14">
        <v>1080</v>
      </c>
      <c r="H14">
        <v>1</v>
      </c>
      <c r="I14" t="s">
        <v>331</v>
      </c>
      <c r="J14" t="s">
        <v>3</v>
      </c>
      <c r="K14" t="s">
        <v>332</v>
      </c>
      <c r="L14">
        <v>1191</v>
      </c>
      <c r="N14">
        <v>1013</v>
      </c>
      <c r="O14" t="s">
        <v>333</v>
      </c>
      <c r="P14" t="s">
        <v>333</v>
      </c>
      <c r="Q14">
        <v>1</v>
      </c>
      <c r="X14">
        <v>3.3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26</v>
      </c>
      <c r="AG14">
        <v>3.63</v>
      </c>
      <c r="AH14">
        <v>2</v>
      </c>
      <c r="AI14">
        <v>59213346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ROW(Source!A40)</f>
        <v>40</v>
      </c>
      <c r="B15">
        <v>59213832</v>
      </c>
      <c r="C15">
        <v>59213349</v>
      </c>
      <c r="D15">
        <v>58266404</v>
      </c>
      <c r="E15">
        <v>1080</v>
      </c>
      <c r="F15">
        <v>1</v>
      </c>
      <c r="G15">
        <v>1080</v>
      </c>
      <c r="H15">
        <v>1</v>
      </c>
      <c r="I15" t="s">
        <v>331</v>
      </c>
      <c r="J15" t="s">
        <v>3</v>
      </c>
      <c r="K15" t="s">
        <v>332</v>
      </c>
      <c r="L15">
        <v>1191</v>
      </c>
      <c r="N15">
        <v>1013</v>
      </c>
      <c r="O15" t="s">
        <v>333</v>
      </c>
      <c r="P15" t="s">
        <v>333</v>
      </c>
      <c r="Q15">
        <v>1</v>
      </c>
      <c r="X15">
        <v>0.52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26</v>
      </c>
      <c r="AG15">
        <v>0.57200000000000006</v>
      </c>
      <c r="AH15">
        <v>2</v>
      </c>
      <c r="AI15">
        <v>59213350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ROW(Source!A40)</f>
        <v>40</v>
      </c>
      <c r="B16">
        <v>59213833</v>
      </c>
      <c r="C16">
        <v>59213349</v>
      </c>
      <c r="D16">
        <v>58340279</v>
      </c>
      <c r="E16">
        <v>1</v>
      </c>
      <c r="F16">
        <v>1</v>
      </c>
      <c r="G16">
        <v>1080</v>
      </c>
      <c r="H16">
        <v>2</v>
      </c>
      <c r="I16" t="s">
        <v>346</v>
      </c>
      <c r="J16" t="s">
        <v>347</v>
      </c>
      <c r="K16" t="s">
        <v>348</v>
      </c>
      <c r="L16">
        <v>1368</v>
      </c>
      <c r="N16">
        <v>1011</v>
      </c>
      <c r="O16" t="s">
        <v>337</v>
      </c>
      <c r="P16" t="s">
        <v>337</v>
      </c>
      <c r="Q16">
        <v>1</v>
      </c>
      <c r="X16">
        <v>0.08</v>
      </c>
      <c r="Y16">
        <v>0</v>
      </c>
      <c r="Z16">
        <v>7.11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26</v>
      </c>
      <c r="AG16">
        <v>8.8000000000000009E-2</v>
      </c>
      <c r="AH16">
        <v>2</v>
      </c>
      <c r="AI16">
        <v>59213351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ROW(Source!A40)</f>
        <v>40</v>
      </c>
      <c r="B17">
        <v>59213834</v>
      </c>
      <c r="C17">
        <v>59213349</v>
      </c>
      <c r="D17">
        <v>58340311</v>
      </c>
      <c r="E17">
        <v>1</v>
      </c>
      <c r="F17">
        <v>1</v>
      </c>
      <c r="G17">
        <v>1080</v>
      </c>
      <c r="H17">
        <v>2</v>
      </c>
      <c r="I17" t="s">
        <v>349</v>
      </c>
      <c r="J17" t="s">
        <v>350</v>
      </c>
      <c r="K17" t="s">
        <v>351</v>
      </c>
      <c r="L17">
        <v>1368</v>
      </c>
      <c r="N17">
        <v>1011</v>
      </c>
      <c r="O17" t="s">
        <v>337</v>
      </c>
      <c r="P17" t="s">
        <v>337</v>
      </c>
      <c r="Q17">
        <v>1</v>
      </c>
      <c r="X17">
        <v>3.4000000000000002E-2</v>
      </c>
      <c r="Y17">
        <v>0</v>
      </c>
      <c r="Z17">
        <v>0.46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26</v>
      </c>
      <c r="AG17">
        <v>3.7400000000000003E-2</v>
      </c>
      <c r="AH17">
        <v>2</v>
      </c>
      <c r="AI17">
        <v>59213352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ROW(Source!A40)</f>
        <v>40</v>
      </c>
      <c r="B18">
        <v>59213835</v>
      </c>
      <c r="C18">
        <v>59213349</v>
      </c>
      <c r="D18">
        <v>58340578</v>
      </c>
      <c r="E18">
        <v>1</v>
      </c>
      <c r="F18">
        <v>1</v>
      </c>
      <c r="G18">
        <v>1080</v>
      </c>
      <c r="H18">
        <v>2</v>
      </c>
      <c r="I18" t="s">
        <v>334</v>
      </c>
      <c r="J18" t="s">
        <v>335</v>
      </c>
      <c r="K18" t="s">
        <v>336</v>
      </c>
      <c r="L18">
        <v>1368</v>
      </c>
      <c r="N18">
        <v>1011</v>
      </c>
      <c r="O18" t="s">
        <v>337</v>
      </c>
      <c r="P18" t="s">
        <v>337</v>
      </c>
      <c r="Q18">
        <v>1</v>
      </c>
      <c r="X18">
        <v>1E-3</v>
      </c>
      <c r="Y18">
        <v>0</v>
      </c>
      <c r="Z18">
        <v>83.1</v>
      </c>
      <c r="AA18">
        <v>12.62</v>
      </c>
      <c r="AB18">
        <v>0</v>
      </c>
      <c r="AC18">
        <v>0</v>
      </c>
      <c r="AD18">
        <v>1</v>
      </c>
      <c r="AE18">
        <v>0</v>
      </c>
      <c r="AF18" t="s">
        <v>26</v>
      </c>
      <c r="AG18">
        <v>1.1000000000000001E-3</v>
      </c>
      <c r="AH18">
        <v>2</v>
      </c>
      <c r="AI18">
        <v>59213353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ROW(Source!A40)</f>
        <v>40</v>
      </c>
      <c r="B19">
        <v>59213836</v>
      </c>
      <c r="C19">
        <v>59213349</v>
      </c>
      <c r="D19">
        <v>58340652</v>
      </c>
      <c r="E19">
        <v>1</v>
      </c>
      <c r="F19">
        <v>1</v>
      </c>
      <c r="G19">
        <v>1080</v>
      </c>
      <c r="H19">
        <v>2</v>
      </c>
      <c r="I19" t="s">
        <v>352</v>
      </c>
      <c r="J19" t="s">
        <v>353</v>
      </c>
      <c r="K19" t="s">
        <v>354</v>
      </c>
      <c r="L19">
        <v>1368</v>
      </c>
      <c r="N19">
        <v>1011</v>
      </c>
      <c r="O19" t="s">
        <v>337</v>
      </c>
      <c r="P19" t="s">
        <v>337</v>
      </c>
      <c r="Q19">
        <v>1</v>
      </c>
      <c r="X19">
        <v>1.4999999999999999E-2</v>
      </c>
      <c r="Y19">
        <v>0</v>
      </c>
      <c r="Z19">
        <v>0.78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26</v>
      </c>
      <c r="AG19">
        <v>1.6500000000000001E-2</v>
      </c>
      <c r="AH19">
        <v>2</v>
      </c>
      <c r="AI19">
        <v>59213354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ROW(Source!A40)</f>
        <v>40</v>
      </c>
      <c r="B20">
        <v>59213837</v>
      </c>
      <c r="C20">
        <v>59213349</v>
      </c>
      <c r="D20">
        <v>58340668</v>
      </c>
      <c r="E20">
        <v>1</v>
      </c>
      <c r="F20">
        <v>1</v>
      </c>
      <c r="G20">
        <v>1080</v>
      </c>
      <c r="H20">
        <v>2</v>
      </c>
      <c r="I20" t="s">
        <v>355</v>
      </c>
      <c r="J20" t="s">
        <v>356</v>
      </c>
      <c r="K20" t="s">
        <v>357</v>
      </c>
      <c r="L20">
        <v>1368</v>
      </c>
      <c r="N20">
        <v>1011</v>
      </c>
      <c r="O20" t="s">
        <v>337</v>
      </c>
      <c r="P20" t="s">
        <v>337</v>
      </c>
      <c r="Q20">
        <v>1</v>
      </c>
      <c r="X20">
        <v>1.4999999999999999E-2</v>
      </c>
      <c r="Y20">
        <v>0</v>
      </c>
      <c r="Z20">
        <v>2.59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26</v>
      </c>
      <c r="AG20">
        <v>1.6500000000000001E-2</v>
      </c>
      <c r="AH20">
        <v>2</v>
      </c>
      <c r="AI20">
        <v>59213355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ROW(Source!A40)</f>
        <v>40</v>
      </c>
      <c r="B21">
        <v>59213838</v>
      </c>
      <c r="C21">
        <v>59213349</v>
      </c>
      <c r="D21">
        <v>58340671</v>
      </c>
      <c r="E21">
        <v>1</v>
      </c>
      <c r="F21">
        <v>1</v>
      </c>
      <c r="G21">
        <v>1080</v>
      </c>
      <c r="H21">
        <v>2</v>
      </c>
      <c r="I21" t="s">
        <v>358</v>
      </c>
      <c r="J21" t="s">
        <v>359</v>
      </c>
      <c r="K21" t="s">
        <v>360</v>
      </c>
      <c r="L21">
        <v>1368</v>
      </c>
      <c r="N21">
        <v>1011</v>
      </c>
      <c r="O21" t="s">
        <v>337</v>
      </c>
      <c r="P21" t="s">
        <v>337</v>
      </c>
      <c r="Q21">
        <v>1</v>
      </c>
      <c r="X21">
        <v>1.4999999999999999E-2</v>
      </c>
      <c r="Y21">
        <v>0</v>
      </c>
      <c r="Z21">
        <v>17.41</v>
      </c>
      <c r="AA21">
        <v>11.18</v>
      </c>
      <c r="AB21">
        <v>0</v>
      </c>
      <c r="AC21">
        <v>0</v>
      </c>
      <c r="AD21">
        <v>1</v>
      </c>
      <c r="AE21">
        <v>0</v>
      </c>
      <c r="AF21" t="s">
        <v>26</v>
      </c>
      <c r="AG21">
        <v>1.6500000000000001E-2</v>
      </c>
      <c r="AH21">
        <v>2</v>
      </c>
      <c r="AI21">
        <v>59213356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ROW(Source!A40)</f>
        <v>40</v>
      </c>
      <c r="B22">
        <v>59213839</v>
      </c>
      <c r="C22">
        <v>59213349</v>
      </c>
      <c r="D22">
        <v>58340672</v>
      </c>
      <c r="E22">
        <v>1</v>
      </c>
      <c r="F22">
        <v>1</v>
      </c>
      <c r="G22">
        <v>1080</v>
      </c>
      <c r="H22">
        <v>2</v>
      </c>
      <c r="I22" t="s">
        <v>361</v>
      </c>
      <c r="J22" t="s">
        <v>362</v>
      </c>
      <c r="K22" t="s">
        <v>363</v>
      </c>
      <c r="L22">
        <v>1368</v>
      </c>
      <c r="N22">
        <v>1011</v>
      </c>
      <c r="O22" t="s">
        <v>337</v>
      </c>
      <c r="P22" t="s">
        <v>337</v>
      </c>
      <c r="Q22">
        <v>1</v>
      </c>
      <c r="X22">
        <v>1.4999999999999999E-2</v>
      </c>
      <c r="Y22">
        <v>0</v>
      </c>
      <c r="Z22">
        <v>52.3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26</v>
      </c>
      <c r="AG22">
        <v>1.6500000000000001E-2</v>
      </c>
      <c r="AH22">
        <v>2</v>
      </c>
      <c r="AI22">
        <v>59213357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ROW(Source!A40)</f>
        <v>40</v>
      </c>
      <c r="B23">
        <v>59213840</v>
      </c>
      <c r="C23">
        <v>59213349</v>
      </c>
      <c r="D23">
        <v>58309878</v>
      </c>
      <c r="E23">
        <v>1</v>
      </c>
      <c r="F23">
        <v>1</v>
      </c>
      <c r="G23">
        <v>1080</v>
      </c>
      <c r="H23">
        <v>3</v>
      </c>
      <c r="I23" t="s">
        <v>364</v>
      </c>
      <c r="J23" t="s">
        <v>365</v>
      </c>
      <c r="K23" t="s">
        <v>366</v>
      </c>
      <c r="L23">
        <v>1348</v>
      </c>
      <c r="N23">
        <v>1009</v>
      </c>
      <c r="O23" t="s">
        <v>345</v>
      </c>
      <c r="P23" t="s">
        <v>345</v>
      </c>
      <c r="Q23">
        <v>1000</v>
      </c>
      <c r="X23">
        <v>8.0000000000000007E-5</v>
      </c>
      <c r="Y23">
        <v>7185.82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25</v>
      </c>
      <c r="AG23">
        <v>8.0000000000000007E-5</v>
      </c>
      <c r="AH23">
        <v>2</v>
      </c>
      <c r="AI23">
        <v>59213358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ROW(Source!A40)</f>
        <v>40</v>
      </c>
      <c r="B24">
        <v>59213841</v>
      </c>
      <c r="C24">
        <v>59213349</v>
      </c>
      <c r="D24">
        <v>58308857</v>
      </c>
      <c r="E24">
        <v>1</v>
      </c>
      <c r="F24">
        <v>1</v>
      </c>
      <c r="G24">
        <v>1080</v>
      </c>
      <c r="H24">
        <v>3</v>
      </c>
      <c r="I24" t="s">
        <v>367</v>
      </c>
      <c r="J24" t="s">
        <v>368</v>
      </c>
      <c r="K24" t="s">
        <v>369</v>
      </c>
      <c r="L24">
        <v>1348</v>
      </c>
      <c r="N24">
        <v>1009</v>
      </c>
      <c r="O24" t="s">
        <v>345</v>
      </c>
      <c r="P24" t="s">
        <v>345</v>
      </c>
      <c r="Q24">
        <v>1000</v>
      </c>
      <c r="X24">
        <v>4.0000000000000003E-5</v>
      </c>
      <c r="Y24">
        <v>18653.07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25</v>
      </c>
      <c r="AG24">
        <v>4.0000000000000003E-5</v>
      </c>
      <c r="AH24">
        <v>2</v>
      </c>
      <c r="AI24">
        <v>59213359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ROW(Source!A40)</f>
        <v>40</v>
      </c>
      <c r="B25">
        <v>59213842</v>
      </c>
      <c r="C25">
        <v>59213349</v>
      </c>
      <c r="D25">
        <v>58308917</v>
      </c>
      <c r="E25">
        <v>1</v>
      </c>
      <c r="F25">
        <v>1</v>
      </c>
      <c r="G25">
        <v>1080</v>
      </c>
      <c r="H25">
        <v>3</v>
      </c>
      <c r="I25" t="s">
        <v>370</v>
      </c>
      <c r="J25" t="s">
        <v>371</v>
      </c>
      <c r="K25" t="s">
        <v>372</v>
      </c>
      <c r="L25">
        <v>1354</v>
      </c>
      <c r="N25">
        <v>1010</v>
      </c>
      <c r="O25" t="s">
        <v>34</v>
      </c>
      <c r="P25" t="s">
        <v>34</v>
      </c>
      <c r="Q25">
        <v>1</v>
      </c>
      <c r="X25">
        <v>2</v>
      </c>
      <c r="Y25">
        <v>0.89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25</v>
      </c>
      <c r="AG25">
        <v>2</v>
      </c>
      <c r="AH25">
        <v>2</v>
      </c>
      <c r="AI25">
        <v>59213360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ROW(Source!A40)</f>
        <v>40</v>
      </c>
      <c r="B26">
        <v>59213843</v>
      </c>
      <c r="C26">
        <v>59213349</v>
      </c>
      <c r="D26">
        <v>58311219</v>
      </c>
      <c r="E26">
        <v>1</v>
      </c>
      <c r="F26">
        <v>1</v>
      </c>
      <c r="G26">
        <v>1080</v>
      </c>
      <c r="H26">
        <v>3</v>
      </c>
      <c r="I26" t="s">
        <v>373</v>
      </c>
      <c r="J26" t="s">
        <v>374</v>
      </c>
      <c r="K26" t="s">
        <v>375</v>
      </c>
      <c r="L26">
        <v>1348</v>
      </c>
      <c r="N26">
        <v>1009</v>
      </c>
      <c r="O26" t="s">
        <v>345</v>
      </c>
      <c r="P26" t="s">
        <v>345</v>
      </c>
      <c r="Q26">
        <v>1000</v>
      </c>
      <c r="X26">
        <v>1.6900000000000001E-3</v>
      </c>
      <c r="Y26">
        <v>6810.19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1.6900000000000001E-3</v>
      </c>
      <c r="AH26">
        <v>2</v>
      </c>
      <c r="AI26">
        <v>59213361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ROW(Source!A40)</f>
        <v>40</v>
      </c>
      <c r="B27">
        <v>59213844</v>
      </c>
      <c r="C27">
        <v>59213349</v>
      </c>
      <c r="D27">
        <v>58311291</v>
      </c>
      <c r="E27">
        <v>1</v>
      </c>
      <c r="F27">
        <v>1</v>
      </c>
      <c r="G27">
        <v>1080</v>
      </c>
      <c r="H27">
        <v>3</v>
      </c>
      <c r="I27" t="s">
        <v>376</v>
      </c>
      <c r="J27" t="s">
        <v>377</v>
      </c>
      <c r="K27" t="s">
        <v>378</v>
      </c>
      <c r="L27">
        <v>1346</v>
      </c>
      <c r="N27">
        <v>1009</v>
      </c>
      <c r="O27" t="s">
        <v>244</v>
      </c>
      <c r="P27" t="s">
        <v>244</v>
      </c>
      <c r="Q27">
        <v>1</v>
      </c>
      <c r="X27">
        <v>0.05</v>
      </c>
      <c r="Y27">
        <v>35.090000000000003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25</v>
      </c>
      <c r="AG27">
        <v>0.05</v>
      </c>
      <c r="AH27">
        <v>2</v>
      </c>
      <c r="AI27">
        <v>59213362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ROW(Source!A40)</f>
        <v>40</v>
      </c>
      <c r="B28">
        <v>59213845</v>
      </c>
      <c r="C28">
        <v>59213349</v>
      </c>
      <c r="D28">
        <v>58309409</v>
      </c>
      <c r="E28">
        <v>1</v>
      </c>
      <c r="F28">
        <v>1</v>
      </c>
      <c r="G28">
        <v>1080</v>
      </c>
      <c r="H28">
        <v>3</v>
      </c>
      <c r="I28" t="s">
        <v>379</v>
      </c>
      <c r="J28" t="s">
        <v>380</v>
      </c>
      <c r="K28" t="s">
        <v>381</v>
      </c>
      <c r="L28">
        <v>1348</v>
      </c>
      <c r="N28">
        <v>1009</v>
      </c>
      <c r="O28" t="s">
        <v>345</v>
      </c>
      <c r="P28" t="s">
        <v>345</v>
      </c>
      <c r="Q28">
        <v>1000</v>
      </c>
      <c r="X28">
        <v>3.0000000000000001E-5</v>
      </c>
      <c r="Y28">
        <v>8582.42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3.0000000000000001E-5</v>
      </c>
      <c r="AH28">
        <v>2</v>
      </c>
      <c r="AI28">
        <v>59213363</v>
      </c>
      <c r="AJ28">
        <v>26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ROW(Source!A40)</f>
        <v>40</v>
      </c>
      <c r="B29">
        <v>59213846</v>
      </c>
      <c r="C29">
        <v>59213349</v>
      </c>
      <c r="D29">
        <v>58309413</v>
      </c>
      <c r="E29">
        <v>1</v>
      </c>
      <c r="F29">
        <v>1</v>
      </c>
      <c r="G29">
        <v>1080</v>
      </c>
      <c r="H29">
        <v>3</v>
      </c>
      <c r="I29" t="s">
        <v>382</v>
      </c>
      <c r="J29" t="s">
        <v>383</v>
      </c>
      <c r="K29" t="s">
        <v>384</v>
      </c>
      <c r="L29">
        <v>1348</v>
      </c>
      <c r="N29">
        <v>1009</v>
      </c>
      <c r="O29" t="s">
        <v>345</v>
      </c>
      <c r="P29" t="s">
        <v>345</v>
      </c>
      <c r="Q29">
        <v>1000</v>
      </c>
      <c r="X29">
        <v>3.0000000000000001E-6</v>
      </c>
      <c r="Y29">
        <v>12521.99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25</v>
      </c>
      <c r="AG29">
        <v>3.0000000000000001E-6</v>
      </c>
      <c r="AH29">
        <v>2</v>
      </c>
      <c r="AI29">
        <v>59213364</v>
      </c>
      <c r="AJ29">
        <v>27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ROW(Source!A40)</f>
        <v>40</v>
      </c>
      <c r="B30">
        <v>59213847</v>
      </c>
      <c r="C30">
        <v>59213349</v>
      </c>
      <c r="D30">
        <v>58332357</v>
      </c>
      <c r="E30">
        <v>1</v>
      </c>
      <c r="F30">
        <v>1</v>
      </c>
      <c r="G30">
        <v>1080</v>
      </c>
      <c r="H30">
        <v>3</v>
      </c>
      <c r="I30" t="s">
        <v>385</v>
      </c>
      <c r="J30" t="s">
        <v>386</v>
      </c>
      <c r="K30" t="s">
        <v>387</v>
      </c>
      <c r="L30">
        <v>1354</v>
      </c>
      <c r="N30">
        <v>1010</v>
      </c>
      <c r="O30" t="s">
        <v>34</v>
      </c>
      <c r="P30" t="s">
        <v>34</v>
      </c>
      <c r="Q30">
        <v>1</v>
      </c>
      <c r="X30">
        <v>0.47499999999999998</v>
      </c>
      <c r="Y30">
        <v>39.840000000000003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25</v>
      </c>
      <c r="AG30">
        <v>0.47499999999999998</v>
      </c>
      <c r="AH30">
        <v>2</v>
      </c>
      <c r="AI30">
        <v>59213365</v>
      </c>
      <c r="AJ30">
        <v>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ROW(Source!A40)</f>
        <v>40</v>
      </c>
      <c r="B31">
        <v>59213848</v>
      </c>
      <c r="C31">
        <v>59213349</v>
      </c>
      <c r="D31">
        <v>58263632</v>
      </c>
      <c r="E31">
        <v>1080</v>
      </c>
      <c r="F31">
        <v>1</v>
      </c>
      <c r="G31">
        <v>1080</v>
      </c>
      <c r="H31">
        <v>3</v>
      </c>
      <c r="I31" t="s">
        <v>463</v>
      </c>
      <c r="J31" t="s">
        <v>3</v>
      </c>
      <c r="K31" t="s">
        <v>464</v>
      </c>
      <c r="L31">
        <v>1346</v>
      </c>
      <c r="N31">
        <v>1009</v>
      </c>
      <c r="O31" t="s">
        <v>244</v>
      </c>
      <c r="P31" t="s">
        <v>244</v>
      </c>
      <c r="Q31">
        <v>1</v>
      </c>
      <c r="X31">
        <v>0.01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25</v>
      </c>
      <c r="AG31">
        <v>0.01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ROW(Source!A41)</f>
        <v>41</v>
      </c>
      <c r="B32">
        <v>59213832</v>
      </c>
      <c r="C32">
        <v>59213349</v>
      </c>
      <c r="D32">
        <v>58266404</v>
      </c>
      <c r="E32">
        <v>1080</v>
      </c>
      <c r="F32">
        <v>1</v>
      </c>
      <c r="G32">
        <v>1080</v>
      </c>
      <c r="H32">
        <v>1</v>
      </c>
      <c r="I32" t="s">
        <v>331</v>
      </c>
      <c r="J32" t="s">
        <v>3</v>
      </c>
      <c r="K32" t="s">
        <v>332</v>
      </c>
      <c r="L32">
        <v>1191</v>
      </c>
      <c r="N32">
        <v>1013</v>
      </c>
      <c r="O32" t="s">
        <v>333</v>
      </c>
      <c r="P32" t="s">
        <v>333</v>
      </c>
      <c r="Q32">
        <v>1</v>
      </c>
      <c r="X32">
        <v>0.52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26</v>
      </c>
      <c r="AG32">
        <v>0.57200000000000006</v>
      </c>
      <c r="AH32">
        <v>2</v>
      </c>
      <c r="AI32">
        <v>59213350</v>
      </c>
      <c r="AJ32">
        <v>29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ROW(Source!A41)</f>
        <v>41</v>
      </c>
      <c r="B33">
        <v>59213833</v>
      </c>
      <c r="C33">
        <v>59213349</v>
      </c>
      <c r="D33">
        <v>58340279</v>
      </c>
      <c r="E33">
        <v>1</v>
      </c>
      <c r="F33">
        <v>1</v>
      </c>
      <c r="G33">
        <v>1080</v>
      </c>
      <c r="H33">
        <v>2</v>
      </c>
      <c r="I33" t="s">
        <v>346</v>
      </c>
      <c r="J33" t="s">
        <v>347</v>
      </c>
      <c r="K33" t="s">
        <v>348</v>
      </c>
      <c r="L33">
        <v>1368</v>
      </c>
      <c r="N33">
        <v>1011</v>
      </c>
      <c r="O33" t="s">
        <v>337</v>
      </c>
      <c r="P33" t="s">
        <v>337</v>
      </c>
      <c r="Q33">
        <v>1</v>
      </c>
      <c r="X33">
        <v>0.08</v>
      </c>
      <c r="Y33">
        <v>0</v>
      </c>
      <c r="Z33">
        <v>7.11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26</v>
      </c>
      <c r="AG33">
        <v>8.8000000000000009E-2</v>
      </c>
      <c r="AH33">
        <v>2</v>
      </c>
      <c r="AI33">
        <v>59213351</v>
      </c>
      <c r="AJ33">
        <v>30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ROW(Source!A41)</f>
        <v>41</v>
      </c>
      <c r="B34">
        <v>59213834</v>
      </c>
      <c r="C34">
        <v>59213349</v>
      </c>
      <c r="D34">
        <v>58340311</v>
      </c>
      <c r="E34">
        <v>1</v>
      </c>
      <c r="F34">
        <v>1</v>
      </c>
      <c r="G34">
        <v>1080</v>
      </c>
      <c r="H34">
        <v>2</v>
      </c>
      <c r="I34" t="s">
        <v>349</v>
      </c>
      <c r="J34" t="s">
        <v>350</v>
      </c>
      <c r="K34" t="s">
        <v>351</v>
      </c>
      <c r="L34">
        <v>1368</v>
      </c>
      <c r="N34">
        <v>1011</v>
      </c>
      <c r="O34" t="s">
        <v>337</v>
      </c>
      <c r="P34" t="s">
        <v>337</v>
      </c>
      <c r="Q34">
        <v>1</v>
      </c>
      <c r="X34">
        <v>3.4000000000000002E-2</v>
      </c>
      <c r="Y34">
        <v>0</v>
      </c>
      <c r="Z34">
        <v>0.46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26</v>
      </c>
      <c r="AG34">
        <v>3.7400000000000003E-2</v>
      </c>
      <c r="AH34">
        <v>2</v>
      </c>
      <c r="AI34">
        <v>59213352</v>
      </c>
      <c r="AJ34">
        <v>31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ROW(Source!A41)</f>
        <v>41</v>
      </c>
      <c r="B35">
        <v>59213835</v>
      </c>
      <c r="C35">
        <v>59213349</v>
      </c>
      <c r="D35">
        <v>58340578</v>
      </c>
      <c r="E35">
        <v>1</v>
      </c>
      <c r="F35">
        <v>1</v>
      </c>
      <c r="G35">
        <v>1080</v>
      </c>
      <c r="H35">
        <v>2</v>
      </c>
      <c r="I35" t="s">
        <v>334</v>
      </c>
      <c r="J35" t="s">
        <v>335</v>
      </c>
      <c r="K35" t="s">
        <v>336</v>
      </c>
      <c r="L35">
        <v>1368</v>
      </c>
      <c r="N35">
        <v>1011</v>
      </c>
      <c r="O35" t="s">
        <v>337</v>
      </c>
      <c r="P35" t="s">
        <v>337</v>
      </c>
      <c r="Q35">
        <v>1</v>
      </c>
      <c r="X35">
        <v>1E-3</v>
      </c>
      <c r="Y35">
        <v>0</v>
      </c>
      <c r="Z35">
        <v>83.1</v>
      </c>
      <c r="AA35">
        <v>12.62</v>
      </c>
      <c r="AB35">
        <v>0</v>
      </c>
      <c r="AC35">
        <v>0</v>
      </c>
      <c r="AD35">
        <v>1</v>
      </c>
      <c r="AE35">
        <v>0</v>
      </c>
      <c r="AF35" t="s">
        <v>26</v>
      </c>
      <c r="AG35">
        <v>1.1000000000000001E-3</v>
      </c>
      <c r="AH35">
        <v>2</v>
      </c>
      <c r="AI35">
        <v>59213353</v>
      </c>
      <c r="AJ35">
        <v>32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ROW(Source!A41)</f>
        <v>41</v>
      </c>
      <c r="B36">
        <v>59213836</v>
      </c>
      <c r="C36">
        <v>59213349</v>
      </c>
      <c r="D36">
        <v>58340652</v>
      </c>
      <c r="E36">
        <v>1</v>
      </c>
      <c r="F36">
        <v>1</v>
      </c>
      <c r="G36">
        <v>1080</v>
      </c>
      <c r="H36">
        <v>2</v>
      </c>
      <c r="I36" t="s">
        <v>352</v>
      </c>
      <c r="J36" t="s">
        <v>353</v>
      </c>
      <c r="K36" t="s">
        <v>354</v>
      </c>
      <c r="L36">
        <v>1368</v>
      </c>
      <c r="N36">
        <v>1011</v>
      </c>
      <c r="O36" t="s">
        <v>337</v>
      </c>
      <c r="P36" t="s">
        <v>337</v>
      </c>
      <c r="Q36">
        <v>1</v>
      </c>
      <c r="X36">
        <v>1.4999999999999999E-2</v>
      </c>
      <c r="Y36">
        <v>0</v>
      </c>
      <c r="Z36">
        <v>0.78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26</v>
      </c>
      <c r="AG36">
        <v>1.6500000000000001E-2</v>
      </c>
      <c r="AH36">
        <v>2</v>
      </c>
      <c r="AI36">
        <v>59213354</v>
      </c>
      <c r="AJ36">
        <v>33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ROW(Source!A41)</f>
        <v>41</v>
      </c>
      <c r="B37">
        <v>59213837</v>
      </c>
      <c r="C37">
        <v>59213349</v>
      </c>
      <c r="D37">
        <v>58340668</v>
      </c>
      <c r="E37">
        <v>1</v>
      </c>
      <c r="F37">
        <v>1</v>
      </c>
      <c r="G37">
        <v>1080</v>
      </c>
      <c r="H37">
        <v>2</v>
      </c>
      <c r="I37" t="s">
        <v>355</v>
      </c>
      <c r="J37" t="s">
        <v>356</v>
      </c>
      <c r="K37" t="s">
        <v>357</v>
      </c>
      <c r="L37">
        <v>1368</v>
      </c>
      <c r="N37">
        <v>1011</v>
      </c>
      <c r="O37" t="s">
        <v>337</v>
      </c>
      <c r="P37" t="s">
        <v>337</v>
      </c>
      <c r="Q37">
        <v>1</v>
      </c>
      <c r="X37">
        <v>1.4999999999999999E-2</v>
      </c>
      <c r="Y37">
        <v>0</v>
      </c>
      <c r="Z37">
        <v>2.59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26</v>
      </c>
      <c r="AG37">
        <v>1.6500000000000001E-2</v>
      </c>
      <c r="AH37">
        <v>2</v>
      </c>
      <c r="AI37">
        <v>59213355</v>
      </c>
      <c r="AJ37">
        <v>34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ROW(Source!A41)</f>
        <v>41</v>
      </c>
      <c r="B38">
        <v>59213838</v>
      </c>
      <c r="C38">
        <v>59213349</v>
      </c>
      <c r="D38">
        <v>58340671</v>
      </c>
      <c r="E38">
        <v>1</v>
      </c>
      <c r="F38">
        <v>1</v>
      </c>
      <c r="G38">
        <v>1080</v>
      </c>
      <c r="H38">
        <v>2</v>
      </c>
      <c r="I38" t="s">
        <v>358</v>
      </c>
      <c r="J38" t="s">
        <v>359</v>
      </c>
      <c r="K38" t="s">
        <v>360</v>
      </c>
      <c r="L38">
        <v>1368</v>
      </c>
      <c r="N38">
        <v>1011</v>
      </c>
      <c r="O38" t="s">
        <v>337</v>
      </c>
      <c r="P38" t="s">
        <v>337</v>
      </c>
      <c r="Q38">
        <v>1</v>
      </c>
      <c r="X38">
        <v>1.4999999999999999E-2</v>
      </c>
      <c r="Y38">
        <v>0</v>
      </c>
      <c r="Z38">
        <v>17.41</v>
      </c>
      <c r="AA38">
        <v>11.18</v>
      </c>
      <c r="AB38">
        <v>0</v>
      </c>
      <c r="AC38">
        <v>0</v>
      </c>
      <c r="AD38">
        <v>1</v>
      </c>
      <c r="AE38">
        <v>0</v>
      </c>
      <c r="AF38" t="s">
        <v>26</v>
      </c>
      <c r="AG38">
        <v>1.6500000000000001E-2</v>
      </c>
      <c r="AH38">
        <v>2</v>
      </c>
      <c r="AI38">
        <v>59213356</v>
      </c>
      <c r="AJ38">
        <v>35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ROW(Source!A41)</f>
        <v>41</v>
      </c>
      <c r="B39">
        <v>59213839</v>
      </c>
      <c r="C39">
        <v>59213349</v>
      </c>
      <c r="D39">
        <v>58340672</v>
      </c>
      <c r="E39">
        <v>1</v>
      </c>
      <c r="F39">
        <v>1</v>
      </c>
      <c r="G39">
        <v>1080</v>
      </c>
      <c r="H39">
        <v>2</v>
      </c>
      <c r="I39" t="s">
        <v>361</v>
      </c>
      <c r="J39" t="s">
        <v>362</v>
      </c>
      <c r="K39" t="s">
        <v>363</v>
      </c>
      <c r="L39">
        <v>1368</v>
      </c>
      <c r="N39">
        <v>1011</v>
      </c>
      <c r="O39" t="s">
        <v>337</v>
      </c>
      <c r="P39" t="s">
        <v>337</v>
      </c>
      <c r="Q39">
        <v>1</v>
      </c>
      <c r="X39">
        <v>1.4999999999999999E-2</v>
      </c>
      <c r="Y39">
        <v>0</v>
      </c>
      <c r="Z39">
        <v>52.3</v>
      </c>
      <c r="AA39">
        <v>12.62</v>
      </c>
      <c r="AB39">
        <v>0</v>
      </c>
      <c r="AC39">
        <v>0</v>
      </c>
      <c r="AD39">
        <v>1</v>
      </c>
      <c r="AE39">
        <v>0</v>
      </c>
      <c r="AF39" t="s">
        <v>26</v>
      </c>
      <c r="AG39">
        <v>1.6500000000000001E-2</v>
      </c>
      <c r="AH39">
        <v>2</v>
      </c>
      <c r="AI39">
        <v>59213357</v>
      </c>
      <c r="AJ39">
        <v>36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ROW(Source!A41)</f>
        <v>41</v>
      </c>
      <c r="B40">
        <v>59213840</v>
      </c>
      <c r="C40">
        <v>59213349</v>
      </c>
      <c r="D40">
        <v>58309878</v>
      </c>
      <c r="E40">
        <v>1</v>
      </c>
      <c r="F40">
        <v>1</v>
      </c>
      <c r="G40">
        <v>1080</v>
      </c>
      <c r="H40">
        <v>3</v>
      </c>
      <c r="I40" t="s">
        <v>364</v>
      </c>
      <c r="J40" t="s">
        <v>365</v>
      </c>
      <c r="K40" t="s">
        <v>366</v>
      </c>
      <c r="L40">
        <v>1348</v>
      </c>
      <c r="N40">
        <v>1009</v>
      </c>
      <c r="O40" t="s">
        <v>345</v>
      </c>
      <c r="P40" t="s">
        <v>345</v>
      </c>
      <c r="Q40">
        <v>1000</v>
      </c>
      <c r="X40">
        <v>8.0000000000000007E-5</v>
      </c>
      <c r="Y40">
        <v>7185.82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25</v>
      </c>
      <c r="AG40">
        <v>8.0000000000000007E-5</v>
      </c>
      <c r="AH40">
        <v>2</v>
      </c>
      <c r="AI40">
        <v>59213358</v>
      </c>
      <c r="AJ40">
        <v>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ROW(Source!A41)</f>
        <v>41</v>
      </c>
      <c r="B41">
        <v>59213841</v>
      </c>
      <c r="C41">
        <v>59213349</v>
      </c>
      <c r="D41">
        <v>58308857</v>
      </c>
      <c r="E41">
        <v>1</v>
      </c>
      <c r="F41">
        <v>1</v>
      </c>
      <c r="G41">
        <v>1080</v>
      </c>
      <c r="H41">
        <v>3</v>
      </c>
      <c r="I41" t="s">
        <v>367</v>
      </c>
      <c r="J41" t="s">
        <v>368</v>
      </c>
      <c r="K41" t="s">
        <v>369</v>
      </c>
      <c r="L41">
        <v>1348</v>
      </c>
      <c r="N41">
        <v>1009</v>
      </c>
      <c r="O41" t="s">
        <v>345</v>
      </c>
      <c r="P41" t="s">
        <v>345</v>
      </c>
      <c r="Q41">
        <v>1000</v>
      </c>
      <c r="X41">
        <v>4.0000000000000003E-5</v>
      </c>
      <c r="Y41">
        <v>18653.07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25</v>
      </c>
      <c r="AG41">
        <v>4.0000000000000003E-5</v>
      </c>
      <c r="AH41">
        <v>2</v>
      </c>
      <c r="AI41">
        <v>59213359</v>
      </c>
      <c r="AJ41">
        <v>38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ROW(Source!A41)</f>
        <v>41</v>
      </c>
      <c r="B42">
        <v>59213842</v>
      </c>
      <c r="C42">
        <v>59213349</v>
      </c>
      <c r="D42">
        <v>58308917</v>
      </c>
      <c r="E42">
        <v>1</v>
      </c>
      <c r="F42">
        <v>1</v>
      </c>
      <c r="G42">
        <v>1080</v>
      </c>
      <c r="H42">
        <v>3</v>
      </c>
      <c r="I42" t="s">
        <v>370</v>
      </c>
      <c r="J42" t="s">
        <v>371</v>
      </c>
      <c r="K42" t="s">
        <v>372</v>
      </c>
      <c r="L42">
        <v>1354</v>
      </c>
      <c r="N42">
        <v>1010</v>
      </c>
      <c r="O42" t="s">
        <v>34</v>
      </c>
      <c r="P42" t="s">
        <v>34</v>
      </c>
      <c r="Q42">
        <v>1</v>
      </c>
      <c r="X42">
        <v>2</v>
      </c>
      <c r="Y42">
        <v>0.89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25</v>
      </c>
      <c r="AG42">
        <v>2</v>
      </c>
      <c r="AH42">
        <v>2</v>
      </c>
      <c r="AI42">
        <v>59213360</v>
      </c>
      <c r="AJ42">
        <v>39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ROW(Source!A41)</f>
        <v>41</v>
      </c>
      <c r="B43">
        <v>59213843</v>
      </c>
      <c r="C43">
        <v>59213349</v>
      </c>
      <c r="D43">
        <v>58311219</v>
      </c>
      <c r="E43">
        <v>1</v>
      </c>
      <c r="F43">
        <v>1</v>
      </c>
      <c r="G43">
        <v>1080</v>
      </c>
      <c r="H43">
        <v>3</v>
      </c>
      <c r="I43" t="s">
        <v>373</v>
      </c>
      <c r="J43" t="s">
        <v>374</v>
      </c>
      <c r="K43" t="s">
        <v>375</v>
      </c>
      <c r="L43">
        <v>1348</v>
      </c>
      <c r="N43">
        <v>1009</v>
      </c>
      <c r="O43" t="s">
        <v>345</v>
      </c>
      <c r="P43" t="s">
        <v>345</v>
      </c>
      <c r="Q43">
        <v>1000</v>
      </c>
      <c r="X43">
        <v>1.6900000000000001E-3</v>
      </c>
      <c r="Y43">
        <v>6810.19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25</v>
      </c>
      <c r="AG43">
        <v>1.6900000000000001E-3</v>
      </c>
      <c r="AH43">
        <v>2</v>
      </c>
      <c r="AI43">
        <v>59213361</v>
      </c>
      <c r="AJ43">
        <v>40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ROW(Source!A41)</f>
        <v>41</v>
      </c>
      <c r="B44">
        <v>59213844</v>
      </c>
      <c r="C44">
        <v>59213349</v>
      </c>
      <c r="D44">
        <v>58311291</v>
      </c>
      <c r="E44">
        <v>1</v>
      </c>
      <c r="F44">
        <v>1</v>
      </c>
      <c r="G44">
        <v>1080</v>
      </c>
      <c r="H44">
        <v>3</v>
      </c>
      <c r="I44" t="s">
        <v>376</v>
      </c>
      <c r="J44" t="s">
        <v>377</v>
      </c>
      <c r="K44" t="s">
        <v>378</v>
      </c>
      <c r="L44">
        <v>1346</v>
      </c>
      <c r="N44">
        <v>1009</v>
      </c>
      <c r="O44" t="s">
        <v>244</v>
      </c>
      <c r="P44" t="s">
        <v>244</v>
      </c>
      <c r="Q44">
        <v>1</v>
      </c>
      <c r="X44">
        <v>0.05</v>
      </c>
      <c r="Y44">
        <v>35.090000000000003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25</v>
      </c>
      <c r="AG44">
        <v>0.05</v>
      </c>
      <c r="AH44">
        <v>2</v>
      </c>
      <c r="AI44">
        <v>59213362</v>
      </c>
      <c r="AJ44">
        <v>41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ROW(Source!A41)</f>
        <v>41</v>
      </c>
      <c r="B45">
        <v>59213845</v>
      </c>
      <c r="C45">
        <v>59213349</v>
      </c>
      <c r="D45">
        <v>58309409</v>
      </c>
      <c r="E45">
        <v>1</v>
      </c>
      <c r="F45">
        <v>1</v>
      </c>
      <c r="G45">
        <v>1080</v>
      </c>
      <c r="H45">
        <v>3</v>
      </c>
      <c r="I45" t="s">
        <v>379</v>
      </c>
      <c r="J45" t="s">
        <v>380</v>
      </c>
      <c r="K45" t="s">
        <v>381</v>
      </c>
      <c r="L45">
        <v>1348</v>
      </c>
      <c r="N45">
        <v>1009</v>
      </c>
      <c r="O45" t="s">
        <v>345</v>
      </c>
      <c r="P45" t="s">
        <v>345</v>
      </c>
      <c r="Q45">
        <v>1000</v>
      </c>
      <c r="X45">
        <v>3.0000000000000001E-5</v>
      </c>
      <c r="Y45">
        <v>8582.42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25</v>
      </c>
      <c r="AG45">
        <v>3.0000000000000001E-5</v>
      </c>
      <c r="AH45">
        <v>2</v>
      </c>
      <c r="AI45">
        <v>59213363</v>
      </c>
      <c r="AJ45">
        <v>42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ROW(Source!A41)</f>
        <v>41</v>
      </c>
      <c r="B46">
        <v>59213846</v>
      </c>
      <c r="C46">
        <v>59213349</v>
      </c>
      <c r="D46">
        <v>58309413</v>
      </c>
      <c r="E46">
        <v>1</v>
      </c>
      <c r="F46">
        <v>1</v>
      </c>
      <c r="G46">
        <v>1080</v>
      </c>
      <c r="H46">
        <v>3</v>
      </c>
      <c r="I46" t="s">
        <v>382</v>
      </c>
      <c r="J46" t="s">
        <v>383</v>
      </c>
      <c r="K46" t="s">
        <v>384</v>
      </c>
      <c r="L46">
        <v>1348</v>
      </c>
      <c r="N46">
        <v>1009</v>
      </c>
      <c r="O46" t="s">
        <v>345</v>
      </c>
      <c r="P46" t="s">
        <v>345</v>
      </c>
      <c r="Q46">
        <v>1000</v>
      </c>
      <c r="X46">
        <v>3.0000000000000001E-6</v>
      </c>
      <c r="Y46">
        <v>12521.99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3.0000000000000001E-6</v>
      </c>
      <c r="AH46">
        <v>2</v>
      </c>
      <c r="AI46">
        <v>59213364</v>
      </c>
      <c r="AJ46">
        <v>43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ROW(Source!A41)</f>
        <v>41</v>
      </c>
      <c r="B47">
        <v>59213847</v>
      </c>
      <c r="C47">
        <v>59213349</v>
      </c>
      <c r="D47">
        <v>58332357</v>
      </c>
      <c r="E47">
        <v>1</v>
      </c>
      <c r="F47">
        <v>1</v>
      </c>
      <c r="G47">
        <v>1080</v>
      </c>
      <c r="H47">
        <v>3</v>
      </c>
      <c r="I47" t="s">
        <v>385</v>
      </c>
      <c r="J47" t="s">
        <v>386</v>
      </c>
      <c r="K47" t="s">
        <v>387</v>
      </c>
      <c r="L47">
        <v>1354</v>
      </c>
      <c r="N47">
        <v>1010</v>
      </c>
      <c r="O47" t="s">
        <v>34</v>
      </c>
      <c r="P47" t="s">
        <v>34</v>
      </c>
      <c r="Q47">
        <v>1</v>
      </c>
      <c r="X47">
        <v>0.47499999999999998</v>
      </c>
      <c r="Y47">
        <v>39.840000000000003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0.47499999999999998</v>
      </c>
      <c r="AH47">
        <v>2</v>
      </c>
      <c r="AI47">
        <v>59213365</v>
      </c>
      <c r="AJ47">
        <v>44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ROW(Source!A41)</f>
        <v>41</v>
      </c>
      <c r="B48">
        <v>59213848</v>
      </c>
      <c r="C48">
        <v>59213349</v>
      </c>
      <c r="D48">
        <v>58263632</v>
      </c>
      <c r="E48">
        <v>1080</v>
      </c>
      <c r="F48">
        <v>1</v>
      </c>
      <c r="G48">
        <v>1080</v>
      </c>
      <c r="H48">
        <v>3</v>
      </c>
      <c r="I48" t="s">
        <v>463</v>
      </c>
      <c r="J48" t="s">
        <v>3</v>
      </c>
      <c r="K48" t="s">
        <v>464</v>
      </c>
      <c r="L48">
        <v>1346</v>
      </c>
      <c r="N48">
        <v>1009</v>
      </c>
      <c r="O48" t="s">
        <v>244</v>
      </c>
      <c r="P48" t="s">
        <v>244</v>
      </c>
      <c r="Q48">
        <v>1</v>
      </c>
      <c r="X48">
        <v>0.01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25</v>
      </c>
      <c r="AG48">
        <v>0.01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ROW(Source!A44)</f>
        <v>44</v>
      </c>
      <c r="B49">
        <v>59213849</v>
      </c>
      <c r="C49">
        <v>59213384</v>
      </c>
      <c r="D49">
        <v>58266404</v>
      </c>
      <c r="E49">
        <v>1080</v>
      </c>
      <c r="F49">
        <v>1</v>
      </c>
      <c r="G49">
        <v>1080</v>
      </c>
      <c r="H49">
        <v>1</v>
      </c>
      <c r="I49" t="s">
        <v>331</v>
      </c>
      <c r="J49" t="s">
        <v>3</v>
      </c>
      <c r="K49" t="s">
        <v>332</v>
      </c>
      <c r="L49">
        <v>1191</v>
      </c>
      <c r="N49">
        <v>1013</v>
      </c>
      <c r="O49" t="s">
        <v>333</v>
      </c>
      <c r="P49" t="s">
        <v>333</v>
      </c>
      <c r="Q49">
        <v>1</v>
      </c>
      <c r="X49">
        <v>0.84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26</v>
      </c>
      <c r="AG49">
        <v>0.92400000000000004</v>
      </c>
      <c r="AH49">
        <v>2</v>
      </c>
      <c r="AI49">
        <v>59213385</v>
      </c>
      <c r="AJ49">
        <v>45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ROW(Source!A45)</f>
        <v>45</v>
      </c>
      <c r="B50">
        <v>59213849</v>
      </c>
      <c r="C50">
        <v>59213384</v>
      </c>
      <c r="D50">
        <v>58266404</v>
      </c>
      <c r="E50">
        <v>1080</v>
      </c>
      <c r="F50">
        <v>1</v>
      </c>
      <c r="G50">
        <v>1080</v>
      </c>
      <c r="H50">
        <v>1</v>
      </c>
      <c r="I50" t="s">
        <v>331</v>
      </c>
      <c r="J50" t="s">
        <v>3</v>
      </c>
      <c r="K50" t="s">
        <v>332</v>
      </c>
      <c r="L50">
        <v>1191</v>
      </c>
      <c r="N50">
        <v>1013</v>
      </c>
      <c r="O50" t="s">
        <v>333</v>
      </c>
      <c r="P50" t="s">
        <v>333</v>
      </c>
      <c r="Q50">
        <v>1</v>
      </c>
      <c r="X50">
        <v>0.84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26</v>
      </c>
      <c r="AG50">
        <v>0.92400000000000004</v>
      </c>
      <c r="AH50">
        <v>2</v>
      </c>
      <c r="AI50">
        <v>59213385</v>
      </c>
      <c r="AJ50">
        <v>46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ROW(Source!A50)</f>
        <v>50</v>
      </c>
      <c r="B51">
        <v>59213850</v>
      </c>
      <c r="C51">
        <v>59213389</v>
      </c>
      <c r="D51">
        <v>58266404</v>
      </c>
      <c r="E51">
        <v>1080</v>
      </c>
      <c r="F51">
        <v>1</v>
      </c>
      <c r="G51">
        <v>1080</v>
      </c>
      <c r="H51">
        <v>1</v>
      </c>
      <c r="I51" t="s">
        <v>331</v>
      </c>
      <c r="J51" t="s">
        <v>3</v>
      </c>
      <c r="K51" t="s">
        <v>332</v>
      </c>
      <c r="L51">
        <v>1191</v>
      </c>
      <c r="N51">
        <v>1013</v>
      </c>
      <c r="O51" t="s">
        <v>333</v>
      </c>
      <c r="P51" t="s">
        <v>333</v>
      </c>
      <c r="Q51">
        <v>1</v>
      </c>
      <c r="X51">
        <v>14.64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26</v>
      </c>
      <c r="AG51">
        <v>16.104000000000003</v>
      </c>
      <c r="AH51">
        <v>2</v>
      </c>
      <c r="AI51">
        <v>59213390</v>
      </c>
      <c r="AJ51">
        <v>47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ROW(Source!A50)</f>
        <v>50</v>
      </c>
      <c r="B52">
        <v>59213851</v>
      </c>
      <c r="C52">
        <v>59213389</v>
      </c>
      <c r="D52">
        <v>58340578</v>
      </c>
      <c r="E52">
        <v>1</v>
      </c>
      <c r="F52">
        <v>1</v>
      </c>
      <c r="G52">
        <v>1080</v>
      </c>
      <c r="H52">
        <v>2</v>
      </c>
      <c r="I52" t="s">
        <v>334</v>
      </c>
      <c r="J52" t="s">
        <v>335</v>
      </c>
      <c r="K52" t="s">
        <v>336</v>
      </c>
      <c r="L52">
        <v>1368</v>
      </c>
      <c r="N52">
        <v>1011</v>
      </c>
      <c r="O52" t="s">
        <v>337</v>
      </c>
      <c r="P52" t="s">
        <v>337</v>
      </c>
      <c r="Q52">
        <v>1</v>
      </c>
      <c r="X52">
        <v>0.06</v>
      </c>
      <c r="Y52">
        <v>0</v>
      </c>
      <c r="Z52">
        <v>83.1</v>
      </c>
      <c r="AA52">
        <v>12.62</v>
      </c>
      <c r="AB52">
        <v>0</v>
      </c>
      <c r="AC52">
        <v>0</v>
      </c>
      <c r="AD52">
        <v>1</v>
      </c>
      <c r="AE52">
        <v>0</v>
      </c>
      <c r="AF52" t="s">
        <v>26</v>
      </c>
      <c r="AG52">
        <v>6.6000000000000003E-2</v>
      </c>
      <c r="AH52">
        <v>2</v>
      </c>
      <c r="AI52">
        <v>59213391</v>
      </c>
      <c r="AJ52">
        <v>48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ROW(Source!A50)</f>
        <v>50</v>
      </c>
      <c r="B53">
        <v>59213852</v>
      </c>
      <c r="C53">
        <v>59213389</v>
      </c>
      <c r="D53">
        <v>58340697</v>
      </c>
      <c r="E53">
        <v>1</v>
      </c>
      <c r="F53">
        <v>1</v>
      </c>
      <c r="G53">
        <v>1080</v>
      </c>
      <c r="H53">
        <v>2</v>
      </c>
      <c r="I53" t="s">
        <v>388</v>
      </c>
      <c r="J53" t="s">
        <v>389</v>
      </c>
      <c r="K53" t="s">
        <v>390</v>
      </c>
      <c r="L53">
        <v>1368</v>
      </c>
      <c r="N53">
        <v>1011</v>
      </c>
      <c r="O53" t="s">
        <v>337</v>
      </c>
      <c r="P53" t="s">
        <v>337</v>
      </c>
      <c r="Q53">
        <v>1</v>
      </c>
      <c r="X53">
        <v>0.81</v>
      </c>
      <c r="Y53">
        <v>0</v>
      </c>
      <c r="Z53">
        <v>0.8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26</v>
      </c>
      <c r="AG53">
        <v>0.89100000000000013</v>
      </c>
      <c r="AH53">
        <v>2</v>
      </c>
      <c r="AI53">
        <v>59213392</v>
      </c>
      <c r="AJ53">
        <v>49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ROW(Source!A50)</f>
        <v>50</v>
      </c>
      <c r="B54">
        <v>59213853</v>
      </c>
      <c r="C54">
        <v>59213389</v>
      </c>
      <c r="D54">
        <v>58340663</v>
      </c>
      <c r="E54">
        <v>1</v>
      </c>
      <c r="F54">
        <v>1</v>
      </c>
      <c r="G54">
        <v>1080</v>
      </c>
      <c r="H54">
        <v>2</v>
      </c>
      <c r="I54" t="s">
        <v>339</v>
      </c>
      <c r="J54" t="s">
        <v>340</v>
      </c>
      <c r="K54" t="s">
        <v>341</v>
      </c>
      <c r="L54">
        <v>1368</v>
      </c>
      <c r="N54">
        <v>1011</v>
      </c>
      <c r="O54" t="s">
        <v>337</v>
      </c>
      <c r="P54" t="s">
        <v>337</v>
      </c>
      <c r="Q54">
        <v>1</v>
      </c>
      <c r="X54">
        <v>0.93</v>
      </c>
      <c r="Y54">
        <v>0</v>
      </c>
      <c r="Z54">
        <v>0.47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26</v>
      </c>
      <c r="AG54">
        <v>1.0230000000000001</v>
      </c>
      <c r="AH54">
        <v>2</v>
      </c>
      <c r="AI54">
        <v>59213393</v>
      </c>
      <c r="AJ54">
        <v>50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ROW(Source!A50)</f>
        <v>50</v>
      </c>
      <c r="B55">
        <v>59213854</v>
      </c>
      <c r="C55">
        <v>59213389</v>
      </c>
      <c r="D55">
        <v>58310460</v>
      </c>
      <c r="E55">
        <v>1</v>
      </c>
      <c r="F55">
        <v>1</v>
      </c>
      <c r="G55">
        <v>1080</v>
      </c>
      <c r="H55">
        <v>3</v>
      </c>
      <c r="I55" t="s">
        <v>342</v>
      </c>
      <c r="J55" t="s">
        <v>343</v>
      </c>
      <c r="K55" t="s">
        <v>344</v>
      </c>
      <c r="L55">
        <v>1348</v>
      </c>
      <c r="N55">
        <v>1009</v>
      </c>
      <c r="O55" t="s">
        <v>345</v>
      </c>
      <c r="P55" t="s">
        <v>345</v>
      </c>
      <c r="Q55">
        <v>1000</v>
      </c>
      <c r="X55">
        <v>1.7000000000000001E-4</v>
      </c>
      <c r="Y55">
        <v>14327.51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25</v>
      </c>
      <c r="AG55">
        <v>1.7000000000000001E-4</v>
      </c>
      <c r="AH55">
        <v>2</v>
      </c>
      <c r="AI55">
        <v>59213394</v>
      </c>
      <c r="AJ55">
        <v>51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ROW(Source!A50)</f>
        <v>50</v>
      </c>
      <c r="B56">
        <v>59213855</v>
      </c>
      <c r="C56">
        <v>59213389</v>
      </c>
      <c r="D56">
        <v>58288462</v>
      </c>
      <c r="E56">
        <v>1080</v>
      </c>
      <c r="F56">
        <v>1</v>
      </c>
      <c r="G56">
        <v>1080</v>
      </c>
      <c r="H56">
        <v>3</v>
      </c>
      <c r="I56" t="s">
        <v>465</v>
      </c>
      <c r="J56" t="s">
        <v>3</v>
      </c>
      <c r="K56" t="s">
        <v>466</v>
      </c>
      <c r="L56">
        <v>1358</v>
      </c>
      <c r="N56">
        <v>1010</v>
      </c>
      <c r="O56" t="s">
        <v>23</v>
      </c>
      <c r="P56" t="s">
        <v>23</v>
      </c>
      <c r="Q56">
        <v>10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25</v>
      </c>
      <c r="AG56">
        <v>1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ROW(Source!A51)</f>
        <v>51</v>
      </c>
      <c r="B57">
        <v>59213850</v>
      </c>
      <c r="C57">
        <v>59213389</v>
      </c>
      <c r="D57">
        <v>58266404</v>
      </c>
      <c r="E57">
        <v>1080</v>
      </c>
      <c r="F57">
        <v>1</v>
      </c>
      <c r="G57">
        <v>1080</v>
      </c>
      <c r="H57">
        <v>1</v>
      </c>
      <c r="I57" t="s">
        <v>331</v>
      </c>
      <c r="J57" t="s">
        <v>3</v>
      </c>
      <c r="K57" t="s">
        <v>332</v>
      </c>
      <c r="L57">
        <v>1191</v>
      </c>
      <c r="N57">
        <v>1013</v>
      </c>
      <c r="O57" t="s">
        <v>333</v>
      </c>
      <c r="P57" t="s">
        <v>333</v>
      </c>
      <c r="Q57">
        <v>1</v>
      </c>
      <c r="X57">
        <v>14.64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26</v>
      </c>
      <c r="AG57">
        <v>16.104000000000003</v>
      </c>
      <c r="AH57">
        <v>2</v>
      </c>
      <c r="AI57">
        <v>59213390</v>
      </c>
      <c r="AJ57">
        <v>52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ROW(Source!A51)</f>
        <v>51</v>
      </c>
      <c r="B58">
        <v>59213851</v>
      </c>
      <c r="C58">
        <v>59213389</v>
      </c>
      <c r="D58">
        <v>58340578</v>
      </c>
      <c r="E58">
        <v>1</v>
      </c>
      <c r="F58">
        <v>1</v>
      </c>
      <c r="G58">
        <v>1080</v>
      </c>
      <c r="H58">
        <v>2</v>
      </c>
      <c r="I58" t="s">
        <v>334</v>
      </c>
      <c r="J58" t="s">
        <v>335</v>
      </c>
      <c r="K58" t="s">
        <v>336</v>
      </c>
      <c r="L58">
        <v>1368</v>
      </c>
      <c r="N58">
        <v>1011</v>
      </c>
      <c r="O58" t="s">
        <v>337</v>
      </c>
      <c r="P58" t="s">
        <v>337</v>
      </c>
      <c r="Q58">
        <v>1</v>
      </c>
      <c r="X58">
        <v>0.06</v>
      </c>
      <c r="Y58">
        <v>0</v>
      </c>
      <c r="Z58">
        <v>83.1</v>
      </c>
      <c r="AA58">
        <v>12.62</v>
      </c>
      <c r="AB58">
        <v>0</v>
      </c>
      <c r="AC58">
        <v>0</v>
      </c>
      <c r="AD58">
        <v>1</v>
      </c>
      <c r="AE58">
        <v>0</v>
      </c>
      <c r="AF58" t="s">
        <v>26</v>
      </c>
      <c r="AG58">
        <v>6.6000000000000003E-2</v>
      </c>
      <c r="AH58">
        <v>2</v>
      </c>
      <c r="AI58">
        <v>59213391</v>
      </c>
      <c r="AJ58">
        <v>53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ROW(Source!A51)</f>
        <v>51</v>
      </c>
      <c r="B59">
        <v>59213852</v>
      </c>
      <c r="C59">
        <v>59213389</v>
      </c>
      <c r="D59">
        <v>58340697</v>
      </c>
      <c r="E59">
        <v>1</v>
      </c>
      <c r="F59">
        <v>1</v>
      </c>
      <c r="G59">
        <v>1080</v>
      </c>
      <c r="H59">
        <v>2</v>
      </c>
      <c r="I59" t="s">
        <v>388</v>
      </c>
      <c r="J59" t="s">
        <v>389</v>
      </c>
      <c r="K59" t="s">
        <v>390</v>
      </c>
      <c r="L59">
        <v>1368</v>
      </c>
      <c r="N59">
        <v>1011</v>
      </c>
      <c r="O59" t="s">
        <v>337</v>
      </c>
      <c r="P59" t="s">
        <v>337</v>
      </c>
      <c r="Q59">
        <v>1</v>
      </c>
      <c r="X59">
        <v>0.81</v>
      </c>
      <c r="Y59">
        <v>0</v>
      </c>
      <c r="Z59">
        <v>0.8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26</v>
      </c>
      <c r="AG59">
        <v>0.89100000000000013</v>
      </c>
      <c r="AH59">
        <v>2</v>
      </c>
      <c r="AI59">
        <v>59213392</v>
      </c>
      <c r="AJ59">
        <v>54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ROW(Source!A51)</f>
        <v>51</v>
      </c>
      <c r="B60">
        <v>59213853</v>
      </c>
      <c r="C60">
        <v>59213389</v>
      </c>
      <c r="D60">
        <v>58340663</v>
      </c>
      <c r="E60">
        <v>1</v>
      </c>
      <c r="F60">
        <v>1</v>
      </c>
      <c r="G60">
        <v>1080</v>
      </c>
      <c r="H60">
        <v>2</v>
      </c>
      <c r="I60" t="s">
        <v>339</v>
      </c>
      <c r="J60" t="s">
        <v>340</v>
      </c>
      <c r="K60" t="s">
        <v>341</v>
      </c>
      <c r="L60">
        <v>1368</v>
      </c>
      <c r="N60">
        <v>1011</v>
      </c>
      <c r="O60" t="s">
        <v>337</v>
      </c>
      <c r="P60" t="s">
        <v>337</v>
      </c>
      <c r="Q60">
        <v>1</v>
      </c>
      <c r="X60">
        <v>0.93</v>
      </c>
      <c r="Y60">
        <v>0</v>
      </c>
      <c r="Z60">
        <v>0.47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26</v>
      </c>
      <c r="AG60">
        <v>1.0230000000000001</v>
      </c>
      <c r="AH60">
        <v>2</v>
      </c>
      <c r="AI60">
        <v>59213393</v>
      </c>
      <c r="AJ60">
        <v>55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ROW(Source!A51)</f>
        <v>51</v>
      </c>
      <c r="B61">
        <v>59213854</v>
      </c>
      <c r="C61">
        <v>59213389</v>
      </c>
      <c r="D61">
        <v>58310460</v>
      </c>
      <c r="E61">
        <v>1</v>
      </c>
      <c r="F61">
        <v>1</v>
      </c>
      <c r="G61">
        <v>1080</v>
      </c>
      <c r="H61">
        <v>3</v>
      </c>
      <c r="I61" t="s">
        <v>342</v>
      </c>
      <c r="J61" t="s">
        <v>343</v>
      </c>
      <c r="K61" t="s">
        <v>344</v>
      </c>
      <c r="L61">
        <v>1348</v>
      </c>
      <c r="N61">
        <v>1009</v>
      </c>
      <c r="O61" t="s">
        <v>345</v>
      </c>
      <c r="P61" t="s">
        <v>345</v>
      </c>
      <c r="Q61">
        <v>1000</v>
      </c>
      <c r="X61">
        <v>1.7000000000000001E-4</v>
      </c>
      <c r="Y61">
        <v>14327.51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25</v>
      </c>
      <c r="AG61">
        <v>1.7000000000000001E-4</v>
      </c>
      <c r="AH61">
        <v>2</v>
      </c>
      <c r="AI61">
        <v>59213394</v>
      </c>
      <c r="AJ61">
        <v>56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ROW(Source!A51)</f>
        <v>51</v>
      </c>
      <c r="B62">
        <v>59213855</v>
      </c>
      <c r="C62">
        <v>59213389</v>
      </c>
      <c r="D62">
        <v>58288462</v>
      </c>
      <c r="E62">
        <v>1080</v>
      </c>
      <c r="F62">
        <v>1</v>
      </c>
      <c r="G62">
        <v>1080</v>
      </c>
      <c r="H62">
        <v>3</v>
      </c>
      <c r="I62" t="s">
        <v>465</v>
      </c>
      <c r="J62" t="s">
        <v>3</v>
      </c>
      <c r="K62" t="s">
        <v>466</v>
      </c>
      <c r="L62">
        <v>1358</v>
      </c>
      <c r="N62">
        <v>1010</v>
      </c>
      <c r="O62" t="s">
        <v>23</v>
      </c>
      <c r="P62" t="s">
        <v>23</v>
      </c>
      <c r="Q62">
        <v>10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25</v>
      </c>
      <c r="AG62">
        <v>1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ROW(Source!A54)</f>
        <v>54</v>
      </c>
      <c r="B63">
        <v>59213856</v>
      </c>
      <c r="C63">
        <v>59213402</v>
      </c>
      <c r="D63">
        <v>58266404</v>
      </c>
      <c r="E63">
        <v>1080</v>
      </c>
      <c r="F63">
        <v>1</v>
      </c>
      <c r="G63">
        <v>1080</v>
      </c>
      <c r="H63">
        <v>1</v>
      </c>
      <c r="I63" t="s">
        <v>331</v>
      </c>
      <c r="J63" t="s">
        <v>3</v>
      </c>
      <c r="K63" t="s">
        <v>332</v>
      </c>
      <c r="L63">
        <v>1191</v>
      </c>
      <c r="N63">
        <v>1013</v>
      </c>
      <c r="O63" t="s">
        <v>333</v>
      </c>
      <c r="P63" t="s">
        <v>333</v>
      </c>
      <c r="Q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26</v>
      </c>
      <c r="AG63">
        <v>1.1000000000000001</v>
      </c>
      <c r="AH63">
        <v>2</v>
      </c>
      <c r="AI63">
        <v>59213403</v>
      </c>
      <c r="AJ63">
        <v>57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ROW(Source!A54)</f>
        <v>54</v>
      </c>
      <c r="B64">
        <v>59213857</v>
      </c>
      <c r="C64">
        <v>59213402</v>
      </c>
      <c r="D64">
        <v>58309371</v>
      </c>
      <c r="E64">
        <v>1</v>
      </c>
      <c r="F64">
        <v>1</v>
      </c>
      <c r="G64">
        <v>1080</v>
      </c>
      <c r="H64">
        <v>3</v>
      </c>
      <c r="I64" t="s">
        <v>391</v>
      </c>
      <c r="J64" t="s">
        <v>392</v>
      </c>
      <c r="K64" t="s">
        <v>393</v>
      </c>
      <c r="L64">
        <v>1348</v>
      </c>
      <c r="N64">
        <v>1009</v>
      </c>
      <c r="O64" t="s">
        <v>345</v>
      </c>
      <c r="P64" t="s">
        <v>345</v>
      </c>
      <c r="Q64">
        <v>1000</v>
      </c>
      <c r="X64">
        <v>1.0000000000000001E-5</v>
      </c>
      <c r="Y64">
        <v>64123.05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25</v>
      </c>
      <c r="AG64">
        <v>1.0000000000000001E-5</v>
      </c>
      <c r="AH64">
        <v>2</v>
      </c>
      <c r="AI64">
        <v>59213404</v>
      </c>
      <c r="AJ64">
        <v>58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ROW(Source!A54)</f>
        <v>54</v>
      </c>
      <c r="B65">
        <v>59213858</v>
      </c>
      <c r="C65">
        <v>59213402</v>
      </c>
      <c r="D65">
        <v>58338311</v>
      </c>
      <c r="E65">
        <v>1</v>
      </c>
      <c r="F65">
        <v>1</v>
      </c>
      <c r="G65">
        <v>1080</v>
      </c>
      <c r="H65">
        <v>3</v>
      </c>
      <c r="I65" t="s">
        <v>394</v>
      </c>
      <c r="J65" t="s">
        <v>395</v>
      </c>
      <c r="K65" t="s">
        <v>396</v>
      </c>
      <c r="L65">
        <v>1303</v>
      </c>
      <c r="N65">
        <v>1003</v>
      </c>
      <c r="O65" t="s">
        <v>256</v>
      </c>
      <c r="P65" t="s">
        <v>256</v>
      </c>
      <c r="Q65">
        <v>1000</v>
      </c>
      <c r="X65">
        <v>2E-3</v>
      </c>
      <c r="Y65">
        <v>516.63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25</v>
      </c>
      <c r="AG65">
        <v>2E-3</v>
      </c>
      <c r="AH65">
        <v>2</v>
      </c>
      <c r="AI65">
        <v>59213405</v>
      </c>
      <c r="AJ65">
        <v>59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ROW(Source!A54)</f>
        <v>54</v>
      </c>
      <c r="B66">
        <v>59213859</v>
      </c>
      <c r="C66">
        <v>59213402</v>
      </c>
      <c r="D66">
        <v>58278860</v>
      </c>
      <c r="E66">
        <v>1080</v>
      </c>
      <c r="F66">
        <v>1</v>
      </c>
      <c r="G66">
        <v>1080</v>
      </c>
      <c r="H66">
        <v>3</v>
      </c>
      <c r="I66" t="s">
        <v>467</v>
      </c>
      <c r="J66" t="s">
        <v>3</v>
      </c>
      <c r="K66" t="s">
        <v>468</v>
      </c>
      <c r="L66">
        <v>1354</v>
      </c>
      <c r="N66">
        <v>1010</v>
      </c>
      <c r="O66" t="s">
        <v>34</v>
      </c>
      <c r="P66" t="s">
        <v>34</v>
      </c>
      <c r="Q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25</v>
      </c>
      <c r="AG66">
        <v>1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ROW(Source!A55)</f>
        <v>55</v>
      </c>
      <c r="B67">
        <v>59213856</v>
      </c>
      <c r="C67">
        <v>59213402</v>
      </c>
      <c r="D67">
        <v>58266404</v>
      </c>
      <c r="E67">
        <v>1080</v>
      </c>
      <c r="F67">
        <v>1</v>
      </c>
      <c r="G67">
        <v>1080</v>
      </c>
      <c r="H67">
        <v>1</v>
      </c>
      <c r="I67" t="s">
        <v>331</v>
      </c>
      <c r="J67" t="s">
        <v>3</v>
      </c>
      <c r="K67" t="s">
        <v>332</v>
      </c>
      <c r="L67">
        <v>1191</v>
      </c>
      <c r="N67">
        <v>1013</v>
      </c>
      <c r="O67" t="s">
        <v>333</v>
      </c>
      <c r="P67" t="s">
        <v>333</v>
      </c>
      <c r="Q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26</v>
      </c>
      <c r="AG67">
        <v>1.1000000000000001</v>
      </c>
      <c r="AH67">
        <v>2</v>
      </c>
      <c r="AI67">
        <v>59213403</v>
      </c>
      <c r="AJ67">
        <v>61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ROW(Source!A55)</f>
        <v>55</v>
      </c>
      <c r="B68">
        <v>59213857</v>
      </c>
      <c r="C68">
        <v>59213402</v>
      </c>
      <c r="D68">
        <v>58309371</v>
      </c>
      <c r="E68">
        <v>1</v>
      </c>
      <c r="F68">
        <v>1</v>
      </c>
      <c r="G68">
        <v>1080</v>
      </c>
      <c r="H68">
        <v>3</v>
      </c>
      <c r="I68" t="s">
        <v>391</v>
      </c>
      <c r="J68" t="s">
        <v>392</v>
      </c>
      <c r="K68" t="s">
        <v>393</v>
      </c>
      <c r="L68">
        <v>1348</v>
      </c>
      <c r="N68">
        <v>1009</v>
      </c>
      <c r="O68" t="s">
        <v>345</v>
      </c>
      <c r="P68" t="s">
        <v>345</v>
      </c>
      <c r="Q68">
        <v>1000</v>
      </c>
      <c r="X68">
        <v>1.0000000000000001E-5</v>
      </c>
      <c r="Y68">
        <v>64123.05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1.0000000000000001E-5</v>
      </c>
      <c r="AH68">
        <v>2</v>
      </c>
      <c r="AI68">
        <v>59213404</v>
      </c>
      <c r="AJ68">
        <v>62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ROW(Source!A55)</f>
        <v>55</v>
      </c>
      <c r="B69">
        <v>59213858</v>
      </c>
      <c r="C69">
        <v>59213402</v>
      </c>
      <c r="D69">
        <v>58338311</v>
      </c>
      <c r="E69">
        <v>1</v>
      </c>
      <c r="F69">
        <v>1</v>
      </c>
      <c r="G69">
        <v>1080</v>
      </c>
      <c r="H69">
        <v>3</v>
      </c>
      <c r="I69" t="s">
        <v>394</v>
      </c>
      <c r="J69" t="s">
        <v>395</v>
      </c>
      <c r="K69" t="s">
        <v>396</v>
      </c>
      <c r="L69">
        <v>1303</v>
      </c>
      <c r="N69">
        <v>1003</v>
      </c>
      <c r="O69" t="s">
        <v>256</v>
      </c>
      <c r="P69" t="s">
        <v>256</v>
      </c>
      <c r="Q69">
        <v>1000</v>
      </c>
      <c r="X69">
        <v>2E-3</v>
      </c>
      <c r="Y69">
        <v>516.63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2E-3</v>
      </c>
      <c r="AH69">
        <v>2</v>
      </c>
      <c r="AI69">
        <v>59213405</v>
      </c>
      <c r="AJ69">
        <v>63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ROW(Source!A55)</f>
        <v>55</v>
      </c>
      <c r="B70">
        <v>59213859</v>
      </c>
      <c r="C70">
        <v>59213402</v>
      </c>
      <c r="D70">
        <v>58278860</v>
      </c>
      <c r="E70">
        <v>1080</v>
      </c>
      <c r="F70">
        <v>1</v>
      </c>
      <c r="G70">
        <v>1080</v>
      </c>
      <c r="H70">
        <v>3</v>
      </c>
      <c r="I70" t="s">
        <v>467</v>
      </c>
      <c r="J70" t="s">
        <v>3</v>
      </c>
      <c r="K70" t="s">
        <v>468</v>
      </c>
      <c r="L70">
        <v>1354</v>
      </c>
      <c r="N70">
        <v>1010</v>
      </c>
      <c r="O70" t="s">
        <v>34</v>
      </c>
      <c r="P70" t="s">
        <v>34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25</v>
      </c>
      <c r="AG70">
        <v>1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ROW(Source!A58)</f>
        <v>58</v>
      </c>
      <c r="B71">
        <v>59213860</v>
      </c>
      <c r="C71">
        <v>59213412</v>
      </c>
      <c r="D71">
        <v>58266404</v>
      </c>
      <c r="E71">
        <v>1080</v>
      </c>
      <c r="F71">
        <v>1</v>
      </c>
      <c r="G71">
        <v>1080</v>
      </c>
      <c r="H71">
        <v>1</v>
      </c>
      <c r="I71" t="s">
        <v>331</v>
      </c>
      <c r="J71" t="s">
        <v>3</v>
      </c>
      <c r="K71" t="s">
        <v>332</v>
      </c>
      <c r="L71">
        <v>1191</v>
      </c>
      <c r="N71">
        <v>1013</v>
      </c>
      <c r="O71" t="s">
        <v>333</v>
      </c>
      <c r="P71" t="s">
        <v>333</v>
      </c>
      <c r="Q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26</v>
      </c>
      <c r="AG71">
        <v>1.1000000000000001</v>
      </c>
      <c r="AH71">
        <v>2</v>
      </c>
      <c r="AI71">
        <v>59213413</v>
      </c>
      <c r="AJ71">
        <v>65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ROW(Source!A58)</f>
        <v>58</v>
      </c>
      <c r="B72">
        <v>59213861</v>
      </c>
      <c r="C72">
        <v>59213412</v>
      </c>
      <c r="D72">
        <v>58304579</v>
      </c>
      <c r="E72">
        <v>1080</v>
      </c>
      <c r="F72">
        <v>1</v>
      </c>
      <c r="G72">
        <v>1080</v>
      </c>
      <c r="H72">
        <v>3</v>
      </c>
      <c r="I72" t="s">
        <v>469</v>
      </c>
      <c r="J72" t="s">
        <v>3</v>
      </c>
      <c r="K72" t="s">
        <v>470</v>
      </c>
      <c r="L72">
        <v>1354</v>
      </c>
      <c r="N72">
        <v>1010</v>
      </c>
      <c r="O72" t="s">
        <v>34</v>
      </c>
      <c r="P72" t="s">
        <v>34</v>
      </c>
      <c r="Q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25</v>
      </c>
      <c r="AG72">
        <v>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ROW(Source!A58)</f>
        <v>58</v>
      </c>
      <c r="B73">
        <v>59213862</v>
      </c>
      <c r="C73">
        <v>59213412</v>
      </c>
      <c r="D73">
        <v>58271406</v>
      </c>
      <c r="E73">
        <v>1080</v>
      </c>
      <c r="F73">
        <v>1</v>
      </c>
      <c r="G73">
        <v>1080</v>
      </c>
      <c r="H73">
        <v>3</v>
      </c>
      <c r="I73" t="s">
        <v>397</v>
      </c>
      <c r="J73" t="s">
        <v>3</v>
      </c>
      <c r="K73" t="s">
        <v>398</v>
      </c>
      <c r="L73">
        <v>1348</v>
      </c>
      <c r="N73">
        <v>1009</v>
      </c>
      <c r="O73" t="s">
        <v>345</v>
      </c>
      <c r="P73" t="s">
        <v>345</v>
      </c>
      <c r="Q73">
        <v>1000</v>
      </c>
      <c r="X73">
        <v>1.6000000000000001E-4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25</v>
      </c>
      <c r="AG73">
        <v>1.6000000000000001E-4</v>
      </c>
      <c r="AH73">
        <v>2</v>
      </c>
      <c r="AI73">
        <v>59213414</v>
      </c>
      <c r="AJ73">
        <v>66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ROW(Source!A59)</f>
        <v>59</v>
      </c>
      <c r="B74">
        <v>59213860</v>
      </c>
      <c r="C74">
        <v>59213412</v>
      </c>
      <c r="D74">
        <v>58266404</v>
      </c>
      <c r="E74">
        <v>1080</v>
      </c>
      <c r="F74">
        <v>1</v>
      </c>
      <c r="G74">
        <v>1080</v>
      </c>
      <c r="H74">
        <v>1</v>
      </c>
      <c r="I74" t="s">
        <v>331</v>
      </c>
      <c r="J74" t="s">
        <v>3</v>
      </c>
      <c r="K74" t="s">
        <v>332</v>
      </c>
      <c r="L74">
        <v>1191</v>
      </c>
      <c r="N74">
        <v>1013</v>
      </c>
      <c r="O74" t="s">
        <v>333</v>
      </c>
      <c r="P74" t="s">
        <v>333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26</v>
      </c>
      <c r="AG74">
        <v>1.1000000000000001</v>
      </c>
      <c r="AH74">
        <v>2</v>
      </c>
      <c r="AI74">
        <v>59213413</v>
      </c>
      <c r="AJ74">
        <v>67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ROW(Source!A59)</f>
        <v>59</v>
      </c>
      <c r="B75">
        <v>59213861</v>
      </c>
      <c r="C75">
        <v>59213412</v>
      </c>
      <c r="D75">
        <v>58304579</v>
      </c>
      <c r="E75">
        <v>1080</v>
      </c>
      <c r="F75">
        <v>1</v>
      </c>
      <c r="G75">
        <v>1080</v>
      </c>
      <c r="H75">
        <v>3</v>
      </c>
      <c r="I75" t="s">
        <v>469</v>
      </c>
      <c r="J75" t="s">
        <v>3</v>
      </c>
      <c r="K75" t="s">
        <v>470</v>
      </c>
      <c r="L75">
        <v>1354</v>
      </c>
      <c r="N75">
        <v>1010</v>
      </c>
      <c r="O75" t="s">
        <v>34</v>
      </c>
      <c r="P75" t="s">
        <v>34</v>
      </c>
      <c r="Q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25</v>
      </c>
      <c r="AG75">
        <v>1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ROW(Source!A59)</f>
        <v>59</v>
      </c>
      <c r="B76">
        <v>59213862</v>
      </c>
      <c r="C76">
        <v>59213412</v>
      </c>
      <c r="D76">
        <v>58271406</v>
      </c>
      <c r="E76">
        <v>1080</v>
      </c>
      <c r="F76">
        <v>1</v>
      </c>
      <c r="G76">
        <v>1080</v>
      </c>
      <c r="H76">
        <v>3</v>
      </c>
      <c r="I76" t="s">
        <v>397</v>
      </c>
      <c r="J76" t="s">
        <v>3</v>
      </c>
      <c r="K76" t="s">
        <v>398</v>
      </c>
      <c r="L76">
        <v>1348</v>
      </c>
      <c r="N76">
        <v>1009</v>
      </c>
      <c r="O76" t="s">
        <v>345</v>
      </c>
      <c r="P76" t="s">
        <v>345</v>
      </c>
      <c r="Q76">
        <v>1000</v>
      </c>
      <c r="X76">
        <v>1.6000000000000001E-4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25</v>
      </c>
      <c r="AG76">
        <v>1.6000000000000001E-4</v>
      </c>
      <c r="AH76">
        <v>2</v>
      </c>
      <c r="AI76">
        <v>59213414</v>
      </c>
      <c r="AJ76">
        <v>68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ROW(Source!A62)</f>
        <v>62</v>
      </c>
      <c r="B77">
        <v>59213863</v>
      </c>
      <c r="C77">
        <v>59213419</v>
      </c>
      <c r="D77">
        <v>58266404</v>
      </c>
      <c r="E77">
        <v>1080</v>
      </c>
      <c r="F77">
        <v>1</v>
      </c>
      <c r="G77">
        <v>1080</v>
      </c>
      <c r="H77">
        <v>1</v>
      </c>
      <c r="I77" t="s">
        <v>331</v>
      </c>
      <c r="J77" t="s">
        <v>3</v>
      </c>
      <c r="K77" t="s">
        <v>332</v>
      </c>
      <c r="L77">
        <v>1191</v>
      </c>
      <c r="N77">
        <v>1013</v>
      </c>
      <c r="O77" t="s">
        <v>333</v>
      </c>
      <c r="P77" t="s">
        <v>333</v>
      </c>
      <c r="Q77">
        <v>1</v>
      </c>
      <c r="X77">
        <v>3.18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26</v>
      </c>
      <c r="AG77">
        <v>3.4980000000000007</v>
      </c>
      <c r="AH77">
        <v>2</v>
      </c>
      <c r="AI77">
        <v>59213420</v>
      </c>
      <c r="AJ77">
        <v>69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ROW(Source!A62)</f>
        <v>62</v>
      </c>
      <c r="B78">
        <v>59213864</v>
      </c>
      <c r="C78">
        <v>59213419</v>
      </c>
      <c r="D78">
        <v>58310652</v>
      </c>
      <c r="E78">
        <v>1</v>
      </c>
      <c r="F78">
        <v>1</v>
      </c>
      <c r="G78">
        <v>1080</v>
      </c>
      <c r="H78">
        <v>3</v>
      </c>
      <c r="I78" t="s">
        <v>399</v>
      </c>
      <c r="J78" t="s">
        <v>400</v>
      </c>
      <c r="K78" t="s">
        <v>401</v>
      </c>
      <c r="L78">
        <v>1346</v>
      </c>
      <c r="N78">
        <v>1009</v>
      </c>
      <c r="O78" t="s">
        <v>244</v>
      </c>
      <c r="P78" t="s">
        <v>244</v>
      </c>
      <c r="Q78">
        <v>1</v>
      </c>
      <c r="X78">
        <v>6.2700000000000004E-3</v>
      </c>
      <c r="Y78">
        <v>27.62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6.2700000000000004E-3</v>
      </c>
      <c r="AH78">
        <v>2</v>
      </c>
      <c r="AI78">
        <v>59213421</v>
      </c>
      <c r="AJ78">
        <v>70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ROW(Source!A62)</f>
        <v>62</v>
      </c>
      <c r="B79">
        <v>59213865</v>
      </c>
      <c r="C79">
        <v>59213419</v>
      </c>
      <c r="D79">
        <v>58309371</v>
      </c>
      <c r="E79">
        <v>1</v>
      </c>
      <c r="F79">
        <v>1</v>
      </c>
      <c r="G79">
        <v>1080</v>
      </c>
      <c r="H79">
        <v>3</v>
      </c>
      <c r="I79" t="s">
        <v>391</v>
      </c>
      <c r="J79" t="s">
        <v>392</v>
      </c>
      <c r="K79" t="s">
        <v>393</v>
      </c>
      <c r="L79">
        <v>1348</v>
      </c>
      <c r="N79">
        <v>1009</v>
      </c>
      <c r="O79" t="s">
        <v>345</v>
      </c>
      <c r="P79" t="s">
        <v>345</v>
      </c>
      <c r="Q79">
        <v>1000</v>
      </c>
      <c r="X79">
        <v>1.0000000000000001E-5</v>
      </c>
      <c r="Y79">
        <v>64123.05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25</v>
      </c>
      <c r="AG79">
        <v>1.0000000000000001E-5</v>
      </c>
      <c r="AH79">
        <v>2</v>
      </c>
      <c r="AI79">
        <v>59213422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ROW(Source!A62)</f>
        <v>62</v>
      </c>
      <c r="B80">
        <v>59213866</v>
      </c>
      <c r="C80">
        <v>59213419</v>
      </c>
      <c r="D80">
        <v>58319263</v>
      </c>
      <c r="E80">
        <v>1</v>
      </c>
      <c r="F80">
        <v>1</v>
      </c>
      <c r="G80">
        <v>1080</v>
      </c>
      <c r="H80">
        <v>3</v>
      </c>
      <c r="I80" t="s">
        <v>402</v>
      </c>
      <c r="J80" t="s">
        <v>403</v>
      </c>
      <c r="K80" t="s">
        <v>404</v>
      </c>
      <c r="L80">
        <v>1354</v>
      </c>
      <c r="N80">
        <v>1010</v>
      </c>
      <c r="O80" t="s">
        <v>34</v>
      </c>
      <c r="P80" t="s">
        <v>34</v>
      </c>
      <c r="Q80">
        <v>1</v>
      </c>
      <c r="X80">
        <v>0.1</v>
      </c>
      <c r="Y80">
        <v>15.25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25</v>
      </c>
      <c r="AG80">
        <v>0.1</v>
      </c>
      <c r="AH80">
        <v>2</v>
      </c>
      <c r="AI80">
        <v>59213423</v>
      </c>
      <c r="AJ80">
        <v>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ROW(Source!A62)</f>
        <v>62</v>
      </c>
      <c r="B81">
        <v>59213867</v>
      </c>
      <c r="C81">
        <v>59213419</v>
      </c>
      <c r="D81">
        <v>58288464</v>
      </c>
      <c r="E81">
        <v>1080</v>
      </c>
      <c r="F81">
        <v>1</v>
      </c>
      <c r="G81">
        <v>1080</v>
      </c>
      <c r="H81">
        <v>3</v>
      </c>
      <c r="I81" t="s">
        <v>461</v>
      </c>
      <c r="J81" t="s">
        <v>3</v>
      </c>
      <c r="K81" t="s">
        <v>471</v>
      </c>
      <c r="L81">
        <v>1354</v>
      </c>
      <c r="N81">
        <v>1010</v>
      </c>
      <c r="O81" t="s">
        <v>34</v>
      </c>
      <c r="P81" t="s">
        <v>34</v>
      </c>
      <c r="Q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25</v>
      </c>
      <c r="AG81">
        <v>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ROW(Source!A63)</f>
        <v>63</v>
      </c>
      <c r="B82">
        <v>59213863</v>
      </c>
      <c r="C82">
        <v>59213419</v>
      </c>
      <c r="D82">
        <v>58266404</v>
      </c>
      <c r="E82">
        <v>1080</v>
      </c>
      <c r="F82">
        <v>1</v>
      </c>
      <c r="G82">
        <v>1080</v>
      </c>
      <c r="H82">
        <v>1</v>
      </c>
      <c r="I82" t="s">
        <v>331</v>
      </c>
      <c r="J82" t="s">
        <v>3</v>
      </c>
      <c r="K82" t="s">
        <v>332</v>
      </c>
      <c r="L82">
        <v>1191</v>
      </c>
      <c r="N82">
        <v>1013</v>
      </c>
      <c r="O82" t="s">
        <v>333</v>
      </c>
      <c r="P82" t="s">
        <v>333</v>
      </c>
      <c r="Q82">
        <v>1</v>
      </c>
      <c r="X82">
        <v>3.18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26</v>
      </c>
      <c r="AG82">
        <v>3.4980000000000007</v>
      </c>
      <c r="AH82">
        <v>2</v>
      </c>
      <c r="AI82">
        <v>59213420</v>
      </c>
      <c r="AJ82">
        <v>73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ROW(Source!A63)</f>
        <v>63</v>
      </c>
      <c r="B83">
        <v>59213864</v>
      </c>
      <c r="C83">
        <v>59213419</v>
      </c>
      <c r="D83">
        <v>58310652</v>
      </c>
      <c r="E83">
        <v>1</v>
      </c>
      <c r="F83">
        <v>1</v>
      </c>
      <c r="G83">
        <v>1080</v>
      </c>
      <c r="H83">
        <v>3</v>
      </c>
      <c r="I83" t="s">
        <v>399</v>
      </c>
      <c r="J83" t="s">
        <v>400</v>
      </c>
      <c r="K83" t="s">
        <v>401</v>
      </c>
      <c r="L83">
        <v>1346</v>
      </c>
      <c r="N83">
        <v>1009</v>
      </c>
      <c r="O83" t="s">
        <v>244</v>
      </c>
      <c r="P83" t="s">
        <v>244</v>
      </c>
      <c r="Q83">
        <v>1</v>
      </c>
      <c r="X83">
        <v>6.2700000000000004E-3</v>
      </c>
      <c r="Y83">
        <v>27.62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25</v>
      </c>
      <c r="AG83">
        <v>6.2700000000000004E-3</v>
      </c>
      <c r="AH83">
        <v>2</v>
      </c>
      <c r="AI83">
        <v>59213421</v>
      </c>
      <c r="AJ83">
        <v>74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ROW(Source!A63)</f>
        <v>63</v>
      </c>
      <c r="B84">
        <v>59213865</v>
      </c>
      <c r="C84">
        <v>59213419</v>
      </c>
      <c r="D84">
        <v>58309371</v>
      </c>
      <c r="E84">
        <v>1</v>
      </c>
      <c r="F84">
        <v>1</v>
      </c>
      <c r="G84">
        <v>1080</v>
      </c>
      <c r="H84">
        <v>3</v>
      </c>
      <c r="I84" t="s">
        <v>391</v>
      </c>
      <c r="J84" t="s">
        <v>392</v>
      </c>
      <c r="K84" t="s">
        <v>393</v>
      </c>
      <c r="L84">
        <v>1348</v>
      </c>
      <c r="N84">
        <v>1009</v>
      </c>
      <c r="O84" t="s">
        <v>345</v>
      </c>
      <c r="P84" t="s">
        <v>345</v>
      </c>
      <c r="Q84">
        <v>1000</v>
      </c>
      <c r="X84">
        <v>1.0000000000000001E-5</v>
      </c>
      <c r="Y84">
        <v>64123.05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25</v>
      </c>
      <c r="AG84">
        <v>1.0000000000000001E-5</v>
      </c>
      <c r="AH84">
        <v>2</v>
      </c>
      <c r="AI84">
        <v>59213422</v>
      </c>
      <c r="AJ84">
        <v>75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ROW(Source!A63)</f>
        <v>63</v>
      </c>
      <c r="B85">
        <v>59213866</v>
      </c>
      <c r="C85">
        <v>59213419</v>
      </c>
      <c r="D85">
        <v>58319263</v>
      </c>
      <c r="E85">
        <v>1</v>
      </c>
      <c r="F85">
        <v>1</v>
      </c>
      <c r="G85">
        <v>1080</v>
      </c>
      <c r="H85">
        <v>3</v>
      </c>
      <c r="I85" t="s">
        <v>402</v>
      </c>
      <c r="J85" t="s">
        <v>403</v>
      </c>
      <c r="K85" t="s">
        <v>404</v>
      </c>
      <c r="L85">
        <v>1354</v>
      </c>
      <c r="N85">
        <v>1010</v>
      </c>
      <c r="O85" t="s">
        <v>34</v>
      </c>
      <c r="P85" t="s">
        <v>34</v>
      </c>
      <c r="Q85">
        <v>1</v>
      </c>
      <c r="X85">
        <v>0.1</v>
      </c>
      <c r="Y85">
        <v>15.25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25</v>
      </c>
      <c r="AG85">
        <v>0.1</v>
      </c>
      <c r="AH85">
        <v>2</v>
      </c>
      <c r="AI85">
        <v>59213423</v>
      </c>
      <c r="AJ85">
        <v>76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ROW(Source!A63)</f>
        <v>63</v>
      </c>
      <c r="B86">
        <v>59213867</v>
      </c>
      <c r="C86">
        <v>59213419</v>
      </c>
      <c r="D86">
        <v>58288464</v>
      </c>
      <c r="E86">
        <v>1080</v>
      </c>
      <c r="F86">
        <v>1</v>
      </c>
      <c r="G86">
        <v>1080</v>
      </c>
      <c r="H86">
        <v>3</v>
      </c>
      <c r="I86" t="s">
        <v>461</v>
      </c>
      <c r="J86" t="s">
        <v>3</v>
      </c>
      <c r="K86" t="s">
        <v>471</v>
      </c>
      <c r="L86">
        <v>1354</v>
      </c>
      <c r="N86">
        <v>1010</v>
      </c>
      <c r="O86" t="s">
        <v>34</v>
      </c>
      <c r="P86" t="s">
        <v>34</v>
      </c>
      <c r="Q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25</v>
      </c>
      <c r="AG86">
        <v>1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ROW(Source!A68)</f>
        <v>68</v>
      </c>
      <c r="B87">
        <v>59213868</v>
      </c>
      <c r="C87">
        <v>59213431</v>
      </c>
      <c r="D87">
        <v>58266404</v>
      </c>
      <c r="E87">
        <v>1080</v>
      </c>
      <c r="F87">
        <v>1</v>
      </c>
      <c r="G87">
        <v>1080</v>
      </c>
      <c r="H87">
        <v>1</v>
      </c>
      <c r="I87" t="s">
        <v>331</v>
      </c>
      <c r="J87" t="s">
        <v>3</v>
      </c>
      <c r="K87" t="s">
        <v>332</v>
      </c>
      <c r="L87">
        <v>1191</v>
      </c>
      <c r="N87">
        <v>1013</v>
      </c>
      <c r="O87" t="s">
        <v>333</v>
      </c>
      <c r="P87" t="s">
        <v>333</v>
      </c>
      <c r="Q87">
        <v>1</v>
      </c>
      <c r="X87">
        <v>1.03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26</v>
      </c>
      <c r="AG87">
        <v>1.1330000000000002</v>
      </c>
      <c r="AH87">
        <v>2</v>
      </c>
      <c r="AI87">
        <v>59213432</v>
      </c>
      <c r="AJ87">
        <v>77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ROW(Source!A68)</f>
        <v>68</v>
      </c>
      <c r="B88">
        <v>59213869</v>
      </c>
      <c r="C88">
        <v>59213431</v>
      </c>
      <c r="D88">
        <v>58340578</v>
      </c>
      <c r="E88">
        <v>1</v>
      </c>
      <c r="F88">
        <v>1</v>
      </c>
      <c r="G88">
        <v>1080</v>
      </c>
      <c r="H88">
        <v>2</v>
      </c>
      <c r="I88" t="s">
        <v>334</v>
      </c>
      <c r="J88" t="s">
        <v>335</v>
      </c>
      <c r="K88" t="s">
        <v>336</v>
      </c>
      <c r="L88">
        <v>1368</v>
      </c>
      <c r="N88">
        <v>1011</v>
      </c>
      <c r="O88" t="s">
        <v>337</v>
      </c>
      <c r="P88" t="s">
        <v>337</v>
      </c>
      <c r="Q88">
        <v>1</v>
      </c>
      <c r="X88">
        <v>6.0000000000000001E-3</v>
      </c>
      <c r="Y88">
        <v>0</v>
      </c>
      <c r="Z88">
        <v>83.1</v>
      </c>
      <c r="AA88">
        <v>12.62</v>
      </c>
      <c r="AB88">
        <v>0</v>
      </c>
      <c r="AC88">
        <v>0</v>
      </c>
      <c r="AD88">
        <v>1</v>
      </c>
      <c r="AE88">
        <v>0</v>
      </c>
      <c r="AF88" t="s">
        <v>26</v>
      </c>
      <c r="AG88">
        <v>6.6000000000000008E-3</v>
      </c>
      <c r="AH88">
        <v>2</v>
      </c>
      <c r="AI88">
        <v>59213433</v>
      </c>
      <c r="AJ88">
        <v>78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ROW(Source!A68)</f>
        <v>68</v>
      </c>
      <c r="B89">
        <v>59213870</v>
      </c>
      <c r="C89">
        <v>59213431</v>
      </c>
      <c r="D89">
        <v>58288281</v>
      </c>
      <c r="E89">
        <v>1080</v>
      </c>
      <c r="F89">
        <v>1</v>
      </c>
      <c r="G89">
        <v>1080</v>
      </c>
      <c r="H89">
        <v>3</v>
      </c>
      <c r="I89" t="s">
        <v>472</v>
      </c>
      <c r="J89" t="s">
        <v>3</v>
      </c>
      <c r="K89" t="s">
        <v>473</v>
      </c>
      <c r="L89">
        <v>1354</v>
      </c>
      <c r="N89">
        <v>1010</v>
      </c>
      <c r="O89" t="s">
        <v>34</v>
      </c>
      <c r="P89" t="s">
        <v>34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25</v>
      </c>
      <c r="AG89">
        <v>1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ROW(Source!A69)</f>
        <v>69</v>
      </c>
      <c r="B90">
        <v>59213868</v>
      </c>
      <c r="C90">
        <v>59213431</v>
      </c>
      <c r="D90">
        <v>58266404</v>
      </c>
      <c r="E90">
        <v>1080</v>
      </c>
      <c r="F90">
        <v>1</v>
      </c>
      <c r="G90">
        <v>1080</v>
      </c>
      <c r="H90">
        <v>1</v>
      </c>
      <c r="I90" t="s">
        <v>331</v>
      </c>
      <c r="J90" t="s">
        <v>3</v>
      </c>
      <c r="K90" t="s">
        <v>332</v>
      </c>
      <c r="L90">
        <v>1191</v>
      </c>
      <c r="N90">
        <v>1013</v>
      </c>
      <c r="O90" t="s">
        <v>333</v>
      </c>
      <c r="P90" t="s">
        <v>333</v>
      </c>
      <c r="Q90">
        <v>1</v>
      </c>
      <c r="X90">
        <v>1.03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26</v>
      </c>
      <c r="AG90">
        <v>1.1330000000000002</v>
      </c>
      <c r="AH90">
        <v>2</v>
      </c>
      <c r="AI90">
        <v>59213432</v>
      </c>
      <c r="AJ90">
        <v>80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ROW(Source!A69)</f>
        <v>69</v>
      </c>
      <c r="B91">
        <v>59213869</v>
      </c>
      <c r="C91">
        <v>59213431</v>
      </c>
      <c r="D91">
        <v>58340578</v>
      </c>
      <c r="E91">
        <v>1</v>
      </c>
      <c r="F91">
        <v>1</v>
      </c>
      <c r="G91">
        <v>1080</v>
      </c>
      <c r="H91">
        <v>2</v>
      </c>
      <c r="I91" t="s">
        <v>334</v>
      </c>
      <c r="J91" t="s">
        <v>335</v>
      </c>
      <c r="K91" t="s">
        <v>336</v>
      </c>
      <c r="L91">
        <v>1368</v>
      </c>
      <c r="N91">
        <v>1011</v>
      </c>
      <c r="O91" t="s">
        <v>337</v>
      </c>
      <c r="P91" t="s">
        <v>337</v>
      </c>
      <c r="Q91">
        <v>1</v>
      </c>
      <c r="X91">
        <v>6.0000000000000001E-3</v>
      </c>
      <c r="Y91">
        <v>0</v>
      </c>
      <c r="Z91">
        <v>83.1</v>
      </c>
      <c r="AA91">
        <v>12.62</v>
      </c>
      <c r="AB91">
        <v>0</v>
      </c>
      <c r="AC91">
        <v>0</v>
      </c>
      <c r="AD91">
        <v>1</v>
      </c>
      <c r="AE91">
        <v>0</v>
      </c>
      <c r="AF91" t="s">
        <v>26</v>
      </c>
      <c r="AG91">
        <v>6.6000000000000008E-3</v>
      </c>
      <c r="AH91">
        <v>2</v>
      </c>
      <c r="AI91">
        <v>59213433</v>
      </c>
      <c r="AJ91">
        <v>81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ROW(Source!A69)</f>
        <v>69</v>
      </c>
      <c r="B92">
        <v>59213870</v>
      </c>
      <c r="C92">
        <v>59213431</v>
      </c>
      <c r="D92">
        <v>58288281</v>
      </c>
      <c r="E92">
        <v>1080</v>
      </c>
      <c r="F92">
        <v>1</v>
      </c>
      <c r="G92">
        <v>1080</v>
      </c>
      <c r="H92">
        <v>3</v>
      </c>
      <c r="I92" t="s">
        <v>472</v>
      </c>
      <c r="J92" t="s">
        <v>3</v>
      </c>
      <c r="K92" t="s">
        <v>473</v>
      </c>
      <c r="L92">
        <v>1354</v>
      </c>
      <c r="N92">
        <v>1010</v>
      </c>
      <c r="O92" t="s">
        <v>34</v>
      </c>
      <c r="P92" t="s">
        <v>34</v>
      </c>
      <c r="Q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25</v>
      </c>
      <c r="AG92">
        <v>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ROW(Source!A72)</f>
        <v>72</v>
      </c>
      <c r="B93">
        <v>59213871</v>
      </c>
      <c r="C93">
        <v>59213439</v>
      </c>
      <c r="D93">
        <v>58266404</v>
      </c>
      <c r="E93">
        <v>1080</v>
      </c>
      <c r="F93">
        <v>1</v>
      </c>
      <c r="G93">
        <v>1080</v>
      </c>
      <c r="H93">
        <v>1</v>
      </c>
      <c r="I93" t="s">
        <v>331</v>
      </c>
      <c r="J93" t="s">
        <v>3</v>
      </c>
      <c r="K93" t="s">
        <v>332</v>
      </c>
      <c r="L93">
        <v>1191</v>
      </c>
      <c r="N93">
        <v>1013</v>
      </c>
      <c r="O93" t="s">
        <v>333</v>
      </c>
      <c r="P93" t="s">
        <v>333</v>
      </c>
      <c r="Q93">
        <v>1</v>
      </c>
      <c r="X93">
        <v>7.0000000000000007E-2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26</v>
      </c>
      <c r="AG93">
        <v>7.7000000000000013E-2</v>
      </c>
      <c r="AH93">
        <v>2</v>
      </c>
      <c r="AI93">
        <v>59213440</v>
      </c>
      <c r="AJ93">
        <v>83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ROW(Source!A72)</f>
        <v>72</v>
      </c>
      <c r="B94">
        <v>59213872</v>
      </c>
      <c r="C94">
        <v>59213439</v>
      </c>
      <c r="D94">
        <v>58296934</v>
      </c>
      <c r="E94">
        <v>1080</v>
      </c>
      <c r="F94">
        <v>1</v>
      </c>
      <c r="G94">
        <v>1080</v>
      </c>
      <c r="H94">
        <v>3</v>
      </c>
      <c r="I94" t="s">
        <v>474</v>
      </c>
      <c r="J94" t="s">
        <v>3</v>
      </c>
      <c r="K94" t="s">
        <v>475</v>
      </c>
      <c r="L94">
        <v>1354</v>
      </c>
      <c r="N94">
        <v>1010</v>
      </c>
      <c r="O94" t="s">
        <v>34</v>
      </c>
      <c r="P94" t="s">
        <v>34</v>
      </c>
      <c r="Q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25</v>
      </c>
      <c r="AG94">
        <v>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ROW(Source!A73)</f>
        <v>73</v>
      </c>
      <c r="B95">
        <v>59213871</v>
      </c>
      <c r="C95">
        <v>59213439</v>
      </c>
      <c r="D95">
        <v>58266404</v>
      </c>
      <c r="E95">
        <v>1080</v>
      </c>
      <c r="F95">
        <v>1</v>
      </c>
      <c r="G95">
        <v>1080</v>
      </c>
      <c r="H95">
        <v>1</v>
      </c>
      <c r="I95" t="s">
        <v>331</v>
      </c>
      <c r="J95" t="s">
        <v>3</v>
      </c>
      <c r="K95" t="s">
        <v>332</v>
      </c>
      <c r="L95">
        <v>1191</v>
      </c>
      <c r="N95">
        <v>1013</v>
      </c>
      <c r="O95" t="s">
        <v>333</v>
      </c>
      <c r="P95" t="s">
        <v>333</v>
      </c>
      <c r="Q95">
        <v>1</v>
      </c>
      <c r="X95">
        <v>7.0000000000000007E-2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26</v>
      </c>
      <c r="AG95">
        <v>7.7000000000000013E-2</v>
      </c>
      <c r="AH95">
        <v>2</v>
      </c>
      <c r="AI95">
        <v>59213440</v>
      </c>
      <c r="AJ95">
        <v>85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ROW(Source!A73)</f>
        <v>73</v>
      </c>
      <c r="B96">
        <v>59213872</v>
      </c>
      <c r="C96">
        <v>59213439</v>
      </c>
      <c r="D96">
        <v>58296934</v>
      </c>
      <c r="E96">
        <v>1080</v>
      </c>
      <c r="F96">
        <v>1</v>
      </c>
      <c r="G96">
        <v>1080</v>
      </c>
      <c r="H96">
        <v>3</v>
      </c>
      <c r="I96" t="s">
        <v>474</v>
      </c>
      <c r="J96" t="s">
        <v>3</v>
      </c>
      <c r="K96" t="s">
        <v>475</v>
      </c>
      <c r="L96">
        <v>1354</v>
      </c>
      <c r="N96">
        <v>1010</v>
      </c>
      <c r="O96" t="s">
        <v>34</v>
      </c>
      <c r="P96" t="s">
        <v>34</v>
      </c>
      <c r="Q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25</v>
      </c>
      <c r="AG96">
        <v>1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ROW(Source!A76)</f>
        <v>76</v>
      </c>
      <c r="B97">
        <v>59213873</v>
      </c>
      <c r="C97">
        <v>59213445</v>
      </c>
      <c r="D97">
        <v>58266404</v>
      </c>
      <c r="E97">
        <v>1080</v>
      </c>
      <c r="F97">
        <v>1</v>
      </c>
      <c r="G97">
        <v>1080</v>
      </c>
      <c r="H97">
        <v>1</v>
      </c>
      <c r="I97" t="s">
        <v>331</v>
      </c>
      <c r="J97" t="s">
        <v>3</v>
      </c>
      <c r="K97" t="s">
        <v>332</v>
      </c>
      <c r="L97">
        <v>1191</v>
      </c>
      <c r="N97">
        <v>1013</v>
      </c>
      <c r="O97" t="s">
        <v>333</v>
      </c>
      <c r="P97" t="s">
        <v>333</v>
      </c>
      <c r="Q97">
        <v>1</v>
      </c>
      <c r="X97">
        <v>3.09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26</v>
      </c>
      <c r="AG97">
        <v>3.399</v>
      </c>
      <c r="AH97">
        <v>2</v>
      </c>
      <c r="AI97">
        <v>59213446</v>
      </c>
      <c r="AJ97">
        <v>87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ROW(Source!A76)</f>
        <v>76</v>
      </c>
      <c r="B98">
        <v>59213874</v>
      </c>
      <c r="C98">
        <v>59213445</v>
      </c>
      <c r="D98">
        <v>58340578</v>
      </c>
      <c r="E98">
        <v>1</v>
      </c>
      <c r="F98">
        <v>1</v>
      </c>
      <c r="G98">
        <v>1080</v>
      </c>
      <c r="H98">
        <v>2</v>
      </c>
      <c r="I98" t="s">
        <v>334</v>
      </c>
      <c r="J98" t="s">
        <v>335</v>
      </c>
      <c r="K98" t="s">
        <v>336</v>
      </c>
      <c r="L98">
        <v>1368</v>
      </c>
      <c r="N98">
        <v>1011</v>
      </c>
      <c r="O98" t="s">
        <v>337</v>
      </c>
      <c r="P98" t="s">
        <v>337</v>
      </c>
      <c r="Q98">
        <v>1</v>
      </c>
      <c r="X98">
        <v>0.32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26</v>
      </c>
      <c r="AG98">
        <v>0.35200000000000004</v>
      </c>
      <c r="AH98">
        <v>2</v>
      </c>
      <c r="AI98">
        <v>59213447</v>
      </c>
      <c r="AJ98">
        <v>88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ROW(Source!A76)</f>
        <v>76</v>
      </c>
      <c r="B99">
        <v>59213875</v>
      </c>
      <c r="C99">
        <v>59213445</v>
      </c>
      <c r="D99">
        <v>58288276</v>
      </c>
      <c r="E99">
        <v>1080</v>
      </c>
      <c r="F99">
        <v>1</v>
      </c>
      <c r="G99">
        <v>1080</v>
      </c>
      <c r="H99">
        <v>3</v>
      </c>
      <c r="I99" t="s">
        <v>472</v>
      </c>
      <c r="J99" t="s">
        <v>3</v>
      </c>
      <c r="K99" t="s">
        <v>476</v>
      </c>
      <c r="L99">
        <v>1354</v>
      </c>
      <c r="N99">
        <v>1010</v>
      </c>
      <c r="O99" t="s">
        <v>34</v>
      </c>
      <c r="P99" t="s">
        <v>34</v>
      </c>
      <c r="Q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25</v>
      </c>
      <c r="AG99">
        <v>1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ROW(Source!A77)</f>
        <v>77</v>
      </c>
      <c r="B100">
        <v>59213873</v>
      </c>
      <c r="C100">
        <v>59213445</v>
      </c>
      <c r="D100">
        <v>58266404</v>
      </c>
      <c r="E100">
        <v>1080</v>
      </c>
      <c r="F100">
        <v>1</v>
      </c>
      <c r="G100">
        <v>1080</v>
      </c>
      <c r="H100">
        <v>1</v>
      </c>
      <c r="I100" t="s">
        <v>331</v>
      </c>
      <c r="J100" t="s">
        <v>3</v>
      </c>
      <c r="K100" t="s">
        <v>332</v>
      </c>
      <c r="L100">
        <v>1191</v>
      </c>
      <c r="N100">
        <v>1013</v>
      </c>
      <c r="O100" t="s">
        <v>333</v>
      </c>
      <c r="P100" t="s">
        <v>333</v>
      </c>
      <c r="Q100">
        <v>1</v>
      </c>
      <c r="X100">
        <v>3.09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26</v>
      </c>
      <c r="AG100">
        <v>3.399</v>
      </c>
      <c r="AH100">
        <v>2</v>
      </c>
      <c r="AI100">
        <v>59213446</v>
      </c>
      <c r="AJ100">
        <v>89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ROW(Source!A77)</f>
        <v>77</v>
      </c>
      <c r="B101">
        <v>59213874</v>
      </c>
      <c r="C101">
        <v>59213445</v>
      </c>
      <c r="D101">
        <v>58340578</v>
      </c>
      <c r="E101">
        <v>1</v>
      </c>
      <c r="F101">
        <v>1</v>
      </c>
      <c r="G101">
        <v>1080</v>
      </c>
      <c r="H101">
        <v>2</v>
      </c>
      <c r="I101" t="s">
        <v>334</v>
      </c>
      <c r="J101" t="s">
        <v>335</v>
      </c>
      <c r="K101" t="s">
        <v>336</v>
      </c>
      <c r="L101">
        <v>1368</v>
      </c>
      <c r="N101">
        <v>1011</v>
      </c>
      <c r="O101" t="s">
        <v>337</v>
      </c>
      <c r="P101" t="s">
        <v>337</v>
      </c>
      <c r="Q101">
        <v>1</v>
      </c>
      <c r="X101">
        <v>0.32</v>
      </c>
      <c r="Y101">
        <v>0</v>
      </c>
      <c r="Z101">
        <v>83.1</v>
      </c>
      <c r="AA101">
        <v>12.62</v>
      </c>
      <c r="AB101">
        <v>0</v>
      </c>
      <c r="AC101">
        <v>0</v>
      </c>
      <c r="AD101">
        <v>1</v>
      </c>
      <c r="AE101">
        <v>0</v>
      </c>
      <c r="AF101" t="s">
        <v>26</v>
      </c>
      <c r="AG101">
        <v>0.35200000000000004</v>
      </c>
      <c r="AH101">
        <v>2</v>
      </c>
      <c r="AI101">
        <v>59213447</v>
      </c>
      <c r="AJ101">
        <v>90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ROW(Source!A77)</f>
        <v>77</v>
      </c>
      <c r="B102">
        <v>59213875</v>
      </c>
      <c r="C102">
        <v>59213445</v>
      </c>
      <c r="D102">
        <v>58288276</v>
      </c>
      <c r="E102">
        <v>1080</v>
      </c>
      <c r="F102">
        <v>1</v>
      </c>
      <c r="G102">
        <v>1080</v>
      </c>
      <c r="H102">
        <v>3</v>
      </c>
      <c r="I102" t="s">
        <v>472</v>
      </c>
      <c r="J102" t="s">
        <v>3</v>
      </c>
      <c r="K102" t="s">
        <v>476</v>
      </c>
      <c r="L102">
        <v>1354</v>
      </c>
      <c r="N102">
        <v>1010</v>
      </c>
      <c r="O102" t="s">
        <v>34</v>
      </c>
      <c r="P102" t="s">
        <v>34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</v>
      </c>
      <c r="AG102">
        <v>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ROW(Source!A80)</f>
        <v>80</v>
      </c>
      <c r="B103">
        <v>59213876</v>
      </c>
      <c r="C103">
        <v>59213452</v>
      </c>
      <c r="D103">
        <v>58266404</v>
      </c>
      <c r="E103">
        <v>1080</v>
      </c>
      <c r="F103">
        <v>1</v>
      </c>
      <c r="G103">
        <v>1080</v>
      </c>
      <c r="H103">
        <v>1</v>
      </c>
      <c r="I103" t="s">
        <v>331</v>
      </c>
      <c r="J103" t="s">
        <v>3</v>
      </c>
      <c r="K103" t="s">
        <v>332</v>
      </c>
      <c r="L103">
        <v>1191</v>
      </c>
      <c r="N103">
        <v>1013</v>
      </c>
      <c r="O103" t="s">
        <v>333</v>
      </c>
      <c r="P103" t="s">
        <v>333</v>
      </c>
      <c r="Q103">
        <v>1</v>
      </c>
      <c r="X103">
        <v>3.18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26</v>
      </c>
      <c r="AG103">
        <v>3.4980000000000007</v>
      </c>
      <c r="AH103">
        <v>2</v>
      </c>
      <c r="AI103">
        <v>59213453</v>
      </c>
      <c r="AJ103">
        <v>91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ROW(Source!A80)</f>
        <v>80</v>
      </c>
      <c r="B104">
        <v>59213877</v>
      </c>
      <c r="C104">
        <v>59213452</v>
      </c>
      <c r="D104">
        <v>58310652</v>
      </c>
      <c r="E104">
        <v>1</v>
      </c>
      <c r="F104">
        <v>1</v>
      </c>
      <c r="G104">
        <v>1080</v>
      </c>
      <c r="H104">
        <v>3</v>
      </c>
      <c r="I104" t="s">
        <v>399</v>
      </c>
      <c r="J104" t="s">
        <v>400</v>
      </c>
      <c r="K104" t="s">
        <v>401</v>
      </c>
      <c r="L104">
        <v>1346</v>
      </c>
      <c r="N104">
        <v>1009</v>
      </c>
      <c r="O104" t="s">
        <v>244</v>
      </c>
      <c r="P104" t="s">
        <v>244</v>
      </c>
      <c r="Q104">
        <v>1</v>
      </c>
      <c r="X104">
        <v>6.2700000000000004E-3</v>
      </c>
      <c r="Y104">
        <v>27.62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25</v>
      </c>
      <c r="AG104">
        <v>6.2700000000000004E-3</v>
      </c>
      <c r="AH104">
        <v>2</v>
      </c>
      <c r="AI104">
        <v>59213454</v>
      </c>
      <c r="AJ104">
        <v>92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ROW(Source!A80)</f>
        <v>80</v>
      </c>
      <c r="B105">
        <v>59213878</v>
      </c>
      <c r="C105">
        <v>59213452</v>
      </c>
      <c r="D105">
        <v>58309371</v>
      </c>
      <c r="E105">
        <v>1</v>
      </c>
      <c r="F105">
        <v>1</v>
      </c>
      <c r="G105">
        <v>1080</v>
      </c>
      <c r="H105">
        <v>3</v>
      </c>
      <c r="I105" t="s">
        <v>391</v>
      </c>
      <c r="J105" t="s">
        <v>392</v>
      </c>
      <c r="K105" t="s">
        <v>393</v>
      </c>
      <c r="L105">
        <v>1348</v>
      </c>
      <c r="N105">
        <v>1009</v>
      </c>
      <c r="O105" t="s">
        <v>345</v>
      </c>
      <c r="P105" t="s">
        <v>345</v>
      </c>
      <c r="Q105">
        <v>1000</v>
      </c>
      <c r="X105">
        <v>1.0000000000000001E-5</v>
      </c>
      <c r="Y105">
        <v>64123.05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25</v>
      </c>
      <c r="AG105">
        <v>1.0000000000000001E-5</v>
      </c>
      <c r="AH105">
        <v>2</v>
      </c>
      <c r="AI105">
        <v>59213455</v>
      </c>
      <c r="AJ105">
        <v>93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ROW(Source!A80)</f>
        <v>80</v>
      </c>
      <c r="B106">
        <v>59213879</v>
      </c>
      <c r="C106">
        <v>59213452</v>
      </c>
      <c r="D106">
        <v>58319263</v>
      </c>
      <c r="E106">
        <v>1</v>
      </c>
      <c r="F106">
        <v>1</v>
      </c>
      <c r="G106">
        <v>1080</v>
      </c>
      <c r="H106">
        <v>3</v>
      </c>
      <c r="I106" t="s">
        <v>402</v>
      </c>
      <c r="J106" t="s">
        <v>403</v>
      </c>
      <c r="K106" t="s">
        <v>404</v>
      </c>
      <c r="L106">
        <v>1354</v>
      </c>
      <c r="N106">
        <v>1010</v>
      </c>
      <c r="O106" t="s">
        <v>34</v>
      </c>
      <c r="P106" t="s">
        <v>34</v>
      </c>
      <c r="Q106">
        <v>1</v>
      </c>
      <c r="X106">
        <v>0.1</v>
      </c>
      <c r="Y106">
        <v>15.25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25</v>
      </c>
      <c r="AG106">
        <v>0.1</v>
      </c>
      <c r="AH106">
        <v>2</v>
      </c>
      <c r="AI106">
        <v>59213456</v>
      </c>
      <c r="AJ106">
        <v>94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ROW(Source!A80)</f>
        <v>80</v>
      </c>
      <c r="B107">
        <v>59213880</v>
      </c>
      <c r="C107">
        <v>59213452</v>
      </c>
      <c r="D107">
        <v>58288464</v>
      </c>
      <c r="E107">
        <v>1080</v>
      </c>
      <c r="F107">
        <v>1</v>
      </c>
      <c r="G107">
        <v>1080</v>
      </c>
      <c r="H107">
        <v>3</v>
      </c>
      <c r="I107" t="s">
        <v>461</v>
      </c>
      <c r="J107" t="s">
        <v>3</v>
      </c>
      <c r="K107" t="s">
        <v>471</v>
      </c>
      <c r="L107">
        <v>1354</v>
      </c>
      <c r="N107">
        <v>1010</v>
      </c>
      <c r="O107" t="s">
        <v>34</v>
      </c>
      <c r="P107" t="s">
        <v>34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</v>
      </c>
      <c r="AG107">
        <v>1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ROW(Source!A81)</f>
        <v>81</v>
      </c>
      <c r="B108">
        <v>59213876</v>
      </c>
      <c r="C108">
        <v>59213452</v>
      </c>
      <c r="D108">
        <v>58266404</v>
      </c>
      <c r="E108">
        <v>1080</v>
      </c>
      <c r="F108">
        <v>1</v>
      </c>
      <c r="G108">
        <v>1080</v>
      </c>
      <c r="H108">
        <v>1</v>
      </c>
      <c r="I108" t="s">
        <v>331</v>
      </c>
      <c r="J108" t="s">
        <v>3</v>
      </c>
      <c r="K108" t="s">
        <v>332</v>
      </c>
      <c r="L108">
        <v>1191</v>
      </c>
      <c r="N108">
        <v>1013</v>
      </c>
      <c r="O108" t="s">
        <v>333</v>
      </c>
      <c r="P108" t="s">
        <v>333</v>
      </c>
      <c r="Q108">
        <v>1</v>
      </c>
      <c r="X108">
        <v>3.18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26</v>
      </c>
      <c r="AG108">
        <v>3.4980000000000007</v>
      </c>
      <c r="AH108">
        <v>2</v>
      </c>
      <c r="AI108">
        <v>59213453</v>
      </c>
      <c r="AJ108">
        <v>95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ROW(Source!A81)</f>
        <v>81</v>
      </c>
      <c r="B109">
        <v>59213877</v>
      </c>
      <c r="C109">
        <v>59213452</v>
      </c>
      <c r="D109">
        <v>58310652</v>
      </c>
      <c r="E109">
        <v>1</v>
      </c>
      <c r="F109">
        <v>1</v>
      </c>
      <c r="G109">
        <v>1080</v>
      </c>
      <c r="H109">
        <v>3</v>
      </c>
      <c r="I109" t="s">
        <v>399</v>
      </c>
      <c r="J109" t="s">
        <v>400</v>
      </c>
      <c r="K109" t="s">
        <v>401</v>
      </c>
      <c r="L109">
        <v>1346</v>
      </c>
      <c r="N109">
        <v>1009</v>
      </c>
      <c r="O109" t="s">
        <v>244</v>
      </c>
      <c r="P109" t="s">
        <v>244</v>
      </c>
      <c r="Q109">
        <v>1</v>
      </c>
      <c r="X109">
        <v>6.2700000000000004E-3</v>
      </c>
      <c r="Y109">
        <v>27.62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25</v>
      </c>
      <c r="AG109">
        <v>6.2700000000000004E-3</v>
      </c>
      <c r="AH109">
        <v>2</v>
      </c>
      <c r="AI109">
        <v>59213454</v>
      </c>
      <c r="AJ109">
        <v>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ROW(Source!A81)</f>
        <v>81</v>
      </c>
      <c r="B110">
        <v>59213878</v>
      </c>
      <c r="C110">
        <v>59213452</v>
      </c>
      <c r="D110">
        <v>58309371</v>
      </c>
      <c r="E110">
        <v>1</v>
      </c>
      <c r="F110">
        <v>1</v>
      </c>
      <c r="G110">
        <v>1080</v>
      </c>
      <c r="H110">
        <v>3</v>
      </c>
      <c r="I110" t="s">
        <v>391</v>
      </c>
      <c r="J110" t="s">
        <v>392</v>
      </c>
      <c r="K110" t="s">
        <v>393</v>
      </c>
      <c r="L110">
        <v>1348</v>
      </c>
      <c r="N110">
        <v>1009</v>
      </c>
      <c r="O110" t="s">
        <v>345</v>
      </c>
      <c r="P110" t="s">
        <v>345</v>
      </c>
      <c r="Q110">
        <v>1000</v>
      </c>
      <c r="X110">
        <v>1.0000000000000001E-5</v>
      </c>
      <c r="Y110">
        <v>64123.05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25</v>
      </c>
      <c r="AG110">
        <v>1.0000000000000001E-5</v>
      </c>
      <c r="AH110">
        <v>2</v>
      </c>
      <c r="AI110">
        <v>59213455</v>
      </c>
      <c r="AJ110">
        <v>97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ROW(Source!A81)</f>
        <v>81</v>
      </c>
      <c r="B111">
        <v>59213879</v>
      </c>
      <c r="C111">
        <v>59213452</v>
      </c>
      <c r="D111">
        <v>58319263</v>
      </c>
      <c r="E111">
        <v>1</v>
      </c>
      <c r="F111">
        <v>1</v>
      </c>
      <c r="G111">
        <v>1080</v>
      </c>
      <c r="H111">
        <v>3</v>
      </c>
      <c r="I111" t="s">
        <v>402</v>
      </c>
      <c r="J111" t="s">
        <v>403</v>
      </c>
      <c r="K111" t="s">
        <v>404</v>
      </c>
      <c r="L111">
        <v>1354</v>
      </c>
      <c r="N111">
        <v>1010</v>
      </c>
      <c r="O111" t="s">
        <v>34</v>
      </c>
      <c r="P111" t="s">
        <v>34</v>
      </c>
      <c r="Q111">
        <v>1</v>
      </c>
      <c r="X111">
        <v>0.1</v>
      </c>
      <c r="Y111">
        <v>15.25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25</v>
      </c>
      <c r="AG111">
        <v>0.1</v>
      </c>
      <c r="AH111">
        <v>2</v>
      </c>
      <c r="AI111">
        <v>59213456</v>
      </c>
      <c r="AJ111">
        <v>98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ROW(Source!A81)</f>
        <v>81</v>
      </c>
      <c r="B112">
        <v>59213880</v>
      </c>
      <c r="C112">
        <v>59213452</v>
      </c>
      <c r="D112">
        <v>58288464</v>
      </c>
      <c r="E112">
        <v>1080</v>
      </c>
      <c r="F112">
        <v>1</v>
      </c>
      <c r="G112">
        <v>1080</v>
      </c>
      <c r="H112">
        <v>3</v>
      </c>
      <c r="I112" t="s">
        <v>461</v>
      </c>
      <c r="J112" t="s">
        <v>3</v>
      </c>
      <c r="K112" t="s">
        <v>471</v>
      </c>
      <c r="L112">
        <v>1354</v>
      </c>
      <c r="N112">
        <v>1010</v>
      </c>
      <c r="O112" t="s">
        <v>34</v>
      </c>
      <c r="P112" t="s">
        <v>34</v>
      </c>
      <c r="Q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25</v>
      </c>
      <c r="AG112">
        <v>1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ROW(Source!A84)</f>
        <v>84</v>
      </c>
      <c r="B113">
        <v>59213881</v>
      </c>
      <c r="C113">
        <v>59213463</v>
      </c>
      <c r="D113">
        <v>58266404</v>
      </c>
      <c r="E113">
        <v>1080</v>
      </c>
      <c r="F113">
        <v>1</v>
      </c>
      <c r="G113">
        <v>1080</v>
      </c>
      <c r="H113">
        <v>1</v>
      </c>
      <c r="I113" t="s">
        <v>331</v>
      </c>
      <c r="J113" t="s">
        <v>3</v>
      </c>
      <c r="K113" t="s">
        <v>332</v>
      </c>
      <c r="L113">
        <v>1191</v>
      </c>
      <c r="N113">
        <v>1013</v>
      </c>
      <c r="O113" t="s">
        <v>333</v>
      </c>
      <c r="P113" t="s">
        <v>333</v>
      </c>
      <c r="Q113">
        <v>1</v>
      </c>
      <c r="X113">
        <v>6.2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26</v>
      </c>
      <c r="AG113">
        <v>6.8200000000000012</v>
      </c>
      <c r="AH113">
        <v>2</v>
      </c>
      <c r="AI113">
        <v>59213464</v>
      </c>
      <c r="AJ113">
        <v>99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ROW(Source!A84)</f>
        <v>84</v>
      </c>
      <c r="B114">
        <v>59213882</v>
      </c>
      <c r="C114">
        <v>59213463</v>
      </c>
      <c r="D114">
        <v>58339884</v>
      </c>
      <c r="E114">
        <v>1</v>
      </c>
      <c r="F114">
        <v>1</v>
      </c>
      <c r="G114">
        <v>1080</v>
      </c>
      <c r="H114">
        <v>2</v>
      </c>
      <c r="I114" t="s">
        <v>405</v>
      </c>
      <c r="J114" t="s">
        <v>406</v>
      </c>
      <c r="K114" t="s">
        <v>407</v>
      </c>
      <c r="L114">
        <v>1368</v>
      </c>
      <c r="N114">
        <v>1011</v>
      </c>
      <c r="O114" t="s">
        <v>337</v>
      </c>
      <c r="P114" t="s">
        <v>337</v>
      </c>
      <c r="Q114">
        <v>1</v>
      </c>
      <c r="X114">
        <v>0.25</v>
      </c>
      <c r="Y114">
        <v>0</v>
      </c>
      <c r="Z114">
        <v>114.83</v>
      </c>
      <c r="AA114">
        <v>12.62</v>
      </c>
      <c r="AB114">
        <v>0</v>
      </c>
      <c r="AC114">
        <v>0</v>
      </c>
      <c r="AD114">
        <v>1</v>
      </c>
      <c r="AE114">
        <v>0</v>
      </c>
      <c r="AF114" t="s">
        <v>26</v>
      </c>
      <c r="AG114">
        <v>0.27500000000000002</v>
      </c>
      <c r="AH114">
        <v>2</v>
      </c>
      <c r="AI114">
        <v>59213465</v>
      </c>
      <c r="AJ114">
        <v>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ROW(Source!A84)</f>
        <v>84</v>
      </c>
      <c r="B115">
        <v>59213883</v>
      </c>
      <c r="C115">
        <v>59213463</v>
      </c>
      <c r="D115">
        <v>58311298</v>
      </c>
      <c r="E115">
        <v>1</v>
      </c>
      <c r="F115">
        <v>1</v>
      </c>
      <c r="G115">
        <v>1080</v>
      </c>
      <c r="H115">
        <v>3</v>
      </c>
      <c r="I115" t="s">
        <v>408</v>
      </c>
      <c r="J115" t="s">
        <v>409</v>
      </c>
      <c r="K115" t="s">
        <v>410</v>
      </c>
      <c r="L115">
        <v>1348</v>
      </c>
      <c r="N115">
        <v>1009</v>
      </c>
      <c r="O115" t="s">
        <v>345</v>
      </c>
      <c r="P115" t="s">
        <v>345</v>
      </c>
      <c r="Q115">
        <v>1000</v>
      </c>
      <c r="X115">
        <v>1.1000000000000001E-3</v>
      </c>
      <c r="Y115">
        <v>10643.18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25</v>
      </c>
      <c r="AG115">
        <v>1.1000000000000001E-3</v>
      </c>
      <c r="AH115">
        <v>2</v>
      </c>
      <c r="AI115">
        <v>59213466</v>
      </c>
      <c r="AJ115">
        <v>101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ROW(Source!A84)</f>
        <v>84</v>
      </c>
      <c r="B116">
        <v>59213884</v>
      </c>
      <c r="C116">
        <v>59213463</v>
      </c>
      <c r="D116">
        <v>58309371</v>
      </c>
      <c r="E116">
        <v>1</v>
      </c>
      <c r="F116">
        <v>1</v>
      </c>
      <c r="G116">
        <v>1080</v>
      </c>
      <c r="H116">
        <v>3</v>
      </c>
      <c r="I116" t="s">
        <v>391</v>
      </c>
      <c r="J116" t="s">
        <v>392</v>
      </c>
      <c r="K116" t="s">
        <v>393</v>
      </c>
      <c r="L116">
        <v>1348</v>
      </c>
      <c r="N116">
        <v>1009</v>
      </c>
      <c r="O116" t="s">
        <v>345</v>
      </c>
      <c r="P116" t="s">
        <v>345</v>
      </c>
      <c r="Q116">
        <v>1000</v>
      </c>
      <c r="X116">
        <v>1.0000000000000001E-5</v>
      </c>
      <c r="Y116">
        <v>64123.05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25</v>
      </c>
      <c r="AG116">
        <v>1.0000000000000001E-5</v>
      </c>
      <c r="AH116">
        <v>2</v>
      </c>
      <c r="AI116">
        <v>59213467</v>
      </c>
      <c r="AJ116">
        <v>102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ROW(Source!A84)</f>
        <v>84</v>
      </c>
      <c r="B117">
        <v>59213885</v>
      </c>
      <c r="C117">
        <v>59213463</v>
      </c>
      <c r="D117">
        <v>58296910</v>
      </c>
      <c r="E117">
        <v>1080</v>
      </c>
      <c r="F117">
        <v>1</v>
      </c>
      <c r="G117">
        <v>1080</v>
      </c>
      <c r="H117">
        <v>3</v>
      </c>
      <c r="I117" t="s">
        <v>477</v>
      </c>
      <c r="J117" t="s">
        <v>3</v>
      </c>
      <c r="K117" t="s">
        <v>478</v>
      </c>
      <c r="L117">
        <v>1354</v>
      </c>
      <c r="N117">
        <v>1010</v>
      </c>
      <c r="O117" t="s">
        <v>34</v>
      </c>
      <c r="P117" t="s">
        <v>34</v>
      </c>
      <c r="Q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25</v>
      </c>
      <c r="AG117">
        <v>1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ROW(Source!A85)</f>
        <v>85</v>
      </c>
      <c r="B118">
        <v>59213881</v>
      </c>
      <c r="C118">
        <v>59213463</v>
      </c>
      <c r="D118">
        <v>58266404</v>
      </c>
      <c r="E118">
        <v>1080</v>
      </c>
      <c r="F118">
        <v>1</v>
      </c>
      <c r="G118">
        <v>1080</v>
      </c>
      <c r="H118">
        <v>1</v>
      </c>
      <c r="I118" t="s">
        <v>331</v>
      </c>
      <c r="J118" t="s">
        <v>3</v>
      </c>
      <c r="K118" t="s">
        <v>332</v>
      </c>
      <c r="L118">
        <v>1191</v>
      </c>
      <c r="N118">
        <v>1013</v>
      </c>
      <c r="O118" t="s">
        <v>333</v>
      </c>
      <c r="P118" t="s">
        <v>333</v>
      </c>
      <c r="Q118">
        <v>1</v>
      </c>
      <c r="X118">
        <v>6.2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26</v>
      </c>
      <c r="AG118">
        <v>6.8200000000000012</v>
      </c>
      <c r="AH118">
        <v>2</v>
      </c>
      <c r="AI118">
        <v>59213464</v>
      </c>
      <c r="AJ118">
        <v>103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ROW(Source!A85)</f>
        <v>85</v>
      </c>
      <c r="B119">
        <v>59213882</v>
      </c>
      <c r="C119">
        <v>59213463</v>
      </c>
      <c r="D119">
        <v>58339884</v>
      </c>
      <c r="E119">
        <v>1</v>
      </c>
      <c r="F119">
        <v>1</v>
      </c>
      <c r="G119">
        <v>1080</v>
      </c>
      <c r="H119">
        <v>2</v>
      </c>
      <c r="I119" t="s">
        <v>405</v>
      </c>
      <c r="J119" t="s">
        <v>406</v>
      </c>
      <c r="K119" t="s">
        <v>407</v>
      </c>
      <c r="L119">
        <v>1368</v>
      </c>
      <c r="N119">
        <v>1011</v>
      </c>
      <c r="O119" t="s">
        <v>337</v>
      </c>
      <c r="P119" t="s">
        <v>337</v>
      </c>
      <c r="Q119">
        <v>1</v>
      </c>
      <c r="X119">
        <v>0.25</v>
      </c>
      <c r="Y119">
        <v>0</v>
      </c>
      <c r="Z119">
        <v>114.83</v>
      </c>
      <c r="AA119">
        <v>12.62</v>
      </c>
      <c r="AB119">
        <v>0</v>
      </c>
      <c r="AC119">
        <v>0</v>
      </c>
      <c r="AD119">
        <v>1</v>
      </c>
      <c r="AE119">
        <v>0</v>
      </c>
      <c r="AF119" t="s">
        <v>26</v>
      </c>
      <c r="AG119">
        <v>0.27500000000000002</v>
      </c>
      <c r="AH119">
        <v>2</v>
      </c>
      <c r="AI119">
        <v>59213465</v>
      </c>
      <c r="AJ119">
        <v>104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ROW(Source!A85)</f>
        <v>85</v>
      </c>
      <c r="B120">
        <v>59213883</v>
      </c>
      <c r="C120">
        <v>59213463</v>
      </c>
      <c r="D120">
        <v>58311298</v>
      </c>
      <c r="E120">
        <v>1</v>
      </c>
      <c r="F120">
        <v>1</v>
      </c>
      <c r="G120">
        <v>1080</v>
      </c>
      <c r="H120">
        <v>3</v>
      </c>
      <c r="I120" t="s">
        <v>408</v>
      </c>
      <c r="J120" t="s">
        <v>409</v>
      </c>
      <c r="K120" t="s">
        <v>410</v>
      </c>
      <c r="L120">
        <v>1348</v>
      </c>
      <c r="N120">
        <v>1009</v>
      </c>
      <c r="O120" t="s">
        <v>345</v>
      </c>
      <c r="P120" t="s">
        <v>345</v>
      </c>
      <c r="Q120">
        <v>1000</v>
      </c>
      <c r="X120">
        <v>1.1000000000000001E-3</v>
      </c>
      <c r="Y120">
        <v>10643.18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25</v>
      </c>
      <c r="AG120">
        <v>1.1000000000000001E-3</v>
      </c>
      <c r="AH120">
        <v>2</v>
      </c>
      <c r="AI120">
        <v>59213466</v>
      </c>
      <c r="AJ120">
        <v>105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ROW(Source!A85)</f>
        <v>85</v>
      </c>
      <c r="B121">
        <v>59213884</v>
      </c>
      <c r="C121">
        <v>59213463</v>
      </c>
      <c r="D121">
        <v>58309371</v>
      </c>
      <c r="E121">
        <v>1</v>
      </c>
      <c r="F121">
        <v>1</v>
      </c>
      <c r="G121">
        <v>1080</v>
      </c>
      <c r="H121">
        <v>3</v>
      </c>
      <c r="I121" t="s">
        <v>391</v>
      </c>
      <c r="J121" t="s">
        <v>392</v>
      </c>
      <c r="K121" t="s">
        <v>393</v>
      </c>
      <c r="L121">
        <v>1348</v>
      </c>
      <c r="N121">
        <v>1009</v>
      </c>
      <c r="O121" t="s">
        <v>345</v>
      </c>
      <c r="P121" t="s">
        <v>345</v>
      </c>
      <c r="Q121">
        <v>1000</v>
      </c>
      <c r="X121">
        <v>1.0000000000000001E-5</v>
      </c>
      <c r="Y121">
        <v>64123.05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25</v>
      </c>
      <c r="AG121">
        <v>1.0000000000000001E-5</v>
      </c>
      <c r="AH121">
        <v>2</v>
      </c>
      <c r="AI121">
        <v>59213467</v>
      </c>
      <c r="AJ121">
        <v>106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ROW(Source!A85)</f>
        <v>85</v>
      </c>
      <c r="B122">
        <v>59213885</v>
      </c>
      <c r="C122">
        <v>59213463</v>
      </c>
      <c r="D122">
        <v>58296910</v>
      </c>
      <c r="E122">
        <v>1080</v>
      </c>
      <c r="F122">
        <v>1</v>
      </c>
      <c r="G122">
        <v>1080</v>
      </c>
      <c r="H122">
        <v>3</v>
      </c>
      <c r="I122" t="s">
        <v>477</v>
      </c>
      <c r="J122" t="s">
        <v>3</v>
      </c>
      <c r="K122" t="s">
        <v>478</v>
      </c>
      <c r="L122">
        <v>1354</v>
      </c>
      <c r="N122">
        <v>1010</v>
      </c>
      <c r="O122" t="s">
        <v>34</v>
      </c>
      <c r="P122" t="s">
        <v>34</v>
      </c>
      <c r="Q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25</v>
      </c>
      <c r="AG122">
        <v>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ROW(Source!A125)</f>
        <v>125</v>
      </c>
      <c r="B123">
        <v>59213886</v>
      </c>
      <c r="C123">
        <v>59213531</v>
      </c>
      <c r="D123">
        <v>58266404</v>
      </c>
      <c r="E123">
        <v>1080</v>
      </c>
      <c r="F123">
        <v>1</v>
      </c>
      <c r="G123">
        <v>1080</v>
      </c>
      <c r="H123">
        <v>1</v>
      </c>
      <c r="I123" t="s">
        <v>331</v>
      </c>
      <c r="J123" t="s">
        <v>3</v>
      </c>
      <c r="K123" t="s">
        <v>332</v>
      </c>
      <c r="L123">
        <v>1191</v>
      </c>
      <c r="N123">
        <v>1013</v>
      </c>
      <c r="O123" t="s">
        <v>333</v>
      </c>
      <c r="P123" t="s">
        <v>333</v>
      </c>
      <c r="Q123">
        <v>1</v>
      </c>
      <c r="X123">
        <v>15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26</v>
      </c>
      <c r="AG123">
        <v>16.5</v>
      </c>
      <c r="AH123">
        <v>2</v>
      </c>
      <c r="AI123">
        <v>59213532</v>
      </c>
      <c r="AJ123">
        <v>107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ROW(Source!A125)</f>
        <v>125</v>
      </c>
      <c r="B124">
        <v>59213887</v>
      </c>
      <c r="C124">
        <v>59213531</v>
      </c>
      <c r="D124">
        <v>58275806</v>
      </c>
      <c r="E124">
        <v>1080</v>
      </c>
      <c r="F124">
        <v>1</v>
      </c>
      <c r="G124">
        <v>1080</v>
      </c>
      <c r="H124">
        <v>3</v>
      </c>
      <c r="I124" t="s">
        <v>479</v>
      </c>
      <c r="J124" t="s">
        <v>3</v>
      </c>
      <c r="K124" t="s">
        <v>480</v>
      </c>
      <c r="L124">
        <v>1301</v>
      </c>
      <c r="N124">
        <v>1003</v>
      </c>
      <c r="O124" t="s">
        <v>222</v>
      </c>
      <c r="P124" t="s">
        <v>222</v>
      </c>
      <c r="Q124">
        <v>1</v>
      </c>
      <c r="X124">
        <v>102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25</v>
      </c>
      <c r="AG124">
        <v>102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ROW(Source!A125)</f>
        <v>125</v>
      </c>
      <c r="B125">
        <v>59213888</v>
      </c>
      <c r="C125">
        <v>59213531</v>
      </c>
      <c r="D125">
        <v>58278973</v>
      </c>
      <c r="E125">
        <v>1080</v>
      </c>
      <c r="F125">
        <v>1</v>
      </c>
      <c r="G125">
        <v>1080</v>
      </c>
      <c r="H125">
        <v>3</v>
      </c>
      <c r="I125" t="s">
        <v>481</v>
      </c>
      <c r="J125" t="s">
        <v>3</v>
      </c>
      <c r="K125" t="s">
        <v>482</v>
      </c>
      <c r="L125">
        <v>1354</v>
      </c>
      <c r="N125">
        <v>1010</v>
      </c>
      <c r="O125" t="s">
        <v>34</v>
      </c>
      <c r="P125" t="s">
        <v>34</v>
      </c>
      <c r="Q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25</v>
      </c>
      <c r="AG125">
        <v>0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ROW(Source!A125)</f>
        <v>125</v>
      </c>
      <c r="B126">
        <v>59213889</v>
      </c>
      <c r="C126">
        <v>59213531</v>
      </c>
      <c r="D126">
        <v>58279545</v>
      </c>
      <c r="E126">
        <v>1080</v>
      </c>
      <c r="F126">
        <v>1</v>
      </c>
      <c r="G126">
        <v>1080</v>
      </c>
      <c r="H126">
        <v>3</v>
      </c>
      <c r="I126" t="s">
        <v>483</v>
      </c>
      <c r="J126" t="s">
        <v>3</v>
      </c>
      <c r="K126" t="s">
        <v>484</v>
      </c>
      <c r="L126">
        <v>1354</v>
      </c>
      <c r="N126">
        <v>1010</v>
      </c>
      <c r="O126" t="s">
        <v>34</v>
      </c>
      <c r="P126" t="s">
        <v>34</v>
      </c>
      <c r="Q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25</v>
      </c>
      <c r="AG126">
        <v>0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ROW(Source!A126)</f>
        <v>126</v>
      </c>
      <c r="B127">
        <v>59213886</v>
      </c>
      <c r="C127">
        <v>59213531</v>
      </c>
      <c r="D127">
        <v>58266404</v>
      </c>
      <c r="E127">
        <v>1080</v>
      </c>
      <c r="F127">
        <v>1</v>
      </c>
      <c r="G127">
        <v>1080</v>
      </c>
      <c r="H127">
        <v>1</v>
      </c>
      <c r="I127" t="s">
        <v>331</v>
      </c>
      <c r="J127" t="s">
        <v>3</v>
      </c>
      <c r="K127" t="s">
        <v>332</v>
      </c>
      <c r="L127">
        <v>1191</v>
      </c>
      <c r="N127">
        <v>1013</v>
      </c>
      <c r="O127" t="s">
        <v>333</v>
      </c>
      <c r="P127" t="s">
        <v>333</v>
      </c>
      <c r="Q127">
        <v>1</v>
      </c>
      <c r="X127">
        <v>15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26</v>
      </c>
      <c r="AG127">
        <v>16.5</v>
      </c>
      <c r="AH127">
        <v>2</v>
      </c>
      <c r="AI127">
        <v>59213532</v>
      </c>
      <c r="AJ127">
        <v>110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ROW(Source!A126)</f>
        <v>126</v>
      </c>
      <c r="B128">
        <v>59213887</v>
      </c>
      <c r="C128">
        <v>59213531</v>
      </c>
      <c r="D128">
        <v>58275806</v>
      </c>
      <c r="E128">
        <v>1080</v>
      </c>
      <c r="F128">
        <v>1</v>
      </c>
      <c r="G128">
        <v>1080</v>
      </c>
      <c r="H128">
        <v>3</v>
      </c>
      <c r="I128" t="s">
        <v>479</v>
      </c>
      <c r="J128" t="s">
        <v>3</v>
      </c>
      <c r="K128" t="s">
        <v>480</v>
      </c>
      <c r="L128">
        <v>1301</v>
      </c>
      <c r="N128">
        <v>1003</v>
      </c>
      <c r="O128" t="s">
        <v>222</v>
      </c>
      <c r="P128" t="s">
        <v>222</v>
      </c>
      <c r="Q128">
        <v>1</v>
      </c>
      <c r="X128">
        <v>102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25</v>
      </c>
      <c r="AG128">
        <v>102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ROW(Source!A126)</f>
        <v>126</v>
      </c>
      <c r="B129">
        <v>59213888</v>
      </c>
      <c r="C129">
        <v>59213531</v>
      </c>
      <c r="D129">
        <v>58278973</v>
      </c>
      <c r="E129">
        <v>1080</v>
      </c>
      <c r="F129">
        <v>1</v>
      </c>
      <c r="G129">
        <v>1080</v>
      </c>
      <c r="H129">
        <v>3</v>
      </c>
      <c r="I129" t="s">
        <v>481</v>
      </c>
      <c r="J129" t="s">
        <v>3</v>
      </c>
      <c r="K129" t="s">
        <v>482</v>
      </c>
      <c r="L129">
        <v>1354</v>
      </c>
      <c r="N129">
        <v>1010</v>
      </c>
      <c r="O129" t="s">
        <v>34</v>
      </c>
      <c r="P129" t="s">
        <v>34</v>
      </c>
      <c r="Q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25</v>
      </c>
      <c r="AG129">
        <v>0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ROW(Source!A126)</f>
        <v>126</v>
      </c>
      <c r="B130">
        <v>59213889</v>
      </c>
      <c r="C130">
        <v>59213531</v>
      </c>
      <c r="D130">
        <v>58279545</v>
      </c>
      <c r="E130">
        <v>1080</v>
      </c>
      <c r="F130">
        <v>1</v>
      </c>
      <c r="G130">
        <v>1080</v>
      </c>
      <c r="H130">
        <v>3</v>
      </c>
      <c r="I130" t="s">
        <v>483</v>
      </c>
      <c r="J130" t="s">
        <v>3</v>
      </c>
      <c r="K130" t="s">
        <v>484</v>
      </c>
      <c r="L130">
        <v>1354</v>
      </c>
      <c r="N130">
        <v>1010</v>
      </c>
      <c r="O130" t="s">
        <v>34</v>
      </c>
      <c r="P130" t="s">
        <v>34</v>
      </c>
      <c r="Q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25</v>
      </c>
      <c r="AG130">
        <v>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ROW(Source!A131)</f>
        <v>131</v>
      </c>
      <c r="B131">
        <v>59213890</v>
      </c>
      <c r="C131">
        <v>59213541</v>
      </c>
      <c r="D131">
        <v>58266404</v>
      </c>
      <c r="E131">
        <v>1080</v>
      </c>
      <c r="F131">
        <v>1</v>
      </c>
      <c r="G131">
        <v>1080</v>
      </c>
      <c r="H131">
        <v>1</v>
      </c>
      <c r="I131" t="s">
        <v>331</v>
      </c>
      <c r="J131" t="s">
        <v>3</v>
      </c>
      <c r="K131" t="s">
        <v>332</v>
      </c>
      <c r="L131">
        <v>1191</v>
      </c>
      <c r="N131">
        <v>1013</v>
      </c>
      <c r="O131" t="s">
        <v>333</v>
      </c>
      <c r="P131" t="s">
        <v>333</v>
      </c>
      <c r="Q131">
        <v>1</v>
      </c>
      <c r="X131">
        <v>14.37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26</v>
      </c>
      <c r="AG131">
        <v>15.807</v>
      </c>
      <c r="AH131">
        <v>2</v>
      </c>
      <c r="AI131">
        <v>59213542</v>
      </c>
      <c r="AJ131">
        <v>113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ROW(Source!A131)</f>
        <v>131</v>
      </c>
      <c r="B132">
        <v>59213891</v>
      </c>
      <c r="C132">
        <v>59213541</v>
      </c>
      <c r="D132">
        <v>58275806</v>
      </c>
      <c r="E132">
        <v>1080</v>
      </c>
      <c r="F132">
        <v>1</v>
      </c>
      <c r="G132">
        <v>1080</v>
      </c>
      <c r="H132">
        <v>3</v>
      </c>
      <c r="I132" t="s">
        <v>479</v>
      </c>
      <c r="J132" t="s">
        <v>3</v>
      </c>
      <c r="K132" t="s">
        <v>480</v>
      </c>
      <c r="L132">
        <v>1301</v>
      </c>
      <c r="N132">
        <v>1003</v>
      </c>
      <c r="O132" t="s">
        <v>222</v>
      </c>
      <c r="P132" t="s">
        <v>222</v>
      </c>
      <c r="Q132">
        <v>1</v>
      </c>
      <c r="X132">
        <v>102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25</v>
      </c>
      <c r="AG132">
        <v>102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ROW(Source!A131)</f>
        <v>131</v>
      </c>
      <c r="B133">
        <v>59213892</v>
      </c>
      <c r="C133">
        <v>59213541</v>
      </c>
      <c r="D133">
        <v>58278973</v>
      </c>
      <c r="E133">
        <v>1080</v>
      </c>
      <c r="F133">
        <v>1</v>
      </c>
      <c r="G133">
        <v>1080</v>
      </c>
      <c r="H133">
        <v>3</v>
      </c>
      <c r="I133" t="s">
        <v>481</v>
      </c>
      <c r="J133" t="s">
        <v>3</v>
      </c>
      <c r="K133" t="s">
        <v>482</v>
      </c>
      <c r="L133">
        <v>1354</v>
      </c>
      <c r="N133">
        <v>1010</v>
      </c>
      <c r="O133" t="s">
        <v>34</v>
      </c>
      <c r="P133" t="s">
        <v>34</v>
      </c>
      <c r="Q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25</v>
      </c>
      <c r="AG133">
        <v>0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ROW(Source!A131)</f>
        <v>131</v>
      </c>
      <c r="B134">
        <v>59213893</v>
      </c>
      <c r="C134">
        <v>59213541</v>
      </c>
      <c r="D134">
        <v>58279545</v>
      </c>
      <c r="E134">
        <v>1080</v>
      </c>
      <c r="F134">
        <v>1</v>
      </c>
      <c r="G134">
        <v>1080</v>
      </c>
      <c r="H134">
        <v>3</v>
      </c>
      <c r="I134" t="s">
        <v>483</v>
      </c>
      <c r="J134" t="s">
        <v>3</v>
      </c>
      <c r="K134" t="s">
        <v>484</v>
      </c>
      <c r="L134">
        <v>1354</v>
      </c>
      <c r="N134">
        <v>1010</v>
      </c>
      <c r="O134" t="s">
        <v>34</v>
      </c>
      <c r="P134" t="s">
        <v>34</v>
      </c>
      <c r="Q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25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ROW(Source!A132)</f>
        <v>132</v>
      </c>
      <c r="B135">
        <v>59213890</v>
      </c>
      <c r="C135">
        <v>59213541</v>
      </c>
      <c r="D135">
        <v>58266404</v>
      </c>
      <c r="E135">
        <v>1080</v>
      </c>
      <c r="F135">
        <v>1</v>
      </c>
      <c r="G135">
        <v>1080</v>
      </c>
      <c r="H135">
        <v>1</v>
      </c>
      <c r="I135" t="s">
        <v>331</v>
      </c>
      <c r="J135" t="s">
        <v>3</v>
      </c>
      <c r="K135" t="s">
        <v>332</v>
      </c>
      <c r="L135">
        <v>1191</v>
      </c>
      <c r="N135">
        <v>1013</v>
      </c>
      <c r="O135" t="s">
        <v>333</v>
      </c>
      <c r="P135" t="s">
        <v>333</v>
      </c>
      <c r="Q135">
        <v>1</v>
      </c>
      <c r="X135">
        <v>14.37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26</v>
      </c>
      <c r="AG135">
        <v>15.807</v>
      </c>
      <c r="AH135">
        <v>2</v>
      </c>
      <c r="AI135">
        <v>59213542</v>
      </c>
      <c r="AJ135">
        <v>116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ROW(Source!A132)</f>
        <v>132</v>
      </c>
      <c r="B136">
        <v>59213891</v>
      </c>
      <c r="C136">
        <v>59213541</v>
      </c>
      <c r="D136">
        <v>58275806</v>
      </c>
      <c r="E136">
        <v>1080</v>
      </c>
      <c r="F136">
        <v>1</v>
      </c>
      <c r="G136">
        <v>1080</v>
      </c>
      <c r="H136">
        <v>3</v>
      </c>
      <c r="I136" t="s">
        <v>479</v>
      </c>
      <c r="J136" t="s">
        <v>3</v>
      </c>
      <c r="K136" t="s">
        <v>480</v>
      </c>
      <c r="L136">
        <v>1301</v>
      </c>
      <c r="N136">
        <v>1003</v>
      </c>
      <c r="O136" t="s">
        <v>222</v>
      </c>
      <c r="P136" t="s">
        <v>222</v>
      </c>
      <c r="Q136">
        <v>1</v>
      </c>
      <c r="X136">
        <v>102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25</v>
      </c>
      <c r="AG136">
        <v>102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ROW(Source!A132)</f>
        <v>132</v>
      </c>
      <c r="B137">
        <v>59213892</v>
      </c>
      <c r="C137">
        <v>59213541</v>
      </c>
      <c r="D137">
        <v>58278973</v>
      </c>
      <c r="E137">
        <v>1080</v>
      </c>
      <c r="F137">
        <v>1</v>
      </c>
      <c r="G137">
        <v>1080</v>
      </c>
      <c r="H137">
        <v>3</v>
      </c>
      <c r="I137" t="s">
        <v>481</v>
      </c>
      <c r="J137" t="s">
        <v>3</v>
      </c>
      <c r="K137" t="s">
        <v>482</v>
      </c>
      <c r="L137">
        <v>1354</v>
      </c>
      <c r="N137">
        <v>1010</v>
      </c>
      <c r="O137" t="s">
        <v>34</v>
      </c>
      <c r="P137" t="s">
        <v>34</v>
      </c>
      <c r="Q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25</v>
      </c>
      <c r="AG137">
        <v>0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ROW(Source!A132)</f>
        <v>132</v>
      </c>
      <c r="B138">
        <v>59213893</v>
      </c>
      <c r="C138">
        <v>59213541</v>
      </c>
      <c r="D138">
        <v>58279545</v>
      </c>
      <c r="E138">
        <v>1080</v>
      </c>
      <c r="F138">
        <v>1</v>
      </c>
      <c r="G138">
        <v>1080</v>
      </c>
      <c r="H138">
        <v>3</v>
      </c>
      <c r="I138" t="s">
        <v>483</v>
      </c>
      <c r="J138" t="s">
        <v>3</v>
      </c>
      <c r="K138" t="s">
        <v>484</v>
      </c>
      <c r="L138">
        <v>1354</v>
      </c>
      <c r="N138">
        <v>1010</v>
      </c>
      <c r="O138" t="s">
        <v>34</v>
      </c>
      <c r="P138" t="s">
        <v>34</v>
      </c>
      <c r="Q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25</v>
      </c>
      <c r="AG138">
        <v>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ROW(Source!A139)</f>
        <v>139</v>
      </c>
      <c r="B139">
        <v>59213894</v>
      </c>
      <c r="C139">
        <v>59213552</v>
      </c>
      <c r="D139">
        <v>58266404</v>
      </c>
      <c r="E139">
        <v>1080</v>
      </c>
      <c r="F139">
        <v>1</v>
      </c>
      <c r="G139">
        <v>1080</v>
      </c>
      <c r="H139">
        <v>1</v>
      </c>
      <c r="I139" t="s">
        <v>331</v>
      </c>
      <c r="J139" t="s">
        <v>3</v>
      </c>
      <c r="K139" t="s">
        <v>332</v>
      </c>
      <c r="L139">
        <v>1191</v>
      </c>
      <c r="N139">
        <v>1013</v>
      </c>
      <c r="O139" t="s">
        <v>333</v>
      </c>
      <c r="P139" t="s">
        <v>333</v>
      </c>
      <c r="Q139">
        <v>1</v>
      </c>
      <c r="X139">
        <v>4.49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26</v>
      </c>
      <c r="AG139">
        <v>4.9390000000000009</v>
      </c>
      <c r="AH139">
        <v>2</v>
      </c>
      <c r="AI139">
        <v>59213553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ROW(Source!A139)</f>
        <v>139</v>
      </c>
      <c r="B140">
        <v>59213895</v>
      </c>
      <c r="C140">
        <v>59213552</v>
      </c>
      <c r="D140">
        <v>58340578</v>
      </c>
      <c r="E140">
        <v>1</v>
      </c>
      <c r="F140">
        <v>1</v>
      </c>
      <c r="G140">
        <v>1080</v>
      </c>
      <c r="H140">
        <v>2</v>
      </c>
      <c r="I140" t="s">
        <v>334</v>
      </c>
      <c r="J140" t="s">
        <v>335</v>
      </c>
      <c r="K140" t="s">
        <v>336</v>
      </c>
      <c r="L140">
        <v>1368</v>
      </c>
      <c r="N140">
        <v>1011</v>
      </c>
      <c r="O140" t="s">
        <v>337</v>
      </c>
      <c r="P140" t="s">
        <v>337</v>
      </c>
      <c r="Q140">
        <v>1</v>
      </c>
      <c r="X140">
        <v>0.01</v>
      </c>
      <c r="Y140">
        <v>0</v>
      </c>
      <c r="Z140">
        <v>83.1</v>
      </c>
      <c r="AA140">
        <v>12.62</v>
      </c>
      <c r="AB140">
        <v>0</v>
      </c>
      <c r="AC140">
        <v>0</v>
      </c>
      <c r="AD140">
        <v>1</v>
      </c>
      <c r="AE140">
        <v>0</v>
      </c>
      <c r="AF140" t="s">
        <v>26</v>
      </c>
      <c r="AG140">
        <v>1.1000000000000001E-2</v>
      </c>
      <c r="AH140">
        <v>2</v>
      </c>
      <c r="AI140">
        <v>59213554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ROW(Source!A139)</f>
        <v>139</v>
      </c>
      <c r="B141">
        <v>59213896</v>
      </c>
      <c r="C141">
        <v>59213552</v>
      </c>
      <c r="D141">
        <v>58339814</v>
      </c>
      <c r="E141">
        <v>1</v>
      </c>
      <c r="F141">
        <v>1</v>
      </c>
      <c r="G141">
        <v>1080</v>
      </c>
      <c r="H141">
        <v>2</v>
      </c>
      <c r="I141" t="s">
        <v>411</v>
      </c>
      <c r="J141" t="s">
        <v>412</v>
      </c>
      <c r="K141" t="s">
        <v>413</v>
      </c>
      <c r="L141">
        <v>1368</v>
      </c>
      <c r="N141">
        <v>1011</v>
      </c>
      <c r="O141" t="s">
        <v>337</v>
      </c>
      <c r="P141" t="s">
        <v>337</v>
      </c>
      <c r="Q141">
        <v>1</v>
      </c>
      <c r="X141">
        <v>0.01</v>
      </c>
      <c r="Y141">
        <v>0</v>
      </c>
      <c r="Z141">
        <v>179.17</v>
      </c>
      <c r="AA141">
        <v>16.93</v>
      </c>
      <c r="AB141">
        <v>0</v>
      </c>
      <c r="AC141">
        <v>0</v>
      </c>
      <c r="AD141">
        <v>1</v>
      </c>
      <c r="AE141">
        <v>0</v>
      </c>
      <c r="AF141" t="s">
        <v>26</v>
      </c>
      <c r="AG141">
        <v>1.1000000000000001E-2</v>
      </c>
      <c r="AH141">
        <v>2</v>
      </c>
      <c r="AI141">
        <v>59213555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ROW(Source!A139)</f>
        <v>139</v>
      </c>
      <c r="B142">
        <v>59213897</v>
      </c>
      <c r="C142">
        <v>59213552</v>
      </c>
      <c r="D142">
        <v>58309611</v>
      </c>
      <c r="E142">
        <v>1</v>
      </c>
      <c r="F142">
        <v>1</v>
      </c>
      <c r="G142">
        <v>1080</v>
      </c>
      <c r="H142">
        <v>3</v>
      </c>
      <c r="I142" t="s">
        <v>414</v>
      </c>
      <c r="J142" t="s">
        <v>415</v>
      </c>
      <c r="K142" t="s">
        <v>416</v>
      </c>
      <c r="L142">
        <v>1346</v>
      </c>
      <c r="N142">
        <v>1009</v>
      </c>
      <c r="O142" t="s">
        <v>244</v>
      </c>
      <c r="P142" t="s">
        <v>244</v>
      </c>
      <c r="Q142">
        <v>1</v>
      </c>
      <c r="X142">
        <v>0.43</v>
      </c>
      <c r="Y142">
        <v>1.38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25</v>
      </c>
      <c r="AG142">
        <v>0.43</v>
      </c>
      <c r="AH142">
        <v>2</v>
      </c>
      <c r="AI142">
        <v>59213556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ROW(Source!A139)</f>
        <v>139</v>
      </c>
      <c r="B143">
        <v>59213898</v>
      </c>
      <c r="C143">
        <v>59213552</v>
      </c>
      <c r="D143">
        <v>58310002</v>
      </c>
      <c r="E143">
        <v>1</v>
      </c>
      <c r="F143">
        <v>1</v>
      </c>
      <c r="G143">
        <v>1080</v>
      </c>
      <c r="H143">
        <v>3</v>
      </c>
      <c r="I143" t="s">
        <v>417</v>
      </c>
      <c r="J143" t="s">
        <v>418</v>
      </c>
      <c r="K143" t="s">
        <v>419</v>
      </c>
      <c r="L143">
        <v>1346</v>
      </c>
      <c r="N143">
        <v>1009</v>
      </c>
      <c r="O143" t="s">
        <v>244</v>
      </c>
      <c r="P143" t="s">
        <v>244</v>
      </c>
      <c r="Q143">
        <v>1</v>
      </c>
      <c r="X143">
        <v>0.16</v>
      </c>
      <c r="Y143">
        <v>159.06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25</v>
      </c>
      <c r="AG143">
        <v>0.16</v>
      </c>
      <c r="AH143">
        <v>2</v>
      </c>
      <c r="AI143">
        <v>59213557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ROW(Source!A139)</f>
        <v>139</v>
      </c>
      <c r="B144">
        <v>59213899</v>
      </c>
      <c r="C144">
        <v>59213552</v>
      </c>
      <c r="D144">
        <v>58332945</v>
      </c>
      <c r="E144">
        <v>1</v>
      </c>
      <c r="F144">
        <v>1</v>
      </c>
      <c r="G144">
        <v>1080</v>
      </c>
      <c r="H144">
        <v>3</v>
      </c>
      <c r="I144" t="s">
        <v>420</v>
      </c>
      <c r="J144" t="s">
        <v>421</v>
      </c>
      <c r="K144" t="s">
        <v>422</v>
      </c>
      <c r="L144">
        <v>1355</v>
      </c>
      <c r="N144">
        <v>1010</v>
      </c>
      <c r="O144" t="s">
        <v>227</v>
      </c>
      <c r="P144" t="s">
        <v>227</v>
      </c>
      <c r="Q144">
        <v>100</v>
      </c>
      <c r="X144">
        <v>0.05</v>
      </c>
      <c r="Y144">
        <v>68.819999999999993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25</v>
      </c>
      <c r="AG144">
        <v>0.05</v>
      </c>
      <c r="AH144">
        <v>2</v>
      </c>
      <c r="AI144">
        <v>59213558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ROW(Source!A139)</f>
        <v>139</v>
      </c>
      <c r="B145">
        <v>59213900</v>
      </c>
      <c r="C145">
        <v>59213552</v>
      </c>
      <c r="D145">
        <v>58332956</v>
      </c>
      <c r="E145">
        <v>1</v>
      </c>
      <c r="F145">
        <v>1</v>
      </c>
      <c r="G145">
        <v>1080</v>
      </c>
      <c r="H145">
        <v>3</v>
      </c>
      <c r="I145" t="s">
        <v>423</v>
      </c>
      <c r="J145" t="s">
        <v>424</v>
      </c>
      <c r="K145" t="s">
        <v>425</v>
      </c>
      <c r="L145">
        <v>1356</v>
      </c>
      <c r="N145">
        <v>1010</v>
      </c>
      <c r="O145" t="s">
        <v>426</v>
      </c>
      <c r="P145" t="s">
        <v>426</v>
      </c>
      <c r="Q145">
        <v>1000</v>
      </c>
      <c r="X145">
        <v>1.2200000000000001E-2</v>
      </c>
      <c r="Y145">
        <v>183.4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25</v>
      </c>
      <c r="AG145">
        <v>1.2200000000000001E-2</v>
      </c>
      <c r="AH145">
        <v>2</v>
      </c>
      <c r="AI145">
        <v>59213559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ROW(Source!A139)</f>
        <v>139</v>
      </c>
      <c r="B146">
        <v>59213901</v>
      </c>
      <c r="C146">
        <v>59213552</v>
      </c>
      <c r="D146">
        <v>58332282</v>
      </c>
      <c r="E146">
        <v>1</v>
      </c>
      <c r="F146">
        <v>1</v>
      </c>
      <c r="G146">
        <v>1080</v>
      </c>
      <c r="H146">
        <v>3</v>
      </c>
      <c r="I146" t="s">
        <v>427</v>
      </c>
      <c r="J146" t="s">
        <v>428</v>
      </c>
      <c r="K146" t="s">
        <v>429</v>
      </c>
      <c r="L146">
        <v>1354</v>
      </c>
      <c r="N146">
        <v>1010</v>
      </c>
      <c r="O146" t="s">
        <v>34</v>
      </c>
      <c r="P146" t="s">
        <v>34</v>
      </c>
      <c r="Q146">
        <v>1</v>
      </c>
      <c r="X146">
        <v>3.1</v>
      </c>
      <c r="Y146">
        <v>6.94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25</v>
      </c>
      <c r="AG146">
        <v>3.1</v>
      </c>
      <c r="AH146">
        <v>2</v>
      </c>
      <c r="AI146">
        <v>59213560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ROW(Source!A139)</f>
        <v>139</v>
      </c>
      <c r="B147">
        <v>59213902</v>
      </c>
      <c r="C147">
        <v>59213552</v>
      </c>
      <c r="D147">
        <v>58332289</v>
      </c>
      <c r="E147">
        <v>1</v>
      </c>
      <c r="F147">
        <v>1</v>
      </c>
      <c r="G147">
        <v>1080</v>
      </c>
      <c r="H147">
        <v>3</v>
      </c>
      <c r="I147" t="s">
        <v>430</v>
      </c>
      <c r="J147" t="s">
        <v>431</v>
      </c>
      <c r="K147" t="s">
        <v>432</v>
      </c>
      <c r="L147">
        <v>1356</v>
      </c>
      <c r="N147">
        <v>1010</v>
      </c>
      <c r="O147" t="s">
        <v>426</v>
      </c>
      <c r="P147" t="s">
        <v>426</v>
      </c>
      <c r="Q147">
        <v>1000</v>
      </c>
      <c r="X147">
        <v>8.0000000000000002E-3</v>
      </c>
      <c r="Y147">
        <v>614.09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25</v>
      </c>
      <c r="AG147">
        <v>8.0000000000000002E-3</v>
      </c>
      <c r="AH147">
        <v>2</v>
      </c>
      <c r="AI147">
        <v>59213561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ROW(Source!A139)</f>
        <v>139</v>
      </c>
      <c r="B148">
        <v>59213903</v>
      </c>
      <c r="C148">
        <v>59213552</v>
      </c>
      <c r="D148">
        <v>58281874</v>
      </c>
      <c r="E148">
        <v>1080</v>
      </c>
      <c r="F148">
        <v>1</v>
      </c>
      <c r="G148">
        <v>1080</v>
      </c>
      <c r="H148">
        <v>3</v>
      </c>
      <c r="I148" t="s">
        <v>485</v>
      </c>
      <c r="J148" t="s">
        <v>3</v>
      </c>
      <c r="K148" t="s">
        <v>486</v>
      </c>
      <c r="L148">
        <v>1303</v>
      </c>
      <c r="N148">
        <v>1003</v>
      </c>
      <c r="O148" t="s">
        <v>256</v>
      </c>
      <c r="P148" t="s">
        <v>256</v>
      </c>
      <c r="Q148">
        <v>1000</v>
      </c>
      <c r="X148">
        <v>0.10299999999999999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</v>
      </c>
      <c r="AG148">
        <v>0.10299999999999999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ROW(Source!A140)</f>
        <v>140</v>
      </c>
      <c r="B149">
        <v>59213894</v>
      </c>
      <c r="C149">
        <v>59213552</v>
      </c>
      <c r="D149">
        <v>58266404</v>
      </c>
      <c r="E149">
        <v>1080</v>
      </c>
      <c r="F149">
        <v>1</v>
      </c>
      <c r="G149">
        <v>1080</v>
      </c>
      <c r="H149">
        <v>1</v>
      </c>
      <c r="I149" t="s">
        <v>331</v>
      </c>
      <c r="J149" t="s">
        <v>3</v>
      </c>
      <c r="K149" t="s">
        <v>332</v>
      </c>
      <c r="L149">
        <v>1191</v>
      </c>
      <c r="N149">
        <v>1013</v>
      </c>
      <c r="O149" t="s">
        <v>333</v>
      </c>
      <c r="P149" t="s">
        <v>333</v>
      </c>
      <c r="Q149">
        <v>1</v>
      </c>
      <c r="X149">
        <v>4.49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26</v>
      </c>
      <c r="AG149">
        <v>4.9390000000000009</v>
      </c>
      <c r="AH149">
        <v>2</v>
      </c>
      <c r="AI149">
        <v>59213553</v>
      </c>
      <c r="AJ149">
        <v>129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ROW(Source!A140)</f>
        <v>140</v>
      </c>
      <c r="B150">
        <v>59213895</v>
      </c>
      <c r="C150">
        <v>59213552</v>
      </c>
      <c r="D150">
        <v>58340578</v>
      </c>
      <c r="E150">
        <v>1</v>
      </c>
      <c r="F150">
        <v>1</v>
      </c>
      <c r="G150">
        <v>1080</v>
      </c>
      <c r="H150">
        <v>2</v>
      </c>
      <c r="I150" t="s">
        <v>334</v>
      </c>
      <c r="J150" t="s">
        <v>335</v>
      </c>
      <c r="K150" t="s">
        <v>336</v>
      </c>
      <c r="L150">
        <v>1368</v>
      </c>
      <c r="N150">
        <v>1011</v>
      </c>
      <c r="O150" t="s">
        <v>337</v>
      </c>
      <c r="P150" t="s">
        <v>337</v>
      </c>
      <c r="Q150">
        <v>1</v>
      </c>
      <c r="X150">
        <v>0.01</v>
      </c>
      <c r="Y150">
        <v>0</v>
      </c>
      <c r="Z150">
        <v>83.1</v>
      </c>
      <c r="AA150">
        <v>12.62</v>
      </c>
      <c r="AB150">
        <v>0</v>
      </c>
      <c r="AC150">
        <v>0</v>
      </c>
      <c r="AD150">
        <v>1</v>
      </c>
      <c r="AE150">
        <v>0</v>
      </c>
      <c r="AF150" t="s">
        <v>26</v>
      </c>
      <c r="AG150">
        <v>1.1000000000000001E-2</v>
      </c>
      <c r="AH150">
        <v>2</v>
      </c>
      <c r="AI150">
        <v>59213554</v>
      </c>
      <c r="AJ150">
        <v>130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ROW(Source!A140)</f>
        <v>140</v>
      </c>
      <c r="B151">
        <v>59213896</v>
      </c>
      <c r="C151">
        <v>59213552</v>
      </c>
      <c r="D151">
        <v>58339814</v>
      </c>
      <c r="E151">
        <v>1</v>
      </c>
      <c r="F151">
        <v>1</v>
      </c>
      <c r="G151">
        <v>1080</v>
      </c>
      <c r="H151">
        <v>2</v>
      </c>
      <c r="I151" t="s">
        <v>411</v>
      </c>
      <c r="J151" t="s">
        <v>412</v>
      </c>
      <c r="K151" t="s">
        <v>413</v>
      </c>
      <c r="L151">
        <v>1368</v>
      </c>
      <c r="N151">
        <v>1011</v>
      </c>
      <c r="O151" t="s">
        <v>337</v>
      </c>
      <c r="P151" t="s">
        <v>337</v>
      </c>
      <c r="Q151">
        <v>1</v>
      </c>
      <c r="X151">
        <v>0.01</v>
      </c>
      <c r="Y151">
        <v>0</v>
      </c>
      <c r="Z151">
        <v>179.17</v>
      </c>
      <c r="AA151">
        <v>16.93</v>
      </c>
      <c r="AB151">
        <v>0</v>
      </c>
      <c r="AC151">
        <v>0</v>
      </c>
      <c r="AD151">
        <v>1</v>
      </c>
      <c r="AE151">
        <v>0</v>
      </c>
      <c r="AF151" t="s">
        <v>26</v>
      </c>
      <c r="AG151">
        <v>1.1000000000000001E-2</v>
      </c>
      <c r="AH151">
        <v>2</v>
      </c>
      <c r="AI151">
        <v>59213555</v>
      </c>
      <c r="AJ151">
        <v>131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ROW(Source!A140)</f>
        <v>140</v>
      </c>
      <c r="B152">
        <v>59213897</v>
      </c>
      <c r="C152">
        <v>59213552</v>
      </c>
      <c r="D152">
        <v>58309611</v>
      </c>
      <c r="E152">
        <v>1</v>
      </c>
      <c r="F152">
        <v>1</v>
      </c>
      <c r="G152">
        <v>1080</v>
      </c>
      <c r="H152">
        <v>3</v>
      </c>
      <c r="I152" t="s">
        <v>414</v>
      </c>
      <c r="J152" t="s">
        <v>415</v>
      </c>
      <c r="K152" t="s">
        <v>416</v>
      </c>
      <c r="L152">
        <v>1346</v>
      </c>
      <c r="N152">
        <v>1009</v>
      </c>
      <c r="O152" t="s">
        <v>244</v>
      </c>
      <c r="P152" t="s">
        <v>244</v>
      </c>
      <c r="Q152">
        <v>1</v>
      </c>
      <c r="X152">
        <v>0.43</v>
      </c>
      <c r="Y152">
        <v>1.38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25</v>
      </c>
      <c r="AG152">
        <v>0.43</v>
      </c>
      <c r="AH152">
        <v>2</v>
      </c>
      <c r="AI152">
        <v>59213556</v>
      </c>
      <c r="AJ152">
        <v>132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ROW(Source!A140)</f>
        <v>140</v>
      </c>
      <c r="B153">
        <v>59213898</v>
      </c>
      <c r="C153">
        <v>59213552</v>
      </c>
      <c r="D153">
        <v>58310002</v>
      </c>
      <c r="E153">
        <v>1</v>
      </c>
      <c r="F153">
        <v>1</v>
      </c>
      <c r="G153">
        <v>1080</v>
      </c>
      <c r="H153">
        <v>3</v>
      </c>
      <c r="I153" t="s">
        <v>417</v>
      </c>
      <c r="J153" t="s">
        <v>418</v>
      </c>
      <c r="K153" t="s">
        <v>419</v>
      </c>
      <c r="L153">
        <v>1346</v>
      </c>
      <c r="N153">
        <v>1009</v>
      </c>
      <c r="O153" t="s">
        <v>244</v>
      </c>
      <c r="P153" t="s">
        <v>244</v>
      </c>
      <c r="Q153">
        <v>1</v>
      </c>
      <c r="X153">
        <v>0.16</v>
      </c>
      <c r="Y153">
        <v>159.06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25</v>
      </c>
      <c r="AG153">
        <v>0.16</v>
      </c>
      <c r="AH153">
        <v>2</v>
      </c>
      <c r="AI153">
        <v>59213557</v>
      </c>
      <c r="AJ153">
        <v>133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ROW(Source!A140)</f>
        <v>140</v>
      </c>
      <c r="B154">
        <v>59213899</v>
      </c>
      <c r="C154">
        <v>59213552</v>
      </c>
      <c r="D154">
        <v>58332945</v>
      </c>
      <c r="E154">
        <v>1</v>
      </c>
      <c r="F154">
        <v>1</v>
      </c>
      <c r="G154">
        <v>1080</v>
      </c>
      <c r="H154">
        <v>3</v>
      </c>
      <c r="I154" t="s">
        <v>420</v>
      </c>
      <c r="J154" t="s">
        <v>421</v>
      </c>
      <c r="K154" t="s">
        <v>422</v>
      </c>
      <c r="L154">
        <v>1355</v>
      </c>
      <c r="N154">
        <v>1010</v>
      </c>
      <c r="O154" t="s">
        <v>227</v>
      </c>
      <c r="P154" t="s">
        <v>227</v>
      </c>
      <c r="Q154">
        <v>100</v>
      </c>
      <c r="X154">
        <v>0.05</v>
      </c>
      <c r="Y154">
        <v>68.819999999999993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25</v>
      </c>
      <c r="AG154">
        <v>0.05</v>
      </c>
      <c r="AH154">
        <v>2</v>
      </c>
      <c r="AI154">
        <v>59213558</v>
      </c>
      <c r="AJ154">
        <v>134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ROW(Source!A140)</f>
        <v>140</v>
      </c>
      <c r="B155">
        <v>59213900</v>
      </c>
      <c r="C155">
        <v>59213552</v>
      </c>
      <c r="D155">
        <v>58332956</v>
      </c>
      <c r="E155">
        <v>1</v>
      </c>
      <c r="F155">
        <v>1</v>
      </c>
      <c r="G155">
        <v>1080</v>
      </c>
      <c r="H155">
        <v>3</v>
      </c>
      <c r="I155" t="s">
        <v>423</v>
      </c>
      <c r="J155" t="s">
        <v>424</v>
      </c>
      <c r="K155" t="s">
        <v>425</v>
      </c>
      <c r="L155">
        <v>1356</v>
      </c>
      <c r="N155">
        <v>1010</v>
      </c>
      <c r="O155" t="s">
        <v>426</v>
      </c>
      <c r="P155" t="s">
        <v>426</v>
      </c>
      <c r="Q155">
        <v>1000</v>
      </c>
      <c r="X155">
        <v>1.2200000000000001E-2</v>
      </c>
      <c r="Y155">
        <v>183.4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25</v>
      </c>
      <c r="AG155">
        <v>1.2200000000000001E-2</v>
      </c>
      <c r="AH155">
        <v>2</v>
      </c>
      <c r="AI155">
        <v>59213559</v>
      </c>
      <c r="AJ155">
        <v>135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ROW(Source!A140)</f>
        <v>140</v>
      </c>
      <c r="B156">
        <v>59213901</v>
      </c>
      <c r="C156">
        <v>59213552</v>
      </c>
      <c r="D156">
        <v>58332282</v>
      </c>
      <c r="E156">
        <v>1</v>
      </c>
      <c r="F156">
        <v>1</v>
      </c>
      <c r="G156">
        <v>1080</v>
      </c>
      <c r="H156">
        <v>3</v>
      </c>
      <c r="I156" t="s">
        <v>427</v>
      </c>
      <c r="J156" t="s">
        <v>428</v>
      </c>
      <c r="K156" t="s">
        <v>429</v>
      </c>
      <c r="L156">
        <v>1354</v>
      </c>
      <c r="N156">
        <v>1010</v>
      </c>
      <c r="O156" t="s">
        <v>34</v>
      </c>
      <c r="P156" t="s">
        <v>34</v>
      </c>
      <c r="Q156">
        <v>1</v>
      </c>
      <c r="X156">
        <v>3.1</v>
      </c>
      <c r="Y156">
        <v>6.94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25</v>
      </c>
      <c r="AG156">
        <v>3.1</v>
      </c>
      <c r="AH156">
        <v>2</v>
      </c>
      <c r="AI156">
        <v>59213560</v>
      </c>
      <c r="AJ156">
        <v>136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ROW(Source!A140)</f>
        <v>140</v>
      </c>
      <c r="B157">
        <v>59213902</v>
      </c>
      <c r="C157">
        <v>59213552</v>
      </c>
      <c r="D157">
        <v>58332289</v>
      </c>
      <c r="E157">
        <v>1</v>
      </c>
      <c r="F157">
        <v>1</v>
      </c>
      <c r="G157">
        <v>1080</v>
      </c>
      <c r="H157">
        <v>3</v>
      </c>
      <c r="I157" t="s">
        <v>430</v>
      </c>
      <c r="J157" t="s">
        <v>431</v>
      </c>
      <c r="K157" t="s">
        <v>432</v>
      </c>
      <c r="L157">
        <v>1356</v>
      </c>
      <c r="N157">
        <v>1010</v>
      </c>
      <c r="O157" t="s">
        <v>426</v>
      </c>
      <c r="P157" t="s">
        <v>426</v>
      </c>
      <c r="Q157">
        <v>1000</v>
      </c>
      <c r="X157">
        <v>8.0000000000000002E-3</v>
      </c>
      <c r="Y157">
        <v>614.09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25</v>
      </c>
      <c r="AG157">
        <v>8.0000000000000002E-3</v>
      </c>
      <c r="AH157">
        <v>2</v>
      </c>
      <c r="AI157">
        <v>59213561</v>
      </c>
      <c r="AJ157">
        <v>137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ROW(Source!A140)</f>
        <v>140</v>
      </c>
      <c r="B158">
        <v>59213903</v>
      </c>
      <c r="C158">
        <v>59213552</v>
      </c>
      <c r="D158">
        <v>58281874</v>
      </c>
      <c r="E158">
        <v>1080</v>
      </c>
      <c r="F158">
        <v>1</v>
      </c>
      <c r="G158">
        <v>1080</v>
      </c>
      <c r="H158">
        <v>3</v>
      </c>
      <c r="I158" t="s">
        <v>485</v>
      </c>
      <c r="J158" t="s">
        <v>3</v>
      </c>
      <c r="K158" t="s">
        <v>486</v>
      </c>
      <c r="L158">
        <v>1303</v>
      </c>
      <c r="N158">
        <v>1003</v>
      </c>
      <c r="O158" t="s">
        <v>256</v>
      </c>
      <c r="P158" t="s">
        <v>256</v>
      </c>
      <c r="Q158">
        <v>1000</v>
      </c>
      <c r="X158">
        <v>0.10299999999999999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25</v>
      </c>
      <c r="AG158">
        <v>0.10299999999999999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ROW(Source!A143)</f>
        <v>143</v>
      </c>
      <c r="B159">
        <v>59213904</v>
      </c>
      <c r="C159">
        <v>59213574</v>
      </c>
      <c r="D159">
        <v>58266404</v>
      </c>
      <c r="E159">
        <v>1080</v>
      </c>
      <c r="F159">
        <v>1</v>
      </c>
      <c r="G159">
        <v>1080</v>
      </c>
      <c r="H159">
        <v>1</v>
      </c>
      <c r="I159" t="s">
        <v>331</v>
      </c>
      <c r="J159" t="s">
        <v>3</v>
      </c>
      <c r="K159" t="s">
        <v>332</v>
      </c>
      <c r="L159">
        <v>1191</v>
      </c>
      <c r="N159">
        <v>1013</v>
      </c>
      <c r="O159" t="s">
        <v>333</v>
      </c>
      <c r="P159" t="s">
        <v>333</v>
      </c>
      <c r="Q159">
        <v>1</v>
      </c>
      <c r="X159">
        <v>4.49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26</v>
      </c>
      <c r="AG159">
        <v>4.9390000000000009</v>
      </c>
      <c r="AH159">
        <v>2</v>
      </c>
      <c r="AI159">
        <v>59213575</v>
      </c>
      <c r="AJ159">
        <v>139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ROW(Source!A143)</f>
        <v>143</v>
      </c>
      <c r="B160">
        <v>59213905</v>
      </c>
      <c r="C160">
        <v>59213574</v>
      </c>
      <c r="D160">
        <v>58340578</v>
      </c>
      <c r="E160">
        <v>1</v>
      </c>
      <c r="F160">
        <v>1</v>
      </c>
      <c r="G160">
        <v>1080</v>
      </c>
      <c r="H160">
        <v>2</v>
      </c>
      <c r="I160" t="s">
        <v>334</v>
      </c>
      <c r="J160" t="s">
        <v>335</v>
      </c>
      <c r="K160" t="s">
        <v>336</v>
      </c>
      <c r="L160">
        <v>1368</v>
      </c>
      <c r="N160">
        <v>1011</v>
      </c>
      <c r="O160" t="s">
        <v>337</v>
      </c>
      <c r="P160" t="s">
        <v>337</v>
      </c>
      <c r="Q160">
        <v>1</v>
      </c>
      <c r="X160">
        <v>0.01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26</v>
      </c>
      <c r="AG160">
        <v>1.1000000000000001E-2</v>
      </c>
      <c r="AH160">
        <v>2</v>
      </c>
      <c r="AI160">
        <v>59213576</v>
      </c>
      <c r="AJ160">
        <v>140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ROW(Source!A143)</f>
        <v>143</v>
      </c>
      <c r="B161">
        <v>59213906</v>
      </c>
      <c r="C161">
        <v>59213574</v>
      </c>
      <c r="D161">
        <v>58339814</v>
      </c>
      <c r="E161">
        <v>1</v>
      </c>
      <c r="F161">
        <v>1</v>
      </c>
      <c r="G161">
        <v>1080</v>
      </c>
      <c r="H161">
        <v>2</v>
      </c>
      <c r="I161" t="s">
        <v>411</v>
      </c>
      <c r="J161" t="s">
        <v>412</v>
      </c>
      <c r="K161" t="s">
        <v>413</v>
      </c>
      <c r="L161">
        <v>1368</v>
      </c>
      <c r="N161">
        <v>1011</v>
      </c>
      <c r="O161" t="s">
        <v>337</v>
      </c>
      <c r="P161" t="s">
        <v>337</v>
      </c>
      <c r="Q161">
        <v>1</v>
      </c>
      <c r="X161">
        <v>0.01</v>
      </c>
      <c r="Y161">
        <v>0</v>
      </c>
      <c r="Z161">
        <v>179.17</v>
      </c>
      <c r="AA161">
        <v>16.93</v>
      </c>
      <c r="AB161">
        <v>0</v>
      </c>
      <c r="AC161">
        <v>0</v>
      </c>
      <c r="AD161">
        <v>1</v>
      </c>
      <c r="AE161">
        <v>0</v>
      </c>
      <c r="AF161" t="s">
        <v>26</v>
      </c>
      <c r="AG161">
        <v>1.1000000000000001E-2</v>
      </c>
      <c r="AH161">
        <v>2</v>
      </c>
      <c r="AI161">
        <v>59213577</v>
      </c>
      <c r="AJ161">
        <v>141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ROW(Source!A143)</f>
        <v>143</v>
      </c>
      <c r="B162">
        <v>59213907</v>
      </c>
      <c r="C162">
        <v>59213574</v>
      </c>
      <c r="D162">
        <v>58309611</v>
      </c>
      <c r="E162">
        <v>1</v>
      </c>
      <c r="F162">
        <v>1</v>
      </c>
      <c r="G162">
        <v>1080</v>
      </c>
      <c r="H162">
        <v>3</v>
      </c>
      <c r="I162" t="s">
        <v>414</v>
      </c>
      <c r="J162" t="s">
        <v>415</v>
      </c>
      <c r="K162" t="s">
        <v>416</v>
      </c>
      <c r="L162">
        <v>1346</v>
      </c>
      <c r="N162">
        <v>1009</v>
      </c>
      <c r="O162" t="s">
        <v>244</v>
      </c>
      <c r="P162" t="s">
        <v>244</v>
      </c>
      <c r="Q162">
        <v>1</v>
      </c>
      <c r="X162">
        <v>0.43</v>
      </c>
      <c r="Y162">
        <v>1.38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25</v>
      </c>
      <c r="AG162">
        <v>0.43</v>
      </c>
      <c r="AH162">
        <v>2</v>
      </c>
      <c r="AI162">
        <v>59213578</v>
      </c>
      <c r="AJ162">
        <v>142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ROW(Source!A143)</f>
        <v>143</v>
      </c>
      <c r="B163">
        <v>59213908</v>
      </c>
      <c r="C163">
        <v>59213574</v>
      </c>
      <c r="D163">
        <v>58310002</v>
      </c>
      <c r="E163">
        <v>1</v>
      </c>
      <c r="F163">
        <v>1</v>
      </c>
      <c r="G163">
        <v>1080</v>
      </c>
      <c r="H163">
        <v>3</v>
      </c>
      <c r="I163" t="s">
        <v>417</v>
      </c>
      <c r="J163" t="s">
        <v>418</v>
      </c>
      <c r="K163" t="s">
        <v>419</v>
      </c>
      <c r="L163">
        <v>1346</v>
      </c>
      <c r="N163">
        <v>1009</v>
      </c>
      <c r="O163" t="s">
        <v>244</v>
      </c>
      <c r="P163" t="s">
        <v>244</v>
      </c>
      <c r="Q163">
        <v>1</v>
      </c>
      <c r="X163">
        <v>0.16</v>
      </c>
      <c r="Y163">
        <v>159.06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25</v>
      </c>
      <c r="AG163">
        <v>0.16</v>
      </c>
      <c r="AH163">
        <v>2</v>
      </c>
      <c r="AI163">
        <v>59213579</v>
      </c>
      <c r="AJ163">
        <v>143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ROW(Source!A143)</f>
        <v>143</v>
      </c>
      <c r="B164">
        <v>59213909</v>
      </c>
      <c r="C164">
        <v>59213574</v>
      </c>
      <c r="D164">
        <v>58332945</v>
      </c>
      <c r="E164">
        <v>1</v>
      </c>
      <c r="F164">
        <v>1</v>
      </c>
      <c r="G164">
        <v>1080</v>
      </c>
      <c r="H164">
        <v>3</v>
      </c>
      <c r="I164" t="s">
        <v>420</v>
      </c>
      <c r="J164" t="s">
        <v>421</v>
      </c>
      <c r="K164" t="s">
        <v>422</v>
      </c>
      <c r="L164">
        <v>1355</v>
      </c>
      <c r="N164">
        <v>1010</v>
      </c>
      <c r="O164" t="s">
        <v>227</v>
      </c>
      <c r="P164" t="s">
        <v>227</v>
      </c>
      <c r="Q164">
        <v>100</v>
      </c>
      <c r="X164">
        <v>0.05</v>
      </c>
      <c r="Y164">
        <v>68.819999999999993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25</v>
      </c>
      <c r="AG164">
        <v>0.05</v>
      </c>
      <c r="AH164">
        <v>2</v>
      </c>
      <c r="AI164">
        <v>59213580</v>
      </c>
      <c r="AJ164">
        <v>144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ROW(Source!A143)</f>
        <v>143</v>
      </c>
      <c r="B165">
        <v>59213910</v>
      </c>
      <c r="C165">
        <v>59213574</v>
      </c>
      <c r="D165">
        <v>58332956</v>
      </c>
      <c r="E165">
        <v>1</v>
      </c>
      <c r="F165">
        <v>1</v>
      </c>
      <c r="G165">
        <v>1080</v>
      </c>
      <c r="H165">
        <v>3</v>
      </c>
      <c r="I165" t="s">
        <v>423</v>
      </c>
      <c r="J165" t="s">
        <v>424</v>
      </c>
      <c r="K165" t="s">
        <v>425</v>
      </c>
      <c r="L165">
        <v>1356</v>
      </c>
      <c r="N165">
        <v>1010</v>
      </c>
      <c r="O165" t="s">
        <v>426</v>
      </c>
      <c r="P165" t="s">
        <v>426</v>
      </c>
      <c r="Q165">
        <v>1000</v>
      </c>
      <c r="X165">
        <v>1.2200000000000001E-2</v>
      </c>
      <c r="Y165">
        <v>183.4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25</v>
      </c>
      <c r="AG165">
        <v>1.2200000000000001E-2</v>
      </c>
      <c r="AH165">
        <v>2</v>
      </c>
      <c r="AI165">
        <v>59213581</v>
      </c>
      <c r="AJ165">
        <v>145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ROW(Source!A143)</f>
        <v>143</v>
      </c>
      <c r="B166">
        <v>59213911</v>
      </c>
      <c r="C166">
        <v>59213574</v>
      </c>
      <c r="D166">
        <v>58332282</v>
      </c>
      <c r="E166">
        <v>1</v>
      </c>
      <c r="F166">
        <v>1</v>
      </c>
      <c r="G166">
        <v>1080</v>
      </c>
      <c r="H166">
        <v>3</v>
      </c>
      <c r="I166" t="s">
        <v>427</v>
      </c>
      <c r="J166" t="s">
        <v>428</v>
      </c>
      <c r="K166" t="s">
        <v>429</v>
      </c>
      <c r="L166">
        <v>1354</v>
      </c>
      <c r="N166">
        <v>1010</v>
      </c>
      <c r="O166" t="s">
        <v>34</v>
      </c>
      <c r="P166" t="s">
        <v>34</v>
      </c>
      <c r="Q166">
        <v>1</v>
      </c>
      <c r="X166">
        <v>3.1</v>
      </c>
      <c r="Y166">
        <v>6.94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25</v>
      </c>
      <c r="AG166">
        <v>3.1</v>
      </c>
      <c r="AH166">
        <v>2</v>
      </c>
      <c r="AI166">
        <v>59213582</v>
      </c>
      <c r="AJ166">
        <v>146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ROW(Source!A143)</f>
        <v>143</v>
      </c>
      <c r="B167">
        <v>59213912</v>
      </c>
      <c r="C167">
        <v>59213574</v>
      </c>
      <c r="D167">
        <v>58332289</v>
      </c>
      <c r="E167">
        <v>1</v>
      </c>
      <c r="F167">
        <v>1</v>
      </c>
      <c r="G167">
        <v>1080</v>
      </c>
      <c r="H167">
        <v>3</v>
      </c>
      <c r="I167" t="s">
        <v>430</v>
      </c>
      <c r="J167" t="s">
        <v>431</v>
      </c>
      <c r="K167" t="s">
        <v>432</v>
      </c>
      <c r="L167">
        <v>1356</v>
      </c>
      <c r="N167">
        <v>1010</v>
      </c>
      <c r="O167" t="s">
        <v>426</v>
      </c>
      <c r="P167" t="s">
        <v>426</v>
      </c>
      <c r="Q167">
        <v>1000</v>
      </c>
      <c r="X167">
        <v>8.0000000000000002E-3</v>
      </c>
      <c r="Y167">
        <v>614.09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25</v>
      </c>
      <c r="AG167">
        <v>8.0000000000000002E-3</v>
      </c>
      <c r="AH167">
        <v>2</v>
      </c>
      <c r="AI167">
        <v>59213583</v>
      </c>
      <c r="AJ167">
        <v>147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ROW(Source!A143)</f>
        <v>143</v>
      </c>
      <c r="B168">
        <v>59213913</v>
      </c>
      <c r="C168">
        <v>59213574</v>
      </c>
      <c r="D168">
        <v>58281874</v>
      </c>
      <c r="E168">
        <v>1080</v>
      </c>
      <c r="F168">
        <v>1</v>
      </c>
      <c r="G168">
        <v>1080</v>
      </c>
      <c r="H168">
        <v>3</v>
      </c>
      <c r="I168" t="s">
        <v>485</v>
      </c>
      <c r="J168" t="s">
        <v>3</v>
      </c>
      <c r="K168" t="s">
        <v>486</v>
      </c>
      <c r="L168">
        <v>1303</v>
      </c>
      <c r="N168">
        <v>1003</v>
      </c>
      <c r="O168" t="s">
        <v>256</v>
      </c>
      <c r="P168" t="s">
        <v>256</v>
      </c>
      <c r="Q168">
        <v>1000</v>
      </c>
      <c r="X168">
        <v>0.10299999999999999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25</v>
      </c>
      <c r="AG168">
        <v>0.10299999999999999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ROW(Source!A144)</f>
        <v>144</v>
      </c>
      <c r="B169">
        <v>59213904</v>
      </c>
      <c r="C169">
        <v>59213574</v>
      </c>
      <c r="D169">
        <v>58266404</v>
      </c>
      <c r="E169">
        <v>1080</v>
      </c>
      <c r="F169">
        <v>1</v>
      </c>
      <c r="G169">
        <v>1080</v>
      </c>
      <c r="H169">
        <v>1</v>
      </c>
      <c r="I169" t="s">
        <v>331</v>
      </c>
      <c r="J169" t="s">
        <v>3</v>
      </c>
      <c r="K169" t="s">
        <v>332</v>
      </c>
      <c r="L169">
        <v>1191</v>
      </c>
      <c r="N169">
        <v>1013</v>
      </c>
      <c r="O169" t="s">
        <v>333</v>
      </c>
      <c r="P169" t="s">
        <v>333</v>
      </c>
      <c r="Q169">
        <v>1</v>
      </c>
      <c r="X169">
        <v>4.49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26</v>
      </c>
      <c r="AG169">
        <v>4.9390000000000009</v>
      </c>
      <c r="AH169">
        <v>2</v>
      </c>
      <c r="AI169">
        <v>59213575</v>
      </c>
      <c r="AJ169">
        <v>149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ROW(Source!A144)</f>
        <v>144</v>
      </c>
      <c r="B170">
        <v>59213905</v>
      </c>
      <c r="C170">
        <v>59213574</v>
      </c>
      <c r="D170">
        <v>58340578</v>
      </c>
      <c r="E170">
        <v>1</v>
      </c>
      <c r="F170">
        <v>1</v>
      </c>
      <c r="G170">
        <v>1080</v>
      </c>
      <c r="H170">
        <v>2</v>
      </c>
      <c r="I170" t="s">
        <v>334</v>
      </c>
      <c r="J170" t="s">
        <v>335</v>
      </c>
      <c r="K170" t="s">
        <v>336</v>
      </c>
      <c r="L170">
        <v>1368</v>
      </c>
      <c r="N170">
        <v>1011</v>
      </c>
      <c r="O170" t="s">
        <v>337</v>
      </c>
      <c r="P170" t="s">
        <v>337</v>
      </c>
      <c r="Q170">
        <v>1</v>
      </c>
      <c r="X170">
        <v>0.01</v>
      </c>
      <c r="Y170">
        <v>0</v>
      </c>
      <c r="Z170">
        <v>83.1</v>
      </c>
      <c r="AA170">
        <v>12.62</v>
      </c>
      <c r="AB170">
        <v>0</v>
      </c>
      <c r="AC170">
        <v>0</v>
      </c>
      <c r="AD170">
        <v>1</v>
      </c>
      <c r="AE170">
        <v>0</v>
      </c>
      <c r="AF170" t="s">
        <v>26</v>
      </c>
      <c r="AG170">
        <v>1.1000000000000001E-2</v>
      </c>
      <c r="AH170">
        <v>2</v>
      </c>
      <c r="AI170">
        <v>59213576</v>
      </c>
      <c r="AJ170">
        <v>150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ROW(Source!A144)</f>
        <v>144</v>
      </c>
      <c r="B171">
        <v>59213906</v>
      </c>
      <c r="C171">
        <v>59213574</v>
      </c>
      <c r="D171">
        <v>58339814</v>
      </c>
      <c r="E171">
        <v>1</v>
      </c>
      <c r="F171">
        <v>1</v>
      </c>
      <c r="G171">
        <v>1080</v>
      </c>
      <c r="H171">
        <v>2</v>
      </c>
      <c r="I171" t="s">
        <v>411</v>
      </c>
      <c r="J171" t="s">
        <v>412</v>
      </c>
      <c r="K171" t="s">
        <v>413</v>
      </c>
      <c r="L171">
        <v>1368</v>
      </c>
      <c r="N171">
        <v>1011</v>
      </c>
      <c r="O171" t="s">
        <v>337</v>
      </c>
      <c r="P171" t="s">
        <v>337</v>
      </c>
      <c r="Q171">
        <v>1</v>
      </c>
      <c r="X171">
        <v>0.01</v>
      </c>
      <c r="Y171">
        <v>0</v>
      </c>
      <c r="Z171">
        <v>179.17</v>
      </c>
      <c r="AA171">
        <v>16.93</v>
      </c>
      <c r="AB171">
        <v>0</v>
      </c>
      <c r="AC171">
        <v>0</v>
      </c>
      <c r="AD171">
        <v>1</v>
      </c>
      <c r="AE171">
        <v>0</v>
      </c>
      <c r="AF171" t="s">
        <v>26</v>
      </c>
      <c r="AG171">
        <v>1.1000000000000001E-2</v>
      </c>
      <c r="AH171">
        <v>2</v>
      </c>
      <c r="AI171">
        <v>59213577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ROW(Source!A144)</f>
        <v>144</v>
      </c>
      <c r="B172">
        <v>59213907</v>
      </c>
      <c r="C172">
        <v>59213574</v>
      </c>
      <c r="D172">
        <v>58309611</v>
      </c>
      <c r="E172">
        <v>1</v>
      </c>
      <c r="F172">
        <v>1</v>
      </c>
      <c r="G172">
        <v>1080</v>
      </c>
      <c r="H172">
        <v>3</v>
      </c>
      <c r="I172" t="s">
        <v>414</v>
      </c>
      <c r="J172" t="s">
        <v>415</v>
      </c>
      <c r="K172" t="s">
        <v>416</v>
      </c>
      <c r="L172">
        <v>1346</v>
      </c>
      <c r="N172">
        <v>1009</v>
      </c>
      <c r="O172" t="s">
        <v>244</v>
      </c>
      <c r="P172" t="s">
        <v>244</v>
      </c>
      <c r="Q172">
        <v>1</v>
      </c>
      <c r="X172">
        <v>0.43</v>
      </c>
      <c r="Y172">
        <v>1.38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25</v>
      </c>
      <c r="AG172">
        <v>0.43</v>
      </c>
      <c r="AH172">
        <v>2</v>
      </c>
      <c r="AI172">
        <v>59213578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ROW(Source!A144)</f>
        <v>144</v>
      </c>
      <c r="B173">
        <v>59213908</v>
      </c>
      <c r="C173">
        <v>59213574</v>
      </c>
      <c r="D173">
        <v>58310002</v>
      </c>
      <c r="E173">
        <v>1</v>
      </c>
      <c r="F173">
        <v>1</v>
      </c>
      <c r="G173">
        <v>1080</v>
      </c>
      <c r="H173">
        <v>3</v>
      </c>
      <c r="I173" t="s">
        <v>417</v>
      </c>
      <c r="J173" t="s">
        <v>418</v>
      </c>
      <c r="K173" t="s">
        <v>419</v>
      </c>
      <c r="L173">
        <v>1346</v>
      </c>
      <c r="N173">
        <v>1009</v>
      </c>
      <c r="O173" t="s">
        <v>244</v>
      </c>
      <c r="P173" t="s">
        <v>244</v>
      </c>
      <c r="Q173">
        <v>1</v>
      </c>
      <c r="X173">
        <v>0.16</v>
      </c>
      <c r="Y173">
        <v>159.06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25</v>
      </c>
      <c r="AG173">
        <v>0.16</v>
      </c>
      <c r="AH173">
        <v>2</v>
      </c>
      <c r="AI173">
        <v>59213579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ROW(Source!A144)</f>
        <v>144</v>
      </c>
      <c r="B174">
        <v>59213909</v>
      </c>
      <c r="C174">
        <v>59213574</v>
      </c>
      <c r="D174">
        <v>58332945</v>
      </c>
      <c r="E174">
        <v>1</v>
      </c>
      <c r="F174">
        <v>1</v>
      </c>
      <c r="G174">
        <v>1080</v>
      </c>
      <c r="H174">
        <v>3</v>
      </c>
      <c r="I174" t="s">
        <v>420</v>
      </c>
      <c r="J174" t="s">
        <v>421</v>
      </c>
      <c r="K174" t="s">
        <v>422</v>
      </c>
      <c r="L174">
        <v>1355</v>
      </c>
      <c r="N174">
        <v>1010</v>
      </c>
      <c r="O174" t="s">
        <v>227</v>
      </c>
      <c r="P174" t="s">
        <v>227</v>
      </c>
      <c r="Q174">
        <v>100</v>
      </c>
      <c r="X174">
        <v>0.05</v>
      </c>
      <c r="Y174">
        <v>68.819999999999993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25</v>
      </c>
      <c r="AG174">
        <v>0.05</v>
      </c>
      <c r="AH174">
        <v>2</v>
      </c>
      <c r="AI174">
        <v>59213580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ROW(Source!A144)</f>
        <v>144</v>
      </c>
      <c r="B175">
        <v>59213910</v>
      </c>
      <c r="C175">
        <v>59213574</v>
      </c>
      <c r="D175">
        <v>58332956</v>
      </c>
      <c r="E175">
        <v>1</v>
      </c>
      <c r="F175">
        <v>1</v>
      </c>
      <c r="G175">
        <v>1080</v>
      </c>
      <c r="H175">
        <v>3</v>
      </c>
      <c r="I175" t="s">
        <v>423</v>
      </c>
      <c r="J175" t="s">
        <v>424</v>
      </c>
      <c r="K175" t="s">
        <v>425</v>
      </c>
      <c r="L175">
        <v>1356</v>
      </c>
      <c r="N175">
        <v>1010</v>
      </c>
      <c r="O175" t="s">
        <v>426</v>
      </c>
      <c r="P175" t="s">
        <v>426</v>
      </c>
      <c r="Q175">
        <v>1000</v>
      </c>
      <c r="X175">
        <v>1.2200000000000001E-2</v>
      </c>
      <c r="Y175">
        <v>183.4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25</v>
      </c>
      <c r="AG175">
        <v>1.2200000000000001E-2</v>
      </c>
      <c r="AH175">
        <v>2</v>
      </c>
      <c r="AI175">
        <v>59213581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ROW(Source!A144)</f>
        <v>144</v>
      </c>
      <c r="B176">
        <v>59213911</v>
      </c>
      <c r="C176">
        <v>59213574</v>
      </c>
      <c r="D176">
        <v>58332282</v>
      </c>
      <c r="E176">
        <v>1</v>
      </c>
      <c r="F176">
        <v>1</v>
      </c>
      <c r="G176">
        <v>1080</v>
      </c>
      <c r="H176">
        <v>3</v>
      </c>
      <c r="I176" t="s">
        <v>427</v>
      </c>
      <c r="J176" t="s">
        <v>428</v>
      </c>
      <c r="K176" t="s">
        <v>429</v>
      </c>
      <c r="L176">
        <v>1354</v>
      </c>
      <c r="N176">
        <v>1010</v>
      </c>
      <c r="O176" t="s">
        <v>34</v>
      </c>
      <c r="P176" t="s">
        <v>34</v>
      </c>
      <c r="Q176">
        <v>1</v>
      </c>
      <c r="X176">
        <v>3.1</v>
      </c>
      <c r="Y176">
        <v>6.94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25</v>
      </c>
      <c r="AG176">
        <v>3.1</v>
      </c>
      <c r="AH176">
        <v>2</v>
      </c>
      <c r="AI176">
        <v>59213582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ROW(Source!A144)</f>
        <v>144</v>
      </c>
      <c r="B177">
        <v>59213912</v>
      </c>
      <c r="C177">
        <v>59213574</v>
      </c>
      <c r="D177">
        <v>58332289</v>
      </c>
      <c r="E177">
        <v>1</v>
      </c>
      <c r="F177">
        <v>1</v>
      </c>
      <c r="G177">
        <v>1080</v>
      </c>
      <c r="H177">
        <v>3</v>
      </c>
      <c r="I177" t="s">
        <v>430</v>
      </c>
      <c r="J177" t="s">
        <v>431</v>
      </c>
      <c r="K177" t="s">
        <v>432</v>
      </c>
      <c r="L177">
        <v>1356</v>
      </c>
      <c r="N177">
        <v>1010</v>
      </c>
      <c r="O177" t="s">
        <v>426</v>
      </c>
      <c r="P177" t="s">
        <v>426</v>
      </c>
      <c r="Q177">
        <v>1000</v>
      </c>
      <c r="X177">
        <v>8.0000000000000002E-3</v>
      </c>
      <c r="Y177">
        <v>614.09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25</v>
      </c>
      <c r="AG177">
        <v>8.0000000000000002E-3</v>
      </c>
      <c r="AH177">
        <v>2</v>
      </c>
      <c r="AI177">
        <v>59213583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ROW(Source!A144)</f>
        <v>144</v>
      </c>
      <c r="B178">
        <v>59213913</v>
      </c>
      <c r="C178">
        <v>59213574</v>
      </c>
      <c r="D178">
        <v>58281874</v>
      </c>
      <c r="E178">
        <v>1080</v>
      </c>
      <c r="F178">
        <v>1</v>
      </c>
      <c r="G178">
        <v>1080</v>
      </c>
      <c r="H178">
        <v>3</v>
      </c>
      <c r="I178" t="s">
        <v>485</v>
      </c>
      <c r="J178" t="s">
        <v>3</v>
      </c>
      <c r="K178" t="s">
        <v>486</v>
      </c>
      <c r="L178">
        <v>1303</v>
      </c>
      <c r="N178">
        <v>1003</v>
      </c>
      <c r="O178" t="s">
        <v>256</v>
      </c>
      <c r="P178" t="s">
        <v>256</v>
      </c>
      <c r="Q178">
        <v>1000</v>
      </c>
      <c r="X178">
        <v>0.10299999999999999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25</v>
      </c>
      <c r="AG178">
        <v>0.10299999999999999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ROW(Source!A147)</f>
        <v>147</v>
      </c>
      <c r="B179">
        <v>59213914</v>
      </c>
      <c r="C179">
        <v>59213596</v>
      </c>
      <c r="D179">
        <v>58266404</v>
      </c>
      <c r="E179">
        <v>1080</v>
      </c>
      <c r="F179">
        <v>1</v>
      </c>
      <c r="G179">
        <v>1080</v>
      </c>
      <c r="H179">
        <v>1</v>
      </c>
      <c r="I179" t="s">
        <v>331</v>
      </c>
      <c r="J179" t="s">
        <v>3</v>
      </c>
      <c r="K179" t="s">
        <v>332</v>
      </c>
      <c r="L179">
        <v>1191</v>
      </c>
      <c r="N179">
        <v>1013</v>
      </c>
      <c r="O179" t="s">
        <v>333</v>
      </c>
      <c r="P179" t="s">
        <v>333</v>
      </c>
      <c r="Q179">
        <v>1</v>
      </c>
      <c r="X179">
        <v>4.49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26</v>
      </c>
      <c r="AG179">
        <v>4.9390000000000009</v>
      </c>
      <c r="AH179">
        <v>2</v>
      </c>
      <c r="AI179">
        <v>59213597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ROW(Source!A147)</f>
        <v>147</v>
      </c>
      <c r="B180">
        <v>59213915</v>
      </c>
      <c r="C180">
        <v>59213596</v>
      </c>
      <c r="D180">
        <v>58340578</v>
      </c>
      <c r="E180">
        <v>1</v>
      </c>
      <c r="F180">
        <v>1</v>
      </c>
      <c r="G180">
        <v>1080</v>
      </c>
      <c r="H180">
        <v>2</v>
      </c>
      <c r="I180" t="s">
        <v>334</v>
      </c>
      <c r="J180" t="s">
        <v>335</v>
      </c>
      <c r="K180" t="s">
        <v>336</v>
      </c>
      <c r="L180">
        <v>1368</v>
      </c>
      <c r="N180">
        <v>1011</v>
      </c>
      <c r="O180" t="s">
        <v>337</v>
      </c>
      <c r="P180" t="s">
        <v>337</v>
      </c>
      <c r="Q180">
        <v>1</v>
      </c>
      <c r="X180">
        <v>0.01</v>
      </c>
      <c r="Y180">
        <v>0</v>
      </c>
      <c r="Z180">
        <v>83.1</v>
      </c>
      <c r="AA180">
        <v>12.62</v>
      </c>
      <c r="AB180">
        <v>0</v>
      </c>
      <c r="AC180">
        <v>0</v>
      </c>
      <c r="AD180">
        <v>1</v>
      </c>
      <c r="AE180">
        <v>0</v>
      </c>
      <c r="AF180" t="s">
        <v>26</v>
      </c>
      <c r="AG180">
        <v>1.1000000000000001E-2</v>
      </c>
      <c r="AH180">
        <v>2</v>
      </c>
      <c r="AI180">
        <v>59213598</v>
      </c>
      <c r="AJ180">
        <v>160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ROW(Source!A147)</f>
        <v>147</v>
      </c>
      <c r="B181">
        <v>59213916</v>
      </c>
      <c r="C181">
        <v>59213596</v>
      </c>
      <c r="D181">
        <v>58339814</v>
      </c>
      <c r="E181">
        <v>1</v>
      </c>
      <c r="F181">
        <v>1</v>
      </c>
      <c r="G181">
        <v>1080</v>
      </c>
      <c r="H181">
        <v>2</v>
      </c>
      <c r="I181" t="s">
        <v>411</v>
      </c>
      <c r="J181" t="s">
        <v>412</v>
      </c>
      <c r="K181" t="s">
        <v>413</v>
      </c>
      <c r="L181">
        <v>1368</v>
      </c>
      <c r="N181">
        <v>1011</v>
      </c>
      <c r="O181" t="s">
        <v>337</v>
      </c>
      <c r="P181" t="s">
        <v>337</v>
      </c>
      <c r="Q181">
        <v>1</v>
      </c>
      <c r="X181">
        <v>0.01</v>
      </c>
      <c r="Y181">
        <v>0</v>
      </c>
      <c r="Z181">
        <v>179.17</v>
      </c>
      <c r="AA181">
        <v>16.93</v>
      </c>
      <c r="AB181">
        <v>0</v>
      </c>
      <c r="AC181">
        <v>0</v>
      </c>
      <c r="AD181">
        <v>1</v>
      </c>
      <c r="AE181">
        <v>0</v>
      </c>
      <c r="AF181" t="s">
        <v>26</v>
      </c>
      <c r="AG181">
        <v>1.1000000000000001E-2</v>
      </c>
      <c r="AH181">
        <v>2</v>
      </c>
      <c r="AI181">
        <v>59213599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ROW(Source!A147)</f>
        <v>147</v>
      </c>
      <c r="B182">
        <v>59213917</v>
      </c>
      <c r="C182">
        <v>59213596</v>
      </c>
      <c r="D182">
        <v>58309611</v>
      </c>
      <c r="E182">
        <v>1</v>
      </c>
      <c r="F182">
        <v>1</v>
      </c>
      <c r="G182">
        <v>1080</v>
      </c>
      <c r="H182">
        <v>3</v>
      </c>
      <c r="I182" t="s">
        <v>414</v>
      </c>
      <c r="J182" t="s">
        <v>415</v>
      </c>
      <c r="K182" t="s">
        <v>416</v>
      </c>
      <c r="L182">
        <v>1346</v>
      </c>
      <c r="N182">
        <v>1009</v>
      </c>
      <c r="O182" t="s">
        <v>244</v>
      </c>
      <c r="P182" t="s">
        <v>244</v>
      </c>
      <c r="Q182">
        <v>1</v>
      </c>
      <c r="X182">
        <v>0.43</v>
      </c>
      <c r="Y182">
        <v>1.38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25</v>
      </c>
      <c r="AG182">
        <v>0.43</v>
      </c>
      <c r="AH182">
        <v>2</v>
      </c>
      <c r="AI182">
        <v>59213600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ROW(Source!A147)</f>
        <v>147</v>
      </c>
      <c r="B183">
        <v>59213918</v>
      </c>
      <c r="C183">
        <v>59213596</v>
      </c>
      <c r="D183">
        <v>58310002</v>
      </c>
      <c r="E183">
        <v>1</v>
      </c>
      <c r="F183">
        <v>1</v>
      </c>
      <c r="G183">
        <v>1080</v>
      </c>
      <c r="H183">
        <v>3</v>
      </c>
      <c r="I183" t="s">
        <v>417</v>
      </c>
      <c r="J183" t="s">
        <v>418</v>
      </c>
      <c r="K183" t="s">
        <v>419</v>
      </c>
      <c r="L183">
        <v>1346</v>
      </c>
      <c r="N183">
        <v>1009</v>
      </c>
      <c r="O183" t="s">
        <v>244</v>
      </c>
      <c r="P183" t="s">
        <v>244</v>
      </c>
      <c r="Q183">
        <v>1</v>
      </c>
      <c r="X183">
        <v>0.16</v>
      </c>
      <c r="Y183">
        <v>159.06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25</v>
      </c>
      <c r="AG183">
        <v>0.16</v>
      </c>
      <c r="AH183">
        <v>2</v>
      </c>
      <c r="AI183">
        <v>59213601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ROW(Source!A147)</f>
        <v>147</v>
      </c>
      <c r="B184">
        <v>59213919</v>
      </c>
      <c r="C184">
        <v>59213596</v>
      </c>
      <c r="D184">
        <v>58332945</v>
      </c>
      <c r="E184">
        <v>1</v>
      </c>
      <c r="F184">
        <v>1</v>
      </c>
      <c r="G184">
        <v>1080</v>
      </c>
      <c r="H184">
        <v>3</v>
      </c>
      <c r="I184" t="s">
        <v>420</v>
      </c>
      <c r="J184" t="s">
        <v>421</v>
      </c>
      <c r="K184" t="s">
        <v>422</v>
      </c>
      <c r="L184">
        <v>1355</v>
      </c>
      <c r="N184">
        <v>1010</v>
      </c>
      <c r="O184" t="s">
        <v>227</v>
      </c>
      <c r="P184" t="s">
        <v>227</v>
      </c>
      <c r="Q184">
        <v>100</v>
      </c>
      <c r="X184">
        <v>0.05</v>
      </c>
      <c r="Y184">
        <v>68.819999999999993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25</v>
      </c>
      <c r="AG184">
        <v>0.05</v>
      </c>
      <c r="AH184">
        <v>2</v>
      </c>
      <c r="AI184">
        <v>59213602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ROW(Source!A147)</f>
        <v>147</v>
      </c>
      <c r="B185">
        <v>59213920</v>
      </c>
      <c r="C185">
        <v>59213596</v>
      </c>
      <c r="D185">
        <v>58332956</v>
      </c>
      <c r="E185">
        <v>1</v>
      </c>
      <c r="F185">
        <v>1</v>
      </c>
      <c r="G185">
        <v>1080</v>
      </c>
      <c r="H185">
        <v>3</v>
      </c>
      <c r="I185" t="s">
        <v>423</v>
      </c>
      <c r="J185" t="s">
        <v>424</v>
      </c>
      <c r="K185" t="s">
        <v>425</v>
      </c>
      <c r="L185">
        <v>1356</v>
      </c>
      <c r="N185">
        <v>1010</v>
      </c>
      <c r="O185" t="s">
        <v>426</v>
      </c>
      <c r="P185" t="s">
        <v>426</v>
      </c>
      <c r="Q185">
        <v>1000</v>
      </c>
      <c r="X185">
        <v>1.2200000000000001E-2</v>
      </c>
      <c r="Y185">
        <v>183.4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25</v>
      </c>
      <c r="AG185">
        <v>1.2200000000000001E-2</v>
      </c>
      <c r="AH185">
        <v>2</v>
      </c>
      <c r="AI185">
        <v>59213603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ROW(Source!A147)</f>
        <v>147</v>
      </c>
      <c r="B186">
        <v>59213921</v>
      </c>
      <c r="C186">
        <v>59213596</v>
      </c>
      <c r="D186">
        <v>58332282</v>
      </c>
      <c r="E186">
        <v>1</v>
      </c>
      <c r="F186">
        <v>1</v>
      </c>
      <c r="G186">
        <v>1080</v>
      </c>
      <c r="H186">
        <v>3</v>
      </c>
      <c r="I186" t="s">
        <v>427</v>
      </c>
      <c r="J186" t="s">
        <v>428</v>
      </c>
      <c r="K186" t="s">
        <v>429</v>
      </c>
      <c r="L186">
        <v>1354</v>
      </c>
      <c r="N186">
        <v>1010</v>
      </c>
      <c r="O186" t="s">
        <v>34</v>
      </c>
      <c r="P186" t="s">
        <v>34</v>
      </c>
      <c r="Q186">
        <v>1</v>
      </c>
      <c r="X186">
        <v>3.1</v>
      </c>
      <c r="Y186">
        <v>6.94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25</v>
      </c>
      <c r="AG186">
        <v>3.1</v>
      </c>
      <c r="AH186">
        <v>2</v>
      </c>
      <c r="AI186">
        <v>59213604</v>
      </c>
      <c r="AJ186">
        <v>166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ROW(Source!A147)</f>
        <v>147</v>
      </c>
      <c r="B187">
        <v>59213922</v>
      </c>
      <c r="C187">
        <v>59213596</v>
      </c>
      <c r="D187">
        <v>58332289</v>
      </c>
      <c r="E187">
        <v>1</v>
      </c>
      <c r="F187">
        <v>1</v>
      </c>
      <c r="G187">
        <v>1080</v>
      </c>
      <c r="H187">
        <v>3</v>
      </c>
      <c r="I187" t="s">
        <v>430</v>
      </c>
      <c r="J187" t="s">
        <v>431</v>
      </c>
      <c r="K187" t="s">
        <v>432</v>
      </c>
      <c r="L187">
        <v>1356</v>
      </c>
      <c r="N187">
        <v>1010</v>
      </c>
      <c r="O187" t="s">
        <v>426</v>
      </c>
      <c r="P187" t="s">
        <v>426</v>
      </c>
      <c r="Q187">
        <v>1000</v>
      </c>
      <c r="X187">
        <v>8.0000000000000002E-3</v>
      </c>
      <c r="Y187">
        <v>614.09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25</v>
      </c>
      <c r="AG187">
        <v>8.0000000000000002E-3</v>
      </c>
      <c r="AH187">
        <v>2</v>
      </c>
      <c r="AI187">
        <v>59213605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ROW(Source!A147)</f>
        <v>147</v>
      </c>
      <c r="B188">
        <v>59213923</v>
      </c>
      <c r="C188">
        <v>59213596</v>
      </c>
      <c r="D188">
        <v>58281874</v>
      </c>
      <c r="E188">
        <v>1080</v>
      </c>
      <c r="F188">
        <v>1</v>
      </c>
      <c r="G188">
        <v>1080</v>
      </c>
      <c r="H188">
        <v>3</v>
      </c>
      <c r="I188" t="s">
        <v>485</v>
      </c>
      <c r="J188" t="s">
        <v>3</v>
      </c>
      <c r="K188" t="s">
        <v>486</v>
      </c>
      <c r="L188">
        <v>1303</v>
      </c>
      <c r="N188">
        <v>1003</v>
      </c>
      <c r="O188" t="s">
        <v>256</v>
      </c>
      <c r="P188" t="s">
        <v>256</v>
      </c>
      <c r="Q188">
        <v>1000</v>
      </c>
      <c r="X188">
        <v>0.10299999999999999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25</v>
      </c>
      <c r="AG188">
        <v>0.10299999999999999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ROW(Source!A148)</f>
        <v>148</v>
      </c>
      <c r="B189">
        <v>59213914</v>
      </c>
      <c r="C189">
        <v>59213596</v>
      </c>
      <c r="D189">
        <v>58266404</v>
      </c>
      <c r="E189">
        <v>1080</v>
      </c>
      <c r="F189">
        <v>1</v>
      </c>
      <c r="G189">
        <v>1080</v>
      </c>
      <c r="H189">
        <v>1</v>
      </c>
      <c r="I189" t="s">
        <v>331</v>
      </c>
      <c r="J189" t="s">
        <v>3</v>
      </c>
      <c r="K189" t="s">
        <v>332</v>
      </c>
      <c r="L189">
        <v>1191</v>
      </c>
      <c r="N189">
        <v>1013</v>
      </c>
      <c r="O189" t="s">
        <v>333</v>
      </c>
      <c r="P189" t="s">
        <v>333</v>
      </c>
      <c r="Q189">
        <v>1</v>
      </c>
      <c r="X189">
        <v>4.49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26</v>
      </c>
      <c r="AG189">
        <v>4.9390000000000009</v>
      </c>
      <c r="AH189">
        <v>2</v>
      </c>
      <c r="AI189">
        <v>59213597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ROW(Source!A148)</f>
        <v>148</v>
      </c>
      <c r="B190">
        <v>59213915</v>
      </c>
      <c r="C190">
        <v>59213596</v>
      </c>
      <c r="D190">
        <v>58340578</v>
      </c>
      <c r="E190">
        <v>1</v>
      </c>
      <c r="F190">
        <v>1</v>
      </c>
      <c r="G190">
        <v>1080</v>
      </c>
      <c r="H190">
        <v>2</v>
      </c>
      <c r="I190" t="s">
        <v>334</v>
      </c>
      <c r="J190" t="s">
        <v>335</v>
      </c>
      <c r="K190" t="s">
        <v>336</v>
      </c>
      <c r="L190">
        <v>1368</v>
      </c>
      <c r="N190">
        <v>1011</v>
      </c>
      <c r="O190" t="s">
        <v>337</v>
      </c>
      <c r="P190" t="s">
        <v>337</v>
      </c>
      <c r="Q190">
        <v>1</v>
      </c>
      <c r="X190">
        <v>0.01</v>
      </c>
      <c r="Y190">
        <v>0</v>
      </c>
      <c r="Z190">
        <v>83.1</v>
      </c>
      <c r="AA190">
        <v>12.62</v>
      </c>
      <c r="AB190">
        <v>0</v>
      </c>
      <c r="AC190">
        <v>0</v>
      </c>
      <c r="AD190">
        <v>1</v>
      </c>
      <c r="AE190">
        <v>0</v>
      </c>
      <c r="AF190" t="s">
        <v>26</v>
      </c>
      <c r="AG190">
        <v>1.1000000000000001E-2</v>
      </c>
      <c r="AH190">
        <v>2</v>
      </c>
      <c r="AI190">
        <v>59213598</v>
      </c>
      <c r="AJ190">
        <v>170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ROW(Source!A148)</f>
        <v>148</v>
      </c>
      <c r="B191">
        <v>59213916</v>
      </c>
      <c r="C191">
        <v>59213596</v>
      </c>
      <c r="D191">
        <v>58339814</v>
      </c>
      <c r="E191">
        <v>1</v>
      </c>
      <c r="F191">
        <v>1</v>
      </c>
      <c r="G191">
        <v>1080</v>
      </c>
      <c r="H191">
        <v>2</v>
      </c>
      <c r="I191" t="s">
        <v>411</v>
      </c>
      <c r="J191" t="s">
        <v>412</v>
      </c>
      <c r="K191" t="s">
        <v>413</v>
      </c>
      <c r="L191">
        <v>1368</v>
      </c>
      <c r="N191">
        <v>1011</v>
      </c>
      <c r="O191" t="s">
        <v>337</v>
      </c>
      <c r="P191" t="s">
        <v>337</v>
      </c>
      <c r="Q191">
        <v>1</v>
      </c>
      <c r="X191">
        <v>0.01</v>
      </c>
      <c r="Y191">
        <v>0</v>
      </c>
      <c r="Z191">
        <v>179.17</v>
      </c>
      <c r="AA191">
        <v>16.93</v>
      </c>
      <c r="AB191">
        <v>0</v>
      </c>
      <c r="AC191">
        <v>0</v>
      </c>
      <c r="AD191">
        <v>1</v>
      </c>
      <c r="AE191">
        <v>0</v>
      </c>
      <c r="AF191" t="s">
        <v>26</v>
      </c>
      <c r="AG191">
        <v>1.1000000000000001E-2</v>
      </c>
      <c r="AH191">
        <v>2</v>
      </c>
      <c r="AI191">
        <v>59213599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ROW(Source!A148)</f>
        <v>148</v>
      </c>
      <c r="B192">
        <v>59213917</v>
      </c>
      <c r="C192">
        <v>59213596</v>
      </c>
      <c r="D192">
        <v>58309611</v>
      </c>
      <c r="E192">
        <v>1</v>
      </c>
      <c r="F192">
        <v>1</v>
      </c>
      <c r="G192">
        <v>1080</v>
      </c>
      <c r="H192">
        <v>3</v>
      </c>
      <c r="I192" t="s">
        <v>414</v>
      </c>
      <c r="J192" t="s">
        <v>415</v>
      </c>
      <c r="K192" t="s">
        <v>416</v>
      </c>
      <c r="L192">
        <v>1346</v>
      </c>
      <c r="N192">
        <v>1009</v>
      </c>
      <c r="O192" t="s">
        <v>244</v>
      </c>
      <c r="P192" t="s">
        <v>244</v>
      </c>
      <c r="Q192">
        <v>1</v>
      </c>
      <c r="X192">
        <v>0.43</v>
      </c>
      <c r="Y192">
        <v>1.38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25</v>
      </c>
      <c r="AG192">
        <v>0.43</v>
      </c>
      <c r="AH192">
        <v>2</v>
      </c>
      <c r="AI192">
        <v>59213600</v>
      </c>
      <c r="AJ192">
        <v>172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ROW(Source!A148)</f>
        <v>148</v>
      </c>
      <c r="B193">
        <v>59213918</v>
      </c>
      <c r="C193">
        <v>59213596</v>
      </c>
      <c r="D193">
        <v>58310002</v>
      </c>
      <c r="E193">
        <v>1</v>
      </c>
      <c r="F193">
        <v>1</v>
      </c>
      <c r="G193">
        <v>1080</v>
      </c>
      <c r="H193">
        <v>3</v>
      </c>
      <c r="I193" t="s">
        <v>417</v>
      </c>
      <c r="J193" t="s">
        <v>418</v>
      </c>
      <c r="K193" t="s">
        <v>419</v>
      </c>
      <c r="L193">
        <v>1346</v>
      </c>
      <c r="N193">
        <v>1009</v>
      </c>
      <c r="O193" t="s">
        <v>244</v>
      </c>
      <c r="P193" t="s">
        <v>244</v>
      </c>
      <c r="Q193">
        <v>1</v>
      </c>
      <c r="X193">
        <v>0.16</v>
      </c>
      <c r="Y193">
        <v>159.06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25</v>
      </c>
      <c r="AG193">
        <v>0.16</v>
      </c>
      <c r="AH193">
        <v>2</v>
      </c>
      <c r="AI193">
        <v>59213601</v>
      </c>
      <c r="AJ193">
        <v>173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ROW(Source!A148)</f>
        <v>148</v>
      </c>
      <c r="B194">
        <v>59213919</v>
      </c>
      <c r="C194">
        <v>59213596</v>
      </c>
      <c r="D194">
        <v>58332945</v>
      </c>
      <c r="E194">
        <v>1</v>
      </c>
      <c r="F194">
        <v>1</v>
      </c>
      <c r="G194">
        <v>1080</v>
      </c>
      <c r="H194">
        <v>3</v>
      </c>
      <c r="I194" t="s">
        <v>420</v>
      </c>
      <c r="J194" t="s">
        <v>421</v>
      </c>
      <c r="K194" t="s">
        <v>422</v>
      </c>
      <c r="L194">
        <v>1355</v>
      </c>
      <c r="N194">
        <v>1010</v>
      </c>
      <c r="O194" t="s">
        <v>227</v>
      </c>
      <c r="P194" t="s">
        <v>227</v>
      </c>
      <c r="Q194">
        <v>100</v>
      </c>
      <c r="X194">
        <v>0.05</v>
      </c>
      <c r="Y194">
        <v>68.819999999999993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25</v>
      </c>
      <c r="AG194">
        <v>0.05</v>
      </c>
      <c r="AH194">
        <v>2</v>
      </c>
      <c r="AI194">
        <v>59213602</v>
      </c>
      <c r="AJ194">
        <v>174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ROW(Source!A148)</f>
        <v>148</v>
      </c>
      <c r="B195">
        <v>59213920</v>
      </c>
      <c r="C195">
        <v>59213596</v>
      </c>
      <c r="D195">
        <v>58332956</v>
      </c>
      <c r="E195">
        <v>1</v>
      </c>
      <c r="F195">
        <v>1</v>
      </c>
      <c r="G195">
        <v>1080</v>
      </c>
      <c r="H195">
        <v>3</v>
      </c>
      <c r="I195" t="s">
        <v>423</v>
      </c>
      <c r="J195" t="s">
        <v>424</v>
      </c>
      <c r="K195" t="s">
        <v>425</v>
      </c>
      <c r="L195">
        <v>1356</v>
      </c>
      <c r="N195">
        <v>1010</v>
      </c>
      <c r="O195" t="s">
        <v>426</v>
      </c>
      <c r="P195" t="s">
        <v>426</v>
      </c>
      <c r="Q195">
        <v>1000</v>
      </c>
      <c r="X195">
        <v>1.2200000000000001E-2</v>
      </c>
      <c r="Y195">
        <v>183.4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25</v>
      </c>
      <c r="AG195">
        <v>1.2200000000000001E-2</v>
      </c>
      <c r="AH195">
        <v>2</v>
      </c>
      <c r="AI195">
        <v>59213603</v>
      </c>
      <c r="AJ195">
        <v>175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ROW(Source!A148)</f>
        <v>148</v>
      </c>
      <c r="B196">
        <v>59213921</v>
      </c>
      <c r="C196">
        <v>59213596</v>
      </c>
      <c r="D196">
        <v>58332282</v>
      </c>
      <c r="E196">
        <v>1</v>
      </c>
      <c r="F196">
        <v>1</v>
      </c>
      <c r="G196">
        <v>1080</v>
      </c>
      <c r="H196">
        <v>3</v>
      </c>
      <c r="I196" t="s">
        <v>427</v>
      </c>
      <c r="J196" t="s">
        <v>428</v>
      </c>
      <c r="K196" t="s">
        <v>429</v>
      </c>
      <c r="L196">
        <v>1354</v>
      </c>
      <c r="N196">
        <v>1010</v>
      </c>
      <c r="O196" t="s">
        <v>34</v>
      </c>
      <c r="P196" t="s">
        <v>34</v>
      </c>
      <c r="Q196">
        <v>1</v>
      </c>
      <c r="X196">
        <v>3.1</v>
      </c>
      <c r="Y196">
        <v>6.94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25</v>
      </c>
      <c r="AG196">
        <v>3.1</v>
      </c>
      <c r="AH196">
        <v>2</v>
      </c>
      <c r="AI196">
        <v>59213604</v>
      </c>
      <c r="AJ196">
        <v>176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ROW(Source!A148)</f>
        <v>148</v>
      </c>
      <c r="B197">
        <v>59213922</v>
      </c>
      <c r="C197">
        <v>59213596</v>
      </c>
      <c r="D197">
        <v>58332289</v>
      </c>
      <c r="E197">
        <v>1</v>
      </c>
      <c r="F197">
        <v>1</v>
      </c>
      <c r="G197">
        <v>1080</v>
      </c>
      <c r="H197">
        <v>3</v>
      </c>
      <c r="I197" t="s">
        <v>430</v>
      </c>
      <c r="J197" t="s">
        <v>431</v>
      </c>
      <c r="K197" t="s">
        <v>432</v>
      </c>
      <c r="L197">
        <v>1356</v>
      </c>
      <c r="N197">
        <v>1010</v>
      </c>
      <c r="O197" t="s">
        <v>426</v>
      </c>
      <c r="P197" t="s">
        <v>426</v>
      </c>
      <c r="Q197">
        <v>1000</v>
      </c>
      <c r="X197">
        <v>8.0000000000000002E-3</v>
      </c>
      <c r="Y197">
        <v>614.09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25</v>
      </c>
      <c r="AG197">
        <v>8.0000000000000002E-3</v>
      </c>
      <c r="AH197">
        <v>2</v>
      </c>
      <c r="AI197">
        <v>59213605</v>
      </c>
      <c r="AJ197">
        <v>177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ROW(Source!A148)</f>
        <v>148</v>
      </c>
      <c r="B198">
        <v>59213923</v>
      </c>
      <c r="C198">
        <v>59213596</v>
      </c>
      <c r="D198">
        <v>58281874</v>
      </c>
      <c r="E198">
        <v>1080</v>
      </c>
      <c r="F198">
        <v>1</v>
      </c>
      <c r="G198">
        <v>1080</v>
      </c>
      <c r="H198">
        <v>3</v>
      </c>
      <c r="I198" t="s">
        <v>485</v>
      </c>
      <c r="J198" t="s">
        <v>3</v>
      </c>
      <c r="K198" t="s">
        <v>486</v>
      </c>
      <c r="L198">
        <v>1303</v>
      </c>
      <c r="N198">
        <v>1003</v>
      </c>
      <c r="O198" t="s">
        <v>256</v>
      </c>
      <c r="P198" t="s">
        <v>256</v>
      </c>
      <c r="Q198">
        <v>1000</v>
      </c>
      <c r="X198">
        <v>0.10299999999999999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25</v>
      </c>
      <c r="AG198">
        <v>0.10299999999999999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ROW(Source!A151)</f>
        <v>151</v>
      </c>
      <c r="B199">
        <v>59213924</v>
      </c>
      <c r="C199">
        <v>59213618</v>
      </c>
      <c r="D199">
        <v>58266404</v>
      </c>
      <c r="E199">
        <v>1080</v>
      </c>
      <c r="F199">
        <v>1</v>
      </c>
      <c r="G199">
        <v>1080</v>
      </c>
      <c r="H199">
        <v>1</v>
      </c>
      <c r="I199" t="s">
        <v>331</v>
      </c>
      <c r="J199" t="s">
        <v>3</v>
      </c>
      <c r="K199" t="s">
        <v>332</v>
      </c>
      <c r="L199">
        <v>1191</v>
      </c>
      <c r="N199">
        <v>1013</v>
      </c>
      <c r="O199" t="s">
        <v>333</v>
      </c>
      <c r="P199" t="s">
        <v>333</v>
      </c>
      <c r="Q199">
        <v>1</v>
      </c>
      <c r="X199">
        <v>5.39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 t="s">
        <v>26</v>
      </c>
      <c r="AG199">
        <v>5.9290000000000003</v>
      </c>
      <c r="AH199">
        <v>2</v>
      </c>
      <c r="AI199">
        <v>59213619</v>
      </c>
      <c r="AJ199">
        <v>179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ROW(Source!A151)</f>
        <v>151</v>
      </c>
      <c r="B200">
        <v>59213925</v>
      </c>
      <c r="C200">
        <v>59213618</v>
      </c>
      <c r="D200">
        <v>58340578</v>
      </c>
      <c r="E200">
        <v>1</v>
      </c>
      <c r="F200">
        <v>1</v>
      </c>
      <c r="G200">
        <v>1080</v>
      </c>
      <c r="H200">
        <v>2</v>
      </c>
      <c r="I200" t="s">
        <v>334</v>
      </c>
      <c r="J200" t="s">
        <v>335</v>
      </c>
      <c r="K200" t="s">
        <v>336</v>
      </c>
      <c r="L200">
        <v>1368</v>
      </c>
      <c r="N200">
        <v>1011</v>
      </c>
      <c r="O200" t="s">
        <v>337</v>
      </c>
      <c r="P200" t="s">
        <v>337</v>
      </c>
      <c r="Q200">
        <v>1</v>
      </c>
      <c r="X200">
        <v>0.02</v>
      </c>
      <c r="Y200">
        <v>0</v>
      </c>
      <c r="Z200">
        <v>83.1</v>
      </c>
      <c r="AA200">
        <v>12.62</v>
      </c>
      <c r="AB200">
        <v>0</v>
      </c>
      <c r="AC200">
        <v>0</v>
      </c>
      <c r="AD200">
        <v>1</v>
      </c>
      <c r="AE200">
        <v>0</v>
      </c>
      <c r="AF200" t="s">
        <v>26</v>
      </c>
      <c r="AG200">
        <v>2.2000000000000002E-2</v>
      </c>
      <c r="AH200">
        <v>2</v>
      </c>
      <c r="AI200">
        <v>59213620</v>
      </c>
      <c r="AJ200">
        <v>180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ROW(Source!A151)</f>
        <v>151</v>
      </c>
      <c r="B201">
        <v>59213926</v>
      </c>
      <c r="C201">
        <v>59213618</v>
      </c>
      <c r="D201">
        <v>58339814</v>
      </c>
      <c r="E201">
        <v>1</v>
      </c>
      <c r="F201">
        <v>1</v>
      </c>
      <c r="G201">
        <v>1080</v>
      </c>
      <c r="H201">
        <v>2</v>
      </c>
      <c r="I201" t="s">
        <v>411</v>
      </c>
      <c r="J201" t="s">
        <v>412</v>
      </c>
      <c r="K201" t="s">
        <v>413</v>
      </c>
      <c r="L201">
        <v>1368</v>
      </c>
      <c r="N201">
        <v>1011</v>
      </c>
      <c r="O201" t="s">
        <v>337</v>
      </c>
      <c r="P201" t="s">
        <v>337</v>
      </c>
      <c r="Q201">
        <v>1</v>
      </c>
      <c r="X201">
        <v>0.02</v>
      </c>
      <c r="Y201">
        <v>0</v>
      </c>
      <c r="Z201">
        <v>179.17</v>
      </c>
      <c r="AA201">
        <v>16.93</v>
      </c>
      <c r="AB201">
        <v>0</v>
      </c>
      <c r="AC201">
        <v>0</v>
      </c>
      <c r="AD201">
        <v>1</v>
      </c>
      <c r="AE201">
        <v>0</v>
      </c>
      <c r="AF201" t="s">
        <v>26</v>
      </c>
      <c r="AG201">
        <v>2.2000000000000002E-2</v>
      </c>
      <c r="AH201">
        <v>2</v>
      </c>
      <c r="AI201">
        <v>59213621</v>
      </c>
      <c r="AJ201">
        <v>181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ROW(Source!A151)</f>
        <v>151</v>
      </c>
      <c r="B202">
        <v>59213927</v>
      </c>
      <c r="C202">
        <v>59213618</v>
      </c>
      <c r="D202">
        <v>58309611</v>
      </c>
      <c r="E202">
        <v>1</v>
      </c>
      <c r="F202">
        <v>1</v>
      </c>
      <c r="G202">
        <v>1080</v>
      </c>
      <c r="H202">
        <v>3</v>
      </c>
      <c r="I202" t="s">
        <v>414</v>
      </c>
      <c r="J202" t="s">
        <v>415</v>
      </c>
      <c r="K202" t="s">
        <v>416</v>
      </c>
      <c r="L202">
        <v>1346</v>
      </c>
      <c r="N202">
        <v>1009</v>
      </c>
      <c r="O202" t="s">
        <v>244</v>
      </c>
      <c r="P202" t="s">
        <v>244</v>
      </c>
      <c r="Q202">
        <v>1</v>
      </c>
      <c r="X202">
        <v>0.6</v>
      </c>
      <c r="Y202">
        <v>1.38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25</v>
      </c>
      <c r="AG202">
        <v>0.6</v>
      </c>
      <c r="AH202">
        <v>2</v>
      </c>
      <c r="AI202">
        <v>59213622</v>
      </c>
      <c r="AJ202">
        <v>182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ROW(Source!A151)</f>
        <v>151</v>
      </c>
      <c r="B203">
        <v>59213928</v>
      </c>
      <c r="C203">
        <v>59213618</v>
      </c>
      <c r="D203">
        <v>58310002</v>
      </c>
      <c r="E203">
        <v>1</v>
      </c>
      <c r="F203">
        <v>1</v>
      </c>
      <c r="G203">
        <v>1080</v>
      </c>
      <c r="H203">
        <v>3</v>
      </c>
      <c r="I203" t="s">
        <v>417</v>
      </c>
      <c r="J203" t="s">
        <v>418</v>
      </c>
      <c r="K203" t="s">
        <v>419</v>
      </c>
      <c r="L203">
        <v>1346</v>
      </c>
      <c r="N203">
        <v>1009</v>
      </c>
      <c r="O203" t="s">
        <v>244</v>
      </c>
      <c r="P203" t="s">
        <v>244</v>
      </c>
      <c r="Q203">
        <v>1</v>
      </c>
      <c r="X203">
        <v>0.16</v>
      </c>
      <c r="Y203">
        <v>159.06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25</v>
      </c>
      <c r="AG203">
        <v>0.16</v>
      </c>
      <c r="AH203">
        <v>2</v>
      </c>
      <c r="AI203">
        <v>59213623</v>
      </c>
      <c r="AJ203">
        <v>183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ROW(Source!A151)</f>
        <v>151</v>
      </c>
      <c r="B204">
        <v>59213929</v>
      </c>
      <c r="C204">
        <v>59213618</v>
      </c>
      <c r="D204">
        <v>58332946</v>
      </c>
      <c r="E204">
        <v>1</v>
      </c>
      <c r="F204">
        <v>1</v>
      </c>
      <c r="G204">
        <v>1080</v>
      </c>
      <c r="H204">
        <v>3</v>
      </c>
      <c r="I204" t="s">
        <v>433</v>
      </c>
      <c r="J204" t="s">
        <v>434</v>
      </c>
      <c r="K204" t="s">
        <v>435</v>
      </c>
      <c r="L204">
        <v>1355</v>
      </c>
      <c r="N204">
        <v>1010</v>
      </c>
      <c r="O204" t="s">
        <v>227</v>
      </c>
      <c r="P204" t="s">
        <v>227</v>
      </c>
      <c r="Q204">
        <v>100</v>
      </c>
      <c r="X204">
        <v>0.05</v>
      </c>
      <c r="Y204">
        <v>130.15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25</v>
      </c>
      <c r="AG204">
        <v>0.05</v>
      </c>
      <c r="AH204">
        <v>2</v>
      </c>
      <c r="AI204">
        <v>59213624</v>
      </c>
      <c r="AJ204">
        <v>184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ROW(Source!A151)</f>
        <v>151</v>
      </c>
      <c r="B205">
        <v>59213930</v>
      </c>
      <c r="C205">
        <v>59213618</v>
      </c>
      <c r="D205">
        <v>58332957</v>
      </c>
      <c r="E205">
        <v>1</v>
      </c>
      <c r="F205">
        <v>1</v>
      </c>
      <c r="G205">
        <v>1080</v>
      </c>
      <c r="H205">
        <v>3</v>
      </c>
      <c r="I205" t="s">
        <v>436</v>
      </c>
      <c r="J205" t="s">
        <v>437</v>
      </c>
      <c r="K205" t="s">
        <v>438</v>
      </c>
      <c r="L205">
        <v>1356</v>
      </c>
      <c r="N205">
        <v>1010</v>
      </c>
      <c r="O205" t="s">
        <v>426</v>
      </c>
      <c r="P205" t="s">
        <v>426</v>
      </c>
      <c r="Q205">
        <v>1000</v>
      </c>
      <c r="X205">
        <v>1.2200000000000001E-2</v>
      </c>
      <c r="Y205">
        <v>226.86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25</v>
      </c>
      <c r="AG205">
        <v>1.2200000000000001E-2</v>
      </c>
      <c r="AH205">
        <v>2</v>
      </c>
      <c r="AI205">
        <v>59213625</v>
      </c>
      <c r="AJ205">
        <v>185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ROW(Source!A151)</f>
        <v>151</v>
      </c>
      <c r="B206">
        <v>59213931</v>
      </c>
      <c r="C206">
        <v>59213618</v>
      </c>
      <c r="D206">
        <v>58332282</v>
      </c>
      <c r="E206">
        <v>1</v>
      </c>
      <c r="F206">
        <v>1</v>
      </c>
      <c r="G206">
        <v>1080</v>
      </c>
      <c r="H206">
        <v>3</v>
      </c>
      <c r="I206" t="s">
        <v>427</v>
      </c>
      <c r="J206" t="s">
        <v>428</v>
      </c>
      <c r="K206" t="s">
        <v>429</v>
      </c>
      <c r="L206">
        <v>1354</v>
      </c>
      <c r="N206">
        <v>1010</v>
      </c>
      <c r="O206" t="s">
        <v>34</v>
      </c>
      <c r="P206" t="s">
        <v>34</v>
      </c>
      <c r="Q206">
        <v>1</v>
      </c>
      <c r="X206">
        <v>3.1</v>
      </c>
      <c r="Y206">
        <v>6.94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25</v>
      </c>
      <c r="AG206">
        <v>3.1</v>
      </c>
      <c r="AH206">
        <v>2</v>
      </c>
      <c r="AI206">
        <v>59213626</v>
      </c>
      <c r="AJ206">
        <v>186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ROW(Source!A151)</f>
        <v>151</v>
      </c>
      <c r="B207">
        <v>59213932</v>
      </c>
      <c r="C207">
        <v>59213618</v>
      </c>
      <c r="D207">
        <v>58332290</v>
      </c>
      <c r="E207">
        <v>1</v>
      </c>
      <c r="F207">
        <v>1</v>
      </c>
      <c r="G207">
        <v>1080</v>
      </c>
      <c r="H207">
        <v>3</v>
      </c>
      <c r="I207" t="s">
        <v>439</v>
      </c>
      <c r="J207" t="s">
        <v>440</v>
      </c>
      <c r="K207" t="s">
        <v>441</v>
      </c>
      <c r="L207">
        <v>1356</v>
      </c>
      <c r="N207">
        <v>1010</v>
      </c>
      <c r="O207" t="s">
        <v>426</v>
      </c>
      <c r="P207" t="s">
        <v>426</v>
      </c>
      <c r="Q207">
        <v>1000</v>
      </c>
      <c r="X207">
        <v>8.0000000000000002E-3</v>
      </c>
      <c r="Y207">
        <v>614.09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25</v>
      </c>
      <c r="AG207">
        <v>8.0000000000000002E-3</v>
      </c>
      <c r="AH207">
        <v>2</v>
      </c>
      <c r="AI207">
        <v>59213627</v>
      </c>
      <c r="AJ207">
        <v>187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ROW(Source!A151)</f>
        <v>151</v>
      </c>
      <c r="B208">
        <v>59213933</v>
      </c>
      <c r="C208">
        <v>59213618</v>
      </c>
      <c r="D208">
        <v>58281874</v>
      </c>
      <c r="E208">
        <v>1080</v>
      </c>
      <c r="F208">
        <v>1</v>
      </c>
      <c r="G208">
        <v>1080</v>
      </c>
      <c r="H208">
        <v>3</v>
      </c>
      <c r="I208" t="s">
        <v>485</v>
      </c>
      <c r="J208" t="s">
        <v>3</v>
      </c>
      <c r="K208" t="s">
        <v>486</v>
      </c>
      <c r="L208">
        <v>1303</v>
      </c>
      <c r="N208">
        <v>1003</v>
      </c>
      <c r="O208" t="s">
        <v>256</v>
      </c>
      <c r="P208" t="s">
        <v>256</v>
      </c>
      <c r="Q208">
        <v>1000</v>
      </c>
      <c r="X208">
        <v>0.10299999999999999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25</v>
      </c>
      <c r="AG208">
        <v>0.10299999999999999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ROW(Source!A152)</f>
        <v>152</v>
      </c>
      <c r="B209">
        <v>59213924</v>
      </c>
      <c r="C209">
        <v>59213618</v>
      </c>
      <c r="D209">
        <v>58266404</v>
      </c>
      <c r="E209">
        <v>1080</v>
      </c>
      <c r="F209">
        <v>1</v>
      </c>
      <c r="G209">
        <v>1080</v>
      </c>
      <c r="H209">
        <v>1</v>
      </c>
      <c r="I209" t="s">
        <v>331</v>
      </c>
      <c r="J209" t="s">
        <v>3</v>
      </c>
      <c r="K209" t="s">
        <v>332</v>
      </c>
      <c r="L209">
        <v>1191</v>
      </c>
      <c r="N209">
        <v>1013</v>
      </c>
      <c r="O209" t="s">
        <v>333</v>
      </c>
      <c r="P209" t="s">
        <v>333</v>
      </c>
      <c r="Q209">
        <v>1</v>
      </c>
      <c r="X209">
        <v>5.39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26</v>
      </c>
      <c r="AG209">
        <v>5.9290000000000003</v>
      </c>
      <c r="AH209">
        <v>2</v>
      </c>
      <c r="AI209">
        <v>59213619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ROW(Source!A152)</f>
        <v>152</v>
      </c>
      <c r="B210">
        <v>59213925</v>
      </c>
      <c r="C210">
        <v>59213618</v>
      </c>
      <c r="D210">
        <v>58340578</v>
      </c>
      <c r="E210">
        <v>1</v>
      </c>
      <c r="F210">
        <v>1</v>
      </c>
      <c r="G210">
        <v>1080</v>
      </c>
      <c r="H210">
        <v>2</v>
      </c>
      <c r="I210" t="s">
        <v>334</v>
      </c>
      <c r="J210" t="s">
        <v>335</v>
      </c>
      <c r="K210" t="s">
        <v>336</v>
      </c>
      <c r="L210">
        <v>1368</v>
      </c>
      <c r="N210">
        <v>1011</v>
      </c>
      <c r="O210" t="s">
        <v>337</v>
      </c>
      <c r="P210" t="s">
        <v>337</v>
      </c>
      <c r="Q210">
        <v>1</v>
      </c>
      <c r="X210">
        <v>0.02</v>
      </c>
      <c r="Y210">
        <v>0</v>
      </c>
      <c r="Z210">
        <v>83.1</v>
      </c>
      <c r="AA210">
        <v>12.62</v>
      </c>
      <c r="AB210">
        <v>0</v>
      </c>
      <c r="AC210">
        <v>0</v>
      </c>
      <c r="AD210">
        <v>1</v>
      </c>
      <c r="AE210">
        <v>0</v>
      </c>
      <c r="AF210" t="s">
        <v>26</v>
      </c>
      <c r="AG210">
        <v>2.2000000000000002E-2</v>
      </c>
      <c r="AH210">
        <v>2</v>
      </c>
      <c r="AI210">
        <v>59213620</v>
      </c>
      <c r="AJ210">
        <v>190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ROW(Source!A152)</f>
        <v>152</v>
      </c>
      <c r="B211">
        <v>59213926</v>
      </c>
      <c r="C211">
        <v>59213618</v>
      </c>
      <c r="D211">
        <v>58339814</v>
      </c>
      <c r="E211">
        <v>1</v>
      </c>
      <c r="F211">
        <v>1</v>
      </c>
      <c r="G211">
        <v>1080</v>
      </c>
      <c r="H211">
        <v>2</v>
      </c>
      <c r="I211" t="s">
        <v>411</v>
      </c>
      <c r="J211" t="s">
        <v>412</v>
      </c>
      <c r="K211" t="s">
        <v>413</v>
      </c>
      <c r="L211">
        <v>1368</v>
      </c>
      <c r="N211">
        <v>1011</v>
      </c>
      <c r="O211" t="s">
        <v>337</v>
      </c>
      <c r="P211" t="s">
        <v>337</v>
      </c>
      <c r="Q211">
        <v>1</v>
      </c>
      <c r="X211">
        <v>0.02</v>
      </c>
      <c r="Y211">
        <v>0</v>
      </c>
      <c r="Z211">
        <v>179.17</v>
      </c>
      <c r="AA211">
        <v>16.93</v>
      </c>
      <c r="AB211">
        <v>0</v>
      </c>
      <c r="AC211">
        <v>0</v>
      </c>
      <c r="AD211">
        <v>1</v>
      </c>
      <c r="AE211">
        <v>0</v>
      </c>
      <c r="AF211" t="s">
        <v>26</v>
      </c>
      <c r="AG211">
        <v>2.2000000000000002E-2</v>
      </c>
      <c r="AH211">
        <v>2</v>
      </c>
      <c r="AI211">
        <v>59213621</v>
      </c>
      <c r="AJ211">
        <v>191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ROW(Source!A152)</f>
        <v>152</v>
      </c>
      <c r="B212">
        <v>59213927</v>
      </c>
      <c r="C212">
        <v>59213618</v>
      </c>
      <c r="D212">
        <v>58309611</v>
      </c>
      <c r="E212">
        <v>1</v>
      </c>
      <c r="F212">
        <v>1</v>
      </c>
      <c r="G212">
        <v>1080</v>
      </c>
      <c r="H212">
        <v>3</v>
      </c>
      <c r="I212" t="s">
        <v>414</v>
      </c>
      <c r="J212" t="s">
        <v>415</v>
      </c>
      <c r="K212" t="s">
        <v>416</v>
      </c>
      <c r="L212">
        <v>1346</v>
      </c>
      <c r="N212">
        <v>1009</v>
      </c>
      <c r="O212" t="s">
        <v>244</v>
      </c>
      <c r="P212" t="s">
        <v>244</v>
      </c>
      <c r="Q212">
        <v>1</v>
      </c>
      <c r="X212">
        <v>0.6</v>
      </c>
      <c r="Y212">
        <v>1.38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25</v>
      </c>
      <c r="AG212">
        <v>0.6</v>
      </c>
      <c r="AH212">
        <v>2</v>
      </c>
      <c r="AI212">
        <v>59213622</v>
      </c>
      <c r="AJ212">
        <v>192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ROW(Source!A152)</f>
        <v>152</v>
      </c>
      <c r="B213">
        <v>59213928</v>
      </c>
      <c r="C213">
        <v>59213618</v>
      </c>
      <c r="D213">
        <v>58310002</v>
      </c>
      <c r="E213">
        <v>1</v>
      </c>
      <c r="F213">
        <v>1</v>
      </c>
      <c r="G213">
        <v>1080</v>
      </c>
      <c r="H213">
        <v>3</v>
      </c>
      <c r="I213" t="s">
        <v>417</v>
      </c>
      <c r="J213" t="s">
        <v>418</v>
      </c>
      <c r="K213" t="s">
        <v>419</v>
      </c>
      <c r="L213">
        <v>1346</v>
      </c>
      <c r="N213">
        <v>1009</v>
      </c>
      <c r="O213" t="s">
        <v>244</v>
      </c>
      <c r="P213" t="s">
        <v>244</v>
      </c>
      <c r="Q213">
        <v>1</v>
      </c>
      <c r="X213">
        <v>0.16</v>
      </c>
      <c r="Y213">
        <v>159.06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25</v>
      </c>
      <c r="AG213">
        <v>0.16</v>
      </c>
      <c r="AH213">
        <v>2</v>
      </c>
      <c r="AI213">
        <v>59213623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ROW(Source!A152)</f>
        <v>152</v>
      </c>
      <c r="B214">
        <v>59213929</v>
      </c>
      <c r="C214">
        <v>59213618</v>
      </c>
      <c r="D214">
        <v>58332946</v>
      </c>
      <c r="E214">
        <v>1</v>
      </c>
      <c r="F214">
        <v>1</v>
      </c>
      <c r="G214">
        <v>1080</v>
      </c>
      <c r="H214">
        <v>3</v>
      </c>
      <c r="I214" t="s">
        <v>433</v>
      </c>
      <c r="J214" t="s">
        <v>434</v>
      </c>
      <c r="K214" t="s">
        <v>435</v>
      </c>
      <c r="L214">
        <v>1355</v>
      </c>
      <c r="N214">
        <v>1010</v>
      </c>
      <c r="O214" t="s">
        <v>227</v>
      </c>
      <c r="P214" t="s">
        <v>227</v>
      </c>
      <c r="Q214">
        <v>100</v>
      </c>
      <c r="X214">
        <v>0.05</v>
      </c>
      <c r="Y214">
        <v>130.15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25</v>
      </c>
      <c r="AG214">
        <v>0.05</v>
      </c>
      <c r="AH214">
        <v>2</v>
      </c>
      <c r="AI214">
        <v>59213624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ROW(Source!A152)</f>
        <v>152</v>
      </c>
      <c r="B215">
        <v>59213930</v>
      </c>
      <c r="C215">
        <v>59213618</v>
      </c>
      <c r="D215">
        <v>58332957</v>
      </c>
      <c r="E215">
        <v>1</v>
      </c>
      <c r="F215">
        <v>1</v>
      </c>
      <c r="G215">
        <v>1080</v>
      </c>
      <c r="H215">
        <v>3</v>
      </c>
      <c r="I215" t="s">
        <v>436</v>
      </c>
      <c r="J215" t="s">
        <v>437</v>
      </c>
      <c r="K215" t="s">
        <v>438</v>
      </c>
      <c r="L215">
        <v>1356</v>
      </c>
      <c r="N215">
        <v>1010</v>
      </c>
      <c r="O215" t="s">
        <v>426</v>
      </c>
      <c r="P215" t="s">
        <v>426</v>
      </c>
      <c r="Q215">
        <v>1000</v>
      </c>
      <c r="X215">
        <v>1.2200000000000001E-2</v>
      </c>
      <c r="Y215">
        <v>226.86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25</v>
      </c>
      <c r="AG215">
        <v>1.2200000000000001E-2</v>
      </c>
      <c r="AH215">
        <v>2</v>
      </c>
      <c r="AI215">
        <v>59213625</v>
      </c>
      <c r="AJ215">
        <v>195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ROW(Source!A152)</f>
        <v>152</v>
      </c>
      <c r="B216">
        <v>59213931</v>
      </c>
      <c r="C216">
        <v>59213618</v>
      </c>
      <c r="D216">
        <v>58332282</v>
      </c>
      <c r="E216">
        <v>1</v>
      </c>
      <c r="F216">
        <v>1</v>
      </c>
      <c r="G216">
        <v>1080</v>
      </c>
      <c r="H216">
        <v>3</v>
      </c>
      <c r="I216" t="s">
        <v>427</v>
      </c>
      <c r="J216" t="s">
        <v>428</v>
      </c>
      <c r="K216" t="s">
        <v>429</v>
      </c>
      <c r="L216">
        <v>1354</v>
      </c>
      <c r="N216">
        <v>1010</v>
      </c>
      <c r="O216" t="s">
        <v>34</v>
      </c>
      <c r="P216" t="s">
        <v>34</v>
      </c>
      <c r="Q216">
        <v>1</v>
      </c>
      <c r="X216">
        <v>3.1</v>
      </c>
      <c r="Y216">
        <v>6.94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25</v>
      </c>
      <c r="AG216">
        <v>3.1</v>
      </c>
      <c r="AH216">
        <v>2</v>
      </c>
      <c r="AI216">
        <v>59213626</v>
      </c>
      <c r="AJ216">
        <v>196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ROW(Source!A152)</f>
        <v>152</v>
      </c>
      <c r="B217">
        <v>59213932</v>
      </c>
      <c r="C217">
        <v>59213618</v>
      </c>
      <c r="D217">
        <v>58332290</v>
      </c>
      <c r="E217">
        <v>1</v>
      </c>
      <c r="F217">
        <v>1</v>
      </c>
      <c r="G217">
        <v>1080</v>
      </c>
      <c r="H217">
        <v>3</v>
      </c>
      <c r="I217" t="s">
        <v>439</v>
      </c>
      <c r="J217" t="s">
        <v>440</v>
      </c>
      <c r="K217" t="s">
        <v>441</v>
      </c>
      <c r="L217">
        <v>1356</v>
      </c>
      <c r="N217">
        <v>1010</v>
      </c>
      <c r="O217" t="s">
        <v>426</v>
      </c>
      <c r="P217" t="s">
        <v>426</v>
      </c>
      <c r="Q217">
        <v>1000</v>
      </c>
      <c r="X217">
        <v>8.0000000000000002E-3</v>
      </c>
      <c r="Y217">
        <v>614.09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25</v>
      </c>
      <c r="AG217">
        <v>8.0000000000000002E-3</v>
      </c>
      <c r="AH217">
        <v>2</v>
      </c>
      <c r="AI217">
        <v>59213627</v>
      </c>
      <c r="AJ217">
        <v>197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ROW(Source!A152)</f>
        <v>152</v>
      </c>
      <c r="B218">
        <v>59213933</v>
      </c>
      <c r="C218">
        <v>59213618</v>
      </c>
      <c r="D218">
        <v>58281874</v>
      </c>
      <c r="E218">
        <v>1080</v>
      </c>
      <c r="F218">
        <v>1</v>
      </c>
      <c r="G218">
        <v>1080</v>
      </c>
      <c r="H218">
        <v>3</v>
      </c>
      <c r="I218" t="s">
        <v>485</v>
      </c>
      <c r="J218" t="s">
        <v>3</v>
      </c>
      <c r="K218" t="s">
        <v>486</v>
      </c>
      <c r="L218">
        <v>1303</v>
      </c>
      <c r="N218">
        <v>1003</v>
      </c>
      <c r="O218" t="s">
        <v>256</v>
      </c>
      <c r="P218" t="s">
        <v>256</v>
      </c>
      <c r="Q218">
        <v>1000</v>
      </c>
      <c r="X218">
        <v>0.10299999999999999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25</v>
      </c>
      <c r="AG218">
        <v>0.10299999999999999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ROW(Source!A155)</f>
        <v>155</v>
      </c>
      <c r="B219">
        <v>59213934</v>
      </c>
      <c r="C219">
        <v>59213640</v>
      </c>
      <c r="D219">
        <v>58266404</v>
      </c>
      <c r="E219">
        <v>1080</v>
      </c>
      <c r="F219">
        <v>1</v>
      </c>
      <c r="G219">
        <v>1080</v>
      </c>
      <c r="H219">
        <v>1</v>
      </c>
      <c r="I219" t="s">
        <v>331</v>
      </c>
      <c r="J219" t="s">
        <v>3</v>
      </c>
      <c r="K219" t="s">
        <v>332</v>
      </c>
      <c r="L219">
        <v>1191</v>
      </c>
      <c r="N219">
        <v>1013</v>
      </c>
      <c r="O219" t="s">
        <v>333</v>
      </c>
      <c r="P219" t="s">
        <v>333</v>
      </c>
      <c r="Q219">
        <v>1</v>
      </c>
      <c r="X219">
        <v>1.83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26</v>
      </c>
      <c r="AG219">
        <v>2.0130000000000003</v>
      </c>
      <c r="AH219">
        <v>2</v>
      </c>
      <c r="AI219">
        <v>59213641</v>
      </c>
      <c r="AJ219">
        <v>199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ROW(Source!A155)</f>
        <v>155</v>
      </c>
      <c r="B220">
        <v>59213935</v>
      </c>
      <c r="C220">
        <v>59213640</v>
      </c>
      <c r="D220">
        <v>58340578</v>
      </c>
      <c r="E220">
        <v>1</v>
      </c>
      <c r="F220">
        <v>1</v>
      </c>
      <c r="G220">
        <v>1080</v>
      </c>
      <c r="H220">
        <v>2</v>
      </c>
      <c r="I220" t="s">
        <v>334</v>
      </c>
      <c r="J220" t="s">
        <v>335</v>
      </c>
      <c r="K220" t="s">
        <v>336</v>
      </c>
      <c r="L220">
        <v>1368</v>
      </c>
      <c r="N220">
        <v>1011</v>
      </c>
      <c r="O220" t="s">
        <v>337</v>
      </c>
      <c r="P220" t="s">
        <v>337</v>
      </c>
      <c r="Q220">
        <v>1</v>
      </c>
      <c r="X220">
        <v>0.01</v>
      </c>
      <c r="Y220">
        <v>0</v>
      </c>
      <c r="Z220">
        <v>83.1</v>
      </c>
      <c r="AA220">
        <v>12.62</v>
      </c>
      <c r="AB220">
        <v>0</v>
      </c>
      <c r="AC220">
        <v>0</v>
      </c>
      <c r="AD220">
        <v>1</v>
      </c>
      <c r="AE220">
        <v>0</v>
      </c>
      <c r="AF220" t="s">
        <v>26</v>
      </c>
      <c r="AG220">
        <v>1.1000000000000001E-2</v>
      </c>
      <c r="AH220">
        <v>2</v>
      </c>
      <c r="AI220">
        <v>59213642</v>
      </c>
      <c r="AJ220">
        <v>200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ROW(Source!A155)</f>
        <v>155</v>
      </c>
      <c r="B221">
        <v>59213936</v>
      </c>
      <c r="C221">
        <v>59213640</v>
      </c>
      <c r="D221">
        <v>58339814</v>
      </c>
      <c r="E221">
        <v>1</v>
      </c>
      <c r="F221">
        <v>1</v>
      </c>
      <c r="G221">
        <v>1080</v>
      </c>
      <c r="H221">
        <v>2</v>
      </c>
      <c r="I221" t="s">
        <v>411</v>
      </c>
      <c r="J221" t="s">
        <v>412</v>
      </c>
      <c r="K221" t="s">
        <v>413</v>
      </c>
      <c r="L221">
        <v>1368</v>
      </c>
      <c r="N221">
        <v>1011</v>
      </c>
      <c r="O221" t="s">
        <v>337</v>
      </c>
      <c r="P221" t="s">
        <v>337</v>
      </c>
      <c r="Q221">
        <v>1</v>
      </c>
      <c r="X221">
        <v>0.01</v>
      </c>
      <c r="Y221">
        <v>0</v>
      </c>
      <c r="Z221">
        <v>179.17</v>
      </c>
      <c r="AA221">
        <v>16.93</v>
      </c>
      <c r="AB221">
        <v>0</v>
      </c>
      <c r="AC221">
        <v>0</v>
      </c>
      <c r="AD221">
        <v>1</v>
      </c>
      <c r="AE221">
        <v>0</v>
      </c>
      <c r="AF221" t="s">
        <v>26</v>
      </c>
      <c r="AG221">
        <v>1.1000000000000001E-2</v>
      </c>
      <c r="AH221">
        <v>2</v>
      </c>
      <c r="AI221">
        <v>59213643</v>
      </c>
      <c r="AJ221">
        <v>201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ROW(Source!A155)</f>
        <v>155</v>
      </c>
      <c r="B222">
        <v>59213937</v>
      </c>
      <c r="C222">
        <v>59213640</v>
      </c>
      <c r="D222">
        <v>58309611</v>
      </c>
      <c r="E222">
        <v>1</v>
      </c>
      <c r="F222">
        <v>1</v>
      </c>
      <c r="G222">
        <v>1080</v>
      </c>
      <c r="H222">
        <v>3</v>
      </c>
      <c r="I222" t="s">
        <v>414</v>
      </c>
      <c r="J222" t="s">
        <v>415</v>
      </c>
      <c r="K222" t="s">
        <v>416</v>
      </c>
      <c r="L222">
        <v>1346</v>
      </c>
      <c r="N222">
        <v>1009</v>
      </c>
      <c r="O222" t="s">
        <v>244</v>
      </c>
      <c r="P222" t="s">
        <v>244</v>
      </c>
      <c r="Q222">
        <v>1</v>
      </c>
      <c r="X222">
        <v>0.6</v>
      </c>
      <c r="Y222">
        <v>1.38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25</v>
      </c>
      <c r="AG222">
        <v>0.6</v>
      </c>
      <c r="AH222">
        <v>2</v>
      </c>
      <c r="AI222">
        <v>59213644</v>
      </c>
      <c r="AJ222">
        <v>202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ROW(Source!A155)</f>
        <v>155</v>
      </c>
      <c r="B223">
        <v>59213938</v>
      </c>
      <c r="C223">
        <v>59213640</v>
      </c>
      <c r="D223">
        <v>58310002</v>
      </c>
      <c r="E223">
        <v>1</v>
      </c>
      <c r="F223">
        <v>1</v>
      </c>
      <c r="G223">
        <v>1080</v>
      </c>
      <c r="H223">
        <v>3</v>
      </c>
      <c r="I223" t="s">
        <v>417</v>
      </c>
      <c r="J223" t="s">
        <v>418</v>
      </c>
      <c r="K223" t="s">
        <v>419</v>
      </c>
      <c r="L223">
        <v>1346</v>
      </c>
      <c r="N223">
        <v>1009</v>
      </c>
      <c r="O223" t="s">
        <v>244</v>
      </c>
      <c r="P223" t="s">
        <v>244</v>
      </c>
      <c r="Q223">
        <v>1</v>
      </c>
      <c r="X223">
        <v>0.16</v>
      </c>
      <c r="Y223">
        <v>159.06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25</v>
      </c>
      <c r="AG223">
        <v>0.16</v>
      </c>
      <c r="AH223">
        <v>2</v>
      </c>
      <c r="AI223">
        <v>59213645</v>
      </c>
      <c r="AJ223">
        <v>203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ROW(Source!A155)</f>
        <v>155</v>
      </c>
      <c r="B224">
        <v>59213939</v>
      </c>
      <c r="C224">
        <v>59213640</v>
      </c>
      <c r="D224">
        <v>58332957</v>
      </c>
      <c r="E224">
        <v>1</v>
      </c>
      <c r="F224">
        <v>1</v>
      </c>
      <c r="G224">
        <v>1080</v>
      </c>
      <c r="H224">
        <v>3</v>
      </c>
      <c r="I224" t="s">
        <v>436</v>
      </c>
      <c r="J224" t="s">
        <v>437</v>
      </c>
      <c r="K224" t="s">
        <v>438</v>
      </c>
      <c r="L224">
        <v>1356</v>
      </c>
      <c r="N224">
        <v>1010</v>
      </c>
      <c r="O224" t="s">
        <v>426</v>
      </c>
      <c r="P224" t="s">
        <v>426</v>
      </c>
      <c r="Q224">
        <v>1000</v>
      </c>
      <c r="X224">
        <v>1.2200000000000001E-2</v>
      </c>
      <c r="Y224">
        <v>226.86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25</v>
      </c>
      <c r="AG224">
        <v>1.2200000000000001E-2</v>
      </c>
      <c r="AH224">
        <v>2</v>
      </c>
      <c r="AI224">
        <v>59213646</v>
      </c>
      <c r="AJ224">
        <v>204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ROW(Source!A155)</f>
        <v>155</v>
      </c>
      <c r="B225">
        <v>59213940</v>
      </c>
      <c r="C225">
        <v>59213640</v>
      </c>
      <c r="D225">
        <v>58332282</v>
      </c>
      <c r="E225">
        <v>1</v>
      </c>
      <c r="F225">
        <v>1</v>
      </c>
      <c r="G225">
        <v>1080</v>
      </c>
      <c r="H225">
        <v>3</v>
      </c>
      <c r="I225" t="s">
        <v>427</v>
      </c>
      <c r="J225" t="s">
        <v>428</v>
      </c>
      <c r="K225" t="s">
        <v>429</v>
      </c>
      <c r="L225">
        <v>1354</v>
      </c>
      <c r="N225">
        <v>1010</v>
      </c>
      <c r="O225" t="s">
        <v>34</v>
      </c>
      <c r="P225" t="s">
        <v>34</v>
      </c>
      <c r="Q225">
        <v>1</v>
      </c>
      <c r="X225">
        <v>3.1</v>
      </c>
      <c r="Y225">
        <v>6.94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25</v>
      </c>
      <c r="AG225">
        <v>3.1</v>
      </c>
      <c r="AH225">
        <v>2</v>
      </c>
      <c r="AI225">
        <v>59213647</v>
      </c>
      <c r="AJ225">
        <v>205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ROW(Source!A155)</f>
        <v>155</v>
      </c>
      <c r="B226">
        <v>59213941</v>
      </c>
      <c r="C226">
        <v>59213640</v>
      </c>
      <c r="D226">
        <v>58332290</v>
      </c>
      <c r="E226">
        <v>1</v>
      </c>
      <c r="F226">
        <v>1</v>
      </c>
      <c r="G226">
        <v>1080</v>
      </c>
      <c r="H226">
        <v>3</v>
      </c>
      <c r="I226" t="s">
        <v>439</v>
      </c>
      <c r="J226" t="s">
        <v>440</v>
      </c>
      <c r="K226" t="s">
        <v>441</v>
      </c>
      <c r="L226">
        <v>1356</v>
      </c>
      <c r="N226">
        <v>1010</v>
      </c>
      <c r="O226" t="s">
        <v>426</v>
      </c>
      <c r="P226" t="s">
        <v>426</v>
      </c>
      <c r="Q226">
        <v>1000</v>
      </c>
      <c r="X226">
        <v>8.0000000000000002E-3</v>
      </c>
      <c r="Y226">
        <v>614.09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25</v>
      </c>
      <c r="AG226">
        <v>8.0000000000000002E-3</v>
      </c>
      <c r="AH226">
        <v>2</v>
      </c>
      <c r="AI226">
        <v>59213648</v>
      </c>
      <c r="AJ226">
        <v>206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ROW(Source!A155)</f>
        <v>155</v>
      </c>
      <c r="B227">
        <v>59213942</v>
      </c>
      <c r="C227">
        <v>59213640</v>
      </c>
      <c r="D227">
        <v>58281874</v>
      </c>
      <c r="E227">
        <v>1080</v>
      </c>
      <c r="F227">
        <v>1</v>
      </c>
      <c r="G227">
        <v>1080</v>
      </c>
      <c r="H227">
        <v>3</v>
      </c>
      <c r="I227" t="s">
        <v>485</v>
      </c>
      <c r="J227" t="s">
        <v>3</v>
      </c>
      <c r="K227" t="s">
        <v>486</v>
      </c>
      <c r="L227">
        <v>1303</v>
      </c>
      <c r="N227">
        <v>1003</v>
      </c>
      <c r="O227" t="s">
        <v>256</v>
      </c>
      <c r="P227" t="s">
        <v>256</v>
      </c>
      <c r="Q227">
        <v>1000</v>
      </c>
      <c r="X227">
        <v>0.10299999999999999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25</v>
      </c>
      <c r="AG227">
        <v>0.10299999999999999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ROW(Source!A156)</f>
        <v>156</v>
      </c>
      <c r="B228">
        <v>59213934</v>
      </c>
      <c r="C228">
        <v>59213640</v>
      </c>
      <c r="D228">
        <v>58266404</v>
      </c>
      <c r="E228">
        <v>1080</v>
      </c>
      <c r="F228">
        <v>1</v>
      </c>
      <c r="G228">
        <v>1080</v>
      </c>
      <c r="H228">
        <v>1</v>
      </c>
      <c r="I228" t="s">
        <v>331</v>
      </c>
      <c r="J228" t="s">
        <v>3</v>
      </c>
      <c r="K228" t="s">
        <v>332</v>
      </c>
      <c r="L228">
        <v>1191</v>
      </c>
      <c r="N228">
        <v>1013</v>
      </c>
      <c r="O228" t="s">
        <v>333</v>
      </c>
      <c r="P228" t="s">
        <v>333</v>
      </c>
      <c r="Q228">
        <v>1</v>
      </c>
      <c r="X228">
        <v>1.83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 t="s">
        <v>26</v>
      </c>
      <c r="AG228">
        <v>2.0130000000000003</v>
      </c>
      <c r="AH228">
        <v>2</v>
      </c>
      <c r="AI228">
        <v>59213641</v>
      </c>
      <c r="AJ228">
        <v>208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ROW(Source!A156)</f>
        <v>156</v>
      </c>
      <c r="B229">
        <v>59213935</v>
      </c>
      <c r="C229">
        <v>59213640</v>
      </c>
      <c r="D229">
        <v>58340578</v>
      </c>
      <c r="E229">
        <v>1</v>
      </c>
      <c r="F229">
        <v>1</v>
      </c>
      <c r="G229">
        <v>1080</v>
      </c>
      <c r="H229">
        <v>2</v>
      </c>
      <c r="I229" t="s">
        <v>334</v>
      </c>
      <c r="J229" t="s">
        <v>335</v>
      </c>
      <c r="K229" t="s">
        <v>336</v>
      </c>
      <c r="L229">
        <v>1368</v>
      </c>
      <c r="N229">
        <v>1011</v>
      </c>
      <c r="O229" t="s">
        <v>337</v>
      </c>
      <c r="P229" t="s">
        <v>337</v>
      </c>
      <c r="Q229">
        <v>1</v>
      </c>
      <c r="X229">
        <v>0.01</v>
      </c>
      <c r="Y229">
        <v>0</v>
      </c>
      <c r="Z229">
        <v>83.1</v>
      </c>
      <c r="AA229">
        <v>12.62</v>
      </c>
      <c r="AB229">
        <v>0</v>
      </c>
      <c r="AC229">
        <v>0</v>
      </c>
      <c r="AD229">
        <v>1</v>
      </c>
      <c r="AE229">
        <v>0</v>
      </c>
      <c r="AF229" t="s">
        <v>26</v>
      </c>
      <c r="AG229">
        <v>1.1000000000000001E-2</v>
      </c>
      <c r="AH229">
        <v>2</v>
      </c>
      <c r="AI229">
        <v>59213642</v>
      </c>
      <c r="AJ229">
        <v>209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ROW(Source!A156)</f>
        <v>156</v>
      </c>
      <c r="B230">
        <v>59213936</v>
      </c>
      <c r="C230">
        <v>59213640</v>
      </c>
      <c r="D230">
        <v>58339814</v>
      </c>
      <c r="E230">
        <v>1</v>
      </c>
      <c r="F230">
        <v>1</v>
      </c>
      <c r="G230">
        <v>1080</v>
      </c>
      <c r="H230">
        <v>2</v>
      </c>
      <c r="I230" t="s">
        <v>411</v>
      </c>
      <c r="J230" t="s">
        <v>412</v>
      </c>
      <c r="K230" t="s">
        <v>413</v>
      </c>
      <c r="L230">
        <v>1368</v>
      </c>
      <c r="N230">
        <v>1011</v>
      </c>
      <c r="O230" t="s">
        <v>337</v>
      </c>
      <c r="P230" t="s">
        <v>337</v>
      </c>
      <c r="Q230">
        <v>1</v>
      </c>
      <c r="X230">
        <v>0.01</v>
      </c>
      <c r="Y230">
        <v>0</v>
      </c>
      <c r="Z230">
        <v>179.17</v>
      </c>
      <c r="AA230">
        <v>16.93</v>
      </c>
      <c r="AB230">
        <v>0</v>
      </c>
      <c r="AC230">
        <v>0</v>
      </c>
      <c r="AD230">
        <v>1</v>
      </c>
      <c r="AE230">
        <v>0</v>
      </c>
      <c r="AF230" t="s">
        <v>26</v>
      </c>
      <c r="AG230">
        <v>1.1000000000000001E-2</v>
      </c>
      <c r="AH230">
        <v>2</v>
      </c>
      <c r="AI230">
        <v>59213643</v>
      </c>
      <c r="AJ230">
        <v>210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ROW(Source!A156)</f>
        <v>156</v>
      </c>
      <c r="B231">
        <v>59213937</v>
      </c>
      <c r="C231">
        <v>59213640</v>
      </c>
      <c r="D231">
        <v>58309611</v>
      </c>
      <c r="E231">
        <v>1</v>
      </c>
      <c r="F231">
        <v>1</v>
      </c>
      <c r="G231">
        <v>1080</v>
      </c>
      <c r="H231">
        <v>3</v>
      </c>
      <c r="I231" t="s">
        <v>414</v>
      </c>
      <c r="J231" t="s">
        <v>415</v>
      </c>
      <c r="K231" t="s">
        <v>416</v>
      </c>
      <c r="L231">
        <v>1346</v>
      </c>
      <c r="N231">
        <v>1009</v>
      </c>
      <c r="O231" t="s">
        <v>244</v>
      </c>
      <c r="P231" t="s">
        <v>244</v>
      </c>
      <c r="Q231">
        <v>1</v>
      </c>
      <c r="X231">
        <v>0.6</v>
      </c>
      <c r="Y231">
        <v>1.38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25</v>
      </c>
      <c r="AG231">
        <v>0.6</v>
      </c>
      <c r="AH231">
        <v>2</v>
      </c>
      <c r="AI231">
        <v>59213644</v>
      </c>
      <c r="AJ231">
        <v>211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ROW(Source!A156)</f>
        <v>156</v>
      </c>
      <c r="B232">
        <v>59213938</v>
      </c>
      <c r="C232">
        <v>59213640</v>
      </c>
      <c r="D232">
        <v>58310002</v>
      </c>
      <c r="E232">
        <v>1</v>
      </c>
      <c r="F232">
        <v>1</v>
      </c>
      <c r="G232">
        <v>1080</v>
      </c>
      <c r="H232">
        <v>3</v>
      </c>
      <c r="I232" t="s">
        <v>417</v>
      </c>
      <c r="J232" t="s">
        <v>418</v>
      </c>
      <c r="K232" t="s">
        <v>419</v>
      </c>
      <c r="L232">
        <v>1346</v>
      </c>
      <c r="N232">
        <v>1009</v>
      </c>
      <c r="O232" t="s">
        <v>244</v>
      </c>
      <c r="P232" t="s">
        <v>244</v>
      </c>
      <c r="Q232">
        <v>1</v>
      </c>
      <c r="X232">
        <v>0.16</v>
      </c>
      <c r="Y232">
        <v>159.06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25</v>
      </c>
      <c r="AG232">
        <v>0.16</v>
      </c>
      <c r="AH232">
        <v>2</v>
      </c>
      <c r="AI232">
        <v>59213645</v>
      </c>
      <c r="AJ232">
        <v>212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ROW(Source!A156)</f>
        <v>156</v>
      </c>
      <c r="B233">
        <v>59213939</v>
      </c>
      <c r="C233">
        <v>59213640</v>
      </c>
      <c r="D233">
        <v>58332957</v>
      </c>
      <c r="E233">
        <v>1</v>
      </c>
      <c r="F233">
        <v>1</v>
      </c>
      <c r="G233">
        <v>1080</v>
      </c>
      <c r="H233">
        <v>3</v>
      </c>
      <c r="I233" t="s">
        <v>436</v>
      </c>
      <c r="J233" t="s">
        <v>437</v>
      </c>
      <c r="K233" t="s">
        <v>438</v>
      </c>
      <c r="L233">
        <v>1356</v>
      </c>
      <c r="N233">
        <v>1010</v>
      </c>
      <c r="O233" t="s">
        <v>426</v>
      </c>
      <c r="P233" t="s">
        <v>426</v>
      </c>
      <c r="Q233">
        <v>1000</v>
      </c>
      <c r="X233">
        <v>1.2200000000000001E-2</v>
      </c>
      <c r="Y233">
        <v>226.86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25</v>
      </c>
      <c r="AG233">
        <v>1.2200000000000001E-2</v>
      </c>
      <c r="AH233">
        <v>2</v>
      </c>
      <c r="AI233">
        <v>59213646</v>
      </c>
      <c r="AJ233">
        <v>213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ROW(Source!A156)</f>
        <v>156</v>
      </c>
      <c r="B234">
        <v>59213940</v>
      </c>
      <c r="C234">
        <v>59213640</v>
      </c>
      <c r="D234">
        <v>58332282</v>
      </c>
      <c r="E234">
        <v>1</v>
      </c>
      <c r="F234">
        <v>1</v>
      </c>
      <c r="G234">
        <v>1080</v>
      </c>
      <c r="H234">
        <v>3</v>
      </c>
      <c r="I234" t="s">
        <v>427</v>
      </c>
      <c r="J234" t="s">
        <v>428</v>
      </c>
      <c r="K234" t="s">
        <v>429</v>
      </c>
      <c r="L234">
        <v>1354</v>
      </c>
      <c r="N234">
        <v>1010</v>
      </c>
      <c r="O234" t="s">
        <v>34</v>
      </c>
      <c r="P234" t="s">
        <v>34</v>
      </c>
      <c r="Q234">
        <v>1</v>
      </c>
      <c r="X234">
        <v>3.1</v>
      </c>
      <c r="Y234">
        <v>6.94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25</v>
      </c>
      <c r="AG234">
        <v>3.1</v>
      </c>
      <c r="AH234">
        <v>2</v>
      </c>
      <c r="AI234">
        <v>59213647</v>
      </c>
      <c r="AJ234">
        <v>214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ROW(Source!A156)</f>
        <v>156</v>
      </c>
      <c r="B235">
        <v>59213941</v>
      </c>
      <c r="C235">
        <v>59213640</v>
      </c>
      <c r="D235">
        <v>58332290</v>
      </c>
      <c r="E235">
        <v>1</v>
      </c>
      <c r="F235">
        <v>1</v>
      </c>
      <c r="G235">
        <v>1080</v>
      </c>
      <c r="H235">
        <v>3</v>
      </c>
      <c r="I235" t="s">
        <v>439</v>
      </c>
      <c r="J235" t="s">
        <v>440</v>
      </c>
      <c r="K235" t="s">
        <v>441</v>
      </c>
      <c r="L235">
        <v>1356</v>
      </c>
      <c r="N235">
        <v>1010</v>
      </c>
      <c r="O235" t="s">
        <v>426</v>
      </c>
      <c r="P235" t="s">
        <v>426</v>
      </c>
      <c r="Q235">
        <v>1000</v>
      </c>
      <c r="X235">
        <v>8.0000000000000002E-3</v>
      </c>
      <c r="Y235">
        <v>614.09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25</v>
      </c>
      <c r="AG235">
        <v>8.0000000000000002E-3</v>
      </c>
      <c r="AH235">
        <v>2</v>
      </c>
      <c r="AI235">
        <v>59213648</v>
      </c>
      <c r="AJ235">
        <v>215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ROW(Source!A156)</f>
        <v>156</v>
      </c>
      <c r="B236">
        <v>59213942</v>
      </c>
      <c r="C236">
        <v>59213640</v>
      </c>
      <c r="D236">
        <v>58281874</v>
      </c>
      <c r="E236">
        <v>1080</v>
      </c>
      <c r="F236">
        <v>1</v>
      </c>
      <c r="G236">
        <v>1080</v>
      </c>
      <c r="H236">
        <v>3</v>
      </c>
      <c r="I236" t="s">
        <v>485</v>
      </c>
      <c r="J236" t="s">
        <v>3</v>
      </c>
      <c r="K236" t="s">
        <v>486</v>
      </c>
      <c r="L236">
        <v>1303</v>
      </c>
      <c r="N236">
        <v>1003</v>
      </c>
      <c r="O236" t="s">
        <v>256</v>
      </c>
      <c r="P236" t="s">
        <v>256</v>
      </c>
      <c r="Q236">
        <v>1000</v>
      </c>
      <c r="X236">
        <v>0.10299999999999999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25</v>
      </c>
      <c r="AG236">
        <v>0.10299999999999999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ROW(Source!A159)</f>
        <v>159</v>
      </c>
      <c r="B237">
        <v>59213943</v>
      </c>
      <c r="C237">
        <v>59213660</v>
      </c>
      <c r="D237">
        <v>58266404</v>
      </c>
      <c r="E237">
        <v>1080</v>
      </c>
      <c r="F237">
        <v>1</v>
      </c>
      <c r="G237">
        <v>1080</v>
      </c>
      <c r="H237">
        <v>1</v>
      </c>
      <c r="I237" t="s">
        <v>331</v>
      </c>
      <c r="J237" t="s">
        <v>3</v>
      </c>
      <c r="K237" t="s">
        <v>332</v>
      </c>
      <c r="L237">
        <v>1191</v>
      </c>
      <c r="N237">
        <v>1013</v>
      </c>
      <c r="O237" t="s">
        <v>333</v>
      </c>
      <c r="P237" t="s">
        <v>333</v>
      </c>
      <c r="Q237">
        <v>1</v>
      </c>
      <c r="X237">
        <v>1.83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26</v>
      </c>
      <c r="AG237">
        <v>2.0130000000000003</v>
      </c>
      <c r="AH237">
        <v>2</v>
      </c>
      <c r="AI237">
        <v>59213661</v>
      </c>
      <c r="AJ237">
        <v>217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ROW(Source!A159)</f>
        <v>159</v>
      </c>
      <c r="B238">
        <v>59213944</v>
      </c>
      <c r="C238">
        <v>59213660</v>
      </c>
      <c r="D238">
        <v>58340578</v>
      </c>
      <c r="E238">
        <v>1</v>
      </c>
      <c r="F238">
        <v>1</v>
      </c>
      <c r="G238">
        <v>1080</v>
      </c>
      <c r="H238">
        <v>2</v>
      </c>
      <c r="I238" t="s">
        <v>334</v>
      </c>
      <c r="J238" t="s">
        <v>335</v>
      </c>
      <c r="K238" t="s">
        <v>336</v>
      </c>
      <c r="L238">
        <v>1368</v>
      </c>
      <c r="N238">
        <v>1011</v>
      </c>
      <c r="O238" t="s">
        <v>337</v>
      </c>
      <c r="P238" t="s">
        <v>337</v>
      </c>
      <c r="Q238">
        <v>1</v>
      </c>
      <c r="X238">
        <v>0.01</v>
      </c>
      <c r="Y238">
        <v>0</v>
      </c>
      <c r="Z238">
        <v>83.1</v>
      </c>
      <c r="AA238">
        <v>12.62</v>
      </c>
      <c r="AB238">
        <v>0</v>
      </c>
      <c r="AC238">
        <v>0</v>
      </c>
      <c r="AD238">
        <v>1</v>
      </c>
      <c r="AE238">
        <v>0</v>
      </c>
      <c r="AF238" t="s">
        <v>26</v>
      </c>
      <c r="AG238">
        <v>1.1000000000000001E-2</v>
      </c>
      <c r="AH238">
        <v>2</v>
      </c>
      <c r="AI238">
        <v>59213662</v>
      </c>
      <c r="AJ238">
        <v>218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ROW(Source!A159)</f>
        <v>159</v>
      </c>
      <c r="B239">
        <v>59213945</v>
      </c>
      <c r="C239">
        <v>59213660</v>
      </c>
      <c r="D239">
        <v>58339814</v>
      </c>
      <c r="E239">
        <v>1</v>
      </c>
      <c r="F239">
        <v>1</v>
      </c>
      <c r="G239">
        <v>1080</v>
      </c>
      <c r="H239">
        <v>2</v>
      </c>
      <c r="I239" t="s">
        <v>411</v>
      </c>
      <c r="J239" t="s">
        <v>412</v>
      </c>
      <c r="K239" t="s">
        <v>413</v>
      </c>
      <c r="L239">
        <v>1368</v>
      </c>
      <c r="N239">
        <v>1011</v>
      </c>
      <c r="O239" t="s">
        <v>337</v>
      </c>
      <c r="P239" t="s">
        <v>337</v>
      </c>
      <c r="Q239">
        <v>1</v>
      </c>
      <c r="X239">
        <v>0.01</v>
      </c>
      <c r="Y239">
        <v>0</v>
      </c>
      <c r="Z239">
        <v>179.17</v>
      </c>
      <c r="AA239">
        <v>16.93</v>
      </c>
      <c r="AB239">
        <v>0</v>
      </c>
      <c r="AC239">
        <v>0</v>
      </c>
      <c r="AD239">
        <v>1</v>
      </c>
      <c r="AE239">
        <v>0</v>
      </c>
      <c r="AF239" t="s">
        <v>26</v>
      </c>
      <c r="AG239">
        <v>1.1000000000000001E-2</v>
      </c>
      <c r="AH239">
        <v>2</v>
      </c>
      <c r="AI239">
        <v>59213663</v>
      </c>
      <c r="AJ239">
        <v>219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ROW(Source!A159)</f>
        <v>159</v>
      </c>
      <c r="B240">
        <v>59213946</v>
      </c>
      <c r="C240">
        <v>59213660</v>
      </c>
      <c r="D240">
        <v>58309611</v>
      </c>
      <c r="E240">
        <v>1</v>
      </c>
      <c r="F240">
        <v>1</v>
      </c>
      <c r="G240">
        <v>1080</v>
      </c>
      <c r="H240">
        <v>3</v>
      </c>
      <c r="I240" t="s">
        <v>414</v>
      </c>
      <c r="J240" t="s">
        <v>415</v>
      </c>
      <c r="K240" t="s">
        <v>416</v>
      </c>
      <c r="L240">
        <v>1346</v>
      </c>
      <c r="N240">
        <v>1009</v>
      </c>
      <c r="O240" t="s">
        <v>244</v>
      </c>
      <c r="P240" t="s">
        <v>244</v>
      </c>
      <c r="Q240">
        <v>1</v>
      </c>
      <c r="X240">
        <v>0.6</v>
      </c>
      <c r="Y240">
        <v>1.38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25</v>
      </c>
      <c r="AG240">
        <v>0.6</v>
      </c>
      <c r="AH240">
        <v>2</v>
      </c>
      <c r="AI240">
        <v>59213664</v>
      </c>
      <c r="AJ240">
        <v>220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ROW(Source!A159)</f>
        <v>159</v>
      </c>
      <c r="B241">
        <v>59213947</v>
      </c>
      <c r="C241">
        <v>59213660</v>
      </c>
      <c r="D241">
        <v>58310002</v>
      </c>
      <c r="E241">
        <v>1</v>
      </c>
      <c r="F241">
        <v>1</v>
      </c>
      <c r="G241">
        <v>1080</v>
      </c>
      <c r="H241">
        <v>3</v>
      </c>
      <c r="I241" t="s">
        <v>417</v>
      </c>
      <c r="J241" t="s">
        <v>418</v>
      </c>
      <c r="K241" t="s">
        <v>419</v>
      </c>
      <c r="L241">
        <v>1346</v>
      </c>
      <c r="N241">
        <v>1009</v>
      </c>
      <c r="O241" t="s">
        <v>244</v>
      </c>
      <c r="P241" t="s">
        <v>244</v>
      </c>
      <c r="Q241">
        <v>1</v>
      </c>
      <c r="X241">
        <v>0.16</v>
      </c>
      <c r="Y241">
        <v>159.06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25</v>
      </c>
      <c r="AG241">
        <v>0.16</v>
      </c>
      <c r="AH241">
        <v>2</v>
      </c>
      <c r="AI241">
        <v>59213665</v>
      </c>
      <c r="AJ241">
        <v>221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ROW(Source!A159)</f>
        <v>159</v>
      </c>
      <c r="B242">
        <v>59213948</v>
      </c>
      <c r="C242">
        <v>59213660</v>
      </c>
      <c r="D242">
        <v>58332957</v>
      </c>
      <c r="E242">
        <v>1</v>
      </c>
      <c r="F242">
        <v>1</v>
      </c>
      <c r="G242">
        <v>1080</v>
      </c>
      <c r="H242">
        <v>3</v>
      </c>
      <c r="I242" t="s">
        <v>436</v>
      </c>
      <c r="J242" t="s">
        <v>437</v>
      </c>
      <c r="K242" t="s">
        <v>438</v>
      </c>
      <c r="L242">
        <v>1356</v>
      </c>
      <c r="N242">
        <v>1010</v>
      </c>
      <c r="O242" t="s">
        <v>426</v>
      </c>
      <c r="P242" t="s">
        <v>426</v>
      </c>
      <c r="Q242">
        <v>1000</v>
      </c>
      <c r="X242">
        <v>1.2200000000000001E-2</v>
      </c>
      <c r="Y242">
        <v>226.86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25</v>
      </c>
      <c r="AG242">
        <v>1.2200000000000001E-2</v>
      </c>
      <c r="AH242">
        <v>2</v>
      </c>
      <c r="AI242">
        <v>59213666</v>
      </c>
      <c r="AJ242">
        <v>222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ROW(Source!A159)</f>
        <v>159</v>
      </c>
      <c r="B243">
        <v>59213949</v>
      </c>
      <c r="C243">
        <v>59213660</v>
      </c>
      <c r="D243">
        <v>58332282</v>
      </c>
      <c r="E243">
        <v>1</v>
      </c>
      <c r="F243">
        <v>1</v>
      </c>
      <c r="G243">
        <v>1080</v>
      </c>
      <c r="H243">
        <v>3</v>
      </c>
      <c r="I243" t="s">
        <v>427</v>
      </c>
      <c r="J243" t="s">
        <v>428</v>
      </c>
      <c r="K243" t="s">
        <v>429</v>
      </c>
      <c r="L243">
        <v>1354</v>
      </c>
      <c r="N243">
        <v>1010</v>
      </c>
      <c r="O243" t="s">
        <v>34</v>
      </c>
      <c r="P243" t="s">
        <v>34</v>
      </c>
      <c r="Q243">
        <v>1</v>
      </c>
      <c r="X243">
        <v>3.1</v>
      </c>
      <c r="Y243">
        <v>6.94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25</v>
      </c>
      <c r="AG243">
        <v>3.1</v>
      </c>
      <c r="AH243">
        <v>2</v>
      </c>
      <c r="AI243">
        <v>59213667</v>
      </c>
      <c r="AJ243">
        <v>223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ROW(Source!A159)</f>
        <v>159</v>
      </c>
      <c r="B244">
        <v>59213950</v>
      </c>
      <c r="C244">
        <v>59213660</v>
      </c>
      <c r="D244">
        <v>58332290</v>
      </c>
      <c r="E244">
        <v>1</v>
      </c>
      <c r="F244">
        <v>1</v>
      </c>
      <c r="G244">
        <v>1080</v>
      </c>
      <c r="H244">
        <v>3</v>
      </c>
      <c r="I244" t="s">
        <v>439</v>
      </c>
      <c r="J244" t="s">
        <v>440</v>
      </c>
      <c r="K244" t="s">
        <v>441</v>
      </c>
      <c r="L244">
        <v>1356</v>
      </c>
      <c r="N244">
        <v>1010</v>
      </c>
      <c r="O244" t="s">
        <v>426</v>
      </c>
      <c r="P244" t="s">
        <v>426</v>
      </c>
      <c r="Q244">
        <v>1000</v>
      </c>
      <c r="X244">
        <v>8.0000000000000002E-3</v>
      </c>
      <c r="Y244">
        <v>614.09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25</v>
      </c>
      <c r="AG244">
        <v>8.0000000000000002E-3</v>
      </c>
      <c r="AH244">
        <v>2</v>
      </c>
      <c r="AI244">
        <v>59213668</v>
      </c>
      <c r="AJ244">
        <v>224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ROW(Source!A159)</f>
        <v>159</v>
      </c>
      <c r="B245">
        <v>59213951</v>
      </c>
      <c r="C245">
        <v>59213660</v>
      </c>
      <c r="D245">
        <v>58281874</v>
      </c>
      <c r="E245">
        <v>1080</v>
      </c>
      <c r="F245">
        <v>1</v>
      </c>
      <c r="G245">
        <v>1080</v>
      </c>
      <c r="H245">
        <v>3</v>
      </c>
      <c r="I245" t="s">
        <v>485</v>
      </c>
      <c r="J245" t="s">
        <v>3</v>
      </c>
      <c r="K245" t="s">
        <v>486</v>
      </c>
      <c r="L245">
        <v>1303</v>
      </c>
      <c r="N245">
        <v>1003</v>
      </c>
      <c r="O245" t="s">
        <v>256</v>
      </c>
      <c r="P245" t="s">
        <v>256</v>
      </c>
      <c r="Q245">
        <v>1000</v>
      </c>
      <c r="X245">
        <v>0.10299999999999999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25</v>
      </c>
      <c r="AG245">
        <v>0.10299999999999999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ROW(Source!A160)</f>
        <v>160</v>
      </c>
      <c r="B246">
        <v>59213943</v>
      </c>
      <c r="C246">
        <v>59213660</v>
      </c>
      <c r="D246">
        <v>58266404</v>
      </c>
      <c r="E246">
        <v>1080</v>
      </c>
      <c r="F246">
        <v>1</v>
      </c>
      <c r="G246">
        <v>1080</v>
      </c>
      <c r="H246">
        <v>1</v>
      </c>
      <c r="I246" t="s">
        <v>331</v>
      </c>
      <c r="J246" t="s">
        <v>3</v>
      </c>
      <c r="K246" t="s">
        <v>332</v>
      </c>
      <c r="L246">
        <v>1191</v>
      </c>
      <c r="N246">
        <v>1013</v>
      </c>
      <c r="O246" t="s">
        <v>333</v>
      </c>
      <c r="P246" t="s">
        <v>333</v>
      </c>
      <c r="Q246">
        <v>1</v>
      </c>
      <c r="X246">
        <v>1.83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 t="s">
        <v>26</v>
      </c>
      <c r="AG246">
        <v>2.0130000000000003</v>
      </c>
      <c r="AH246">
        <v>2</v>
      </c>
      <c r="AI246">
        <v>59213661</v>
      </c>
      <c r="AJ246">
        <v>226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ROW(Source!A160)</f>
        <v>160</v>
      </c>
      <c r="B247">
        <v>59213944</v>
      </c>
      <c r="C247">
        <v>59213660</v>
      </c>
      <c r="D247">
        <v>58340578</v>
      </c>
      <c r="E247">
        <v>1</v>
      </c>
      <c r="F247">
        <v>1</v>
      </c>
      <c r="G247">
        <v>1080</v>
      </c>
      <c r="H247">
        <v>2</v>
      </c>
      <c r="I247" t="s">
        <v>334</v>
      </c>
      <c r="J247" t="s">
        <v>335</v>
      </c>
      <c r="K247" t="s">
        <v>336</v>
      </c>
      <c r="L247">
        <v>1368</v>
      </c>
      <c r="N247">
        <v>1011</v>
      </c>
      <c r="O247" t="s">
        <v>337</v>
      </c>
      <c r="P247" t="s">
        <v>337</v>
      </c>
      <c r="Q247">
        <v>1</v>
      </c>
      <c r="X247">
        <v>0.01</v>
      </c>
      <c r="Y247">
        <v>0</v>
      </c>
      <c r="Z247">
        <v>83.1</v>
      </c>
      <c r="AA247">
        <v>12.62</v>
      </c>
      <c r="AB247">
        <v>0</v>
      </c>
      <c r="AC247">
        <v>0</v>
      </c>
      <c r="AD247">
        <v>1</v>
      </c>
      <c r="AE247">
        <v>0</v>
      </c>
      <c r="AF247" t="s">
        <v>26</v>
      </c>
      <c r="AG247">
        <v>1.1000000000000001E-2</v>
      </c>
      <c r="AH247">
        <v>2</v>
      </c>
      <c r="AI247">
        <v>59213662</v>
      </c>
      <c r="AJ247">
        <v>227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ROW(Source!A160)</f>
        <v>160</v>
      </c>
      <c r="B248">
        <v>59213945</v>
      </c>
      <c r="C248">
        <v>59213660</v>
      </c>
      <c r="D248">
        <v>58339814</v>
      </c>
      <c r="E248">
        <v>1</v>
      </c>
      <c r="F248">
        <v>1</v>
      </c>
      <c r="G248">
        <v>1080</v>
      </c>
      <c r="H248">
        <v>2</v>
      </c>
      <c r="I248" t="s">
        <v>411</v>
      </c>
      <c r="J248" t="s">
        <v>412</v>
      </c>
      <c r="K248" t="s">
        <v>413</v>
      </c>
      <c r="L248">
        <v>1368</v>
      </c>
      <c r="N248">
        <v>1011</v>
      </c>
      <c r="O248" t="s">
        <v>337</v>
      </c>
      <c r="P248" t="s">
        <v>337</v>
      </c>
      <c r="Q248">
        <v>1</v>
      </c>
      <c r="X248">
        <v>0.01</v>
      </c>
      <c r="Y248">
        <v>0</v>
      </c>
      <c r="Z248">
        <v>179.17</v>
      </c>
      <c r="AA248">
        <v>16.93</v>
      </c>
      <c r="AB248">
        <v>0</v>
      </c>
      <c r="AC248">
        <v>0</v>
      </c>
      <c r="AD248">
        <v>1</v>
      </c>
      <c r="AE248">
        <v>0</v>
      </c>
      <c r="AF248" t="s">
        <v>26</v>
      </c>
      <c r="AG248">
        <v>1.1000000000000001E-2</v>
      </c>
      <c r="AH248">
        <v>2</v>
      </c>
      <c r="AI248">
        <v>59213663</v>
      </c>
      <c r="AJ248">
        <v>228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ROW(Source!A160)</f>
        <v>160</v>
      </c>
      <c r="B249">
        <v>59213946</v>
      </c>
      <c r="C249">
        <v>59213660</v>
      </c>
      <c r="D249">
        <v>58309611</v>
      </c>
      <c r="E249">
        <v>1</v>
      </c>
      <c r="F249">
        <v>1</v>
      </c>
      <c r="G249">
        <v>1080</v>
      </c>
      <c r="H249">
        <v>3</v>
      </c>
      <c r="I249" t="s">
        <v>414</v>
      </c>
      <c r="J249" t="s">
        <v>415</v>
      </c>
      <c r="K249" t="s">
        <v>416</v>
      </c>
      <c r="L249">
        <v>1346</v>
      </c>
      <c r="N249">
        <v>1009</v>
      </c>
      <c r="O249" t="s">
        <v>244</v>
      </c>
      <c r="P249" t="s">
        <v>244</v>
      </c>
      <c r="Q249">
        <v>1</v>
      </c>
      <c r="X249">
        <v>0.6</v>
      </c>
      <c r="Y249">
        <v>1.38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25</v>
      </c>
      <c r="AG249">
        <v>0.6</v>
      </c>
      <c r="AH249">
        <v>2</v>
      </c>
      <c r="AI249">
        <v>59213664</v>
      </c>
      <c r="AJ249">
        <v>229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ROW(Source!A160)</f>
        <v>160</v>
      </c>
      <c r="B250">
        <v>59213947</v>
      </c>
      <c r="C250">
        <v>59213660</v>
      </c>
      <c r="D250">
        <v>58310002</v>
      </c>
      <c r="E250">
        <v>1</v>
      </c>
      <c r="F250">
        <v>1</v>
      </c>
      <c r="G250">
        <v>1080</v>
      </c>
      <c r="H250">
        <v>3</v>
      </c>
      <c r="I250" t="s">
        <v>417</v>
      </c>
      <c r="J250" t="s">
        <v>418</v>
      </c>
      <c r="K250" t="s">
        <v>419</v>
      </c>
      <c r="L250">
        <v>1346</v>
      </c>
      <c r="N250">
        <v>1009</v>
      </c>
      <c r="O250" t="s">
        <v>244</v>
      </c>
      <c r="P250" t="s">
        <v>244</v>
      </c>
      <c r="Q250">
        <v>1</v>
      </c>
      <c r="X250">
        <v>0.16</v>
      </c>
      <c r="Y250">
        <v>159.06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25</v>
      </c>
      <c r="AG250">
        <v>0.16</v>
      </c>
      <c r="AH250">
        <v>2</v>
      </c>
      <c r="AI250">
        <v>59213665</v>
      </c>
      <c r="AJ250">
        <v>230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ROW(Source!A160)</f>
        <v>160</v>
      </c>
      <c r="B251">
        <v>59213948</v>
      </c>
      <c r="C251">
        <v>59213660</v>
      </c>
      <c r="D251">
        <v>58332957</v>
      </c>
      <c r="E251">
        <v>1</v>
      </c>
      <c r="F251">
        <v>1</v>
      </c>
      <c r="G251">
        <v>1080</v>
      </c>
      <c r="H251">
        <v>3</v>
      </c>
      <c r="I251" t="s">
        <v>436</v>
      </c>
      <c r="J251" t="s">
        <v>437</v>
      </c>
      <c r="K251" t="s">
        <v>438</v>
      </c>
      <c r="L251">
        <v>1356</v>
      </c>
      <c r="N251">
        <v>1010</v>
      </c>
      <c r="O251" t="s">
        <v>426</v>
      </c>
      <c r="P251" t="s">
        <v>426</v>
      </c>
      <c r="Q251">
        <v>1000</v>
      </c>
      <c r="X251">
        <v>1.2200000000000001E-2</v>
      </c>
      <c r="Y251">
        <v>226.86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25</v>
      </c>
      <c r="AG251">
        <v>1.2200000000000001E-2</v>
      </c>
      <c r="AH251">
        <v>2</v>
      </c>
      <c r="AI251">
        <v>59213666</v>
      </c>
      <c r="AJ251">
        <v>231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ROW(Source!A160)</f>
        <v>160</v>
      </c>
      <c r="B252">
        <v>59213949</v>
      </c>
      <c r="C252">
        <v>59213660</v>
      </c>
      <c r="D252">
        <v>58332282</v>
      </c>
      <c r="E252">
        <v>1</v>
      </c>
      <c r="F252">
        <v>1</v>
      </c>
      <c r="G252">
        <v>1080</v>
      </c>
      <c r="H252">
        <v>3</v>
      </c>
      <c r="I252" t="s">
        <v>427</v>
      </c>
      <c r="J252" t="s">
        <v>428</v>
      </c>
      <c r="K252" t="s">
        <v>429</v>
      </c>
      <c r="L252">
        <v>1354</v>
      </c>
      <c r="N252">
        <v>1010</v>
      </c>
      <c r="O252" t="s">
        <v>34</v>
      </c>
      <c r="P252" t="s">
        <v>34</v>
      </c>
      <c r="Q252">
        <v>1</v>
      </c>
      <c r="X252">
        <v>3.1</v>
      </c>
      <c r="Y252">
        <v>6.94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25</v>
      </c>
      <c r="AG252">
        <v>3.1</v>
      </c>
      <c r="AH252">
        <v>2</v>
      </c>
      <c r="AI252">
        <v>59213667</v>
      </c>
      <c r="AJ252">
        <v>232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ROW(Source!A160)</f>
        <v>160</v>
      </c>
      <c r="B253">
        <v>59213950</v>
      </c>
      <c r="C253">
        <v>59213660</v>
      </c>
      <c r="D253">
        <v>58332290</v>
      </c>
      <c r="E253">
        <v>1</v>
      </c>
      <c r="F253">
        <v>1</v>
      </c>
      <c r="G253">
        <v>1080</v>
      </c>
      <c r="H253">
        <v>3</v>
      </c>
      <c r="I253" t="s">
        <v>439</v>
      </c>
      <c r="J253" t="s">
        <v>440</v>
      </c>
      <c r="K253" t="s">
        <v>441</v>
      </c>
      <c r="L253">
        <v>1356</v>
      </c>
      <c r="N253">
        <v>1010</v>
      </c>
      <c r="O253" t="s">
        <v>426</v>
      </c>
      <c r="P253" t="s">
        <v>426</v>
      </c>
      <c r="Q253">
        <v>1000</v>
      </c>
      <c r="X253">
        <v>8.0000000000000002E-3</v>
      </c>
      <c r="Y253">
        <v>614.09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25</v>
      </c>
      <c r="AG253">
        <v>8.0000000000000002E-3</v>
      </c>
      <c r="AH253">
        <v>2</v>
      </c>
      <c r="AI253">
        <v>59213668</v>
      </c>
      <c r="AJ253">
        <v>233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ROW(Source!A160)</f>
        <v>160</v>
      </c>
      <c r="B254">
        <v>59213951</v>
      </c>
      <c r="C254">
        <v>59213660</v>
      </c>
      <c r="D254">
        <v>58281874</v>
      </c>
      <c r="E254">
        <v>1080</v>
      </c>
      <c r="F254">
        <v>1</v>
      </c>
      <c r="G254">
        <v>1080</v>
      </c>
      <c r="H254">
        <v>3</v>
      </c>
      <c r="I254" t="s">
        <v>485</v>
      </c>
      <c r="J254" t="s">
        <v>3</v>
      </c>
      <c r="K254" t="s">
        <v>486</v>
      </c>
      <c r="L254">
        <v>1303</v>
      </c>
      <c r="N254">
        <v>1003</v>
      </c>
      <c r="O254" t="s">
        <v>256</v>
      </c>
      <c r="P254" t="s">
        <v>256</v>
      </c>
      <c r="Q254">
        <v>1000</v>
      </c>
      <c r="X254">
        <v>0.10299999999999999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25</v>
      </c>
      <c r="AG254">
        <v>0.10299999999999999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ROW(Source!A198)</f>
        <v>198</v>
      </c>
      <c r="B255">
        <v>59213952</v>
      </c>
      <c r="C255">
        <v>59213736</v>
      </c>
      <c r="D255">
        <v>58266404</v>
      </c>
      <c r="E255">
        <v>1080</v>
      </c>
      <c r="F255">
        <v>1</v>
      </c>
      <c r="G255">
        <v>1080</v>
      </c>
      <c r="H255">
        <v>1</v>
      </c>
      <c r="I255" t="s">
        <v>331</v>
      </c>
      <c r="J255" t="s">
        <v>3</v>
      </c>
      <c r="K255" t="s">
        <v>332</v>
      </c>
      <c r="L255">
        <v>1191</v>
      </c>
      <c r="N255">
        <v>1013</v>
      </c>
      <c r="O255" t="s">
        <v>333</v>
      </c>
      <c r="P255" t="s">
        <v>333</v>
      </c>
      <c r="Q255">
        <v>1</v>
      </c>
      <c r="X255">
        <v>0.72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 t="s">
        <v>26</v>
      </c>
      <c r="AG255">
        <v>0.79200000000000004</v>
      </c>
      <c r="AH255">
        <v>2</v>
      </c>
      <c r="AI255">
        <v>59213737</v>
      </c>
      <c r="AJ255">
        <v>235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ROW(Source!A198)</f>
        <v>198</v>
      </c>
      <c r="B256">
        <v>59213953</v>
      </c>
      <c r="C256">
        <v>59213736</v>
      </c>
      <c r="D256">
        <v>58309906</v>
      </c>
      <c r="E256">
        <v>1</v>
      </c>
      <c r="F256">
        <v>1</v>
      </c>
      <c r="G256">
        <v>1080</v>
      </c>
      <c r="H256">
        <v>3</v>
      </c>
      <c r="I256" t="s">
        <v>442</v>
      </c>
      <c r="J256" t="s">
        <v>443</v>
      </c>
      <c r="K256" t="s">
        <v>444</v>
      </c>
      <c r="L256">
        <v>1301</v>
      </c>
      <c r="N256">
        <v>1003</v>
      </c>
      <c r="O256" t="s">
        <v>222</v>
      </c>
      <c r="P256" t="s">
        <v>222</v>
      </c>
      <c r="Q256">
        <v>1</v>
      </c>
      <c r="X256">
        <v>5</v>
      </c>
      <c r="Y256">
        <v>0.39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25</v>
      </c>
      <c r="AG256">
        <v>5</v>
      </c>
      <c r="AH256">
        <v>2</v>
      </c>
      <c r="AI256">
        <v>59213738</v>
      </c>
      <c r="AJ256">
        <v>236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ROW(Source!A198)</f>
        <v>198</v>
      </c>
      <c r="B257">
        <v>59213954</v>
      </c>
      <c r="C257">
        <v>59213736</v>
      </c>
      <c r="D257">
        <v>58308889</v>
      </c>
      <c r="E257">
        <v>1</v>
      </c>
      <c r="F257">
        <v>1</v>
      </c>
      <c r="G257">
        <v>1080</v>
      </c>
      <c r="H257">
        <v>3</v>
      </c>
      <c r="I257" t="s">
        <v>445</v>
      </c>
      <c r="J257" t="s">
        <v>446</v>
      </c>
      <c r="K257" t="s">
        <v>447</v>
      </c>
      <c r="L257">
        <v>1339</v>
      </c>
      <c r="N257">
        <v>1007</v>
      </c>
      <c r="O257" t="s">
        <v>448</v>
      </c>
      <c r="P257" t="s">
        <v>448</v>
      </c>
      <c r="Q257">
        <v>1</v>
      </c>
      <c r="X257">
        <v>1E-3</v>
      </c>
      <c r="Y257">
        <v>1176.3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25</v>
      </c>
      <c r="AG257">
        <v>1E-3</v>
      </c>
      <c r="AH257">
        <v>2</v>
      </c>
      <c r="AI257">
        <v>59213739</v>
      </c>
      <c r="AJ257">
        <v>237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ROW(Source!A198)</f>
        <v>198</v>
      </c>
      <c r="B258">
        <v>59213955</v>
      </c>
      <c r="C258">
        <v>59213736</v>
      </c>
      <c r="D258">
        <v>58308977</v>
      </c>
      <c r="E258">
        <v>1</v>
      </c>
      <c r="F258">
        <v>1</v>
      </c>
      <c r="G258">
        <v>1080</v>
      </c>
      <c r="H258">
        <v>3</v>
      </c>
      <c r="I258" t="s">
        <v>449</v>
      </c>
      <c r="J258" t="s">
        <v>450</v>
      </c>
      <c r="K258" t="s">
        <v>451</v>
      </c>
      <c r="L258">
        <v>1346</v>
      </c>
      <c r="N258">
        <v>1009</v>
      </c>
      <c r="O258" t="s">
        <v>244</v>
      </c>
      <c r="P258" t="s">
        <v>244</v>
      </c>
      <c r="Q258">
        <v>1</v>
      </c>
      <c r="X258">
        <v>0.01</v>
      </c>
      <c r="Y258">
        <v>16.690000000000001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25</v>
      </c>
      <c r="AG258">
        <v>0.01</v>
      </c>
      <c r="AH258">
        <v>2</v>
      </c>
      <c r="AI258">
        <v>59213740</v>
      </c>
      <c r="AJ258">
        <v>238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ROW(Source!A198)</f>
        <v>198</v>
      </c>
      <c r="B259">
        <v>59213956</v>
      </c>
      <c r="C259">
        <v>59213736</v>
      </c>
      <c r="D259">
        <v>58315579</v>
      </c>
      <c r="E259">
        <v>1</v>
      </c>
      <c r="F259">
        <v>1</v>
      </c>
      <c r="G259">
        <v>1080</v>
      </c>
      <c r="H259">
        <v>3</v>
      </c>
      <c r="I259" t="s">
        <v>452</v>
      </c>
      <c r="J259" t="s">
        <v>453</v>
      </c>
      <c r="K259" t="s">
        <v>454</v>
      </c>
      <c r="L259">
        <v>1355</v>
      </c>
      <c r="N259">
        <v>1010</v>
      </c>
      <c r="O259" t="s">
        <v>227</v>
      </c>
      <c r="P259" t="s">
        <v>227</v>
      </c>
      <c r="Q259">
        <v>100</v>
      </c>
      <c r="X259">
        <v>0.02</v>
      </c>
      <c r="Y259">
        <v>120.19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25</v>
      </c>
      <c r="AG259">
        <v>0.02</v>
      </c>
      <c r="AH259">
        <v>2</v>
      </c>
      <c r="AI259">
        <v>59213741</v>
      </c>
      <c r="AJ259">
        <v>239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ROW(Source!A198)</f>
        <v>198</v>
      </c>
      <c r="B260">
        <v>59213957</v>
      </c>
      <c r="C260">
        <v>59213736</v>
      </c>
      <c r="D260">
        <v>58309371</v>
      </c>
      <c r="E260">
        <v>1</v>
      </c>
      <c r="F260">
        <v>1</v>
      </c>
      <c r="G260">
        <v>1080</v>
      </c>
      <c r="H260">
        <v>3</v>
      </c>
      <c r="I260" t="s">
        <v>391</v>
      </c>
      <c r="J260" t="s">
        <v>392</v>
      </c>
      <c r="K260" t="s">
        <v>393</v>
      </c>
      <c r="L260">
        <v>1348</v>
      </c>
      <c r="N260">
        <v>1009</v>
      </c>
      <c r="O260" t="s">
        <v>345</v>
      </c>
      <c r="P260" t="s">
        <v>345</v>
      </c>
      <c r="Q260">
        <v>1000</v>
      </c>
      <c r="X260">
        <v>1.0000000000000001E-5</v>
      </c>
      <c r="Y260">
        <v>64123.05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25</v>
      </c>
      <c r="AG260">
        <v>1.0000000000000001E-5</v>
      </c>
      <c r="AH260">
        <v>2</v>
      </c>
      <c r="AI260">
        <v>59213742</v>
      </c>
      <c r="AJ260">
        <v>240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ROW(Source!A198)</f>
        <v>198</v>
      </c>
      <c r="B261">
        <v>59213958</v>
      </c>
      <c r="C261">
        <v>59213736</v>
      </c>
      <c r="D261">
        <v>58332885</v>
      </c>
      <c r="E261">
        <v>1</v>
      </c>
      <c r="F261">
        <v>1</v>
      </c>
      <c r="G261">
        <v>1080</v>
      </c>
      <c r="H261">
        <v>3</v>
      </c>
      <c r="I261" t="s">
        <v>455</v>
      </c>
      <c r="J261" t="s">
        <v>456</v>
      </c>
      <c r="K261" t="s">
        <v>457</v>
      </c>
      <c r="L261">
        <v>1356</v>
      </c>
      <c r="N261">
        <v>1010</v>
      </c>
      <c r="O261" t="s">
        <v>426</v>
      </c>
      <c r="P261" t="s">
        <v>426</v>
      </c>
      <c r="Q261">
        <v>1000</v>
      </c>
      <c r="X261">
        <v>2E-3</v>
      </c>
      <c r="Y261">
        <v>294.89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25</v>
      </c>
      <c r="AG261">
        <v>2E-3</v>
      </c>
      <c r="AH261">
        <v>2</v>
      </c>
      <c r="AI261">
        <v>59213743</v>
      </c>
      <c r="AJ261">
        <v>241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ROW(Source!A198)</f>
        <v>198</v>
      </c>
      <c r="B262">
        <v>59213959</v>
      </c>
      <c r="C262">
        <v>59213736</v>
      </c>
      <c r="D262">
        <v>58331958</v>
      </c>
      <c r="E262">
        <v>1</v>
      </c>
      <c r="F262">
        <v>1</v>
      </c>
      <c r="G262">
        <v>1080</v>
      </c>
      <c r="H262">
        <v>3</v>
      </c>
      <c r="I262" t="s">
        <v>458</v>
      </c>
      <c r="J262" t="s">
        <v>459</v>
      </c>
      <c r="K262" t="s">
        <v>460</v>
      </c>
      <c r="L262">
        <v>1354</v>
      </c>
      <c r="N262">
        <v>1010</v>
      </c>
      <c r="O262" t="s">
        <v>34</v>
      </c>
      <c r="P262" t="s">
        <v>34</v>
      </c>
      <c r="Q262">
        <v>1</v>
      </c>
      <c r="X262">
        <v>1</v>
      </c>
      <c r="Y262">
        <v>15.67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25</v>
      </c>
      <c r="AG262">
        <v>1</v>
      </c>
      <c r="AH262">
        <v>2</v>
      </c>
      <c r="AI262">
        <v>59213744</v>
      </c>
      <c r="AJ262">
        <v>242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ROW(Source!A198)</f>
        <v>198</v>
      </c>
      <c r="B263">
        <v>59213960</v>
      </c>
      <c r="C263">
        <v>59213736</v>
      </c>
      <c r="D263">
        <v>58304568</v>
      </c>
      <c r="E263">
        <v>1080</v>
      </c>
      <c r="F263">
        <v>1</v>
      </c>
      <c r="G263">
        <v>1080</v>
      </c>
      <c r="H263">
        <v>3</v>
      </c>
      <c r="I263" t="s">
        <v>487</v>
      </c>
      <c r="J263" t="s">
        <v>3</v>
      </c>
      <c r="K263" t="s">
        <v>488</v>
      </c>
      <c r="L263">
        <v>1354</v>
      </c>
      <c r="N263">
        <v>1010</v>
      </c>
      <c r="O263" t="s">
        <v>34</v>
      </c>
      <c r="P263" t="s">
        <v>34</v>
      </c>
      <c r="Q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25</v>
      </c>
      <c r="AG263">
        <v>1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ROW(Source!A198)</f>
        <v>198</v>
      </c>
      <c r="B264">
        <v>59213961</v>
      </c>
      <c r="C264">
        <v>59213736</v>
      </c>
      <c r="D264">
        <v>58271406</v>
      </c>
      <c r="E264">
        <v>1080</v>
      </c>
      <c r="F264">
        <v>1</v>
      </c>
      <c r="G264">
        <v>1080</v>
      </c>
      <c r="H264">
        <v>3</v>
      </c>
      <c r="I264" t="s">
        <v>397</v>
      </c>
      <c r="J264" t="s">
        <v>3</v>
      </c>
      <c r="K264" t="s">
        <v>398</v>
      </c>
      <c r="L264">
        <v>1348</v>
      </c>
      <c r="N264">
        <v>1009</v>
      </c>
      <c r="O264" t="s">
        <v>345</v>
      </c>
      <c r="P264" t="s">
        <v>345</v>
      </c>
      <c r="Q264">
        <v>1000</v>
      </c>
      <c r="X264">
        <v>2E-3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25</v>
      </c>
      <c r="AG264">
        <v>2E-3</v>
      </c>
      <c r="AH264">
        <v>2</v>
      </c>
      <c r="AI264">
        <v>59213745</v>
      </c>
      <c r="AJ264">
        <v>243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ROW(Source!A199)</f>
        <v>199</v>
      </c>
      <c r="B265">
        <v>59213952</v>
      </c>
      <c r="C265">
        <v>59213736</v>
      </c>
      <c r="D265">
        <v>58266404</v>
      </c>
      <c r="E265">
        <v>1080</v>
      </c>
      <c r="F265">
        <v>1</v>
      </c>
      <c r="G265">
        <v>1080</v>
      </c>
      <c r="H265">
        <v>1</v>
      </c>
      <c r="I265" t="s">
        <v>331</v>
      </c>
      <c r="J265" t="s">
        <v>3</v>
      </c>
      <c r="K265" t="s">
        <v>332</v>
      </c>
      <c r="L265">
        <v>1191</v>
      </c>
      <c r="N265">
        <v>1013</v>
      </c>
      <c r="O265" t="s">
        <v>333</v>
      </c>
      <c r="P265" t="s">
        <v>333</v>
      </c>
      <c r="Q265">
        <v>1</v>
      </c>
      <c r="X265">
        <v>0.72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26</v>
      </c>
      <c r="AG265">
        <v>0.79200000000000004</v>
      </c>
      <c r="AH265">
        <v>2</v>
      </c>
      <c r="AI265">
        <v>59213737</v>
      </c>
      <c r="AJ265">
        <v>244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ROW(Source!A199)</f>
        <v>199</v>
      </c>
      <c r="B266">
        <v>59213953</v>
      </c>
      <c r="C266">
        <v>59213736</v>
      </c>
      <c r="D266">
        <v>58309906</v>
      </c>
      <c r="E266">
        <v>1</v>
      </c>
      <c r="F266">
        <v>1</v>
      </c>
      <c r="G266">
        <v>1080</v>
      </c>
      <c r="H266">
        <v>3</v>
      </c>
      <c r="I266" t="s">
        <v>442</v>
      </c>
      <c r="J266" t="s">
        <v>443</v>
      </c>
      <c r="K266" t="s">
        <v>444</v>
      </c>
      <c r="L266">
        <v>1301</v>
      </c>
      <c r="N266">
        <v>1003</v>
      </c>
      <c r="O266" t="s">
        <v>222</v>
      </c>
      <c r="P266" t="s">
        <v>222</v>
      </c>
      <c r="Q266">
        <v>1</v>
      </c>
      <c r="X266">
        <v>5</v>
      </c>
      <c r="Y266">
        <v>0.39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25</v>
      </c>
      <c r="AG266">
        <v>5</v>
      </c>
      <c r="AH266">
        <v>2</v>
      </c>
      <c r="AI266">
        <v>59213738</v>
      </c>
      <c r="AJ266">
        <v>245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ROW(Source!A199)</f>
        <v>199</v>
      </c>
      <c r="B267">
        <v>59213954</v>
      </c>
      <c r="C267">
        <v>59213736</v>
      </c>
      <c r="D267">
        <v>58308889</v>
      </c>
      <c r="E267">
        <v>1</v>
      </c>
      <c r="F267">
        <v>1</v>
      </c>
      <c r="G267">
        <v>1080</v>
      </c>
      <c r="H267">
        <v>3</v>
      </c>
      <c r="I267" t="s">
        <v>445</v>
      </c>
      <c r="J267" t="s">
        <v>446</v>
      </c>
      <c r="K267" t="s">
        <v>447</v>
      </c>
      <c r="L267">
        <v>1339</v>
      </c>
      <c r="N267">
        <v>1007</v>
      </c>
      <c r="O267" t="s">
        <v>448</v>
      </c>
      <c r="P267" t="s">
        <v>448</v>
      </c>
      <c r="Q267">
        <v>1</v>
      </c>
      <c r="X267">
        <v>1E-3</v>
      </c>
      <c r="Y267">
        <v>1176.3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25</v>
      </c>
      <c r="AG267">
        <v>1E-3</v>
      </c>
      <c r="AH267">
        <v>2</v>
      </c>
      <c r="AI267">
        <v>59213739</v>
      </c>
      <c r="AJ267">
        <v>246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ROW(Source!A199)</f>
        <v>199</v>
      </c>
      <c r="B268">
        <v>59213955</v>
      </c>
      <c r="C268">
        <v>59213736</v>
      </c>
      <c r="D268">
        <v>58308977</v>
      </c>
      <c r="E268">
        <v>1</v>
      </c>
      <c r="F268">
        <v>1</v>
      </c>
      <c r="G268">
        <v>1080</v>
      </c>
      <c r="H268">
        <v>3</v>
      </c>
      <c r="I268" t="s">
        <v>449</v>
      </c>
      <c r="J268" t="s">
        <v>450</v>
      </c>
      <c r="K268" t="s">
        <v>451</v>
      </c>
      <c r="L268">
        <v>1346</v>
      </c>
      <c r="N268">
        <v>1009</v>
      </c>
      <c r="O268" t="s">
        <v>244</v>
      </c>
      <c r="P268" t="s">
        <v>244</v>
      </c>
      <c r="Q268">
        <v>1</v>
      </c>
      <c r="X268">
        <v>0.01</v>
      </c>
      <c r="Y268">
        <v>16.690000000000001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25</v>
      </c>
      <c r="AG268">
        <v>0.01</v>
      </c>
      <c r="AH268">
        <v>2</v>
      </c>
      <c r="AI268">
        <v>59213740</v>
      </c>
      <c r="AJ268">
        <v>247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ROW(Source!A199)</f>
        <v>199</v>
      </c>
      <c r="B269">
        <v>59213956</v>
      </c>
      <c r="C269">
        <v>59213736</v>
      </c>
      <c r="D269">
        <v>58315579</v>
      </c>
      <c r="E269">
        <v>1</v>
      </c>
      <c r="F269">
        <v>1</v>
      </c>
      <c r="G269">
        <v>1080</v>
      </c>
      <c r="H269">
        <v>3</v>
      </c>
      <c r="I269" t="s">
        <v>452</v>
      </c>
      <c r="J269" t="s">
        <v>453</v>
      </c>
      <c r="K269" t="s">
        <v>454</v>
      </c>
      <c r="L269">
        <v>1355</v>
      </c>
      <c r="N269">
        <v>1010</v>
      </c>
      <c r="O269" t="s">
        <v>227</v>
      </c>
      <c r="P269" t="s">
        <v>227</v>
      </c>
      <c r="Q269">
        <v>100</v>
      </c>
      <c r="X269">
        <v>0.02</v>
      </c>
      <c r="Y269">
        <v>120.19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25</v>
      </c>
      <c r="AG269">
        <v>0.02</v>
      </c>
      <c r="AH269">
        <v>2</v>
      </c>
      <c r="AI269">
        <v>59213741</v>
      </c>
      <c r="AJ269">
        <v>248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ROW(Source!A199)</f>
        <v>199</v>
      </c>
      <c r="B270">
        <v>59213957</v>
      </c>
      <c r="C270">
        <v>59213736</v>
      </c>
      <c r="D270">
        <v>58309371</v>
      </c>
      <c r="E270">
        <v>1</v>
      </c>
      <c r="F270">
        <v>1</v>
      </c>
      <c r="G270">
        <v>1080</v>
      </c>
      <c r="H270">
        <v>3</v>
      </c>
      <c r="I270" t="s">
        <v>391</v>
      </c>
      <c r="J270" t="s">
        <v>392</v>
      </c>
      <c r="K270" t="s">
        <v>393</v>
      </c>
      <c r="L270">
        <v>1348</v>
      </c>
      <c r="N270">
        <v>1009</v>
      </c>
      <c r="O270" t="s">
        <v>345</v>
      </c>
      <c r="P270" t="s">
        <v>345</v>
      </c>
      <c r="Q270">
        <v>1000</v>
      </c>
      <c r="X270">
        <v>1.0000000000000001E-5</v>
      </c>
      <c r="Y270">
        <v>64123.05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25</v>
      </c>
      <c r="AG270">
        <v>1.0000000000000001E-5</v>
      </c>
      <c r="AH270">
        <v>2</v>
      </c>
      <c r="AI270">
        <v>59213742</v>
      </c>
      <c r="AJ270">
        <v>249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ROW(Source!A199)</f>
        <v>199</v>
      </c>
      <c r="B271">
        <v>59213958</v>
      </c>
      <c r="C271">
        <v>59213736</v>
      </c>
      <c r="D271">
        <v>58332885</v>
      </c>
      <c r="E271">
        <v>1</v>
      </c>
      <c r="F271">
        <v>1</v>
      </c>
      <c r="G271">
        <v>1080</v>
      </c>
      <c r="H271">
        <v>3</v>
      </c>
      <c r="I271" t="s">
        <v>455</v>
      </c>
      <c r="J271" t="s">
        <v>456</v>
      </c>
      <c r="K271" t="s">
        <v>457</v>
      </c>
      <c r="L271">
        <v>1356</v>
      </c>
      <c r="N271">
        <v>1010</v>
      </c>
      <c r="O271" t="s">
        <v>426</v>
      </c>
      <c r="P271" t="s">
        <v>426</v>
      </c>
      <c r="Q271">
        <v>1000</v>
      </c>
      <c r="X271">
        <v>2E-3</v>
      </c>
      <c r="Y271">
        <v>294.89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25</v>
      </c>
      <c r="AG271">
        <v>2E-3</v>
      </c>
      <c r="AH271">
        <v>2</v>
      </c>
      <c r="AI271">
        <v>59213743</v>
      </c>
      <c r="AJ271">
        <v>250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ROW(Source!A199)</f>
        <v>199</v>
      </c>
      <c r="B272">
        <v>59213959</v>
      </c>
      <c r="C272">
        <v>59213736</v>
      </c>
      <c r="D272">
        <v>58331958</v>
      </c>
      <c r="E272">
        <v>1</v>
      </c>
      <c r="F272">
        <v>1</v>
      </c>
      <c r="G272">
        <v>1080</v>
      </c>
      <c r="H272">
        <v>3</v>
      </c>
      <c r="I272" t="s">
        <v>458</v>
      </c>
      <c r="J272" t="s">
        <v>459</v>
      </c>
      <c r="K272" t="s">
        <v>460</v>
      </c>
      <c r="L272">
        <v>1354</v>
      </c>
      <c r="N272">
        <v>1010</v>
      </c>
      <c r="O272" t="s">
        <v>34</v>
      </c>
      <c r="P272" t="s">
        <v>34</v>
      </c>
      <c r="Q272">
        <v>1</v>
      </c>
      <c r="X272">
        <v>1</v>
      </c>
      <c r="Y272">
        <v>15.67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25</v>
      </c>
      <c r="AG272">
        <v>1</v>
      </c>
      <c r="AH272">
        <v>2</v>
      </c>
      <c r="AI272">
        <v>59213744</v>
      </c>
      <c r="AJ272">
        <v>251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ROW(Source!A199)</f>
        <v>199</v>
      </c>
      <c r="B273">
        <v>59213960</v>
      </c>
      <c r="C273">
        <v>59213736</v>
      </c>
      <c r="D273">
        <v>58304568</v>
      </c>
      <c r="E273">
        <v>1080</v>
      </c>
      <c r="F273">
        <v>1</v>
      </c>
      <c r="G273">
        <v>1080</v>
      </c>
      <c r="H273">
        <v>3</v>
      </c>
      <c r="I273" t="s">
        <v>487</v>
      </c>
      <c r="J273" t="s">
        <v>3</v>
      </c>
      <c r="K273" t="s">
        <v>488</v>
      </c>
      <c r="L273">
        <v>1354</v>
      </c>
      <c r="N273">
        <v>1010</v>
      </c>
      <c r="O273" t="s">
        <v>34</v>
      </c>
      <c r="P273" t="s">
        <v>34</v>
      </c>
      <c r="Q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25</v>
      </c>
      <c r="AG273">
        <v>1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ROW(Source!A199)</f>
        <v>199</v>
      </c>
      <c r="B274">
        <v>59213961</v>
      </c>
      <c r="C274">
        <v>59213736</v>
      </c>
      <c r="D274">
        <v>58271406</v>
      </c>
      <c r="E274">
        <v>1080</v>
      </c>
      <c r="F274">
        <v>1</v>
      </c>
      <c r="G274">
        <v>1080</v>
      </c>
      <c r="H274">
        <v>3</v>
      </c>
      <c r="I274" t="s">
        <v>397</v>
      </c>
      <c r="J274" t="s">
        <v>3</v>
      </c>
      <c r="K274" t="s">
        <v>398</v>
      </c>
      <c r="L274">
        <v>1348</v>
      </c>
      <c r="N274">
        <v>1009</v>
      </c>
      <c r="O274" t="s">
        <v>345</v>
      </c>
      <c r="P274" t="s">
        <v>345</v>
      </c>
      <c r="Q274">
        <v>1000</v>
      </c>
      <c r="X274">
        <v>2E-3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25</v>
      </c>
      <c r="AG274">
        <v>2E-3</v>
      </c>
      <c r="AH274">
        <v>2</v>
      </c>
      <c r="AI274">
        <v>59213745</v>
      </c>
      <c r="AJ274">
        <v>252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ROW(Source!A202)</f>
        <v>202</v>
      </c>
      <c r="B275">
        <v>59213962</v>
      </c>
      <c r="C275">
        <v>59213757</v>
      </c>
      <c r="D275">
        <v>58266404</v>
      </c>
      <c r="E275">
        <v>1080</v>
      </c>
      <c r="F275">
        <v>1</v>
      </c>
      <c r="G275">
        <v>1080</v>
      </c>
      <c r="H275">
        <v>1</v>
      </c>
      <c r="I275" t="s">
        <v>331</v>
      </c>
      <c r="J275" t="s">
        <v>3</v>
      </c>
      <c r="K275" t="s">
        <v>332</v>
      </c>
      <c r="L275">
        <v>1191</v>
      </c>
      <c r="N275">
        <v>1013</v>
      </c>
      <c r="O275" t="s">
        <v>333</v>
      </c>
      <c r="P275" t="s">
        <v>333</v>
      </c>
      <c r="Q275">
        <v>1</v>
      </c>
      <c r="X275">
        <v>14.64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26</v>
      </c>
      <c r="AG275">
        <v>16.104000000000003</v>
      </c>
      <c r="AH275">
        <v>2</v>
      </c>
      <c r="AI275">
        <v>59213758</v>
      </c>
      <c r="AJ275">
        <v>253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ROW(Source!A202)</f>
        <v>202</v>
      </c>
      <c r="B276">
        <v>59213963</v>
      </c>
      <c r="C276">
        <v>59213757</v>
      </c>
      <c r="D276">
        <v>58340578</v>
      </c>
      <c r="E276">
        <v>1</v>
      </c>
      <c r="F276">
        <v>1</v>
      </c>
      <c r="G276">
        <v>1080</v>
      </c>
      <c r="H276">
        <v>2</v>
      </c>
      <c r="I276" t="s">
        <v>334</v>
      </c>
      <c r="J276" t="s">
        <v>335</v>
      </c>
      <c r="K276" t="s">
        <v>336</v>
      </c>
      <c r="L276">
        <v>1368</v>
      </c>
      <c r="N276">
        <v>1011</v>
      </c>
      <c r="O276" t="s">
        <v>337</v>
      </c>
      <c r="P276" t="s">
        <v>337</v>
      </c>
      <c r="Q276">
        <v>1</v>
      </c>
      <c r="X276">
        <v>0.06</v>
      </c>
      <c r="Y276">
        <v>0</v>
      </c>
      <c r="Z276">
        <v>83.1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26</v>
      </c>
      <c r="AG276">
        <v>6.6000000000000003E-2</v>
      </c>
      <c r="AH276">
        <v>2</v>
      </c>
      <c r="AI276">
        <v>59213759</v>
      </c>
      <c r="AJ276">
        <v>254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ROW(Source!A202)</f>
        <v>202</v>
      </c>
      <c r="B277">
        <v>59213964</v>
      </c>
      <c r="C277">
        <v>59213757</v>
      </c>
      <c r="D277">
        <v>58340697</v>
      </c>
      <c r="E277">
        <v>1</v>
      </c>
      <c r="F277">
        <v>1</v>
      </c>
      <c r="G277">
        <v>1080</v>
      </c>
      <c r="H277">
        <v>2</v>
      </c>
      <c r="I277" t="s">
        <v>388</v>
      </c>
      <c r="J277" t="s">
        <v>389</v>
      </c>
      <c r="K277" t="s">
        <v>390</v>
      </c>
      <c r="L277">
        <v>1368</v>
      </c>
      <c r="N277">
        <v>1011</v>
      </c>
      <c r="O277" t="s">
        <v>337</v>
      </c>
      <c r="P277" t="s">
        <v>337</v>
      </c>
      <c r="Q277">
        <v>1</v>
      </c>
      <c r="X277">
        <v>0.81</v>
      </c>
      <c r="Y277">
        <v>0</v>
      </c>
      <c r="Z277">
        <v>0.8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26</v>
      </c>
      <c r="AG277">
        <v>0.89100000000000013</v>
      </c>
      <c r="AH277">
        <v>2</v>
      </c>
      <c r="AI277">
        <v>59213760</v>
      </c>
      <c r="AJ277">
        <v>255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ROW(Source!A202)</f>
        <v>202</v>
      </c>
      <c r="B278">
        <v>59213965</v>
      </c>
      <c r="C278">
        <v>59213757</v>
      </c>
      <c r="D278">
        <v>58340663</v>
      </c>
      <c r="E278">
        <v>1</v>
      </c>
      <c r="F278">
        <v>1</v>
      </c>
      <c r="G278">
        <v>1080</v>
      </c>
      <c r="H278">
        <v>2</v>
      </c>
      <c r="I278" t="s">
        <v>339</v>
      </c>
      <c r="J278" t="s">
        <v>340</v>
      </c>
      <c r="K278" t="s">
        <v>341</v>
      </c>
      <c r="L278">
        <v>1368</v>
      </c>
      <c r="N278">
        <v>1011</v>
      </c>
      <c r="O278" t="s">
        <v>337</v>
      </c>
      <c r="P278" t="s">
        <v>337</v>
      </c>
      <c r="Q278">
        <v>1</v>
      </c>
      <c r="X278">
        <v>0.93</v>
      </c>
      <c r="Y278">
        <v>0</v>
      </c>
      <c r="Z278">
        <v>0.47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26</v>
      </c>
      <c r="AG278">
        <v>1.0230000000000001</v>
      </c>
      <c r="AH278">
        <v>2</v>
      </c>
      <c r="AI278">
        <v>59213761</v>
      </c>
      <c r="AJ278">
        <v>256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ROW(Source!A202)</f>
        <v>202</v>
      </c>
      <c r="B279">
        <v>59213966</v>
      </c>
      <c r="C279">
        <v>59213757</v>
      </c>
      <c r="D279">
        <v>58310460</v>
      </c>
      <c r="E279">
        <v>1</v>
      </c>
      <c r="F279">
        <v>1</v>
      </c>
      <c r="G279">
        <v>1080</v>
      </c>
      <c r="H279">
        <v>3</v>
      </c>
      <c r="I279" t="s">
        <v>342</v>
      </c>
      <c r="J279" t="s">
        <v>343</v>
      </c>
      <c r="K279" t="s">
        <v>344</v>
      </c>
      <c r="L279">
        <v>1348</v>
      </c>
      <c r="N279">
        <v>1009</v>
      </c>
      <c r="O279" t="s">
        <v>345</v>
      </c>
      <c r="P279" t="s">
        <v>345</v>
      </c>
      <c r="Q279">
        <v>1000</v>
      </c>
      <c r="X279">
        <v>1.7000000000000001E-4</v>
      </c>
      <c r="Y279">
        <v>14327.51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25</v>
      </c>
      <c r="AG279">
        <v>1.7000000000000001E-4</v>
      </c>
      <c r="AH279">
        <v>2</v>
      </c>
      <c r="AI279">
        <v>59213762</v>
      </c>
      <c r="AJ279">
        <v>257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ROW(Source!A202)</f>
        <v>202</v>
      </c>
      <c r="B280">
        <v>59213967</v>
      </c>
      <c r="C280">
        <v>59213757</v>
      </c>
      <c r="D280">
        <v>58288462</v>
      </c>
      <c r="E280">
        <v>1080</v>
      </c>
      <c r="F280">
        <v>1</v>
      </c>
      <c r="G280">
        <v>1080</v>
      </c>
      <c r="H280">
        <v>3</v>
      </c>
      <c r="I280" t="s">
        <v>465</v>
      </c>
      <c r="J280" t="s">
        <v>3</v>
      </c>
      <c r="K280" t="s">
        <v>466</v>
      </c>
      <c r="L280">
        <v>1358</v>
      </c>
      <c r="N280">
        <v>1010</v>
      </c>
      <c r="O280" t="s">
        <v>23</v>
      </c>
      <c r="P280" t="s">
        <v>23</v>
      </c>
      <c r="Q280">
        <v>10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25</v>
      </c>
      <c r="AG280">
        <v>1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ROW(Source!A203)</f>
        <v>203</v>
      </c>
      <c r="B281">
        <v>59213962</v>
      </c>
      <c r="C281">
        <v>59213757</v>
      </c>
      <c r="D281">
        <v>58266404</v>
      </c>
      <c r="E281">
        <v>1080</v>
      </c>
      <c r="F281">
        <v>1</v>
      </c>
      <c r="G281">
        <v>1080</v>
      </c>
      <c r="H281">
        <v>1</v>
      </c>
      <c r="I281" t="s">
        <v>331</v>
      </c>
      <c r="J281" t="s">
        <v>3</v>
      </c>
      <c r="K281" t="s">
        <v>332</v>
      </c>
      <c r="L281">
        <v>1191</v>
      </c>
      <c r="N281">
        <v>1013</v>
      </c>
      <c r="O281" t="s">
        <v>333</v>
      </c>
      <c r="P281" t="s">
        <v>333</v>
      </c>
      <c r="Q281">
        <v>1</v>
      </c>
      <c r="X281">
        <v>14.64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26</v>
      </c>
      <c r="AG281">
        <v>16.104000000000003</v>
      </c>
      <c r="AH281">
        <v>2</v>
      </c>
      <c r="AI281">
        <v>59213758</v>
      </c>
      <c r="AJ281">
        <v>258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ROW(Source!A203)</f>
        <v>203</v>
      </c>
      <c r="B282">
        <v>59213963</v>
      </c>
      <c r="C282">
        <v>59213757</v>
      </c>
      <c r="D282">
        <v>58340578</v>
      </c>
      <c r="E282">
        <v>1</v>
      </c>
      <c r="F282">
        <v>1</v>
      </c>
      <c r="G282">
        <v>1080</v>
      </c>
      <c r="H282">
        <v>2</v>
      </c>
      <c r="I282" t="s">
        <v>334</v>
      </c>
      <c r="J282" t="s">
        <v>335</v>
      </c>
      <c r="K282" t="s">
        <v>336</v>
      </c>
      <c r="L282">
        <v>1368</v>
      </c>
      <c r="N282">
        <v>1011</v>
      </c>
      <c r="O282" t="s">
        <v>337</v>
      </c>
      <c r="P282" t="s">
        <v>337</v>
      </c>
      <c r="Q282">
        <v>1</v>
      </c>
      <c r="X282">
        <v>0.06</v>
      </c>
      <c r="Y282">
        <v>0</v>
      </c>
      <c r="Z282">
        <v>83.1</v>
      </c>
      <c r="AA282">
        <v>12.62</v>
      </c>
      <c r="AB282">
        <v>0</v>
      </c>
      <c r="AC282">
        <v>0</v>
      </c>
      <c r="AD282">
        <v>1</v>
      </c>
      <c r="AE282">
        <v>0</v>
      </c>
      <c r="AF282" t="s">
        <v>26</v>
      </c>
      <c r="AG282">
        <v>6.6000000000000003E-2</v>
      </c>
      <c r="AH282">
        <v>2</v>
      </c>
      <c r="AI282">
        <v>59213759</v>
      </c>
      <c r="AJ282">
        <v>259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ROW(Source!A203)</f>
        <v>203</v>
      </c>
      <c r="B283">
        <v>59213964</v>
      </c>
      <c r="C283">
        <v>59213757</v>
      </c>
      <c r="D283">
        <v>58340697</v>
      </c>
      <c r="E283">
        <v>1</v>
      </c>
      <c r="F283">
        <v>1</v>
      </c>
      <c r="G283">
        <v>1080</v>
      </c>
      <c r="H283">
        <v>2</v>
      </c>
      <c r="I283" t="s">
        <v>388</v>
      </c>
      <c r="J283" t="s">
        <v>389</v>
      </c>
      <c r="K283" t="s">
        <v>390</v>
      </c>
      <c r="L283">
        <v>1368</v>
      </c>
      <c r="N283">
        <v>1011</v>
      </c>
      <c r="O283" t="s">
        <v>337</v>
      </c>
      <c r="P283" t="s">
        <v>337</v>
      </c>
      <c r="Q283">
        <v>1</v>
      </c>
      <c r="X283">
        <v>0.81</v>
      </c>
      <c r="Y283">
        <v>0</v>
      </c>
      <c r="Z283">
        <v>0.8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26</v>
      </c>
      <c r="AG283">
        <v>0.89100000000000013</v>
      </c>
      <c r="AH283">
        <v>2</v>
      </c>
      <c r="AI283">
        <v>59213760</v>
      </c>
      <c r="AJ283">
        <v>260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ROW(Source!A203)</f>
        <v>203</v>
      </c>
      <c r="B284">
        <v>59213965</v>
      </c>
      <c r="C284">
        <v>59213757</v>
      </c>
      <c r="D284">
        <v>58340663</v>
      </c>
      <c r="E284">
        <v>1</v>
      </c>
      <c r="F284">
        <v>1</v>
      </c>
      <c r="G284">
        <v>1080</v>
      </c>
      <c r="H284">
        <v>2</v>
      </c>
      <c r="I284" t="s">
        <v>339</v>
      </c>
      <c r="J284" t="s">
        <v>340</v>
      </c>
      <c r="K284" t="s">
        <v>341</v>
      </c>
      <c r="L284">
        <v>1368</v>
      </c>
      <c r="N284">
        <v>1011</v>
      </c>
      <c r="O284" t="s">
        <v>337</v>
      </c>
      <c r="P284" t="s">
        <v>337</v>
      </c>
      <c r="Q284">
        <v>1</v>
      </c>
      <c r="X284">
        <v>0.93</v>
      </c>
      <c r="Y284">
        <v>0</v>
      </c>
      <c r="Z284">
        <v>0.47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26</v>
      </c>
      <c r="AG284">
        <v>1.0230000000000001</v>
      </c>
      <c r="AH284">
        <v>2</v>
      </c>
      <c r="AI284">
        <v>59213761</v>
      </c>
      <c r="AJ284">
        <v>261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ROW(Source!A203)</f>
        <v>203</v>
      </c>
      <c r="B285">
        <v>59213966</v>
      </c>
      <c r="C285">
        <v>59213757</v>
      </c>
      <c r="D285">
        <v>58310460</v>
      </c>
      <c r="E285">
        <v>1</v>
      </c>
      <c r="F285">
        <v>1</v>
      </c>
      <c r="G285">
        <v>1080</v>
      </c>
      <c r="H285">
        <v>3</v>
      </c>
      <c r="I285" t="s">
        <v>342</v>
      </c>
      <c r="J285" t="s">
        <v>343</v>
      </c>
      <c r="K285" t="s">
        <v>344</v>
      </c>
      <c r="L285">
        <v>1348</v>
      </c>
      <c r="N285">
        <v>1009</v>
      </c>
      <c r="O285" t="s">
        <v>345</v>
      </c>
      <c r="P285" t="s">
        <v>345</v>
      </c>
      <c r="Q285">
        <v>1000</v>
      </c>
      <c r="X285">
        <v>1.7000000000000001E-4</v>
      </c>
      <c r="Y285">
        <v>14327.51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25</v>
      </c>
      <c r="AG285">
        <v>1.7000000000000001E-4</v>
      </c>
      <c r="AH285">
        <v>2</v>
      </c>
      <c r="AI285">
        <v>59213762</v>
      </c>
      <c r="AJ285">
        <v>262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ROW(Source!A203)</f>
        <v>203</v>
      </c>
      <c r="B286">
        <v>59213967</v>
      </c>
      <c r="C286">
        <v>59213757</v>
      </c>
      <c r="D286">
        <v>58288462</v>
      </c>
      <c r="E286">
        <v>1080</v>
      </c>
      <c r="F286">
        <v>1</v>
      </c>
      <c r="G286">
        <v>1080</v>
      </c>
      <c r="H286">
        <v>3</v>
      </c>
      <c r="I286" t="s">
        <v>465</v>
      </c>
      <c r="J286" t="s">
        <v>3</v>
      </c>
      <c r="K286" t="s">
        <v>466</v>
      </c>
      <c r="L286">
        <v>1358</v>
      </c>
      <c r="N286">
        <v>1010</v>
      </c>
      <c r="O286" t="s">
        <v>23</v>
      </c>
      <c r="P286" t="s">
        <v>23</v>
      </c>
      <c r="Q286">
        <v>10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25</v>
      </c>
      <c r="AG286">
        <v>1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ROW(Source!A206)</f>
        <v>206</v>
      </c>
      <c r="B287">
        <v>59213968</v>
      </c>
      <c r="C287">
        <v>59213770</v>
      </c>
      <c r="D287">
        <v>58266404</v>
      </c>
      <c r="E287">
        <v>1080</v>
      </c>
      <c r="F287">
        <v>1</v>
      </c>
      <c r="G287">
        <v>1080</v>
      </c>
      <c r="H287">
        <v>1</v>
      </c>
      <c r="I287" t="s">
        <v>331</v>
      </c>
      <c r="J287" t="s">
        <v>3</v>
      </c>
      <c r="K287" t="s">
        <v>332</v>
      </c>
      <c r="L287">
        <v>1191</v>
      </c>
      <c r="N287">
        <v>1013</v>
      </c>
      <c r="O287" t="s">
        <v>333</v>
      </c>
      <c r="P287" t="s">
        <v>333</v>
      </c>
      <c r="Q287">
        <v>1</v>
      </c>
      <c r="X287">
        <v>15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26</v>
      </c>
      <c r="AG287">
        <v>16.5</v>
      </c>
      <c r="AH287">
        <v>2</v>
      </c>
      <c r="AI287">
        <v>59213771</v>
      </c>
      <c r="AJ287">
        <v>263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ROW(Source!A206)</f>
        <v>206</v>
      </c>
      <c r="B288">
        <v>59213969</v>
      </c>
      <c r="C288">
        <v>59213770</v>
      </c>
      <c r="D288">
        <v>58275806</v>
      </c>
      <c r="E288">
        <v>1080</v>
      </c>
      <c r="F288">
        <v>1</v>
      </c>
      <c r="G288">
        <v>1080</v>
      </c>
      <c r="H288">
        <v>3</v>
      </c>
      <c r="I288" t="s">
        <v>479</v>
      </c>
      <c r="J288" t="s">
        <v>3</v>
      </c>
      <c r="K288" t="s">
        <v>480</v>
      </c>
      <c r="L288">
        <v>1301</v>
      </c>
      <c r="N288">
        <v>1003</v>
      </c>
      <c r="O288" t="s">
        <v>222</v>
      </c>
      <c r="P288" t="s">
        <v>222</v>
      </c>
      <c r="Q288">
        <v>1</v>
      </c>
      <c r="X288">
        <v>102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25</v>
      </c>
      <c r="AG288">
        <v>102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ROW(Source!A206)</f>
        <v>206</v>
      </c>
      <c r="B289">
        <v>59213970</v>
      </c>
      <c r="C289">
        <v>59213770</v>
      </c>
      <c r="D289">
        <v>58278973</v>
      </c>
      <c r="E289">
        <v>1080</v>
      </c>
      <c r="F289">
        <v>1</v>
      </c>
      <c r="G289">
        <v>1080</v>
      </c>
      <c r="H289">
        <v>3</v>
      </c>
      <c r="I289" t="s">
        <v>481</v>
      </c>
      <c r="J289" t="s">
        <v>3</v>
      </c>
      <c r="K289" t="s">
        <v>482</v>
      </c>
      <c r="L289">
        <v>1354</v>
      </c>
      <c r="N289">
        <v>1010</v>
      </c>
      <c r="O289" t="s">
        <v>34</v>
      </c>
      <c r="P289" t="s">
        <v>34</v>
      </c>
      <c r="Q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25</v>
      </c>
      <c r="AG289">
        <v>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ROW(Source!A206)</f>
        <v>206</v>
      </c>
      <c r="B290">
        <v>59213971</v>
      </c>
      <c r="C290">
        <v>59213770</v>
      </c>
      <c r="D290">
        <v>58279545</v>
      </c>
      <c r="E290">
        <v>1080</v>
      </c>
      <c r="F290">
        <v>1</v>
      </c>
      <c r="G290">
        <v>1080</v>
      </c>
      <c r="H290">
        <v>3</v>
      </c>
      <c r="I290" t="s">
        <v>483</v>
      </c>
      <c r="J290" t="s">
        <v>3</v>
      </c>
      <c r="K290" t="s">
        <v>484</v>
      </c>
      <c r="L290">
        <v>1354</v>
      </c>
      <c r="N290">
        <v>1010</v>
      </c>
      <c r="O290" t="s">
        <v>34</v>
      </c>
      <c r="P290" t="s">
        <v>34</v>
      </c>
      <c r="Q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25</v>
      </c>
      <c r="AG290">
        <v>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ROW(Source!A207)</f>
        <v>207</v>
      </c>
      <c r="B291">
        <v>59213968</v>
      </c>
      <c r="C291">
        <v>59213770</v>
      </c>
      <c r="D291">
        <v>58266404</v>
      </c>
      <c r="E291">
        <v>1080</v>
      </c>
      <c r="F291">
        <v>1</v>
      </c>
      <c r="G291">
        <v>1080</v>
      </c>
      <c r="H291">
        <v>1</v>
      </c>
      <c r="I291" t="s">
        <v>331</v>
      </c>
      <c r="J291" t="s">
        <v>3</v>
      </c>
      <c r="K291" t="s">
        <v>332</v>
      </c>
      <c r="L291">
        <v>1191</v>
      </c>
      <c r="N291">
        <v>1013</v>
      </c>
      <c r="O291" t="s">
        <v>333</v>
      </c>
      <c r="P291" t="s">
        <v>333</v>
      </c>
      <c r="Q291">
        <v>1</v>
      </c>
      <c r="X291">
        <v>15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26</v>
      </c>
      <c r="AG291">
        <v>16.5</v>
      </c>
      <c r="AH291">
        <v>2</v>
      </c>
      <c r="AI291">
        <v>59213771</v>
      </c>
      <c r="AJ291">
        <v>266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ROW(Source!A207)</f>
        <v>207</v>
      </c>
      <c r="B292">
        <v>59213969</v>
      </c>
      <c r="C292">
        <v>59213770</v>
      </c>
      <c r="D292">
        <v>58275806</v>
      </c>
      <c r="E292">
        <v>1080</v>
      </c>
      <c r="F292">
        <v>1</v>
      </c>
      <c r="G292">
        <v>1080</v>
      </c>
      <c r="H292">
        <v>3</v>
      </c>
      <c r="I292" t="s">
        <v>479</v>
      </c>
      <c r="J292" t="s">
        <v>3</v>
      </c>
      <c r="K292" t="s">
        <v>480</v>
      </c>
      <c r="L292">
        <v>1301</v>
      </c>
      <c r="N292">
        <v>1003</v>
      </c>
      <c r="O292" t="s">
        <v>222</v>
      </c>
      <c r="P292" t="s">
        <v>222</v>
      </c>
      <c r="Q292">
        <v>1</v>
      </c>
      <c r="X292">
        <v>102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25</v>
      </c>
      <c r="AG292">
        <v>102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ROW(Source!A207)</f>
        <v>207</v>
      </c>
      <c r="B293">
        <v>59213970</v>
      </c>
      <c r="C293">
        <v>59213770</v>
      </c>
      <c r="D293">
        <v>58278973</v>
      </c>
      <c r="E293">
        <v>1080</v>
      </c>
      <c r="F293">
        <v>1</v>
      </c>
      <c r="G293">
        <v>1080</v>
      </c>
      <c r="H293">
        <v>3</v>
      </c>
      <c r="I293" t="s">
        <v>481</v>
      </c>
      <c r="J293" t="s">
        <v>3</v>
      </c>
      <c r="K293" t="s">
        <v>482</v>
      </c>
      <c r="L293">
        <v>1354</v>
      </c>
      <c r="N293">
        <v>1010</v>
      </c>
      <c r="O293" t="s">
        <v>34</v>
      </c>
      <c r="P293" t="s">
        <v>34</v>
      </c>
      <c r="Q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25</v>
      </c>
      <c r="AG293">
        <v>0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ROW(Source!A207)</f>
        <v>207</v>
      </c>
      <c r="B294">
        <v>59213971</v>
      </c>
      <c r="C294">
        <v>59213770</v>
      </c>
      <c r="D294">
        <v>58279545</v>
      </c>
      <c r="E294">
        <v>1080</v>
      </c>
      <c r="F294">
        <v>1</v>
      </c>
      <c r="G294">
        <v>1080</v>
      </c>
      <c r="H294">
        <v>3</v>
      </c>
      <c r="I294" t="s">
        <v>483</v>
      </c>
      <c r="J294" t="s">
        <v>3</v>
      </c>
      <c r="K294" t="s">
        <v>484</v>
      </c>
      <c r="L294">
        <v>1354</v>
      </c>
      <c r="N294">
        <v>1010</v>
      </c>
      <c r="O294" t="s">
        <v>34</v>
      </c>
      <c r="P294" t="s">
        <v>34</v>
      </c>
      <c r="Q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25</v>
      </c>
      <c r="AG294">
        <v>0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ROW(Source!A212)</f>
        <v>212</v>
      </c>
      <c r="B295">
        <v>59213972</v>
      </c>
      <c r="C295">
        <v>59213780</v>
      </c>
      <c r="D295">
        <v>58266404</v>
      </c>
      <c r="E295">
        <v>1080</v>
      </c>
      <c r="F295">
        <v>1</v>
      </c>
      <c r="G295">
        <v>1080</v>
      </c>
      <c r="H295">
        <v>1</v>
      </c>
      <c r="I295" t="s">
        <v>331</v>
      </c>
      <c r="J295" t="s">
        <v>3</v>
      </c>
      <c r="K295" t="s">
        <v>332</v>
      </c>
      <c r="L295">
        <v>1191</v>
      </c>
      <c r="N295">
        <v>1013</v>
      </c>
      <c r="O295" t="s">
        <v>333</v>
      </c>
      <c r="P295" t="s">
        <v>333</v>
      </c>
      <c r="Q295">
        <v>1</v>
      </c>
      <c r="X295">
        <v>4.49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26</v>
      </c>
      <c r="AG295">
        <v>4.9390000000000009</v>
      </c>
      <c r="AH295">
        <v>2</v>
      </c>
      <c r="AI295">
        <v>59213781</v>
      </c>
      <c r="AJ295">
        <v>269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ROW(Source!A212)</f>
        <v>212</v>
      </c>
      <c r="B296">
        <v>59213973</v>
      </c>
      <c r="C296">
        <v>59213780</v>
      </c>
      <c r="D296">
        <v>58340578</v>
      </c>
      <c r="E296">
        <v>1</v>
      </c>
      <c r="F296">
        <v>1</v>
      </c>
      <c r="G296">
        <v>1080</v>
      </c>
      <c r="H296">
        <v>2</v>
      </c>
      <c r="I296" t="s">
        <v>334</v>
      </c>
      <c r="J296" t="s">
        <v>335</v>
      </c>
      <c r="K296" t="s">
        <v>336</v>
      </c>
      <c r="L296">
        <v>1368</v>
      </c>
      <c r="N296">
        <v>1011</v>
      </c>
      <c r="O296" t="s">
        <v>337</v>
      </c>
      <c r="P296" t="s">
        <v>337</v>
      </c>
      <c r="Q296">
        <v>1</v>
      </c>
      <c r="X296">
        <v>0.01</v>
      </c>
      <c r="Y296">
        <v>0</v>
      </c>
      <c r="Z296">
        <v>83.1</v>
      </c>
      <c r="AA296">
        <v>12.62</v>
      </c>
      <c r="AB296">
        <v>0</v>
      </c>
      <c r="AC296">
        <v>0</v>
      </c>
      <c r="AD296">
        <v>1</v>
      </c>
      <c r="AE296">
        <v>0</v>
      </c>
      <c r="AF296" t="s">
        <v>26</v>
      </c>
      <c r="AG296">
        <v>1.1000000000000001E-2</v>
      </c>
      <c r="AH296">
        <v>2</v>
      </c>
      <c r="AI296">
        <v>59213782</v>
      </c>
      <c r="AJ296">
        <v>270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ROW(Source!A212)</f>
        <v>212</v>
      </c>
      <c r="B297">
        <v>59213974</v>
      </c>
      <c r="C297">
        <v>59213780</v>
      </c>
      <c r="D297">
        <v>58339814</v>
      </c>
      <c r="E297">
        <v>1</v>
      </c>
      <c r="F297">
        <v>1</v>
      </c>
      <c r="G297">
        <v>1080</v>
      </c>
      <c r="H297">
        <v>2</v>
      </c>
      <c r="I297" t="s">
        <v>411</v>
      </c>
      <c r="J297" t="s">
        <v>412</v>
      </c>
      <c r="K297" t="s">
        <v>413</v>
      </c>
      <c r="L297">
        <v>1368</v>
      </c>
      <c r="N297">
        <v>1011</v>
      </c>
      <c r="O297" t="s">
        <v>337</v>
      </c>
      <c r="P297" t="s">
        <v>337</v>
      </c>
      <c r="Q297">
        <v>1</v>
      </c>
      <c r="X297">
        <v>0.01</v>
      </c>
      <c r="Y297">
        <v>0</v>
      </c>
      <c r="Z297">
        <v>179.17</v>
      </c>
      <c r="AA297">
        <v>16.93</v>
      </c>
      <c r="AB297">
        <v>0</v>
      </c>
      <c r="AC297">
        <v>0</v>
      </c>
      <c r="AD297">
        <v>1</v>
      </c>
      <c r="AE297">
        <v>0</v>
      </c>
      <c r="AF297" t="s">
        <v>26</v>
      </c>
      <c r="AG297">
        <v>1.1000000000000001E-2</v>
      </c>
      <c r="AH297">
        <v>2</v>
      </c>
      <c r="AI297">
        <v>59213783</v>
      </c>
      <c r="AJ297">
        <v>271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ROW(Source!A212)</f>
        <v>212</v>
      </c>
      <c r="B298">
        <v>59213975</v>
      </c>
      <c r="C298">
        <v>59213780</v>
      </c>
      <c r="D298">
        <v>58309611</v>
      </c>
      <c r="E298">
        <v>1</v>
      </c>
      <c r="F298">
        <v>1</v>
      </c>
      <c r="G298">
        <v>1080</v>
      </c>
      <c r="H298">
        <v>3</v>
      </c>
      <c r="I298" t="s">
        <v>414</v>
      </c>
      <c r="J298" t="s">
        <v>415</v>
      </c>
      <c r="K298" t="s">
        <v>416</v>
      </c>
      <c r="L298">
        <v>1346</v>
      </c>
      <c r="N298">
        <v>1009</v>
      </c>
      <c r="O298" t="s">
        <v>244</v>
      </c>
      <c r="P298" t="s">
        <v>244</v>
      </c>
      <c r="Q298">
        <v>1</v>
      </c>
      <c r="X298">
        <v>0.43</v>
      </c>
      <c r="Y298">
        <v>1.38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25</v>
      </c>
      <c r="AG298">
        <v>0.43</v>
      </c>
      <c r="AH298">
        <v>2</v>
      </c>
      <c r="AI298">
        <v>59213784</v>
      </c>
      <c r="AJ298">
        <v>272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ROW(Source!A212)</f>
        <v>212</v>
      </c>
      <c r="B299">
        <v>59213976</v>
      </c>
      <c r="C299">
        <v>59213780</v>
      </c>
      <c r="D299">
        <v>58310002</v>
      </c>
      <c r="E299">
        <v>1</v>
      </c>
      <c r="F299">
        <v>1</v>
      </c>
      <c r="G299">
        <v>1080</v>
      </c>
      <c r="H299">
        <v>3</v>
      </c>
      <c r="I299" t="s">
        <v>417</v>
      </c>
      <c r="J299" t="s">
        <v>418</v>
      </c>
      <c r="K299" t="s">
        <v>419</v>
      </c>
      <c r="L299">
        <v>1346</v>
      </c>
      <c r="N299">
        <v>1009</v>
      </c>
      <c r="O299" t="s">
        <v>244</v>
      </c>
      <c r="P299" t="s">
        <v>244</v>
      </c>
      <c r="Q299">
        <v>1</v>
      </c>
      <c r="X299">
        <v>0.16</v>
      </c>
      <c r="Y299">
        <v>159.06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25</v>
      </c>
      <c r="AG299">
        <v>0.16</v>
      </c>
      <c r="AH299">
        <v>2</v>
      </c>
      <c r="AI299">
        <v>59213785</v>
      </c>
      <c r="AJ299">
        <v>273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ROW(Source!A212)</f>
        <v>212</v>
      </c>
      <c r="B300">
        <v>59213977</v>
      </c>
      <c r="C300">
        <v>59213780</v>
      </c>
      <c r="D300">
        <v>58332945</v>
      </c>
      <c r="E300">
        <v>1</v>
      </c>
      <c r="F300">
        <v>1</v>
      </c>
      <c r="G300">
        <v>1080</v>
      </c>
      <c r="H300">
        <v>3</v>
      </c>
      <c r="I300" t="s">
        <v>420</v>
      </c>
      <c r="J300" t="s">
        <v>421</v>
      </c>
      <c r="K300" t="s">
        <v>422</v>
      </c>
      <c r="L300">
        <v>1355</v>
      </c>
      <c r="N300">
        <v>1010</v>
      </c>
      <c r="O300" t="s">
        <v>227</v>
      </c>
      <c r="P300" t="s">
        <v>227</v>
      </c>
      <c r="Q300">
        <v>100</v>
      </c>
      <c r="X300">
        <v>0.05</v>
      </c>
      <c r="Y300">
        <v>68.819999999999993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25</v>
      </c>
      <c r="AG300">
        <v>0.05</v>
      </c>
      <c r="AH300">
        <v>2</v>
      </c>
      <c r="AI300">
        <v>59213786</v>
      </c>
      <c r="AJ300">
        <v>274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ROW(Source!A212)</f>
        <v>212</v>
      </c>
      <c r="B301">
        <v>59213978</v>
      </c>
      <c r="C301">
        <v>59213780</v>
      </c>
      <c r="D301">
        <v>58332956</v>
      </c>
      <c r="E301">
        <v>1</v>
      </c>
      <c r="F301">
        <v>1</v>
      </c>
      <c r="G301">
        <v>1080</v>
      </c>
      <c r="H301">
        <v>3</v>
      </c>
      <c r="I301" t="s">
        <v>423</v>
      </c>
      <c r="J301" t="s">
        <v>424</v>
      </c>
      <c r="K301" t="s">
        <v>425</v>
      </c>
      <c r="L301">
        <v>1356</v>
      </c>
      <c r="N301">
        <v>1010</v>
      </c>
      <c r="O301" t="s">
        <v>426</v>
      </c>
      <c r="P301" t="s">
        <v>426</v>
      </c>
      <c r="Q301">
        <v>1000</v>
      </c>
      <c r="X301">
        <v>1.2200000000000001E-2</v>
      </c>
      <c r="Y301">
        <v>183.4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25</v>
      </c>
      <c r="AG301">
        <v>1.2200000000000001E-2</v>
      </c>
      <c r="AH301">
        <v>2</v>
      </c>
      <c r="AI301">
        <v>59213787</v>
      </c>
      <c r="AJ301">
        <v>275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ROW(Source!A212)</f>
        <v>212</v>
      </c>
      <c r="B302">
        <v>59213979</v>
      </c>
      <c r="C302">
        <v>59213780</v>
      </c>
      <c r="D302">
        <v>58332282</v>
      </c>
      <c r="E302">
        <v>1</v>
      </c>
      <c r="F302">
        <v>1</v>
      </c>
      <c r="G302">
        <v>1080</v>
      </c>
      <c r="H302">
        <v>3</v>
      </c>
      <c r="I302" t="s">
        <v>427</v>
      </c>
      <c r="J302" t="s">
        <v>428</v>
      </c>
      <c r="K302" t="s">
        <v>429</v>
      </c>
      <c r="L302">
        <v>1354</v>
      </c>
      <c r="N302">
        <v>1010</v>
      </c>
      <c r="O302" t="s">
        <v>34</v>
      </c>
      <c r="P302" t="s">
        <v>34</v>
      </c>
      <c r="Q302">
        <v>1</v>
      </c>
      <c r="X302">
        <v>3.1</v>
      </c>
      <c r="Y302">
        <v>6.94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25</v>
      </c>
      <c r="AG302">
        <v>3.1</v>
      </c>
      <c r="AH302">
        <v>2</v>
      </c>
      <c r="AI302">
        <v>59213788</v>
      </c>
      <c r="AJ302">
        <v>276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ROW(Source!A212)</f>
        <v>212</v>
      </c>
      <c r="B303">
        <v>59213980</v>
      </c>
      <c r="C303">
        <v>59213780</v>
      </c>
      <c r="D303">
        <v>58332289</v>
      </c>
      <c r="E303">
        <v>1</v>
      </c>
      <c r="F303">
        <v>1</v>
      </c>
      <c r="G303">
        <v>1080</v>
      </c>
      <c r="H303">
        <v>3</v>
      </c>
      <c r="I303" t="s">
        <v>430</v>
      </c>
      <c r="J303" t="s">
        <v>431</v>
      </c>
      <c r="K303" t="s">
        <v>432</v>
      </c>
      <c r="L303">
        <v>1356</v>
      </c>
      <c r="N303">
        <v>1010</v>
      </c>
      <c r="O303" t="s">
        <v>426</v>
      </c>
      <c r="P303" t="s">
        <v>426</v>
      </c>
      <c r="Q303">
        <v>1000</v>
      </c>
      <c r="X303">
        <v>8.0000000000000002E-3</v>
      </c>
      <c r="Y303">
        <v>614.09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25</v>
      </c>
      <c r="AG303">
        <v>8.0000000000000002E-3</v>
      </c>
      <c r="AH303">
        <v>2</v>
      </c>
      <c r="AI303">
        <v>59213789</v>
      </c>
      <c r="AJ303">
        <v>277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ROW(Source!A212)</f>
        <v>212</v>
      </c>
      <c r="B304">
        <v>59213981</v>
      </c>
      <c r="C304">
        <v>59213780</v>
      </c>
      <c r="D304">
        <v>58281874</v>
      </c>
      <c r="E304">
        <v>1080</v>
      </c>
      <c r="F304">
        <v>1</v>
      </c>
      <c r="G304">
        <v>1080</v>
      </c>
      <c r="H304">
        <v>3</v>
      </c>
      <c r="I304" t="s">
        <v>485</v>
      </c>
      <c r="J304" t="s">
        <v>3</v>
      </c>
      <c r="K304" t="s">
        <v>486</v>
      </c>
      <c r="L304">
        <v>1303</v>
      </c>
      <c r="N304">
        <v>1003</v>
      </c>
      <c r="O304" t="s">
        <v>256</v>
      </c>
      <c r="P304" t="s">
        <v>256</v>
      </c>
      <c r="Q304">
        <v>1000</v>
      </c>
      <c r="X304">
        <v>0.10299999999999999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25</v>
      </c>
      <c r="AG304">
        <v>0.10299999999999999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ROW(Source!A213)</f>
        <v>213</v>
      </c>
      <c r="B305">
        <v>59213972</v>
      </c>
      <c r="C305">
        <v>59213780</v>
      </c>
      <c r="D305">
        <v>58266404</v>
      </c>
      <c r="E305">
        <v>1080</v>
      </c>
      <c r="F305">
        <v>1</v>
      </c>
      <c r="G305">
        <v>1080</v>
      </c>
      <c r="H305">
        <v>1</v>
      </c>
      <c r="I305" t="s">
        <v>331</v>
      </c>
      <c r="J305" t="s">
        <v>3</v>
      </c>
      <c r="K305" t="s">
        <v>332</v>
      </c>
      <c r="L305">
        <v>1191</v>
      </c>
      <c r="N305">
        <v>1013</v>
      </c>
      <c r="O305" t="s">
        <v>333</v>
      </c>
      <c r="P305" t="s">
        <v>333</v>
      </c>
      <c r="Q305">
        <v>1</v>
      </c>
      <c r="X305">
        <v>4.49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26</v>
      </c>
      <c r="AG305">
        <v>4.9390000000000009</v>
      </c>
      <c r="AH305">
        <v>2</v>
      </c>
      <c r="AI305">
        <v>59213781</v>
      </c>
      <c r="AJ305">
        <v>279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ROW(Source!A213)</f>
        <v>213</v>
      </c>
      <c r="B306">
        <v>59213973</v>
      </c>
      <c r="C306">
        <v>59213780</v>
      </c>
      <c r="D306">
        <v>58340578</v>
      </c>
      <c r="E306">
        <v>1</v>
      </c>
      <c r="F306">
        <v>1</v>
      </c>
      <c r="G306">
        <v>1080</v>
      </c>
      <c r="H306">
        <v>2</v>
      </c>
      <c r="I306" t="s">
        <v>334</v>
      </c>
      <c r="J306" t="s">
        <v>335</v>
      </c>
      <c r="K306" t="s">
        <v>336</v>
      </c>
      <c r="L306">
        <v>1368</v>
      </c>
      <c r="N306">
        <v>1011</v>
      </c>
      <c r="O306" t="s">
        <v>337</v>
      </c>
      <c r="P306" t="s">
        <v>337</v>
      </c>
      <c r="Q306">
        <v>1</v>
      </c>
      <c r="X306">
        <v>0.01</v>
      </c>
      <c r="Y306">
        <v>0</v>
      </c>
      <c r="Z306">
        <v>83.1</v>
      </c>
      <c r="AA306">
        <v>12.62</v>
      </c>
      <c r="AB306">
        <v>0</v>
      </c>
      <c r="AC306">
        <v>0</v>
      </c>
      <c r="AD306">
        <v>1</v>
      </c>
      <c r="AE306">
        <v>0</v>
      </c>
      <c r="AF306" t="s">
        <v>26</v>
      </c>
      <c r="AG306">
        <v>1.1000000000000001E-2</v>
      </c>
      <c r="AH306">
        <v>2</v>
      </c>
      <c r="AI306">
        <v>59213782</v>
      </c>
      <c r="AJ306">
        <v>280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ROW(Source!A213)</f>
        <v>213</v>
      </c>
      <c r="B307">
        <v>59213974</v>
      </c>
      <c r="C307">
        <v>59213780</v>
      </c>
      <c r="D307">
        <v>58339814</v>
      </c>
      <c r="E307">
        <v>1</v>
      </c>
      <c r="F307">
        <v>1</v>
      </c>
      <c r="G307">
        <v>1080</v>
      </c>
      <c r="H307">
        <v>2</v>
      </c>
      <c r="I307" t="s">
        <v>411</v>
      </c>
      <c r="J307" t="s">
        <v>412</v>
      </c>
      <c r="K307" t="s">
        <v>413</v>
      </c>
      <c r="L307">
        <v>1368</v>
      </c>
      <c r="N307">
        <v>1011</v>
      </c>
      <c r="O307" t="s">
        <v>337</v>
      </c>
      <c r="P307" t="s">
        <v>337</v>
      </c>
      <c r="Q307">
        <v>1</v>
      </c>
      <c r="X307">
        <v>0.01</v>
      </c>
      <c r="Y307">
        <v>0</v>
      </c>
      <c r="Z307">
        <v>179.17</v>
      </c>
      <c r="AA307">
        <v>16.93</v>
      </c>
      <c r="AB307">
        <v>0</v>
      </c>
      <c r="AC307">
        <v>0</v>
      </c>
      <c r="AD307">
        <v>1</v>
      </c>
      <c r="AE307">
        <v>0</v>
      </c>
      <c r="AF307" t="s">
        <v>26</v>
      </c>
      <c r="AG307">
        <v>1.1000000000000001E-2</v>
      </c>
      <c r="AH307">
        <v>2</v>
      </c>
      <c r="AI307">
        <v>59213783</v>
      </c>
      <c r="AJ307">
        <v>281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ROW(Source!A213)</f>
        <v>213</v>
      </c>
      <c r="B308">
        <v>59213975</v>
      </c>
      <c r="C308">
        <v>59213780</v>
      </c>
      <c r="D308">
        <v>58309611</v>
      </c>
      <c r="E308">
        <v>1</v>
      </c>
      <c r="F308">
        <v>1</v>
      </c>
      <c r="G308">
        <v>1080</v>
      </c>
      <c r="H308">
        <v>3</v>
      </c>
      <c r="I308" t="s">
        <v>414</v>
      </c>
      <c r="J308" t="s">
        <v>415</v>
      </c>
      <c r="K308" t="s">
        <v>416</v>
      </c>
      <c r="L308">
        <v>1346</v>
      </c>
      <c r="N308">
        <v>1009</v>
      </c>
      <c r="O308" t="s">
        <v>244</v>
      </c>
      <c r="P308" t="s">
        <v>244</v>
      </c>
      <c r="Q308">
        <v>1</v>
      </c>
      <c r="X308">
        <v>0.43</v>
      </c>
      <c r="Y308">
        <v>1.38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25</v>
      </c>
      <c r="AG308">
        <v>0.43</v>
      </c>
      <c r="AH308">
        <v>2</v>
      </c>
      <c r="AI308">
        <v>59213784</v>
      </c>
      <c r="AJ308">
        <v>282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ROW(Source!A213)</f>
        <v>213</v>
      </c>
      <c r="B309">
        <v>59213976</v>
      </c>
      <c r="C309">
        <v>59213780</v>
      </c>
      <c r="D309">
        <v>58310002</v>
      </c>
      <c r="E309">
        <v>1</v>
      </c>
      <c r="F309">
        <v>1</v>
      </c>
      <c r="G309">
        <v>1080</v>
      </c>
      <c r="H309">
        <v>3</v>
      </c>
      <c r="I309" t="s">
        <v>417</v>
      </c>
      <c r="J309" t="s">
        <v>418</v>
      </c>
      <c r="K309" t="s">
        <v>419</v>
      </c>
      <c r="L309">
        <v>1346</v>
      </c>
      <c r="N309">
        <v>1009</v>
      </c>
      <c r="O309" t="s">
        <v>244</v>
      </c>
      <c r="P309" t="s">
        <v>244</v>
      </c>
      <c r="Q309">
        <v>1</v>
      </c>
      <c r="X309">
        <v>0.16</v>
      </c>
      <c r="Y309">
        <v>159.06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25</v>
      </c>
      <c r="AG309">
        <v>0.16</v>
      </c>
      <c r="AH309">
        <v>2</v>
      </c>
      <c r="AI309">
        <v>59213785</v>
      </c>
      <c r="AJ309">
        <v>283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ROW(Source!A213)</f>
        <v>213</v>
      </c>
      <c r="B310">
        <v>59213977</v>
      </c>
      <c r="C310">
        <v>59213780</v>
      </c>
      <c r="D310">
        <v>58332945</v>
      </c>
      <c r="E310">
        <v>1</v>
      </c>
      <c r="F310">
        <v>1</v>
      </c>
      <c r="G310">
        <v>1080</v>
      </c>
      <c r="H310">
        <v>3</v>
      </c>
      <c r="I310" t="s">
        <v>420</v>
      </c>
      <c r="J310" t="s">
        <v>421</v>
      </c>
      <c r="K310" t="s">
        <v>422</v>
      </c>
      <c r="L310">
        <v>1355</v>
      </c>
      <c r="N310">
        <v>1010</v>
      </c>
      <c r="O310" t="s">
        <v>227</v>
      </c>
      <c r="P310" t="s">
        <v>227</v>
      </c>
      <c r="Q310">
        <v>100</v>
      </c>
      <c r="X310">
        <v>0.05</v>
      </c>
      <c r="Y310">
        <v>68.819999999999993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25</v>
      </c>
      <c r="AG310">
        <v>0.05</v>
      </c>
      <c r="AH310">
        <v>2</v>
      </c>
      <c r="AI310">
        <v>59213786</v>
      </c>
      <c r="AJ310">
        <v>284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ROW(Source!A213)</f>
        <v>213</v>
      </c>
      <c r="B311">
        <v>59213978</v>
      </c>
      <c r="C311">
        <v>59213780</v>
      </c>
      <c r="D311">
        <v>58332956</v>
      </c>
      <c r="E311">
        <v>1</v>
      </c>
      <c r="F311">
        <v>1</v>
      </c>
      <c r="G311">
        <v>1080</v>
      </c>
      <c r="H311">
        <v>3</v>
      </c>
      <c r="I311" t="s">
        <v>423</v>
      </c>
      <c r="J311" t="s">
        <v>424</v>
      </c>
      <c r="K311" t="s">
        <v>425</v>
      </c>
      <c r="L311">
        <v>1356</v>
      </c>
      <c r="N311">
        <v>1010</v>
      </c>
      <c r="O311" t="s">
        <v>426</v>
      </c>
      <c r="P311" t="s">
        <v>426</v>
      </c>
      <c r="Q311">
        <v>1000</v>
      </c>
      <c r="X311">
        <v>1.2200000000000001E-2</v>
      </c>
      <c r="Y311">
        <v>183.4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25</v>
      </c>
      <c r="AG311">
        <v>1.2200000000000001E-2</v>
      </c>
      <c r="AH311">
        <v>2</v>
      </c>
      <c r="AI311">
        <v>59213787</v>
      </c>
      <c r="AJ311">
        <v>285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ROW(Source!A213)</f>
        <v>213</v>
      </c>
      <c r="B312">
        <v>59213979</v>
      </c>
      <c r="C312">
        <v>59213780</v>
      </c>
      <c r="D312">
        <v>58332282</v>
      </c>
      <c r="E312">
        <v>1</v>
      </c>
      <c r="F312">
        <v>1</v>
      </c>
      <c r="G312">
        <v>1080</v>
      </c>
      <c r="H312">
        <v>3</v>
      </c>
      <c r="I312" t="s">
        <v>427</v>
      </c>
      <c r="J312" t="s">
        <v>428</v>
      </c>
      <c r="K312" t="s">
        <v>429</v>
      </c>
      <c r="L312">
        <v>1354</v>
      </c>
      <c r="N312">
        <v>1010</v>
      </c>
      <c r="O312" t="s">
        <v>34</v>
      </c>
      <c r="P312" t="s">
        <v>34</v>
      </c>
      <c r="Q312">
        <v>1</v>
      </c>
      <c r="X312">
        <v>3.1</v>
      </c>
      <c r="Y312">
        <v>6.94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25</v>
      </c>
      <c r="AG312">
        <v>3.1</v>
      </c>
      <c r="AH312">
        <v>2</v>
      </c>
      <c r="AI312">
        <v>59213788</v>
      </c>
      <c r="AJ312">
        <v>286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ROW(Source!A213)</f>
        <v>213</v>
      </c>
      <c r="B313">
        <v>59213980</v>
      </c>
      <c r="C313">
        <v>59213780</v>
      </c>
      <c r="D313">
        <v>58332289</v>
      </c>
      <c r="E313">
        <v>1</v>
      </c>
      <c r="F313">
        <v>1</v>
      </c>
      <c r="G313">
        <v>1080</v>
      </c>
      <c r="H313">
        <v>3</v>
      </c>
      <c r="I313" t="s">
        <v>430</v>
      </c>
      <c r="J313" t="s">
        <v>431</v>
      </c>
      <c r="K313" t="s">
        <v>432</v>
      </c>
      <c r="L313">
        <v>1356</v>
      </c>
      <c r="N313">
        <v>1010</v>
      </c>
      <c r="O313" t="s">
        <v>426</v>
      </c>
      <c r="P313" t="s">
        <v>426</v>
      </c>
      <c r="Q313">
        <v>1000</v>
      </c>
      <c r="X313">
        <v>8.0000000000000002E-3</v>
      </c>
      <c r="Y313">
        <v>614.09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25</v>
      </c>
      <c r="AG313">
        <v>8.0000000000000002E-3</v>
      </c>
      <c r="AH313">
        <v>2</v>
      </c>
      <c r="AI313">
        <v>59213789</v>
      </c>
      <c r="AJ313">
        <v>287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ROW(Source!A213)</f>
        <v>213</v>
      </c>
      <c r="B314">
        <v>59213981</v>
      </c>
      <c r="C314">
        <v>59213780</v>
      </c>
      <c r="D314">
        <v>58281874</v>
      </c>
      <c r="E314">
        <v>1080</v>
      </c>
      <c r="F314">
        <v>1</v>
      </c>
      <c r="G314">
        <v>1080</v>
      </c>
      <c r="H314">
        <v>3</v>
      </c>
      <c r="I314" t="s">
        <v>485</v>
      </c>
      <c r="J314" t="s">
        <v>3</v>
      </c>
      <c r="K314" t="s">
        <v>486</v>
      </c>
      <c r="L314">
        <v>1303</v>
      </c>
      <c r="N314">
        <v>1003</v>
      </c>
      <c r="O314" t="s">
        <v>256</v>
      </c>
      <c r="P314" t="s">
        <v>256</v>
      </c>
      <c r="Q314">
        <v>1000</v>
      </c>
      <c r="X314">
        <v>0.10299999999999999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25</v>
      </c>
      <c r="AG314">
        <v>0.10299999999999999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ROW(Source!A216)</f>
        <v>216</v>
      </c>
      <c r="B315">
        <v>59213982</v>
      </c>
      <c r="C315">
        <v>59213802</v>
      </c>
      <c r="D315">
        <v>58266404</v>
      </c>
      <c r="E315">
        <v>1080</v>
      </c>
      <c r="F315">
        <v>1</v>
      </c>
      <c r="G315">
        <v>1080</v>
      </c>
      <c r="H315">
        <v>1</v>
      </c>
      <c r="I315" t="s">
        <v>331</v>
      </c>
      <c r="J315" t="s">
        <v>3</v>
      </c>
      <c r="K315" t="s">
        <v>332</v>
      </c>
      <c r="L315">
        <v>1191</v>
      </c>
      <c r="N315">
        <v>1013</v>
      </c>
      <c r="O315" t="s">
        <v>333</v>
      </c>
      <c r="P315" t="s">
        <v>333</v>
      </c>
      <c r="Q315">
        <v>1</v>
      </c>
      <c r="X315">
        <v>5.39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26</v>
      </c>
      <c r="AG315">
        <v>5.9290000000000003</v>
      </c>
      <c r="AH315">
        <v>2</v>
      </c>
      <c r="AI315">
        <v>59213803</v>
      </c>
      <c r="AJ315">
        <v>289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ROW(Source!A216)</f>
        <v>216</v>
      </c>
      <c r="B316">
        <v>59213983</v>
      </c>
      <c r="C316">
        <v>59213802</v>
      </c>
      <c r="D316">
        <v>58340578</v>
      </c>
      <c r="E316">
        <v>1</v>
      </c>
      <c r="F316">
        <v>1</v>
      </c>
      <c r="G316">
        <v>1080</v>
      </c>
      <c r="H316">
        <v>2</v>
      </c>
      <c r="I316" t="s">
        <v>334</v>
      </c>
      <c r="J316" t="s">
        <v>335</v>
      </c>
      <c r="K316" t="s">
        <v>336</v>
      </c>
      <c r="L316">
        <v>1368</v>
      </c>
      <c r="N316">
        <v>1011</v>
      </c>
      <c r="O316" t="s">
        <v>337</v>
      </c>
      <c r="P316" t="s">
        <v>337</v>
      </c>
      <c r="Q316">
        <v>1</v>
      </c>
      <c r="X316">
        <v>0.02</v>
      </c>
      <c r="Y316">
        <v>0</v>
      </c>
      <c r="Z316">
        <v>83.1</v>
      </c>
      <c r="AA316">
        <v>12.62</v>
      </c>
      <c r="AB316">
        <v>0</v>
      </c>
      <c r="AC316">
        <v>0</v>
      </c>
      <c r="AD316">
        <v>1</v>
      </c>
      <c r="AE316">
        <v>0</v>
      </c>
      <c r="AF316" t="s">
        <v>26</v>
      </c>
      <c r="AG316">
        <v>2.2000000000000002E-2</v>
      </c>
      <c r="AH316">
        <v>2</v>
      </c>
      <c r="AI316">
        <v>59213804</v>
      </c>
      <c r="AJ316">
        <v>290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ROW(Source!A216)</f>
        <v>216</v>
      </c>
      <c r="B317">
        <v>59213984</v>
      </c>
      <c r="C317">
        <v>59213802</v>
      </c>
      <c r="D317">
        <v>58339814</v>
      </c>
      <c r="E317">
        <v>1</v>
      </c>
      <c r="F317">
        <v>1</v>
      </c>
      <c r="G317">
        <v>1080</v>
      </c>
      <c r="H317">
        <v>2</v>
      </c>
      <c r="I317" t="s">
        <v>411</v>
      </c>
      <c r="J317" t="s">
        <v>412</v>
      </c>
      <c r="K317" t="s">
        <v>413</v>
      </c>
      <c r="L317">
        <v>1368</v>
      </c>
      <c r="N317">
        <v>1011</v>
      </c>
      <c r="O317" t="s">
        <v>337</v>
      </c>
      <c r="P317" t="s">
        <v>337</v>
      </c>
      <c r="Q317">
        <v>1</v>
      </c>
      <c r="X317">
        <v>0.02</v>
      </c>
      <c r="Y317">
        <v>0</v>
      </c>
      <c r="Z317">
        <v>179.17</v>
      </c>
      <c r="AA317">
        <v>16.93</v>
      </c>
      <c r="AB317">
        <v>0</v>
      </c>
      <c r="AC317">
        <v>0</v>
      </c>
      <c r="AD317">
        <v>1</v>
      </c>
      <c r="AE317">
        <v>0</v>
      </c>
      <c r="AF317" t="s">
        <v>26</v>
      </c>
      <c r="AG317">
        <v>2.2000000000000002E-2</v>
      </c>
      <c r="AH317">
        <v>2</v>
      </c>
      <c r="AI317">
        <v>59213805</v>
      </c>
      <c r="AJ317">
        <v>291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ROW(Source!A216)</f>
        <v>216</v>
      </c>
      <c r="B318">
        <v>59213985</v>
      </c>
      <c r="C318">
        <v>59213802</v>
      </c>
      <c r="D318">
        <v>58309611</v>
      </c>
      <c r="E318">
        <v>1</v>
      </c>
      <c r="F318">
        <v>1</v>
      </c>
      <c r="G318">
        <v>1080</v>
      </c>
      <c r="H318">
        <v>3</v>
      </c>
      <c r="I318" t="s">
        <v>414</v>
      </c>
      <c r="J318" t="s">
        <v>415</v>
      </c>
      <c r="K318" t="s">
        <v>416</v>
      </c>
      <c r="L318">
        <v>1346</v>
      </c>
      <c r="N318">
        <v>1009</v>
      </c>
      <c r="O318" t="s">
        <v>244</v>
      </c>
      <c r="P318" t="s">
        <v>244</v>
      </c>
      <c r="Q318">
        <v>1</v>
      </c>
      <c r="X318">
        <v>0.6</v>
      </c>
      <c r="Y318">
        <v>1.38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25</v>
      </c>
      <c r="AG318">
        <v>0.6</v>
      </c>
      <c r="AH318">
        <v>2</v>
      </c>
      <c r="AI318">
        <v>59213806</v>
      </c>
      <c r="AJ318">
        <v>292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ROW(Source!A216)</f>
        <v>216</v>
      </c>
      <c r="B319">
        <v>59213986</v>
      </c>
      <c r="C319">
        <v>59213802</v>
      </c>
      <c r="D319">
        <v>58310002</v>
      </c>
      <c r="E319">
        <v>1</v>
      </c>
      <c r="F319">
        <v>1</v>
      </c>
      <c r="G319">
        <v>1080</v>
      </c>
      <c r="H319">
        <v>3</v>
      </c>
      <c r="I319" t="s">
        <v>417</v>
      </c>
      <c r="J319" t="s">
        <v>418</v>
      </c>
      <c r="K319" t="s">
        <v>419</v>
      </c>
      <c r="L319">
        <v>1346</v>
      </c>
      <c r="N319">
        <v>1009</v>
      </c>
      <c r="O319" t="s">
        <v>244</v>
      </c>
      <c r="P319" t="s">
        <v>244</v>
      </c>
      <c r="Q319">
        <v>1</v>
      </c>
      <c r="X319">
        <v>0.16</v>
      </c>
      <c r="Y319">
        <v>159.06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25</v>
      </c>
      <c r="AG319">
        <v>0.16</v>
      </c>
      <c r="AH319">
        <v>2</v>
      </c>
      <c r="AI319">
        <v>59213807</v>
      </c>
      <c r="AJ319">
        <v>293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ROW(Source!A216)</f>
        <v>216</v>
      </c>
      <c r="B320">
        <v>59213987</v>
      </c>
      <c r="C320">
        <v>59213802</v>
      </c>
      <c r="D320">
        <v>58332946</v>
      </c>
      <c r="E320">
        <v>1</v>
      </c>
      <c r="F320">
        <v>1</v>
      </c>
      <c r="G320">
        <v>1080</v>
      </c>
      <c r="H320">
        <v>3</v>
      </c>
      <c r="I320" t="s">
        <v>433</v>
      </c>
      <c r="J320" t="s">
        <v>434</v>
      </c>
      <c r="K320" t="s">
        <v>435</v>
      </c>
      <c r="L320">
        <v>1355</v>
      </c>
      <c r="N320">
        <v>1010</v>
      </c>
      <c r="O320" t="s">
        <v>227</v>
      </c>
      <c r="P320" t="s">
        <v>227</v>
      </c>
      <c r="Q320">
        <v>100</v>
      </c>
      <c r="X320">
        <v>0.05</v>
      </c>
      <c r="Y320">
        <v>130.15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25</v>
      </c>
      <c r="AG320">
        <v>0.05</v>
      </c>
      <c r="AH320">
        <v>2</v>
      </c>
      <c r="AI320">
        <v>59213808</v>
      </c>
      <c r="AJ320">
        <v>294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ROW(Source!A216)</f>
        <v>216</v>
      </c>
      <c r="B321">
        <v>59213988</v>
      </c>
      <c r="C321">
        <v>59213802</v>
      </c>
      <c r="D321">
        <v>58332957</v>
      </c>
      <c r="E321">
        <v>1</v>
      </c>
      <c r="F321">
        <v>1</v>
      </c>
      <c r="G321">
        <v>1080</v>
      </c>
      <c r="H321">
        <v>3</v>
      </c>
      <c r="I321" t="s">
        <v>436</v>
      </c>
      <c r="J321" t="s">
        <v>437</v>
      </c>
      <c r="K321" t="s">
        <v>438</v>
      </c>
      <c r="L321">
        <v>1356</v>
      </c>
      <c r="N321">
        <v>1010</v>
      </c>
      <c r="O321" t="s">
        <v>426</v>
      </c>
      <c r="P321" t="s">
        <v>426</v>
      </c>
      <c r="Q321">
        <v>1000</v>
      </c>
      <c r="X321">
        <v>1.2200000000000001E-2</v>
      </c>
      <c r="Y321">
        <v>226.86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25</v>
      </c>
      <c r="AG321">
        <v>1.2200000000000001E-2</v>
      </c>
      <c r="AH321">
        <v>2</v>
      </c>
      <c r="AI321">
        <v>59213809</v>
      </c>
      <c r="AJ321">
        <v>295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ROW(Source!A216)</f>
        <v>216</v>
      </c>
      <c r="B322">
        <v>59213989</v>
      </c>
      <c r="C322">
        <v>59213802</v>
      </c>
      <c r="D322">
        <v>58332282</v>
      </c>
      <c r="E322">
        <v>1</v>
      </c>
      <c r="F322">
        <v>1</v>
      </c>
      <c r="G322">
        <v>1080</v>
      </c>
      <c r="H322">
        <v>3</v>
      </c>
      <c r="I322" t="s">
        <v>427</v>
      </c>
      <c r="J322" t="s">
        <v>428</v>
      </c>
      <c r="K322" t="s">
        <v>429</v>
      </c>
      <c r="L322">
        <v>1354</v>
      </c>
      <c r="N322">
        <v>1010</v>
      </c>
      <c r="O322" t="s">
        <v>34</v>
      </c>
      <c r="P322" t="s">
        <v>34</v>
      </c>
      <c r="Q322">
        <v>1</v>
      </c>
      <c r="X322">
        <v>3.1</v>
      </c>
      <c r="Y322">
        <v>6.94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25</v>
      </c>
      <c r="AG322">
        <v>3.1</v>
      </c>
      <c r="AH322">
        <v>2</v>
      </c>
      <c r="AI322">
        <v>59213810</v>
      </c>
      <c r="AJ322">
        <v>296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ROW(Source!A216)</f>
        <v>216</v>
      </c>
      <c r="B323">
        <v>59213990</v>
      </c>
      <c r="C323">
        <v>59213802</v>
      </c>
      <c r="D323">
        <v>58332290</v>
      </c>
      <c r="E323">
        <v>1</v>
      </c>
      <c r="F323">
        <v>1</v>
      </c>
      <c r="G323">
        <v>1080</v>
      </c>
      <c r="H323">
        <v>3</v>
      </c>
      <c r="I323" t="s">
        <v>439</v>
      </c>
      <c r="J323" t="s">
        <v>440</v>
      </c>
      <c r="K323" t="s">
        <v>441</v>
      </c>
      <c r="L323">
        <v>1356</v>
      </c>
      <c r="N323">
        <v>1010</v>
      </c>
      <c r="O323" t="s">
        <v>426</v>
      </c>
      <c r="P323" t="s">
        <v>426</v>
      </c>
      <c r="Q323">
        <v>1000</v>
      </c>
      <c r="X323">
        <v>8.0000000000000002E-3</v>
      </c>
      <c r="Y323">
        <v>614.09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25</v>
      </c>
      <c r="AG323">
        <v>8.0000000000000002E-3</v>
      </c>
      <c r="AH323">
        <v>2</v>
      </c>
      <c r="AI323">
        <v>59213811</v>
      </c>
      <c r="AJ323">
        <v>297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ROW(Source!A216)</f>
        <v>216</v>
      </c>
      <c r="B324">
        <v>59213991</v>
      </c>
      <c r="C324">
        <v>59213802</v>
      </c>
      <c r="D324">
        <v>58281874</v>
      </c>
      <c r="E324">
        <v>1080</v>
      </c>
      <c r="F324">
        <v>1</v>
      </c>
      <c r="G324">
        <v>1080</v>
      </c>
      <c r="H324">
        <v>3</v>
      </c>
      <c r="I324" t="s">
        <v>485</v>
      </c>
      <c r="J324" t="s">
        <v>3</v>
      </c>
      <c r="K324" t="s">
        <v>486</v>
      </c>
      <c r="L324">
        <v>1303</v>
      </c>
      <c r="N324">
        <v>1003</v>
      </c>
      <c r="O324" t="s">
        <v>256</v>
      </c>
      <c r="P324" t="s">
        <v>256</v>
      </c>
      <c r="Q324">
        <v>1000</v>
      </c>
      <c r="X324">
        <v>0.10299999999999999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25</v>
      </c>
      <c r="AG324">
        <v>0.10299999999999999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ROW(Source!A217)</f>
        <v>217</v>
      </c>
      <c r="B325">
        <v>59213982</v>
      </c>
      <c r="C325">
        <v>59213802</v>
      </c>
      <c r="D325">
        <v>58266404</v>
      </c>
      <c r="E325">
        <v>1080</v>
      </c>
      <c r="F325">
        <v>1</v>
      </c>
      <c r="G325">
        <v>1080</v>
      </c>
      <c r="H325">
        <v>1</v>
      </c>
      <c r="I325" t="s">
        <v>331</v>
      </c>
      <c r="J325" t="s">
        <v>3</v>
      </c>
      <c r="K325" t="s">
        <v>332</v>
      </c>
      <c r="L325">
        <v>1191</v>
      </c>
      <c r="N325">
        <v>1013</v>
      </c>
      <c r="O325" t="s">
        <v>333</v>
      </c>
      <c r="P325" t="s">
        <v>333</v>
      </c>
      <c r="Q325">
        <v>1</v>
      </c>
      <c r="X325">
        <v>5.39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26</v>
      </c>
      <c r="AG325">
        <v>5.9290000000000003</v>
      </c>
      <c r="AH325">
        <v>2</v>
      </c>
      <c r="AI325">
        <v>59213803</v>
      </c>
      <c r="AJ325">
        <v>299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ROW(Source!A217)</f>
        <v>217</v>
      </c>
      <c r="B326">
        <v>59213983</v>
      </c>
      <c r="C326">
        <v>59213802</v>
      </c>
      <c r="D326">
        <v>58340578</v>
      </c>
      <c r="E326">
        <v>1</v>
      </c>
      <c r="F326">
        <v>1</v>
      </c>
      <c r="G326">
        <v>1080</v>
      </c>
      <c r="H326">
        <v>2</v>
      </c>
      <c r="I326" t="s">
        <v>334</v>
      </c>
      <c r="J326" t="s">
        <v>335</v>
      </c>
      <c r="K326" t="s">
        <v>336</v>
      </c>
      <c r="L326">
        <v>1368</v>
      </c>
      <c r="N326">
        <v>1011</v>
      </c>
      <c r="O326" t="s">
        <v>337</v>
      </c>
      <c r="P326" t="s">
        <v>337</v>
      </c>
      <c r="Q326">
        <v>1</v>
      </c>
      <c r="X326">
        <v>0.02</v>
      </c>
      <c r="Y326">
        <v>0</v>
      </c>
      <c r="Z326">
        <v>83.1</v>
      </c>
      <c r="AA326">
        <v>12.62</v>
      </c>
      <c r="AB326">
        <v>0</v>
      </c>
      <c r="AC326">
        <v>0</v>
      </c>
      <c r="AD326">
        <v>1</v>
      </c>
      <c r="AE326">
        <v>0</v>
      </c>
      <c r="AF326" t="s">
        <v>26</v>
      </c>
      <c r="AG326">
        <v>2.2000000000000002E-2</v>
      </c>
      <c r="AH326">
        <v>2</v>
      </c>
      <c r="AI326">
        <v>59213804</v>
      </c>
      <c r="AJ326">
        <v>300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ROW(Source!A217)</f>
        <v>217</v>
      </c>
      <c r="B327">
        <v>59213984</v>
      </c>
      <c r="C327">
        <v>59213802</v>
      </c>
      <c r="D327">
        <v>58339814</v>
      </c>
      <c r="E327">
        <v>1</v>
      </c>
      <c r="F327">
        <v>1</v>
      </c>
      <c r="G327">
        <v>1080</v>
      </c>
      <c r="H327">
        <v>2</v>
      </c>
      <c r="I327" t="s">
        <v>411</v>
      </c>
      <c r="J327" t="s">
        <v>412</v>
      </c>
      <c r="K327" t="s">
        <v>413</v>
      </c>
      <c r="L327">
        <v>1368</v>
      </c>
      <c r="N327">
        <v>1011</v>
      </c>
      <c r="O327" t="s">
        <v>337</v>
      </c>
      <c r="P327" t="s">
        <v>337</v>
      </c>
      <c r="Q327">
        <v>1</v>
      </c>
      <c r="X327">
        <v>0.02</v>
      </c>
      <c r="Y327">
        <v>0</v>
      </c>
      <c r="Z327">
        <v>179.17</v>
      </c>
      <c r="AA327">
        <v>16.93</v>
      </c>
      <c r="AB327">
        <v>0</v>
      </c>
      <c r="AC327">
        <v>0</v>
      </c>
      <c r="AD327">
        <v>1</v>
      </c>
      <c r="AE327">
        <v>0</v>
      </c>
      <c r="AF327" t="s">
        <v>26</v>
      </c>
      <c r="AG327">
        <v>2.2000000000000002E-2</v>
      </c>
      <c r="AH327">
        <v>2</v>
      </c>
      <c r="AI327">
        <v>59213805</v>
      </c>
      <c r="AJ327">
        <v>301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ROW(Source!A217)</f>
        <v>217</v>
      </c>
      <c r="B328">
        <v>59213985</v>
      </c>
      <c r="C328">
        <v>59213802</v>
      </c>
      <c r="D328">
        <v>58309611</v>
      </c>
      <c r="E328">
        <v>1</v>
      </c>
      <c r="F328">
        <v>1</v>
      </c>
      <c r="G328">
        <v>1080</v>
      </c>
      <c r="H328">
        <v>3</v>
      </c>
      <c r="I328" t="s">
        <v>414</v>
      </c>
      <c r="J328" t="s">
        <v>415</v>
      </c>
      <c r="K328" t="s">
        <v>416</v>
      </c>
      <c r="L328">
        <v>1346</v>
      </c>
      <c r="N328">
        <v>1009</v>
      </c>
      <c r="O328" t="s">
        <v>244</v>
      </c>
      <c r="P328" t="s">
        <v>244</v>
      </c>
      <c r="Q328">
        <v>1</v>
      </c>
      <c r="X328">
        <v>0.6</v>
      </c>
      <c r="Y328">
        <v>1.38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25</v>
      </c>
      <c r="AG328">
        <v>0.6</v>
      </c>
      <c r="AH328">
        <v>2</v>
      </c>
      <c r="AI328">
        <v>59213806</v>
      </c>
      <c r="AJ328">
        <v>302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ROW(Source!A217)</f>
        <v>217</v>
      </c>
      <c r="B329">
        <v>59213986</v>
      </c>
      <c r="C329">
        <v>59213802</v>
      </c>
      <c r="D329">
        <v>58310002</v>
      </c>
      <c r="E329">
        <v>1</v>
      </c>
      <c r="F329">
        <v>1</v>
      </c>
      <c r="G329">
        <v>1080</v>
      </c>
      <c r="H329">
        <v>3</v>
      </c>
      <c r="I329" t="s">
        <v>417</v>
      </c>
      <c r="J329" t="s">
        <v>418</v>
      </c>
      <c r="K329" t="s">
        <v>419</v>
      </c>
      <c r="L329">
        <v>1346</v>
      </c>
      <c r="N329">
        <v>1009</v>
      </c>
      <c r="O329" t="s">
        <v>244</v>
      </c>
      <c r="P329" t="s">
        <v>244</v>
      </c>
      <c r="Q329">
        <v>1</v>
      </c>
      <c r="X329">
        <v>0.16</v>
      </c>
      <c r="Y329">
        <v>159.06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25</v>
      </c>
      <c r="AG329">
        <v>0.16</v>
      </c>
      <c r="AH329">
        <v>2</v>
      </c>
      <c r="AI329">
        <v>59213807</v>
      </c>
      <c r="AJ329">
        <v>303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ROW(Source!A217)</f>
        <v>217</v>
      </c>
      <c r="B330">
        <v>59213987</v>
      </c>
      <c r="C330">
        <v>59213802</v>
      </c>
      <c r="D330">
        <v>58332946</v>
      </c>
      <c r="E330">
        <v>1</v>
      </c>
      <c r="F330">
        <v>1</v>
      </c>
      <c r="G330">
        <v>1080</v>
      </c>
      <c r="H330">
        <v>3</v>
      </c>
      <c r="I330" t="s">
        <v>433</v>
      </c>
      <c r="J330" t="s">
        <v>434</v>
      </c>
      <c r="K330" t="s">
        <v>435</v>
      </c>
      <c r="L330">
        <v>1355</v>
      </c>
      <c r="N330">
        <v>1010</v>
      </c>
      <c r="O330" t="s">
        <v>227</v>
      </c>
      <c r="P330" t="s">
        <v>227</v>
      </c>
      <c r="Q330">
        <v>100</v>
      </c>
      <c r="X330">
        <v>0.05</v>
      </c>
      <c r="Y330">
        <v>130.15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25</v>
      </c>
      <c r="AG330">
        <v>0.05</v>
      </c>
      <c r="AH330">
        <v>2</v>
      </c>
      <c r="AI330">
        <v>59213808</v>
      </c>
      <c r="AJ330">
        <v>304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ROW(Source!A217)</f>
        <v>217</v>
      </c>
      <c r="B331">
        <v>59213988</v>
      </c>
      <c r="C331">
        <v>59213802</v>
      </c>
      <c r="D331">
        <v>58332957</v>
      </c>
      <c r="E331">
        <v>1</v>
      </c>
      <c r="F331">
        <v>1</v>
      </c>
      <c r="G331">
        <v>1080</v>
      </c>
      <c r="H331">
        <v>3</v>
      </c>
      <c r="I331" t="s">
        <v>436</v>
      </c>
      <c r="J331" t="s">
        <v>437</v>
      </c>
      <c r="K331" t="s">
        <v>438</v>
      </c>
      <c r="L331">
        <v>1356</v>
      </c>
      <c r="N331">
        <v>1010</v>
      </c>
      <c r="O331" t="s">
        <v>426</v>
      </c>
      <c r="P331" t="s">
        <v>426</v>
      </c>
      <c r="Q331">
        <v>1000</v>
      </c>
      <c r="X331">
        <v>1.2200000000000001E-2</v>
      </c>
      <c r="Y331">
        <v>226.86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25</v>
      </c>
      <c r="AG331">
        <v>1.2200000000000001E-2</v>
      </c>
      <c r="AH331">
        <v>2</v>
      </c>
      <c r="AI331">
        <v>59213809</v>
      </c>
      <c r="AJ331">
        <v>305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ROW(Source!A217)</f>
        <v>217</v>
      </c>
      <c r="B332">
        <v>59213989</v>
      </c>
      <c r="C332">
        <v>59213802</v>
      </c>
      <c r="D332">
        <v>58332282</v>
      </c>
      <c r="E332">
        <v>1</v>
      </c>
      <c r="F332">
        <v>1</v>
      </c>
      <c r="G332">
        <v>1080</v>
      </c>
      <c r="H332">
        <v>3</v>
      </c>
      <c r="I332" t="s">
        <v>427</v>
      </c>
      <c r="J332" t="s">
        <v>428</v>
      </c>
      <c r="K332" t="s">
        <v>429</v>
      </c>
      <c r="L332">
        <v>1354</v>
      </c>
      <c r="N332">
        <v>1010</v>
      </c>
      <c r="O332" t="s">
        <v>34</v>
      </c>
      <c r="P332" t="s">
        <v>34</v>
      </c>
      <c r="Q332">
        <v>1</v>
      </c>
      <c r="X332">
        <v>3.1</v>
      </c>
      <c r="Y332">
        <v>6.94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25</v>
      </c>
      <c r="AG332">
        <v>3.1</v>
      </c>
      <c r="AH332">
        <v>2</v>
      </c>
      <c r="AI332">
        <v>59213810</v>
      </c>
      <c r="AJ332">
        <v>306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ROW(Source!A217)</f>
        <v>217</v>
      </c>
      <c r="B333">
        <v>59213990</v>
      </c>
      <c r="C333">
        <v>59213802</v>
      </c>
      <c r="D333">
        <v>58332290</v>
      </c>
      <c r="E333">
        <v>1</v>
      </c>
      <c r="F333">
        <v>1</v>
      </c>
      <c r="G333">
        <v>1080</v>
      </c>
      <c r="H333">
        <v>3</v>
      </c>
      <c r="I333" t="s">
        <v>439</v>
      </c>
      <c r="J333" t="s">
        <v>440</v>
      </c>
      <c r="K333" t="s">
        <v>441</v>
      </c>
      <c r="L333">
        <v>1356</v>
      </c>
      <c r="N333">
        <v>1010</v>
      </c>
      <c r="O333" t="s">
        <v>426</v>
      </c>
      <c r="P333" t="s">
        <v>426</v>
      </c>
      <c r="Q333">
        <v>1000</v>
      </c>
      <c r="X333">
        <v>8.0000000000000002E-3</v>
      </c>
      <c r="Y333">
        <v>614.09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25</v>
      </c>
      <c r="AG333">
        <v>8.0000000000000002E-3</v>
      </c>
      <c r="AH333">
        <v>2</v>
      </c>
      <c r="AI333">
        <v>59213811</v>
      </c>
      <c r="AJ333">
        <v>307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ROW(Source!A217)</f>
        <v>217</v>
      </c>
      <c r="B334">
        <v>59213991</v>
      </c>
      <c r="C334">
        <v>59213802</v>
      </c>
      <c r="D334">
        <v>58281874</v>
      </c>
      <c r="E334">
        <v>1080</v>
      </c>
      <c r="F334">
        <v>1</v>
      </c>
      <c r="G334">
        <v>1080</v>
      </c>
      <c r="H334">
        <v>3</v>
      </c>
      <c r="I334" t="s">
        <v>485</v>
      </c>
      <c r="J334" t="s">
        <v>3</v>
      </c>
      <c r="K334" t="s">
        <v>486</v>
      </c>
      <c r="L334">
        <v>1303</v>
      </c>
      <c r="N334">
        <v>1003</v>
      </c>
      <c r="O334" t="s">
        <v>256</v>
      </c>
      <c r="P334" t="s">
        <v>256</v>
      </c>
      <c r="Q334">
        <v>1000</v>
      </c>
      <c r="X334">
        <v>0.10299999999999999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25</v>
      </c>
      <c r="AG334">
        <v>0.10299999999999999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25</v>
      </c>
      <c r="E1" t="s">
        <v>26</v>
      </c>
      <c r="F1" t="s">
        <v>26</v>
      </c>
      <c r="G1" t="s">
        <v>26</v>
      </c>
      <c r="H1" t="s">
        <v>3</v>
      </c>
      <c r="I1" t="s">
        <v>26</v>
      </c>
      <c r="J1" t="s">
        <v>26</v>
      </c>
      <c r="K1" t="s">
        <v>3</v>
      </c>
      <c r="L1" t="s">
        <v>3</v>
      </c>
      <c r="M1" t="s">
        <v>3</v>
      </c>
      <c r="N1" t="s">
        <v>25</v>
      </c>
      <c r="O1" t="s">
        <v>26</v>
      </c>
      <c r="P1" t="s">
        <v>3</v>
      </c>
      <c r="Q1" t="s">
        <v>3</v>
      </c>
      <c r="R1" t="s">
        <v>3</v>
      </c>
      <c r="S1" t="s">
        <v>489</v>
      </c>
      <c r="T1" t="s">
        <v>491</v>
      </c>
      <c r="U1" t="s">
        <v>490</v>
      </c>
    </row>
    <row r="2" spans="1:21" x14ac:dyDescent="0.2">
      <c r="A2">
        <v>29</v>
      </c>
      <c r="B2">
        <v>1</v>
      </c>
      <c r="C2" t="s">
        <v>3</v>
      </c>
      <c r="D2" t="s">
        <v>25</v>
      </c>
      <c r="E2" t="s">
        <v>26</v>
      </c>
      <c r="F2" t="s">
        <v>26</v>
      </c>
      <c r="G2" t="s">
        <v>26</v>
      </c>
      <c r="H2" t="s">
        <v>3</v>
      </c>
      <c r="I2" t="s">
        <v>26</v>
      </c>
      <c r="J2" t="s">
        <v>26</v>
      </c>
      <c r="K2" t="s">
        <v>3</v>
      </c>
      <c r="L2" t="s">
        <v>3</v>
      </c>
      <c r="M2" t="s">
        <v>3</v>
      </c>
      <c r="N2" t="s">
        <v>25</v>
      </c>
      <c r="O2" t="s">
        <v>26</v>
      </c>
      <c r="P2" t="s">
        <v>3</v>
      </c>
      <c r="Q2" t="s">
        <v>3</v>
      </c>
      <c r="R2" t="s">
        <v>3</v>
      </c>
      <c r="S2" t="s">
        <v>489</v>
      </c>
      <c r="T2" t="s">
        <v>491</v>
      </c>
      <c r="U2" t="s">
        <v>490</v>
      </c>
    </row>
    <row r="3" spans="1:21" x14ac:dyDescent="0.2">
      <c r="A3">
        <v>32</v>
      </c>
      <c r="B3">
        <v>1</v>
      </c>
      <c r="C3" t="s">
        <v>3</v>
      </c>
      <c r="D3" t="s">
        <v>25</v>
      </c>
      <c r="E3" t="s">
        <v>26</v>
      </c>
      <c r="F3" t="s">
        <v>26</v>
      </c>
      <c r="G3" t="s">
        <v>26</v>
      </c>
      <c r="H3" t="s">
        <v>3</v>
      </c>
      <c r="I3" t="s">
        <v>26</v>
      </c>
      <c r="J3" t="s">
        <v>26</v>
      </c>
      <c r="K3" t="s">
        <v>3</v>
      </c>
      <c r="L3" t="s">
        <v>3</v>
      </c>
      <c r="M3" t="s">
        <v>3</v>
      </c>
      <c r="N3" t="s">
        <v>25</v>
      </c>
      <c r="O3" t="s">
        <v>26</v>
      </c>
      <c r="P3" t="s">
        <v>3</v>
      </c>
      <c r="Q3" t="s">
        <v>3</v>
      </c>
      <c r="R3" t="s">
        <v>3</v>
      </c>
      <c r="S3" t="s">
        <v>489</v>
      </c>
      <c r="T3" t="s">
        <v>491</v>
      </c>
      <c r="U3" t="s">
        <v>490</v>
      </c>
    </row>
    <row r="4" spans="1:21" x14ac:dyDescent="0.2">
      <c r="A4">
        <v>33</v>
      </c>
      <c r="B4">
        <v>1</v>
      </c>
      <c r="C4" t="s">
        <v>3</v>
      </c>
      <c r="D4" t="s">
        <v>25</v>
      </c>
      <c r="E4" t="s">
        <v>26</v>
      </c>
      <c r="F4" t="s">
        <v>26</v>
      </c>
      <c r="G4" t="s">
        <v>26</v>
      </c>
      <c r="H4" t="s">
        <v>3</v>
      </c>
      <c r="I4" t="s">
        <v>26</v>
      </c>
      <c r="J4" t="s">
        <v>26</v>
      </c>
      <c r="K4" t="s">
        <v>3</v>
      </c>
      <c r="L4" t="s">
        <v>3</v>
      </c>
      <c r="M4" t="s">
        <v>3</v>
      </c>
      <c r="N4" t="s">
        <v>25</v>
      </c>
      <c r="O4" t="s">
        <v>26</v>
      </c>
      <c r="P4" t="s">
        <v>3</v>
      </c>
      <c r="Q4" t="s">
        <v>3</v>
      </c>
      <c r="R4" t="s">
        <v>3</v>
      </c>
      <c r="S4" t="s">
        <v>489</v>
      </c>
      <c r="T4" t="s">
        <v>491</v>
      </c>
      <c r="U4" t="s">
        <v>490</v>
      </c>
    </row>
    <row r="5" spans="1:21" x14ac:dyDescent="0.2">
      <c r="A5">
        <v>36</v>
      </c>
      <c r="B5">
        <v>1</v>
      </c>
      <c r="C5" t="s">
        <v>3</v>
      </c>
      <c r="D5" t="s">
        <v>25</v>
      </c>
      <c r="E5" t="s">
        <v>26</v>
      </c>
      <c r="F5" t="s">
        <v>26</v>
      </c>
      <c r="G5" t="s">
        <v>26</v>
      </c>
      <c r="H5" t="s">
        <v>3</v>
      </c>
      <c r="I5" t="s">
        <v>26</v>
      </c>
      <c r="J5" t="s">
        <v>26</v>
      </c>
      <c r="K5" t="s">
        <v>3</v>
      </c>
      <c r="L5" t="s">
        <v>3</v>
      </c>
      <c r="M5" t="s">
        <v>3</v>
      </c>
      <c r="N5" t="s">
        <v>25</v>
      </c>
      <c r="O5" t="s">
        <v>26</v>
      </c>
      <c r="P5" t="s">
        <v>3</v>
      </c>
      <c r="Q5" t="s">
        <v>3</v>
      </c>
      <c r="R5" t="s">
        <v>3</v>
      </c>
      <c r="S5" t="s">
        <v>489</v>
      </c>
      <c r="T5" t="s">
        <v>491</v>
      </c>
      <c r="U5" t="s">
        <v>490</v>
      </c>
    </row>
    <row r="6" spans="1:21" x14ac:dyDescent="0.2">
      <c r="A6">
        <v>37</v>
      </c>
      <c r="B6">
        <v>1</v>
      </c>
      <c r="C6" t="s">
        <v>3</v>
      </c>
      <c r="D6" t="s">
        <v>25</v>
      </c>
      <c r="E6" t="s">
        <v>26</v>
      </c>
      <c r="F6" t="s">
        <v>26</v>
      </c>
      <c r="G6" t="s">
        <v>26</v>
      </c>
      <c r="H6" t="s">
        <v>3</v>
      </c>
      <c r="I6" t="s">
        <v>26</v>
      </c>
      <c r="J6" t="s">
        <v>26</v>
      </c>
      <c r="K6" t="s">
        <v>3</v>
      </c>
      <c r="L6" t="s">
        <v>3</v>
      </c>
      <c r="M6" t="s">
        <v>3</v>
      </c>
      <c r="N6" t="s">
        <v>25</v>
      </c>
      <c r="O6" t="s">
        <v>26</v>
      </c>
      <c r="P6" t="s">
        <v>3</v>
      </c>
      <c r="Q6" t="s">
        <v>3</v>
      </c>
      <c r="R6" t="s">
        <v>3</v>
      </c>
      <c r="S6" t="s">
        <v>489</v>
      </c>
      <c r="T6" t="s">
        <v>491</v>
      </c>
      <c r="U6" t="s">
        <v>490</v>
      </c>
    </row>
    <row r="7" spans="1:21" x14ac:dyDescent="0.2">
      <c r="A7">
        <v>40</v>
      </c>
      <c r="B7">
        <v>1</v>
      </c>
      <c r="C7" t="s">
        <v>3</v>
      </c>
      <c r="D7" t="s">
        <v>25</v>
      </c>
      <c r="E7" t="s">
        <v>26</v>
      </c>
      <c r="F7" t="s">
        <v>26</v>
      </c>
      <c r="G7" t="s">
        <v>26</v>
      </c>
      <c r="H7" t="s">
        <v>3</v>
      </c>
      <c r="I7" t="s">
        <v>26</v>
      </c>
      <c r="J7" t="s">
        <v>26</v>
      </c>
      <c r="K7" t="s">
        <v>3</v>
      </c>
      <c r="L7" t="s">
        <v>3</v>
      </c>
      <c r="M7" t="s">
        <v>3</v>
      </c>
      <c r="N7" t="s">
        <v>25</v>
      </c>
      <c r="O7" t="s">
        <v>26</v>
      </c>
      <c r="P7" t="s">
        <v>3</v>
      </c>
      <c r="Q7" t="s">
        <v>3</v>
      </c>
      <c r="R7" t="s">
        <v>3</v>
      </c>
      <c r="S7" t="s">
        <v>489</v>
      </c>
      <c r="T7" t="s">
        <v>491</v>
      </c>
      <c r="U7" t="s">
        <v>490</v>
      </c>
    </row>
    <row r="8" spans="1:21" x14ac:dyDescent="0.2">
      <c r="A8">
        <v>41</v>
      </c>
      <c r="B8">
        <v>1</v>
      </c>
      <c r="C8" t="s">
        <v>3</v>
      </c>
      <c r="D8" t="s">
        <v>25</v>
      </c>
      <c r="E8" t="s">
        <v>26</v>
      </c>
      <c r="F8" t="s">
        <v>26</v>
      </c>
      <c r="G8" t="s">
        <v>26</v>
      </c>
      <c r="H8" t="s">
        <v>3</v>
      </c>
      <c r="I8" t="s">
        <v>26</v>
      </c>
      <c r="J8" t="s">
        <v>26</v>
      </c>
      <c r="K8" t="s">
        <v>3</v>
      </c>
      <c r="L8" t="s">
        <v>3</v>
      </c>
      <c r="M8" t="s">
        <v>3</v>
      </c>
      <c r="N8" t="s">
        <v>25</v>
      </c>
      <c r="O8" t="s">
        <v>26</v>
      </c>
      <c r="P8" t="s">
        <v>3</v>
      </c>
      <c r="Q8" t="s">
        <v>3</v>
      </c>
      <c r="R8" t="s">
        <v>3</v>
      </c>
      <c r="S8" t="s">
        <v>489</v>
      </c>
      <c r="T8" t="s">
        <v>491</v>
      </c>
      <c r="U8" t="s">
        <v>490</v>
      </c>
    </row>
    <row r="9" spans="1:21" x14ac:dyDescent="0.2">
      <c r="A9">
        <v>44</v>
      </c>
      <c r="B9">
        <v>1</v>
      </c>
      <c r="C9" t="s">
        <v>3</v>
      </c>
      <c r="D9" t="s">
        <v>25</v>
      </c>
      <c r="E9" t="s">
        <v>26</v>
      </c>
      <c r="F9" t="s">
        <v>26</v>
      </c>
      <c r="G9" t="s">
        <v>26</v>
      </c>
      <c r="H9" t="s">
        <v>3</v>
      </c>
      <c r="I9" t="s">
        <v>26</v>
      </c>
      <c r="J9" t="s">
        <v>26</v>
      </c>
      <c r="K9" t="s">
        <v>3</v>
      </c>
      <c r="L9" t="s">
        <v>3</v>
      </c>
      <c r="M9" t="s">
        <v>3</v>
      </c>
      <c r="N9" t="s">
        <v>25</v>
      </c>
      <c r="O9" t="s">
        <v>26</v>
      </c>
      <c r="P9" t="s">
        <v>3</v>
      </c>
      <c r="Q9" t="s">
        <v>3</v>
      </c>
      <c r="R9" t="s">
        <v>3</v>
      </c>
      <c r="S9" t="s">
        <v>489</v>
      </c>
      <c r="T9" t="s">
        <v>491</v>
      </c>
      <c r="U9" t="s">
        <v>490</v>
      </c>
    </row>
    <row r="10" spans="1:21" x14ac:dyDescent="0.2">
      <c r="A10">
        <v>45</v>
      </c>
      <c r="B10">
        <v>1</v>
      </c>
      <c r="C10" t="s">
        <v>3</v>
      </c>
      <c r="D10" t="s">
        <v>25</v>
      </c>
      <c r="E10" t="s">
        <v>26</v>
      </c>
      <c r="F10" t="s">
        <v>26</v>
      </c>
      <c r="G10" t="s">
        <v>26</v>
      </c>
      <c r="H10" t="s">
        <v>3</v>
      </c>
      <c r="I10" t="s">
        <v>26</v>
      </c>
      <c r="J10" t="s">
        <v>26</v>
      </c>
      <c r="K10" t="s">
        <v>3</v>
      </c>
      <c r="L10" t="s">
        <v>3</v>
      </c>
      <c r="M10" t="s">
        <v>3</v>
      </c>
      <c r="N10" t="s">
        <v>25</v>
      </c>
      <c r="O10" t="s">
        <v>26</v>
      </c>
      <c r="P10" t="s">
        <v>3</v>
      </c>
      <c r="Q10" t="s">
        <v>3</v>
      </c>
      <c r="R10" t="s">
        <v>3</v>
      </c>
      <c r="S10" t="s">
        <v>489</v>
      </c>
      <c r="T10" t="s">
        <v>491</v>
      </c>
      <c r="U10" t="s">
        <v>490</v>
      </c>
    </row>
    <row r="11" spans="1:21" x14ac:dyDescent="0.2">
      <c r="A11">
        <v>50</v>
      </c>
      <c r="B11">
        <v>1</v>
      </c>
      <c r="C11" t="s">
        <v>3</v>
      </c>
      <c r="D11" t="s">
        <v>25</v>
      </c>
      <c r="E11" t="s">
        <v>26</v>
      </c>
      <c r="F11" t="s">
        <v>26</v>
      </c>
      <c r="G11" t="s">
        <v>26</v>
      </c>
      <c r="H11" t="s">
        <v>3</v>
      </c>
      <c r="I11" t="s">
        <v>26</v>
      </c>
      <c r="J11" t="s">
        <v>26</v>
      </c>
      <c r="K11" t="s">
        <v>3</v>
      </c>
      <c r="L11" t="s">
        <v>3</v>
      </c>
      <c r="M11" t="s">
        <v>3</v>
      </c>
      <c r="N11" t="s">
        <v>25</v>
      </c>
      <c r="O11" t="s">
        <v>26</v>
      </c>
      <c r="P11" t="s">
        <v>3</v>
      </c>
      <c r="Q11" t="s">
        <v>3</v>
      </c>
      <c r="R11" t="s">
        <v>3</v>
      </c>
      <c r="S11" t="s">
        <v>489</v>
      </c>
      <c r="T11" t="s">
        <v>491</v>
      </c>
      <c r="U11" t="s">
        <v>490</v>
      </c>
    </row>
    <row r="12" spans="1:21" x14ac:dyDescent="0.2">
      <c r="A12">
        <v>51</v>
      </c>
      <c r="B12">
        <v>1</v>
      </c>
      <c r="C12" t="s">
        <v>3</v>
      </c>
      <c r="D12" t="s">
        <v>25</v>
      </c>
      <c r="E12" t="s">
        <v>26</v>
      </c>
      <c r="F12" t="s">
        <v>26</v>
      </c>
      <c r="G12" t="s">
        <v>26</v>
      </c>
      <c r="H12" t="s">
        <v>3</v>
      </c>
      <c r="I12" t="s">
        <v>26</v>
      </c>
      <c r="J12" t="s">
        <v>26</v>
      </c>
      <c r="K12" t="s">
        <v>3</v>
      </c>
      <c r="L12" t="s">
        <v>3</v>
      </c>
      <c r="M12" t="s">
        <v>3</v>
      </c>
      <c r="N12" t="s">
        <v>25</v>
      </c>
      <c r="O12" t="s">
        <v>26</v>
      </c>
      <c r="P12" t="s">
        <v>3</v>
      </c>
      <c r="Q12" t="s">
        <v>3</v>
      </c>
      <c r="R12" t="s">
        <v>3</v>
      </c>
      <c r="S12" t="s">
        <v>489</v>
      </c>
      <c r="T12" t="s">
        <v>491</v>
      </c>
      <c r="U12" t="s">
        <v>490</v>
      </c>
    </row>
    <row r="13" spans="1:21" x14ac:dyDescent="0.2">
      <c r="A13">
        <v>54</v>
      </c>
      <c r="B13">
        <v>1</v>
      </c>
      <c r="C13" t="s">
        <v>3</v>
      </c>
      <c r="D13" t="s">
        <v>25</v>
      </c>
      <c r="E13" t="s">
        <v>26</v>
      </c>
      <c r="F13" t="s">
        <v>26</v>
      </c>
      <c r="G13" t="s">
        <v>26</v>
      </c>
      <c r="H13" t="s">
        <v>3</v>
      </c>
      <c r="I13" t="s">
        <v>26</v>
      </c>
      <c r="J13" t="s">
        <v>26</v>
      </c>
      <c r="K13" t="s">
        <v>3</v>
      </c>
      <c r="L13" t="s">
        <v>3</v>
      </c>
      <c r="M13" t="s">
        <v>3</v>
      </c>
      <c r="N13" t="s">
        <v>25</v>
      </c>
      <c r="O13" t="s">
        <v>26</v>
      </c>
      <c r="P13" t="s">
        <v>3</v>
      </c>
      <c r="Q13" t="s">
        <v>3</v>
      </c>
      <c r="R13" t="s">
        <v>3</v>
      </c>
      <c r="S13" t="s">
        <v>489</v>
      </c>
      <c r="T13" t="s">
        <v>491</v>
      </c>
      <c r="U13" t="s">
        <v>490</v>
      </c>
    </row>
    <row r="14" spans="1:21" x14ac:dyDescent="0.2">
      <c r="A14">
        <v>55</v>
      </c>
      <c r="B14">
        <v>1</v>
      </c>
      <c r="C14" t="s">
        <v>3</v>
      </c>
      <c r="D14" t="s">
        <v>25</v>
      </c>
      <c r="E14" t="s">
        <v>26</v>
      </c>
      <c r="F14" t="s">
        <v>26</v>
      </c>
      <c r="G14" t="s">
        <v>26</v>
      </c>
      <c r="H14" t="s">
        <v>3</v>
      </c>
      <c r="I14" t="s">
        <v>26</v>
      </c>
      <c r="J14" t="s">
        <v>26</v>
      </c>
      <c r="K14" t="s">
        <v>3</v>
      </c>
      <c r="L14" t="s">
        <v>3</v>
      </c>
      <c r="M14" t="s">
        <v>3</v>
      </c>
      <c r="N14" t="s">
        <v>25</v>
      </c>
      <c r="O14" t="s">
        <v>26</v>
      </c>
      <c r="P14" t="s">
        <v>3</v>
      </c>
      <c r="Q14" t="s">
        <v>3</v>
      </c>
      <c r="R14" t="s">
        <v>3</v>
      </c>
      <c r="S14" t="s">
        <v>489</v>
      </c>
      <c r="T14" t="s">
        <v>491</v>
      </c>
      <c r="U14" t="s">
        <v>490</v>
      </c>
    </row>
    <row r="15" spans="1:21" x14ac:dyDescent="0.2">
      <c r="A15">
        <v>58</v>
      </c>
      <c r="B15">
        <v>1</v>
      </c>
      <c r="C15" t="s">
        <v>3</v>
      </c>
      <c r="D15" t="s">
        <v>25</v>
      </c>
      <c r="E15" t="s">
        <v>26</v>
      </c>
      <c r="F15" t="s">
        <v>26</v>
      </c>
      <c r="G15" t="s">
        <v>26</v>
      </c>
      <c r="H15" t="s">
        <v>3</v>
      </c>
      <c r="I15" t="s">
        <v>26</v>
      </c>
      <c r="J15" t="s">
        <v>26</v>
      </c>
      <c r="K15" t="s">
        <v>3</v>
      </c>
      <c r="L15" t="s">
        <v>3</v>
      </c>
      <c r="M15" t="s">
        <v>3</v>
      </c>
      <c r="N15" t="s">
        <v>25</v>
      </c>
      <c r="O15" t="s">
        <v>26</v>
      </c>
      <c r="P15" t="s">
        <v>3</v>
      </c>
      <c r="Q15" t="s">
        <v>3</v>
      </c>
      <c r="R15" t="s">
        <v>3</v>
      </c>
      <c r="S15" t="s">
        <v>489</v>
      </c>
      <c r="T15" t="s">
        <v>491</v>
      </c>
      <c r="U15" t="s">
        <v>490</v>
      </c>
    </row>
    <row r="16" spans="1:21" x14ac:dyDescent="0.2">
      <c r="A16">
        <v>59</v>
      </c>
      <c r="B16">
        <v>1</v>
      </c>
      <c r="C16" t="s">
        <v>3</v>
      </c>
      <c r="D16" t="s">
        <v>25</v>
      </c>
      <c r="E16" t="s">
        <v>26</v>
      </c>
      <c r="F16" t="s">
        <v>26</v>
      </c>
      <c r="G16" t="s">
        <v>26</v>
      </c>
      <c r="H16" t="s">
        <v>3</v>
      </c>
      <c r="I16" t="s">
        <v>26</v>
      </c>
      <c r="J16" t="s">
        <v>26</v>
      </c>
      <c r="K16" t="s">
        <v>3</v>
      </c>
      <c r="L16" t="s">
        <v>3</v>
      </c>
      <c r="M16" t="s">
        <v>3</v>
      </c>
      <c r="N16" t="s">
        <v>25</v>
      </c>
      <c r="O16" t="s">
        <v>26</v>
      </c>
      <c r="P16" t="s">
        <v>3</v>
      </c>
      <c r="Q16" t="s">
        <v>3</v>
      </c>
      <c r="R16" t="s">
        <v>3</v>
      </c>
      <c r="S16" t="s">
        <v>489</v>
      </c>
      <c r="T16" t="s">
        <v>491</v>
      </c>
      <c r="U16" t="s">
        <v>490</v>
      </c>
    </row>
    <row r="17" spans="1:21" x14ac:dyDescent="0.2">
      <c r="A17">
        <v>62</v>
      </c>
      <c r="B17">
        <v>1</v>
      </c>
      <c r="C17" t="s">
        <v>3</v>
      </c>
      <c r="D17" t="s">
        <v>25</v>
      </c>
      <c r="E17" t="s">
        <v>26</v>
      </c>
      <c r="F17" t="s">
        <v>26</v>
      </c>
      <c r="G17" t="s">
        <v>26</v>
      </c>
      <c r="H17" t="s">
        <v>3</v>
      </c>
      <c r="I17" t="s">
        <v>26</v>
      </c>
      <c r="J17" t="s">
        <v>26</v>
      </c>
      <c r="K17" t="s">
        <v>3</v>
      </c>
      <c r="L17" t="s">
        <v>3</v>
      </c>
      <c r="M17" t="s">
        <v>3</v>
      </c>
      <c r="N17" t="s">
        <v>25</v>
      </c>
      <c r="O17" t="s">
        <v>26</v>
      </c>
      <c r="P17" t="s">
        <v>3</v>
      </c>
      <c r="Q17" t="s">
        <v>3</v>
      </c>
      <c r="R17" t="s">
        <v>3</v>
      </c>
      <c r="S17" t="s">
        <v>489</v>
      </c>
      <c r="T17" t="s">
        <v>491</v>
      </c>
      <c r="U17" t="s">
        <v>490</v>
      </c>
    </row>
    <row r="18" spans="1:21" x14ac:dyDescent="0.2">
      <c r="A18">
        <v>63</v>
      </c>
      <c r="B18">
        <v>1</v>
      </c>
      <c r="C18" t="s">
        <v>3</v>
      </c>
      <c r="D18" t="s">
        <v>25</v>
      </c>
      <c r="E18" t="s">
        <v>26</v>
      </c>
      <c r="F18" t="s">
        <v>26</v>
      </c>
      <c r="G18" t="s">
        <v>26</v>
      </c>
      <c r="H18" t="s">
        <v>3</v>
      </c>
      <c r="I18" t="s">
        <v>26</v>
      </c>
      <c r="J18" t="s">
        <v>26</v>
      </c>
      <c r="K18" t="s">
        <v>3</v>
      </c>
      <c r="L18" t="s">
        <v>3</v>
      </c>
      <c r="M18" t="s">
        <v>3</v>
      </c>
      <c r="N18" t="s">
        <v>25</v>
      </c>
      <c r="O18" t="s">
        <v>26</v>
      </c>
      <c r="P18" t="s">
        <v>3</v>
      </c>
      <c r="Q18" t="s">
        <v>3</v>
      </c>
      <c r="R18" t="s">
        <v>3</v>
      </c>
      <c r="S18" t="s">
        <v>489</v>
      </c>
      <c r="T18" t="s">
        <v>491</v>
      </c>
      <c r="U18" t="s">
        <v>490</v>
      </c>
    </row>
    <row r="19" spans="1:21" x14ac:dyDescent="0.2">
      <c r="A19">
        <v>68</v>
      </c>
      <c r="B19">
        <v>1</v>
      </c>
      <c r="C19" t="s">
        <v>3</v>
      </c>
      <c r="D19" t="s">
        <v>25</v>
      </c>
      <c r="E19" t="s">
        <v>26</v>
      </c>
      <c r="F19" t="s">
        <v>26</v>
      </c>
      <c r="G19" t="s">
        <v>26</v>
      </c>
      <c r="H19" t="s">
        <v>3</v>
      </c>
      <c r="I19" t="s">
        <v>26</v>
      </c>
      <c r="J19" t="s">
        <v>26</v>
      </c>
      <c r="K19" t="s">
        <v>3</v>
      </c>
      <c r="L19" t="s">
        <v>3</v>
      </c>
      <c r="M19" t="s">
        <v>3</v>
      </c>
      <c r="N19" t="s">
        <v>25</v>
      </c>
      <c r="O19" t="s">
        <v>26</v>
      </c>
      <c r="P19" t="s">
        <v>3</v>
      </c>
      <c r="Q19" t="s">
        <v>3</v>
      </c>
      <c r="R19" t="s">
        <v>3</v>
      </c>
      <c r="S19" t="s">
        <v>489</v>
      </c>
      <c r="T19" t="s">
        <v>491</v>
      </c>
      <c r="U19" t="s">
        <v>490</v>
      </c>
    </row>
    <row r="20" spans="1:21" x14ac:dyDescent="0.2">
      <c r="A20">
        <v>69</v>
      </c>
      <c r="B20">
        <v>1</v>
      </c>
      <c r="C20" t="s">
        <v>3</v>
      </c>
      <c r="D20" t="s">
        <v>25</v>
      </c>
      <c r="E20" t="s">
        <v>26</v>
      </c>
      <c r="F20" t="s">
        <v>26</v>
      </c>
      <c r="G20" t="s">
        <v>26</v>
      </c>
      <c r="H20" t="s">
        <v>3</v>
      </c>
      <c r="I20" t="s">
        <v>26</v>
      </c>
      <c r="J20" t="s">
        <v>26</v>
      </c>
      <c r="K20" t="s">
        <v>3</v>
      </c>
      <c r="L20" t="s">
        <v>3</v>
      </c>
      <c r="M20" t="s">
        <v>3</v>
      </c>
      <c r="N20" t="s">
        <v>25</v>
      </c>
      <c r="O20" t="s">
        <v>26</v>
      </c>
      <c r="P20" t="s">
        <v>3</v>
      </c>
      <c r="Q20" t="s">
        <v>3</v>
      </c>
      <c r="R20" t="s">
        <v>3</v>
      </c>
      <c r="S20" t="s">
        <v>489</v>
      </c>
      <c r="T20" t="s">
        <v>491</v>
      </c>
      <c r="U20" t="s">
        <v>490</v>
      </c>
    </row>
    <row r="21" spans="1:21" x14ac:dyDescent="0.2">
      <c r="A21">
        <v>72</v>
      </c>
      <c r="B21">
        <v>1</v>
      </c>
      <c r="C21" t="s">
        <v>3</v>
      </c>
      <c r="D21" t="s">
        <v>25</v>
      </c>
      <c r="E21" t="s">
        <v>26</v>
      </c>
      <c r="F21" t="s">
        <v>26</v>
      </c>
      <c r="G21" t="s">
        <v>26</v>
      </c>
      <c r="H21" t="s">
        <v>3</v>
      </c>
      <c r="I21" t="s">
        <v>26</v>
      </c>
      <c r="J21" t="s">
        <v>26</v>
      </c>
      <c r="K21" t="s">
        <v>3</v>
      </c>
      <c r="L21" t="s">
        <v>3</v>
      </c>
      <c r="M21" t="s">
        <v>3</v>
      </c>
      <c r="N21" t="s">
        <v>25</v>
      </c>
      <c r="O21" t="s">
        <v>26</v>
      </c>
      <c r="P21" t="s">
        <v>3</v>
      </c>
      <c r="Q21" t="s">
        <v>3</v>
      </c>
      <c r="R21" t="s">
        <v>3</v>
      </c>
      <c r="S21" t="s">
        <v>489</v>
      </c>
      <c r="T21" t="s">
        <v>491</v>
      </c>
      <c r="U21" t="s">
        <v>490</v>
      </c>
    </row>
    <row r="22" spans="1:21" x14ac:dyDescent="0.2">
      <c r="A22">
        <v>73</v>
      </c>
      <c r="B22">
        <v>1</v>
      </c>
      <c r="C22" t="s">
        <v>3</v>
      </c>
      <c r="D22" t="s">
        <v>25</v>
      </c>
      <c r="E22" t="s">
        <v>26</v>
      </c>
      <c r="F22" t="s">
        <v>26</v>
      </c>
      <c r="G22" t="s">
        <v>26</v>
      </c>
      <c r="H22" t="s">
        <v>3</v>
      </c>
      <c r="I22" t="s">
        <v>26</v>
      </c>
      <c r="J22" t="s">
        <v>26</v>
      </c>
      <c r="K22" t="s">
        <v>3</v>
      </c>
      <c r="L22" t="s">
        <v>3</v>
      </c>
      <c r="M22" t="s">
        <v>3</v>
      </c>
      <c r="N22" t="s">
        <v>25</v>
      </c>
      <c r="O22" t="s">
        <v>26</v>
      </c>
      <c r="P22" t="s">
        <v>3</v>
      </c>
      <c r="Q22" t="s">
        <v>3</v>
      </c>
      <c r="R22" t="s">
        <v>3</v>
      </c>
      <c r="S22" t="s">
        <v>489</v>
      </c>
      <c r="T22" t="s">
        <v>491</v>
      </c>
      <c r="U22" t="s">
        <v>490</v>
      </c>
    </row>
    <row r="23" spans="1:21" x14ac:dyDescent="0.2">
      <c r="A23">
        <v>76</v>
      </c>
      <c r="B23">
        <v>1</v>
      </c>
      <c r="C23" t="s">
        <v>3</v>
      </c>
      <c r="D23" t="s">
        <v>25</v>
      </c>
      <c r="E23" t="s">
        <v>26</v>
      </c>
      <c r="F23" t="s">
        <v>26</v>
      </c>
      <c r="G23" t="s">
        <v>26</v>
      </c>
      <c r="H23" t="s">
        <v>3</v>
      </c>
      <c r="I23" t="s">
        <v>26</v>
      </c>
      <c r="J23" t="s">
        <v>26</v>
      </c>
      <c r="K23" t="s">
        <v>3</v>
      </c>
      <c r="L23" t="s">
        <v>3</v>
      </c>
      <c r="M23" t="s">
        <v>3</v>
      </c>
      <c r="N23" t="s">
        <v>25</v>
      </c>
      <c r="O23" t="s">
        <v>26</v>
      </c>
      <c r="P23" t="s">
        <v>3</v>
      </c>
      <c r="Q23" t="s">
        <v>3</v>
      </c>
      <c r="R23" t="s">
        <v>3</v>
      </c>
      <c r="S23" t="s">
        <v>489</v>
      </c>
      <c r="T23" t="s">
        <v>491</v>
      </c>
      <c r="U23" t="s">
        <v>490</v>
      </c>
    </row>
    <row r="24" spans="1:21" x14ac:dyDescent="0.2">
      <c r="A24">
        <v>77</v>
      </c>
      <c r="B24">
        <v>1</v>
      </c>
      <c r="C24" t="s">
        <v>3</v>
      </c>
      <c r="D24" t="s">
        <v>25</v>
      </c>
      <c r="E24" t="s">
        <v>26</v>
      </c>
      <c r="F24" t="s">
        <v>26</v>
      </c>
      <c r="G24" t="s">
        <v>26</v>
      </c>
      <c r="H24" t="s">
        <v>3</v>
      </c>
      <c r="I24" t="s">
        <v>26</v>
      </c>
      <c r="J24" t="s">
        <v>26</v>
      </c>
      <c r="K24" t="s">
        <v>3</v>
      </c>
      <c r="L24" t="s">
        <v>3</v>
      </c>
      <c r="M24" t="s">
        <v>3</v>
      </c>
      <c r="N24" t="s">
        <v>25</v>
      </c>
      <c r="O24" t="s">
        <v>26</v>
      </c>
      <c r="P24" t="s">
        <v>3</v>
      </c>
      <c r="Q24" t="s">
        <v>3</v>
      </c>
      <c r="R24" t="s">
        <v>3</v>
      </c>
      <c r="S24" t="s">
        <v>489</v>
      </c>
      <c r="T24" t="s">
        <v>491</v>
      </c>
      <c r="U24" t="s">
        <v>490</v>
      </c>
    </row>
    <row r="25" spans="1:21" x14ac:dyDescent="0.2">
      <c r="A25">
        <v>80</v>
      </c>
      <c r="B25">
        <v>1</v>
      </c>
      <c r="C25" t="s">
        <v>3</v>
      </c>
      <c r="D25" t="s">
        <v>25</v>
      </c>
      <c r="E25" t="s">
        <v>26</v>
      </c>
      <c r="F25" t="s">
        <v>26</v>
      </c>
      <c r="G25" t="s">
        <v>26</v>
      </c>
      <c r="H25" t="s">
        <v>3</v>
      </c>
      <c r="I25" t="s">
        <v>26</v>
      </c>
      <c r="J25" t="s">
        <v>26</v>
      </c>
      <c r="K25" t="s">
        <v>3</v>
      </c>
      <c r="L25" t="s">
        <v>3</v>
      </c>
      <c r="M25" t="s">
        <v>3</v>
      </c>
      <c r="N25" t="s">
        <v>25</v>
      </c>
      <c r="O25" t="s">
        <v>26</v>
      </c>
      <c r="P25" t="s">
        <v>3</v>
      </c>
      <c r="Q25" t="s">
        <v>3</v>
      </c>
      <c r="R25" t="s">
        <v>3</v>
      </c>
      <c r="S25" t="s">
        <v>489</v>
      </c>
      <c r="T25" t="s">
        <v>491</v>
      </c>
      <c r="U25" t="s">
        <v>490</v>
      </c>
    </row>
    <row r="26" spans="1:21" x14ac:dyDescent="0.2">
      <c r="A26">
        <v>81</v>
      </c>
      <c r="B26">
        <v>1</v>
      </c>
      <c r="C26" t="s">
        <v>3</v>
      </c>
      <c r="D26" t="s">
        <v>25</v>
      </c>
      <c r="E26" t="s">
        <v>26</v>
      </c>
      <c r="F26" t="s">
        <v>26</v>
      </c>
      <c r="G26" t="s">
        <v>26</v>
      </c>
      <c r="H26" t="s">
        <v>3</v>
      </c>
      <c r="I26" t="s">
        <v>26</v>
      </c>
      <c r="J26" t="s">
        <v>26</v>
      </c>
      <c r="K26" t="s">
        <v>3</v>
      </c>
      <c r="L26" t="s">
        <v>3</v>
      </c>
      <c r="M26" t="s">
        <v>3</v>
      </c>
      <c r="N26" t="s">
        <v>25</v>
      </c>
      <c r="O26" t="s">
        <v>26</v>
      </c>
      <c r="P26" t="s">
        <v>3</v>
      </c>
      <c r="Q26" t="s">
        <v>3</v>
      </c>
      <c r="R26" t="s">
        <v>3</v>
      </c>
      <c r="S26" t="s">
        <v>489</v>
      </c>
      <c r="T26" t="s">
        <v>491</v>
      </c>
      <c r="U26" t="s">
        <v>490</v>
      </c>
    </row>
    <row r="27" spans="1:21" x14ac:dyDescent="0.2">
      <c r="A27">
        <v>84</v>
      </c>
      <c r="B27">
        <v>1</v>
      </c>
      <c r="C27" t="s">
        <v>3</v>
      </c>
      <c r="D27" t="s">
        <v>25</v>
      </c>
      <c r="E27" t="s">
        <v>26</v>
      </c>
      <c r="F27" t="s">
        <v>26</v>
      </c>
      <c r="G27" t="s">
        <v>26</v>
      </c>
      <c r="H27" t="s">
        <v>3</v>
      </c>
      <c r="I27" t="s">
        <v>26</v>
      </c>
      <c r="J27" t="s">
        <v>26</v>
      </c>
      <c r="K27" t="s">
        <v>3</v>
      </c>
      <c r="L27" t="s">
        <v>3</v>
      </c>
      <c r="M27" t="s">
        <v>3</v>
      </c>
      <c r="N27" t="s">
        <v>25</v>
      </c>
      <c r="O27" t="s">
        <v>26</v>
      </c>
      <c r="P27" t="s">
        <v>3</v>
      </c>
      <c r="Q27" t="s">
        <v>3</v>
      </c>
      <c r="R27" t="s">
        <v>3</v>
      </c>
      <c r="S27" t="s">
        <v>489</v>
      </c>
      <c r="T27" t="s">
        <v>491</v>
      </c>
      <c r="U27" t="s">
        <v>490</v>
      </c>
    </row>
    <row r="28" spans="1:21" x14ac:dyDescent="0.2">
      <c r="A28">
        <v>85</v>
      </c>
      <c r="B28">
        <v>1</v>
      </c>
      <c r="C28" t="s">
        <v>3</v>
      </c>
      <c r="D28" t="s">
        <v>25</v>
      </c>
      <c r="E28" t="s">
        <v>26</v>
      </c>
      <c r="F28" t="s">
        <v>26</v>
      </c>
      <c r="G28" t="s">
        <v>26</v>
      </c>
      <c r="H28" t="s">
        <v>3</v>
      </c>
      <c r="I28" t="s">
        <v>26</v>
      </c>
      <c r="J28" t="s">
        <v>26</v>
      </c>
      <c r="K28" t="s">
        <v>3</v>
      </c>
      <c r="L28" t="s">
        <v>3</v>
      </c>
      <c r="M28" t="s">
        <v>3</v>
      </c>
      <c r="N28" t="s">
        <v>25</v>
      </c>
      <c r="O28" t="s">
        <v>26</v>
      </c>
      <c r="P28" t="s">
        <v>3</v>
      </c>
      <c r="Q28" t="s">
        <v>3</v>
      </c>
      <c r="R28" t="s">
        <v>3</v>
      </c>
      <c r="S28" t="s">
        <v>489</v>
      </c>
      <c r="T28" t="s">
        <v>491</v>
      </c>
      <c r="U28" t="s">
        <v>490</v>
      </c>
    </row>
    <row r="29" spans="1:21" x14ac:dyDescent="0.2">
      <c r="A29">
        <v>125</v>
      </c>
      <c r="B29">
        <v>1</v>
      </c>
      <c r="C29" t="s">
        <v>3</v>
      </c>
      <c r="D29" t="s">
        <v>25</v>
      </c>
      <c r="E29" t="s">
        <v>26</v>
      </c>
      <c r="F29" t="s">
        <v>26</v>
      </c>
      <c r="G29" t="s">
        <v>26</v>
      </c>
      <c r="H29" t="s">
        <v>3</v>
      </c>
      <c r="I29" t="s">
        <v>26</v>
      </c>
      <c r="J29" t="s">
        <v>26</v>
      </c>
      <c r="K29" t="s">
        <v>3</v>
      </c>
      <c r="L29" t="s">
        <v>3</v>
      </c>
      <c r="M29" t="s">
        <v>3</v>
      </c>
      <c r="N29" t="s">
        <v>25</v>
      </c>
      <c r="O29" t="s">
        <v>26</v>
      </c>
      <c r="P29" t="s">
        <v>3</v>
      </c>
      <c r="Q29" t="s">
        <v>3</v>
      </c>
      <c r="R29" t="s">
        <v>3</v>
      </c>
      <c r="S29" t="s">
        <v>489</v>
      </c>
      <c r="T29" t="s">
        <v>491</v>
      </c>
      <c r="U29" t="s">
        <v>490</v>
      </c>
    </row>
    <row r="30" spans="1:21" x14ac:dyDescent="0.2">
      <c r="A30">
        <v>126</v>
      </c>
      <c r="B30">
        <v>1</v>
      </c>
      <c r="C30" t="s">
        <v>3</v>
      </c>
      <c r="D30" t="s">
        <v>25</v>
      </c>
      <c r="E30" t="s">
        <v>26</v>
      </c>
      <c r="F30" t="s">
        <v>26</v>
      </c>
      <c r="G30" t="s">
        <v>26</v>
      </c>
      <c r="H30" t="s">
        <v>3</v>
      </c>
      <c r="I30" t="s">
        <v>26</v>
      </c>
      <c r="J30" t="s">
        <v>26</v>
      </c>
      <c r="K30" t="s">
        <v>3</v>
      </c>
      <c r="L30" t="s">
        <v>3</v>
      </c>
      <c r="M30" t="s">
        <v>3</v>
      </c>
      <c r="N30" t="s">
        <v>25</v>
      </c>
      <c r="O30" t="s">
        <v>26</v>
      </c>
      <c r="P30" t="s">
        <v>3</v>
      </c>
      <c r="Q30" t="s">
        <v>3</v>
      </c>
      <c r="R30" t="s">
        <v>3</v>
      </c>
      <c r="S30" t="s">
        <v>489</v>
      </c>
      <c r="T30" t="s">
        <v>491</v>
      </c>
      <c r="U30" t="s">
        <v>490</v>
      </c>
    </row>
    <row r="31" spans="1:21" x14ac:dyDescent="0.2">
      <c r="A31">
        <v>131</v>
      </c>
      <c r="B31">
        <v>1</v>
      </c>
      <c r="C31" t="s">
        <v>3</v>
      </c>
      <c r="D31" t="s">
        <v>25</v>
      </c>
      <c r="E31" t="s">
        <v>26</v>
      </c>
      <c r="F31" t="s">
        <v>26</v>
      </c>
      <c r="G31" t="s">
        <v>26</v>
      </c>
      <c r="H31" t="s">
        <v>3</v>
      </c>
      <c r="I31" t="s">
        <v>26</v>
      </c>
      <c r="J31" t="s">
        <v>26</v>
      </c>
      <c r="K31" t="s">
        <v>3</v>
      </c>
      <c r="L31" t="s">
        <v>3</v>
      </c>
      <c r="M31" t="s">
        <v>3</v>
      </c>
      <c r="N31" t="s">
        <v>25</v>
      </c>
      <c r="O31" t="s">
        <v>26</v>
      </c>
      <c r="P31" t="s">
        <v>3</v>
      </c>
      <c r="Q31" t="s">
        <v>3</v>
      </c>
      <c r="R31" t="s">
        <v>3</v>
      </c>
      <c r="S31" t="s">
        <v>489</v>
      </c>
      <c r="T31" t="s">
        <v>491</v>
      </c>
      <c r="U31" t="s">
        <v>490</v>
      </c>
    </row>
    <row r="32" spans="1:21" x14ac:dyDescent="0.2">
      <c r="A32">
        <v>132</v>
      </c>
      <c r="B32">
        <v>1</v>
      </c>
      <c r="C32" t="s">
        <v>3</v>
      </c>
      <c r="D32" t="s">
        <v>25</v>
      </c>
      <c r="E32" t="s">
        <v>26</v>
      </c>
      <c r="F32" t="s">
        <v>26</v>
      </c>
      <c r="G32" t="s">
        <v>26</v>
      </c>
      <c r="H32" t="s">
        <v>3</v>
      </c>
      <c r="I32" t="s">
        <v>26</v>
      </c>
      <c r="J32" t="s">
        <v>26</v>
      </c>
      <c r="K32" t="s">
        <v>3</v>
      </c>
      <c r="L32" t="s">
        <v>3</v>
      </c>
      <c r="M32" t="s">
        <v>3</v>
      </c>
      <c r="N32" t="s">
        <v>25</v>
      </c>
      <c r="O32" t="s">
        <v>26</v>
      </c>
      <c r="P32" t="s">
        <v>3</v>
      </c>
      <c r="Q32" t="s">
        <v>3</v>
      </c>
      <c r="R32" t="s">
        <v>3</v>
      </c>
      <c r="S32" t="s">
        <v>489</v>
      </c>
      <c r="T32" t="s">
        <v>491</v>
      </c>
      <c r="U32" t="s">
        <v>490</v>
      </c>
    </row>
    <row r="33" spans="1:21" x14ac:dyDescent="0.2">
      <c r="A33">
        <v>137</v>
      </c>
      <c r="B33">
        <v>1</v>
      </c>
      <c r="C33" t="s">
        <v>3</v>
      </c>
      <c r="D33" t="s">
        <v>25</v>
      </c>
      <c r="E33" t="s">
        <v>26</v>
      </c>
      <c r="F33" t="s">
        <v>26</v>
      </c>
      <c r="G33" t="s">
        <v>26</v>
      </c>
      <c r="H33" t="s">
        <v>3</v>
      </c>
      <c r="I33" t="s">
        <v>26</v>
      </c>
      <c r="J33" t="s">
        <v>26</v>
      </c>
      <c r="K33" t="s">
        <v>3</v>
      </c>
      <c r="L33" t="s">
        <v>3</v>
      </c>
      <c r="M33" t="s">
        <v>3</v>
      </c>
      <c r="N33" t="s">
        <v>25</v>
      </c>
      <c r="O33" t="s">
        <v>26</v>
      </c>
      <c r="P33" t="s">
        <v>3</v>
      </c>
      <c r="Q33" t="s">
        <v>3</v>
      </c>
      <c r="R33" t="s">
        <v>3</v>
      </c>
      <c r="S33" t="s">
        <v>489</v>
      </c>
      <c r="T33" t="s">
        <v>491</v>
      </c>
      <c r="U33" t="s">
        <v>490</v>
      </c>
    </row>
    <row r="34" spans="1:21" x14ac:dyDescent="0.2">
      <c r="A34">
        <v>138</v>
      </c>
      <c r="B34">
        <v>1</v>
      </c>
      <c r="C34" t="s">
        <v>3</v>
      </c>
      <c r="D34" t="s">
        <v>25</v>
      </c>
      <c r="E34" t="s">
        <v>26</v>
      </c>
      <c r="F34" t="s">
        <v>26</v>
      </c>
      <c r="G34" t="s">
        <v>26</v>
      </c>
      <c r="H34" t="s">
        <v>3</v>
      </c>
      <c r="I34" t="s">
        <v>26</v>
      </c>
      <c r="J34" t="s">
        <v>26</v>
      </c>
      <c r="K34" t="s">
        <v>3</v>
      </c>
      <c r="L34" t="s">
        <v>3</v>
      </c>
      <c r="M34" t="s">
        <v>3</v>
      </c>
      <c r="N34" t="s">
        <v>25</v>
      </c>
      <c r="O34" t="s">
        <v>26</v>
      </c>
      <c r="P34" t="s">
        <v>3</v>
      </c>
      <c r="Q34" t="s">
        <v>3</v>
      </c>
      <c r="R34" t="s">
        <v>3</v>
      </c>
      <c r="S34" t="s">
        <v>489</v>
      </c>
      <c r="T34" t="s">
        <v>491</v>
      </c>
      <c r="U34" t="s">
        <v>490</v>
      </c>
    </row>
    <row r="35" spans="1:21" x14ac:dyDescent="0.2">
      <c r="A35">
        <v>139</v>
      </c>
      <c r="B35">
        <v>1</v>
      </c>
      <c r="C35" t="s">
        <v>3</v>
      </c>
      <c r="D35" t="s">
        <v>25</v>
      </c>
      <c r="E35" t="s">
        <v>26</v>
      </c>
      <c r="F35" t="s">
        <v>26</v>
      </c>
      <c r="G35" t="s">
        <v>26</v>
      </c>
      <c r="H35" t="s">
        <v>3</v>
      </c>
      <c r="I35" t="s">
        <v>26</v>
      </c>
      <c r="J35" t="s">
        <v>26</v>
      </c>
      <c r="K35" t="s">
        <v>3</v>
      </c>
      <c r="L35" t="s">
        <v>3</v>
      </c>
      <c r="M35" t="s">
        <v>3</v>
      </c>
      <c r="N35" t="s">
        <v>25</v>
      </c>
      <c r="O35" t="s">
        <v>26</v>
      </c>
      <c r="P35" t="s">
        <v>3</v>
      </c>
      <c r="Q35" t="s">
        <v>3</v>
      </c>
      <c r="R35" t="s">
        <v>3</v>
      </c>
      <c r="S35" t="s">
        <v>489</v>
      </c>
      <c r="T35" t="s">
        <v>491</v>
      </c>
      <c r="U35" t="s">
        <v>490</v>
      </c>
    </row>
    <row r="36" spans="1:21" x14ac:dyDescent="0.2">
      <c r="A36">
        <v>140</v>
      </c>
      <c r="B36">
        <v>1</v>
      </c>
      <c r="C36" t="s">
        <v>3</v>
      </c>
      <c r="D36" t="s">
        <v>25</v>
      </c>
      <c r="E36" t="s">
        <v>26</v>
      </c>
      <c r="F36" t="s">
        <v>26</v>
      </c>
      <c r="G36" t="s">
        <v>26</v>
      </c>
      <c r="H36" t="s">
        <v>3</v>
      </c>
      <c r="I36" t="s">
        <v>26</v>
      </c>
      <c r="J36" t="s">
        <v>26</v>
      </c>
      <c r="K36" t="s">
        <v>3</v>
      </c>
      <c r="L36" t="s">
        <v>3</v>
      </c>
      <c r="M36" t="s">
        <v>3</v>
      </c>
      <c r="N36" t="s">
        <v>25</v>
      </c>
      <c r="O36" t="s">
        <v>26</v>
      </c>
      <c r="P36" t="s">
        <v>3</v>
      </c>
      <c r="Q36" t="s">
        <v>3</v>
      </c>
      <c r="R36" t="s">
        <v>3</v>
      </c>
      <c r="S36" t="s">
        <v>489</v>
      </c>
      <c r="T36" t="s">
        <v>491</v>
      </c>
      <c r="U36" t="s">
        <v>490</v>
      </c>
    </row>
    <row r="37" spans="1:21" x14ac:dyDescent="0.2">
      <c r="A37">
        <v>143</v>
      </c>
      <c r="B37">
        <v>1</v>
      </c>
      <c r="C37" t="s">
        <v>3</v>
      </c>
      <c r="D37" t="s">
        <v>25</v>
      </c>
      <c r="E37" t="s">
        <v>26</v>
      </c>
      <c r="F37" t="s">
        <v>26</v>
      </c>
      <c r="G37" t="s">
        <v>26</v>
      </c>
      <c r="H37" t="s">
        <v>3</v>
      </c>
      <c r="I37" t="s">
        <v>26</v>
      </c>
      <c r="J37" t="s">
        <v>26</v>
      </c>
      <c r="K37" t="s">
        <v>3</v>
      </c>
      <c r="L37" t="s">
        <v>3</v>
      </c>
      <c r="M37" t="s">
        <v>3</v>
      </c>
      <c r="N37" t="s">
        <v>25</v>
      </c>
      <c r="O37" t="s">
        <v>26</v>
      </c>
      <c r="P37" t="s">
        <v>3</v>
      </c>
      <c r="Q37" t="s">
        <v>3</v>
      </c>
      <c r="R37" t="s">
        <v>3</v>
      </c>
      <c r="S37" t="s">
        <v>489</v>
      </c>
      <c r="T37" t="s">
        <v>491</v>
      </c>
      <c r="U37" t="s">
        <v>490</v>
      </c>
    </row>
    <row r="38" spans="1:21" x14ac:dyDescent="0.2">
      <c r="A38">
        <v>144</v>
      </c>
      <c r="B38">
        <v>1</v>
      </c>
      <c r="C38" t="s">
        <v>3</v>
      </c>
      <c r="D38" t="s">
        <v>25</v>
      </c>
      <c r="E38" t="s">
        <v>26</v>
      </c>
      <c r="F38" t="s">
        <v>26</v>
      </c>
      <c r="G38" t="s">
        <v>26</v>
      </c>
      <c r="H38" t="s">
        <v>3</v>
      </c>
      <c r="I38" t="s">
        <v>26</v>
      </c>
      <c r="J38" t="s">
        <v>26</v>
      </c>
      <c r="K38" t="s">
        <v>3</v>
      </c>
      <c r="L38" t="s">
        <v>3</v>
      </c>
      <c r="M38" t="s">
        <v>3</v>
      </c>
      <c r="N38" t="s">
        <v>25</v>
      </c>
      <c r="O38" t="s">
        <v>26</v>
      </c>
      <c r="P38" t="s">
        <v>3</v>
      </c>
      <c r="Q38" t="s">
        <v>3</v>
      </c>
      <c r="R38" t="s">
        <v>3</v>
      </c>
      <c r="S38" t="s">
        <v>489</v>
      </c>
      <c r="T38" t="s">
        <v>491</v>
      </c>
      <c r="U38" t="s">
        <v>490</v>
      </c>
    </row>
    <row r="39" spans="1:21" x14ac:dyDescent="0.2">
      <c r="A39">
        <v>147</v>
      </c>
      <c r="B39">
        <v>1</v>
      </c>
      <c r="C39" t="s">
        <v>3</v>
      </c>
      <c r="D39" t="s">
        <v>25</v>
      </c>
      <c r="E39" t="s">
        <v>26</v>
      </c>
      <c r="F39" t="s">
        <v>26</v>
      </c>
      <c r="G39" t="s">
        <v>26</v>
      </c>
      <c r="H39" t="s">
        <v>3</v>
      </c>
      <c r="I39" t="s">
        <v>26</v>
      </c>
      <c r="J39" t="s">
        <v>26</v>
      </c>
      <c r="K39" t="s">
        <v>3</v>
      </c>
      <c r="L39" t="s">
        <v>3</v>
      </c>
      <c r="M39" t="s">
        <v>3</v>
      </c>
      <c r="N39" t="s">
        <v>25</v>
      </c>
      <c r="O39" t="s">
        <v>26</v>
      </c>
      <c r="P39" t="s">
        <v>3</v>
      </c>
      <c r="Q39" t="s">
        <v>3</v>
      </c>
      <c r="R39" t="s">
        <v>3</v>
      </c>
      <c r="S39" t="s">
        <v>489</v>
      </c>
      <c r="T39" t="s">
        <v>491</v>
      </c>
      <c r="U39" t="s">
        <v>490</v>
      </c>
    </row>
    <row r="40" spans="1:21" x14ac:dyDescent="0.2">
      <c r="A40">
        <v>148</v>
      </c>
      <c r="B40">
        <v>1</v>
      </c>
      <c r="C40" t="s">
        <v>3</v>
      </c>
      <c r="D40" t="s">
        <v>25</v>
      </c>
      <c r="E40" t="s">
        <v>26</v>
      </c>
      <c r="F40" t="s">
        <v>26</v>
      </c>
      <c r="G40" t="s">
        <v>26</v>
      </c>
      <c r="H40" t="s">
        <v>3</v>
      </c>
      <c r="I40" t="s">
        <v>26</v>
      </c>
      <c r="J40" t="s">
        <v>26</v>
      </c>
      <c r="K40" t="s">
        <v>3</v>
      </c>
      <c r="L40" t="s">
        <v>3</v>
      </c>
      <c r="M40" t="s">
        <v>3</v>
      </c>
      <c r="N40" t="s">
        <v>25</v>
      </c>
      <c r="O40" t="s">
        <v>26</v>
      </c>
      <c r="P40" t="s">
        <v>3</v>
      </c>
      <c r="Q40" t="s">
        <v>3</v>
      </c>
      <c r="R40" t="s">
        <v>3</v>
      </c>
      <c r="S40" t="s">
        <v>489</v>
      </c>
      <c r="T40" t="s">
        <v>491</v>
      </c>
      <c r="U40" t="s">
        <v>490</v>
      </c>
    </row>
    <row r="41" spans="1:21" x14ac:dyDescent="0.2">
      <c r="A41">
        <v>151</v>
      </c>
      <c r="B41">
        <v>1</v>
      </c>
      <c r="C41" t="s">
        <v>3</v>
      </c>
      <c r="D41" t="s">
        <v>25</v>
      </c>
      <c r="E41" t="s">
        <v>26</v>
      </c>
      <c r="F41" t="s">
        <v>26</v>
      </c>
      <c r="G41" t="s">
        <v>26</v>
      </c>
      <c r="H41" t="s">
        <v>3</v>
      </c>
      <c r="I41" t="s">
        <v>26</v>
      </c>
      <c r="J41" t="s">
        <v>26</v>
      </c>
      <c r="K41" t="s">
        <v>3</v>
      </c>
      <c r="L41" t="s">
        <v>3</v>
      </c>
      <c r="M41" t="s">
        <v>3</v>
      </c>
      <c r="N41" t="s">
        <v>25</v>
      </c>
      <c r="O41" t="s">
        <v>26</v>
      </c>
      <c r="P41" t="s">
        <v>3</v>
      </c>
      <c r="Q41" t="s">
        <v>3</v>
      </c>
      <c r="R41" t="s">
        <v>3</v>
      </c>
      <c r="S41" t="s">
        <v>489</v>
      </c>
      <c r="T41" t="s">
        <v>491</v>
      </c>
      <c r="U41" t="s">
        <v>490</v>
      </c>
    </row>
    <row r="42" spans="1:21" x14ac:dyDescent="0.2">
      <c r="A42">
        <v>152</v>
      </c>
      <c r="B42">
        <v>1</v>
      </c>
      <c r="C42" t="s">
        <v>3</v>
      </c>
      <c r="D42" t="s">
        <v>25</v>
      </c>
      <c r="E42" t="s">
        <v>26</v>
      </c>
      <c r="F42" t="s">
        <v>26</v>
      </c>
      <c r="G42" t="s">
        <v>26</v>
      </c>
      <c r="H42" t="s">
        <v>3</v>
      </c>
      <c r="I42" t="s">
        <v>26</v>
      </c>
      <c r="J42" t="s">
        <v>26</v>
      </c>
      <c r="K42" t="s">
        <v>3</v>
      </c>
      <c r="L42" t="s">
        <v>3</v>
      </c>
      <c r="M42" t="s">
        <v>3</v>
      </c>
      <c r="N42" t="s">
        <v>25</v>
      </c>
      <c r="O42" t="s">
        <v>26</v>
      </c>
      <c r="P42" t="s">
        <v>3</v>
      </c>
      <c r="Q42" t="s">
        <v>3</v>
      </c>
      <c r="R42" t="s">
        <v>3</v>
      </c>
      <c r="S42" t="s">
        <v>489</v>
      </c>
      <c r="T42" t="s">
        <v>491</v>
      </c>
      <c r="U42" t="s">
        <v>490</v>
      </c>
    </row>
    <row r="43" spans="1:21" x14ac:dyDescent="0.2">
      <c r="A43">
        <v>155</v>
      </c>
      <c r="B43">
        <v>1</v>
      </c>
      <c r="C43" t="s">
        <v>3</v>
      </c>
      <c r="D43" t="s">
        <v>25</v>
      </c>
      <c r="E43" t="s">
        <v>26</v>
      </c>
      <c r="F43" t="s">
        <v>26</v>
      </c>
      <c r="G43" t="s">
        <v>26</v>
      </c>
      <c r="H43" t="s">
        <v>3</v>
      </c>
      <c r="I43" t="s">
        <v>26</v>
      </c>
      <c r="J43" t="s">
        <v>26</v>
      </c>
      <c r="K43" t="s">
        <v>3</v>
      </c>
      <c r="L43" t="s">
        <v>3</v>
      </c>
      <c r="M43" t="s">
        <v>3</v>
      </c>
      <c r="N43" t="s">
        <v>25</v>
      </c>
      <c r="O43" t="s">
        <v>26</v>
      </c>
      <c r="P43" t="s">
        <v>3</v>
      </c>
      <c r="Q43" t="s">
        <v>3</v>
      </c>
      <c r="R43" t="s">
        <v>3</v>
      </c>
      <c r="S43" t="s">
        <v>489</v>
      </c>
      <c r="T43" t="s">
        <v>491</v>
      </c>
      <c r="U43" t="s">
        <v>490</v>
      </c>
    </row>
    <row r="44" spans="1:21" x14ac:dyDescent="0.2">
      <c r="A44">
        <v>156</v>
      </c>
      <c r="B44">
        <v>1</v>
      </c>
      <c r="C44" t="s">
        <v>3</v>
      </c>
      <c r="D44" t="s">
        <v>25</v>
      </c>
      <c r="E44" t="s">
        <v>26</v>
      </c>
      <c r="F44" t="s">
        <v>26</v>
      </c>
      <c r="G44" t="s">
        <v>26</v>
      </c>
      <c r="H44" t="s">
        <v>3</v>
      </c>
      <c r="I44" t="s">
        <v>26</v>
      </c>
      <c r="J44" t="s">
        <v>26</v>
      </c>
      <c r="K44" t="s">
        <v>3</v>
      </c>
      <c r="L44" t="s">
        <v>3</v>
      </c>
      <c r="M44" t="s">
        <v>3</v>
      </c>
      <c r="N44" t="s">
        <v>25</v>
      </c>
      <c r="O44" t="s">
        <v>26</v>
      </c>
      <c r="P44" t="s">
        <v>3</v>
      </c>
      <c r="Q44" t="s">
        <v>3</v>
      </c>
      <c r="R44" t="s">
        <v>3</v>
      </c>
      <c r="S44" t="s">
        <v>489</v>
      </c>
      <c r="T44" t="s">
        <v>491</v>
      </c>
      <c r="U44" t="s">
        <v>490</v>
      </c>
    </row>
    <row r="45" spans="1:21" x14ac:dyDescent="0.2">
      <c r="A45">
        <v>159</v>
      </c>
      <c r="B45">
        <v>1</v>
      </c>
      <c r="C45" t="s">
        <v>3</v>
      </c>
      <c r="D45" t="s">
        <v>25</v>
      </c>
      <c r="E45" t="s">
        <v>26</v>
      </c>
      <c r="F45" t="s">
        <v>26</v>
      </c>
      <c r="G45" t="s">
        <v>26</v>
      </c>
      <c r="H45" t="s">
        <v>3</v>
      </c>
      <c r="I45" t="s">
        <v>26</v>
      </c>
      <c r="J45" t="s">
        <v>26</v>
      </c>
      <c r="K45" t="s">
        <v>3</v>
      </c>
      <c r="L45" t="s">
        <v>3</v>
      </c>
      <c r="M45" t="s">
        <v>3</v>
      </c>
      <c r="N45" t="s">
        <v>25</v>
      </c>
      <c r="O45" t="s">
        <v>26</v>
      </c>
      <c r="P45" t="s">
        <v>3</v>
      </c>
      <c r="Q45" t="s">
        <v>3</v>
      </c>
      <c r="R45" t="s">
        <v>3</v>
      </c>
      <c r="S45" t="s">
        <v>489</v>
      </c>
      <c r="T45" t="s">
        <v>491</v>
      </c>
      <c r="U45" t="s">
        <v>490</v>
      </c>
    </row>
    <row r="46" spans="1:21" x14ac:dyDescent="0.2">
      <c r="A46">
        <v>160</v>
      </c>
      <c r="B46">
        <v>1</v>
      </c>
      <c r="C46" t="s">
        <v>3</v>
      </c>
      <c r="D46" t="s">
        <v>25</v>
      </c>
      <c r="E46" t="s">
        <v>26</v>
      </c>
      <c r="F46" t="s">
        <v>26</v>
      </c>
      <c r="G46" t="s">
        <v>26</v>
      </c>
      <c r="H46" t="s">
        <v>3</v>
      </c>
      <c r="I46" t="s">
        <v>26</v>
      </c>
      <c r="J46" t="s">
        <v>26</v>
      </c>
      <c r="K46" t="s">
        <v>3</v>
      </c>
      <c r="L46" t="s">
        <v>3</v>
      </c>
      <c r="M46" t="s">
        <v>3</v>
      </c>
      <c r="N46" t="s">
        <v>25</v>
      </c>
      <c r="O46" t="s">
        <v>26</v>
      </c>
      <c r="P46" t="s">
        <v>3</v>
      </c>
      <c r="Q46" t="s">
        <v>3</v>
      </c>
      <c r="R46" t="s">
        <v>3</v>
      </c>
      <c r="S46" t="s">
        <v>489</v>
      </c>
      <c r="T46" t="s">
        <v>491</v>
      </c>
      <c r="U46" t="s">
        <v>490</v>
      </c>
    </row>
    <row r="47" spans="1:21" x14ac:dyDescent="0.2">
      <c r="A47">
        <v>198</v>
      </c>
      <c r="B47">
        <v>1</v>
      </c>
      <c r="C47" t="s">
        <v>3</v>
      </c>
      <c r="D47" t="s">
        <v>25</v>
      </c>
      <c r="E47" t="s">
        <v>26</v>
      </c>
      <c r="F47" t="s">
        <v>26</v>
      </c>
      <c r="G47" t="s">
        <v>26</v>
      </c>
      <c r="H47" t="s">
        <v>3</v>
      </c>
      <c r="I47" t="s">
        <v>26</v>
      </c>
      <c r="J47" t="s">
        <v>26</v>
      </c>
      <c r="K47" t="s">
        <v>3</v>
      </c>
      <c r="L47" t="s">
        <v>3</v>
      </c>
      <c r="M47" t="s">
        <v>3</v>
      </c>
      <c r="N47" t="s">
        <v>25</v>
      </c>
      <c r="O47" t="s">
        <v>26</v>
      </c>
      <c r="P47" t="s">
        <v>3</v>
      </c>
      <c r="Q47" t="s">
        <v>3</v>
      </c>
      <c r="R47" t="s">
        <v>3</v>
      </c>
      <c r="S47" t="s">
        <v>489</v>
      </c>
      <c r="T47" t="s">
        <v>491</v>
      </c>
      <c r="U47" t="s">
        <v>490</v>
      </c>
    </row>
    <row r="48" spans="1:21" x14ac:dyDescent="0.2">
      <c r="A48">
        <v>199</v>
      </c>
      <c r="B48">
        <v>1</v>
      </c>
      <c r="C48" t="s">
        <v>3</v>
      </c>
      <c r="D48" t="s">
        <v>25</v>
      </c>
      <c r="E48" t="s">
        <v>26</v>
      </c>
      <c r="F48" t="s">
        <v>26</v>
      </c>
      <c r="G48" t="s">
        <v>26</v>
      </c>
      <c r="H48" t="s">
        <v>3</v>
      </c>
      <c r="I48" t="s">
        <v>26</v>
      </c>
      <c r="J48" t="s">
        <v>26</v>
      </c>
      <c r="K48" t="s">
        <v>3</v>
      </c>
      <c r="L48" t="s">
        <v>3</v>
      </c>
      <c r="M48" t="s">
        <v>3</v>
      </c>
      <c r="N48" t="s">
        <v>25</v>
      </c>
      <c r="O48" t="s">
        <v>26</v>
      </c>
      <c r="P48" t="s">
        <v>3</v>
      </c>
      <c r="Q48" t="s">
        <v>3</v>
      </c>
      <c r="R48" t="s">
        <v>3</v>
      </c>
      <c r="S48" t="s">
        <v>489</v>
      </c>
      <c r="T48" t="s">
        <v>491</v>
      </c>
      <c r="U48" t="s">
        <v>490</v>
      </c>
    </row>
    <row r="49" spans="1:21" x14ac:dyDescent="0.2">
      <c r="A49">
        <v>202</v>
      </c>
      <c r="B49">
        <v>1</v>
      </c>
      <c r="C49" t="s">
        <v>3</v>
      </c>
      <c r="D49" t="s">
        <v>25</v>
      </c>
      <c r="E49" t="s">
        <v>26</v>
      </c>
      <c r="F49" t="s">
        <v>26</v>
      </c>
      <c r="G49" t="s">
        <v>26</v>
      </c>
      <c r="H49" t="s">
        <v>3</v>
      </c>
      <c r="I49" t="s">
        <v>26</v>
      </c>
      <c r="J49" t="s">
        <v>26</v>
      </c>
      <c r="K49" t="s">
        <v>3</v>
      </c>
      <c r="L49" t="s">
        <v>3</v>
      </c>
      <c r="M49" t="s">
        <v>3</v>
      </c>
      <c r="N49" t="s">
        <v>25</v>
      </c>
      <c r="O49" t="s">
        <v>26</v>
      </c>
      <c r="P49" t="s">
        <v>3</v>
      </c>
      <c r="Q49" t="s">
        <v>3</v>
      </c>
      <c r="R49" t="s">
        <v>3</v>
      </c>
      <c r="S49" t="s">
        <v>489</v>
      </c>
      <c r="T49" t="s">
        <v>491</v>
      </c>
      <c r="U49" t="s">
        <v>490</v>
      </c>
    </row>
    <row r="50" spans="1:21" x14ac:dyDescent="0.2">
      <c r="A50">
        <v>203</v>
      </c>
      <c r="B50">
        <v>1</v>
      </c>
      <c r="C50" t="s">
        <v>3</v>
      </c>
      <c r="D50" t="s">
        <v>25</v>
      </c>
      <c r="E50" t="s">
        <v>26</v>
      </c>
      <c r="F50" t="s">
        <v>26</v>
      </c>
      <c r="G50" t="s">
        <v>26</v>
      </c>
      <c r="H50" t="s">
        <v>3</v>
      </c>
      <c r="I50" t="s">
        <v>26</v>
      </c>
      <c r="J50" t="s">
        <v>26</v>
      </c>
      <c r="K50" t="s">
        <v>3</v>
      </c>
      <c r="L50" t="s">
        <v>3</v>
      </c>
      <c r="M50" t="s">
        <v>3</v>
      </c>
      <c r="N50" t="s">
        <v>25</v>
      </c>
      <c r="O50" t="s">
        <v>26</v>
      </c>
      <c r="P50" t="s">
        <v>3</v>
      </c>
      <c r="Q50" t="s">
        <v>3</v>
      </c>
      <c r="R50" t="s">
        <v>3</v>
      </c>
      <c r="S50" t="s">
        <v>489</v>
      </c>
      <c r="T50" t="s">
        <v>491</v>
      </c>
      <c r="U50" t="s">
        <v>490</v>
      </c>
    </row>
    <row r="51" spans="1:21" x14ac:dyDescent="0.2">
      <c r="A51">
        <v>206</v>
      </c>
      <c r="B51">
        <v>1</v>
      </c>
      <c r="C51" t="s">
        <v>3</v>
      </c>
      <c r="D51" t="s">
        <v>25</v>
      </c>
      <c r="E51" t="s">
        <v>26</v>
      </c>
      <c r="F51" t="s">
        <v>26</v>
      </c>
      <c r="G51" t="s">
        <v>26</v>
      </c>
      <c r="H51" t="s">
        <v>3</v>
      </c>
      <c r="I51" t="s">
        <v>26</v>
      </c>
      <c r="J51" t="s">
        <v>26</v>
      </c>
      <c r="K51" t="s">
        <v>3</v>
      </c>
      <c r="L51" t="s">
        <v>3</v>
      </c>
      <c r="M51" t="s">
        <v>3</v>
      </c>
      <c r="N51" t="s">
        <v>25</v>
      </c>
      <c r="O51" t="s">
        <v>26</v>
      </c>
      <c r="P51" t="s">
        <v>3</v>
      </c>
      <c r="Q51" t="s">
        <v>3</v>
      </c>
      <c r="R51" t="s">
        <v>3</v>
      </c>
      <c r="S51" t="s">
        <v>489</v>
      </c>
      <c r="T51" t="s">
        <v>491</v>
      </c>
      <c r="U51" t="s">
        <v>490</v>
      </c>
    </row>
    <row r="52" spans="1:21" x14ac:dyDescent="0.2">
      <c r="A52">
        <v>207</v>
      </c>
      <c r="B52">
        <v>1</v>
      </c>
      <c r="C52" t="s">
        <v>3</v>
      </c>
      <c r="D52" t="s">
        <v>25</v>
      </c>
      <c r="E52" t="s">
        <v>26</v>
      </c>
      <c r="F52" t="s">
        <v>26</v>
      </c>
      <c r="G52" t="s">
        <v>26</v>
      </c>
      <c r="H52" t="s">
        <v>3</v>
      </c>
      <c r="I52" t="s">
        <v>26</v>
      </c>
      <c r="J52" t="s">
        <v>26</v>
      </c>
      <c r="K52" t="s">
        <v>3</v>
      </c>
      <c r="L52" t="s">
        <v>3</v>
      </c>
      <c r="M52" t="s">
        <v>3</v>
      </c>
      <c r="N52" t="s">
        <v>25</v>
      </c>
      <c r="O52" t="s">
        <v>26</v>
      </c>
      <c r="P52" t="s">
        <v>3</v>
      </c>
      <c r="Q52" t="s">
        <v>3</v>
      </c>
      <c r="R52" t="s">
        <v>3</v>
      </c>
      <c r="S52" t="s">
        <v>489</v>
      </c>
      <c r="T52" t="s">
        <v>491</v>
      </c>
      <c r="U52" t="s">
        <v>490</v>
      </c>
    </row>
    <row r="53" spans="1:21" x14ac:dyDescent="0.2">
      <c r="A53">
        <v>212</v>
      </c>
      <c r="B53">
        <v>1</v>
      </c>
      <c r="C53" t="s">
        <v>3</v>
      </c>
      <c r="D53" t="s">
        <v>25</v>
      </c>
      <c r="E53" t="s">
        <v>26</v>
      </c>
      <c r="F53" t="s">
        <v>26</v>
      </c>
      <c r="G53" t="s">
        <v>26</v>
      </c>
      <c r="H53" t="s">
        <v>3</v>
      </c>
      <c r="I53" t="s">
        <v>26</v>
      </c>
      <c r="J53" t="s">
        <v>26</v>
      </c>
      <c r="K53" t="s">
        <v>3</v>
      </c>
      <c r="L53" t="s">
        <v>3</v>
      </c>
      <c r="M53" t="s">
        <v>3</v>
      </c>
      <c r="N53" t="s">
        <v>25</v>
      </c>
      <c r="O53" t="s">
        <v>26</v>
      </c>
      <c r="P53" t="s">
        <v>3</v>
      </c>
      <c r="Q53" t="s">
        <v>3</v>
      </c>
      <c r="R53" t="s">
        <v>3</v>
      </c>
      <c r="S53" t="s">
        <v>489</v>
      </c>
      <c r="T53" t="s">
        <v>491</v>
      </c>
      <c r="U53" t="s">
        <v>490</v>
      </c>
    </row>
    <row r="54" spans="1:21" x14ac:dyDescent="0.2">
      <c r="A54">
        <v>213</v>
      </c>
      <c r="B54">
        <v>1</v>
      </c>
      <c r="C54" t="s">
        <v>3</v>
      </c>
      <c r="D54" t="s">
        <v>25</v>
      </c>
      <c r="E54" t="s">
        <v>26</v>
      </c>
      <c r="F54" t="s">
        <v>26</v>
      </c>
      <c r="G54" t="s">
        <v>26</v>
      </c>
      <c r="H54" t="s">
        <v>3</v>
      </c>
      <c r="I54" t="s">
        <v>26</v>
      </c>
      <c r="J54" t="s">
        <v>26</v>
      </c>
      <c r="K54" t="s">
        <v>3</v>
      </c>
      <c r="L54" t="s">
        <v>3</v>
      </c>
      <c r="M54" t="s">
        <v>3</v>
      </c>
      <c r="N54" t="s">
        <v>25</v>
      </c>
      <c r="O54" t="s">
        <v>26</v>
      </c>
      <c r="P54" t="s">
        <v>3</v>
      </c>
      <c r="Q54" t="s">
        <v>3</v>
      </c>
      <c r="R54" t="s">
        <v>3</v>
      </c>
      <c r="S54" t="s">
        <v>489</v>
      </c>
      <c r="T54" t="s">
        <v>491</v>
      </c>
      <c r="U54" t="s">
        <v>490</v>
      </c>
    </row>
    <row r="55" spans="1:21" x14ac:dyDescent="0.2">
      <c r="A55">
        <v>216</v>
      </c>
      <c r="B55">
        <v>1</v>
      </c>
      <c r="C55" t="s">
        <v>3</v>
      </c>
      <c r="D55" t="s">
        <v>25</v>
      </c>
      <c r="E55" t="s">
        <v>26</v>
      </c>
      <c r="F55" t="s">
        <v>26</v>
      </c>
      <c r="G55" t="s">
        <v>26</v>
      </c>
      <c r="H55" t="s">
        <v>3</v>
      </c>
      <c r="I55" t="s">
        <v>26</v>
      </c>
      <c r="J55" t="s">
        <v>26</v>
      </c>
      <c r="K55" t="s">
        <v>3</v>
      </c>
      <c r="L55" t="s">
        <v>3</v>
      </c>
      <c r="M55" t="s">
        <v>3</v>
      </c>
      <c r="N55" t="s">
        <v>25</v>
      </c>
      <c r="O55" t="s">
        <v>26</v>
      </c>
      <c r="P55" t="s">
        <v>3</v>
      </c>
      <c r="Q55" t="s">
        <v>3</v>
      </c>
      <c r="R55" t="s">
        <v>3</v>
      </c>
      <c r="S55" t="s">
        <v>489</v>
      </c>
      <c r="T55" t="s">
        <v>491</v>
      </c>
      <c r="U55" t="s">
        <v>490</v>
      </c>
    </row>
    <row r="56" spans="1:21" x14ac:dyDescent="0.2">
      <c r="A56">
        <v>217</v>
      </c>
      <c r="B56">
        <v>1</v>
      </c>
      <c r="C56" t="s">
        <v>3</v>
      </c>
      <c r="D56" t="s">
        <v>25</v>
      </c>
      <c r="E56" t="s">
        <v>26</v>
      </c>
      <c r="F56" t="s">
        <v>26</v>
      </c>
      <c r="G56" t="s">
        <v>26</v>
      </c>
      <c r="H56" t="s">
        <v>3</v>
      </c>
      <c r="I56" t="s">
        <v>26</v>
      </c>
      <c r="J56" t="s">
        <v>26</v>
      </c>
      <c r="K56" t="s">
        <v>3</v>
      </c>
      <c r="L56" t="s">
        <v>3</v>
      </c>
      <c r="M56" t="s">
        <v>3</v>
      </c>
      <c r="N56" t="s">
        <v>25</v>
      </c>
      <c r="O56" t="s">
        <v>26</v>
      </c>
      <c r="P56" t="s">
        <v>3</v>
      </c>
      <c r="Q56" t="s">
        <v>3</v>
      </c>
      <c r="R56" t="s">
        <v>3</v>
      </c>
      <c r="S56" t="s">
        <v>489</v>
      </c>
      <c r="T56" t="s">
        <v>491</v>
      </c>
      <c r="U56" t="s">
        <v>490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74402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>Новый объект (ТСН-2001 (Мосгосэкспертиза))</v>
      </c>
      <c r="G12" t="str">
        <f>Source!G12</f>
        <v>02-01-15 Система контроля и управления доступом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02-01-15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'02-01-15'!Заголовки_для_печати</vt:lpstr>
      <vt:lpstr>'Ведомость объемов работ'!Заголовки_для_печати</vt:lpstr>
      <vt:lpstr>'02-01-15'!Область_печати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Кузнецова Елена Александровна</cp:lastModifiedBy>
  <dcterms:created xsi:type="dcterms:W3CDTF">2026-03-23T06:48:12Z</dcterms:created>
  <dcterms:modified xsi:type="dcterms:W3CDTF">2026-03-23T06:51:04Z</dcterms:modified>
</cp:coreProperties>
</file>